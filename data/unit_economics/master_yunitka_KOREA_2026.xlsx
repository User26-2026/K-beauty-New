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ОРЕЯ" sheetId="1" r:id="rId4"/>
    <sheet state="visible" name="КОРЕЯ (ДРР) " sheetId="2" r:id="rId5"/>
    <sheet state="visible" name="КИТАЙ" sheetId="3" r:id="rId6"/>
    <sheet state="visible" name="расчет нового товара" sheetId="4" r:id="rId7"/>
    <sheet state="visible" name="КОРЕЯ (копия)" sheetId="5" r:id="rId8"/>
    <sheet state="visible" name="MASIL ДРР =5%" sheetId="6" r:id="rId9"/>
    <sheet state="visible" name="MASIL  ДРР =10 % " sheetId="7" r:id="rId10"/>
    <sheet state="visible" name="MASIL ФФ= 15 руб. " sheetId="8" r:id="rId11"/>
    <sheet state="visible" name="MASIL ДРР =3%" sheetId="9" r:id="rId12"/>
    <sheet state="visible" name="CELIMAX" sheetId="10" r:id="rId13"/>
    <sheet state="visible" name="Конкуренты КОРЕЯ" sheetId="11" r:id="rId14"/>
    <sheet state="visible" name="Конкуренты Корея по продавцам " sheetId="12" r:id="rId15"/>
  </sheets>
  <definedNames/>
  <calcPr/>
</workbook>
</file>

<file path=xl/sharedStrings.xml><?xml version="1.0" encoding="utf-8"?>
<sst xmlns="http://schemas.openxmlformats.org/spreadsheetml/2006/main" count="4610" uniqueCount="1311">
  <si>
    <t>Доп.обработка на складе+хоз</t>
  </si>
  <si>
    <t>логис</t>
  </si>
  <si>
    <t>Хранен</t>
  </si>
  <si>
    <t>короб</t>
  </si>
  <si>
    <t>Базовая приемка Р/л.ед.товара</t>
  </si>
  <si>
    <t>% СПП по категории Красота</t>
  </si>
  <si>
    <t>Коэф. Рекламы (10%)</t>
  </si>
  <si>
    <t>Курс Вона</t>
  </si>
  <si>
    <t>Электросталь</t>
  </si>
  <si>
    <t>суперсейф</t>
  </si>
  <si>
    <t>Базовая приемка Р/ед.товара</t>
  </si>
  <si>
    <t>Коэффициент платной приемки</t>
  </si>
  <si>
    <t>Ставка рефинансирования (21%) = 1,75/месяц</t>
  </si>
  <si>
    <t>Курс $</t>
  </si>
  <si>
    <t>Тула</t>
  </si>
  <si>
    <t>Обратная логистика для всего</t>
  </si>
  <si>
    <t>% Минимальной маржи для РРЦ</t>
  </si>
  <si>
    <t>Цена логистики за литр</t>
  </si>
  <si>
    <t>Транспортные</t>
  </si>
  <si>
    <t>Невинномыск</t>
  </si>
  <si>
    <t>Базовая Логистика за 1литр</t>
  </si>
  <si>
    <t>Цена логистики сверх литра</t>
  </si>
  <si>
    <t>Растаможка</t>
  </si>
  <si>
    <t>Коледино</t>
  </si>
  <si>
    <t>Базовая Логистика за доп.литр</t>
  </si>
  <si>
    <t>Цена хранения литр/день</t>
  </si>
  <si>
    <t>Краснодар</t>
  </si>
  <si>
    <t>Комиссия ВБ по категории</t>
  </si>
  <si>
    <t>Количество дней хранения</t>
  </si>
  <si>
    <t>Казань</t>
  </si>
  <si>
    <t>Эквайринг 1,5%</t>
  </si>
  <si>
    <t>КАЛЬКУЛЯТОР РРЦ</t>
  </si>
  <si>
    <t>Налог УСН 1%</t>
  </si>
  <si>
    <t>КОРЕЯ</t>
  </si>
  <si>
    <t>Текущая цена продажи</t>
  </si>
  <si>
    <t>Доп.Расход</t>
  </si>
  <si>
    <t>РАСХОДЫ WB</t>
  </si>
  <si>
    <t>МАРЖА</t>
  </si>
  <si>
    <t>Код WB Коротич, Скляров, Крона</t>
  </si>
  <si>
    <t>Код WB Коротич</t>
  </si>
  <si>
    <t>Наименование</t>
  </si>
  <si>
    <t>Ед.изм.</t>
  </si>
  <si>
    <t>Кол-во</t>
  </si>
  <si>
    <t>ЗАКУП</t>
  </si>
  <si>
    <t xml:space="preserve">Курс KWR / $ </t>
  </si>
  <si>
    <t>КУРС $ / руб + 10%</t>
  </si>
  <si>
    <t>Сумма рубли</t>
  </si>
  <si>
    <t>Расход до МСК</t>
  </si>
  <si>
    <t>ИТОГО приход</t>
  </si>
  <si>
    <t>Плановый период продажи</t>
  </si>
  <si>
    <t xml:space="preserve">Себ-ть </t>
  </si>
  <si>
    <t>Цена продажи на WB</t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</si>
  <si>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 без СПП</t>
    </r>
  </si>
  <si>
    <t>Цена Конкурента</t>
  </si>
  <si>
    <t>% СПП</t>
  </si>
  <si>
    <t>Цена с СПП</t>
  </si>
  <si>
    <t>Доп обработка склад</t>
  </si>
  <si>
    <t>Налог УСН+НДС</t>
  </si>
  <si>
    <t>Стоимость денег</t>
  </si>
  <si>
    <t>Объем, литр</t>
  </si>
  <si>
    <t>Логистика WB</t>
  </si>
  <si>
    <r>
      <rPr>
        <rFont val="Calibri"/>
        <sz val="9.0"/>
      </rPr>
      <t xml:space="preserve">Комиссия </t>
    </r>
    <r>
      <rPr>
        <rFont val="Calibri"/>
        <b/>
        <sz val="12.0"/>
      </rPr>
      <t>WB 32,5%</t>
    </r>
  </si>
  <si>
    <r>
      <rPr>
        <rFont val="Calibri"/>
        <sz val="9.0"/>
      </rPr>
      <t xml:space="preserve">Эквайринг </t>
    </r>
    <r>
      <rPr>
        <rFont val="Calibri"/>
        <b/>
        <sz val="12.0"/>
      </rPr>
      <t>2,17%</t>
    </r>
  </si>
  <si>
    <t>Обратная логистика от % выкупа</t>
  </si>
  <si>
    <t>% выкупа</t>
  </si>
  <si>
    <t>Хранение</t>
  </si>
  <si>
    <r>
      <rPr>
        <rFont val="Calibri"/>
        <b/>
        <sz val="9.0"/>
      </rPr>
      <t>Рекламные</t>
    </r>
    <r>
      <rPr>
        <rFont val="Calibri"/>
        <sz val="9.0"/>
      </rPr>
      <t xml:space="preserve"> расходы от продажи</t>
    </r>
  </si>
  <si>
    <t>Брак</t>
  </si>
  <si>
    <t>Платная приемка</t>
  </si>
  <si>
    <t>МАРЖА с ед.</t>
  </si>
  <si>
    <t>ROI %</t>
  </si>
  <si>
    <t>min/ ROI %</t>
  </si>
  <si>
    <t>Маржа</t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</si>
  <si>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</t>
    </r>
  </si>
  <si>
    <t>РРЦ с СПП</t>
  </si>
  <si>
    <t>Косметика/COSRX</t>
  </si>
  <si>
    <t>COSRX - Advanced Snail 96 Mucin Power Essence [100ml] / Высокоактивная эссенция для лица с 96% муцина улитки</t>
  </si>
  <si>
    <t>шт</t>
  </si>
  <si>
    <t>-</t>
  </si>
  <si>
    <t>COSRX - AHA/BHA Clarifying Treatment Toner [150ml] / Тонер с кислотами AHA/BHA для ежедневного очищения лица на основе минеральной воды</t>
  </si>
  <si>
    <t>COSRX - Low-pH Good Morning Cleanser [150ml] / Пенка для умывания</t>
  </si>
  <si>
    <t>COSRX - Salicylic Acid Daily Gentle Cleanser [150ml] / Пенка с салициловой кислотой для проблемной кожи</t>
  </si>
  <si>
    <t>Косметика/DEOPROCE/DEOPROCE - CREAM</t>
  </si>
  <si>
    <t>214301471, 000, 000</t>
  </si>
  <si>
    <t>DEOPROCE - BLACK PEARL TERAPHY CREAM [100g] / Крем для лица с черным жемчугом антивозрастной</t>
  </si>
  <si>
    <t>214301724, 000, 000</t>
  </si>
  <si>
    <t>DEOPROCE - FERMENTATION ACTIVE HEALING CREAM [100g] / Крем для лица питательный кислородный</t>
  </si>
  <si>
    <t>214301797, 000, 000</t>
  </si>
  <si>
    <t>DEOPROCE - HORSE ENRICH ALL CARE CREAM [100g] / Крем для лица питательный с лошадиным жиром</t>
  </si>
  <si>
    <t>DEOPROCE - HYALURONIC COOLING SUN GEL SPF 50+ PA+++ [50g] / Освежающий солнцезащитный крем</t>
  </si>
  <si>
    <t>214303984, 000, 000</t>
  </si>
  <si>
    <t>DEOPROCE - MARINE COLLAGEN MINERAL CREAM [100g] / Крем для лица морской коллаген</t>
  </si>
  <si>
    <t>214304435, 000, 000</t>
  </si>
  <si>
    <t>DEOPROCE - RELAXING CARE MINK OIL CREAM [100g] / Крем расслабляющий с жиром норки</t>
  </si>
  <si>
    <t>215182642, 000, 000</t>
  </si>
  <si>
    <t>DEOPROCE - REPAIR MACHINE GINSENG CREAM [100g] / Крем для лица антивозрастной с женьшенем</t>
  </si>
  <si>
    <t>214304883, 000, 000</t>
  </si>
  <si>
    <t>DEOPROCE - SNAIL RECOVERY CREAM [100g] / Крем восстанавливающий с муцином улитки</t>
  </si>
  <si>
    <t>214305187, 000, 000</t>
  </si>
  <si>
    <t>DEOPROCE - SPECIAL WATER PLUS CREAM [100g] / Крем для лица увлажняющий</t>
  </si>
  <si>
    <t>214305220, 000, 000</t>
  </si>
  <si>
    <t>DEOPROCE - SYNAKE INTENSIVE WRINKLE CARE CREAM [100g] / Крем для лица со змеиным ядом</t>
  </si>
  <si>
    <t>214305280, 000, 000</t>
  </si>
  <si>
    <t>DEOPROCE - Vitamin Factory Cream [100g] / Крем ночной омолаживающий</t>
  </si>
  <si>
    <t>Косметика/DEOPROCE/DEOPROCE - RINSE</t>
  </si>
  <si>
    <t>214305520, 000, 000</t>
  </si>
  <si>
    <t>DEOPROCE RINSE - ARGAN SILKY MOISTURE [1000ml] / Бальзам для волос с аргановым маслом</t>
  </si>
  <si>
    <t>214305584, 000, 000</t>
  </si>
  <si>
    <t>DEOPROCE RINSE - BLACK GARLIC INTENSME ENERGY [1000ml] / Бальзам от выпадения волос Чёрный чеснок</t>
  </si>
  <si>
    <t>214305639, 000, 000</t>
  </si>
  <si>
    <t>DEOPROCE RINSE - GREENTEA HENNA PURE REFRESH [1000ml] / Бальзам для волос с зеленым чаем и хной</t>
  </si>
  <si>
    <t>Косметика/DEOPROCE/DEOPROCE - SHAMPOO</t>
  </si>
  <si>
    <t>214305705, 000, 000</t>
  </si>
  <si>
    <t>DEOPROCE SHAMPOO - ARGAN SILKY MOISTURE [1000ml] / Шампунь для волос с аргановым маслом</t>
  </si>
  <si>
    <t>214305722, 000, 000</t>
  </si>
  <si>
    <t>DEOPROCE SHAMPOO+BALSAM - BLACK GARLIC[2000ml]</t>
  </si>
  <si>
    <t>214305782, 000, 000</t>
  </si>
  <si>
    <t>DEOPROCE SHAMPOO - GREENTEA HENNA PURE REFRESH [1000ml] / Шампунь для волос с зеленым чаем и хной</t>
  </si>
  <si>
    <t>DEOPROCE SHAMPOO - BLACK GARLIC[600ml] с колпачком</t>
  </si>
  <si>
    <t>DEOPROCE SHAMPOO - BLACK GARLIC[600ml] без колпачка</t>
  </si>
  <si>
    <t>DEOPROCE SHAMPOO - BLACK GARLIC[200ml]</t>
  </si>
  <si>
    <t>Косметика/DEOPROCE/DEOPROCE - TONER</t>
  </si>
  <si>
    <t>214301052, 000, 000</t>
  </si>
  <si>
    <t>DEOPROCE - AC CICA CALMING BOOSTING TONER [150ml] / Успокаивающий тонизирующий тонер</t>
  </si>
  <si>
    <t>214301295, 000, 000</t>
  </si>
  <si>
    <t>DEOPROCE - ALOE VERA OASIS SOOTHING TONER [150ml] / Успокаивающий и увлажняющий тонер для лица с экстрактом алоэ вера</t>
  </si>
  <si>
    <t>214301375, 000, 000</t>
  </si>
  <si>
    <t>DEOPROCE - BIOME ROYAL PROPOLIS TONER [150ml] / Тонер с экстрактом маточного молочка и прополиса</t>
  </si>
  <si>
    <t>214301558, 000, 000</t>
  </si>
  <si>
    <t>DEOPROCE - CLEANBELLO COLLAGEN ESSENTIAL MOISTURE SKIN [260ml] / Увлажняющий тоник для лица с коллагеном</t>
  </si>
  <si>
    <t>214301677, 000, 000</t>
  </si>
  <si>
    <t>DEOPROCE - ESSENTIAL SKIN SOFTENER [380ml] / Тонер  для лица омолаживающий</t>
  </si>
  <si>
    <t>214301939, 000, 000</t>
  </si>
  <si>
    <t>DEOPROCE - HYDRO ANTIAGING POMERGRANATE TONER [380ml] / Тонер для лица антивозрастной с экстрактом граната</t>
  </si>
  <si>
    <t>214302044, 000, 000</t>
  </si>
  <si>
    <t>DEOPROCE - HYDRO CALMING DOWN CUCUMBER TONER [380ml] / Успокаивающий тонер для лица с экстрактом огурца</t>
  </si>
  <si>
    <t>214303837, 000, 000</t>
  </si>
  <si>
    <t>DEOPROCE - HYDRO RECOVERY SNAIL TONER [150ml] / Восстанавливающий тонер с муцином улитки</t>
  </si>
  <si>
    <t>214303875, 000, 000</t>
  </si>
  <si>
    <t>DEOPROCE - HYDRO RECOVERY SNAIL TONER [380ml] / Восстанавливающий тонер с муцином улитки</t>
  </si>
  <si>
    <t>214303928, 000, 000</t>
  </si>
  <si>
    <t>DEOPROCE - HYDRO SOOTHING ALOE VERA TONER [380ml] / Тонер для лица с экстрактом алоэ вера</t>
  </si>
  <si>
    <t>214305484, 000, 000</t>
  </si>
  <si>
    <t>DEOPROCE PREMIUM - GREEN TEA TOTAL SOLUTION TONER [260ml] / Тонер на основе зеленого чая</t>
  </si>
  <si>
    <t>214304289, 000, 000</t>
  </si>
  <si>
    <t>DEOPROCE - REAL FRESH VEGAN CALMING TONER [200ml] / Успокаивающий тоник для лица</t>
  </si>
  <si>
    <t>214304723, 000, 000</t>
  </si>
  <si>
    <t>DEOPROCE - RICE ENRICHED BRIGHTENING TONER [200ml] / Осветляющий тонер с экстрактами злаковых культур</t>
  </si>
  <si>
    <t>214304848, 000, 000</t>
  </si>
  <si>
    <t>DEOPROCE - SNAIL GALAC REVITAL TONER [130ml] / Тонер  с муцином улитки</t>
  </si>
  <si>
    <t>214305157, 000, 000</t>
  </si>
  <si>
    <t>DEOPROCE - SNAIL RECOVERY TONER [210ml] / Восстанавливающий тонер для лица с муцином улитки</t>
  </si>
  <si>
    <t>214305367, 000, 000</t>
  </si>
  <si>
    <t>DEOPROCE - WHITENING AND ANTI-WRINKLE POMEGRANATE SKIN [260ml] / Тонер для лица антивозрастной на основе экстракта граната</t>
  </si>
  <si>
    <t>214305331, 000, 000</t>
  </si>
  <si>
    <t>DEOPROCE - WHITENING &amp; ANTI-WRINKLE SNAIL SKIN [260ml] / Омолаживающий тонер-флюид с улиточным экстрактом</t>
  </si>
  <si>
    <t>214305394, 000, 000</t>
  </si>
  <si>
    <t>DEOPROCE - YUJA VITA CARE 10 OIL TONER [120ml] / Омолаживающий цитрусовый тонер</t>
  </si>
  <si>
    <t>Косметика/DR. JART</t>
  </si>
  <si>
    <t>212719009, 000, 000</t>
  </si>
  <si>
    <t>DR. JART - Cicapair Tiger Grass Color Correcting Treatment [50ml] / СС Крем корректор для лица</t>
  </si>
  <si>
    <t>199426060, 000, 000</t>
  </si>
  <si>
    <t>DR. JART - Ctrl+A Teatreatment Moisturizer [50ml] / Увлажняющий лечебный крем для лица против акне</t>
  </si>
  <si>
    <t>199425671, 000, 000</t>
  </si>
  <si>
    <t>DR. JART - Ctrl+A Teatreatment Soothing Spot AI [15ml] / Корректор для лица против акне</t>
  </si>
  <si>
    <t>199427475, 000, 000</t>
  </si>
  <si>
    <t>DR. JART - Ctrl+A Teatreatment Toner [120ml] / Тонер тоник для лица увлажняющий с чайным деревом</t>
  </si>
  <si>
    <t>199367159, 000, 000</t>
  </si>
  <si>
    <t>DR. JART - Dermaclear Micro Foam [120ml] / Гель пенка для умывания лица</t>
  </si>
  <si>
    <t>199359659, 000, 000</t>
  </si>
  <si>
    <t>DR. JART - Ctrl+A Teatreatment Cleansing Foam [120ml] / Гель пенка для умывания очищающая</t>
  </si>
  <si>
    <t>199427997, 000, 000</t>
  </si>
  <si>
    <t>DR. JART - Ceramidin Mist [110ml] / Крем спрей мист увлажняющий питательный для лица</t>
  </si>
  <si>
    <t>Косметика/EKEL</t>
  </si>
  <si>
    <t>207479264, 000, 000</t>
  </si>
  <si>
    <t>EKEL - Ampoule Cream Collagen [50ml] / Ампульный крем с коллагеном</t>
  </si>
  <si>
    <t>190160197, 000, 000</t>
  </si>
  <si>
    <t>EKEL - Ampoule Toner Collagen [150ml] / Увлажняющий тоник для лица омолаживающий тонер</t>
  </si>
  <si>
    <t>208202076, 000, 000</t>
  </si>
  <si>
    <t>EKEL - Ampule Сream Сollagen [70ml] / Крем для лица ампульный с коллагеном</t>
  </si>
  <si>
    <t>207480081, 000, 000</t>
  </si>
  <si>
    <t>EKEL - Ampoule Emulsion Collagen [150ml] / Тоник для лица с коллагеном ампульный</t>
  </si>
  <si>
    <t>Косметика/ELIZAVECCA</t>
  </si>
  <si>
    <t>ELIZAVECCA - 24K Gold Snail Cleansing Foam [180ml] / Золотая пенка умывалка для лица с улиткой</t>
  </si>
  <si>
    <t>ELIZAVECCA - Aqua Hyaluronic Acid Water Drop Cream / Увлажняющий крем для лица с гиалуроновой кислотой</t>
  </si>
  <si>
    <t>ELIZAVECCA - CER-100 Collagen Ceramide Coating Protein Treatment [100ml] / Коллагеновая маска для волос</t>
  </si>
  <si>
    <t>ELIZAVECCA - Hell pore clean up aha fruit toner [ 200ml] / Пилинг-тоник с фруктовыми кислотами</t>
  </si>
  <si>
    <t>ELIZAVECCA - Hell-Pore Control Hyaluronic Acid 97 / Сыворотка для лица с гиалуроновой кислотой 97%</t>
  </si>
  <si>
    <t>ELIZAVECCA - Milky Piggy EGF elastic retinol [100ml] / Антивозрастной крем для лица с ретинолом и EGF</t>
  </si>
  <si>
    <t>ELIZAVECCA - Natural 90% Olive Cleansing Oil / Очищающее гидрофильное масло с экстрактом оливы 90%</t>
  </si>
  <si>
    <t>ELIZAVECCA - Witch Piggy hell pore blemish spot patch / Гидро-коллоидные патчи от прыщей</t>
  </si>
  <si>
    <t>ELIZAVECCA - Witch Piggy hell pore blemish spot patch Х2 / Гидро-коллоидные патчи от прыщей</t>
  </si>
  <si>
    <t>ELIZAVECCA - Milky Piggy Carbonated Bubble Clay Pack / Глиняно-пузырьковая маска для лица</t>
  </si>
  <si>
    <t>ELIZAVECCA - Milky Piggy Hell-Pore Clean Up Enzyme Powder Wash / Очищаемая энзимная пудра для умывания</t>
  </si>
  <si>
    <t>ELIZAVECCA - Milky piggy hyaluronic acid pure 100 [200ml] / Сыворотка с гиалуроновой кислотой</t>
  </si>
  <si>
    <t>ELIZAVECCA - Witch Piggy Hell-Pore Marine Collagen Ample / Сыворотка для лица с морским коллагеном</t>
  </si>
  <si>
    <t>ELIZAVECCA - Hell-Pore Galactomyces Pure Ample / Сыворотка для лица с экстрактом галактомисиса</t>
  </si>
  <si>
    <t>снят с производства</t>
  </si>
  <si>
    <t>ELIZAVECCA - Glutinous Ultra Escargot Renewal Grow [50ml] / Регенерирующий крем с экстрактом улитки</t>
  </si>
  <si>
    <t>ELIZAVECCA - Milky Piggy Carbonated Bubble Clay Pack / Глиняно-пузырьковая маска для лица - новая</t>
  </si>
  <si>
    <t>Косметика/ENOUGH</t>
  </si>
  <si>
    <t>214314474, 000, 000</t>
  </si>
  <si>
    <t>ENOUGH - Collagen 3in1 Sun Cream SPF50 PA+++ [50ml] / отбеливающий увлажняющий солнцезащитный крем 3в1</t>
  </si>
  <si>
    <t>151132051, 000, 000</t>
  </si>
  <si>
    <t>ENOUGH - Collagen 3in1 Whitening Moisture Foundation [Tone 13] / Тональный крем для лица с коллагеном 3в1 [13 тон]</t>
  </si>
  <si>
    <t>151132052, 000, 000</t>
  </si>
  <si>
    <t>ENOUGH - Collagen 3in1 Whitening Moisture Foundation [Tone 21] / Тональный крем для лица с коллагеном 3в1 [21 тон]</t>
  </si>
  <si>
    <t>154158805, 000, 000</t>
  </si>
  <si>
    <t>ENOUGH - Collagen Moisture Essential Cream [50ml] / Увлажняющий крем для лица с коллагеном</t>
  </si>
  <si>
    <t>150925321, 000, 000</t>
  </si>
  <si>
    <t>ENOUGH - Collagen Moisture Foundation [Tone 13] / Тональный крем для лица с коллагеном 13 тон</t>
  </si>
  <si>
    <t>150925322, 000, 000</t>
  </si>
  <si>
    <t>ENOUGH - Collagen Moisture Foundation [Tone 21] / Тональный крем для лица с коллагеном 21 тон</t>
  </si>
  <si>
    <t>ENOUGH - Collagen Moisture Foundation [Tone 23] / Тональный крем для лица с коллагеном 23 тон</t>
  </si>
  <si>
    <t>180588500, 000, 000</t>
  </si>
  <si>
    <t>ENOUGH - Collagen Whitening Moisture Cream 3in1 [50g] / Антивозрастной отбеливающий крем с коллагеном</t>
  </si>
  <si>
    <t>207796789, 000, 000</t>
  </si>
  <si>
    <t>ENOUGH - Gold Snail Moisture Foundation [Tone 13] / Тональный крем с муцином улитки 13 тон</t>
  </si>
  <si>
    <t>207796898, 000, 000</t>
  </si>
  <si>
    <t>ENOUGH - Gold Snail Moisture Foundation [Tone 21] / Тональный крем с муцином улитки 21 тон</t>
  </si>
  <si>
    <t>170198738, 000, 000</t>
  </si>
  <si>
    <t>ENOUGH - Premium 8 Peptide Full Cover Perfect Foundation [Tone 13] / Тональный крем с пептидами 13 тон</t>
  </si>
  <si>
    <t>170198337, 000, 000</t>
  </si>
  <si>
    <t>ENOUGH - Premium 8 Peptide Full Cover Perfect Foundation [Tone 21] / Тональный крем с пептидами 21 тон</t>
  </si>
  <si>
    <t>170198180, 000, 000</t>
  </si>
  <si>
    <t>ENOUGH - Premium Rich Gold Double Wear Radiance Foundation [Tone 13] / Тональный крем с частичками золота 13 тон</t>
  </si>
  <si>
    <t>170198109, 000, 000</t>
  </si>
  <si>
    <t>ENOUGH - Premium Rich Gold Double Wear Radiance Foundation [Tone 21] / Тональный крем с частичками золота 21 тон</t>
  </si>
  <si>
    <t>170198835, 000, 000</t>
  </si>
  <si>
    <t>ENOUGH - Premium Ultra X10 Cover Up Collagen Foundation [Tone 13] / Тональный крем с коллагеном 13 тон</t>
  </si>
  <si>
    <t>170198876, 000, 000</t>
  </si>
  <si>
    <t>ENOUGH - Premium Ultra X10 Cover Up Collagen Foundation [Tone 21] / Тональный крем с коллагеном 21 тон</t>
  </si>
  <si>
    <t>ENOUGH Collagen whitening cover tip concealer #01 [9g]/Консилер для лица</t>
  </si>
  <si>
    <t>212889025, 000, 000</t>
  </si>
  <si>
    <t>ENOUGH Collagen whitening cover tip concealer #02 [9g]/Консилер для лица</t>
  </si>
  <si>
    <t>212889027, 000, 000</t>
  </si>
  <si>
    <t>ENOUGH Collagen whitening cover tip concealer #03 [9g]/ Консилер для лица</t>
  </si>
  <si>
    <t>212889028, 000, 000</t>
  </si>
  <si>
    <t>165002270, 000, 000</t>
  </si>
  <si>
    <t>ENOUGH - Collagen Moisture BB Cream SPF47 PA+++ [50ml] / Увлажняющий BB крем с коллагеном</t>
  </si>
  <si>
    <t>164999335, 000, 000</t>
  </si>
  <si>
    <t>ENOUGH - Collagen Moisture Sun Cream SPF50+ PA++++ [50ml] / Увлажняющий солнцезащитный крем с коллагеном</t>
  </si>
  <si>
    <t>Матюхин</t>
  </si>
  <si>
    <t>ENOUGH - Collagen Hydro Moisture Cleansing &amp; Massage Cream [300ml] / Крем массажный увлажняющий</t>
  </si>
  <si>
    <t>169788725, 000, 000</t>
  </si>
  <si>
    <t>ENOUGH - Collagen Hydro Moisture Two way Cake [Tone 13] / Увлажняющая коллагеновая пудра со сменным блоком 13 тон</t>
  </si>
  <si>
    <t>169788801, 000, 000</t>
  </si>
  <si>
    <t>ENOUGH - Collagen Hydro Moisture Two way Cake [Tone 21] / Увлажняющая коллагеновая пудра со сменным блоком 21 тон</t>
  </si>
  <si>
    <t>Косметика/ETUDE HOUSE</t>
  </si>
  <si>
    <t>167174174, 000, 000</t>
  </si>
  <si>
    <t>ETUDE - Baking Powder BB Deep Cleansing Foam [160ml] / Пенка с содой для глубокого очищения и снятия макияжа</t>
  </si>
  <si>
    <t>154159632, 000, 000</t>
  </si>
  <si>
    <t>ETUDE - Baking Powder BB Deep Cleansing Foam [30ml] / Пенка с содой для глубокого очищения</t>
  </si>
  <si>
    <t>151313163, 000, 000</t>
  </si>
  <si>
    <t>ETUDE - Baking Powder Crunch Pore Scrub [200ml] / Очищающий скраб для лица с содой</t>
  </si>
  <si>
    <t>154160085, 000, 000</t>
  </si>
  <si>
    <t>ETUDE - Baking Powder Crunch Pore Scrub [24*7ml] / Очищающий скраб для лица с содой</t>
  </si>
  <si>
    <t>169198316, 000, 000</t>
  </si>
  <si>
    <t>ETUDE - Baking Powder Pore Cleansing Foam [160ml] / Пенка для умывания с содой</t>
  </si>
  <si>
    <t>Косметика/FARMSTAY</t>
  </si>
  <si>
    <t>207472742, 000, 000</t>
  </si>
  <si>
    <t>FARMSTAY - Black Garlic Nourishing Shampoo [530ml] / Шампунь-кондиционер 2в1 с экстрактом черного чеснока</t>
  </si>
  <si>
    <t>168956391, 000, 000</t>
  </si>
  <si>
    <t>FARMSTAY - Collagen &amp; Hyaluronic Acid All-In One Ampoule [250ml] / Сыворотка с коллагеном и гиалуроновой кислотой</t>
  </si>
  <si>
    <t>FARMSTAY ESCARGOT NOBLESSE INTENSIVE AMPOULE [250ml]</t>
  </si>
  <si>
    <t>207476777, 000, 000</t>
  </si>
  <si>
    <t>FARMSTAY - Collagen Pure Cleansing Foam [180ml] / Пенка для умывания</t>
  </si>
  <si>
    <t>207477077, 000, 000</t>
  </si>
  <si>
    <t>FARMSTAY - Collagen Water Full Moist Cream [100g] / Увлажняющий крем с коллагеном</t>
  </si>
  <si>
    <t>212885914, 000, 000</t>
  </si>
  <si>
    <t>FARMSTAY - Collagen Water Full Moist Rolling Eye Serum [25ml] / Сыворотка роллер для глаз</t>
  </si>
  <si>
    <t>207475898, 000, 000</t>
  </si>
  <si>
    <t>FARMSTAY - Collagen Water Full Shampoo &amp; Conditioner [530ml] / Шампунь-кондиционер 2в1 с коллагеном</t>
  </si>
  <si>
    <t>169076150, 000, 000</t>
  </si>
  <si>
    <t>FARMSTAY - Escargot Noblesse Intensive Cream [50g] / Крем с муцином королевской улитки</t>
  </si>
  <si>
    <t>207469760, 000, 000</t>
  </si>
  <si>
    <t>FARMSTAY - Gold Snail Premium Cream [50ml] / Омолаживающий крем с муцином улитки и коллоидным золотом</t>
  </si>
  <si>
    <t>212886252, 000, 000</t>
  </si>
  <si>
    <t>FARMSTAY - Collagen Water Full Moist All Day Toner [500ml] / Тонер для лица с коллагеном</t>
  </si>
  <si>
    <t>165009038, 000, 000</t>
  </si>
  <si>
    <t>FARMSTAY - Aloevera Perfect Sun Cream [70g] / Солнцезащитный крем с экстрактом алоэ</t>
  </si>
  <si>
    <t>207476309, 000, 000</t>
  </si>
  <si>
    <t>FARMSTAY - Argan Oil Complete Volume Up Shampoo &amp; Conditioner [530ml] / Шампунь-кондиционер с аргановым маслом</t>
  </si>
  <si>
    <t>165008990, 000, 000</t>
  </si>
  <si>
    <t>FARMSTAY - Oil-Free Uv Defence Sun Cream [70ml] / Увлажняющий солнцезащитный крем</t>
  </si>
  <si>
    <t>Косметика/GRACE DAY</t>
  </si>
  <si>
    <t>212752214, 000, 000</t>
  </si>
  <si>
    <t>GRACE DAY - Bouquet Marine Mist / Увлажняющий мист с морским коллагеном</t>
  </si>
  <si>
    <t>Косметика/HEIMISH</t>
  </si>
  <si>
    <t>207464799, 000, 000</t>
  </si>
  <si>
    <t>HEIMISH - All Clean Balm [120ml] / Очищающий гидрофильный бальзам щербет</t>
  </si>
  <si>
    <t>207465786, 000, 000</t>
  </si>
  <si>
    <t>HEIMISH - All Clean Balm Mandarin [120ml] / Очищающий гидрофильный бальзам с мандарином</t>
  </si>
  <si>
    <t>207466866, 000, 000</t>
  </si>
  <si>
    <t>HEIMISH - Artless Glow Base SPF50+ PA+++(Renew) [40ml] / База под макияж SPF50+ PA+++</t>
  </si>
  <si>
    <t>207467958, 000, 000</t>
  </si>
  <si>
    <t>HEIMISH - All Clean Green Foam [150ml] / Пенка для умывания</t>
  </si>
  <si>
    <t>207467709, 000, 000</t>
  </si>
  <si>
    <t>HEIMISH - Black Tea Mask Pack [110ml] / Маска против отеков с экстрактом чая</t>
  </si>
  <si>
    <t>207468578, 000, 000</t>
  </si>
  <si>
    <t>HEIMISH - Marine Care Eye Cream [30ml] / Крем для глаз</t>
  </si>
  <si>
    <t>207468348, 000, 000</t>
  </si>
  <si>
    <t>HEIMISH - Matcha Biome Amino Acne Cleansing Foam [150ml] / Пенка для проблемной кожи с чаем матча</t>
  </si>
  <si>
    <t>207468972, 000, 000</t>
  </si>
  <si>
    <t>HEIMISH - Matcha Biome Redness Relief Hydrating Toner [150ml] / Тонер с пробиотиками и чаем матча</t>
  </si>
  <si>
    <t>Косметика/I'M SORRY FOR MY SKIN</t>
  </si>
  <si>
    <t>206122859, 000, 000</t>
  </si>
  <si>
    <t>I'm Sorry For My Skin - Age Capture Firming Enriched Cream / Увлажняющий капсульный крем</t>
  </si>
  <si>
    <t>206135397, 000, 000</t>
  </si>
  <si>
    <t>I'm Sorry For My Skin - Age Capture Hydrating Cream / Увлажняющий капсульный крем</t>
  </si>
  <si>
    <t>206125905, 000, 000</t>
  </si>
  <si>
    <t>I'm Sorry For My Skin - Age Capture Skin Relief Cream / Увлажняющий капсульный крем</t>
  </si>
  <si>
    <t>206126372, 000, 000</t>
  </si>
  <si>
    <t>I'm Sorry For My Skin - Age Capture Vitalizer Cream / Увлажняющий капсульный крем</t>
  </si>
  <si>
    <t>Косметика/ISNTREE</t>
  </si>
  <si>
    <t>207817787, 000, 000</t>
  </si>
  <si>
    <t>ISNTREE - Chestnut AHA 8% Clear Essence [100ml] / Увлажняющая эссенция для глубокого очищения лица</t>
  </si>
  <si>
    <t>207818000, 000, 000</t>
  </si>
  <si>
    <t>ISNTREE - Chestnut AHA 8% Clear Essence Sample [20ml] / Увлажняющая эссенция для глубокого очищения лица</t>
  </si>
  <si>
    <t>207798999, 000, 000</t>
  </si>
  <si>
    <t>ISNTREE - Hyaluronic Acid Aqua Gel Cream [100ml] / Увлажняющий гиалуроновый гель-крем для лица</t>
  </si>
  <si>
    <t>207816823, 000, 000</t>
  </si>
  <si>
    <t>ISNTREE - Hyaluronic Acid Moist Cream [100ml] / Крем для глубокого увлажнения кожи с гиалуроном</t>
  </si>
  <si>
    <t>212720615, 000, 000</t>
  </si>
  <si>
    <t>ISNTREE - Onion Newpair Gel Cream [50ml] / Успокаивающий крем от покраснений и акне прыщей с экстрактом лука Муана</t>
  </si>
  <si>
    <t>207818167, 000, 000</t>
  </si>
  <si>
    <t>ISNTREE - TW-Real Bifida Ampoule [50ml] / Сыворотка с бифидобактериями и ниацинамидом</t>
  </si>
  <si>
    <t>207817635, 000, 000</t>
  </si>
  <si>
    <t>ISNTREE - TW-Real Eye Cream [30ml] / Антивозрастной крем для век и кожи вокруг глаз</t>
  </si>
  <si>
    <t>Косметика/JIGOTT/JIGOTT - CREAM</t>
  </si>
  <si>
    <t>207483780, 000, 000</t>
  </si>
  <si>
    <t>JIGOTT - Birds Nest Firming Cream [70ml] / Антивозрастной крем с экстрактом ласточкиного гнезда</t>
  </si>
  <si>
    <t>207482718, 000, 000</t>
  </si>
  <si>
    <t>JIGOTT - Snail Lifting Cream [70ml] / Крем для лица увлажняющий антивозрастной</t>
  </si>
  <si>
    <t>207483179, 000, 000</t>
  </si>
  <si>
    <t>JIGOTT - Snail Reparing Cream [100ml] / Крем для лица увлажняющий антивозрастной с муцином улитки</t>
  </si>
  <si>
    <t>212753217, 000, 000</t>
  </si>
  <si>
    <t>JIGOTT - Collagen Healing Cream [100ml] / Крем для лица с коллагеном</t>
  </si>
  <si>
    <t>212757955, 000, 000</t>
  </si>
  <si>
    <t>JIGOTT - GOAT MILK BRIGHTENING CREAM [70ml] / Крем с экстрактом козьего молока</t>
  </si>
  <si>
    <t>212759865, 000, 000</t>
  </si>
  <si>
    <t>JIGOTT - Pomegranate Shining Cream [70ml] / Крем для лица с экстрактом граната</t>
  </si>
  <si>
    <t>Косметика/JIGOTT/JIGOTT - MASK</t>
  </si>
  <si>
    <t>0</t>
  </si>
  <si>
    <t>JIGOTT - Ассорти набор масок [27ml х 15]</t>
  </si>
  <si>
    <t>Косметика/JIGOTT/JIGOTT - TONER</t>
  </si>
  <si>
    <t>212883090, 000, 000</t>
  </si>
  <si>
    <t>JIGOTT - Aura Secret Hyaluronec Acid Toner [300ml] / Тонер с гиалуроновой кислотой антивозрастной</t>
  </si>
  <si>
    <t>212757456, 000, 000</t>
  </si>
  <si>
    <t>JIGOTT - Daily Real Cica Toner [300ml] / Тонер для лица с центеллой азиатской</t>
  </si>
  <si>
    <t>212759698, 000, 000</t>
  </si>
  <si>
    <t>JIGOTT - Moisture Real Aloe Vera Toner [300ml] / Тонер для лица увлажняющий с экстрактом алоэ</t>
  </si>
  <si>
    <t>212760119, 000, 000</t>
  </si>
  <si>
    <t>JIGOTT - Ultimate Real Collagen Toner [300ml] / тонер с коллагеном антивозрастной</t>
  </si>
  <si>
    <t>212759049, 000, 000</t>
  </si>
  <si>
    <t>JIGOTT - Lifting Real Avocado Toner [300ml] / Тонер-лифтинг для лица с экстрактом авокадо</t>
  </si>
  <si>
    <t>Косметика/JMSOLUTION/JM - EYE PATCH</t>
  </si>
  <si>
    <t>212717820, 000, 000</t>
  </si>
  <si>
    <t>JMSOLUTION - Prime Gold Eye Patch [60ea] / Освежающие гидрогелевые патчи с пептидами и золотом</t>
  </si>
  <si>
    <t>212713617, 000, 000</t>
  </si>
  <si>
    <t>JMSOLUTION - Black Cocoon Home Esthetic Eye Patch [60ea] / Гидрогелевые патчи с протеинами шелка и углем</t>
  </si>
  <si>
    <t>212713941, 000, 000</t>
  </si>
  <si>
    <t>JMSOLUTION - Golden Cocoon Home Esthetic Eye Patch [60ea] / Гидрогелевые патчи с шелком и золотом</t>
  </si>
  <si>
    <t>212714292, 000, 000</t>
  </si>
  <si>
    <t>JMSOLUTION - Honey Luminous Royal Propolis Eye Patch Black [60ea] / Гидрогелевые патчи с экстрактом прополиса</t>
  </si>
  <si>
    <t>212715047, 000, 000</t>
  </si>
  <si>
    <t>JMSOLUTION - Marine Luminous Pearl Deep Moisture Eye Patch Pearl [60ea] / Гидрогелевые патчи с морским комплексом</t>
  </si>
  <si>
    <t>212718108, 000, 000</t>
  </si>
  <si>
    <t>JMSOLUTION - Silky Cocoon Home Esthetic Eye Patch [60ea] / Гидрогелевые патчи с протеинами шелка</t>
  </si>
  <si>
    <t>Косметика/JMSOLUTION/JM - MASK PACK BLACK</t>
  </si>
  <si>
    <t>16</t>
  </si>
  <si>
    <t>JMSOLUTION - MASK PACK BLACK [30ml*10ea] - ассорти набор 10шт в упаковке</t>
  </si>
  <si>
    <t>упак.</t>
  </si>
  <si>
    <t>JMSOLUTION - MASK PACK DISNEY [30ml*10ea] - ассорти набор из 7шт</t>
  </si>
  <si>
    <t>JMSOLUTION - MASK PACK DISNEY [30ml*10ea] - ассорти набор из 5шт</t>
  </si>
  <si>
    <t>Косметика/JMSOLUTION/JM - MASK PACK DISNEY</t>
  </si>
  <si>
    <t>27</t>
  </si>
  <si>
    <t>JMSOLUTION - MASK PACK DISNEY [30ml*10ea] - ассорти набор из 10шт</t>
  </si>
  <si>
    <t>Косметика/JMSOLUTION/JM - MASK PACK SOLO</t>
  </si>
  <si>
    <t>38</t>
  </si>
  <si>
    <t>JMSOLUTION - Marine Luminous Black Pearl Balancing Mask [1/2/3]*[10ea] / Маска для сияния кожи с черным жемчугом</t>
  </si>
  <si>
    <t>39</t>
  </si>
  <si>
    <t>JMSOLUTION - Marine Luminous Pearl Deep Moisture Mask Pearl [1/2/3]*[10ea] / Тканевая маска для лица с жемчужной пудрой</t>
  </si>
  <si>
    <t>40</t>
  </si>
  <si>
    <t>JMSOLUTION - The Natural Peony Mask Calming [30ml*10ea] / Успокаивающая тканевая маска с экстрактом пиона</t>
  </si>
  <si>
    <t>Косметика/JMSOLUTION/JM - TONER</t>
  </si>
  <si>
    <t>212885318, 000, 000</t>
  </si>
  <si>
    <t>JMSOLUTION - Dear First Moisturizing Toner XL [500ml] / Увлажняющий тоник для лица с гиалуроновой кислотой</t>
  </si>
  <si>
    <t>214311702, 000, 000</t>
  </si>
  <si>
    <t>JMSOLUTION - DERMA CARE CERAMIDE CLEANSING WATER Clear [500ml] / Очищающая вода с керамидами</t>
  </si>
  <si>
    <t>212885319, 000, 000</t>
  </si>
  <si>
    <t>JMSOLUTION - Glow Fill Spa Toner [500ml] / Гипоаллергенный увлажняющий тоник с кипарисом</t>
  </si>
  <si>
    <t>212885313, 000, 000</t>
  </si>
  <si>
    <t>JMSOLUTION - Glow Luminous Flower Toner Extra Large Rose [600ml] / Тонер для лица с экстрактом розы</t>
  </si>
  <si>
    <t>212885317, 000, 000</t>
  </si>
  <si>
    <t>JMSOLUTION - Honey Luminous Royal Propolis Toner XL Black [600ml] / Тонер для лица с экстрактом прополиса</t>
  </si>
  <si>
    <t>212885315, 000, 000</t>
  </si>
  <si>
    <t>JMSOLUTION - Marine Luminous Pearl Moisture Toner XL Pearl [600ml] / Тонер для лица с экстрактом жемчуга</t>
  </si>
  <si>
    <t>212885316, 000, 000</t>
  </si>
  <si>
    <t>JMSOLUTION - Prime Gold Toner XL [600ml] / Осветляющий тонер с коллоидным золотом</t>
  </si>
  <si>
    <t>212885314, 000, 000</t>
  </si>
  <si>
    <t>JMSOLUTION - Water Luminous S.O.S. Ringer Toner XL Black [600ml] / Увлажняющий тонер</t>
  </si>
  <si>
    <t>Косметика/KOELF</t>
  </si>
  <si>
    <t>180709801, 000, 000</t>
  </si>
  <si>
    <t>KOELF - Gold &amp; Royal Jelly Eye Patch / Патчи гидрогелевые c золотом и маточным молочком</t>
  </si>
  <si>
    <t>179611284, 000, 000</t>
  </si>
  <si>
    <t>KOELF - Pearl Shea Butter Hydrogel Eye Patch / Гидрогелевые патчи для глаз с маслом Ши</t>
  </si>
  <si>
    <t>179611266, 000, 000</t>
  </si>
  <si>
    <t>KOELF - Ruby &amp; Bulgarian Rose Eye Patch / Гидрогелевые патчи для глаз с рубиновой пудрой и болгарской розой</t>
  </si>
  <si>
    <t>Косметика/LANEIGE</t>
  </si>
  <si>
    <t>-.</t>
  </si>
  <si>
    <t>LANEIGE - Lip Sleeping Mask-Berry [3g] / Ночная маска бальзам для губ увлажняющая</t>
  </si>
  <si>
    <t>Косметика/LEBELAGE</t>
  </si>
  <si>
    <t>207818642, 000, 000</t>
  </si>
  <si>
    <t>LEBELAGE - Dr. Hyaluronic Derma Eye Cream [40ml] / Крем для глаз антивозрастной с гиалуроновой кислотой</t>
  </si>
  <si>
    <t>210575566, 000, 000</t>
  </si>
  <si>
    <t>LEBELAGE - Dr. Peptide Derma Eye Cream [40ml] / Крем для глаз антивозрастной с пептидами</t>
  </si>
  <si>
    <t>210579932, 000, 000</t>
  </si>
  <si>
    <t>LEBELAGE - Dr. Snail Derma Eye Cream [40ml] / Крем для глаз антивозрастной с улиточным муцином</t>
  </si>
  <si>
    <t>210573611, 000, 000</t>
  </si>
  <si>
    <t>LEBELAGE - Dr. Collagen Derma Eye Cream [40ml] / Крем для глаз антивозрастной с коллагеном</t>
  </si>
  <si>
    <t>207819020, 000, 000</t>
  </si>
  <si>
    <t>LEBELAGE - Aloe Cleansing Foam [100ml] / Пенка для умывания с алоэ</t>
  </si>
  <si>
    <t>207818475, 000, 000</t>
  </si>
  <si>
    <t>LEBELAGE - Charcoal Cleansing Foam [100ml] / Пенка для умывания с экстрактом угля</t>
  </si>
  <si>
    <t>207819733, 000, 000</t>
  </si>
  <si>
    <t>LEBELAGE - Collagen Cleansing Foam [100ml] / Пенка для умывания с коллагеном</t>
  </si>
  <si>
    <t>165008074, 000, 000</t>
  </si>
  <si>
    <t>LEBELAGE - High Protection Daily No Sebum Sun Cream SPF50+ PA++ [30ml] / Крем солнцезащитный ежедневный</t>
  </si>
  <si>
    <t>165008162, 000, 000</t>
  </si>
  <si>
    <t>LEBELAGE - High Protection Extreme Sun Cream SPF50+ PA++ [30ml] / Крем солнцезащитный водостойкий</t>
  </si>
  <si>
    <t>165007944, 000, 000</t>
  </si>
  <si>
    <t>LEBELAGE - High Protection Long Lasting Sun Cream SPF50+ PA+++ [30ml] / Крем солнцезащитный длительного действия</t>
  </si>
  <si>
    <t>Косметика/MANYO</t>
  </si>
  <si>
    <t>198143251, 000, 000</t>
  </si>
  <si>
    <t>MANYO - Bifida Biome Ampoule Lotion [300ml] / Укрепляющий лосьон с бифидобактериями</t>
  </si>
  <si>
    <t>205054338, 000, 000</t>
  </si>
  <si>
    <t>MANYO - Bifida Biome Ampoule Toner [400ml] / Ампульный укрепляющий тонер с бифидобактериями</t>
  </si>
  <si>
    <t>MANYO BIFIDA COMPLEX AMPOULE GEL CLEANSER [400ml]</t>
  </si>
  <si>
    <t>MANYO BIFIDA INFUSION SHOT AMPOULE 1DX [50ml]</t>
  </si>
  <si>
    <t>198147185, 000, 000</t>
  </si>
  <si>
    <t>MANYO - Bifida Biome Complex Ampoule [50ml] / Антивозрастная сыворотка для лица</t>
  </si>
  <si>
    <t>198148122, 000, 000</t>
  </si>
  <si>
    <t>MANYO - Bifida Biome Concentrate Cream [50ml] / Крем для лица омолаживающий антивозрастной</t>
  </si>
  <si>
    <t>198156472, 000, 000</t>
  </si>
  <si>
    <t>MANYO - Galac Whitening Vita Serum [50ml] / Осветляющая сыворотка с Витамином C</t>
  </si>
  <si>
    <t>198156358, 000, 000</t>
  </si>
  <si>
    <t>MANYO - Pure Aqua Peeling Gel [120ml] / Пилинг гель с кислотой PHA для сияния кожи</t>
  </si>
  <si>
    <t>198156698, 000, 000</t>
  </si>
  <si>
    <t>MANYO - Pure Cleansing Oil [200ml] / Гидрофильное масло для глубокого очищения</t>
  </si>
  <si>
    <t>Косметика/MASIL</t>
  </si>
  <si>
    <t>168956857, 000, 000</t>
  </si>
  <si>
    <t>MASIL - 10 Premium Repair Hair Mask [300ml] / Восстанавливающая маска для волос</t>
  </si>
  <si>
    <t>188818000-188817228-188818289, 000, 000</t>
  </si>
  <si>
    <t>MASIL - 3.8.9 Repair Perfect Set Christmas Edition</t>
  </si>
  <si>
    <t>набор</t>
  </si>
  <si>
    <t>188823064-188822937, 000, 000</t>
  </si>
  <si>
    <t>MASIL - 3.8 Salon Stick Set Christmas Edition</t>
  </si>
  <si>
    <t>199544883, 000, 000</t>
  </si>
  <si>
    <t>MASIL - 38 SET [200ml+300ml+8ml*4]</t>
  </si>
  <si>
    <t>168956730, 000, 000</t>
  </si>
  <si>
    <t>MASIL - 3 Salon Hair CMC Shampoo [300ml] / Восстанавливающий шампунь для волос с аминокислотами</t>
  </si>
  <si>
    <t>190158095, 000, 000</t>
  </si>
  <si>
    <t>MASIL - 5 Probiotics Apple Vinegar Shampoo [300ml]</t>
  </si>
  <si>
    <t>190158096, 000, 000</t>
  </si>
  <si>
    <t>MASIL - 5 Probiotics Color Radiance Shampoo [300ml]</t>
  </si>
  <si>
    <t>190158094, 000, 000</t>
  </si>
  <si>
    <t>MASIL - 5 Probiotics Perfect Volume Shampoo [300ml]</t>
  </si>
  <si>
    <t>190158097, 000, 000</t>
  </si>
  <si>
    <t>MASIL - 5 Probiotics Scalp Scaling Shampoo [300ml]</t>
  </si>
  <si>
    <t>190158093, 000, 000</t>
  </si>
  <si>
    <t>MASIL - 5 Salon No Yellow Shampoo [300ml]</t>
  </si>
  <si>
    <t>183028820, 000, 000</t>
  </si>
  <si>
    <t>MASIL - 8 Seconds Liquid Hair Mask [200ml]</t>
  </si>
  <si>
    <t>....</t>
  </si>
  <si>
    <t>MASIL - 8 Seconds Liquid Hair Mask Stick Pounch [8ml] для фасовки</t>
  </si>
  <si>
    <t>MASIL - 8 Seconds Liquid Hair Mask Stick Pounch [5шт*8ml]</t>
  </si>
  <si>
    <t>MASIL - 8 Seconds Liquid Hair Mask Stick Pounch [10шт*8ml]</t>
  </si>
  <si>
    <t>MASIL - 8 Seconds Liquid Hair Mask Stick Pounch [20шт*8ml]</t>
  </si>
  <si>
    <t>165308892, 000, 000</t>
  </si>
  <si>
    <t>MASIL - 8 Seconds Salon Hair Mask [200ml]</t>
  </si>
  <si>
    <t>183030830, 000, 000</t>
  </si>
  <si>
    <t>MASIL - 8 Seconds Salon Hair Mask 350ml Set [350ml+8ml*2]</t>
  </si>
  <si>
    <t>.....</t>
  </si>
  <si>
    <t>MASIL - 8 Seconds Salon Hair Mask Stick Pounch [8ml] для фасовки</t>
  </si>
  <si>
    <t>MASIL - 8 Seconds Salon Hair Mask Stick Pounch [5шт*8ml]</t>
  </si>
  <si>
    <t>MASIL - 8 Seconds Salon Hair Mask Stick Pounch [10шт*8ml]</t>
  </si>
  <si>
    <t>MASIL - 8 Seconds Salon Hair Mask Stick Pounch [20шт*8ml]</t>
  </si>
  <si>
    <t>183127988, 000, 000</t>
  </si>
  <si>
    <t>MASIL - 8 Seconds Salon Super Mild Hair Mask [200ml]</t>
  </si>
  <si>
    <t>...</t>
  </si>
  <si>
    <t>MASIL - 8 Seconds Salon Super Mild Hair Stick Pounch [8ml] для фасовки</t>
  </si>
  <si>
    <t>MASIL - 8 Seconds Salon Super Mild Hair Stick Pounch [5шт*8ml]</t>
  </si>
  <si>
    <t>MASIL - 8 Seconds Salon Super Mild Hair Stick Pounch [10шт*8ml]</t>
  </si>
  <si>
    <t>MASIL - 8 Seconds Salon Super Mild Hair Stick Pounch [20шт*8ml]</t>
  </si>
  <si>
    <t>169074006, 000, 000</t>
  </si>
  <si>
    <t>MASIL - 9 Protein Perfume Silk Balm [180ml]</t>
  </si>
  <si>
    <t>191033857, 000, 000</t>
  </si>
  <si>
    <t>MASIL - 9 Protein Perfume Silk Balm [20ml]</t>
  </si>
  <si>
    <t>195289584, 000, 000</t>
  </si>
  <si>
    <t>MASIL - 9 Protein Perfume Silk Balm Sweet Love [20ml]</t>
  </si>
  <si>
    <t>Косметика/MISSHA</t>
  </si>
  <si>
    <t>212766743, 000, 000</t>
  </si>
  <si>
    <t>MISSHA - Magic Cushion Moist Up Tone 21 [15g] / Увлажняющий тональный кушон Тон 21</t>
  </si>
  <si>
    <t>212765655, 000, 000</t>
  </si>
  <si>
    <t>MISSHA - Magic Cushion Moist Up Tone 23 [15g] / Увлажняющий тональный кушон Тон 23</t>
  </si>
  <si>
    <t>212796158, 000, 000</t>
  </si>
  <si>
    <t>MISSHA - M Perfect Cover BB Cream SPF42+ PA+++ (Tone 13) [50ml] / Тональный крем ББ крем для лица (Тон 13)</t>
  </si>
  <si>
    <t>212825852, 000, 000</t>
  </si>
  <si>
    <t>MISSHA - M Perfect Cover BB Cream SPF42+ PA+++ (Tone 21) [50ml] / Тональный крем ББ крем для лица (Тон 21)</t>
  </si>
  <si>
    <t>212827062, 000, 000</t>
  </si>
  <si>
    <t>MISSHA - M Perfect Cover BB Cream SPF42+ PA+++ (Tone 23) [50ml] / Тональный крем ББ крем для лица (Тон 23)</t>
  </si>
  <si>
    <t>214312934, 000, 000</t>
  </si>
  <si>
    <t>MISSHA -  M Perfect Cover BB Cream SPF42 PA+++ (Tone 25) [20ml] / тональный ББ крем для лица ,25 тон</t>
  </si>
  <si>
    <t>214312999, 000, 000</t>
  </si>
  <si>
    <t>MISSHA - M Perfect Cover BB Cream SPF42 PA+++ (Tone 27) [20ml] / тональный ББ крем для лица ,27 тон</t>
  </si>
  <si>
    <t>214313051, 000, 000</t>
  </si>
  <si>
    <t>MISSHA - Super Aqua Ultra Hyalron Peeling Gel [100ml] / Пилинг скатка для лица и кожи</t>
  </si>
  <si>
    <t>Косметика/PETITFEE/PETITFEE - EYE PATCH</t>
  </si>
  <si>
    <t>151175877, 000, 000</t>
  </si>
  <si>
    <t>PETITFEE - Agave Cooling Hydrogel Eye Patch [60ea] / Охлаждающие гидрогелевые патчи для глаз с экстрактом агавы</t>
  </si>
  <si>
    <t>179611278, 000, 000</t>
  </si>
  <si>
    <t>PETITFEE - Artichoke Soothing Hydrogel Eye Patch [60ea] / Смягчающие гидрогелевые патчи для глаз с экстрактом артишока</t>
  </si>
  <si>
    <t>180992464, 000, 000</t>
  </si>
  <si>
    <t>PETITFEE - Aura Quartz Hydrogel Eye Patch [60ea]</t>
  </si>
  <si>
    <t>180988755, 000, 000</t>
  </si>
  <si>
    <t>PETITFEE - Bera Glucan Deep Firming Eye Patch [60ea] / Тканевые патчи для век увлажняющие</t>
  </si>
  <si>
    <t>151175880, 000, 000</t>
  </si>
  <si>
    <t>PETITFEE - Black Pearl &amp; Gold Hydrogel Eye Patch [60ea] / Гидрогелевые патчи для глаз с черным жемчугом и золотом</t>
  </si>
  <si>
    <t>179611304, 000, 000</t>
  </si>
  <si>
    <t>PETITFEE - Cacao Energizing Hydrogel Eye Patch [60ea] / Тонизирующие гидрогелевые патчи для глаз с экстрактом какао</t>
  </si>
  <si>
    <t>179611318, 000, 000</t>
  </si>
  <si>
    <t>PETITFEE - Chamomile Lightening Hydrogel Eye Patch [60ea] / Успокаивающие гидрогелевые патчи для глаз с экстрактом ромашки</t>
  </si>
  <si>
    <t>179611231, 000, 000</t>
  </si>
  <si>
    <t>PETITFEE - Collagen &amp; CoQ10 Hydrogel Eye Patch [60ea] / Гидрогелевые патчи для глаз с коллагеном и коэнзимом Q10</t>
  </si>
  <si>
    <t>180711041, 000, 000</t>
  </si>
  <si>
    <t>PETITFEE - Gold &amp; EGF Hydrogel Eye &amp; Spot Patch [60ea]</t>
  </si>
  <si>
    <t>180711104, 000, 000</t>
  </si>
  <si>
    <t>PETITFEE - Gold Hydrogel Eye Patch [60ea] / гидрогелевые патчи для глаз с золотом</t>
  </si>
  <si>
    <t>179611207, 000, 000</t>
  </si>
  <si>
    <t>PETITFEE - Gold &amp; Snail Hydrogel Eye Patch [60ea] / Гидрогелевые патчи для глаз с золотом и улиткой</t>
  </si>
  <si>
    <t>180987509, 000, 000</t>
  </si>
  <si>
    <t>PETITFEE - Pink Vita Brightening Eye Patch [60ea] / Тканевые патчи для век увлажняющие</t>
  </si>
  <si>
    <t>41</t>
  </si>
  <si>
    <t>PETITFEE - Black Pearl &amp; Gold Hydrogel Eye Patch [1 pairs]</t>
  </si>
  <si>
    <t>42</t>
  </si>
  <si>
    <t>PETITFEE - Gold Hydrogel Eye Patch [1 Pairs]</t>
  </si>
  <si>
    <t>Косметика/PETITFEE/PETITFEE - FACE MASK</t>
  </si>
  <si>
    <t>000, 1, 000</t>
  </si>
  <si>
    <t>PETITFEE - Agave Cooling Hydrogel Face Mask [5pcs] / Охлаждающая гидрогелевая маска для лица с экстрактом агавы</t>
  </si>
  <si>
    <t>000, 2, 000</t>
  </si>
  <si>
    <t>PETITFEE - Artichoke Soothing Hydrogel Face Mask [5pcs] / Смягчающая гидрогелевая маска для лица с экстрактом артишока</t>
  </si>
  <si>
    <t>000, 3, 000</t>
  </si>
  <si>
    <t>PETITFEE - Black Pearl &amp; Gold Hydrogel Mask Pack [5pcs] / Гидрогелевая маска для лица с черным жемчугом и золотом</t>
  </si>
  <si>
    <t>000, 4, 000</t>
  </si>
  <si>
    <t>PETITFEE - Cacao Energizing Hydrogel Mask Pack [5pcs] / Тонизирующая гидрогелевая маска для лица с экстрактом какао</t>
  </si>
  <si>
    <t>000, 5, 000</t>
  </si>
  <si>
    <t>PETITFEE - Chamomile Lightening Hydrogel Mask Pack [5pcs] / Успокаивающая гидрогелевая маска для лица с экстрактом ромашки</t>
  </si>
  <si>
    <t>000, 6, 000</t>
  </si>
  <si>
    <t>PETITFEE - Gold Hydrogel Mask Pack [5pcs] / Гидрогелевая маска для лица с золотом</t>
  </si>
  <si>
    <t>000, 7, 000</t>
  </si>
  <si>
    <t>PETITFEE - Gold &amp; Snail Hydrogel Mask Pack [5pcs] / Гидрогелевая маска для лица с золотом и экстрактом улитки</t>
  </si>
  <si>
    <t>PETITFEE - FACE MASK (набор ассорти 7 видов по 1 шт)</t>
  </si>
  <si>
    <t>Косметика/ROUND LAB</t>
  </si>
  <si>
    <t>ROUND LAB 1025 DOKDO CLEANSER_150ml [150ml]</t>
  </si>
  <si>
    <t>ROUND LAB BIRCH JUICE MOISTURIZING CREAM_80ml [80ml]</t>
  </si>
  <si>
    <t>ROUND LAB BIRCH JUICE MOISTURIZING CLEANSER_150ml [150ml]</t>
  </si>
  <si>
    <t>ROUND LAB BIRCH JUICE MOISTURIZING SUNSCREEN_50ml [50ml]</t>
  </si>
  <si>
    <t>ROUND LAB MUGWORT CALMING TONER_300ml [300ml]</t>
  </si>
  <si>
    <t>ROUND LAB MUGWORT CALMING CLEANSER_150ml [150ml]</t>
  </si>
  <si>
    <t>ROUND LAB MUGWORT CALMING SOOTHING GEL_150ml [150ml]</t>
  </si>
  <si>
    <t>ROUND LAB SOYBEAN PANTHENOL CREAM_80ml [80ml]</t>
  </si>
  <si>
    <t>ROUND LAB PINE CALMING CICA AMPOULE_30ml [30ml]</t>
  </si>
  <si>
    <t>ROUND LAB VITA NIACINAMIDE DARK SPOT SERUM 30ml [30ml]</t>
  </si>
  <si>
    <t>ROUND LAB VITA NIACINAMIDE DARK SPOT CREAM 50ml [50ml]</t>
  </si>
  <si>
    <t>ROUND LAB 1025 DOKDO TONER_200ml</t>
  </si>
  <si>
    <t>ROUND LAB SOYBEAN CLEANSING OIL_200ml [200ml]</t>
  </si>
  <si>
    <t>Косметика/SKIN1004</t>
  </si>
  <si>
    <t>214312259, 000, 000</t>
  </si>
  <si>
    <t>SKIN1004 - Zombie Beauty Bloody Peel [30ml] / Кровавый кислотный пилинг  сыворотка для лица</t>
  </si>
  <si>
    <t>214312149, 000, 000</t>
  </si>
  <si>
    <t>SKIN1004 - Madagascar Centella Hyalu-Cica Sleeping Pack [30ml] / Увлажняющая гиалуроновая ночная маска для сухой кожи</t>
  </si>
  <si>
    <t>214311963, 000, 000</t>
  </si>
  <si>
    <t>SKIN1004 - Madagascar Centella Ampoule [30ml] / Сыворотка для лица успокаивающая из экстракта центеллы.</t>
  </si>
  <si>
    <t>214312065, 000, 000</t>
  </si>
  <si>
    <t>SKIN1004 - Madagascar Centella Ampoule Foam [125ml] / Пенка для умывания лица с центеллой азиатской</t>
  </si>
  <si>
    <t>214312110, 000, 000</t>
  </si>
  <si>
    <t>SKIN1004 - Madagascar Centella Hyalu-Cica Sleeping Pack [100ml] / Увлажняющая гиалуроновая ночная маска для сухой кожи</t>
  </si>
  <si>
    <t>214319164, 000, 000</t>
  </si>
  <si>
    <t>SKIN1004 - Madagascar Centella Travel Kit / Дорожный набор</t>
  </si>
  <si>
    <t>Косметика/SOME BY MI</t>
  </si>
  <si>
    <t>000, 0, 000</t>
  </si>
  <si>
    <t>SOME BY MI - AHA-BHA-PHA 30 Days Miracle Acne Clear Body Cleanser [400g]</t>
  </si>
  <si>
    <t>000, 00, 000</t>
  </si>
  <si>
    <t>SOME BY MI - AHA-BHA-PHA 30 Days Miracle Acne Clear Foam [100ml]</t>
  </si>
  <si>
    <t>000, 000, 000</t>
  </si>
  <si>
    <t>SOME BY MI - AHA-BHA-PHA 30 Days Miracle Cleansing Bar [106g]</t>
  </si>
  <si>
    <t>000, 000, 00</t>
  </si>
  <si>
    <t>SOME BY MI - AHA-BHA-PHA 30 Days Miracle Cream [60g]</t>
  </si>
  <si>
    <t>000, 0, 00</t>
  </si>
  <si>
    <t>SOME BY MI - AHA-BHA-PHA 30 Days Miracle Serum [50ml]</t>
  </si>
  <si>
    <t>000, 000, 0</t>
  </si>
  <si>
    <t>SOME BY MI - AHA-BHA-PHA 30 Days Miracle Toner [150ml]</t>
  </si>
  <si>
    <t>000, 0, 0</t>
  </si>
  <si>
    <t>SOME BY MI - Clear Spot Patch [18pcs]</t>
  </si>
  <si>
    <t>000, 00, 00</t>
  </si>
  <si>
    <t>SOME BY MI - Super Matcha Pore Clean Clay Mask [100g]</t>
  </si>
  <si>
    <t>Косметика/The Ordinary</t>
  </si>
  <si>
    <t>214312385, 000, 000</t>
  </si>
  <si>
    <t>THE ORDINARY - Argireline Solution 10% [30ml] / Сыворотка для лица от прыщей и акне с ниацинамидом 10 %</t>
  </si>
  <si>
    <t>214312426, 000, 000</t>
  </si>
  <si>
    <t>THE ORDINARY - Glycolic Acid 7% Toning Solution [KOR] [240ml] / Тоник с гликолевой кислотой 7%</t>
  </si>
  <si>
    <t>Косметика/THE SAEM</t>
  </si>
  <si>
    <t>212886638, 000, 000</t>
  </si>
  <si>
    <t>THE SAEM - Calamanse Pore Cool Down Cream [100ml] / Охлаждающий крем для сужения пор</t>
  </si>
  <si>
    <t>214312703, 000, 000</t>
  </si>
  <si>
    <t>THE SAEM - Care Plus Baobab Collagen Cream [100ml] / крем для лица с экстрактом баобаба</t>
  </si>
  <si>
    <t>214312772, 000, 000</t>
  </si>
  <si>
    <t>THE SAEM - Cell Renew Bio Micro Peel Soft Gel [160ml] / Пилинг скатка для лица</t>
  </si>
  <si>
    <t>212889023, 000, 000</t>
  </si>
  <si>
    <t>THE SAEM - Cover Perfection Tip Concealer 01 Clear Beige [6.5g] / Консилер для лица 01</t>
  </si>
  <si>
    <t>212889026, 000, 000</t>
  </si>
  <si>
    <t>THE SAEM - Cover Perfection Tip Concealer 1.5 Clear Beige [6.5g] / Консилер для лица 1.5</t>
  </si>
  <si>
    <t>212889024, 000, 000</t>
  </si>
  <si>
    <t>THE SAEM - Cover Perfection Tip Concealer 1.75 Clear Beige [6.5g] / Консилер для лица 1.75</t>
  </si>
  <si>
    <t>212887146, 000, 000</t>
  </si>
  <si>
    <t>THE SAEM - Healing Tea Garden White Tea Cleansing Foam [150ml] / Пенка для умывания с белым чаем</t>
  </si>
  <si>
    <t>207484812, 000, 000</t>
  </si>
  <si>
    <t>THE SAEM - Natural Daily Avocado Body Cream [300ml] / Питательный крем для тела с экстрактом авокадо</t>
  </si>
  <si>
    <t>214312837, 000, 000</t>
  </si>
  <si>
    <t>THE SAEM Saemmul Perfect Curling Mascara [8ml] / Тушь для ресниц с эффектом подкручивания</t>
  </si>
  <si>
    <t>212890346, 000, 000</t>
  </si>
  <si>
    <t>THE SAEM - Saemmul Perfect Pore Pact [12g] / Пудра Компактная для лица (голубая)</t>
  </si>
  <si>
    <t>212890347, 000, 000</t>
  </si>
  <si>
    <t>THE SAEM - Saemmul Perfect Pore Pink Pact [11g] / Пудра Компактная для лица (розовая)</t>
  </si>
  <si>
    <t>212887000, 000, 000</t>
  </si>
  <si>
    <t>THE SAEM - Snail Soothing Gel [300ml] / Гель для лица с экстрактом улиточного муцина</t>
  </si>
  <si>
    <t>Косметика/TIAM</t>
  </si>
  <si>
    <t>180596737, 000, 000</t>
  </si>
  <si>
    <t>TIAM - Vita B3 Source / Осветляющая сыворотка для лица</t>
  </si>
  <si>
    <t>CELIMAX THE VITA-A RETINAL SHOT TIGHTENING BOOSTER [15ml]</t>
  </si>
  <si>
    <t>CELIMAX DUAL BARRIER SKIN WEARABLE CREAM [50ml]</t>
  </si>
  <si>
    <t>CELIMAX PORE+DARK SPOT BRIGHTENING CREAM [35ml]</t>
  </si>
  <si>
    <t>CELIMAX THE VITA-A RETINOL SHOT TIGHTENING SERUM [30ml]</t>
  </si>
  <si>
    <t>CELIMAX THE REAL NONI ENERGY AMPOULE_30ML (NEW) [30ml]</t>
  </si>
  <si>
    <t>CELIMAX PORE+DARK SPOT BRIGHTENING SERUM_30ml [30ml]</t>
  </si>
  <si>
    <t>CELIMAX PORE+DARK SPOT BRIGHTENING SERUM_10ml [10ml]</t>
  </si>
  <si>
    <t>CELIMAX THE REAL NONI MOISTURE BALANCING TONER (NEW) [150ml]</t>
  </si>
  <si>
    <t>CELIMAX DUAL BARRIER CREAMY TONER [150ml]</t>
  </si>
  <si>
    <t>CELIMAX JI WOO GAE CICA BHA BLEMISH TONER PAD_10EA [30ml]</t>
  </si>
  <si>
    <t>CELIMAX PORE+DARK SPOT BRIGHTENING PAD [100ml / 40pads]</t>
  </si>
  <si>
    <t>CELIMAX JI WOO GAE CICA BHA BLEMISH TONER PAD [170ml / 60pads]</t>
  </si>
  <si>
    <t>CELIMAX THE REAL NONI STARTER KIT (NEW) [30ml+10ml+10ml]</t>
  </si>
  <si>
    <t>CELIMAX DUAL BARRIER TRIAL KIT [20ml+10ml]</t>
  </si>
  <si>
    <t>23.03.2026-26.04.2026</t>
  </si>
  <si>
    <t>01.06.2026-30.06.2026</t>
  </si>
  <si>
    <t>Себ-ть</t>
  </si>
  <si>
    <t>Себ-ть +9% (курс 1 дол=85 р)</t>
  </si>
  <si>
    <t xml:space="preserve">Себ-ть +6% 31.03.26 г </t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</si>
  <si>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 без СПП</t>
    </r>
  </si>
  <si>
    <r>
      <rPr>
        <rFont val="Calibri"/>
        <sz val="9.0"/>
      </rPr>
      <t xml:space="preserve">Комиссия </t>
    </r>
    <r>
      <rPr>
        <rFont val="Calibri"/>
        <b/>
        <sz val="12.0"/>
      </rPr>
      <t>WB 27,5%</t>
    </r>
  </si>
  <si>
    <r>
      <rPr>
        <rFont val="Calibri"/>
        <sz val="9.0"/>
      </rPr>
      <t xml:space="preserve">Эквайринг </t>
    </r>
    <r>
      <rPr>
        <rFont val="Calibri"/>
        <b/>
        <sz val="12.0"/>
      </rPr>
      <t>2,17%</t>
    </r>
  </si>
  <si>
    <r>
      <rPr>
        <rFont val="Calibri"/>
        <b/>
        <sz val="9.0"/>
      </rPr>
      <t>Рекламные</t>
    </r>
    <r>
      <rPr>
        <rFont val="Calibri"/>
        <sz val="9.0"/>
      </rPr>
      <t xml:space="preserve"> расходы от продажи</t>
    </r>
  </si>
  <si>
    <t xml:space="preserve">ДРР план </t>
  </si>
  <si>
    <t xml:space="preserve">продажи по плану , шт </t>
  </si>
  <si>
    <t xml:space="preserve">Итого руб.,прибыль по плану по юнитке </t>
  </si>
  <si>
    <t>продажи шт  по ракете 23.03.26-26.04.26</t>
  </si>
  <si>
    <t>ДРР % с 23.03.26-26.04.26</t>
  </si>
  <si>
    <t>Маржа руб. ракета 23.03.26-26.04.26</t>
  </si>
  <si>
    <t xml:space="preserve">Итого руб. маржа по ракете </t>
  </si>
  <si>
    <t>ROI % ракета 23.03.26-26.04.26</t>
  </si>
  <si>
    <t xml:space="preserve">продажи по плану  , шт </t>
  </si>
  <si>
    <t xml:space="preserve">продажи шт  по ракете </t>
  </si>
  <si>
    <t xml:space="preserve">ДРР %  ракета </t>
  </si>
  <si>
    <t xml:space="preserve">ROI % ракета </t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</si>
  <si>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</t>
    </r>
  </si>
  <si>
    <t>6,91 %</t>
  </si>
  <si>
    <t>7,81 %</t>
  </si>
  <si>
    <t>12,7 %</t>
  </si>
  <si>
    <t>11,09 %</t>
  </si>
  <si>
    <t>22,33 %</t>
  </si>
  <si>
    <t>7,86 %</t>
  </si>
  <si>
    <t>25,21 %</t>
  </si>
  <si>
    <t>8,01 %</t>
  </si>
  <si>
    <t>11,39 %</t>
  </si>
  <si>
    <t>12,59 %</t>
  </si>
  <si>
    <t>8,89 %</t>
  </si>
  <si>
    <t>5,86 %</t>
  </si>
  <si>
    <t>20,73 %</t>
  </si>
  <si>
    <t>9,94 %</t>
  </si>
  <si>
    <t xml:space="preserve">Итого </t>
  </si>
  <si>
    <t xml:space="preserve">% СПП по категории </t>
  </si>
  <si>
    <t>Курс Юань</t>
  </si>
  <si>
    <t>текущий +10%</t>
  </si>
  <si>
    <t>КИТАЙ</t>
  </si>
  <si>
    <t>КУРС Юань / руб + 10%</t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</si>
  <si>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 без СПП</t>
    </r>
  </si>
  <si>
    <r>
      <rPr>
        <rFont val="Calibri"/>
        <sz val="9.0"/>
      </rPr>
      <t xml:space="preserve">Комиссия </t>
    </r>
    <r>
      <rPr>
        <rFont val="Calibri"/>
        <b/>
        <sz val="12.0"/>
      </rPr>
      <t>WB - %</t>
    </r>
  </si>
  <si>
    <r>
      <rPr>
        <rFont val="Calibri"/>
        <sz val="9.0"/>
      </rPr>
      <t xml:space="preserve">Комиссия </t>
    </r>
    <r>
      <rPr>
        <rFont val="Calibri"/>
        <b/>
        <sz val="12.0"/>
      </rPr>
      <t>WB - сумма</t>
    </r>
  </si>
  <si>
    <r>
      <rPr>
        <rFont val="Calibri"/>
        <sz val="9.0"/>
      </rPr>
      <t xml:space="preserve">Эквайринг </t>
    </r>
    <r>
      <rPr>
        <rFont val="Calibri"/>
        <b/>
        <sz val="12.0"/>
      </rPr>
      <t>2,17%</t>
    </r>
  </si>
  <si>
    <r>
      <rPr>
        <rFont val="Calibri"/>
        <b/>
        <sz val="9.0"/>
      </rPr>
      <t>Рекламные</t>
    </r>
    <r>
      <rPr>
        <rFont val="Calibri"/>
        <sz val="9.0"/>
      </rPr>
      <t xml:space="preserve"> расходы от продажи</t>
    </r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</si>
  <si>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</t>
    </r>
  </si>
  <si>
    <t>Китай/Детская электроника</t>
  </si>
  <si>
    <t>Графический электронный планшет для рисования 10 дюймов</t>
  </si>
  <si>
    <t>Графический электронный планшет для рисования 12 дюймов</t>
  </si>
  <si>
    <t>Графический электронный планшет для рисования 8.5 дюймов</t>
  </si>
  <si>
    <t>Детские камеры (фотоаппарат) голубые</t>
  </si>
  <si>
    <t>Детские камеры (фотоаппарат) розовые</t>
  </si>
  <si>
    <t>Микрофон-колонка беспроводная голубая</t>
  </si>
  <si>
    <t>Микрофон-колонка беспроводная розовая</t>
  </si>
  <si>
    <t>Китай/Массажеры</t>
  </si>
  <si>
    <t>Массажер аппликатор Кузнецова</t>
  </si>
  <si>
    <t>Массажер для спины шеи и плеч</t>
  </si>
  <si>
    <t>Массажер пистолет</t>
  </si>
  <si>
    <t>Массажер электрический коврик</t>
  </si>
  <si>
    <t>Массажер 6в1</t>
  </si>
  <si>
    <t>Китай/Роботы мойщики окон</t>
  </si>
  <si>
    <t>Робот мойщик окон sBot W100</t>
  </si>
  <si>
    <t>Робот мойщик окон sBot W120</t>
  </si>
  <si>
    <t>Робот мойщик окон sBot W200</t>
  </si>
  <si>
    <t>Робот мойщик окон sBot W250</t>
  </si>
  <si>
    <t>Робот мойщик окон sBot w300</t>
  </si>
  <si>
    <t>Робот мойщик окон sBot W400</t>
  </si>
  <si>
    <t>Салфетки из микрофибры для робота мойщика окон - круглые 12шт</t>
  </si>
  <si>
    <t>упак</t>
  </si>
  <si>
    <t>Салфетки из микрофибры для робота мойщика окон</t>
  </si>
  <si>
    <t>Китай/Дед Мороз</t>
  </si>
  <si>
    <t>Дед Мороз №1</t>
  </si>
  <si>
    <t>Дед Мороз №2</t>
  </si>
  <si>
    <t>Дед Мороз №3</t>
  </si>
  <si>
    <t>Дед Мороз №4</t>
  </si>
  <si>
    <t>Дед Мороз №5</t>
  </si>
  <si>
    <t>Дед Мороз №6</t>
  </si>
  <si>
    <t>Дед Мороз №7</t>
  </si>
  <si>
    <t>Дед Мороз №8</t>
  </si>
  <si>
    <t>Дед Мороз №9</t>
  </si>
  <si>
    <t>Дед Мороз №10</t>
  </si>
  <si>
    <t>Дед Мороз №11</t>
  </si>
  <si>
    <t>Дед Мороз №12</t>
  </si>
  <si>
    <t>Дед Мороз №13</t>
  </si>
  <si>
    <t>Дед Мороз №14</t>
  </si>
  <si>
    <t>Дед Мороз №15</t>
  </si>
  <si>
    <t>dm7dm11-45</t>
  </si>
  <si>
    <t>dm7dm11-50</t>
  </si>
  <si>
    <t>dm7dm11-65</t>
  </si>
  <si>
    <t>dm7dm11-85</t>
  </si>
  <si>
    <t>dm7dm3-45</t>
  </si>
  <si>
    <t>dm7dm3-50</t>
  </si>
  <si>
    <t>dm7dm5-45</t>
  </si>
  <si>
    <t>dm7dm5-50</t>
  </si>
  <si>
    <t>СГ-Белая с узорами</t>
  </si>
  <si>
    <t>СГ-Красная</t>
  </si>
  <si>
    <t>Китай/Электроника</t>
  </si>
  <si>
    <t>Видеокамера 4G</t>
  </si>
  <si>
    <t>Видеокамера WiFi</t>
  </si>
  <si>
    <t>Лампа RGB [33 см]</t>
  </si>
  <si>
    <t>Лампа белая [26 см]</t>
  </si>
  <si>
    <t>Рация BF888s (2 шт)</t>
  </si>
  <si>
    <t>Рация UV-82 (1 штука)</t>
  </si>
  <si>
    <t>Скалер для зубов ультразвуковой (ирригатор)</t>
  </si>
  <si>
    <t>Триммер золотой</t>
  </si>
  <si>
    <t>Триммер черный</t>
  </si>
  <si>
    <t>Фен простой</t>
  </si>
  <si>
    <t>Итого:</t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</si>
  <si>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 без СПП</t>
    </r>
  </si>
  <si>
    <t>Кол-во к закупу</t>
  </si>
  <si>
    <t>Налог УСН</t>
  </si>
  <si>
    <r>
      <rPr>
        <rFont val="Calibri"/>
        <sz val="9.0"/>
      </rPr>
      <t xml:space="preserve">Комиссия </t>
    </r>
    <r>
      <rPr>
        <rFont val="Calibri"/>
        <b/>
        <sz val="12.0"/>
      </rPr>
      <t>WB 27,5%</t>
    </r>
  </si>
  <si>
    <r>
      <rPr>
        <rFont val="Calibri"/>
        <sz val="9.0"/>
      </rPr>
      <t xml:space="preserve">Эквайринг </t>
    </r>
    <r>
      <rPr>
        <rFont val="Calibri"/>
        <b/>
        <sz val="12.0"/>
      </rPr>
      <t>2,17%</t>
    </r>
  </si>
  <si>
    <r>
      <rPr>
        <rFont val="Calibri"/>
        <b/>
        <sz val="9.0"/>
      </rPr>
      <t>Рекламные</t>
    </r>
    <r>
      <rPr>
        <rFont val="Calibri"/>
        <sz val="9.0"/>
      </rPr>
      <t xml:space="preserve"> расходы от продажи</t>
    </r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</si>
  <si>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</t>
    </r>
  </si>
  <si>
    <t>Пластыри</t>
  </si>
  <si>
    <t>Пластырь 20 шт (Корея)</t>
  </si>
  <si>
    <t>Пластырь 40 шт (Корея)</t>
  </si>
  <si>
    <t>Пластырь 20 шт (Китай)</t>
  </si>
  <si>
    <t>Пластырь 40 шт (Китай)</t>
  </si>
  <si>
    <t>Пластырь 60 шт (Китай)</t>
  </si>
  <si>
    <t>Патчи от прыщей</t>
  </si>
  <si>
    <t>Патчи от прыщей 144 ши (Китай)</t>
  </si>
  <si>
    <t>Патчи от прыщей с микроиглами 9 шт (Китай)</t>
  </si>
  <si>
    <t>Патчи от прыщей с микроиглами 9 шт (Корея)</t>
  </si>
  <si>
    <t>Патчи от прыщей 88 шт (Корея)</t>
  </si>
  <si>
    <t>Маска для волос (стики)</t>
  </si>
  <si>
    <t>Маска для волос 10 шт (Корея)</t>
  </si>
  <si>
    <t>https://www.wildberries.ru/catalog/232182330/detail.aspx</t>
  </si>
  <si>
    <t>Зубная паста</t>
  </si>
  <si>
    <t>Зубная паста 200 гр тюбик (Корея)</t>
  </si>
  <si>
    <t>Зубная паста 285 гр дозатор (Корея)</t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</si>
  <si>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 без СПП</t>
    </r>
  </si>
  <si>
    <r>
      <rPr>
        <rFont val="Calibri"/>
        <sz val="9.0"/>
      </rPr>
      <t xml:space="preserve">Комиссия </t>
    </r>
    <r>
      <rPr>
        <rFont val="Calibri"/>
        <b/>
        <sz val="12.0"/>
      </rPr>
      <t>WB 27,5%</t>
    </r>
  </si>
  <si>
    <r>
      <rPr>
        <rFont val="Calibri"/>
        <sz val="9.0"/>
      </rPr>
      <t xml:space="preserve">Эквайринг </t>
    </r>
    <r>
      <rPr>
        <rFont val="Calibri"/>
        <b/>
        <sz val="12.0"/>
      </rPr>
      <t>2,17%</t>
    </r>
  </si>
  <si>
    <r>
      <rPr>
        <rFont val="Calibri"/>
        <b/>
        <sz val="9.0"/>
      </rPr>
      <t>Рекламные</t>
    </r>
    <r>
      <rPr>
        <rFont val="Calibri"/>
        <sz val="9.0"/>
      </rPr>
      <t xml:space="preserve"> расходы от продажи</t>
    </r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</si>
  <si>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</t>
    </r>
  </si>
  <si>
    <t>DEOPROCE SHAMPOO - BLACK GARLIC INTENSME ENERGY [1000ml] / Шампунь с черным чесноком  против выпадения волос</t>
  </si>
  <si>
    <t>THE SAEM - Cover Perfection Tip Concealer 02 Clear Beige [6.5g] / Консилер для лица 02</t>
  </si>
  <si>
    <t>THE SAEM - Cover Perfection Tip Concealer 0.5 Clear Beige [6.5g] / Консилер для лица 0.5</t>
  </si>
  <si>
    <t>THE SAEM - Cover Perfection Tip Concealer 1.25 Clear Beige [6.5g] / Консилер для лица 1.25</t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</si>
  <si>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 без СПП</t>
    </r>
  </si>
  <si>
    <r>
      <rPr>
        <rFont val="Calibri"/>
        <sz val="9.0"/>
      </rPr>
      <t xml:space="preserve">Комиссия </t>
    </r>
    <r>
      <rPr>
        <rFont val="Calibri"/>
        <b/>
        <sz val="12.0"/>
      </rPr>
      <t>WB 27,5%</t>
    </r>
  </si>
  <si>
    <r>
      <rPr>
        <rFont val="Calibri"/>
        <sz val="9.0"/>
      </rPr>
      <t xml:space="preserve">Эквайринг </t>
    </r>
    <r>
      <rPr>
        <rFont val="Calibri"/>
        <b/>
        <sz val="12.0"/>
      </rPr>
      <t>2,17%</t>
    </r>
  </si>
  <si>
    <r>
      <rPr>
        <rFont val="Calibri"/>
        <b/>
        <sz val="9.0"/>
      </rPr>
      <t>Рекламные</t>
    </r>
    <r>
      <rPr>
        <rFont val="Calibri"/>
        <sz val="9.0"/>
      </rPr>
      <t xml:space="preserve"> расходы от продажи</t>
    </r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</si>
  <si>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</t>
    </r>
  </si>
  <si>
    <t>MASIL 9 PROTEIN PERFUME SILK BALM180ML(SWEET LOVE)</t>
  </si>
  <si>
    <t>MASIL 8 SECONDS SALON HAIR MASK 100ML</t>
  </si>
  <si>
    <t>MASIL 10 PREMIUM REPAIR HAIR MASK12ml*10</t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</si>
  <si>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 без СПП</t>
    </r>
  </si>
  <si>
    <r>
      <rPr>
        <rFont val="Calibri"/>
        <sz val="9.0"/>
      </rPr>
      <t xml:space="preserve">Комиссия </t>
    </r>
    <r>
      <rPr>
        <rFont val="Calibri"/>
        <b/>
        <sz val="12.0"/>
      </rPr>
      <t>WB 27,5%</t>
    </r>
  </si>
  <si>
    <r>
      <rPr>
        <rFont val="Calibri"/>
        <sz val="9.0"/>
      </rPr>
      <t xml:space="preserve">Эквайринг </t>
    </r>
    <r>
      <rPr>
        <rFont val="Calibri"/>
        <b/>
        <sz val="12.0"/>
      </rPr>
      <t>2,17%</t>
    </r>
  </si>
  <si>
    <r>
      <rPr>
        <rFont val="Calibri"/>
        <b/>
        <sz val="9.0"/>
      </rPr>
      <t>Рекламные</t>
    </r>
    <r>
      <rPr>
        <rFont val="Calibri"/>
        <sz val="9.0"/>
      </rPr>
      <t xml:space="preserve"> расходы от продажи</t>
    </r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</si>
  <si>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</t>
    </r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</si>
  <si>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 без СПП</t>
    </r>
  </si>
  <si>
    <r>
      <rPr>
        <rFont val="Calibri"/>
        <sz val="9.0"/>
      </rPr>
      <t xml:space="preserve">Комиссия </t>
    </r>
    <r>
      <rPr>
        <rFont val="Calibri"/>
        <b/>
        <sz val="12.0"/>
      </rPr>
      <t>WB 27,5%</t>
    </r>
  </si>
  <si>
    <r>
      <rPr>
        <rFont val="Calibri"/>
        <sz val="9.0"/>
      </rPr>
      <t xml:space="preserve">Эквайринг </t>
    </r>
    <r>
      <rPr>
        <rFont val="Calibri"/>
        <b/>
        <sz val="12.0"/>
      </rPr>
      <t>2,17%</t>
    </r>
  </si>
  <si>
    <r>
      <rPr>
        <rFont val="Calibri"/>
        <b/>
        <sz val="9.0"/>
      </rPr>
      <t>Рекламные</t>
    </r>
    <r>
      <rPr>
        <rFont val="Calibri"/>
        <sz val="9.0"/>
      </rPr>
      <t xml:space="preserve"> расходы от продажи</t>
    </r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</si>
  <si>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</t>
    </r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</si>
  <si>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 без СПП</t>
    </r>
  </si>
  <si>
    <r>
      <rPr>
        <rFont val="Calibri"/>
        <sz val="9.0"/>
      </rPr>
      <t xml:space="preserve">Комиссия </t>
    </r>
    <r>
      <rPr>
        <rFont val="Calibri"/>
        <b/>
        <sz val="12.0"/>
      </rPr>
      <t>WB 27,5%</t>
    </r>
  </si>
  <si>
    <r>
      <rPr>
        <rFont val="Calibri"/>
        <sz val="9.0"/>
      </rPr>
      <t xml:space="preserve">Эквайринг </t>
    </r>
    <r>
      <rPr>
        <rFont val="Calibri"/>
        <b/>
        <sz val="12.0"/>
      </rPr>
      <t>2,17%</t>
    </r>
  </si>
  <si>
    <r>
      <rPr>
        <rFont val="Calibri"/>
        <b/>
        <sz val="9.0"/>
      </rPr>
      <t>Рекламные</t>
    </r>
    <r>
      <rPr>
        <rFont val="Calibri"/>
        <sz val="9.0"/>
      </rPr>
      <t xml:space="preserve"> расходы от продажи</t>
    </r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</si>
  <si>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</t>
    </r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</si>
  <si>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 без СПП</t>
    </r>
  </si>
  <si>
    <r>
      <rPr>
        <rFont val="Calibri"/>
        <sz val="9.0"/>
      </rPr>
      <t xml:space="preserve">Комиссия </t>
    </r>
    <r>
      <rPr>
        <rFont val="Calibri"/>
        <b/>
        <sz val="12.0"/>
      </rPr>
      <t>WB 32,5%</t>
    </r>
  </si>
  <si>
    <r>
      <rPr>
        <rFont val="Calibri"/>
        <sz val="9.0"/>
      </rPr>
      <t xml:space="preserve">Эквайринг </t>
    </r>
    <r>
      <rPr>
        <rFont val="Calibri"/>
        <b/>
        <sz val="12.0"/>
      </rPr>
      <t>2,17%</t>
    </r>
  </si>
  <si>
    <r>
      <rPr>
        <rFont val="Calibri"/>
        <b/>
        <sz val="9.0"/>
      </rPr>
      <t>Рекламные</t>
    </r>
    <r>
      <rPr>
        <rFont val="Calibri"/>
        <sz val="9.0"/>
      </rPr>
      <t xml:space="preserve"> расходы от продажи</t>
    </r>
  </si>
  <si>
    <r>
      <rPr>
        <rFont val="Arial"/>
        <b/>
        <sz val="14.0"/>
      </rPr>
      <t>РРЦ</t>
    </r>
    <r>
      <rPr>
        <rFont val="Arial"/>
        <b/>
        <sz val="10.0"/>
      </rPr>
      <t xml:space="preserve"> плановая</t>
    </r>
  </si>
  <si>
    <t>Крем-бустер для лица с ретинолом и микроиглами</t>
  </si>
  <si>
    <t>Крем для лица для восстановления защитного барьера</t>
  </si>
  <si>
    <t>Отбеливающий крем для выравнивания тона и микрорельефа</t>
  </si>
  <si>
    <t>Сыворотка для лица с ретинолом и микроиглами</t>
  </si>
  <si>
    <t>Сыворотка для лица с экстрактом нони</t>
  </si>
  <si>
    <t>Сыворотка для лица осветляющая</t>
  </si>
  <si>
    <t>Кремовый тонер увлажняющий</t>
  </si>
  <si>
    <t>Тонер для лица увлажняющий с экстрактом нони</t>
  </si>
  <si>
    <t>Тонер пэды для лица осветляющие</t>
  </si>
  <si>
    <t>Пэды успокаивающие с кислотами Ji Woo Gae Cica</t>
  </si>
  <si>
    <t>Тонер пэды для лица тонизирующие Ji Woo Gae Heartleaf</t>
  </si>
  <si>
    <t>Увлажняющий набор уходовых средств для лица</t>
  </si>
  <si>
    <t>Набор уходовых средств для лица для защиты барьера</t>
  </si>
  <si>
    <t>Пенка для умывания</t>
  </si>
  <si>
    <t>Гидрофильное масло</t>
  </si>
  <si>
    <t>Артикул</t>
  </si>
  <si>
    <t>Артикул наш</t>
  </si>
  <si>
    <t>Название</t>
  </si>
  <si>
    <t>Бренд</t>
  </si>
  <si>
    <t>Наш РРЦ</t>
  </si>
  <si>
    <t>Конкурент 1</t>
  </si>
  <si>
    <t>Цена</t>
  </si>
  <si>
    <t>Конкурент 2</t>
  </si>
  <si>
    <t>Конкурент 3</t>
  </si>
  <si>
    <t>План июнь</t>
  </si>
  <si>
    <t>EKEL Ampule Сream Сollagen [70ml]</t>
  </si>
  <si>
    <t>Увлажняющий крем для лица с коллагеном ампульный</t>
  </si>
  <si>
    <t>EKEL</t>
  </si>
  <si>
    <t>https://www.wildberries.ru/catalog/251126478/detail.aspx?targetUrl=SG</t>
  </si>
  <si>
    <t>EKEL Ampoule Toner Collagen 150ml</t>
  </si>
  <si>
    <t>Увлажняющий тоник для лица с коллагеном ампульный</t>
  </si>
  <si>
    <t>https://www.wildberries.ru/catalog/12396126/detail.aspx</t>
  </si>
  <si>
    <t>https://www.wildberries.ru/catalog/173618124/detail.aspx</t>
  </si>
  <si>
    <t>EKEL Ampoule Cream Collagen [50ml]</t>
  </si>
  <si>
    <t>Ампульный крем для лица с коллагеном</t>
  </si>
  <si>
    <t>https://www.wildberries.ru/catalog/12396128/detail.aspx</t>
  </si>
  <si>
    <t>ENOUGH - Collagen Moisture Essential Cream [50ml] N</t>
  </si>
  <si>
    <t>Увлажняющий крем для лица Корея Collagen</t>
  </si>
  <si>
    <t>ENOUGH</t>
  </si>
  <si>
    <t>https://www.wildberries.ru/catalog/33641488/detail.aspx?targetUrl=SG</t>
  </si>
  <si>
    <t>https://www.wildberries.ru/catalog/223008030/detail.aspx?targetUrl=SG</t>
  </si>
  <si>
    <t>Enough Collagen Whitening Moisture Cream 3in1 50 N</t>
  </si>
  <si>
    <t>Корейский крем для лица отбеливающий 3в1 коллаген</t>
  </si>
  <si>
    <t>https://www.wildberries.ru/catalog/133743724/detail.aspx?targetUrl=SG</t>
  </si>
  <si>
    <t>ENOUGH - Collagen 3in1 Sun Cream SPF50 PA++ [50ml] N</t>
  </si>
  <si>
    <t>Солнцезащитный крем СПФ 50 для лица и тела</t>
  </si>
  <si>
    <t>https://www.wildberries.ru/catalog/204934863/detail.aspx?targetUrl=SG</t>
  </si>
  <si>
    <t>https://www.wildberries.ru/catalog/44707835/detail.aspx?targetUrl=SG</t>
  </si>
  <si>
    <t>https://www.wildberries.ru/catalog/245741240/detail.aspx?targetUrl=SG</t>
  </si>
  <si>
    <t>ENOUGH COLLAGEN 3IN1 13</t>
  </si>
  <si>
    <t>Отбеливающий тональный крем для лица 3в1 тон 13</t>
  </si>
  <si>
    <t>https://www.wildberries.ru/catalog/19132601/detail.aspx?targetUrl=SG</t>
  </si>
  <si>
    <t>ENOUGH COLLAGEN 3IN1 21</t>
  </si>
  <si>
    <t>Отбеливающий тональный крем для лица 3в1 тон 21</t>
  </si>
  <si>
    <t>https://www.wildberries.ru/catalog/200642536/detail.aspx?targetUrl=SG</t>
  </si>
  <si>
    <t>https://www.wildberries.ru/catalog/15681869/detail.aspx?targetUrl=SG</t>
  </si>
  <si>
    <t>Collagen_Enough_Moisture_Foundation_21</t>
  </si>
  <si>
    <t>Увлажняющий тональный крем для лица тон 21</t>
  </si>
  <si>
    <t>https://www.wildberries.ru/catalog/148112844/detail.aspx?targetUrl=SG</t>
  </si>
  <si>
    <t>https://www.wildberries.ru/catalog/16673649/detail.aspx?targetUrl=SG</t>
  </si>
  <si>
    <t>ENOUGH - Gold Snail Moisture Foundation [Tone 13]</t>
  </si>
  <si>
    <t>Тональный крем для лица матовый увлажняющий с муцином</t>
  </si>
  <si>
    <t>https://www.wildberries.ru/catalog/18890138/detail.aspx?targetUrl=SG</t>
  </si>
  <si>
    <t>ENOUGH - Gold Snail Moisture Foundation [Tone 21]</t>
  </si>
  <si>
    <t>https://www.wildberries.ru/catalog/18890139/detail.aspx?targetUrl=SG</t>
  </si>
  <si>
    <t>https://www.wildberries.ru/catalog/191662221/detail.aspx?targetUrl=SG</t>
  </si>
  <si>
    <t>Enough 8 Peptide Full Cover Perfect Foundation 21 тон</t>
  </si>
  <si>
    <t>Корейский тональный крем с пептидами 21 тон</t>
  </si>
  <si>
    <t>https://www.wildberries.ru/catalog/264257257/detail.aspx?targetUrl=SG</t>
  </si>
  <si>
    <t>https://www.wildberries.ru/catalog/26203745/detail.aspx?targetUrl=SG</t>
  </si>
  <si>
    <t>Enough Rich Gold Double Wea Radiance Foundation 13 тон</t>
  </si>
  <si>
    <t>Тональный крем для лица матовый увлажняющий тоналка</t>
  </si>
  <si>
    <t>https://www.wildberries.ru/catalog/172244515/detail.aspx?targetUrl=SG</t>
  </si>
  <si>
    <t>https://www.wildberries.ru/catalog/31144352/detail.aspx?targetUrl=SG</t>
  </si>
  <si>
    <t>Enough Collagen Foundation Cover Up Ultra X10 13 тон</t>
  </si>
  <si>
    <t>Тональный крем для лица увлажняющий матовый коллаген</t>
  </si>
  <si>
    <t>https://www.wildberries.ru/catalog/19645277/detail.aspx?targetUrl=SG</t>
  </si>
  <si>
    <t>https://www.wildberries.ru/catalog/264257923/detail.aspx?targetUrl=SG</t>
  </si>
  <si>
    <t>FARMSTAY COLLAGEN&amp;HYALURONIC ACID ALL-IN ONE AMPOULE</t>
  </si>
  <si>
    <t>Сыворотка для лица увлажняющая 3в1 с коллагеном</t>
  </si>
  <si>
    <t>FARMSTAY</t>
  </si>
  <si>
    <t>FARMSTAY ESCARGOT NOBLESSE INTENSIVE CREAM</t>
  </si>
  <si>
    <t>Антивозрастной крем для лица от морщин</t>
  </si>
  <si>
    <t>FARMSTAY ESCARGOT NOBLESSE INTENSIVE AMPOULE</t>
  </si>
  <si>
    <t>Сыворотка для лица увлажняющая c муцыном улитки</t>
  </si>
  <si>
    <t>FARMSTAY - Gold Snail Premium Cream [50ml]</t>
  </si>
  <si>
    <t>Корейский крем для лица антивозрастной премиум</t>
  </si>
  <si>
    <t>FARMSTAY - Black Garlic Nourishing Shampoo [530ml]</t>
  </si>
  <si>
    <t>Корейский шампунь против выпадения волос</t>
  </si>
  <si>
    <t>FARMSTAY - Collagen Water Full Moist Rolling Eye Serum [25ml]</t>
  </si>
  <si>
    <t>Сыворотка роллер для глаз увлажняющая</t>
  </si>
  <si>
    <t>FARMSTAY - Collagen Pure Cleansing Foam [180ml]</t>
  </si>
  <si>
    <t>Корейская пенка для умывания лица увлажняющая</t>
  </si>
  <si>
    <t>JIGOTT - Snail Lifting Cream [70ml]</t>
  </si>
  <si>
    <t>Крем для лица антивозрастной Snail Lifting Cream</t>
  </si>
  <si>
    <t>JIGOTT</t>
  </si>
  <si>
    <t>https://www.wildberries.ru/catalog/24764472/detail.aspx?targetUrl=SG</t>
  </si>
  <si>
    <t>https://www.wildberries.ru/catalog/60372745/detail.aspx?targetUrl=SG</t>
  </si>
  <si>
    <t>JIGOTT - Birds Nest Firming Cream [70ml]</t>
  </si>
  <si>
    <t>Корейский крем для лица антивозрастной от морщин</t>
  </si>
  <si>
    <t>https://www.wildberries.ru/catalog/60372743/detail.aspx</t>
  </si>
  <si>
    <t>JIGOTT - Snail Reparing Cream [100ml]</t>
  </si>
  <si>
    <t>Восстанавливающий крем для лица антивозрастной</t>
  </si>
  <si>
    <t>https://www.wildberries.ru/catalog/43892760/detail.aspx</t>
  </si>
  <si>
    <t>https://www.wildberries.ru/catalog/27883160/detail.aspx?targetUrl=SG</t>
  </si>
  <si>
    <t>JIGOTT - MASK 15</t>
  </si>
  <si>
    <t>Увлажняющие тканевые маски для лица Корея 15 штук</t>
  </si>
  <si>
    <t>https://www.wildberries.ru/catalog/162979803/detail.aspx</t>
  </si>
  <si>
    <t>JIGOTT - Aura Secret Hyaluronec Acid Toner [300ml]</t>
  </si>
  <si>
    <t>Увлажняюший тонер для лица с гиалуроновой кислотой</t>
  </si>
  <si>
    <t>https://www.wildberries.ru/catalog/163543210/detail.aspx</t>
  </si>
  <si>
    <t>https://www.wildberries.ru/catalog/215178038/detail.aspx</t>
  </si>
  <si>
    <t>https://www.wildberries.ru/catalog/302159505/detail.aspx</t>
  </si>
  <si>
    <t>JIGOTT - Moisture Real Aloe Vera Toner [300ml]</t>
  </si>
  <si>
    <t>Корейский успокаивающий тонер с алоэ</t>
  </si>
  <si>
    <t>https://www.wildberries.ru/catalog/187665770/detail.aspx</t>
  </si>
  <si>
    <t>https://www.wildberries.ru/catalog/147462289/detail.aspx</t>
  </si>
  <si>
    <t>JIGOTT - Ultimate Real Collagen Toner [300ml]</t>
  </si>
  <si>
    <t>Корейский тонер для лица антивозрастной</t>
  </si>
  <si>
    <t>https://www.wildberries.ru/catalog/142669118/detail.aspx</t>
  </si>
  <si>
    <t>https://www.wildberries.ru/catalog/222195352/detail.aspx</t>
  </si>
  <si>
    <t>LEBELAGE - Dr. Peptide Derma Eye Cream [40ml]</t>
  </si>
  <si>
    <t>Увлажняющий крем для кожи вокруг глаз</t>
  </si>
  <si>
    <t>LEBELAGE</t>
  </si>
  <si>
    <t>https://www.wildberries.ru/catalog/59443829/detail.aspx</t>
  </si>
  <si>
    <t>https://www.wildberries.ru/catalog/59321107/detail.aspx?targetUrl=SG</t>
  </si>
  <si>
    <t>LEBELAGE - Dr. Hyaluronic Derma Eye Cream [40ml]</t>
  </si>
  <si>
    <t>https://www.wildberries.ru/catalog/59328846/detail.aspx?targetUrl=SG</t>
  </si>
  <si>
    <t>LEBELAGE - Dr. Snail Derma Eye Cream [40ml]</t>
  </si>
  <si>
    <t>https://www.wildberries.ru/catalog/59315675/detail.aspx?targetUrl=SG</t>
  </si>
  <si>
    <t>https://www.wildberries.ru/catalog/59443867/detail.aspx?targetUrl=EX</t>
  </si>
  <si>
    <t>JMSOLUTION - Prime Gold Eye Patch [60ea]</t>
  </si>
  <si>
    <t>Гидрогелевые патчи под глаза с золотом</t>
  </si>
  <si>
    <t>JMSOLUTION</t>
  </si>
  <si>
    <t>https://www.wildberries.ru/catalog/205951690/detail.aspx</t>
  </si>
  <si>
    <t>https://www.wildberries.ru/catalog/207544196/detail.aspx</t>
  </si>
  <si>
    <t>JMSOLUTION - Black Cocoon Home Esthetic Eye Patch [60ea]</t>
  </si>
  <si>
    <t>Увлажняющие патчи для глаз от отеков</t>
  </si>
  <si>
    <t>https://www.wildberries.ru/catalog/172653193/detail.aspx</t>
  </si>
  <si>
    <t>https://www.wildberries.ru/catalog/262052941/detail.aspx</t>
  </si>
  <si>
    <t>JMSOLUTION - Golden Cocoon Home Esthetic Eye Patch [60ea]</t>
  </si>
  <si>
    <t>Золотые корейские патчи под глаза</t>
  </si>
  <si>
    <t>https://www.wildberries.ru/catalog/306072611/detail.aspx</t>
  </si>
  <si>
    <t>https://www.wildberries.ru/catalog/7863727/detail.aspx</t>
  </si>
  <si>
    <t>https://www.wildberries.ru/catalog/207544200/detail.aspx</t>
  </si>
  <si>
    <t>HEIMISH - All Clean Balm [120ml]</t>
  </si>
  <si>
    <t>Гидрофильное масло бальзам для лица очищающее</t>
  </si>
  <si>
    <t>HEIMISH</t>
  </si>
  <si>
    <t>https://www.wildberries.ru/catalog/132214480/detail.aspx?targetUrl=SG</t>
  </si>
  <si>
    <t>https://www.wildberries.ru/catalog/13285222/detail.aspx?targetUrl=SG</t>
  </si>
  <si>
    <t>HEIMISH - All Clean Balm Mandarin [120ml]</t>
  </si>
  <si>
    <t>https://www.wildberries.ru/catalog/119918837/detail.aspx</t>
  </si>
  <si>
    <t>https://www.wildberries.ru/catalog/188277098/detail.aspx?targetUrl=SG</t>
  </si>
  <si>
    <t>HEIMISH - Artless Glow Base SPF50+ [40ml]</t>
  </si>
  <si>
    <t>Корейская база под макияж с шиммером</t>
  </si>
  <si>
    <t>https://www.wildberries.ru/catalog/251896289/detail.aspx?targetUrl=SG</t>
  </si>
  <si>
    <t>https://www.wildberries.ru/catalog/172137268/detail.aspx?targetUrl=SG</t>
  </si>
  <si>
    <t>Elizavecca Hell-Pore Control Hyaluronic Acid 97%</t>
  </si>
  <si>
    <t>Сыворотка для лица увлажняющая с гиалуроновой кислотой</t>
  </si>
  <si>
    <t>ELIZAVECCA</t>
  </si>
  <si>
    <t>https://www.wildberries.ru/catalog/31271805/detail.aspx</t>
  </si>
  <si>
    <t>https://www.wildberries.ru/catalog/185309942/detail.aspx</t>
  </si>
  <si>
    <t>ELIZAVECCA - CER-100 [100ml]</t>
  </si>
  <si>
    <t>Маска для волос увлажняющая с коллагеном</t>
  </si>
  <si>
    <t>https://www.wildberries.ru/catalog/151571894/detail.aspx</t>
  </si>
  <si>
    <t>Elizavecca Milky Piggy EGF elastic retinol [100ml]</t>
  </si>
  <si>
    <t>Крем для лица с ретинолом антивозрастной</t>
  </si>
  <si>
    <t>https://www.wildberries.ru/catalog/12667338/detail.aspx</t>
  </si>
  <si>
    <t>ELIZAVECCA - Natural 90% Olive Cleansing Oil</t>
  </si>
  <si>
    <t>Корейское гидрофильное масло для умывания</t>
  </si>
  <si>
    <t>https://www.wildberries.ru/catalog/39978221/detail.aspx</t>
  </si>
  <si>
    <t>https://www.wildberries.ru/catalog/63409748/detail.aspx</t>
  </si>
  <si>
    <t>Elizavecca Witch Piggy Hell Pore Blemish Spot Patch</t>
  </si>
  <si>
    <t>Корейские патчи от прыщей прозрачные</t>
  </si>
  <si>
    <t>https://www.wildberries.ru/catalog/168908087/detail.aspx</t>
  </si>
  <si>
    <t>https://www.wildberries.ru/catalog/379765294/detail.aspx</t>
  </si>
  <si>
    <t>https://www.wildberries.ru/catalog/33377235/detail.aspx</t>
  </si>
  <si>
    <t>ELIZAVECCA - (х2) Witch Piggy hell pore blemish spot patch</t>
  </si>
  <si>
    <t>Патчи от прыщей Корея прозрачные 2 шт.</t>
  </si>
  <si>
    <t>https://www.wildberries.ru/catalog/232722729/detail.aspx</t>
  </si>
  <si>
    <t>https://www.wildberries.ru/catalog/238863400/detail.aspx?targetUrl=SG</t>
  </si>
  <si>
    <t>ELIZAVECCA_fruit_toner</t>
  </si>
  <si>
    <t>Корейский тоник для лица от черных точек</t>
  </si>
  <si>
    <t>https://www.wildberries.ru/catalog/39982744/detail.aspx</t>
  </si>
  <si>
    <t>ELIZAVECCA - Aqua Hyaluronic Acid Water Drop Cream</t>
  </si>
  <si>
    <t>Крем для лица Aqua Hyaluronic Acid Water Drop</t>
  </si>
  <si>
    <t>https://www.wildberries.ru/catalog/185282774/detail.aspx</t>
  </si>
  <si>
    <t>https://www.wildberries.ru/catalog/153507732/detail.aspx</t>
  </si>
  <si>
    <t>ELIZAVECCA 24k gold snail Cleansing Foam 180ml</t>
  </si>
  <si>
    <t>Очищающая пенка для лица с настоящим золотом</t>
  </si>
  <si>
    <t>https://www.wildberries.ru/catalog/192597417/detail.aspx</t>
  </si>
  <si>
    <t>https://www.wildberries.ru/catalog/336644617/detail.aspx</t>
  </si>
  <si>
    <t>https://www.wildberries.ru/catalog/262966609/detail.aspx</t>
  </si>
  <si>
    <t>Etude Baking Powder Crunch Pore Scrub</t>
  </si>
  <si>
    <t>Содовый скраб от черных точек Baking Powder</t>
  </si>
  <si>
    <t>ETUDE</t>
  </si>
  <si>
    <t>https://www.wildberries.ru/catalog/272936338/detail.aspx</t>
  </si>
  <si>
    <t>https://www.wildberries.ru/catalog/383494304/detail.aspx</t>
  </si>
  <si>
    <t>https://www.wildberries.ru/catalog/37152203/detail.aspx?targetUrl=SG</t>
  </si>
  <si>
    <t>Baking Powder BB Deep Cleansing Foam 3в1 30</t>
  </si>
  <si>
    <t>Очищающая пенка для снятия макияжа Baking Powder 30ml</t>
  </si>
  <si>
    <t>https://www.wildberries.ru/catalog/36454239/detail.aspx</t>
  </si>
  <si>
    <t>ETUDE Baking Powder BB Deep Cleansing Foam 160 мл N</t>
  </si>
  <si>
    <t>Очищающая пенка для снятия макияжа Baking Powder 160ml</t>
  </si>
  <si>
    <t>https://www.wildberries.ru/catalog/36454074/detail.aspx</t>
  </si>
  <si>
    <t>https://www.wildberries.ru/catalog/364835054/detail.aspx</t>
  </si>
  <si>
    <t>Etude Baking Powder Crunch Pore Scrub треугольники 30</t>
  </si>
  <si>
    <t>Корейский скраб для лица Baking Powder с содой</t>
  </si>
  <si>
    <t>https://www.wildberries.ru/catalog/38627267/detail.aspx?targetUrl=SG</t>
  </si>
  <si>
    <t>https://www.wildberries.ru/catalog/22394505/detail.aspx?targetUrl=SG</t>
  </si>
  <si>
    <t>Etude House Baking Powder Pore Cleansing Foam 160 ml белая</t>
  </si>
  <si>
    <t>Пенка для умывания от черных точек Baking Powder 160ml</t>
  </si>
  <si>
    <t>https://www.wildberries.ru/catalog/295848702/detail.aspx</t>
  </si>
  <si>
    <t>Koelf Royal Jelly</t>
  </si>
  <si>
    <t>Патчи гидрогелевые c золотом и маточным молочком</t>
  </si>
  <si>
    <t>KOELF</t>
  </si>
  <si>
    <t>https://www.wildberries.ru/catalog/180709801/detail.aspx</t>
  </si>
  <si>
    <t>Koelf Pearl &amp; Shea Butter Hydrogel Eye Patch</t>
  </si>
  <si>
    <t>Гидрогелевые патчи под глаза от отеков и темных кругов</t>
  </si>
  <si>
    <t>Petitfee Black Pearl &amp; Gold hydrogel Eye Patch</t>
  </si>
  <si>
    <t>Патчи для глаз Корея антивозрастные жемчуг и золото</t>
  </si>
  <si>
    <t>PETITFEE</t>
  </si>
  <si>
    <t>https://www.wildberries.ru/catalog/60316791/detail.aspx</t>
  </si>
  <si>
    <t>https://www.wildberries.ru/catalog/199665985/detail.aspx</t>
  </si>
  <si>
    <t>https://www.wildberries.ru/catalog/45060167/detail.aspx</t>
  </si>
  <si>
    <t>Petitfee Agave Cooling Hydrogel Eye Mask</t>
  </si>
  <si>
    <t>Гидрогелевые патчи от отеков и мешков под глазами</t>
  </si>
  <si>
    <t>https://www.wildberries.ru/catalog/213903355/detail.aspx</t>
  </si>
  <si>
    <t>https://www.wildberries.ru/catalog/38974110/detail.aspx</t>
  </si>
  <si>
    <t>https://www.wildberries.ru/catalog/15780385/detail.aspx</t>
  </si>
  <si>
    <t>Гидрогелевые патчи для глаз Корея от отеков</t>
  </si>
  <si>
    <t>https://www.wildberries.ru/catalog/199666069/detail.aspx</t>
  </si>
  <si>
    <t>https://www.wildberries.ru/catalog/13437003/detail.aspx</t>
  </si>
  <si>
    <t>https://www.wildberries.ru/catalog/45068401/detail.aspx</t>
  </si>
  <si>
    <t>Petitfee GOLD &amp; SNAIL HYDROGEL EYE PATCH</t>
  </si>
  <si>
    <t>Гидрогелевые патчи для глаз Корея антивозрастные от отеков</t>
  </si>
  <si>
    <t>https://www.wildberries.ru/catalog/213906343/detail.aspx</t>
  </si>
  <si>
    <t>https://www.wildberries.ru/catalog/222641638/detail.aspx</t>
  </si>
  <si>
    <t>Petitfee B-Glucan Deep Firming Eye Mask</t>
  </si>
  <si>
    <t>Тканевые патчи для век увлажняющие</t>
  </si>
  <si>
    <t>https://www.wildberries.ru/catalog/143807359/detail.aspx</t>
  </si>
  <si>
    <t>Petitfee Cacao Energizing Hydrogel Eye Patch</t>
  </si>
  <si>
    <t>Тонизирующие патчи для глаз гидрогелевые с какао</t>
  </si>
  <si>
    <t>https://www.wildberries.ru/catalog/213923624/detail.aspx</t>
  </si>
  <si>
    <t>https://www.wildberries.ru/catalog/260025068/detail.aspx</t>
  </si>
  <si>
    <t>Petitfee Pink Vita Brightening Eye Mask</t>
  </si>
  <si>
    <t>Тканевые патчи под глаза от темных кругов</t>
  </si>
  <si>
    <t>https://www.wildberries.ru/catalog/222513751/detail.aspx</t>
  </si>
  <si>
    <t>PETITFEE Aura Quartz Hydrogel Eye Mask Pure Opal</t>
  </si>
  <si>
    <t>Охлаждающие гидрогелевые патчи для области вокруг глаз</t>
  </si>
  <si>
    <t>https://www.wildberries.ru/catalog/228119034/detail.aspx</t>
  </si>
  <si>
    <t>Petitfee Chamomile Lightening Hydrogel Eye Mask</t>
  </si>
  <si>
    <t>Гидрогелевые патчи для глаз от отеков и морщин</t>
  </si>
  <si>
    <t>https://www.wildberries.ru/catalog/60316863/detail.aspx</t>
  </si>
  <si>
    <t>https://www.wildberries.ru/catalog/260021314/detail.aspx</t>
  </si>
  <si>
    <t>https://www.wildberries.ru/catalog/142981035/detail.aspx</t>
  </si>
  <si>
    <t>Petitfee GOLD</t>
  </si>
  <si>
    <t>Гидрогелевые патчи для глаз с золотом</t>
  </si>
  <si>
    <t>https://www.wildberries.ru/catalog/45070950/detail.aspx</t>
  </si>
  <si>
    <t>https://www.wildberries.ru/catalog/60316674/detail.aspx</t>
  </si>
  <si>
    <t>Petitfee EGF</t>
  </si>
  <si>
    <t>Антивозрастные гидрогелевые патчи с золотом и EGF</t>
  </si>
  <si>
    <t>https://www.wildberries.ru/catalog/151965523/detail.aspx</t>
  </si>
  <si>
    <t>https://www.wildberries.ru/catalog/159109090/detail.aspx</t>
  </si>
  <si>
    <t>PETITFEE - Black Pearl &amp; Gold Hydrogel Mask Pack [5pcs]</t>
  </si>
  <si>
    <t>Корейские гидрогелевые маски для лица с золотом и жемчугом</t>
  </si>
  <si>
    <t>https://www.wildberries.ru/catalog/75631771/detail.aspx</t>
  </si>
  <si>
    <t>PETITFEE - Gold Hydrogel Mask Pack [5pcs]</t>
  </si>
  <si>
    <t>Маски для лица с золотом</t>
  </si>
  <si>
    <t>https://www.wildberries.ru/catalog/199317294/detail.aspx</t>
  </si>
  <si>
    <t>PETITFEE - Gold &amp; Snail Hydrogel Mask Pack [5pcs]</t>
  </si>
  <si>
    <t>Корейские гидрогелевые маски для лица против морщин</t>
  </si>
  <si>
    <t>https://www.wildberries.ru/catalog/208465802/detail.aspx</t>
  </si>
  <si>
    <t>PETITFEE - Cacao Energizing Hydrogel Mask Pack [5pcs]</t>
  </si>
  <si>
    <t>Корейские гидрогелевые маски для лица тонизирующие</t>
  </si>
  <si>
    <t>https://www.wildberries.ru/catalog/21163751/detail.aspx</t>
  </si>
  <si>
    <t>Petitfee Artichoke Soothing Hydrogel Eye Mask</t>
  </si>
  <si>
    <t>Патчи под глаза гидрогелевые с артишоком</t>
  </si>
  <si>
    <t>https://www.wildberries.ru/catalog/15838711/detail.aspx</t>
  </si>
  <si>
    <t>https://www.wildberries.ru/catalog/229886527/detail.aspx</t>
  </si>
  <si>
    <t>https://www.wildberries.ru/catalog/60316861/detail.aspx</t>
  </si>
  <si>
    <t>PETITFEE - Artichoke Soothing Hydrogel Face Mask [5pcs]</t>
  </si>
  <si>
    <t>Корейские гидрогелевые маски для лица с артишоком</t>
  </si>
  <si>
    <t>https://www.wildberries.ru/catalog/247697601/detail.aspx</t>
  </si>
  <si>
    <t>https://www.wildberries.ru/catalog/138863721/detail.aspx</t>
  </si>
  <si>
    <t>PETITFEE - Chamomile Lightening Hydrogel Mask Pack [5pcs]</t>
  </si>
  <si>
    <t>Корейские гидрогелевые маски для лица с ромашкой</t>
  </si>
  <si>
    <t>https://www.wildberries.ru/catalog/138864994/detail.aspx</t>
  </si>
  <si>
    <t>PETITFEE - Agave Cooling Hydrogel Face Mask [5pcs]</t>
  </si>
  <si>
    <t>Корейские гидрогелевые маски для лица охлаждающие с агавой</t>
  </si>
  <si>
    <t>https://www.wildberries.ru/catalog/75630392/detail.aspx</t>
  </si>
  <si>
    <t>ROUND LAB 1025 DOKDO CLEANSER_150ml</t>
  </si>
  <si>
    <t>Увлажняющая пенка для умывания лица Корея</t>
  </si>
  <si>
    <t>ROUND LAB</t>
  </si>
  <si>
    <t>https://www.wildberries.ru/catalog/212957743/detail.aspx?targetUrl=SG</t>
  </si>
  <si>
    <t>https://www.wildberries.ru/catalog/331559771/detail.aspx?targetUrl=SG</t>
  </si>
  <si>
    <t>https://www.wildberries.ru/catalog/266446130/detail.aspx?targetUrl=SG</t>
  </si>
  <si>
    <t>ROUND LAB BIRCH JUICE MOISTURIZING CREAM_80ml</t>
  </si>
  <si>
    <t>Увлажняющий крем для лица с берёзовым соком Корея</t>
  </si>
  <si>
    <t>https://www.wildberries.ru/catalog/213410093/detail.aspx?targetUrl=SG</t>
  </si>
  <si>
    <t>https://www.wildberries.ru/catalog/259969768/detail.aspx?targetUrl=SG</t>
  </si>
  <si>
    <t>https://www.wildberries.ru/catalog/387658123/detail.aspx?targetUrl=SG</t>
  </si>
  <si>
    <t>ROUND LAB BIRCH JUICE MOISTURIZING CLEANSER_150ml</t>
  </si>
  <si>
    <t>Гель для умывания лица увлажняющий Корея</t>
  </si>
  <si>
    <t>https://www.wildberries.ru/catalog/212789567/detail.aspx</t>
  </si>
  <si>
    <t>https://www.wildberries.ru/catalog/171669085/detail.aspx?targetUrl=SG</t>
  </si>
  <si>
    <t>ROUND LAB BIRCH JUICE MOISTURIZING SUNSCREEN_50ml</t>
  </si>
  <si>
    <t>Солнцезащитный крем spf 50 для лица с спф</t>
  </si>
  <si>
    <t>https://www.wildberries.ru/catalog/233034808/detail.aspx</t>
  </si>
  <si>
    <t>https://www.wildberries.ru/catalog/161677545/detail.aspx?targetUrl=SG</t>
  </si>
  <si>
    <t>ROUND LAB MUGWORT CALMING TONER_300ml</t>
  </si>
  <si>
    <t>Тоник для лица увлажняющий успокаивающий Корея</t>
  </si>
  <si>
    <t>https://www.wildberries.ru/catalog/212968858/detail.aspx</t>
  </si>
  <si>
    <t>ROUND LAB MUGWORT CALMING CLEANSER_150ml</t>
  </si>
  <si>
    <t>Очищающая пенка для умывания лица от прыщей и акне Корея</t>
  </si>
  <si>
    <t>https://www.wildberries.ru/catalog/212957747/detail.aspx</t>
  </si>
  <si>
    <t>https://www.wildberries.ru/catalog/364269371/detail.aspx?targetUrl=SG</t>
  </si>
  <si>
    <t>https://www.wildberries.ru/catalog/299168836/detail.aspx?targetUrl=SG</t>
  </si>
  <si>
    <t>ROUND LAB MUGWORT CALMING SOOTHING GEL_150ml</t>
  </si>
  <si>
    <t>Увлажняющий крем гель для лица и тела от воспалений Корея</t>
  </si>
  <si>
    <t>https://www.wildberries.ru/catalog/212789574/detail.aspx</t>
  </si>
  <si>
    <t>ROUND LAB SOYBEAN PANTHENOL CREAM_80ml</t>
  </si>
  <si>
    <t>Крем для лица с чёрной соей и пантенолом успокаивающий Корея</t>
  </si>
  <si>
    <t>https://www.wildberries.ru/catalog/232756077/detail.aspx</t>
  </si>
  <si>
    <t>ROUND LAB PINE CALMING CICA AMPOULE_30ml</t>
  </si>
  <si>
    <t>Сыворотка для жирной кожи лица увлажняющая с центеллой</t>
  </si>
  <si>
    <t>https://www.wildberries.ru/catalog/212962100/detail.aspx</t>
  </si>
  <si>
    <t>https://www.wildberries.ru/catalog/387665009/detail.aspx?targetUrl=SG</t>
  </si>
  <si>
    <t>ROUND LAB VITA NIACINAMIDE DARK SPOT SERUM 30ml</t>
  </si>
  <si>
    <t>Сыворотка для лица c витамином С и ниацинамидом</t>
  </si>
  <si>
    <t>https://www.wildberries.ru/catalog/253060924/detail.aspx?targetUrl=EX</t>
  </si>
  <si>
    <t>https://www.wildberries.ru/catalog/387671851/detail.aspx?targetUrl=SG</t>
  </si>
  <si>
    <t>https://www.wildberries.ru/catalog/363202527/detail.aspx?targetUrl=SG</t>
  </si>
  <si>
    <t>ROUND LAB VITA NIACINAMIDE DARK SPOT CREAM 50ml</t>
  </si>
  <si>
    <t>Крем для лица с ниацинамидом от чёрных точек Корея</t>
  </si>
  <si>
    <t>https://www.wildberries.ru/catalog/252600345/detail.aspx?targetUrl=EX</t>
  </si>
  <si>
    <t>https://www.wildberries.ru/catalog/387681961/detail.aspx?targetUrl=SG</t>
  </si>
  <si>
    <t>ROUND LAB SOYBEAN CLEANSING OIL_200ml</t>
  </si>
  <si>
    <t>Гидрофильное масло для лица для умывания Корея</t>
  </si>
  <si>
    <t>https://www.wildberries.ru/catalog/212793976/detail.aspx?targetUrl=EX</t>
  </si>
  <si>
    <t>https://www.wildberries.ru/catalog/167728566/detail.aspx?targetUrl=SG</t>
  </si>
  <si>
    <t>Manyo_Galac_Vita_Serum</t>
  </si>
  <si>
    <t>Отбеливающая сыворотка для лица с витамином С</t>
  </si>
  <si>
    <t>MANYO</t>
  </si>
  <si>
    <t>https://www.wildberries.ru/catalog/430393778/detail.aspx?targetUrl=SG</t>
  </si>
  <si>
    <t>https://www.wildberries.ru/catalog/389157439/detail.aspx?targetUrl=SG</t>
  </si>
  <si>
    <t>Manyo_Aqua_Peeling_Gel</t>
  </si>
  <si>
    <t>Кислотный пилинг скатка для лица Aqua Peeling Gel</t>
  </si>
  <si>
    <t>https://www.wildberries.ru/catalog/386220543/detail.aspx?targetUrl=SG</t>
  </si>
  <si>
    <t>https://www.wildberries.ru/catalog/306021447/detail.aspx?targetUrl=SG</t>
  </si>
  <si>
    <t>Manyo_Complex_Ampoule</t>
  </si>
  <si>
    <t>Восстанавливающая сыворотка для лица с бифидобактериями</t>
  </si>
  <si>
    <t>https://www.wildberries.ru/catalog/99740896/detail.aspx?targetUrl=SG</t>
  </si>
  <si>
    <t>Manyo_Concentrate_Cream</t>
  </si>
  <si>
    <t>Корейский крем для лица с бифидобактериями</t>
  </si>
  <si>
    <t>https://www.wildberries.ru/catalog/108388104/detail.aspx?targetUrl=SG</t>
  </si>
  <si>
    <t>Manyo_Pure_Cleansing_Oil</t>
  </si>
  <si>
    <t>Гидрофильное масло Ma:nyo Pure Cleansing Oil для умывания</t>
  </si>
  <si>
    <t>manyo_bifida_biome_toner</t>
  </si>
  <si>
    <t>Укрепляющий тоник для лица с бифидобактериями</t>
  </si>
  <si>
    <t>https://www.wildberries.ru/catalog/99749873/detail.aspx?targetUrl=SG</t>
  </si>
  <si>
    <t>Manyo_Ampoule_Lotion</t>
  </si>
  <si>
    <t>Лосьон для лица Bifida Biome Ampoule Lotion</t>
  </si>
  <si>
    <t>https://www.wildberries.ru/catalog/434286465/detail.aspx?targetUrl=SG</t>
  </si>
  <si>
    <t>SKIN1004 - Zombie Beauty Bloody Peel [30ml]</t>
  </si>
  <si>
    <t>Кровавый пилинг сыворотка для лица кислотная</t>
  </si>
  <si>
    <t>SKIN1004</t>
  </si>
  <si>
    <t>SKIN1004 - Madagascar Centella Hyalu-Cica Sleeping Pack [30ml]</t>
  </si>
  <si>
    <t>Увлажняющая ночная маска для сухой кожи</t>
  </si>
  <si>
    <t>SKIN1004 - Madagascar Centella Ampoule [30ml]</t>
  </si>
  <si>
    <t>Сыворотка Корея увлажняющая против морщин</t>
  </si>
  <si>
    <t>https://www.wildberries.ru/catalog/399368336/detail.aspx?targetUrl=SG</t>
  </si>
  <si>
    <t>Collagen_Enough_Moisture_Foundation_13</t>
  </si>
  <si>
    <t>Тональный крем для лица коллаген №13</t>
  </si>
  <si>
    <t>https://www.wildberries.ru/catalog/148112843/detail.aspx</t>
  </si>
  <si>
    <t>https://www.wildberries.ru/catalog/15330912/detail.aspx?targetUrl=SG</t>
  </si>
  <si>
    <t>https://www.wildberries.ru/catalog/18704505/detail.aspx?targetUrl=SG</t>
  </si>
  <si>
    <t>Enough 8 Peptide Full Cover Perfect Foundation 13 тон</t>
  </si>
  <si>
    <t>Корейский тональный крем с пептидами 13 тон</t>
  </si>
  <si>
    <t>https://www.wildberries.ru/catalog/26203311/detail.aspx?targetUrl=SG</t>
  </si>
  <si>
    <t>https://www.wildberries.ru/catalog/33608976/detail.aspx</t>
  </si>
  <si>
    <t>https://www.wildberries.ru/catalog/264257257/detail.aspx</t>
  </si>
  <si>
    <t>Enough Rich Gold Double Wea Radiance Foundation 21 тон</t>
  </si>
  <si>
    <t>https://www.wildberries.ru/catalog/172244673/detail.aspx?targetUrl=SG</t>
  </si>
  <si>
    <t>Enough Collagen Foundation Cover Up Ultra X10 21 тон</t>
  </si>
  <si>
    <t>https://www.wildberries.ru/catalog/264257924/detail.aspx?targetUrl=SG</t>
  </si>
  <si>
    <t>I'm Sorry for My Skin Крем Age Capture Skin Relief</t>
  </si>
  <si>
    <t>Крем для лица антивозрастной</t>
  </si>
  <si>
    <t>I'm Sorry for My Skin</t>
  </si>
  <si>
    <t>https://www.wildberries.ru/catalog/161342479/detail.aspx</t>
  </si>
  <si>
    <t>I'm Sorry For My Skin Age Capture Hydrating</t>
  </si>
  <si>
    <t>Крем для лица увлажняющий ежедневный</t>
  </si>
  <si>
    <t>https://www.wildberries.ru/catalog/102340264/detail.aspx</t>
  </si>
  <si>
    <t>I'm Sorry for My Skin Age Крем Capture Firming Enriched</t>
  </si>
  <si>
    <t>Крем для лица увлажняющий</t>
  </si>
  <si>
    <t>https://www.wildberries.ru/catalog/161342478/detail.aspx</t>
  </si>
  <si>
    <t>I'm Sorry for My Skin Крем Age Capture Vitalizer</t>
  </si>
  <si>
    <t>Крем для лица с витамином C осветляющий</t>
  </si>
  <si>
    <t>https://www.wildberries.ru/catalog/103843889/detail.aspx</t>
  </si>
  <si>
    <t>COSRX_Low_pH_Gel_Cleanser</t>
  </si>
  <si>
    <t>Гель для умывания против прыщей</t>
  </si>
  <si>
    <t>COSRX</t>
  </si>
  <si>
    <t>https://www.wildberries.ru/catalog/37623510/detail.aspx</t>
  </si>
  <si>
    <t>https://www.wildberries.ru/catalog/36289920/detail.aspx</t>
  </si>
  <si>
    <t>https://www.wildberries.ru/catalog/12667327/detail.aspx?targetUrl=SG</t>
  </si>
  <si>
    <t>COSRX Advanced Snail 96 Mucin Power Essence [100ml]</t>
  </si>
  <si>
    <t>Корейская эссенция для лица увлажняющая</t>
  </si>
  <si>
    <t>COSRX AHA/BHA Clarifying Treatment Toner [150ml]</t>
  </si>
  <si>
    <t>Мягкий тонер для лица с кислотами AHA BHA</t>
  </si>
  <si>
    <t>https://www.wildberries.ru/catalog/155975616/detail.aspx?targetUrl=SG</t>
  </si>
  <si>
    <t>COSRX_Salicylic_Acid_Cleanser</t>
  </si>
  <si>
    <t>Пенка для умывания от прыщей</t>
  </si>
  <si>
    <t>https://www.wildberries.ru/catalog/50561926/detail.aspx</t>
  </si>
  <si>
    <t>Dr.Jart_Teatreatment Moisturizer</t>
  </si>
  <si>
    <t>Увлажняющий крем для лица от прыщей</t>
  </si>
  <si>
    <t>Dr.Jart</t>
  </si>
  <si>
    <t>https://www.wildberries.ru/catalog/142866526/detail.aspx?targetUrl=SG</t>
  </si>
  <si>
    <t>https://www.wildberries.ru/catalog/62908758/detail.aspx?targetUrl=SG</t>
  </si>
  <si>
    <t>Dr.Jart_Teatreatment_Soothing_Spot</t>
  </si>
  <si>
    <t>Корректор для лица от прыщей точечный</t>
  </si>
  <si>
    <t>https://www.wildberries.ru/catalog/142216662/detail.aspx?targetUrl=SG</t>
  </si>
  <si>
    <t>https://www.wildberries.ru/catalog/241193712/detail.aspx?targetUrl=SG</t>
  </si>
  <si>
    <t>Dr.Jart_Teatreatment_Toner</t>
  </si>
  <si>
    <t>Тоник для лица увлажняющий Teatreatment Toner</t>
  </si>
  <si>
    <t>https://www.wildberries.ru/catalog/154441256/detail.aspx?targetUrl=SG</t>
  </si>
  <si>
    <t>https://www.wildberries.ru/catalog/62908788/detail.aspx?targetUrl=SG</t>
  </si>
  <si>
    <t>Dr.Jart_Dermaclear_Micro_Foam</t>
  </si>
  <si>
    <t>Пенка для умывания Dermaclear Micro Foam</t>
  </si>
  <si>
    <t>https://www.wildberries.ru/catalog/93203781/detail.aspx</t>
  </si>
  <si>
    <t>https://www.wildberries.ru/catalog/324917391/detail.aspx</t>
  </si>
  <si>
    <t>DR. JART - Cicapair Tiger Grass Color Correcting Treatment [50ml]</t>
  </si>
  <si>
    <t>Корректирующий СС крем для лица тональный</t>
  </si>
  <si>
    <t>https://www.wildberries.ru/catalog/168035771/detail.aspx?targetUrl=SG</t>
  </si>
  <si>
    <t>THE ORDINARY - Glycolic Acid 7% Toning Solution[KOR] [240ml]</t>
  </si>
  <si>
    <t>Кислотный тоник для лица от прыщей Glycolic Acid 7%</t>
  </si>
  <si>
    <t>THE ORDINARY</t>
  </si>
  <si>
    <t>https://www.wildberries.ru/catalog/97692175/detail.aspx</t>
  </si>
  <si>
    <t>https://www.wildberries.ru/catalog/179632677/detail.aspx?targetUrl=SG</t>
  </si>
  <si>
    <t>THE ORDINARY - Glycolic Acid 7% Toning Solution [KOR] [240ml]</t>
  </si>
  <si>
    <t>FARMSTAY - Collagen Water Full Moist Cream [100g]</t>
  </si>
  <si>
    <t>Увлажняющий крем для лица с коллагеном</t>
  </si>
  <si>
    <t>https://www.wildberries.ru/catalog/284164904/detail.aspx?targetUrl=SG</t>
  </si>
  <si>
    <t>JMSOLUTION - Marine Luminous Black Pearl Balancing Mask [1/2/3]*[10ea]</t>
  </si>
  <si>
    <t>Набор 3в1 маски и уход за лицом 10 шт.</t>
  </si>
  <si>
    <t>JMSOLUTION-Marine Luminous Pearl Deep Moisture Mask Pearl [1/2/3]*[10ea]</t>
  </si>
  <si>
    <t>Трехшаговый набор тканевых масок для лица 10 шт.</t>
  </si>
  <si>
    <t>JMSOLUTION - Mask Pack Black</t>
  </si>
  <si>
    <t>Маски для лица тканевые</t>
  </si>
  <si>
    <t>https://www.wildberries.ru/catalog/58242634/detail.aspx</t>
  </si>
  <si>
    <t>JIGOTT - Daily Real Cica Toner [300ml]</t>
  </si>
  <si>
    <t>Корейский тонер для лица увлажняющий с центеллой</t>
  </si>
  <si>
    <t xml:space="preserve">JIGOTT </t>
  </si>
  <si>
    <t>https://www.wildberries.ru/catalog/163524342/detail.aspx?targetUrl=SG</t>
  </si>
  <si>
    <t>https://www.wildberries.ru/catalog/394348562/detail.aspx?targetUrl=SG</t>
  </si>
  <si>
    <t xml:space="preserve">Продавец </t>
  </si>
  <si>
    <t xml:space="preserve">Ссылка на продавца </t>
  </si>
  <si>
    <t>GuzVik</t>
  </si>
  <si>
    <t>Индивидуальный предприниматель Кочергина Гузаль Шакировна
ОГРНИП: 321774600717799
ИНН: 027506704014
Номер регистрации: 027506704014</t>
  </si>
  <si>
    <t>https://www.wildberries.ru/seller/543015</t>
  </si>
  <si>
    <t>Korea Point</t>
  </si>
  <si>
    <t>Соломаха Антонина Валерьевна ИП
ОГРНИП: 318774600543913
ИНН: 771887073492
Номер регистрации: 771887073492</t>
  </si>
  <si>
    <t>https://www.wildberries.ru/seller/83159</t>
  </si>
  <si>
    <t xml:space="preserve">COSMOS SHOP
</t>
  </si>
  <si>
    <t>Индивидуальный предприниматель Панкратов Максим Олегович
ОГРНИП: 317253600086064
ИНН: 280888215133
Номер регистрации: 280888215133</t>
  </si>
  <si>
    <t>https://www.wildberries.ru/seller/63534</t>
  </si>
  <si>
    <t>ONU Cosmetics</t>
  </si>
  <si>
    <t>ОБЩЕСТВО С ОГРАНИЧЕННОЙ ОТВЕТСТВЕННОСТЬЮ "КОСМЕТИКА ВОСТОКА"
115162, Г.Москва, УЛ ХАВСКАЯ, Д. 11, ПОМЕЩ. III
ОГРН: 1187746931360
ИНН: 7702452674
КПП: 772501001
Номер регистрации: 7702452674</t>
  </si>
  <si>
    <t>https://www.wildberries.ru/seller/41290?sort=popular&amp;page=2</t>
  </si>
  <si>
    <t>KOREA ORIGINAL</t>
  </si>
  <si>
    <t>ОБЩЕСТВО С ОГРАНИЧЕННОЙ ОТВЕТСТВЕННОСТЬЮ "ЛАЙМ"
690003, КРАЙ ПРИМОРСКИЙ, УЛИЦА НИЖНЕПОРТОВАЯ, ДОМ 1, ОФИС 140
ОГРН: 1202500016905
ИНН: 2540256949
КПП: 254001001
Номер регистрации: 2540256949</t>
  </si>
  <si>
    <t>https://www.wildberries.ru/seller/257129</t>
  </si>
  <si>
    <t>А2 group</t>
  </si>
  <si>
    <t>Индивидуальный предприниматель Алит Антон Ферриевич
ОГРНИП: 322253600009762
ИНН: 250813085939
Номер регистрации: 250813085939</t>
  </si>
  <si>
    <t>https://www.wildberries.ru/seller/1238035</t>
  </si>
  <si>
    <t>TOO MUCH PATCH</t>
  </si>
  <si>
    <t>Индивидуальный предприниматель Павленко Максим Юрьевич
ОГРНИП: 319554300033391
ИНН: 551406099573
Номер регистрации: 551406099573</t>
  </si>
  <si>
    <t>https://www.wildberries.ru/seller/248901</t>
  </si>
  <si>
    <t>OFFICIAL KOREAN COSMETICS</t>
  </si>
  <si>
    <t>Индивидуальный предприниматель Сухарина Алена Сергеевна
ОГРНИП: 323508100138462
ИНН: 372102761106
Номер регистрации: 372102761106</t>
  </si>
  <si>
    <t>https://www.wildberries.ru/seller/1220725</t>
  </si>
  <si>
    <t>Original Korea</t>
  </si>
  <si>
    <t>Индивидуальный предприниматель Миронов Вадим Николаевич
ОГРНИП: 322253600055878
ИНН: 253812585204</t>
  </si>
  <si>
    <t>https://www.wildberries.ru/seller/978894</t>
  </si>
  <si>
    <t>Krasota K-Market</t>
  </si>
  <si>
    <t>Индивидуальный предприниматель МИРОНОВ ВАСИЛИЙ НИКОЛАЕВИЧ
ОГРНИП: 321253600026289
ИНН: 253812054309
Номер регистрации: 253812054309</t>
  </si>
  <si>
    <t>https://www.wildberries.ru/seller/189596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</si>
</sst>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_ ;[Red]\-#,##0.00\ "/>
    <numFmt numFmtId="165" formatCode="#,##0_ ;[Red]\-#,##0\ "/>
    <numFmt numFmtId="166" formatCode="#,##0.000"/>
  </numFmts>
  <fonts count="49">
    <font>
      <sz val="10.0"/>
      <color rgb="FF000000"/>
      <name val="Arial"/>
      <scheme val="minor"/>
    </font>
    <font>
      <sz val="10.0"/>
      <color rgb="FF77767E"/>
      <name val="&quot;WB Hauss VF&quot;"/>
    </font>
    <font>
      <b/>
      <i/>
      <sz val="16.0"/>
      <name val="Arial"/>
    </font>
    <font>
      <sz val="9.0"/>
      <name val="Arial"/>
    </font>
    <font>
      <sz val="8.0"/>
      <name val="Arial"/>
    </font>
    <font/>
    <font>
      <b/>
      <sz val="8.0"/>
      <name val="Arial"/>
    </font>
    <font>
      <b/>
      <sz val="8.0"/>
      <color rgb="FF000000"/>
      <name val="Arial"/>
    </font>
    <font>
      <sz val="10.0"/>
      <name val="Arial"/>
    </font>
    <font>
      <b/>
      <sz val="10.0"/>
      <name val="Arial"/>
    </font>
    <font>
      <b/>
      <i/>
      <sz val="8.0"/>
      <name val="Arial"/>
    </font>
    <font>
      <b/>
      <sz val="10.0"/>
      <name val="Calibri"/>
    </font>
    <font>
      <sz val="10.0"/>
      <name val="Calibri"/>
    </font>
    <font>
      <b/>
      <sz val="11.0"/>
      <name val="Arial"/>
    </font>
    <font>
      <i/>
      <sz val="10.0"/>
      <name val="Calibri"/>
    </font>
    <font>
      <b/>
      <i/>
      <sz val="10.0"/>
      <name val="Calibri"/>
    </font>
    <font>
      <b/>
      <sz val="14.0"/>
      <name val="Arial"/>
    </font>
    <font>
      <sz val="8.0"/>
      <color rgb="FF000000"/>
      <name val="Arial"/>
    </font>
    <font>
      <b/>
      <sz val="8.0"/>
      <name val="Teko"/>
    </font>
    <font>
      <b/>
      <sz val="10.0"/>
      <name val="Times New Roman"/>
    </font>
    <font>
      <sz val="9.0"/>
      <name val="Calibri"/>
    </font>
    <font>
      <b/>
      <sz val="12.0"/>
      <name val="Arial"/>
    </font>
    <font>
      <b/>
      <i/>
      <sz val="12.0"/>
      <name val="Arial"/>
    </font>
    <font>
      <b/>
      <i/>
      <sz val="10.0"/>
      <color rgb="FF000000"/>
      <name val="Arial"/>
    </font>
    <font>
      <b/>
      <sz val="11.0"/>
      <color rgb="FF000000"/>
      <name val="Arial"/>
    </font>
    <font>
      <sz val="8.0"/>
      <color rgb="FFFF0000"/>
      <name val="Arial"/>
    </font>
    <font>
      <i/>
      <sz val="8.0"/>
      <name val="Arial"/>
    </font>
    <font>
      <i/>
      <u/>
      <sz val="8.0"/>
      <name val="Arial"/>
    </font>
    <font>
      <b/>
      <i/>
      <sz val="8.0"/>
      <color rgb="FF000000"/>
      <name val="Arial"/>
    </font>
    <font>
      <sz val="10.0"/>
      <color rgb="FFFF0000"/>
      <name val="Arial"/>
    </font>
    <font>
      <sz val="10.0"/>
      <color rgb="FFFF0000"/>
      <name val="Calibri"/>
    </font>
    <font>
      <sz val="10.0"/>
      <color rgb="FF000000"/>
      <name val="Arial"/>
    </font>
    <font>
      <u/>
      <sz val="8.0"/>
      <color rgb="FF0000FF"/>
      <name val="Arial"/>
    </font>
    <font>
      <b/>
      <sz val="9.0"/>
      <name val="Arial"/>
    </font>
    <font>
      <u/>
      <sz val="8.0"/>
      <color rgb="FF0000FF"/>
      <name val="Arial"/>
    </font>
    <font>
      <i/>
      <u/>
      <sz val="8.0"/>
      <color rgb="FF0000FF"/>
      <name val="Arial"/>
    </font>
    <font>
      <i/>
      <u/>
      <sz val="8.0"/>
      <name val="Arial"/>
    </font>
    <font>
      <i/>
      <u/>
      <sz val="8.0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b/>
      <i/>
      <sz val="14.0"/>
      <color rgb="FF000000"/>
      <name val="Calibri"/>
    </font>
    <font>
      <b/>
      <i/>
      <sz val="13.0"/>
      <color rgb="FF000000"/>
      <name val="Calibri"/>
    </font>
    <font>
      <b/>
      <sz val="14.0"/>
      <name val="Calibri"/>
    </font>
    <font>
      <u/>
      <sz val="10.0"/>
      <color rgb="FF0000FF"/>
      <name val="Calibri"/>
    </font>
    <font>
      <b/>
      <sz val="14.0"/>
      <color rgb="FF242424"/>
      <name val="Hauss"/>
    </font>
    <font>
      <sz val="12.0"/>
      <name val="Calibri"/>
    </font>
    <font>
      <u/>
      <sz val="12.0"/>
      <color rgb="FF0000FF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0F0F3"/>
        <bgColor rgb="FFF0F0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0C0C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BE4D5"/>
        <bgColor rgb="FFFBE4D5"/>
      </patternFill>
    </fill>
    <fill>
      <patternFill patternType="solid">
        <fgColor rgb="FFE6E6E6"/>
        <bgColor rgb="FFE6E6E6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F6F9"/>
        <bgColor rgb="FFF6F6F9"/>
      </patternFill>
    </fill>
  </fills>
  <borders count="7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vertical="center"/>
    </xf>
    <xf borderId="2" fillId="3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3" fillId="0" fontId="4" numFmtId="14" xfId="0" applyAlignment="1" applyBorder="1" applyFont="1" applyNumberFormat="1">
      <alignment horizontal="center" vertical="center"/>
    </xf>
    <xf borderId="4" fillId="0" fontId="5" numFmtId="0" xfId="0" applyBorder="1" applyFont="1"/>
    <xf borderId="0" fillId="0" fontId="4" numFmtId="4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4" numFmtId="4" xfId="0" applyAlignment="1" applyFont="1" applyNumberFormat="1">
      <alignment horizontal="center" shrinkToFit="0" vertical="center" wrapText="1"/>
    </xf>
    <xf borderId="0" fillId="0" fontId="4" numFmtId="9" xfId="0" applyAlignment="1" applyFont="1" applyNumberFormat="1">
      <alignment shrinkToFit="0" vertical="center" wrapText="1"/>
    </xf>
    <xf borderId="0" fillId="0" fontId="4" numFmtId="4" xfId="0" applyAlignment="1" applyFont="1" applyNumberFormat="1">
      <alignment vertical="center"/>
    </xf>
    <xf borderId="5" fillId="0" fontId="6" numFmtId="4" xfId="0" applyAlignment="1" applyBorder="1" applyFont="1" applyNumberFormat="1">
      <alignment horizontal="center" vertical="center"/>
    </xf>
    <xf borderId="6" fillId="3" fontId="6" numFmtId="4" xfId="0" applyAlignment="1" applyBorder="1" applyFill="1" applyFont="1" applyNumberFormat="1">
      <alignment vertical="center"/>
    </xf>
    <xf borderId="7" fillId="0" fontId="6" numFmtId="4" xfId="0" applyAlignment="1" applyBorder="1" applyFont="1" applyNumberFormat="1">
      <alignment horizontal="left" vertical="center"/>
    </xf>
    <xf borderId="7" fillId="0" fontId="4" numFmtId="4" xfId="0" applyAlignment="1" applyBorder="1" applyFont="1" applyNumberFormat="1">
      <alignment vertical="center"/>
    </xf>
    <xf borderId="8" fillId="0" fontId="4" numFmtId="4" xfId="0" applyAlignment="1" applyBorder="1" applyFont="1" applyNumberFormat="1">
      <alignment vertical="center"/>
    </xf>
    <xf borderId="2" fillId="3" fontId="6" numFmtId="10" xfId="0" applyAlignment="1" applyBorder="1" applyFill="1" applyFont="1" applyNumberFormat="1">
      <alignment horizontal="center" vertical="center"/>
    </xf>
    <xf borderId="3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4" fillId="0" fontId="4" numFmtId="4" xfId="0" applyAlignment="1" applyBorder="1" applyFont="1" applyNumberFormat="1">
      <alignment vertical="center"/>
    </xf>
    <xf borderId="0" fillId="0" fontId="8" numFmtId="10" xfId="0" applyAlignment="1" applyFont="1" applyNumberFormat="1">
      <alignment vertical="center"/>
    </xf>
    <xf borderId="0" fillId="0" fontId="4" numFmtId="0" xfId="0" applyFont="1"/>
    <xf borderId="0" fillId="0" fontId="4" numFmtId="4" xfId="0" applyFont="1" applyNumberFormat="1"/>
    <xf borderId="0" fillId="0" fontId="9" numFmtId="4" xfId="0" applyFont="1" applyNumberFormat="1"/>
    <xf borderId="0" fillId="0" fontId="10" numFmtId="4" xfId="0" applyFont="1" applyNumberFormat="1"/>
    <xf borderId="2" fillId="3" fontId="11" numFmtId="9" xfId="0" applyAlignment="1" applyBorder="1" applyFill="1" applyFont="1" applyNumberForma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right" shrinkToFit="0" wrapText="1"/>
    </xf>
    <xf borderId="0" fillId="0" fontId="4" numFmtId="4" xfId="0" applyAlignment="1" applyFont="1" applyNumberFormat="1">
      <alignment horizontal="center" shrinkToFit="0" wrapText="1"/>
    </xf>
    <xf borderId="0" fillId="0" fontId="4" numFmtId="4" xfId="0" applyAlignment="1" applyFont="1" applyNumberFormat="1">
      <alignment horizontal="right" shrinkToFit="0" wrapText="1"/>
    </xf>
    <xf borderId="0" fillId="0" fontId="4" numFmtId="4" xfId="0" applyAlignment="1" applyFont="1" applyNumberFormat="1">
      <alignment horizontal="right"/>
    </xf>
    <xf borderId="10" fillId="0" fontId="4" numFmtId="4" xfId="0" applyAlignment="1" applyBorder="1" applyFont="1" applyNumberFormat="1">
      <alignment horizontal="center" vertical="center"/>
    </xf>
    <xf borderId="11" fillId="0" fontId="4" numFmtId="4" xfId="0" applyAlignment="1" applyBorder="1" applyFont="1" applyNumberFormat="1">
      <alignment vertical="center"/>
    </xf>
    <xf borderId="11" fillId="0" fontId="4" numFmtId="4" xfId="0" applyAlignment="1" applyBorder="1" applyFont="1" applyNumberFormat="1">
      <alignment horizontal="left" vertical="center"/>
    </xf>
    <xf borderId="12" fillId="0" fontId="4" numFmtId="4" xfId="0" applyAlignment="1" applyBorder="1" applyFont="1" applyNumberFormat="1">
      <alignment vertical="center"/>
    </xf>
    <xf borderId="2" fillId="3" fontId="13" numFmtId="3" xfId="0" applyAlignment="1" applyBorder="1" applyFill="1" applyFont="1" applyNumberFormat="1">
      <alignment horizontal="center" vertical="center"/>
    </xf>
    <xf borderId="13" fillId="3" fontId="12" numFmtId="10" xfId="0" applyAlignment="1" applyBorder="1" applyFill="1" applyFont="1" applyNumberFormat="1">
      <alignment horizontal="center"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vertical="center"/>
    </xf>
    <xf borderId="15" fillId="3" fontId="6" numFmtId="4" xfId="0" applyAlignment="1" applyBorder="1" applyFill="1" applyFont="1" applyNumberFormat="1">
      <alignment vertical="center"/>
    </xf>
    <xf borderId="11" fillId="0" fontId="6" numFmtId="166" xfId="0" applyAlignment="1" applyBorder="1" applyFont="1" applyNumberFormat="1">
      <alignment vertical="center"/>
    </xf>
    <xf borderId="2" fillId="4" fontId="6" numFmtId="10" xfId="0" applyAlignment="1" applyBorder="1" applyFill="1" applyFont="1" applyNumberFormat="1">
      <alignment horizontal="center" vertical="center"/>
    </xf>
    <xf borderId="16" fillId="4" fontId="4" numFmtId="0" xfId="0" applyAlignment="1" applyBorder="1" applyFill="1" applyFont="1">
      <alignment vertical="center"/>
    </xf>
    <xf borderId="17" fillId="4" fontId="4" numFmtId="0" xfId="0" applyAlignment="1" applyBorder="1" applyFill="1" applyFont="1">
      <alignment vertical="center"/>
    </xf>
    <xf borderId="18" fillId="4" fontId="4" numFmtId="4" xfId="0" applyAlignment="1" applyBorder="1" applyFill="1" applyFont="1" applyNumberFormat="1">
      <alignment vertical="center"/>
    </xf>
    <xf borderId="19" fillId="3" fontId="14" numFmtId="0" xfId="0" applyAlignment="1" applyBorder="1" applyFill="1" applyFont="1">
      <alignment horizontal="center" shrinkToFit="0" vertical="center" wrapText="1"/>
    </xf>
    <xf borderId="20" fillId="0" fontId="1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right" vertical="center"/>
    </xf>
    <xf borderId="14" fillId="0" fontId="4" numFmtId="9" xfId="0" applyAlignment="1" applyBorder="1" applyFont="1" applyNumberFormat="1">
      <alignment horizontal="center" vertical="center"/>
    </xf>
    <xf borderId="0" fillId="0" fontId="4" numFmtId="166" xfId="0" applyAlignment="1" applyFont="1" applyNumberFormat="1">
      <alignment vertical="center"/>
    </xf>
    <xf borderId="0" fillId="0" fontId="4" numFmtId="0" xfId="0" applyAlignment="1" applyFont="1">
      <alignment vertical="center"/>
    </xf>
    <xf borderId="21" fillId="3" fontId="14" numFmtId="0" xfId="0" applyAlignment="1" applyBorder="1" applyFill="1" applyFont="1">
      <alignment horizontal="center" shrinkToFit="0" vertical="center" wrapText="1"/>
    </xf>
    <xf borderId="22" fillId="0" fontId="14" numFmtId="0" xfId="0" applyAlignment="1" applyBorder="1" applyFont="1">
      <alignment horizontal="center" shrinkToFit="0" vertical="center" wrapText="1"/>
    </xf>
    <xf borderId="23" fillId="0" fontId="5" numFmtId="0" xfId="0" applyBorder="1" applyFont="1"/>
    <xf borderId="1" fillId="5" fontId="4" numFmtId="0" xfId="0" applyAlignment="1" applyBorder="1" applyFill="1" applyFont="1">
      <alignment horizontal="right" shrinkToFit="0" wrapText="1"/>
    </xf>
    <xf borderId="1" fillId="5" fontId="4" numFmtId="4" xfId="0" applyAlignment="1" applyBorder="1" applyFill="1" applyFont="1" applyNumberFormat="1">
      <alignment horizontal="center" shrinkToFit="0" wrapText="1"/>
    </xf>
    <xf borderId="1" fillId="5" fontId="4" numFmtId="4" xfId="0" applyAlignment="1" applyBorder="1" applyFill="1" applyFont="1" applyNumberFormat="1">
      <alignment horizontal="right" shrinkToFit="0" wrapText="1"/>
    </xf>
    <xf borderId="1" fillId="5" fontId="4" numFmtId="4" xfId="0" applyAlignment="1" applyBorder="1" applyFill="1" applyFont="1" applyNumberFormat="1">
      <alignment horizontal="right"/>
    </xf>
    <xf borderId="24" fillId="3" fontId="6" numFmtId="10" xfId="0" applyAlignment="1" applyBorder="1" applyFill="1" applyFont="1" applyNumberFormat="1">
      <alignment vertical="center"/>
    </xf>
    <xf borderId="7" fillId="0" fontId="4" numFmtId="166" xfId="0" applyAlignment="1" applyBorder="1" applyFont="1" applyNumberFormat="1">
      <alignment vertical="center"/>
    </xf>
    <xf borderId="21" fillId="3" fontId="15" numFmtId="0" xfId="0" applyAlignment="1" applyBorder="1" applyFill="1" applyFont="1">
      <alignment horizontal="center" shrinkToFit="0" vertical="center" wrapText="1"/>
    </xf>
    <xf borderId="0" fillId="0" fontId="4" numFmtId="2" xfId="0" applyAlignment="1" applyFont="1" applyNumberFormat="1">
      <alignment horizontal="right" shrinkToFit="0" wrapText="1"/>
    </xf>
    <xf borderId="11" fillId="0" fontId="4" numFmtId="4" xfId="0" applyAlignment="1" applyBorder="1" applyFont="1" applyNumberFormat="1">
      <alignment horizontal="center" vertical="center"/>
    </xf>
    <xf borderId="25" fillId="3" fontId="6" numFmtId="10" xfId="0" applyAlignment="1" applyBorder="1" applyFill="1" applyFont="1" applyNumberFormat="1">
      <alignment vertical="center"/>
    </xf>
    <xf borderId="26" fillId="0" fontId="4" numFmtId="166" xfId="0" applyAlignment="1" applyBorder="1" applyFont="1" applyNumberFormat="1">
      <alignment vertical="center"/>
    </xf>
    <xf borderId="26" fillId="0" fontId="4" numFmtId="4" xfId="0" applyAlignment="1" applyBorder="1" applyFont="1" applyNumberFormat="1">
      <alignment vertical="center"/>
    </xf>
    <xf borderId="27" fillId="0" fontId="4" numFmtId="4" xfId="0" applyAlignment="1" applyBorder="1" applyFont="1" applyNumberFormat="1">
      <alignment vertical="center"/>
    </xf>
    <xf borderId="28" fillId="4" fontId="16" numFmtId="0" xfId="0" applyAlignment="1" applyBorder="1" applyFill="1" applyFont="1">
      <alignment horizontal="center"/>
    </xf>
    <xf borderId="29" fillId="0" fontId="5" numFmtId="0" xfId="0" applyBorder="1" applyFont="1"/>
    <xf borderId="30" fillId="0" fontId="5" numFmtId="0" xfId="0" applyBorder="1" applyFont="1"/>
    <xf borderId="0" fillId="0" fontId="8" numFmtId="0" xfId="0" applyAlignment="1" applyFont="1">
      <alignment shrinkToFit="0" vertical="center" wrapText="1"/>
    </xf>
    <xf borderId="31" fillId="3" fontId="11" numFmtId="9" xfId="0" applyAlignment="1" applyBorder="1" applyFill="1" applyFont="1" applyNumberFormat="1">
      <alignment horizontal="center" shrinkToFit="0" vertical="center" wrapText="1"/>
    </xf>
    <xf borderId="32" fillId="0" fontId="1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33" fillId="0" fontId="9" numFmtId="165" xfId="0" applyAlignment="1" applyBorder="1" applyFont="1" applyNumberFormat="1">
      <alignment horizontal="center" vertical="center"/>
    </xf>
    <xf borderId="34" fillId="0" fontId="5" numFmtId="0" xfId="0" applyBorder="1" applyFont="1"/>
    <xf borderId="35" fillId="0" fontId="5" numFmtId="0" xfId="0" applyBorder="1" applyFont="1"/>
    <xf borderId="0" fillId="0" fontId="9" numFmtId="164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36" fillId="0" fontId="6" numFmtId="4" xfId="0" applyAlignment="1" applyBorder="1" applyFont="1" applyNumberFormat="1">
      <alignment horizontal="center" shrinkToFit="0" vertical="center" wrapText="1"/>
    </xf>
    <xf borderId="37" fillId="0" fontId="5" numFmtId="0" xfId="0" applyBorder="1" applyFont="1"/>
    <xf borderId="38" fillId="0" fontId="5" numFmtId="0" xfId="0" applyBorder="1" applyFont="1"/>
    <xf borderId="36" fillId="0" fontId="4" numFmtId="4" xfId="0" applyAlignment="1" applyBorder="1" applyFont="1" applyNumberFormat="1">
      <alignment horizontal="center" vertical="center"/>
    </xf>
    <xf borderId="28" fillId="0" fontId="4" numFmtId="4" xfId="0" applyAlignment="1" applyBorder="1" applyFont="1" applyNumberFormat="1">
      <alignment horizontal="center" vertical="center"/>
    </xf>
    <xf borderId="33" fillId="0" fontId="4" numFmtId="4" xfId="0" applyAlignment="1" applyBorder="1" applyFont="1" applyNumberFormat="1">
      <alignment horizontal="center" vertical="center"/>
    </xf>
    <xf borderId="39" fillId="0" fontId="5" numFmtId="0" xfId="0" applyBorder="1" applyFont="1"/>
    <xf borderId="11" fillId="0" fontId="5" numFmtId="0" xfId="0" applyBorder="1" applyFont="1"/>
    <xf borderId="40" fillId="0" fontId="5" numFmtId="0" xfId="0" applyBorder="1" applyFont="1"/>
    <xf borderId="2" fillId="6" fontId="6" numFmtId="0" xfId="0" applyAlignment="1" applyBorder="1" applyFill="1" applyFont="1">
      <alignment horizontal="center" shrinkToFit="0" vertical="center" wrapText="1"/>
    </xf>
    <xf borderId="15" fillId="6" fontId="6" numFmtId="0" xfId="0" applyAlignment="1" applyBorder="1" applyFill="1" applyFont="1">
      <alignment horizontal="center" shrinkToFit="0" wrapText="1"/>
    </xf>
    <xf borderId="16" fillId="6" fontId="6" numFmtId="0" xfId="0" applyAlignment="1" applyBorder="1" applyFill="1" applyFont="1">
      <alignment horizontal="center" shrinkToFit="0" vertical="center" wrapText="1"/>
    </xf>
    <xf borderId="41" fillId="6" fontId="6" numFmtId="165" xfId="0" applyAlignment="1" applyBorder="1" applyFill="1" applyFont="1" applyNumberFormat="1">
      <alignment horizontal="center" vertical="center"/>
    </xf>
    <xf borderId="2" fillId="6" fontId="6" numFmtId="165" xfId="0" applyAlignment="1" applyBorder="1" applyFill="1" applyFont="1" applyNumberFormat="1">
      <alignment horizontal="center" vertical="center"/>
    </xf>
    <xf borderId="2" fillId="6" fontId="6" numFmtId="165" xfId="0" applyAlignment="1" applyBorder="1" applyFill="1" applyFont="1" applyNumberFormat="1">
      <alignment horizontal="center" shrinkToFit="0" vertical="center" wrapText="1"/>
    </xf>
    <xf borderId="42" fillId="6" fontId="6" numFmtId="4" xfId="0" applyAlignment="1" applyBorder="1" applyFill="1" applyFont="1" applyNumberFormat="1">
      <alignment horizontal="center" shrinkToFit="0" vertical="center" wrapText="1"/>
    </xf>
    <xf borderId="17" fillId="6" fontId="6" numFmtId="164" xfId="0" applyAlignment="1" applyBorder="1" applyFill="1" applyFont="1" applyNumberFormat="1">
      <alignment horizontal="center" shrinkToFit="0" vertical="center" wrapText="1"/>
    </xf>
    <xf borderId="43" fillId="7" fontId="18" numFmtId="165" xfId="0" applyAlignment="1" applyBorder="1" applyFill="1" applyFont="1" applyNumberFormat="1">
      <alignment horizontal="center" shrinkToFit="0" vertical="center" wrapText="1"/>
    </xf>
    <xf borderId="18" fillId="8" fontId="7" numFmtId="0" xfId="0" applyAlignment="1" applyBorder="1" applyFill="1" applyFont="1">
      <alignment horizontal="center" shrinkToFit="0" vertical="center" wrapText="1"/>
    </xf>
    <xf borderId="44" fillId="3" fontId="19" numFmtId="4" xfId="0" applyAlignment="1" applyBorder="1" applyFill="1" applyFont="1" applyNumberFormat="1">
      <alignment horizontal="center" shrinkToFit="0" vertical="center" wrapText="1"/>
    </xf>
    <xf borderId="2" fillId="4" fontId="9" numFmtId="4" xfId="0" applyAlignment="1" applyBorder="1" applyFill="1" applyFont="1" applyNumberFormat="1">
      <alignment horizontal="center" shrinkToFit="0" vertical="center" wrapText="1"/>
    </xf>
    <xf borderId="45" fillId="9" fontId="9" numFmtId="4" xfId="0" applyAlignment="1" applyBorder="1" applyFill="1" applyFont="1" applyNumberFormat="1">
      <alignment horizontal="center" shrinkToFit="0" vertical="center" wrapText="1"/>
    </xf>
    <xf borderId="46" fillId="0" fontId="19" numFmtId="9" xfId="0" applyAlignment="1" applyBorder="1" applyFont="1" applyNumberFormat="1">
      <alignment horizontal="center" shrinkToFit="0" vertical="center" wrapText="1"/>
    </xf>
    <xf borderId="46" fillId="0" fontId="19" numFmtId="4" xfId="0" applyAlignment="1" applyBorder="1" applyFont="1" applyNumberFormat="1">
      <alignment horizontal="center" shrinkToFit="0" vertical="center" wrapText="1"/>
    </xf>
    <xf borderId="47" fillId="0" fontId="11" numFmtId="4" xfId="0" applyAlignment="1" applyBorder="1" applyFont="1" applyNumberFormat="1">
      <alignment horizontal="center" shrinkToFit="0" vertical="center" wrapText="1"/>
    </xf>
    <xf borderId="48" fillId="0" fontId="11" numFmtId="4" xfId="0" applyAlignment="1" applyBorder="1" applyFont="1" applyNumberFormat="1">
      <alignment horizontal="center" shrinkToFit="0" vertical="center" wrapText="1"/>
    </xf>
    <xf borderId="26" fillId="0" fontId="11" numFmtId="4" xfId="0" applyAlignment="1" applyBorder="1" applyFont="1" applyNumberFormat="1">
      <alignment horizontal="center" shrinkToFit="0" vertical="center" wrapText="1"/>
    </xf>
    <xf borderId="21" fillId="0" fontId="20" numFmtId="4" xfId="0" applyAlignment="1" applyBorder="1" applyFont="1" applyNumberFormat="1">
      <alignment horizontal="center" shrinkToFit="0" vertical="center" wrapText="1"/>
    </xf>
    <xf borderId="49" fillId="0" fontId="20" numFmtId="166" xfId="0" applyAlignment="1" applyBorder="1" applyFont="1" applyNumberFormat="1">
      <alignment horizontal="center" shrinkToFit="0" vertical="center" wrapText="1"/>
    </xf>
    <xf borderId="49" fillId="0" fontId="20" numFmtId="4" xfId="0" applyAlignment="1" applyBorder="1" applyFont="1" applyNumberFormat="1">
      <alignment horizontal="center" shrinkToFit="0" vertical="center" wrapText="1"/>
    </xf>
    <xf borderId="22" fillId="0" fontId="20" numFmtId="4" xfId="0" applyAlignment="1" applyBorder="1" applyFont="1" applyNumberForma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21" fillId="0" fontId="8" numFmtId="4" xfId="0" applyAlignment="1" applyBorder="1" applyFont="1" applyNumberFormat="1">
      <alignment horizontal="center" shrinkToFit="0" vertical="center" wrapText="1"/>
    </xf>
    <xf borderId="22" fillId="0" fontId="8" numFmtId="10" xfId="0" applyAlignment="1" applyBorder="1" applyFont="1" applyNumberFormat="1">
      <alignment horizontal="center" shrinkToFit="0" vertical="center" wrapText="1"/>
    </xf>
    <xf borderId="41" fillId="0" fontId="21" numFmtId="0" xfId="0" applyAlignment="1" applyBorder="1" applyFont="1">
      <alignment horizontal="center" shrinkToFit="0" vertical="center" wrapText="1"/>
    </xf>
    <xf borderId="2" fillId="0" fontId="21" numFmtId="4" xfId="0" applyAlignment="1" applyBorder="1" applyFont="1" applyNumberFormat="1">
      <alignment horizontal="center" shrinkToFit="0" vertical="center" wrapText="1"/>
    </xf>
    <xf borderId="42" fillId="0" fontId="22" numFmtId="4" xfId="0" applyAlignment="1" applyBorder="1" applyFont="1" applyNumberFormat="1">
      <alignment horizontal="center" shrinkToFit="0" vertical="center" wrapText="1"/>
    </xf>
    <xf borderId="2" fillId="10" fontId="23" numFmtId="0" xfId="0" applyAlignment="1" applyBorder="1" applyFill="1" applyFont="1">
      <alignment vertical="center"/>
    </xf>
    <xf borderId="2" fillId="10" fontId="4" numFmtId="0" xfId="0" applyAlignment="1" applyBorder="1" applyFill="1" applyFont="1">
      <alignment horizontal="center" shrinkToFit="0" wrapText="1"/>
    </xf>
    <xf borderId="2" fillId="10" fontId="4" numFmtId="0" xfId="0" applyAlignment="1" applyBorder="1" applyFill="1" applyFont="1">
      <alignment shrinkToFit="0" wrapText="1"/>
    </xf>
    <xf borderId="16" fillId="10" fontId="4" numFmtId="0" xfId="0" applyAlignment="1" applyBorder="1" applyFill="1" applyFont="1">
      <alignment horizontal="center" vertical="center"/>
    </xf>
    <xf borderId="50" fillId="10" fontId="4" numFmtId="0" xfId="0" applyAlignment="1" applyBorder="1" applyFill="1" applyFont="1">
      <alignment horizontal="center" vertical="center"/>
    </xf>
    <xf borderId="42" fillId="10" fontId="4" numFmtId="4" xfId="0" applyAlignment="1" applyBorder="1" applyFill="1" applyFont="1" applyNumberFormat="1">
      <alignment horizontal="center" vertical="center"/>
    </xf>
    <xf borderId="17" fillId="10" fontId="6" numFmtId="164" xfId="0" applyAlignment="1" applyBorder="1" applyFill="1" applyFont="1" applyNumberFormat="1">
      <alignment horizontal="center" vertical="center"/>
    </xf>
    <xf borderId="51" fillId="7" fontId="6" numFmtId="165" xfId="0" applyAlignment="1" applyBorder="1" applyFill="1" applyFont="1" applyNumberFormat="1">
      <alignment horizontal="center" vertical="center"/>
    </xf>
    <xf borderId="18" fillId="7" fontId="24" numFmtId="0" xfId="0" applyAlignment="1" applyBorder="1" applyFill="1" applyFont="1">
      <alignment horizontal="center" vertical="center"/>
    </xf>
    <xf borderId="2" fillId="7" fontId="13" numFmtId="4" xfId="0" applyAlignment="1" applyBorder="1" applyFill="1" applyFont="1" applyNumberFormat="1">
      <alignment horizontal="left" vertical="center"/>
    </xf>
    <xf borderId="16" fillId="7" fontId="9" numFmtId="4" xfId="0" applyAlignment="1" applyBorder="1" applyFill="1" applyFont="1" applyNumberFormat="1">
      <alignment horizontal="center" vertical="center"/>
    </xf>
    <xf borderId="16" fillId="7" fontId="13" numFmtId="9" xfId="0" applyAlignment="1" applyBorder="1" applyFill="1" applyFont="1" applyNumberFormat="1">
      <alignment horizontal="left" vertical="center"/>
    </xf>
    <xf borderId="16" fillId="7" fontId="13" numFmtId="4" xfId="0" applyAlignment="1" applyBorder="1" applyFill="1" applyFont="1" applyNumberFormat="1">
      <alignment horizontal="left" vertical="center"/>
    </xf>
    <xf borderId="52" fillId="7" fontId="4" numFmtId="4" xfId="0" applyAlignment="1" applyBorder="1" applyFill="1" applyFont="1" applyNumberFormat="1">
      <alignment vertical="center"/>
    </xf>
    <xf borderId="15" fillId="7" fontId="4" numFmtId="4" xfId="0" applyAlignment="1" applyBorder="1" applyFill="1" applyFont="1" applyNumberFormat="1">
      <alignment vertical="center"/>
    </xf>
    <xf borderId="53" fillId="7" fontId="4" numFmtId="4" xfId="0" applyAlignment="1" applyBorder="1" applyFill="1" applyFont="1" applyNumberFormat="1">
      <alignment vertical="center"/>
    </xf>
    <xf borderId="54" fillId="7" fontId="4" numFmtId="4" xfId="0" applyAlignment="1" applyBorder="1" applyFill="1" applyFont="1" applyNumberFormat="1">
      <alignment horizontal="center" vertical="center"/>
    </xf>
    <xf borderId="52" fillId="7" fontId="4" numFmtId="4" xfId="0" applyAlignment="1" applyBorder="1" applyFill="1" applyFont="1" applyNumberFormat="1">
      <alignment horizontal="center" vertical="center"/>
    </xf>
    <xf borderId="15" fillId="7" fontId="4" numFmtId="166" xfId="0" applyAlignment="1" applyBorder="1" applyFill="1" applyFont="1" applyNumberFormat="1">
      <alignment vertical="center"/>
    </xf>
    <xf borderId="18" fillId="7" fontId="4" numFmtId="0" xfId="0" applyAlignment="1" applyBorder="1" applyFill="1" applyFont="1">
      <alignment vertical="center"/>
    </xf>
    <xf borderId="16" fillId="7" fontId="4" numFmtId="0" xfId="0" applyAlignment="1" applyBorder="1" applyFill="1" applyFont="1">
      <alignment vertical="center"/>
    </xf>
    <xf borderId="53" fillId="7" fontId="8" numFmtId="10" xfId="0" applyAlignment="1" applyBorder="1" applyFill="1" applyFont="1" applyNumberFormat="1">
      <alignment vertical="center"/>
    </xf>
    <xf borderId="41" fillId="7" fontId="4" numFmtId="0" xfId="0" applyBorder="1" applyFill="1" applyFont="1"/>
    <xf borderId="2" fillId="7" fontId="4" numFmtId="4" xfId="0" applyBorder="1" applyFill="1" applyFont="1" applyNumberFormat="1"/>
    <xf borderId="2" fillId="7" fontId="9" numFmtId="4" xfId="0" applyBorder="1" applyFill="1" applyFont="1" applyNumberFormat="1"/>
    <xf borderId="42" fillId="7" fontId="10" numFmtId="4" xfId="0" applyBorder="1" applyFill="1" applyFont="1" applyNumberFormat="1"/>
    <xf borderId="2" fillId="11" fontId="4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shrinkToFit="0" wrapText="1"/>
    </xf>
    <xf borderId="3" fillId="0" fontId="25" numFmtId="0" xfId="0" applyAlignment="1" applyBorder="1" applyFont="1">
      <alignment horizontal="center" vertical="center"/>
    </xf>
    <xf borderId="55" fillId="0" fontId="4" numFmtId="0" xfId="0" applyAlignment="1" applyBorder="1" applyFont="1">
      <alignment horizontal="center" vertical="center"/>
    </xf>
    <xf borderId="42" fillId="0" fontId="4" numFmtId="4" xfId="0" applyAlignment="1" applyBorder="1" applyFont="1" applyNumberFormat="1">
      <alignment horizontal="center" vertical="center"/>
    </xf>
    <xf borderId="9" fillId="0" fontId="6" numFmtId="164" xfId="0" applyAlignment="1" applyBorder="1" applyFont="1" applyNumberFormat="1">
      <alignment horizontal="center" vertical="center"/>
    </xf>
    <xf borderId="56" fillId="4" fontId="4" numFmtId="4" xfId="0" applyAlignment="1" applyBorder="1" applyFill="1" applyFont="1" applyNumberFormat="1">
      <alignment horizontal="center" vertical="center"/>
    </xf>
    <xf borderId="2" fillId="3" fontId="4" numFmtId="4" xfId="0" applyAlignment="1" applyBorder="1" applyFill="1" applyFont="1" applyNumberFormat="1">
      <alignment vertical="center"/>
    </xf>
    <xf borderId="16" fillId="4" fontId="9" numFmtId="4" xfId="0" applyAlignment="1" applyBorder="1" applyFill="1" applyFont="1" applyNumberFormat="1">
      <alignment horizontal="center" vertical="center"/>
    </xf>
    <xf borderId="16" fillId="12" fontId="9" numFmtId="4" xfId="0" applyAlignment="1" applyBorder="1" applyFill="1" applyFont="1" applyNumberFormat="1">
      <alignment horizontal="center" vertical="center"/>
    </xf>
    <xf borderId="3" fillId="0" fontId="4" numFmtId="9" xfId="0" applyAlignment="1" applyBorder="1" applyFont="1" applyNumberFormat="1">
      <alignment vertical="center"/>
    </xf>
    <xf borderId="3" fillId="0" fontId="4" numFmtId="4" xfId="0" applyAlignment="1" applyBorder="1" applyFont="1" applyNumberFormat="1">
      <alignment vertical="center"/>
    </xf>
    <xf borderId="41" fillId="0" fontId="4" numFmtId="4" xfId="0" applyAlignment="1" applyBorder="1" applyFont="1" applyNumberFormat="1">
      <alignment vertical="center"/>
    </xf>
    <xf borderId="2" fillId="0" fontId="4" numFmtId="4" xfId="0" applyAlignment="1" applyBorder="1" applyFont="1" applyNumberFormat="1">
      <alignment vertical="center"/>
    </xf>
    <xf borderId="42" fillId="0" fontId="4" numFmtId="4" xfId="0" applyAlignment="1" applyBorder="1" applyFont="1" applyNumberFormat="1">
      <alignment vertical="center"/>
    </xf>
    <xf borderId="9" fillId="0" fontId="4" numFmtId="4" xfId="0" applyAlignment="1" applyBorder="1" applyFont="1" applyNumberFormat="1">
      <alignment horizontal="center" vertical="center"/>
    </xf>
    <xf borderId="41" fillId="0" fontId="8" numFmtId="0" xfId="0" applyAlignment="1" applyBorder="1" applyFont="1">
      <alignment horizontal="center" vertical="center"/>
    </xf>
    <xf borderId="2" fillId="0" fontId="4" numFmtId="166" xfId="0" applyAlignment="1" applyBorder="1" applyFont="1" applyNumberFormat="1">
      <alignment vertical="center"/>
    </xf>
    <xf borderId="42" fillId="0" fontId="8" numFmtId="0" xfId="0" applyAlignment="1" applyBorder="1" applyFont="1">
      <alignment horizontal="center" vertical="center"/>
    </xf>
    <xf borderId="42" fillId="0" fontId="8" numFmtId="10" xfId="0" applyAlignment="1" applyBorder="1" applyFont="1" applyNumberFormat="1">
      <alignment vertical="center"/>
    </xf>
    <xf borderId="41" fillId="0" fontId="4" numFmtId="10" xfId="0" applyAlignment="1" applyBorder="1" applyFont="1" applyNumberFormat="1">
      <alignment horizontal="center" vertical="center"/>
    </xf>
    <xf borderId="2" fillId="0" fontId="4" numFmtId="4" xfId="0" applyAlignment="1" applyBorder="1" applyFont="1" applyNumberFormat="1">
      <alignment horizontal="center" vertical="center"/>
    </xf>
    <xf borderId="2" fillId="4" fontId="9" numFmtId="4" xfId="0" applyAlignment="1" applyBorder="1" applyFill="1" applyFont="1" applyNumberFormat="1">
      <alignment horizontal="center" vertical="center"/>
    </xf>
    <xf borderId="42" fillId="0" fontId="10" numFmtId="4" xfId="0" applyAlignment="1" applyBorder="1" applyFont="1" applyNumberFormat="1">
      <alignment horizontal="center" vertical="center"/>
    </xf>
    <xf borderId="56" fillId="4" fontId="25" numFmtId="4" xfId="0" applyAlignment="1" applyBorder="1" applyFill="1" applyFont="1" applyNumberFormat="1">
      <alignment horizontal="center" vertical="center"/>
    </xf>
    <xf borderId="18" fillId="7" fontId="13" numFmtId="0" xfId="0" applyAlignment="1" applyBorder="1" applyFill="1" applyFont="1">
      <alignment horizontal="center" vertical="center"/>
    </xf>
    <xf borderId="41" fillId="7" fontId="4" numFmtId="4" xfId="0" applyAlignment="1" applyBorder="1" applyFill="1" applyFont="1" applyNumberFormat="1">
      <alignment vertical="center"/>
    </xf>
    <xf borderId="2" fillId="7" fontId="4" numFmtId="4" xfId="0" applyAlignment="1" applyBorder="1" applyFill="1" applyFont="1" applyNumberFormat="1">
      <alignment vertical="center"/>
    </xf>
    <xf borderId="42" fillId="7" fontId="4" numFmtId="4" xfId="0" applyAlignment="1" applyBorder="1" applyFill="1" applyFont="1" applyNumberFormat="1">
      <alignment vertical="center"/>
    </xf>
    <xf borderId="17" fillId="7" fontId="4" numFmtId="4" xfId="0" applyAlignment="1" applyBorder="1" applyFill="1" applyFont="1" applyNumberFormat="1">
      <alignment horizontal="center" vertical="center"/>
    </xf>
    <xf borderId="41" fillId="7" fontId="4" numFmtId="4" xfId="0" applyAlignment="1" applyBorder="1" applyFill="1" applyFont="1" applyNumberFormat="1">
      <alignment horizontal="center" vertical="center"/>
    </xf>
    <xf borderId="2" fillId="7" fontId="4" numFmtId="166" xfId="0" applyAlignment="1" applyBorder="1" applyFill="1" applyFont="1" applyNumberFormat="1">
      <alignment vertical="center"/>
    </xf>
    <xf borderId="17" fillId="7" fontId="4" numFmtId="0" xfId="0" applyAlignment="1" applyBorder="1" applyFill="1" applyFont="1">
      <alignment vertical="center"/>
    </xf>
    <xf borderId="42" fillId="7" fontId="4" numFmtId="0" xfId="0" applyAlignment="1" applyBorder="1" applyFill="1" applyFont="1">
      <alignment vertical="center"/>
    </xf>
    <xf borderId="42" fillId="7" fontId="8" numFmtId="10" xfId="0" applyAlignment="1" applyBorder="1" applyFill="1" applyFont="1" applyNumberFormat="1">
      <alignment vertical="center"/>
    </xf>
    <xf borderId="41" fillId="7" fontId="4" numFmtId="10" xfId="0" applyAlignment="1" applyBorder="1" applyFill="1" applyFont="1" applyNumberFormat="1">
      <alignment horizontal="center" vertical="center"/>
    </xf>
    <xf borderId="2" fillId="7" fontId="4" numFmtId="4" xfId="0" applyAlignment="1" applyBorder="1" applyFill="1" applyFont="1" applyNumberFormat="1">
      <alignment horizontal="center" vertical="center"/>
    </xf>
    <xf borderId="2" fillId="7" fontId="9" numFmtId="4" xfId="0" applyAlignment="1" applyBorder="1" applyFill="1" applyFont="1" applyNumberFormat="1">
      <alignment horizontal="center" vertical="center"/>
    </xf>
    <xf borderId="42" fillId="7" fontId="10" numFmtId="4" xfId="0" applyAlignment="1" applyBorder="1" applyFill="1" applyFont="1" applyNumberFormat="1">
      <alignment horizontal="center" vertical="center"/>
    </xf>
    <xf borderId="2" fillId="0" fontId="4" numFmtId="0" xfId="0" applyAlignment="1" applyBorder="1" applyFont="1">
      <alignment shrinkToFit="0" vertical="center" wrapText="1"/>
    </xf>
    <xf borderId="2" fillId="0" fontId="17" numFmtId="0" xfId="0" applyAlignment="1" applyBorder="1" applyFont="1">
      <alignment horizontal="center"/>
    </xf>
    <xf borderId="23" fillId="0" fontId="17" numFmtId="0" xfId="0" applyAlignment="1" applyBorder="1" applyFont="1">
      <alignment horizontal="center"/>
    </xf>
    <xf borderId="23" fillId="0" fontId="17" numFmtId="0" xfId="0" applyBorder="1" applyFont="1"/>
    <xf borderId="2" fillId="0" fontId="26" numFmtId="0" xfId="0" applyAlignment="1" applyBorder="1" applyFont="1">
      <alignment shrinkToFit="0" wrapText="1"/>
    </xf>
    <xf borderId="3" fillId="0" fontId="27" numFmtId="0" xfId="0" applyAlignment="1" applyBorder="1" applyFont="1">
      <alignment horizontal="center" vertical="center"/>
    </xf>
    <xf borderId="2" fillId="11" fontId="17" numFmtId="0" xfId="0" applyAlignment="1" applyBorder="1" applyFill="1" applyFont="1">
      <alignment horizontal="center" shrinkToFit="0" vertical="center" wrapText="1"/>
    </xf>
    <xf borderId="16" fillId="7" fontId="4" numFmtId="0" xfId="0" applyAlignment="1" applyBorder="1" applyFill="1" applyFont="1">
      <alignment horizontal="center" vertical="center"/>
    </xf>
    <xf borderId="2" fillId="13" fontId="17" numFmtId="0" xfId="0" applyAlignment="1" applyBorder="1" applyFill="1" applyFont="1">
      <alignment horizontal="center" shrinkToFit="0" vertical="center" wrapText="1"/>
    </xf>
    <xf borderId="15" fillId="11" fontId="17" numFmtId="0" xfId="0" applyAlignment="1" applyBorder="1" applyFill="1" applyFont="1">
      <alignment horizontal="center"/>
    </xf>
    <xf borderId="42" fillId="0" fontId="9" numFmtId="10" xfId="0" applyAlignment="1" applyBorder="1" applyFont="1" applyNumberFormat="1">
      <alignment vertical="center"/>
    </xf>
    <xf borderId="15" fillId="13" fontId="17" numFmtId="0" xfId="0" applyAlignment="1" applyBorder="1" applyFill="1" applyFont="1">
      <alignment horizontal="center"/>
    </xf>
    <xf borderId="15" fillId="14" fontId="17" numFmtId="0" xfId="0" applyAlignment="1" applyBorder="1" applyFill="1" applyFont="1">
      <alignment horizontal="center"/>
    </xf>
    <xf borderId="15" fillId="14" fontId="25" numFmtId="0" xfId="0" applyAlignment="1" applyBorder="1" applyFill="1" applyFont="1">
      <alignment horizontal="center" shrinkToFit="0" wrapText="1"/>
    </xf>
    <xf borderId="2" fillId="0" fontId="25" numFmtId="0" xfId="0" applyAlignment="1" applyBorder="1" applyFont="1">
      <alignment shrinkToFit="0" wrapText="1"/>
    </xf>
    <xf borderId="2" fillId="0" fontId="10" numFmtId="0" xfId="0" applyAlignment="1" applyBorder="1" applyFont="1">
      <alignment shrinkToFit="0" wrapText="1"/>
    </xf>
    <xf borderId="41" fillId="0" fontId="4" numFmtId="4" xfId="0" applyAlignment="1" applyBorder="1" applyFont="1" applyNumberFormat="1">
      <alignment horizontal="center" vertical="center"/>
    </xf>
    <xf borderId="0" fillId="0" fontId="6" numFmtId="0" xfId="0" applyFont="1"/>
    <xf borderId="2" fillId="14" fontId="17" numFmtId="0" xfId="0" applyAlignment="1" applyBorder="1" applyFill="1" applyFont="1">
      <alignment horizontal="center"/>
    </xf>
    <xf borderId="13" fillId="10" fontId="4" numFmtId="0" xfId="0" applyAlignment="1" applyBorder="1" applyFill="1" applyFont="1">
      <alignment shrinkToFit="0" wrapText="1"/>
    </xf>
    <xf borderId="2" fillId="0" fontId="6" numFmtId="0" xfId="0" applyAlignment="1" applyBorder="1" applyFont="1">
      <alignment shrinkToFit="0" wrapText="1"/>
    </xf>
    <xf borderId="9" fillId="0" fontId="4" numFmtId="0" xfId="0" applyAlignment="1" applyBorder="1" applyFont="1">
      <alignment horizontal="center" vertical="center"/>
    </xf>
    <xf borderId="0" fillId="0" fontId="6" numFmtId="0" xfId="0" applyAlignment="1" applyFont="1">
      <alignment shrinkToFit="0" wrapText="1"/>
    </xf>
    <xf borderId="2" fillId="15" fontId="4" numFmtId="0" xfId="0" applyAlignment="1" applyBorder="1" applyFill="1" applyFont="1">
      <alignment shrinkToFit="0" wrapText="1"/>
    </xf>
    <xf borderId="3" fillId="0" fontId="17" numFmtId="0" xfId="0" applyAlignment="1" applyBorder="1" applyFont="1">
      <alignment horizontal="center"/>
    </xf>
    <xf borderId="14" fillId="0" fontId="17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14" fillId="0" fontId="4" numFmtId="0" xfId="0" applyAlignment="1" applyBorder="1" applyFont="1">
      <alignment shrinkToFit="0" wrapText="1"/>
    </xf>
    <xf borderId="42" fillId="0" fontId="4" numFmtId="0" xfId="0" applyAlignment="1" applyBorder="1" applyFont="1">
      <alignment vertical="center"/>
    </xf>
    <xf borderId="2" fillId="0" fontId="9" numFmtId="4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shrinkToFit="0" wrapText="1"/>
    </xf>
    <xf borderId="2" fillId="0" fontId="12" numFmtId="0" xfId="0" applyAlignment="1" applyBorder="1" applyFont="1">
      <alignment shrinkToFit="0" wrapText="1"/>
    </xf>
    <xf borderId="23" fillId="0" fontId="4" numFmtId="0" xfId="0" applyAlignment="1" applyBorder="1" applyFont="1">
      <alignment shrinkToFit="0" wrapText="1"/>
    </xf>
    <xf borderId="2" fillId="3" fontId="12" numFmtId="0" xfId="0" applyAlignment="1" applyBorder="1" applyFill="1" applyFont="1">
      <alignment shrinkToFit="0" wrapText="1"/>
    </xf>
    <xf borderId="14" fillId="0" fontId="28" numFmtId="0" xfId="0" applyAlignment="1" applyBorder="1" applyFont="1">
      <alignment horizontal="center"/>
    </xf>
    <xf borderId="0" fillId="0" fontId="10" numFmtId="0" xfId="0" applyFont="1"/>
    <xf borderId="5" fillId="0" fontId="4" numFmtId="0" xfId="0" applyAlignment="1" applyBorder="1" applyFont="1">
      <alignment horizontal="center" vertical="center"/>
    </xf>
    <xf borderId="57" fillId="0" fontId="4" numFmtId="0" xfId="0" applyAlignment="1" applyBorder="1" applyFont="1">
      <alignment horizontal="center" vertical="center"/>
    </xf>
    <xf borderId="58" fillId="7" fontId="6" numFmtId="165" xfId="0" applyAlignment="1" applyBorder="1" applyFill="1" applyFont="1" applyNumberFormat="1">
      <alignment horizontal="center" vertical="center"/>
    </xf>
    <xf borderId="21" fillId="0" fontId="4" numFmtId="4" xfId="0" applyAlignment="1" applyBorder="1" applyFont="1" applyNumberFormat="1">
      <alignment vertical="center"/>
    </xf>
    <xf borderId="22" fillId="0" fontId="4" numFmtId="4" xfId="0" applyAlignment="1" applyBorder="1" applyFont="1" applyNumberFormat="1">
      <alignment vertical="center"/>
    </xf>
    <xf borderId="21" fillId="0" fontId="8" numFmtId="0" xfId="0" applyAlignment="1" applyBorder="1" applyFont="1">
      <alignment horizontal="center" vertical="center"/>
    </xf>
    <xf borderId="49" fillId="0" fontId="4" numFmtId="166" xfId="0" applyAlignment="1" applyBorder="1" applyFont="1" applyNumberFormat="1">
      <alignment vertical="center"/>
    </xf>
    <xf borderId="49" fillId="0" fontId="4" numFmtId="4" xfId="0" applyAlignment="1" applyBorder="1" applyFont="1" applyNumberFormat="1">
      <alignment vertical="center"/>
    </xf>
    <xf borderId="22" fillId="0" fontId="8" numFmtId="10" xfId="0" applyAlignment="1" applyBorder="1" applyFont="1" applyNumberFormat="1">
      <alignment vertical="center"/>
    </xf>
    <xf borderId="21" fillId="0" fontId="4" numFmtId="10" xfId="0" applyAlignment="1" applyBorder="1" applyFont="1" applyNumberFormat="1">
      <alignment horizontal="center" vertical="center"/>
    </xf>
    <xf borderId="49" fillId="0" fontId="4" numFmtId="4" xfId="0" applyAlignment="1" applyBorder="1" applyFont="1" applyNumberFormat="1">
      <alignment horizontal="center" vertical="center"/>
    </xf>
    <xf borderId="49" fillId="4" fontId="9" numFmtId="4" xfId="0" applyAlignment="1" applyBorder="1" applyFill="1" applyFont="1" applyNumberFormat="1">
      <alignment horizontal="center" vertical="center"/>
    </xf>
    <xf borderId="22" fillId="0" fontId="10" numFmtId="4" xfId="0" applyAlignment="1" applyBorder="1" applyFont="1" applyNumberFormat="1">
      <alignment horizontal="center" vertical="center"/>
    </xf>
    <xf borderId="18" fillId="14" fontId="4" numFmtId="0" xfId="0" applyBorder="1" applyFill="1" applyFont="1"/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4" numFmtId="4" xfId="0" applyAlignment="1" applyFont="1" applyNumberFormat="1">
      <alignment shrinkToFit="0" vertical="center" wrapText="1"/>
    </xf>
    <xf borderId="0" fillId="0" fontId="6" numFmtId="4" xfId="0" applyAlignment="1" applyFont="1" applyNumberFormat="1">
      <alignment horizontal="center" shrinkToFit="0" vertical="center" wrapText="1"/>
    </xf>
    <xf borderId="9" fillId="0" fontId="4" numFmtId="10" xfId="0" applyAlignment="1" applyBorder="1" applyFont="1" applyNumberFormat="1">
      <alignment vertical="center"/>
    </xf>
    <xf borderId="0" fillId="0" fontId="8" numFmtId="10" xfId="0" applyAlignment="1" applyFont="1" applyNumberFormat="1">
      <alignment horizontal="center" vertical="center"/>
    </xf>
    <xf borderId="0" fillId="0" fontId="12" numFmtId="0" xfId="0" applyAlignment="1" applyFont="1">
      <alignment horizontal="right"/>
    </xf>
    <xf borderId="0" fillId="0" fontId="12" numFmtId="4" xfId="0" applyAlignment="1" applyFont="1" applyNumberFormat="1">
      <alignment horizontal="right"/>
    </xf>
    <xf borderId="9" fillId="0" fontId="4" numFmtId="4" xfId="0" applyAlignment="1" applyBorder="1" applyFont="1" applyNumberFormat="1">
      <alignment vertical="center"/>
    </xf>
    <xf borderId="1" fillId="14" fontId="12" numFmtId="0" xfId="0" applyAlignment="1" applyBorder="1" applyFill="1" applyFont="1">
      <alignment horizontal="center"/>
    </xf>
    <xf borderId="1" fillId="14" fontId="12" numFmtId="4" xfId="0" applyAlignment="1" applyBorder="1" applyFill="1" applyFont="1" applyNumberFormat="1">
      <alignment horizontal="center"/>
    </xf>
    <xf borderId="1" fillId="14" fontId="12" numFmtId="10" xfId="0" applyAlignment="1" applyBorder="1" applyFill="1" applyFont="1" applyNumberFormat="1">
      <alignment horizontal="center"/>
    </xf>
    <xf borderId="17" fillId="4" fontId="4" numFmtId="10" xfId="0" applyAlignment="1" applyBorder="1" applyFill="1" applyFont="1" applyNumberFormat="1">
      <alignment vertical="center"/>
    </xf>
    <xf borderId="17" fillId="4" fontId="4" numFmtId="4" xfId="0" applyAlignment="1" applyBorder="1" applyFill="1" applyFont="1" applyNumberFormat="1">
      <alignment vertical="center"/>
    </xf>
    <xf borderId="0" fillId="0" fontId="4" numFmtId="10" xfId="0" applyAlignment="1" applyFont="1" applyNumberFormat="1">
      <alignment vertical="center"/>
    </xf>
    <xf borderId="0" fillId="0" fontId="4" numFmtId="0" xfId="0" applyAlignment="1" applyFont="1">
      <alignment horizontal="center" shrinkToFit="0" vertical="center" wrapText="1"/>
    </xf>
    <xf borderId="3" fillId="12" fontId="11" numFmtId="0" xfId="0" applyAlignment="1" applyBorder="1" applyFill="1" applyFont="1">
      <alignment horizontal="center"/>
    </xf>
    <xf borderId="9" fillId="0" fontId="5" numFmtId="0" xfId="0" applyBorder="1" applyFont="1"/>
    <xf borderId="3" fillId="14" fontId="11" numFmtId="0" xfId="0" applyAlignment="1" applyBorder="1" applyFill="1" applyFont="1">
      <alignment horizontal="center"/>
    </xf>
    <xf borderId="18" fillId="8" fontId="6" numFmtId="0" xfId="0" applyAlignment="1" applyBorder="1" applyFill="1" applyFont="1">
      <alignment horizontal="center" shrinkToFit="0" vertical="center" wrapText="1"/>
    </xf>
    <xf borderId="24" fillId="15" fontId="8" numFmtId="0" xfId="0" applyAlignment="1" applyBorder="1" applyFill="1" applyFont="1">
      <alignment horizontal="center" shrinkToFit="0" vertical="center" wrapText="1"/>
    </xf>
    <xf borderId="59" fillId="15" fontId="8" numFmtId="4" xfId="0" applyAlignment="1" applyBorder="1" applyFill="1" applyFont="1" applyNumberFormat="1">
      <alignment horizontal="center" shrinkToFit="0" vertical="center" wrapText="1"/>
    </xf>
    <xf borderId="22" fillId="15" fontId="8" numFmtId="10" xfId="0" applyAlignment="1" applyBorder="1" applyFill="1" applyFont="1" applyNumberFormat="1">
      <alignment horizontal="center" shrinkToFit="0" vertical="center" wrapText="1"/>
    </xf>
    <xf borderId="24" fillId="12" fontId="12" numFmtId="0" xfId="0" applyAlignment="1" applyBorder="1" applyFill="1" applyFont="1">
      <alignment horizontal="right" shrinkToFit="0" wrapText="1"/>
    </xf>
    <xf borderId="24" fillId="12" fontId="12" numFmtId="4" xfId="0" applyAlignment="1" applyBorder="1" applyFill="1" applyFont="1" applyNumberFormat="1">
      <alignment horizontal="center" shrinkToFit="0" wrapText="1"/>
    </xf>
    <xf borderId="2" fillId="12" fontId="12" numFmtId="0" xfId="0" applyAlignment="1" applyBorder="1" applyFill="1" applyFont="1">
      <alignment horizontal="right" shrinkToFit="0" wrapText="1"/>
    </xf>
    <xf borderId="2" fillId="12" fontId="8" numFmtId="4" xfId="0" applyAlignment="1" applyBorder="1" applyFill="1" applyFont="1" applyNumberFormat="1">
      <alignment horizontal="center" shrinkToFit="0" vertical="center" wrapText="1"/>
    </xf>
    <xf borderId="2" fillId="14" fontId="12" numFmtId="0" xfId="0" applyAlignment="1" applyBorder="1" applyFill="1" applyFont="1">
      <alignment horizontal="center" shrinkToFit="0" wrapText="1"/>
    </xf>
    <xf borderId="2" fillId="14" fontId="12" numFmtId="4" xfId="0" applyAlignment="1" applyBorder="1" applyFill="1" applyFont="1" applyNumberFormat="1">
      <alignment horizontal="center" shrinkToFit="0" wrapText="1"/>
    </xf>
    <xf borderId="2" fillId="14" fontId="12" numFmtId="10" xfId="0" applyAlignment="1" applyBorder="1" applyFill="1" applyFont="1" applyNumberFormat="1">
      <alignment horizontal="center" shrinkToFit="0" wrapText="1"/>
    </xf>
    <xf borderId="2" fillId="14" fontId="8" numFmtId="4" xfId="0" applyAlignment="1" applyBorder="1" applyFill="1" applyFont="1" applyNumberFormat="1">
      <alignment horizontal="center" shrinkToFit="0" vertical="center" wrapText="1"/>
    </xf>
    <xf borderId="16" fillId="7" fontId="4" numFmtId="10" xfId="0" applyAlignment="1" applyBorder="1" applyFill="1" applyFont="1" applyNumberFormat="1">
      <alignment vertical="center"/>
    </xf>
    <xf borderId="56" fillId="7" fontId="4" numFmtId="4" xfId="0" applyAlignment="1" applyBorder="1" applyFill="1" applyFont="1" applyNumberFormat="1">
      <alignment vertical="center"/>
    </xf>
    <xf borderId="53" fillId="7" fontId="8" numFmtId="10" xfId="0" applyAlignment="1" applyBorder="1" applyFill="1" applyFont="1" applyNumberFormat="1">
      <alignment horizontal="center" vertical="center"/>
    </xf>
    <xf borderId="53" fillId="14" fontId="8" numFmtId="10" xfId="0" applyAlignment="1" applyBorder="1" applyFill="1" applyFont="1" applyNumberFormat="1">
      <alignment horizontal="center" vertical="center"/>
    </xf>
    <xf borderId="53" fillId="14" fontId="8" numFmtId="4" xfId="0" applyAlignment="1" applyBorder="1" applyFill="1" applyFont="1" applyNumberFormat="1">
      <alignment horizontal="center" vertical="center"/>
    </xf>
    <xf borderId="53" fillId="7" fontId="8" numFmtId="4" xfId="0" applyAlignment="1" applyBorder="1" applyFill="1" applyFont="1" applyNumberFormat="1">
      <alignment horizontal="center" vertical="center"/>
    </xf>
    <xf borderId="56" fillId="4" fontId="17" numFmtId="4" xfId="0" applyAlignment="1" applyBorder="1" applyFill="1" applyFont="1" applyNumberFormat="1">
      <alignment horizontal="center" vertical="center"/>
    </xf>
    <xf borderId="3" fillId="0" fontId="8" numFmtId="10" xfId="0" applyAlignment="1" applyBorder="1" applyFont="1" applyNumberFormat="1">
      <alignment horizontal="center" vertical="center"/>
    </xf>
    <xf borderId="42" fillId="0" fontId="8" numFmtId="10" xfId="0" applyAlignment="1" applyBorder="1" applyFont="1" applyNumberFormat="1">
      <alignment horizontal="center" vertical="center"/>
    </xf>
    <xf borderId="16" fillId="12" fontId="12" numFmtId="0" xfId="0" applyAlignment="1" applyBorder="1" applyFill="1" applyFont="1">
      <alignment horizontal="right"/>
    </xf>
    <xf borderId="16" fillId="12" fontId="12" numFmtId="4" xfId="0" applyAlignment="1" applyBorder="1" applyFill="1" applyFont="1" applyNumberFormat="1">
      <alignment horizontal="right"/>
    </xf>
    <xf borderId="2" fillId="12" fontId="12" numFmtId="0" xfId="0" applyAlignment="1" applyBorder="1" applyFill="1" applyFont="1">
      <alignment horizontal="right"/>
    </xf>
    <xf borderId="2" fillId="12" fontId="4" numFmtId="4" xfId="0" applyAlignment="1" applyBorder="1" applyFill="1" applyFont="1" applyNumberFormat="1">
      <alignment vertical="center"/>
    </xf>
    <xf borderId="2" fillId="14" fontId="12" numFmtId="0" xfId="0" applyAlignment="1" applyBorder="1" applyFill="1" applyFont="1">
      <alignment horizontal="center"/>
    </xf>
    <xf borderId="2" fillId="14" fontId="12" numFmtId="4" xfId="0" applyAlignment="1" applyBorder="1" applyFill="1" applyFont="1" applyNumberFormat="1">
      <alignment horizontal="center"/>
    </xf>
    <xf borderId="2" fillId="14" fontId="12" numFmtId="10" xfId="0" applyAlignment="1" applyBorder="1" applyFill="1" applyFont="1" applyNumberFormat="1">
      <alignment horizontal="center"/>
    </xf>
    <xf borderId="18" fillId="7" fontId="4" numFmtId="4" xfId="0" applyAlignment="1" applyBorder="1" applyFill="1" applyFont="1" applyNumberFormat="1">
      <alignment vertical="center"/>
    </xf>
    <xf borderId="42" fillId="7" fontId="8" numFmtId="10" xfId="0" applyAlignment="1" applyBorder="1" applyFill="1" applyFont="1" applyNumberFormat="1">
      <alignment horizontal="center" vertical="center"/>
    </xf>
    <xf borderId="42" fillId="14" fontId="8" numFmtId="10" xfId="0" applyAlignment="1" applyBorder="1" applyFill="1" applyFont="1" applyNumberFormat="1">
      <alignment horizontal="center" vertical="center"/>
    </xf>
    <xf borderId="42" fillId="7" fontId="8" numFmtId="4" xfId="0" applyAlignment="1" applyBorder="1" applyFill="1" applyFont="1" applyNumberFormat="1">
      <alignment horizontal="center" vertical="center"/>
    </xf>
    <xf borderId="42" fillId="0" fontId="9" numFmtId="10" xfId="0" applyAlignment="1" applyBorder="1" applyFont="1" applyNumberFormat="1">
      <alignment horizontal="center" vertical="center"/>
    </xf>
    <xf borderId="3" fillId="0" fontId="29" numFmtId="10" xfId="0" applyAlignment="1" applyBorder="1" applyFont="1" applyNumberFormat="1">
      <alignment horizontal="center" vertical="center"/>
    </xf>
    <xf borderId="2" fillId="12" fontId="30" numFmtId="0" xfId="0" applyAlignment="1" applyBorder="1" applyFill="1" applyFont="1">
      <alignment horizontal="right"/>
    </xf>
    <xf borderId="2" fillId="14" fontId="31" numFmtId="0" xfId="0" applyAlignment="1" applyBorder="1" applyFill="1" applyFont="1">
      <alignment horizontal="center"/>
    </xf>
    <xf borderId="2" fillId="14" fontId="31" numFmtId="10" xfId="0" applyAlignment="1" applyBorder="1" applyFill="1" applyFont="1" applyNumberFormat="1">
      <alignment horizontal="center"/>
    </xf>
    <xf borderId="18" fillId="14" fontId="31" numFmtId="0" xfId="0" applyAlignment="1" applyBorder="1" applyFill="1" applyFont="1">
      <alignment horizontal="center"/>
    </xf>
    <xf borderId="18" fillId="14" fontId="31" numFmtId="10" xfId="0" applyAlignment="1" applyBorder="1" applyFill="1" applyFont="1" applyNumberFormat="1">
      <alignment horizontal="center"/>
    </xf>
    <xf borderId="0" fillId="0" fontId="12" numFmtId="0" xfId="0" applyAlignment="1" applyFont="1">
      <alignment horizontal="center"/>
    </xf>
    <xf borderId="60" fillId="0" fontId="4" numFmtId="4" xfId="0" applyAlignment="1" applyBorder="1" applyFont="1" applyNumberFormat="1">
      <alignment vertical="center"/>
    </xf>
    <xf borderId="22" fillId="0" fontId="8" numFmtId="10" xfId="0" applyAlignment="1" applyBorder="1" applyFont="1" applyNumberFormat="1">
      <alignment horizontal="center" vertical="center"/>
    </xf>
    <xf borderId="18" fillId="14" fontId="25" numFmtId="0" xfId="0" applyBorder="1" applyFill="1" applyFont="1"/>
    <xf borderId="0" fillId="0" fontId="9" numFmtId="0" xfId="0" applyAlignment="1" applyFont="1">
      <alignment horizontal="center" vertical="center"/>
    </xf>
    <xf borderId="0" fillId="0" fontId="11" numFmtId="0" xfId="0" applyAlignment="1" applyFont="1">
      <alignment horizontal="right"/>
    </xf>
    <xf borderId="0" fillId="0" fontId="11" numFmtId="4" xfId="0" applyAlignment="1" applyFont="1" applyNumberFormat="1">
      <alignment horizontal="right"/>
    </xf>
    <xf borderId="0" fillId="0" fontId="6" numFmtId="4" xfId="0" applyAlignment="1" applyFont="1" applyNumberFormat="1">
      <alignment vertical="center"/>
    </xf>
    <xf borderId="1" fillId="14" fontId="11" numFmtId="0" xfId="0" applyAlignment="1" applyBorder="1" applyFill="1" applyFont="1">
      <alignment horizontal="center"/>
    </xf>
    <xf borderId="1" fillId="14" fontId="11" numFmtId="4" xfId="0" applyAlignment="1" applyBorder="1" applyFill="1" applyFont="1" applyNumberFormat="1">
      <alignment horizontal="center"/>
    </xf>
    <xf borderId="0" fillId="0" fontId="2" numFmtId="0" xfId="0" applyFont="1"/>
    <xf borderId="0" fillId="0" fontId="4" numFmtId="14" xfId="0" applyAlignment="1" applyFont="1" applyNumberFormat="1">
      <alignment horizontal="center" vertical="center"/>
    </xf>
    <xf borderId="61" fillId="0" fontId="5" numFmtId="0" xfId="0" applyBorder="1" applyFont="1"/>
    <xf borderId="1" fillId="15" fontId="4" numFmtId="0" xfId="0" applyAlignment="1" applyBorder="1" applyFill="1" applyFont="1">
      <alignment shrinkToFit="0" wrapText="1"/>
    </xf>
    <xf borderId="0" fillId="0" fontId="6" numFmtId="165" xfId="0" applyAlignment="1" applyFont="1" applyNumberFormat="1">
      <alignment horizontal="right" vertical="center"/>
    </xf>
    <xf borderId="2" fillId="15" fontId="10" numFmtId="0" xfId="0" applyAlignment="1" applyBorder="1" applyFill="1" applyFont="1">
      <alignment horizontal="right" vertical="center"/>
    </xf>
    <xf borderId="13" fillId="15" fontId="6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left" vertical="center"/>
    </xf>
    <xf borderId="14" fillId="15" fontId="4" numFmtId="9" xfId="0" applyAlignment="1" applyBorder="1" applyFill="1" applyFont="1" applyNumberFormat="1">
      <alignment horizontal="center" vertical="center"/>
    </xf>
    <xf borderId="1" fillId="15" fontId="8" numFmtId="0" xfId="0" applyAlignment="1" applyBorder="1" applyFill="1" applyFont="1">
      <alignment shrinkToFit="0" wrapText="1"/>
    </xf>
    <xf borderId="31" fillId="3" fontId="11" numFmtId="0" xfId="0" applyAlignment="1" applyBorder="1" applyFill="1" applyFont="1">
      <alignment horizontal="center" shrinkToFit="0" vertical="center" wrapText="1"/>
    </xf>
    <xf borderId="2" fillId="10" fontId="23" numFmtId="0" xfId="0" applyBorder="1" applyFill="1" applyFont="1"/>
    <xf borderId="18" fillId="7" fontId="13" numFmtId="0" xfId="0" applyAlignment="1" applyBorder="1" applyFill="1" applyFont="1">
      <alignment horizontal="left" vertical="center"/>
    </xf>
    <xf borderId="16" fillId="7" fontId="9" numFmtId="4" xfId="0" applyAlignment="1" applyBorder="1" applyFill="1" applyFont="1" applyNumberFormat="1">
      <alignment horizontal="left" vertical="center"/>
    </xf>
    <xf borderId="56" fillId="7" fontId="4" numFmtId="4" xfId="0" applyAlignment="1" applyBorder="1" applyFill="1" applyFont="1" applyNumberFormat="1">
      <alignment horizontal="center" vertical="center"/>
    </xf>
    <xf borderId="50" fillId="15" fontId="4" numFmtId="0" xfId="0" applyAlignment="1" applyBorder="1" applyFill="1" applyFont="1">
      <alignment horizontal="center" vertical="center"/>
    </xf>
    <xf borderId="16" fillId="15" fontId="4" numFmtId="0" xfId="0" applyAlignment="1" applyBorder="1" applyFill="1" applyFont="1">
      <alignment horizontal="center" vertical="center"/>
    </xf>
    <xf borderId="56" fillId="4" fontId="4" numFmtId="4" xfId="0" applyAlignment="1" applyBorder="1" applyFill="1" applyFont="1" applyNumberFormat="1">
      <alignment vertical="center"/>
    </xf>
    <xf borderId="2" fillId="3" fontId="6" numFmtId="4" xfId="0" applyAlignment="1" applyBorder="1" applyFill="1" applyFont="1" applyNumberFormat="1">
      <alignment vertical="center"/>
    </xf>
    <xf borderId="16" fillId="4" fontId="9" numFmtId="4" xfId="0" applyAlignment="1" applyBorder="1" applyFill="1" applyFont="1" applyNumberFormat="1">
      <alignment vertical="center"/>
    </xf>
    <xf borderId="3" fillId="0" fontId="26" numFmtId="9" xfId="0" applyAlignment="1" applyBorder="1" applyFont="1" applyNumberFormat="1">
      <alignment vertical="center"/>
    </xf>
    <xf borderId="9" fillId="0" fontId="6" numFmtId="4" xfId="0" applyAlignment="1" applyBorder="1" applyFont="1" applyNumberFormat="1">
      <alignment horizontal="center" vertical="center"/>
    </xf>
    <xf borderId="4" fillId="0" fontId="8" numFmtId="10" xfId="0" applyAlignment="1" applyBorder="1" applyFont="1" applyNumberFormat="1">
      <alignment horizontal="center" vertical="center"/>
    </xf>
    <xf borderId="2" fillId="0" fontId="6" numFmtId="4" xfId="0" applyAlignment="1" applyBorder="1" applyFont="1" applyNumberFormat="1">
      <alignment vertical="center"/>
    </xf>
    <xf borderId="17" fillId="7" fontId="6" numFmtId="4" xfId="0" applyAlignment="1" applyBorder="1" applyFill="1" applyFont="1" applyNumberFormat="1">
      <alignment horizontal="center" vertical="center"/>
    </xf>
    <xf borderId="18" fillId="7" fontId="4" numFmtId="10" xfId="0" applyAlignment="1" applyBorder="1" applyFill="1" applyFont="1" applyNumberFormat="1">
      <alignment horizontal="center" vertical="center"/>
    </xf>
    <xf borderId="2" fillId="0" fontId="32" numFmtId="0" xfId="0" applyAlignment="1" applyBorder="1" applyFont="1">
      <alignment horizontal="center" shrinkToFit="0" wrapText="1"/>
    </xf>
    <xf borderId="56" fillId="4" fontId="4" numFmtId="4" xfId="0" applyAlignment="1" applyBorder="1" applyFill="1" applyFont="1" applyNumberFormat="1">
      <alignment horizontal="right"/>
    </xf>
    <xf borderId="2" fillId="0" fontId="12" numFmtId="0" xfId="0" applyAlignment="1" applyBorder="1" applyFont="1">
      <alignment horizontal="center"/>
    </xf>
    <xf borderId="2" fillId="3" fontId="10" numFmtId="4" xfId="0" applyAlignment="1" applyBorder="1" applyFill="1" applyFont="1" applyNumberFormat="1">
      <alignment vertical="center"/>
    </xf>
    <xf borderId="2" fillId="0" fontId="4" numFmtId="0" xfId="0" applyAlignment="1" applyBorder="1" applyFont="1">
      <alignment horizontal="center"/>
    </xf>
    <xf borderId="36" fillId="0" fontId="6" numFmtId="0" xfId="0" applyAlignment="1" applyBorder="1" applyFont="1">
      <alignment horizontal="right" shrinkToFit="0" wrapText="1"/>
    </xf>
    <xf borderId="62" fillId="0" fontId="6" numFmtId="0" xfId="0" applyAlignment="1" applyBorder="1" applyFont="1">
      <alignment horizontal="center" vertical="center"/>
    </xf>
    <xf borderId="63" fillId="0" fontId="6" numFmtId="0" xfId="0" applyAlignment="1" applyBorder="1" applyFont="1">
      <alignment horizontal="center" vertical="center"/>
    </xf>
    <xf borderId="63" fillId="0" fontId="6" numFmtId="4" xfId="0" applyAlignment="1" applyBorder="1" applyFont="1" applyNumberFormat="1">
      <alignment horizontal="center" vertical="center"/>
    </xf>
    <xf borderId="32" fillId="0" fontId="6" numFmtId="164" xfId="0" applyAlignment="1" applyBorder="1" applyFont="1" applyNumberFormat="1">
      <alignment horizontal="center" vertical="center"/>
    </xf>
    <xf borderId="0" fillId="0" fontId="6" numFmtId="4" xfId="0" applyAlignment="1" applyFont="1" applyNumberFormat="1">
      <alignment shrinkToFit="0" vertical="center" wrapText="1"/>
    </xf>
    <xf borderId="0" fillId="0" fontId="33" numFmtId="4" xfId="0" applyAlignment="1" applyFont="1" applyNumberFormat="1">
      <alignment vertical="center"/>
    </xf>
    <xf borderId="0" fillId="0" fontId="33" numFmtId="0" xfId="0" applyAlignment="1" applyFont="1">
      <alignment vertical="center"/>
    </xf>
    <xf borderId="0" fillId="0" fontId="6" numFmtId="165" xfId="0" applyAlignment="1" applyFont="1" applyNumberFormat="1">
      <alignment horizontal="left" vertical="center"/>
    </xf>
    <xf borderId="64" fillId="0" fontId="11" numFmtId="4" xfId="0" applyAlignment="1" applyBorder="1" applyFont="1" applyNumberFormat="1">
      <alignment horizontal="center" shrinkToFit="0" vertical="center" wrapText="1"/>
    </xf>
    <xf borderId="65" fillId="0" fontId="11" numFmtId="4" xfId="0" applyAlignment="1" applyBorder="1" applyFont="1" applyNumberFormat="1">
      <alignment horizontal="center" shrinkToFit="0" vertical="center" wrapText="1"/>
    </xf>
    <xf borderId="66" fillId="0" fontId="11" numFmtId="4" xfId="0" applyAlignment="1" applyBorder="1" applyFont="1" applyNumberFormat="1">
      <alignment horizontal="center" shrinkToFit="0" vertical="center" wrapText="1"/>
    </xf>
    <xf borderId="0" fillId="0" fontId="11" numFmtId="4" xfId="0" applyAlignment="1" applyFont="1" applyNumberFormat="1">
      <alignment horizontal="center" shrinkToFit="0" vertical="center" wrapText="1"/>
    </xf>
    <xf borderId="67" fillId="0" fontId="20" numFmtId="4" xfId="0" applyAlignment="1" applyBorder="1" applyFont="1" applyNumberFormat="1">
      <alignment horizontal="center" shrinkToFit="0" vertical="center" wrapText="1"/>
    </xf>
    <xf borderId="14" fillId="0" fontId="20" numFmtId="166" xfId="0" applyAlignment="1" applyBorder="1" applyFont="1" applyNumberFormat="1">
      <alignment horizontal="center" shrinkToFit="0" vertical="center" wrapText="1"/>
    </xf>
    <xf borderId="14" fillId="0" fontId="20" numFmtId="4" xfId="0" applyAlignment="1" applyBorder="1" applyFont="1" applyNumberFormat="1">
      <alignment horizontal="center" shrinkToFit="0" vertical="center" wrapText="1"/>
    </xf>
    <xf borderId="68" fillId="0" fontId="20" numFmtId="4" xfId="0" applyAlignment="1" applyBorder="1" applyFont="1" applyNumberFormat="1">
      <alignment horizontal="center" shrinkToFit="0" vertical="center" wrapText="1"/>
    </xf>
    <xf borderId="67" fillId="0" fontId="8" numFmtId="4" xfId="0" applyAlignment="1" applyBorder="1" applyFont="1" applyNumberFormat="1">
      <alignment horizontal="center" shrinkToFit="0" vertical="center" wrapText="1"/>
    </xf>
    <xf borderId="68" fillId="0" fontId="8" numFmtId="10" xfId="0" applyAlignment="1" applyBorder="1" applyFont="1" applyNumberFormat="1">
      <alignment horizontal="center" shrinkToFit="0" vertical="center" wrapText="1"/>
    </xf>
    <xf borderId="2" fillId="10" fontId="6" numFmtId="0" xfId="0" applyAlignment="1" applyBorder="1" applyFill="1" applyFont="1">
      <alignment shrinkToFit="0" wrapText="1"/>
    </xf>
    <xf borderId="2" fillId="10" fontId="4" numFmtId="0" xfId="0" applyAlignment="1" applyBorder="1" applyFill="1" applyFont="1">
      <alignment horizontal="center" vertical="center"/>
    </xf>
    <xf borderId="2" fillId="10" fontId="4" numFmtId="4" xfId="0" applyAlignment="1" applyBorder="1" applyFill="1" applyFont="1" applyNumberFormat="1">
      <alignment horizontal="center" vertical="center"/>
    </xf>
    <xf borderId="2" fillId="10" fontId="6" numFmtId="164" xfId="0" applyAlignment="1" applyBorder="1" applyFill="1" applyFont="1" applyNumberFormat="1">
      <alignment horizontal="center" vertical="center"/>
    </xf>
    <xf borderId="2" fillId="7" fontId="6" numFmtId="165" xfId="0" applyAlignment="1" applyBorder="1" applyFill="1" applyFont="1" applyNumberFormat="1">
      <alignment horizontal="center" vertical="center"/>
    </xf>
    <xf borderId="2" fillId="7" fontId="13" numFmtId="0" xfId="0" applyAlignment="1" applyBorder="1" applyFill="1" applyFont="1">
      <alignment horizontal="center" vertical="center"/>
    </xf>
    <xf borderId="2" fillId="7" fontId="13" numFmtId="9" xfId="0" applyAlignment="1" applyBorder="1" applyFill="1" applyFont="1" applyNumberFormat="1">
      <alignment horizontal="left" vertical="center"/>
    </xf>
    <xf borderId="2" fillId="7" fontId="4" numFmtId="0" xfId="0" applyAlignment="1" applyBorder="1" applyFill="1" applyFont="1">
      <alignment vertical="center"/>
    </xf>
    <xf borderId="2" fillId="7" fontId="8" numFmtId="10" xfId="0" applyAlignment="1" applyBorder="1" applyFill="1" applyFont="1" applyNumberFormat="1">
      <alignment vertical="center"/>
    </xf>
    <xf borderId="2" fillId="0" fontId="34" numFmtId="0" xfId="0" applyAlignment="1" applyBorder="1" applyFont="1">
      <alignment shrinkToFit="0" wrapText="1"/>
    </xf>
    <xf borderId="2" fillId="0" fontId="6" numFmtId="164" xfId="0" applyAlignment="1" applyBorder="1" applyFont="1" applyNumberFormat="1">
      <alignment horizontal="center" vertical="center"/>
    </xf>
    <xf borderId="2" fillId="4" fontId="4" numFmtId="4" xfId="0" applyAlignment="1" applyBorder="1" applyFill="1" applyFont="1" applyNumberFormat="1">
      <alignment horizontal="center" vertical="center"/>
    </xf>
    <xf borderId="2" fillId="12" fontId="9" numFmtId="4" xfId="0" applyAlignment="1" applyBorder="1" applyFill="1" applyFont="1" applyNumberFormat="1">
      <alignment horizontal="center" vertical="center"/>
    </xf>
    <xf borderId="2" fillId="0" fontId="4" numFmtId="9" xfId="0" applyAlignment="1" applyBorder="1" applyFont="1" applyNumberFormat="1">
      <alignment vertical="center"/>
    </xf>
    <xf borderId="2" fillId="0" fontId="8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2" fillId="0" fontId="8" numFmtId="10" xfId="0" applyAlignment="1" applyBorder="1" applyFont="1" applyNumberFormat="1">
      <alignment vertical="center"/>
    </xf>
    <xf borderId="2" fillId="0" fontId="17" numFmtId="0" xfId="0" applyBorder="1" applyFont="1"/>
    <xf borderId="2" fillId="0" fontId="35" numFmtId="0" xfId="0" applyAlignment="1" applyBorder="1" applyFont="1">
      <alignment shrinkToFit="0" wrapText="1"/>
    </xf>
    <xf borderId="2" fillId="0" fontId="36" numFmtId="0" xfId="0" applyAlignment="1" applyBorder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69" fillId="0" fontId="11" numFmtId="4" xfId="0" applyAlignment="1" applyBorder="1" applyFont="1" applyNumberFormat="1">
      <alignment horizontal="center" shrinkToFit="0" vertical="center" wrapText="1"/>
    </xf>
    <xf borderId="55" fillId="0" fontId="37" numFmtId="0" xfId="0" applyAlignment="1" applyBorder="1" applyFont="1">
      <alignment horizontal="center" vertical="center"/>
    </xf>
    <xf borderId="70" fillId="0" fontId="4" numFmtId="0" xfId="0" applyAlignment="1" applyBorder="1" applyFont="1">
      <alignment horizontal="center" vertical="center"/>
    </xf>
    <xf borderId="2" fillId="14" fontId="4" numFmtId="0" xfId="0" applyAlignment="1" applyBorder="1" applyFill="1" applyFont="1">
      <alignment horizontal="right"/>
    </xf>
    <xf borderId="2" fillId="11" fontId="8" numFmtId="0" xfId="0" applyAlignment="1" applyBorder="1" applyFill="1" applyFont="1">
      <alignment horizontal="center"/>
    </xf>
    <xf borderId="2" fillId="0" fontId="38" numFmtId="0" xfId="0" applyAlignment="1" applyBorder="1" applyFont="1">
      <alignment horizontal="left"/>
    </xf>
    <xf borderId="2" fillId="15" fontId="8" numFmtId="0" xfId="0" applyAlignment="1" applyBorder="1" applyFill="1" applyFont="1">
      <alignment horizontal="center"/>
    </xf>
    <xf borderId="2" fillId="0" fontId="8" numFmtId="0" xfId="0" applyAlignment="1" applyBorder="1" applyFont="1">
      <alignment horizontal="left"/>
    </xf>
    <xf borderId="2" fillId="13" fontId="8" numFmtId="0" xfId="0" applyAlignment="1" applyBorder="1" applyFill="1" applyFont="1">
      <alignment horizontal="center"/>
    </xf>
    <xf borderId="1" fillId="13" fontId="8" numFmtId="0" xfId="0" applyAlignment="1" applyBorder="1" applyFill="1" applyFont="1">
      <alignment horizontal="center"/>
    </xf>
    <xf borderId="0" fillId="0" fontId="4" numFmtId="10" xfId="0" applyAlignment="1" applyFont="1" applyNumberFormat="1">
      <alignment horizontal="center" vertical="center"/>
    </xf>
    <xf borderId="1" fillId="4" fontId="9" numFmtId="4" xfId="0" applyAlignment="1" applyBorder="1" applyFill="1" applyFont="1" applyNumberFormat="1">
      <alignment horizontal="center" vertical="center"/>
    </xf>
    <xf borderId="0" fillId="0" fontId="10" numFmtId="4" xfId="0" applyAlignment="1" applyFont="1" applyNumberFormat="1">
      <alignment horizontal="center" vertic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  <xf borderId="1" fillId="7" fontId="6" numFmtId="165" xfId="0" applyAlignment="1" applyBorder="1" applyFill="1" applyFont="1" applyNumberFormat="1">
      <alignment horizontal="center" vertical="center"/>
    </xf>
    <xf borderId="1" fillId="4" fontId="4" numFmtId="4" xfId="0" applyAlignment="1" applyBorder="1" applyFill="1" applyFont="1" applyNumberFormat="1">
      <alignment vertical="center"/>
    </xf>
    <xf borderId="1" fillId="3" fontId="4" numFmtId="4" xfId="0" applyAlignment="1" applyBorder="1" applyFill="1" applyFont="1" applyNumberFormat="1">
      <alignment vertical="center"/>
    </xf>
    <xf borderId="1" fillId="12" fontId="9" numFmtId="4" xfId="0" applyAlignment="1" applyBorder="1" applyFill="1" applyFont="1" applyNumberFormat="1">
      <alignment horizontal="center" vertical="center"/>
    </xf>
    <xf borderId="0" fillId="0" fontId="4" numFmtId="9" xfId="0" applyAlignment="1" applyFont="1" applyNumberFormat="1">
      <alignment vertical="center"/>
    </xf>
    <xf borderId="0" fillId="0" fontId="9" numFmtId="0" xfId="0" applyAlignment="1" applyFont="1">
      <alignment horizontal="center"/>
    </xf>
    <xf borderId="0" fillId="0" fontId="8" numFmtId="0" xfId="0" applyFont="1"/>
    <xf borderId="0" fillId="0" fontId="39" numFmtId="0" xfId="0" applyAlignment="1" applyFont="1">
      <alignment horizontal="center"/>
    </xf>
    <xf borderId="0" fillId="0" fontId="40" numFmtId="0" xfId="0" applyFont="1"/>
    <xf borderId="1" fillId="14" fontId="8" numFmtId="0" xfId="0" applyBorder="1" applyFill="1" applyFont="1"/>
    <xf borderId="0" fillId="0" fontId="8" numFmtId="1" xfId="0" applyAlignment="1" applyFont="1" applyNumberFormat="1">
      <alignment horizontal="center"/>
    </xf>
    <xf borderId="0" fillId="0" fontId="8" numFmtId="1" xfId="0" applyFont="1" applyNumberFormat="1"/>
    <xf borderId="1" fillId="15" fontId="41" numFmtId="0" xfId="0" applyAlignment="1" applyBorder="1" applyFill="1" applyFont="1">
      <alignment horizontal="center"/>
    </xf>
    <xf borderId="2" fillId="0" fontId="42" numFmtId="0" xfId="0" applyBorder="1" applyFont="1"/>
    <xf borderId="2" fillId="0" fontId="43" numFmtId="0" xfId="0" applyBorder="1" applyFont="1"/>
    <xf borderId="0" fillId="0" fontId="43" numFmtId="0" xfId="0" applyFont="1"/>
    <xf borderId="2" fillId="0" fontId="44" numFmtId="0" xfId="0" applyBorder="1" applyFont="1"/>
    <xf borderId="2" fillId="0" fontId="12" numFmtId="0" xfId="0" applyBorder="1" applyFont="1"/>
    <xf borderId="2" fillId="0" fontId="45" numFmtId="0" xfId="0" applyBorder="1" applyFont="1"/>
    <xf borderId="2" fillId="16" fontId="46" numFmtId="0" xfId="0" applyBorder="1" applyFill="1" applyFont="1"/>
    <xf borderId="2" fillId="0" fontId="47" numFmtId="0" xfId="0" applyBorder="1" applyFont="1"/>
    <xf borderId="2" fillId="0" fontId="48" numFmtId="0" xfId="0" applyBorder="1" applyFont="1"/>
    <xf borderId="0" fillId="0" fontId="47" numFmtId="0" xfId="0" applyFont="1"/>
    <xf borderId="0" fillId="0" fontId="44" numFmtId="0" xfId="0" applyFont="1"/>
  </cellXfs>
  <cellStyles count="1">
    <cellStyle xfId="0" name="Normal" builtinId="0"/>
  </cellStyles>
  <dxfs count="6">
    <dxf>
      <font/>
      <fill>
        <patternFill patternType="solid">
          <fgColor rgb="FFFA5858"/>
          <bgColor rgb="FFFA5858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5DCB65"/>
          <bgColor rgb="FF5DCB65"/>
        </patternFill>
      </fill>
      <border/>
    </dxf>
    <dxf>
      <font/>
      <fill>
        <patternFill patternType="solid">
          <fgColor rgb="FFDAE999"/>
          <bgColor rgb="FFDAE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ildberries.ru/catalog/100680844/detail.aspx?targetUrl=SP" TargetMode="External"/><Relationship Id="rId2" Type="http://schemas.openxmlformats.org/officeDocument/2006/relationships/hyperlink" Target="https://www.wildberries.ru/catalog/100680843/detail.aspx?targetUrl=SP" TargetMode="External"/><Relationship Id="rId3" Type="http://schemas.openxmlformats.org/officeDocument/2006/relationships/hyperlink" Target="https://www.wildberries.ru/catalog/152115510/detail.aspx?targetUrl=SP" TargetMode="External"/><Relationship Id="rId4" Type="http://schemas.openxmlformats.org/officeDocument/2006/relationships/hyperlink" Target="https://www.wildberries.ru/catalog/240311751/detail.aspx?targetUrl=SP" TargetMode="External"/><Relationship Id="rId5" Type="http://schemas.openxmlformats.org/officeDocument/2006/relationships/hyperlink" Target="https://www.wildberries.ru/catalog/176944957/detail.aspx?targetUrl=SP" TargetMode="External"/><Relationship Id="rId6" Type="http://schemas.openxmlformats.org/officeDocument/2006/relationships/hyperlink" Target="https://www.wildberries.ru/catalog/176945700/detail.aspx?targetUrl=SP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wildberries.ru/catalog/232182330/detail.aspx" TargetMode="External"/><Relationship Id="rId10" Type="http://schemas.openxmlformats.org/officeDocument/2006/relationships/hyperlink" Target="https://www.wildberries.ru/catalog/16666706/detail.aspx" TargetMode="External"/><Relationship Id="rId13" Type="http://schemas.openxmlformats.org/officeDocument/2006/relationships/hyperlink" Target="https://www.wildberries.ru/catalog/430182712/detail.aspx" TargetMode="External"/><Relationship Id="rId12" Type="http://schemas.openxmlformats.org/officeDocument/2006/relationships/hyperlink" Target="https://www.wildberries.ru/catalog/154464778/detail.aspx" TargetMode="External"/><Relationship Id="rId1" Type="http://schemas.openxmlformats.org/officeDocument/2006/relationships/hyperlink" Target="https://www.wildberries.ru/catalog/31010187/detail.aspx?targetUrl=EX" TargetMode="External"/><Relationship Id="rId2" Type="http://schemas.openxmlformats.org/officeDocument/2006/relationships/hyperlink" Target="https://www.wildberries.ru/catalog/156396619/detail.aspx" TargetMode="External"/><Relationship Id="rId3" Type="http://schemas.openxmlformats.org/officeDocument/2006/relationships/hyperlink" Target="https://www.wildberries.ru/catalog/33934535/detail.aspx?targetUrl=EX" TargetMode="External"/><Relationship Id="rId4" Type="http://schemas.openxmlformats.org/officeDocument/2006/relationships/hyperlink" Target="https://www.wildberries.ru/catalog/133685749/detail.aspx" TargetMode="External"/><Relationship Id="rId9" Type="http://schemas.openxmlformats.org/officeDocument/2006/relationships/hyperlink" Target="https://www.wildberries.ru/catalog/232722729/detail.aspx" TargetMode="External"/><Relationship Id="rId14" Type="http://schemas.openxmlformats.org/officeDocument/2006/relationships/drawing" Target="../drawings/drawing4.xml"/><Relationship Id="rId5" Type="http://schemas.openxmlformats.org/officeDocument/2006/relationships/hyperlink" Target="https://www.wildberries.ru/catalog/141032157/detail.aspx?targetUrl=EX" TargetMode="External"/><Relationship Id="rId6" Type="http://schemas.openxmlformats.org/officeDocument/2006/relationships/hyperlink" Target="https://www.wildberries.ru/catalog/404637891/detail.aspx" TargetMode="External"/><Relationship Id="rId7" Type="http://schemas.openxmlformats.org/officeDocument/2006/relationships/hyperlink" Target="https://www.wildberries.ru/catalog/404673469/detail.aspx" TargetMode="External"/><Relationship Id="rId8" Type="http://schemas.openxmlformats.org/officeDocument/2006/relationships/hyperlink" Target="https://www.wildberries.ru/catalog/157970341/detail.aspx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wildberries.ru/catalog/155920960/detail.aspx" TargetMode="External"/><Relationship Id="rId10" Type="http://schemas.openxmlformats.org/officeDocument/2006/relationships/hyperlink" Target="https://www.wildberries.ru/catalog/255404071/detail.aspx" TargetMode="External"/><Relationship Id="rId13" Type="http://schemas.openxmlformats.org/officeDocument/2006/relationships/hyperlink" Target="https://www.wildberries.ru/catalog/712022766/detail.aspx" TargetMode="External"/><Relationship Id="rId12" Type="http://schemas.openxmlformats.org/officeDocument/2006/relationships/hyperlink" Target="https://www.wildberries.ru/catalog/255203333/detail.aspx" TargetMode="External"/><Relationship Id="rId1" Type="http://schemas.openxmlformats.org/officeDocument/2006/relationships/hyperlink" Target="https://www.wildberries.ru/catalog/263737685/detail.aspx" TargetMode="External"/><Relationship Id="rId2" Type="http://schemas.openxmlformats.org/officeDocument/2006/relationships/hyperlink" Target="https://www.wildberries.ru/catalog/155937262/detail.aspx" TargetMode="External"/><Relationship Id="rId3" Type="http://schemas.openxmlformats.org/officeDocument/2006/relationships/hyperlink" Target="https://www.wildberries.ru/catalog/263736957/detail.aspx" TargetMode="External"/><Relationship Id="rId4" Type="http://schemas.openxmlformats.org/officeDocument/2006/relationships/hyperlink" Target="https://www.wildberries.ru/catalog/155949395/detail.aspx" TargetMode="External"/><Relationship Id="rId9" Type="http://schemas.openxmlformats.org/officeDocument/2006/relationships/hyperlink" Target="https://www.wildberries.ru/catalog/263730548/detail.aspx" TargetMode="External"/><Relationship Id="rId15" Type="http://schemas.openxmlformats.org/officeDocument/2006/relationships/drawing" Target="../drawings/drawing10.xml"/><Relationship Id="rId14" Type="http://schemas.openxmlformats.org/officeDocument/2006/relationships/hyperlink" Target="https://www.wildberries.ru/catalog/202549744/detail.aspx" TargetMode="External"/><Relationship Id="rId5" Type="http://schemas.openxmlformats.org/officeDocument/2006/relationships/hyperlink" Target="https://www.wildberries.ru/catalog/239985946/detail.aspx" TargetMode="External"/><Relationship Id="rId6" Type="http://schemas.openxmlformats.org/officeDocument/2006/relationships/hyperlink" Target="https://www.wildberries.ru/catalog/155931158/detail.aspx" TargetMode="External"/><Relationship Id="rId7" Type="http://schemas.openxmlformats.org/officeDocument/2006/relationships/hyperlink" Target="https://www.wildberries.ru/catalog/155939082/detail.aspx" TargetMode="External"/><Relationship Id="rId8" Type="http://schemas.openxmlformats.org/officeDocument/2006/relationships/hyperlink" Target="https://www.wildberries.ru/catalog/240014011/detail.aspx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ildberries.ru/catalog/169076150/detail.aspx?targetUrl=SP" TargetMode="External"/><Relationship Id="rId190" Type="http://schemas.openxmlformats.org/officeDocument/2006/relationships/hyperlink" Target="https://www.wildberries.ru/catalog/212957743/detail.aspx?targetUrl=SG" TargetMode="External"/><Relationship Id="rId42" Type="http://schemas.openxmlformats.org/officeDocument/2006/relationships/hyperlink" Target="https://www.wildberries.ru/catalog/207469760/detail.aspx?targetUrl=SP" TargetMode="External"/><Relationship Id="rId41" Type="http://schemas.openxmlformats.org/officeDocument/2006/relationships/hyperlink" Target="https://www.wildberries.ru/catalog/419630142/detail.aspx?targetUrl=SP" TargetMode="External"/><Relationship Id="rId44" Type="http://schemas.openxmlformats.org/officeDocument/2006/relationships/hyperlink" Target="https://www.wildberries.ru/catalog/212885914/detail.aspx?targetUrl=SP" TargetMode="External"/><Relationship Id="rId194" Type="http://schemas.openxmlformats.org/officeDocument/2006/relationships/hyperlink" Target="https://www.wildberries.ru/catalog/213410093/detail.aspx?targetUrl=SG" TargetMode="External"/><Relationship Id="rId43" Type="http://schemas.openxmlformats.org/officeDocument/2006/relationships/hyperlink" Target="https://www.wildberries.ru/catalog/207472742/detail.aspx?targetUrl=SP" TargetMode="External"/><Relationship Id="rId193" Type="http://schemas.openxmlformats.org/officeDocument/2006/relationships/hyperlink" Target="https://www.wildberries.ru/catalog/437190353/detail.aspx?targetUrl=GP" TargetMode="External"/><Relationship Id="rId46" Type="http://schemas.openxmlformats.org/officeDocument/2006/relationships/hyperlink" Target="https://www.wildberries.ru/catalog/207482718/detail.aspx?targetUrl=SP" TargetMode="External"/><Relationship Id="rId192" Type="http://schemas.openxmlformats.org/officeDocument/2006/relationships/hyperlink" Target="https://www.wildberries.ru/catalog/266446130/detail.aspx?targetUrl=SG" TargetMode="External"/><Relationship Id="rId45" Type="http://schemas.openxmlformats.org/officeDocument/2006/relationships/hyperlink" Target="https://www.wildberries.ru/catalog/207476777/detail.aspx?targetUrl=SP" TargetMode="External"/><Relationship Id="rId191" Type="http://schemas.openxmlformats.org/officeDocument/2006/relationships/hyperlink" Target="https://www.wildberries.ru/catalog/331559771/detail.aspx?targetUrl=SG" TargetMode="External"/><Relationship Id="rId48" Type="http://schemas.openxmlformats.org/officeDocument/2006/relationships/hyperlink" Target="https://www.wildberries.ru/catalog/60372745/detail.aspx?targetUrl=SG" TargetMode="External"/><Relationship Id="rId187" Type="http://schemas.openxmlformats.org/officeDocument/2006/relationships/hyperlink" Target="https://www.wildberries.ru/catalog/226115324/detail.aspx?targetUrl=SP" TargetMode="External"/><Relationship Id="rId47" Type="http://schemas.openxmlformats.org/officeDocument/2006/relationships/hyperlink" Target="https://www.wildberries.ru/catalog/24764472/detail.aspx?targetUrl=SG" TargetMode="External"/><Relationship Id="rId186" Type="http://schemas.openxmlformats.org/officeDocument/2006/relationships/hyperlink" Target="https://www.wildberries.ru/catalog/138864994/detail.aspx" TargetMode="External"/><Relationship Id="rId185" Type="http://schemas.openxmlformats.org/officeDocument/2006/relationships/hyperlink" Target="https://www.wildberries.ru/catalog/226117746/detail.aspx?targetUrl=SP" TargetMode="External"/><Relationship Id="rId49" Type="http://schemas.openxmlformats.org/officeDocument/2006/relationships/hyperlink" Target="https://www.wildberries.ru/catalog/207483780/detail.aspx?targetUrl=SP" TargetMode="External"/><Relationship Id="rId184" Type="http://schemas.openxmlformats.org/officeDocument/2006/relationships/hyperlink" Target="https://www.wildberries.ru/catalog/138863721/detail.aspx" TargetMode="External"/><Relationship Id="rId189" Type="http://schemas.openxmlformats.org/officeDocument/2006/relationships/hyperlink" Target="https://www.wildberries.ru/catalog/437154709/detail.aspx?targetUrl=GP" TargetMode="External"/><Relationship Id="rId188" Type="http://schemas.openxmlformats.org/officeDocument/2006/relationships/hyperlink" Target="https://www.wildberries.ru/catalog/75630392/detail.aspx" TargetMode="External"/><Relationship Id="rId31" Type="http://schemas.openxmlformats.org/officeDocument/2006/relationships/hyperlink" Target="https://www.wildberries.ru/catalog/264257257/detail.aspx?targetUrl=SG" TargetMode="External"/><Relationship Id="rId30" Type="http://schemas.openxmlformats.org/officeDocument/2006/relationships/hyperlink" Target="https://www.wildberries.ru/catalog/170198337/detail.aspx?targetUrl=SP" TargetMode="External"/><Relationship Id="rId33" Type="http://schemas.openxmlformats.org/officeDocument/2006/relationships/hyperlink" Target="https://www.wildberries.ru/catalog/170198180/detail.aspx?targetUrl=SP" TargetMode="External"/><Relationship Id="rId183" Type="http://schemas.openxmlformats.org/officeDocument/2006/relationships/hyperlink" Target="https://www.wildberries.ru/catalog/247697601/detail.aspx" TargetMode="External"/><Relationship Id="rId32" Type="http://schemas.openxmlformats.org/officeDocument/2006/relationships/hyperlink" Target="https://www.wildberries.ru/catalog/26203745/detail.aspx?targetUrl=SG" TargetMode="External"/><Relationship Id="rId182" Type="http://schemas.openxmlformats.org/officeDocument/2006/relationships/hyperlink" Target="https://www.wildberries.ru/catalog/226114831/detail.aspx?targetUrl=SP" TargetMode="External"/><Relationship Id="rId35" Type="http://schemas.openxmlformats.org/officeDocument/2006/relationships/hyperlink" Target="https://www.wildberries.ru/catalog/31144352/detail.aspx?targetUrl=SG" TargetMode="External"/><Relationship Id="rId181" Type="http://schemas.openxmlformats.org/officeDocument/2006/relationships/hyperlink" Target="https://www.wildberries.ru/catalog/60316861/detail.aspx" TargetMode="External"/><Relationship Id="rId34" Type="http://schemas.openxmlformats.org/officeDocument/2006/relationships/hyperlink" Target="https://www.wildberries.ru/catalog/172244515/detail.aspx?targetUrl=SG" TargetMode="External"/><Relationship Id="rId180" Type="http://schemas.openxmlformats.org/officeDocument/2006/relationships/hyperlink" Target="https://www.wildberries.ru/catalog/229886527/detail.aspx" TargetMode="External"/><Relationship Id="rId37" Type="http://schemas.openxmlformats.org/officeDocument/2006/relationships/hyperlink" Target="https://www.wildberries.ru/catalog/19645277/detail.aspx?targetUrl=SG" TargetMode="External"/><Relationship Id="rId176" Type="http://schemas.openxmlformats.org/officeDocument/2006/relationships/hyperlink" Target="https://www.wildberries.ru/catalog/226115248/detail.aspx?targetUrl=SP" TargetMode="External"/><Relationship Id="rId297" Type="http://schemas.openxmlformats.org/officeDocument/2006/relationships/hyperlink" Target="https://www.wildberries.ru/catalog/236822518/detail.aspx?targetUrl=GP" TargetMode="External"/><Relationship Id="rId36" Type="http://schemas.openxmlformats.org/officeDocument/2006/relationships/hyperlink" Target="https://www.wildberries.ru/catalog/170198835/detail.aspx?targetUrl=SP" TargetMode="External"/><Relationship Id="rId175" Type="http://schemas.openxmlformats.org/officeDocument/2006/relationships/hyperlink" Target="https://www.wildberries.ru/catalog/208465802/detail.aspx" TargetMode="External"/><Relationship Id="rId296" Type="http://schemas.openxmlformats.org/officeDocument/2006/relationships/hyperlink" Target="https://www.wildberries.ru/catalog/284164904/detail.aspx?targetUrl=SG" TargetMode="External"/><Relationship Id="rId39" Type="http://schemas.openxmlformats.org/officeDocument/2006/relationships/hyperlink" Target="https://www.wildberries.ru/catalog/168956391/detail.aspx?targetUrl=SP" TargetMode="External"/><Relationship Id="rId174" Type="http://schemas.openxmlformats.org/officeDocument/2006/relationships/hyperlink" Target="https://www.wildberries.ru/catalog/226115141/detail.aspx?targetUrl=SP" TargetMode="External"/><Relationship Id="rId295" Type="http://schemas.openxmlformats.org/officeDocument/2006/relationships/hyperlink" Target="https://www.wildberries.ru/catalog/207477077/detail.aspx?targetUrl=GP" TargetMode="External"/><Relationship Id="rId38" Type="http://schemas.openxmlformats.org/officeDocument/2006/relationships/hyperlink" Target="https://www.wildberries.ru/catalog/264257923/detail.aspx?targetUrl=SG" TargetMode="External"/><Relationship Id="rId173" Type="http://schemas.openxmlformats.org/officeDocument/2006/relationships/hyperlink" Target="https://www.wildberries.ru/catalog/199317294/detail.aspx" TargetMode="External"/><Relationship Id="rId294" Type="http://schemas.openxmlformats.org/officeDocument/2006/relationships/hyperlink" Target="https://www.wildberries.ru/catalog/179632677/detail.aspx?targetUrl=SG" TargetMode="External"/><Relationship Id="rId179" Type="http://schemas.openxmlformats.org/officeDocument/2006/relationships/hyperlink" Target="https://www.wildberries.ru/catalog/15838711/detail.aspx" TargetMode="External"/><Relationship Id="rId178" Type="http://schemas.openxmlformats.org/officeDocument/2006/relationships/hyperlink" Target="https://www.wildberries.ru/catalog/179611278/detail.aspx?targetUrl=SP" TargetMode="External"/><Relationship Id="rId299" Type="http://schemas.openxmlformats.org/officeDocument/2006/relationships/hyperlink" Target="https://www.wildberries.ru/catalog/214977901/detail.aspx?targetUrl=GP" TargetMode="External"/><Relationship Id="rId177" Type="http://schemas.openxmlformats.org/officeDocument/2006/relationships/hyperlink" Target="https://www.wildberries.ru/catalog/21163751/detail.aspx" TargetMode="External"/><Relationship Id="rId298" Type="http://schemas.openxmlformats.org/officeDocument/2006/relationships/hyperlink" Target="https://www.wildberries.ru/catalog/236825103/detail.aspx?targetUrl=GP" TargetMode="External"/><Relationship Id="rId20" Type="http://schemas.openxmlformats.org/officeDocument/2006/relationships/hyperlink" Target="https://www.wildberries.ru/catalog/200642536/detail.aspx?targetUrl=SG" TargetMode="External"/><Relationship Id="rId22" Type="http://schemas.openxmlformats.org/officeDocument/2006/relationships/hyperlink" Target="https://www.wildberries.ru/catalog/150925322/detail.aspx?targetUrl=SP" TargetMode="External"/><Relationship Id="rId21" Type="http://schemas.openxmlformats.org/officeDocument/2006/relationships/hyperlink" Target="https://www.wildberries.ru/catalog/15681869/detail.aspx?targetUrl=SG" TargetMode="External"/><Relationship Id="rId24" Type="http://schemas.openxmlformats.org/officeDocument/2006/relationships/hyperlink" Target="https://www.wildberries.ru/catalog/16673649/detail.aspx?targetUrl=SG" TargetMode="External"/><Relationship Id="rId23" Type="http://schemas.openxmlformats.org/officeDocument/2006/relationships/hyperlink" Target="https://www.wildberries.ru/catalog/148112844/detail.aspx?targetUrl=SG" TargetMode="External"/><Relationship Id="rId26" Type="http://schemas.openxmlformats.org/officeDocument/2006/relationships/hyperlink" Target="https://www.wildberries.ru/catalog/18890138/detail.aspx?targetUrl=SG" TargetMode="External"/><Relationship Id="rId25" Type="http://schemas.openxmlformats.org/officeDocument/2006/relationships/hyperlink" Target="https://www.wildberries.ru/catalog/207796789/detail.aspx?targetUrl=SP" TargetMode="External"/><Relationship Id="rId28" Type="http://schemas.openxmlformats.org/officeDocument/2006/relationships/hyperlink" Target="https://www.wildberries.ru/catalog/18890139/detail.aspx?targetUrl=SG" TargetMode="External"/><Relationship Id="rId27" Type="http://schemas.openxmlformats.org/officeDocument/2006/relationships/hyperlink" Target="https://www.wildberries.ru/catalog/207796898/detail.aspx?targetUrl=SP" TargetMode="External"/><Relationship Id="rId29" Type="http://schemas.openxmlformats.org/officeDocument/2006/relationships/hyperlink" Target="https://www.wildberries.ru/catalog/191662221/detail.aspx?targetUrl=SG" TargetMode="External"/><Relationship Id="rId11" Type="http://schemas.openxmlformats.org/officeDocument/2006/relationships/hyperlink" Target="https://www.wildberries.ru/catalog/238416010/detail.aspx?targetUrl=SP" TargetMode="External"/><Relationship Id="rId10" Type="http://schemas.openxmlformats.org/officeDocument/2006/relationships/hyperlink" Target="https://www.wildberries.ru/catalog/223008030/detail.aspx?targetUrl=SG" TargetMode="External"/><Relationship Id="rId13" Type="http://schemas.openxmlformats.org/officeDocument/2006/relationships/hyperlink" Target="https://www.wildberries.ru/catalog/238358954/detail.aspx?targetUrl=SP" TargetMode="External"/><Relationship Id="rId12" Type="http://schemas.openxmlformats.org/officeDocument/2006/relationships/hyperlink" Target="https://www.wildberries.ru/catalog/133743724/detail.aspx?targetUrl=SG" TargetMode="External"/><Relationship Id="rId15" Type="http://schemas.openxmlformats.org/officeDocument/2006/relationships/hyperlink" Target="https://www.wildberries.ru/catalog/44707835/detail.aspx?targetUrl=SG" TargetMode="External"/><Relationship Id="rId198" Type="http://schemas.openxmlformats.org/officeDocument/2006/relationships/hyperlink" Target="https://www.wildberries.ru/catalog/212789567/detail.aspx" TargetMode="External"/><Relationship Id="rId14" Type="http://schemas.openxmlformats.org/officeDocument/2006/relationships/hyperlink" Target="https://www.wildberries.ru/catalog/204934863/detail.aspx?targetUrl=SG" TargetMode="External"/><Relationship Id="rId197" Type="http://schemas.openxmlformats.org/officeDocument/2006/relationships/hyperlink" Target="https://www.wildberries.ru/catalog/437203627/detail.aspx?targetUrl=GP" TargetMode="External"/><Relationship Id="rId17" Type="http://schemas.openxmlformats.org/officeDocument/2006/relationships/hyperlink" Target="https://www.wildberries.ru/catalog/151132051/detail.aspx?targetUrl=SP" TargetMode="External"/><Relationship Id="rId196" Type="http://schemas.openxmlformats.org/officeDocument/2006/relationships/hyperlink" Target="https://www.wildberries.ru/catalog/387658123/detail.aspx?targetUrl=SG" TargetMode="External"/><Relationship Id="rId16" Type="http://schemas.openxmlformats.org/officeDocument/2006/relationships/hyperlink" Target="https://www.wildberries.ru/catalog/245741240/detail.aspx?targetUrl=SG" TargetMode="External"/><Relationship Id="rId195" Type="http://schemas.openxmlformats.org/officeDocument/2006/relationships/hyperlink" Target="https://www.wildberries.ru/catalog/259969768/detail.aspx?targetUrl=SG" TargetMode="External"/><Relationship Id="rId19" Type="http://schemas.openxmlformats.org/officeDocument/2006/relationships/hyperlink" Target="https://www.wildberries.ru/catalog/151132052/detail.aspx?targetUrl=SP" TargetMode="External"/><Relationship Id="rId18" Type="http://schemas.openxmlformats.org/officeDocument/2006/relationships/hyperlink" Target="https://www.wildberries.ru/catalog/19132601/detail.aspx?targetUrl=SG" TargetMode="External"/><Relationship Id="rId199" Type="http://schemas.openxmlformats.org/officeDocument/2006/relationships/hyperlink" Target="https://www.wildberries.ru/catalog/171669085/detail.aspx?targetUrl=SG" TargetMode="External"/><Relationship Id="rId84" Type="http://schemas.openxmlformats.org/officeDocument/2006/relationships/hyperlink" Target="https://www.wildberries.ru/catalog/207464799/detail.aspx?targetUrl=SP" TargetMode="External"/><Relationship Id="rId83" Type="http://schemas.openxmlformats.org/officeDocument/2006/relationships/hyperlink" Target="https://www.wildberries.ru/catalog/207544200/detail.aspx" TargetMode="External"/><Relationship Id="rId86" Type="http://schemas.openxmlformats.org/officeDocument/2006/relationships/hyperlink" Target="https://www.wildberries.ru/catalog/13285222/detail.aspx?targetUrl=SG" TargetMode="External"/><Relationship Id="rId85" Type="http://schemas.openxmlformats.org/officeDocument/2006/relationships/hyperlink" Target="https://www.wildberries.ru/catalog/132214480/detail.aspx?targetUrl=SG" TargetMode="External"/><Relationship Id="rId88" Type="http://schemas.openxmlformats.org/officeDocument/2006/relationships/hyperlink" Target="https://www.wildberries.ru/catalog/119918837/detail.aspx" TargetMode="External"/><Relationship Id="rId150" Type="http://schemas.openxmlformats.org/officeDocument/2006/relationships/hyperlink" Target="https://www.wildberries.ru/catalog/222641638/detail.aspx" TargetMode="External"/><Relationship Id="rId271" Type="http://schemas.openxmlformats.org/officeDocument/2006/relationships/hyperlink" Target="https://www.wildberries.ru/catalog/207481714/detail.aspx?targetUrl=GP" TargetMode="External"/><Relationship Id="rId87" Type="http://schemas.openxmlformats.org/officeDocument/2006/relationships/hyperlink" Target="https://www.wildberries.ru/catalog/207465786/detail.aspx?targetUrl=SP" TargetMode="External"/><Relationship Id="rId270" Type="http://schemas.openxmlformats.org/officeDocument/2006/relationships/hyperlink" Target="https://www.wildberries.ru/catalog/207481251/detail.aspx?targetUrl=GP" TargetMode="External"/><Relationship Id="rId89" Type="http://schemas.openxmlformats.org/officeDocument/2006/relationships/hyperlink" Target="https://www.wildberries.ru/catalog/188277098/detail.aspx?targetUrl=SG" TargetMode="External"/><Relationship Id="rId80" Type="http://schemas.openxmlformats.org/officeDocument/2006/relationships/hyperlink" Target="https://www.wildberries.ru/catalog/212713941/detail.aspx?targetUrl=SP" TargetMode="External"/><Relationship Id="rId82" Type="http://schemas.openxmlformats.org/officeDocument/2006/relationships/hyperlink" Target="https://www.wildberries.ru/catalog/7863727/detail.aspx" TargetMode="External"/><Relationship Id="rId81" Type="http://schemas.openxmlformats.org/officeDocument/2006/relationships/hyperlink" Target="https://www.wildberries.ru/catalog/306072611/detail.aspx" TargetMode="External"/><Relationship Id="rId1" Type="http://schemas.openxmlformats.org/officeDocument/2006/relationships/hyperlink" Target="https://www.wildberries.ru/catalog/208202076/detail.aspx?targetUrl=SP" TargetMode="External"/><Relationship Id="rId2" Type="http://schemas.openxmlformats.org/officeDocument/2006/relationships/hyperlink" Target="https://www.wildberries.ru/catalog/251126478/detail.aspx?targetUrl=SG" TargetMode="External"/><Relationship Id="rId3" Type="http://schemas.openxmlformats.org/officeDocument/2006/relationships/hyperlink" Target="https://www.wildberries.ru/catalog/190160197/detail.aspx?targetUrl=SP" TargetMode="External"/><Relationship Id="rId149" Type="http://schemas.openxmlformats.org/officeDocument/2006/relationships/hyperlink" Target="https://www.wildberries.ru/catalog/213906343/detail.aspx" TargetMode="External"/><Relationship Id="rId4" Type="http://schemas.openxmlformats.org/officeDocument/2006/relationships/hyperlink" Target="https://www.wildberries.ru/catalog/12396126/detail.aspx" TargetMode="External"/><Relationship Id="rId148" Type="http://schemas.openxmlformats.org/officeDocument/2006/relationships/hyperlink" Target="https://www.wildberries.ru/catalog/179611207/detail.aspx?targetUrl=SP" TargetMode="External"/><Relationship Id="rId269" Type="http://schemas.openxmlformats.org/officeDocument/2006/relationships/hyperlink" Target="https://www.wildberries.ru/catalog/12667327/detail.aspx?targetUrl=SG" TargetMode="External"/><Relationship Id="rId9" Type="http://schemas.openxmlformats.org/officeDocument/2006/relationships/hyperlink" Target="https://www.wildberries.ru/catalog/33641488/detail.aspx?targetUrl=SG" TargetMode="External"/><Relationship Id="rId143" Type="http://schemas.openxmlformats.org/officeDocument/2006/relationships/hyperlink" Target="https://www.wildberries.ru/catalog/15780385/detail.aspx" TargetMode="External"/><Relationship Id="rId264" Type="http://schemas.openxmlformats.org/officeDocument/2006/relationships/hyperlink" Target="https://www.wildberries.ru/catalog/206126372/detail.aspx?targetUrl=GP" TargetMode="External"/><Relationship Id="rId142" Type="http://schemas.openxmlformats.org/officeDocument/2006/relationships/hyperlink" Target="https://www.wildberries.ru/catalog/38974110/detail.aspx" TargetMode="External"/><Relationship Id="rId263" Type="http://schemas.openxmlformats.org/officeDocument/2006/relationships/hyperlink" Target="https://www.wildberries.ru/catalog/161342478/detail.aspx" TargetMode="External"/><Relationship Id="rId141" Type="http://schemas.openxmlformats.org/officeDocument/2006/relationships/hyperlink" Target="https://www.wildberries.ru/catalog/213903355/detail.aspx" TargetMode="External"/><Relationship Id="rId262" Type="http://schemas.openxmlformats.org/officeDocument/2006/relationships/hyperlink" Target="https://www.wildberries.ru/catalog/206122859/detail.aspx?targetUrl=GP" TargetMode="External"/><Relationship Id="rId140" Type="http://schemas.openxmlformats.org/officeDocument/2006/relationships/hyperlink" Target="https://www.wildberries.ru/catalog/151175877/detail.aspx?targetUrl=SP" TargetMode="External"/><Relationship Id="rId261" Type="http://schemas.openxmlformats.org/officeDocument/2006/relationships/hyperlink" Target="https://www.wildberries.ru/catalog/102340264/detail.aspx" TargetMode="External"/><Relationship Id="rId5" Type="http://schemas.openxmlformats.org/officeDocument/2006/relationships/hyperlink" Target="https://www.wildberries.ru/catalog/173618124/detail.aspx" TargetMode="External"/><Relationship Id="rId147" Type="http://schemas.openxmlformats.org/officeDocument/2006/relationships/hyperlink" Target="https://www.wildberries.ru/catalog/45068401/detail.aspx" TargetMode="External"/><Relationship Id="rId268" Type="http://schemas.openxmlformats.org/officeDocument/2006/relationships/hyperlink" Target="https://www.wildberries.ru/catalog/36289920/detail.aspx" TargetMode="External"/><Relationship Id="rId6" Type="http://schemas.openxmlformats.org/officeDocument/2006/relationships/hyperlink" Target="https://www.wildberries.ru/catalog/207479264/detail.aspx?targetUrl=SP" TargetMode="External"/><Relationship Id="rId146" Type="http://schemas.openxmlformats.org/officeDocument/2006/relationships/hyperlink" Target="https://www.wildberries.ru/catalog/13437003/detail.aspx" TargetMode="External"/><Relationship Id="rId267" Type="http://schemas.openxmlformats.org/officeDocument/2006/relationships/hyperlink" Target="https://www.wildberries.ru/catalog/37623510/detail.aspx" TargetMode="External"/><Relationship Id="rId7" Type="http://schemas.openxmlformats.org/officeDocument/2006/relationships/hyperlink" Target="https://www.wildberries.ru/catalog/12396128/detail.aspx" TargetMode="External"/><Relationship Id="rId145" Type="http://schemas.openxmlformats.org/officeDocument/2006/relationships/hyperlink" Target="https://www.wildberries.ru/catalog/199666069/detail.aspx" TargetMode="External"/><Relationship Id="rId266" Type="http://schemas.openxmlformats.org/officeDocument/2006/relationships/hyperlink" Target="https://www.wildberries.ru/catalog/204250060/detail.aspx?targetUrl=GP" TargetMode="External"/><Relationship Id="rId8" Type="http://schemas.openxmlformats.org/officeDocument/2006/relationships/hyperlink" Target="https://www.wildberries.ru/catalog/238415286/detail.aspx?targetUrl=SP" TargetMode="External"/><Relationship Id="rId144" Type="http://schemas.openxmlformats.org/officeDocument/2006/relationships/hyperlink" Target="https://www.wildberries.ru/catalog/179611231/detail.aspx?targetUrl=SP" TargetMode="External"/><Relationship Id="rId265" Type="http://schemas.openxmlformats.org/officeDocument/2006/relationships/hyperlink" Target="https://www.wildberries.ru/catalog/103843889/detail.aspx" TargetMode="External"/><Relationship Id="rId73" Type="http://schemas.openxmlformats.org/officeDocument/2006/relationships/hyperlink" Target="https://www.wildberries.ru/catalog/59443867/detail.aspx?targetUrl=EX" TargetMode="External"/><Relationship Id="rId72" Type="http://schemas.openxmlformats.org/officeDocument/2006/relationships/hyperlink" Target="https://www.wildberries.ru/catalog/59315675/detail.aspx?targetUrl=SG" TargetMode="External"/><Relationship Id="rId75" Type="http://schemas.openxmlformats.org/officeDocument/2006/relationships/hyperlink" Target="https://www.wildberries.ru/catalog/205951690/detail.aspx" TargetMode="External"/><Relationship Id="rId74" Type="http://schemas.openxmlformats.org/officeDocument/2006/relationships/hyperlink" Target="https://www.wildberries.ru/catalog/212717820/detail.aspx?targetUrl=SP" TargetMode="External"/><Relationship Id="rId77" Type="http://schemas.openxmlformats.org/officeDocument/2006/relationships/hyperlink" Target="https://www.wildberries.ru/catalog/212713617/detail.aspx?targetUrl=SP" TargetMode="External"/><Relationship Id="rId260" Type="http://schemas.openxmlformats.org/officeDocument/2006/relationships/hyperlink" Target="https://www.wildberries.ru/catalog/206135397/detail.aspx?targetUrl=GP" TargetMode="External"/><Relationship Id="rId76" Type="http://schemas.openxmlformats.org/officeDocument/2006/relationships/hyperlink" Target="https://www.wildberries.ru/catalog/207544196/detail.aspx" TargetMode="External"/><Relationship Id="rId79" Type="http://schemas.openxmlformats.org/officeDocument/2006/relationships/hyperlink" Target="https://www.wildberries.ru/catalog/262052941/detail.aspx" TargetMode="External"/><Relationship Id="rId78" Type="http://schemas.openxmlformats.org/officeDocument/2006/relationships/hyperlink" Target="https://www.wildberries.ru/catalog/172653193/detail.aspx" TargetMode="External"/><Relationship Id="rId71" Type="http://schemas.openxmlformats.org/officeDocument/2006/relationships/hyperlink" Target="https://www.wildberries.ru/catalog/210579932/detail.aspx?targetUrl=SP" TargetMode="External"/><Relationship Id="rId70" Type="http://schemas.openxmlformats.org/officeDocument/2006/relationships/hyperlink" Target="https://www.wildberries.ru/catalog/59328846/detail.aspx?targetUrl=SG" TargetMode="External"/><Relationship Id="rId139" Type="http://schemas.openxmlformats.org/officeDocument/2006/relationships/hyperlink" Target="https://www.wildberries.ru/catalog/45060167/detail.aspx" TargetMode="External"/><Relationship Id="rId138" Type="http://schemas.openxmlformats.org/officeDocument/2006/relationships/hyperlink" Target="https://www.wildberries.ru/catalog/199665985/detail.aspx" TargetMode="External"/><Relationship Id="rId259" Type="http://schemas.openxmlformats.org/officeDocument/2006/relationships/hyperlink" Target="https://www.wildberries.ru/catalog/161342479/detail.aspx" TargetMode="External"/><Relationship Id="rId137" Type="http://schemas.openxmlformats.org/officeDocument/2006/relationships/hyperlink" Target="https://www.wildberries.ru/catalog/60316791/detail.aspx" TargetMode="External"/><Relationship Id="rId258" Type="http://schemas.openxmlformats.org/officeDocument/2006/relationships/hyperlink" Target="https://www.wildberries.ru/catalog/206125905/detail.aspx?targetUrl=GP" TargetMode="External"/><Relationship Id="rId132" Type="http://schemas.openxmlformats.org/officeDocument/2006/relationships/hyperlink" Target="https://www.wildberries.ru/catalog/295848702/detail.aspx" TargetMode="External"/><Relationship Id="rId253" Type="http://schemas.openxmlformats.org/officeDocument/2006/relationships/hyperlink" Target="https://www.wildberries.ru/catalog/170198109/detail.aspx?targetUrl=GP" TargetMode="External"/><Relationship Id="rId131" Type="http://schemas.openxmlformats.org/officeDocument/2006/relationships/hyperlink" Target="https://www.wildberries.ru/catalog/169198316/detail.aspx?targetUrl=SP" TargetMode="External"/><Relationship Id="rId252" Type="http://schemas.openxmlformats.org/officeDocument/2006/relationships/hyperlink" Target="https://www.wildberries.ru/catalog/264257257/detail.aspx" TargetMode="External"/><Relationship Id="rId130" Type="http://schemas.openxmlformats.org/officeDocument/2006/relationships/hyperlink" Target="https://www.wildberries.ru/catalog/22394505/detail.aspx?targetUrl=SG" TargetMode="External"/><Relationship Id="rId251" Type="http://schemas.openxmlformats.org/officeDocument/2006/relationships/hyperlink" Target="https://www.wildberries.ru/catalog/33608976/detail.aspx" TargetMode="External"/><Relationship Id="rId250" Type="http://schemas.openxmlformats.org/officeDocument/2006/relationships/hyperlink" Target="https://www.wildberries.ru/catalog/26203311/detail.aspx?targetUrl=SG" TargetMode="External"/><Relationship Id="rId136" Type="http://schemas.openxmlformats.org/officeDocument/2006/relationships/hyperlink" Target="https://www.wildberries.ru/catalog/151175880/detail.aspx?targetUrl=SP" TargetMode="External"/><Relationship Id="rId257" Type="http://schemas.openxmlformats.org/officeDocument/2006/relationships/hyperlink" Target="https://www.wildberries.ru/catalog/264257924/detail.aspx?targetUrl=SG" TargetMode="External"/><Relationship Id="rId135" Type="http://schemas.openxmlformats.org/officeDocument/2006/relationships/hyperlink" Target="https://www.wildberries.ru/catalog/179611284/detail.aspx?targetUrl=SP" TargetMode="External"/><Relationship Id="rId256" Type="http://schemas.openxmlformats.org/officeDocument/2006/relationships/hyperlink" Target="https://www.wildberries.ru/catalog/170198876/detail.aspx?targetUrl=GP" TargetMode="External"/><Relationship Id="rId134" Type="http://schemas.openxmlformats.org/officeDocument/2006/relationships/hyperlink" Target="https://www.wildberries.ru/catalog/180709801/detail.aspx" TargetMode="External"/><Relationship Id="rId255" Type="http://schemas.openxmlformats.org/officeDocument/2006/relationships/hyperlink" Target="https://www.wildberries.ru/catalog/31144352/detail.aspx?targetUrl=SG" TargetMode="External"/><Relationship Id="rId133" Type="http://schemas.openxmlformats.org/officeDocument/2006/relationships/hyperlink" Target="https://www.wildberries.ru/catalog/180709801/detail.aspx?targetUrl=SP" TargetMode="External"/><Relationship Id="rId254" Type="http://schemas.openxmlformats.org/officeDocument/2006/relationships/hyperlink" Target="https://www.wildberries.ru/catalog/172244673/detail.aspx?targetUrl=SG" TargetMode="External"/><Relationship Id="rId62" Type="http://schemas.openxmlformats.org/officeDocument/2006/relationships/hyperlink" Target="https://www.wildberries.ru/catalog/147462289/detail.aspx" TargetMode="External"/><Relationship Id="rId61" Type="http://schemas.openxmlformats.org/officeDocument/2006/relationships/hyperlink" Target="https://www.wildberries.ru/catalog/187665770/detail.aspx" TargetMode="External"/><Relationship Id="rId64" Type="http://schemas.openxmlformats.org/officeDocument/2006/relationships/hyperlink" Target="https://www.wildberries.ru/catalog/142669118/detail.aspx" TargetMode="External"/><Relationship Id="rId63" Type="http://schemas.openxmlformats.org/officeDocument/2006/relationships/hyperlink" Target="https://www.wildberries.ru/catalog/212760119/detail.aspx?targetUrl=SP" TargetMode="External"/><Relationship Id="rId66" Type="http://schemas.openxmlformats.org/officeDocument/2006/relationships/hyperlink" Target="https://www.wildberries.ru/catalog/210575566/detail.aspx?targetUrl=SP" TargetMode="External"/><Relationship Id="rId172" Type="http://schemas.openxmlformats.org/officeDocument/2006/relationships/hyperlink" Target="https://www.wildberries.ru/catalog/226114935/detail.aspx?targetUrl=SP" TargetMode="External"/><Relationship Id="rId293" Type="http://schemas.openxmlformats.org/officeDocument/2006/relationships/hyperlink" Target="https://www.wildberries.ru/catalog/97692175/detail.aspx" TargetMode="External"/><Relationship Id="rId65" Type="http://schemas.openxmlformats.org/officeDocument/2006/relationships/hyperlink" Target="https://www.wildberries.ru/catalog/222195352/detail.aspx" TargetMode="External"/><Relationship Id="rId171" Type="http://schemas.openxmlformats.org/officeDocument/2006/relationships/hyperlink" Target="https://www.wildberries.ru/catalog/75631771/detail.aspx" TargetMode="External"/><Relationship Id="rId292" Type="http://schemas.openxmlformats.org/officeDocument/2006/relationships/hyperlink" Target="https://www.wildberries.ru/catalog/214312426/detail.aspx?targetUrl=GP" TargetMode="External"/><Relationship Id="rId68" Type="http://schemas.openxmlformats.org/officeDocument/2006/relationships/hyperlink" Target="https://www.wildberries.ru/catalog/59321107/detail.aspx?targetUrl=SG" TargetMode="External"/><Relationship Id="rId170" Type="http://schemas.openxmlformats.org/officeDocument/2006/relationships/hyperlink" Target="https://www.wildberries.ru/catalog/226115478/detail.aspx?targetUrl=SP" TargetMode="External"/><Relationship Id="rId291" Type="http://schemas.openxmlformats.org/officeDocument/2006/relationships/hyperlink" Target="https://www.wildberries.ru/catalog/179632677/detail.aspx?targetUrl=SG" TargetMode="External"/><Relationship Id="rId67" Type="http://schemas.openxmlformats.org/officeDocument/2006/relationships/hyperlink" Target="https://www.wildberries.ru/catalog/59443829/detail.aspx" TargetMode="External"/><Relationship Id="rId290" Type="http://schemas.openxmlformats.org/officeDocument/2006/relationships/hyperlink" Target="https://www.wildberries.ru/catalog/97692175/detail.aspx" TargetMode="External"/><Relationship Id="rId60" Type="http://schemas.openxmlformats.org/officeDocument/2006/relationships/hyperlink" Target="https://www.wildberries.ru/catalog/212759698/detail.aspx?targetUrl=SP" TargetMode="External"/><Relationship Id="rId165" Type="http://schemas.openxmlformats.org/officeDocument/2006/relationships/hyperlink" Target="https://www.wildberries.ru/catalog/45070950/detail.aspx" TargetMode="External"/><Relationship Id="rId286" Type="http://schemas.openxmlformats.org/officeDocument/2006/relationships/hyperlink" Target="https://www.wildberries.ru/catalog/324917391/detail.aspx" TargetMode="External"/><Relationship Id="rId69" Type="http://schemas.openxmlformats.org/officeDocument/2006/relationships/hyperlink" Target="https://www.wildberries.ru/catalog/207818642/detail.aspx?targetUrl=SP" TargetMode="External"/><Relationship Id="rId164" Type="http://schemas.openxmlformats.org/officeDocument/2006/relationships/hyperlink" Target="https://www.wildberries.ru/catalog/180711104/detail.aspx?targetUrl=SP" TargetMode="External"/><Relationship Id="rId285" Type="http://schemas.openxmlformats.org/officeDocument/2006/relationships/hyperlink" Target="https://www.wildberries.ru/catalog/93203781/detail.aspx" TargetMode="External"/><Relationship Id="rId163" Type="http://schemas.openxmlformats.org/officeDocument/2006/relationships/hyperlink" Target="https://www.wildberries.ru/catalog/142981035/detail.aspx" TargetMode="External"/><Relationship Id="rId284" Type="http://schemas.openxmlformats.org/officeDocument/2006/relationships/hyperlink" Target="https://www.wildberries.ru/catalog/199367159/detail.aspx?targetUrl=GP" TargetMode="External"/><Relationship Id="rId162" Type="http://schemas.openxmlformats.org/officeDocument/2006/relationships/hyperlink" Target="https://www.wildberries.ru/catalog/260021314/detail.aspx" TargetMode="External"/><Relationship Id="rId283" Type="http://schemas.openxmlformats.org/officeDocument/2006/relationships/hyperlink" Target="https://www.wildberries.ru/catalog/62908788/detail.aspx?targetUrl=SG" TargetMode="External"/><Relationship Id="rId169" Type="http://schemas.openxmlformats.org/officeDocument/2006/relationships/hyperlink" Target="https://www.wildberries.ru/catalog/159109090/detail.aspx" TargetMode="External"/><Relationship Id="rId168" Type="http://schemas.openxmlformats.org/officeDocument/2006/relationships/hyperlink" Target="https://www.wildberries.ru/catalog/151965523/detail.aspx" TargetMode="External"/><Relationship Id="rId289" Type="http://schemas.openxmlformats.org/officeDocument/2006/relationships/hyperlink" Target="https://www.wildberries.ru/catalog/247275092/detail.aspx?targetUrl=GP" TargetMode="External"/><Relationship Id="rId167" Type="http://schemas.openxmlformats.org/officeDocument/2006/relationships/hyperlink" Target="https://www.wildberries.ru/catalog/180711041/detail.aspx?targetUrl=SP" TargetMode="External"/><Relationship Id="rId288" Type="http://schemas.openxmlformats.org/officeDocument/2006/relationships/hyperlink" Target="https://www.wildberries.ru/catalog/168035771/detail.aspx?targetUrl=SG" TargetMode="External"/><Relationship Id="rId166" Type="http://schemas.openxmlformats.org/officeDocument/2006/relationships/hyperlink" Target="https://www.wildberries.ru/catalog/60316674/detail.aspx" TargetMode="External"/><Relationship Id="rId287" Type="http://schemas.openxmlformats.org/officeDocument/2006/relationships/hyperlink" Target="https://www.wildberries.ru/catalog/212719009/detail.aspx?targetUrl=GP" TargetMode="External"/><Relationship Id="rId51" Type="http://schemas.openxmlformats.org/officeDocument/2006/relationships/hyperlink" Target="https://www.wildberries.ru/catalog/207483179/detail.aspx?targetUrl=SP" TargetMode="External"/><Relationship Id="rId50" Type="http://schemas.openxmlformats.org/officeDocument/2006/relationships/hyperlink" Target="https://www.wildberries.ru/catalog/60372743/detail.aspx" TargetMode="External"/><Relationship Id="rId53" Type="http://schemas.openxmlformats.org/officeDocument/2006/relationships/hyperlink" Target="https://www.wildberries.ru/catalog/27883160/detail.aspx?targetUrl=SG" TargetMode="External"/><Relationship Id="rId52" Type="http://schemas.openxmlformats.org/officeDocument/2006/relationships/hyperlink" Target="https://www.wildberries.ru/catalog/43892760/detail.aspx" TargetMode="External"/><Relationship Id="rId55" Type="http://schemas.openxmlformats.org/officeDocument/2006/relationships/hyperlink" Target="https://www.wildberries.ru/catalog/162979803/detail.aspx" TargetMode="External"/><Relationship Id="rId161" Type="http://schemas.openxmlformats.org/officeDocument/2006/relationships/hyperlink" Target="https://www.wildberries.ru/catalog/60316863/detail.aspx" TargetMode="External"/><Relationship Id="rId282" Type="http://schemas.openxmlformats.org/officeDocument/2006/relationships/hyperlink" Target="https://www.wildberries.ru/catalog/154441256/detail.aspx?targetUrl=SG" TargetMode="External"/><Relationship Id="rId54" Type="http://schemas.openxmlformats.org/officeDocument/2006/relationships/hyperlink" Target="https://www.wildberries.ru/catalog/255574453/detail.aspx?targetUrl=SP" TargetMode="External"/><Relationship Id="rId160" Type="http://schemas.openxmlformats.org/officeDocument/2006/relationships/hyperlink" Target="https://www.wildberries.ru/catalog/179611318/detail.aspx?targetUrl=SP" TargetMode="External"/><Relationship Id="rId281" Type="http://schemas.openxmlformats.org/officeDocument/2006/relationships/hyperlink" Target="https://www.wildberries.ru/catalog/199427475/detail.aspx?targetUrl=GP" TargetMode="External"/><Relationship Id="rId57" Type="http://schemas.openxmlformats.org/officeDocument/2006/relationships/hyperlink" Target="https://www.wildberries.ru/catalog/163543210/detail.aspx" TargetMode="External"/><Relationship Id="rId280" Type="http://schemas.openxmlformats.org/officeDocument/2006/relationships/hyperlink" Target="https://www.wildberries.ru/catalog/241193712/detail.aspx?targetUrl=SG" TargetMode="External"/><Relationship Id="rId56" Type="http://schemas.openxmlformats.org/officeDocument/2006/relationships/hyperlink" Target="https://www.wildberries.ru/catalog/302159505/detail.aspx" TargetMode="External"/><Relationship Id="rId159" Type="http://schemas.openxmlformats.org/officeDocument/2006/relationships/hyperlink" Target="https://www.wildberries.ru/catalog/228119034/detail.aspx" TargetMode="External"/><Relationship Id="rId59" Type="http://schemas.openxmlformats.org/officeDocument/2006/relationships/hyperlink" Target="https://www.wildberries.ru/catalog/302159505/detail.aspx" TargetMode="External"/><Relationship Id="rId154" Type="http://schemas.openxmlformats.org/officeDocument/2006/relationships/hyperlink" Target="https://www.wildberries.ru/catalog/213923624/detail.aspx" TargetMode="External"/><Relationship Id="rId275" Type="http://schemas.openxmlformats.org/officeDocument/2006/relationships/hyperlink" Target="https://www.wildberries.ru/catalog/199426060/detail.aspx?targetUrl=GP" TargetMode="External"/><Relationship Id="rId58" Type="http://schemas.openxmlformats.org/officeDocument/2006/relationships/hyperlink" Target="https://www.wildberries.ru/catalog/215178038/detail.aspx" TargetMode="External"/><Relationship Id="rId153" Type="http://schemas.openxmlformats.org/officeDocument/2006/relationships/hyperlink" Target="https://www.wildberries.ru/catalog/179611304/detail.aspx?targetUrl=SP" TargetMode="External"/><Relationship Id="rId274" Type="http://schemas.openxmlformats.org/officeDocument/2006/relationships/hyperlink" Target="https://www.wildberries.ru/catalog/50561926/detail.aspx" TargetMode="External"/><Relationship Id="rId152" Type="http://schemas.openxmlformats.org/officeDocument/2006/relationships/hyperlink" Target="https://www.wildberries.ru/catalog/143807359/detail.aspx" TargetMode="External"/><Relationship Id="rId273" Type="http://schemas.openxmlformats.org/officeDocument/2006/relationships/hyperlink" Target="https://www.wildberries.ru/catalog/204258828/detail.aspx?targetUrl=GP" TargetMode="External"/><Relationship Id="rId151" Type="http://schemas.openxmlformats.org/officeDocument/2006/relationships/hyperlink" Target="https://www.wildberries.ru/catalog/180988755/detail.aspx?targetUrl=SP" TargetMode="External"/><Relationship Id="rId272" Type="http://schemas.openxmlformats.org/officeDocument/2006/relationships/hyperlink" Target="https://www.wildberries.ru/catalog/155975616/detail.aspx?targetUrl=SG" TargetMode="External"/><Relationship Id="rId158" Type="http://schemas.openxmlformats.org/officeDocument/2006/relationships/hyperlink" Target="https://www.wildberries.ru/catalog/180992464/detail.aspx?targetUrl=SP" TargetMode="External"/><Relationship Id="rId279" Type="http://schemas.openxmlformats.org/officeDocument/2006/relationships/hyperlink" Target="https://www.wildberries.ru/catalog/142216662/detail.aspx?targetUrl=SG" TargetMode="External"/><Relationship Id="rId157" Type="http://schemas.openxmlformats.org/officeDocument/2006/relationships/hyperlink" Target="https://www.wildberries.ru/catalog/222513751/detail.aspx" TargetMode="External"/><Relationship Id="rId278" Type="http://schemas.openxmlformats.org/officeDocument/2006/relationships/hyperlink" Target="https://www.wildberries.ru/catalog/199425671/detail.aspx?targetUrl=GP" TargetMode="External"/><Relationship Id="rId156" Type="http://schemas.openxmlformats.org/officeDocument/2006/relationships/hyperlink" Target="https://www.wildberries.ru/catalog/180987509/detail.aspx?targetUrl=SP" TargetMode="External"/><Relationship Id="rId277" Type="http://schemas.openxmlformats.org/officeDocument/2006/relationships/hyperlink" Target="https://www.wildberries.ru/catalog/62908758/detail.aspx?targetUrl=SG" TargetMode="External"/><Relationship Id="rId155" Type="http://schemas.openxmlformats.org/officeDocument/2006/relationships/hyperlink" Target="https://www.wildberries.ru/catalog/260025068/detail.aspx" TargetMode="External"/><Relationship Id="rId276" Type="http://schemas.openxmlformats.org/officeDocument/2006/relationships/hyperlink" Target="https://www.wildberries.ru/catalog/142866526/detail.aspx?targetUrl=SG" TargetMode="External"/><Relationship Id="rId107" Type="http://schemas.openxmlformats.org/officeDocument/2006/relationships/hyperlink" Target="https://www.wildberries.ru/catalog/226322576/detail.aspx?targetUrl=SP" TargetMode="External"/><Relationship Id="rId228" Type="http://schemas.openxmlformats.org/officeDocument/2006/relationships/hyperlink" Target="https://www.wildberries.ru/catalog/389157439/detail.aspx?targetUrl=SG" TargetMode="External"/><Relationship Id="rId106" Type="http://schemas.openxmlformats.org/officeDocument/2006/relationships/hyperlink" Target="https://www.wildberries.ru/catalog/33377235/detail.aspx" TargetMode="External"/><Relationship Id="rId227" Type="http://schemas.openxmlformats.org/officeDocument/2006/relationships/hyperlink" Target="https://www.wildberries.ru/catalog/430393778/detail.aspx?targetUrl=SG" TargetMode="External"/><Relationship Id="rId105" Type="http://schemas.openxmlformats.org/officeDocument/2006/relationships/hyperlink" Target="https://www.wildberries.ru/catalog/379765294/detail.aspx" TargetMode="External"/><Relationship Id="rId226" Type="http://schemas.openxmlformats.org/officeDocument/2006/relationships/hyperlink" Target="https://www.wildberries.ru/catalog/198156472/detail.aspx?targetUrl=GP" TargetMode="External"/><Relationship Id="rId104" Type="http://schemas.openxmlformats.org/officeDocument/2006/relationships/hyperlink" Target="https://www.wildberries.ru/catalog/168908087/detail.aspx" TargetMode="External"/><Relationship Id="rId225" Type="http://schemas.openxmlformats.org/officeDocument/2006/relationships/hyperlink" Target="https://www.wildberries.ru/catalog/167728566/detail.aspx?targetUrl=SG" TargetMode="External"/><Relationship Id="rId109" Type="http://schemas.openxmlformats.org/officeDocument/2006/relationships/hyperlink" Target="https://www.wildberries.ru/catalog/238863400/detail.aspx?targetUrl=SG" TargetMode="External"/><Relationship Id="rId108" Type="http://schemas.openxmlformats.org/officeDocument/2006/relationships/hyperlink" Target="https://www.wildberries.ru/catalog/232722729/detail.aspx" TargetMode="External"/><Relationship Id="rId229" Type="http://schemas.openxmlformats.org/officeDocument/2006/relationships/hyperlink" Target="https://www.wildberries.ru/catalog/198156358/detail.aspx?targetUrl=GP" TargetMode="External"/><Relationship Id="rId220" Type="http://schemas.openxmlformats.org/officeDocument/2006/relationships/hyperlink" Target="https://www.wildberries.ru/catalog/437845041/detail.aspx?targetUrl=GP" TargetMode="External"/><Relationship Id="rId103" Type="http://schemas.openxmlformats.org/officeDocument/2006/relationships/hyperlink" Target="https://www.wildberries.ru/catalog/151298064/detail.aspx?targetUrl=SP" TargetMode="External"/><Relationship Id="rId224" Type="http://schemas.openxmlformats.org/officeDocument/2006/relationships/hyperlink" Target="https://www.wildberries.ru/catalog/212793976/detail.aspx?targetUrl=EX" TargetMode="External"/><Relationship Id="rId102" Type="http://schemas.openxmlformats.org/officeDocument/2006/relationships/hyperlink" Target="https://www.wildberries.ru/catalog/63409748/detail.aspx" TargetMode="External"/><Relationship Id="rId223" Type="http://schemas.openxmlformats.org/officeDocument/2006/relationships/hyperlink" Target="https://www.wildberries.ru/catalog/437850261/detail.aspx?targetUrl=GP" TargetMode="External"/><Relationship Id="rId101" Type="http://schemas.openxmlformats.org/officeDocument/2006/relationships/hyperlink" Target="https://www.wildberries.ru/catalog/39978221/detail.aspx" TargetMode="External"/><Relationship Id="rId222" Type="http://schemas.openxmlformats.org/officeDocument/2006/relationships/hyperlink" Target="https://www.wildberries.ru/catalog/387681961/detail.aspx?targetUrl=SG" TargetMode="External"/><Relationship Id="rId100" Type="http://schemas.openxmlformats.org/officeDocument/2006/relationships/hyperlink" Target="https://www.wildberries.ru/catalog/207796439/detail.aspx?targetUrl=SP" TargetMode="External"/><Relationship Id="rId221" Type="http://schemas.openxmlformats.org/officeDocument/2006/relationships/hyperlink" Target="https://www.wildberries.ru/catalog/252600345/detail.aspx?targetUrl=EX" TargetMode="External"/><Relationship Id="rId217" Type="http://schemas.openxmlformats.org/officeDocument/2006/relationships/hyperlink" Target="https://www.wildberries.ru/catalog/253060924/detail.aspx?targetUrl=EX" TargetMode="External"/><Relationship Id="rId216" Type="http://schemas.openxmlformats.org/officeDocument/2006/relationships/hyperlink" Target="https://www.wildberries.ru/catalog/437797551/detail.aspx?targetUrl=GP" TargetMode="External"/><Relationship Id="rId215" Type="http://schemas.openxmlformats.org/officeDocument/2006/relationships/hyperlink" Target="https://www.wildberries.ru/catalog/387665009/detail.aspx?targetUrl=SG" TargetMode="External"/><Relationship Id="rId214" Type="http://schemas.openxmlformats.org/officeDocument/2006/relationships/hyperlink" Target="https://www.wildberries.ru/catalog/212962100/detail.aspx" TargetMode="External"/><Relationship Id="rId219" Type="http://schemas.openxmlformats.org/officeDocument/2006/relationships/hyperlink" Target="https://www.wildberries.ru/catalog/363202527/detail.aspx?targetUrl=SG" TargetMode="External"/><Relationship Id="rId218" Type="http://schemas.openxmlformats.org/officeDocument/2006/relationships/hyperlink" Target="https://www.wildberries.ru/catalog/387671851/detail.aspx?targetUrl=SG" TargetMode="External"/><Relationship Id="rId213" Type="http://schemas.openxmlformats.org/officeDocument/2006/relationships/hyperlink" Target="https://www.wildberries.ru/catalog/437776835/detail.aspx?targetUrl=GP" TargetMode="External"/><Relationship Id="rId212" Type="http://schemas.openxmlformats.org/officeDocument/2006/relationships/hyperlink" Target="https://www.wildberries.ru/catalog/232756077/detail.aspx" TargetMode="External"/><Relationship Id="rId211" Type="http://schemas.openxmlformats.org/officeDocument/2006/relationships/hyperlink" Target="https://www.wildberries.ru/catalog/437254254/detail.aspx?targetUrl=GP" TargetMode="External"/><Relationship Id="rId210" Type="http://schemas.openxmlformats.org/officeDocument/2006/relationships/hyperlink" Target="https://www.wildberries.ru/catalog/212789574/detail.aspx" TargetMode="External"/><Relationship Id="rId129" Type="http://schemas.openxmlformats.org/officeDocument/2006/relationships/hyperlink" Target="https://www.wildberries.ru/catalog/38627267/detail.aspx?targetUrl=SG" TargetMode="External"/><Relationship Id="rId128" Type="http://schemas.openxmlformats.org/officeDocument/2006/relationships/hyperlink" Target="https://www.wildberries.ru/catalog/154160085/detail.aspx?targetUrl=SP" TargetMode="External"/><Relationship Id="rId249" Type="http://schemas.openxmlformats.org/officeDocument/2006/relationships/hyperlink" Target="https://www.wildberries.ru/catalog/170198738/detail.aspx?targetUrl=GP" TargetMode="External"/><Relationship Id="rId127" Type="http://schemas.openxmlformats.org/officeDocument/2006/relationships/hyperlink" Target="https://www.wildberries.ru/catalog/364835054/detail.aspx" TargetMode="External"/><Relationship Id="rId248" Type="http://schemas.openxmlformats.org/officeDocument/2006/relationships/hyperlink" Target="https://www.wildberries.ru/catalog/18704505/detail.aspx?targetUrl=SG" TargetMode="External"/><Relationship Id="rId126" Type="http://schemas.openxmlformats.org/officeDocument/2006/relationships/hyperlink" Target="https://www.wildberries.ru/catalog/36454074/detail.aspx" TargetMode="External"/><Relationship Id="rId247" Type="http://schemas.openxmlformats.org/officeDocument/2006/relationships/hyperlink" Target="https://www.wildberries.ru/catalog/15330912/detail.aspx?targetUrl=SG" TargetMode="External"/><Relationship Id="rId121" Type="http://schemas.openxmlformats.org/officeDocument/2006/relationships/hyperlink" Target="https://www.wildberries.ru/catalog/383494304/detail.aspx" TargetMode="External"/><Relationship Id="rId242" Type="http://schemas.openxmlformats.org/officeDocument/2006/relationships/hyperlink" Target="https://www.wildberries.ru/catalog/214312149/detail.aspx?targetUrl=GP" TargetMode="External"/><Relationship Id="rId120" Type="http://schemas.openxmlformats.org/officeDocument/2006/relationships/hyperlink" Target="https://www.wildberries.ru/catalog/272936338/detail.aspx" TargetMode="External"/><Relationship Id="rId241" Type="http://schemas.openxmlformats.org/officeDocument/2006/relationships/hyperlink" Target="https://www.wildberries.ru/catalog/214312259/detail.aspx?targetUrl=GP" TargetMode="External"/><Relationship Id="rId240" Type="http://schemas.openxmlformats.org/officeDocument/2006/relationships/hyperlink" Target="https://www.wildberries.ru/catalog/434286465/detail.aspx?targetUrl=SG" TargetMode="External"/><Relationship Id="rId125" Type="http://schemas.openxmlformats.org/officeDocument/2006/relationships/hyperlink" Target="https://www.wildberries.ru/catalog/307073881/detail.aspx?targetUrl=SP" TargetMode="External"/><Relationship Id="rId246" Type="http://schemas.openxmlformats.org/officeDocument/2006/relationships/hyperlink" Target="https://www.wildberries.ru/catalog/148112843/detail.aspx" TargetMode="External"/><Relationship Id="rId124" Type="http://schemas.openxmlformats.org/officeDocument/2006/relationships/hyperlink" Target="https://www.wildberries.ru/catalog/36454239/detail.aspx" TargetMode="External"/><Relationship Id="rId245" Type="http://schemas.openxmlformats.org/officeDocument/2006/relationships/hyperlink" Target="https://www.wildberries.ru/catalog/150925321/detail.aspx?targetUrl=GP" TargetMode="External"/><Relationship Id="rId123" Type="http://schemas.openxmlformats.org/officeDocument/2006/relationships/hyperlink" Target="https://www.wildberries.ru/catalog/154159632/detail.aspx?targetUrl=SP" TargetMode="External"/><Relationship Id="rId244" Type="http://schemas.openxmlformats.org/officeDocument/2006/relationships/hyperlink" Target="https://www.wildberries.ru/catalog/399368336/detail.aspx?targetUrl=SG" TargetMode="External"/><Relationship Id="rId122" Type="http://schemas.openxmlformats.org/officeDocument/2006/relationships/hyperlink" Target="https://www.wildberries.ru/catalog/37152203/detail.aspx?targetUrl=SG" TargetMode="External"/><Relationship Id="rId243" Type="http://schemas.openxmlformats.org/officeDocument/2006/relationships/hyperlink" Target="https://www.wildberries.ru/catalog/214311963/detail.aspx?targetUrl=GP" TargetMode="External"/><Relationship Id="rId95" Type="http://schemas.openxmlformats.org/officeDocument/2006/relationships/hyperlink" Target="https://www.wildberries.ru/catalog/185309942/detail.aspx" TargetMode="External"/><Relationship Id="rId94" Type="http://schemas.openxmlformats.org/officeDocument/2006/relationships/hyperlink" Target="https://www.wildberries.ru/catalog/31271805/detail.aspx" TargetMode="External"/><Relationship Id="rId97" Type="http://schemas.openxmlformats.org/officeDocument/2006/relationships/hyperlink" Target="https://www.wildberries.ru/catalog/151571894/detail.aspx" TargetMode="External"/><Relationship Id="rId96" Type="http://schemas.openxmlformats.org/officeDocument/2006/relationships/hyperlink" Target="https://www.wildberries.ru/catalog/207796350/detail.aspx?targetUrl=SP" TargetMode="External"/><Relationship Id="rId99" Type="http://schemas.openxmlformats.org/officeDocument/2006/relationships/hyperlink" Target="https://www.wildberries.ru/catalog/12667338/detail.aspx" TargetMode="External"/><Relationship Id="rId98" Type="http://schemas.openxmlformats.org/officeDocument/2006/relationships/hyperlink" Target="https://www.wildberries.ru/catalog/190160008/detail.aspx?targetUrl=SP" TargetMode="External"/><Relationship Id="rId91" Type="http://schemas.openxmlformats.org/officeDocument/2006/relationships/hyperlink" Target="https://www.wildberries.ru/catalog/251896289/detail.aspx?targetUrl=SG" TargetMode="External"/><Relationship Id="rId90" Type="http://schemas.openxmlformats.org/officeDocument/2006/relationships/hyperlink" Target="https://www.wildberries.ru/catalog/207466866/detail.aspx?targetUrl=SP" TargetMode="External"/><Relationship Id="rId93" Type="http://schemas.openxmlformats.org/officeDocument/2006/relationships/hyperlink" Target="https://www.wildberries.ru/catalog/154163936/detail.aspx?targetUrl=SP" TargetMode="External"/><Relationship Id="rId92" Type="http://schemas.openxmlformats.org/officeDocument/2006/relationships/hyperlink" Target="https://www.wildberries.ru/catalog/172137268/detail.aspx?targetUrl=SG" TargetMode="External"/><Relationship Id="rId118" Type="http://schemas.openxmlformats.org/officeDocument/2006/relationships/hyperlink" Target="https://www.wildberries.ru/catalog/262966609/detail.aspx" TargetMode="External"/><Relationship Id="rId239" Type="http://schemas.openxmlformats.org/officeDocument/2006/relationships/hyperlink" Target="https://www.wildberries.ru/catalog/198143251/detail.aspx?targetUrl=GP" TargetMode="External"/><Relationship Id="rId117" Type="http://schemas.openxmlformats.org/officeDocument/2006/relationships/hyperlink" Target="https://www.wildberries.ru/catalog/336644617/detail.aspx" TargetMode="External"/><Relationship Id="rId238" Type="http://schemas.openxmlformats.org/officeDocument/2006/relationships/hyperlink" Target="https://www.wildberries.ru/catalog/99749873/detail.aspx?targetUrl=SG" TargetMode="External"/><Relationship Id="rId116" Type="http://schemas.openxmlformats.org/officeDocument/2006/relationships/hyperlink" Target="https://www.wildberries.ru/catalog/192597417/detail.aspx" TargetMode="External"/><Relationship Id="rId237" Type="http://schemas.openxmlformats.org/officeDocument/2006/relationships/hyperlink" Target="https://www.wildberries.ru/catalog/205054338/detail.aspx?targetUrl=GP" TargetMode="External"/><Relationship Id="rId115" Type="http://schemas.openxmlformats.org/officeDocument/2006/relationships/hyperlink" Target="https://www.wildberries.ru/catalog/190159348/detail.aspx?targetUrl=SP" TargetMode="External"/><Relationship Id="rId236" Type="http://schemas.openxmlformats.org/officeDocument/2006/relationships/hyperlink" Target="https://www.wildberries.ru/catalog/198156698/detail.aspx?targetUrl=GP" TargetMode="External"/><Relationship Id="rId119" Type="http://schemas.openxmlformats.org/officeDocument/2006/relationships/hyperlink" Target="https://www.wildberries.ru/catalog/151313163/detail.aspx?targetUrl=SP" TargetMode="External"/><Relationship Id="rId110" Type="http://schemas.openxmlformats.org/officeDocument/2006/relationships/hyperlink" Target="https://www.wildberries.ru/catalog/206057411/detail.aspx?targetUrl=SP" TargetMode="External"/><Relationship Id="rId231" Type="http://schemas.openxmlformats.org/officeDocument/2006/relationships/hyperlink" Target="https://www.wildberries.ru/catalog/306021447/detail.aspx?targetUrl=SG" TargetMode="External"/><Relationship Id="rId230" Type="http://schemas.openxmlformats.org/officeDocument/2006/relationships/hyperlink" Target="https://www.wildberries.ru/catalog/386220543/detail.aspx?targetUrl=SG" TargetMode="External"/><Relationship Id="rId114" Type="http://schemas.openxmlformats.org/officeDocument/2006/relationships/hyperlink" Target="https://www.wildberries.ru/catalog/153507732/detail.aspx" TargetMode="External"/><Relationship Id="rId235" Type="http://schemas.openxmlformats.org/officeDocument/2006/relationships/hyperlink" Target="https://www.wildberries.ru/catalog/108388104/detail.aspx?targetUrl=SG" TargetMode="External"/><Relationship Id="rId113" Type="http://schemas.openxmlformats.org/officeDocument/2006/relationships/hyperlink" Target="https://www.wildberries.ru/catalog/185282774/detail.aspx" TargetMode="External"/><Relationship Id="rId234" Type="http://schemas.openxmlformats.org/officeDocument/2006/relationships/hyperlink" Target="https://www.wildberries.ru/catalog/198148122/detail.aspx?targetUrl=GP" TargetMode="External"/><Relationship Id="rId112" Type="http://schemas.openxmlformats.org/officeDocument/2006/relationships/hyperlink" Target="https://www.wildberries.ru/catalog/207796563/detail.aspx?targetUrl=SP" TargetMode="External"/><Relationship Id="rId233" Type="http://schemas.openxmlformats.org/officeDocument/2006/relationships/hyperlink" Target="https://www.wildberries.ru/catalog/99740896/detail.aspx?targetUrl=SG" TargetMode="External"/><Relationship Id="rId111" Type="http://schemas.openxmlformats.org/officeDocument/2006/relationships/hyperlink" Target="https://www.wildberries.ru/catalog/39982744/detail.aspx" TargetMode="External"/><Relationship Id="rId232" Type="http://schemas.openxmlformats.org/officeDocument/2006/relationships/hyperlink" Target="https://www.wildberries.ru/catalog/198147185/detail.aspx?targetUrl=GP" TargetMode="External"/><Relationship Id="rId304" Type="http://schemas.openxmlformats.org/officeDocument/2006/relationships/drawing" Target="../drawings/drawing11.xml"/><Relationship Id="rId303" Type="http://schemas.openxmlformats.org/officeDocument/2006/relationships/hyperlink" Target="https://www.wildberries.ru/catalog/394348562/detail.aspx?targetUrl=SG" TargetMode="External"/><Relationship Id="rId302" Type="http://schemas.openxmlformats.org/officeDocument/2006/relationships/hyperlink" Target="https://www.wildberries.ru/catalog/163524342/detail.aspx?targetUrl=SG" TargetMode="External"/><Relationship Id="rId301" Type="http://schemas.openxmlformats.org/officeDocument/2006/relationships/hyperlink" Target="https://www.wildberries.ru/catalog/212757456/detail.aspx?targetUrl=GP" TargetMode="External"/><Relationship Id="rId300" Type="http://schemas.openxmlformats.org/officeDocument/2006/relationships/hyperlink" Target="https://www.wildberries.ru/catalog/58242634/detail.aspx" TargetMode="External"/><Relationship Id="rId206" Type="http://schemas.openxmlformats.org/officeDocument/2006/relationships/hyperlink" Target="https://www.wildberries.ru/catalog/212957747/detail.aspx" TargetMode="External"/><Relationship Id="rId205" Type="http://schemas.openxmlformats.org/officeDocument/2006/relationships/hyperlink" Target="https://www.wildberries.ru/catalog/437242640/detail.aspx?targetUrl=GP" TargetMode="External"/><Relationship Id="rId204" Type="http://schemas.openxmlformats.org/officeDocument/2006/relationships/hyperlink" Target="https://www.wildberries.ru/catalog/212968858/detail.aspx" TargetMode="External"/><Relationship Id="rId203" Type="http://schemas.openxmlformats.org/officeDocument/2006/relationships/hyperlink" Target="https://www.wildberries.ru/catalog/437238521/detail.aspx?targetUrl=GP" TargetMode="External"/><Relationship Id="rId209" Type="http://schemas.openxmlformats.org/officeDocument/2006/relationships/hyperlink" Target="https://www.wildberries.ru/catalog/437248870/detail.aspx?targetUrl=GP" TargetMode="External"/><Relationship Id="rId208" Type="http://schemas.openxmlformats.org/officeDocument/2006/relationships/hyperlink" Target="https://www.wildberries.ru/catalog/299168836/detail.aspx?targetUrl=SG" TargetMode="External"/><Relationship Id="rId207" Type="http://schemas.openxmlformats.org/officeDocument/2006/relationships/hyperlink" Target="https://www.wildberries.ru/catalog/364269371/detail.aspx?targetUrl=SG" TargetMode="External"/><Relationship Id="rId202" Type="http://schemas.openxmlformats.org/officeDocument/2006/relationships/hyperlink" Target="https://www.wildberries.ru/catalog/161677545/detail.aspx?targetUrl=SG" TargetMode="External"/><Relationship Id="rId201" Type="http://schemas.openxmlformats.org/officeDocument/2006/relationships/hyperlink" Target="https://www.wildberries.ru/catalog/233034808/detail.aspx" TargetMode="External"/><Relationship Id="rId200" Type="http://schemas.openxmlformats.org/officeDocument/2006/relationships/hyperlink" Target="https://www.wildberries.ru/catalog/437231408/detail.aspx?targetUrl=GP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2.xml"/><Relationship Id="rId10" Type="http://schemas.openxmlformats.org/officeDocument/2006/relationships/hyperlink" Target="https://www.wildberries.ru/seller/189596" TargetMode="External"/><Relationship Id="rId1" Type="http://schemas.openxmlformats.org/officeDocument/2006/relationships/hyperlink" Target="https://www.wildberries.ru/seller/543015" TargetMode="External"/><Relationship Id="rId2" Type="http://schemas.openxmlformats.org/officeDocument/2006/relationships/hyperlink" Target="https://www.wildberries.ru/seller/83159" TargetMode="External"/><Relationship Id="rId3" Type="http://schemas.openxmlformats.org/officeDocument/2006/relationships/hyperlink" Target="https://www.wildberries.ru/seller/63534" TargetMode="External"/><Relationship Id="rId4" Type="http://schemas.openxmlformats.org/officeDocument/2006/relationships/hyperlink" Target="https://www.wildberries.ru/seller/41290?sort=popular&amp;page=2" TargetMode="External"/><Relationship Id="rId9" Type="http://schemas.openxmlformats.org/officeDocument/2006/relationships/hyperlink" Target="https://www.wildberries.ru/seller/978894" TargetMode="External"/><Relationship Id="rId5" Type="http://schemas.openxmlformats.org/officeDocument/2006/relationships/hyperlink" Target="https://www.wildberries.ru/seller/257129" TargetMode="External"/><Relationship Id="rId6" Type="http://schemas.openxmlformats.org/officeDocument/2006/relationships/hyperlink" Target="https://www.wildberries.ru/seller/1238035" TargetMode="External"/><Relationship Id="rId7" Type="http://schemas.openxmlformats.org/officeDocument/2006/relationships/hyperlink" Target="https://www.wildberries.ru/seller/248901" TargetMode="External"/><Relationship Id="rId8" Type="http://schemas.openxmlformats.org/officeDocument/2006/relationships/hyperlink" Target="https://www.wildberries.ru/seller/12207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4.43" defaultRowHeight="15.0"/>
  <cols>
    <col customWidth="1" min="1" max="1" width="1.43"/>
    <col customWidth="1" hidden="1" min="2" max="2" width="8.71"/>
    <col customWidth="1" min="3" max="3" width="10.71"/>
    <col customWidth="1" min="4" max="4" width="52.71"/>
    <col customWidth="1" min="5" max="5" width="5.71"/>
    <col customWidth="1" min="6" max="6" width="7.71"/>
    <col customWidth="1" min="7" max="7" width="8.29"/>
    <col customWidth="1" min="8" max="9" width="8.0"/>
    <col customWidth="1" min="10" max="10" width="8.14"/>
    <col customWidth="1" min="11" max="11" width="9.86"/>
    <col customWidth="1" min="12" max="13" width="8.14"/>
    <col customWidth="1" min="14" max="15" width="9.0"/>
    <col customWidth="1" min="16" max="17" width="10.14"/>
    <col customWidth="1" min="18" max="22" width="9.0"/>
    <col customWidth="1" min="23" max="23" width="7.14"/>
    <col customWidth="1" min="24" max="30" width="9.0"/>
    <col customWidth="1" min="31" max="31" width="7.43"/>
    <col customWidth="1" min="32" max="34" width="9.0"/>
    <col customWidth="1" min="35" max="35" width="2.0"/>
    <col customWidth="1" min="36" max="37" width="9.0"/>
    <col customWidth="1" min="38" max="38" width="10.14"/>
    <col customWidth="1" min="39" max="39" width="9.0"/>
  </cols>
  <sheetData>
    <row r="1" ht="12.75" customHeight="1">
      <c r="A1" s="1"/>
      <c r="B1" s="2"/>
      <c r="C1" s="3">
        <v>60.0</v>
      </c>
      <c r="D1" s="4" t="s">
        <v>0</v>
      </c>
      <c r="E1" s="5"/>
      <c r="F1" s="5"/>
      <c r="G1" s="5"/>
      <c r="H1" s="6">
        <v>45712.0</v>
      </c>
      <c r="I1" s="7"/>
      <c r="J1" s="5"/>
      <c r="K1" s="8"/>
      <c r="L1" s="9"/>
      <c r="M1" s="10"/>
      <c r="N1" s="11"/>
      <c r="O1" s="12" t="s">
        <v>1</v>
      </c>
      <c r="P1" s="13"/>
      <c r="Q1" s="13"/>
      <c r="R1" s="14"/>
      <c r="S1" s="15" t="s">
        <v>2</v>
      </c>
      <c r="T1" s="15"/>
      <c r="U1" s="15"/>
      <c r="V1" s="15"/>
      <c r="W1" s="8"/>
      <c r="X1" s="16" t="s">
        <v>3</v>
      </c>
      <c r="Y1" s="17">
        <v>1.7</v>
      </c>
      <c r="Z1" s="18" t="s">
        <v>4</v>
      </c>
      <c r="AA1" s="19"/>
      <c r="AB1" s="20"/>
      <c r="AC1" s="15"/>
      <c r="AD1" s="21">
        <v>0.29</v>
      </c>
      <c r="AE1" s="22" t="s">
        <v>5</v>
      </c>
      <c r="AF1" s="23"/>
      <c r="AG1" s="24"/>
      <c r="AH1" s="25"/>
      <c r="AI1" s="26"/>
      <c r="AJ1" s="26"/>
      <c r="AK1" s="27"/>
      <c r="AL1" s="28"/>
      <c r="AM1" s="29"/>
    </row>
    <row r="2" ht="12.75" customHeight="1">
      <c r="A2" s="26"/>
      <c r="B2" s="12"/>
      <c r="C2" s="30">
        <v>0.1</v>
      </c>
      <c r="D2" s="31" t="s">
        <v>6</v>
      </c>
      <c r="E2" s="5"/>
      <c r="F2" s="5"/>
      <c r="G2" s="5"/>
      <c r="H2" s="32" t="s">
        <v>7</v>
      </c>
      <c r="I2" s="32">
        <v>6.9E-4</v>
      </c>
      <c r="J2" s="5"/>
      <c r="K2" s="8"/>
      <c r="L2" s="9"/>
      <c r="M2" s="10"/>
      <c r="N2" s="11" t="s">
        <v>8</v>
      </c>
      <c r="O2" s="33">
        <v>170.0</v>
      </c>
      <c r="P2" s="34">
        <v>64.6</v>
      </c>
      <c r="Q2" s="34"/>
      <c r="R2" s="35">
        <v>16.15</v>
      </c>
      <c r="S2" s="36">
        <v>170.0</v>
      </c>
      <c r="T2" s="36">
        <v>0.14</v>
      </c>
      <c r="U2" s="36">
        <v>0.14</v>
      </c>
      <c r="V2" s="15"/>
      <c r="W2" s="8"/>
      <c r="X2" s="37" t="s">
        <v>9</v>
      </c>
      <c r="Y2" s="38">
        <v>1.7</v>
      </c>
      <c r="Z2" s="39" t="s">
        <v>10</v>
      </c>
      <c r="AA2" s="38"/>
      <c r="AB2" s="40"/>
      <c r="AC2" s="15"/>
      <c r="AD2" s="41">
        <v>0.0</v>
      </c>
      <c r="AE2" s="22" t="s">
        <v>11</v>
      </c>
      <c r="AF2" s="23"/>
      <c r="AG2" s="24"/>
      <c r="AH2" s="25"/>
      <c r="AI2" s="26"/>
      <c r="AJ2" s="26"/>
      <c r="AK2" s="27"/>
      <c r="AL2" s="28"/>
      <c r="AM2" s="29"/>
    </row>
    <row r="3" ht="12.75" customHeight="1">
      <c r="A3" s="26"/>
      <c r="B3" s="12"/>
      <c r="C3" s="42">
        <v>0.0</v>
      </c>
      <c r="D3" s="43" t="s">
        <v>12</v>
      </c>
      <c r="E3" s="5"/>
      <c r="F3" s="5"/>
      <c r="G3" s="5"/>
      <c r="H3" s="44" t="s">
        <v>13</v>
      </c>
      <c r="I3" s="44">
        <v>89.0</v>
      </c>
      <c r="J3" s="5"/>
      <c r="K3" s="8"/>
      <c r="L3" s="9"/>
      <c r="M3" s="10"/>
      <c r="N3" s="11" t="s">
        <v>14</v>
      </c>
      <c r="O3" s="33">
        <v>160.0</v>
      </c>
      <c r="P3" s="34">
        <v>60.8</v>
      </c>
      <c r="Q3" s="34"/>
      <c r="R3" s="35">
        <v>15.2</v>
      </c>
      <c r="S3" s="36">
        <v>160.0</v>
      </c>
      <c r="T3" s="36">
        <v>0.13</v>
      </c>
      <c r="U3" s="36">
        <v>0.13</v>
      </c>
      <c r="V3" s="15"/>
      <c r="W3" s="8"/>
      <c r="X3" s="8"/>
      <c r="Y3" s="45">
        <v>50.0</v>
      </c>
      <c r="Z3" s="46" t="s">
        <v>15</v>
      </c>
      <c r="AA3" s="38"/>
      <c r="AB3" s="40"/>
      <c r="AC3" s="15"/>
      <c r="AD3" s="47">
        <v>0.0</v>
      </c>
      <c r="AE3" s="48" t="s">
        <v>16</v>
      </c>
      <c r="AF3" s="49"/>
      <c r="AG3" s="50"/>
      <c r="AH3" s="25"/>
      <c r="AI3" s="26"/>
      <c r="AJ3" s="26"/>
      <c r="AK3" s="27"/>
      <c r="AL3" s="28"/>
      <c r="AM3" s="29"/>
    </row>
    <row r="4" ht="12.75" customHeight="1">
      <c r="A4" s="26"/>
      <c r="B4" s="12"/>
      <c r="C4" s="51">
        <v>76.0</v>
      </c>
      <c r="D4" s="52" t="s">
        <v>17</v>
      </c>
      <c r="E4" s="5"/>
      <c r="F4" s="5"/>
      <c r="G4" s="53"/>
      <c r="H4" s="54" t="s">
        <v>18</v>
      </c>
      <c r="I4" s="32"/>
      <c r="J4" s="55">
        <v>0.3</v>
      </c>
      <c r="K4" s="8"/>
      <c r="L4" s="9"/>
      <c r="M4" s="10"/>
      <c r="N4" s="11" t="s">
        <v>19</v>
      </c>
      <c r="O4" s="33">
        <v>115.0</v>
      </c>
      <c r="P4" s="34">
        <v>43.7</v>
      </c>
      <c r="Q4" s="34"/>
      <c r="R4" s="35">
        <v>10.93</v>
      </c>
      <c r="S4" s="36">
        <v>115.0</v>
      </c>
      <c r="T4" s="36">
        <v>0.09</v>
      </c>
      <c r="U4" s="36">
        <v>0.09</v>
      </c>
      <c r="V4" s="15"/>
      <c r="W4" s="8"/>
      <c r="X4" s="8"/>
      <c r="Y4" s="15">
        <v>38.0</v>
      </c>
      <c r="Z4" s="56" t="s">
        <v>20</v>
      </c>
      <c r="AA4" s="15"/>
      <c r="AB4" s="15"/>
      <c r="AC4" s="15"/>
      <c r="AD4" s="15"/>
      <c r="AE4" s="57"/>
      <c r="AF4" s="57"/>
      <c r="AG4" s="15"/>
      <c r="AH4" s="25"/>
      <c r="AI4" s="26"/>
      <c r="AJ4" s="26"/>
      <c r="AK4" s="27"/>
      <c r="AL4" s="28"/>
      <c r="AM4" s="29"/>
    </row>
    <row r="5" ht="12.75" customHeight="1">
      <c r="A5" s="26"/>
      <c r="B5" s="12"/>
      <c r="C5" s="58">
        <v>19.0</v>
      </c>
      <c r="D5" s="59" t="s">
        <v>21</v>
      </c>
      <c r="E5" s="5"/>
      <c r="F5" s="5"/>
      <c r="G5" s="53"/>
      <c r="H5" s="54" t="s">
        <v>22</v>
      </c>
      <c r="I5" s="32"/>
      <c r="J5" s="60"/>
      <c r="K5" s="8"/>
      <c r="L5" s="9"/>
      <c r="M5" s="10"/>
      <c r="N5" s="11" t="s">
        <v>23</v>
      </c>
      <c r="O5" s="61">
        <v>200.0</v>
      </c>
      <c r="P5" s="62">
        <v>76.0</v>
      </c>
      <c r="Q5" s="62"/>
      <c r="R5" s="63">
        <v>19.0</v>
      </c>
      <c r="S5" s="36">
        <v>200.0</v>
      </c>
      <c r="T5" s="64">
        <v>0.16</v>
      </c>
      <c r="U5" s="64">
        <v>0.16</v>
      </c>
      <c r="V5" s="15"/>
      <c r="W5" s="8"/>
      <c r="X5" s="8"/>
      <c r="Y5" s="15">
        <v>9.5</v>
      </c>
      <c r="Z5" s="56" t="s">
        <v>24</v>
      </c>
      <c r="AA5" s="15"/>
      <c r="AB5" s="15"/>
      <c r="AC5" s="15"/>
      <c r="AD5" s="15"/>
      <c r="AE5" s="57"/>
      <c r="AF5" s="57"/>
      <c r="AG5" s="15"/>
      <c r="AH5" s="25"/>
      <c r="AI5" s="26"/>
      <c r="AJ5" s="26"/>
      <c r="AK5" s="27"/>
      <c r="AL5" s="28"/>
      <c r="AM5" s="29"/>
    </row>
    <row r="6" ht="12.75" customHeight="1">
      <c r="A6" s="26"/>
      <c r="B6" s="12"/>
      <c r="C6" s="51">
        <v>0.16</v>
      </c>
      <c r="D6" s="52" t="s">
        <v>25</v>
      </c>
      <c r="E6" s="5"/>
      <c r="F6" s="5"/>
      <c r="G6" s="5"/>
      <c r="H6" s="5"/>
      <c r="I6" s="5"/>
      <c r="J6" s="5"/>
      <c r="K6" s="8"/>
      <c r="L6" s="9"/>
      <c r="M6" s="10"/>
      <c r="N6" s="11" t="s">
        <v>26</v>
      </c>
      <c r="O6" s="33">
        <v>165.0</v>
      </c>
      <c r="P6" s="34">
        <v>62.7</v>
      </c>
      <c r="Q6" s="34"/>
      <c r="R6" s="35">
        <v>15.68</v>
      </c>
      <c r="S6" s="36">
        <v>165.0</v>
      </c>
      <c r="T6" s="36">
        <v>0.13</v>
      </c>
      <c r="U6" s="36">
        <v>0.13</v>
      </c>
      <c r="V6" s="15"/>
      <c r="W6" s="8"/>
      <c r="X6" s="8"/>
      <c r="Y6" s="65">
        <v>0.325</v>
      </c>
      <c r="Z6" s="66" t="s">
        <v>27</v>
      </c>
      <c r="AA6" s="19"/>
      <c r="AB6" s="20"/>
      <c r="AC6" s="15"/>
      <c r="AD6" s="15"/>
      <c r="AE6" s="57"/>
      <c r="AF6" s="57"/>
      <c r="AG6" s="15"/>
      <c r="AH6" s="25"/>
      <c r="AI6" s="26"/>
      <c r="AJ6" s="26"/>
      <c r="AK6" s="27"/>
      <c r="AL6" s="28"/>
      <c r="AM6" s="29"/>
    </row>
    <row r="7" ht="12.75" customHeight="1">
      <c r="A7" s="26"/>
      <c r="B7" s="12"/>
      <c r="C7" s="67">
        <v>30.0</v>
      </c>
      <c r="D7" s="59" t="s">
        <v>28</v>
      </c>
      <c r="E7" s="5"/>
      <c r="F7" s="5"/>
      <c r="G7" s="5"/>
      <c r="H7" s="5"/>
      <c r="I7" s="5"/>
      <c r="J7" s="5"/>
      <c r="K7" s="8"/>
      <c r="L7" s="9"/>
      <c r="M7" s="10"/>
      <c r="N7" s="11" t="s">
        <v>29</v>
      </c>
      <c r="O7" s="33">
        <v>220.0</v>
      </c>
      <c r="P7" s="34">
        <v>83.6</v>
      </c>
      <c r="Q7" s="34"/>
      <c r="R7" s="68">
        <v>20.9</v>
      </c>
      <c r="S7" s="35">
        <v>220.0</v>
      </c>
      <c r="T7" s="36">
        <v>0.18</v>
      </c>
      <c r="U7" s="36">
        <v>0.18</v>
      </c>
      <c r="V7" s="15"/>
      <c r="W7" s="69"/>
      <c r="X7" s="8"/>
      <c r="Y7" s="70">
        <v>0.0399</v>
      </c>
      <c r="Z7" s="71" t="s">
        <v>30</v>
      </c>
      <c r="AA7" s="72"/>
      <c r="AB7" s="73"/>
      <c r="AC7" s="15"/>
      <c r="AD7" s="15"/>
      <c r="AE7" s="57"/>
      <c r="AF7" s="57"/>
      <c r="AG7" s="15"/>
      <c r="AH7" s="25"/>
      <c r="AI7" s="26"/>
      <c r="AJ7" s="74" t="s">
        <v>31</v>
      </c>
      <c r="AK7" s="75"/>
      <c r="AL7" s="75"/>
      <c r="AM7" s="76"/>
    </row>
    <row r="8" ht="12.75" customHeight="1">
      <c r="A8" s="26"/>
      <c r="B8" s="77"/>
      <c r="C8" s="78">
        <v>0.08</v>
      </c>
      <c r="D8" s="79" t="s">
        <v>32</v>
      </c>
      <c r="E8" s="80"/>
      <c r="F8" s="81" t="s">
        <v>33</v>
      </c>
      <c r="G8" s="82"/>
      <c r="H8" s="82"/>
      <c r="I8" s="82"/>
      <c r="J8" s="82"/>
      <c r="K8" s="83"/>
      <c r="L8" s="84"/>
      <c r="M8" s="85"/>
      <c r="N8" s="86"/>
      <c r="O8" s="87" t="s">
        <v>34</v>
      </c>
      <c r="P8" s="88"/>
      <c r="Q8" s="88"/>
      <c r="R8" s="88"/>
      <c r="S8" s="89"/>
      <c r="T8" s="90" t="s">
        <v>35</v>
      </c>
      <c r="U8" s="88"/>
      <c r="V8" s="89"/>
      <c r="W8" s="8"/>
      <c r="X8" s="91" t="s">
        <v>36</v>
      </c>
      <c r="Y8" s="75"/>
      <c r="Z8" s="75"/>
      <c r="AA8" s="75"/>
      <c r="AB8" s="75"/>
      <c r="AC8" s="75"/>
      <c r="AD8" s="76"/>
      <c r="AE8" s="57"/>
      <c r="AF8" s="57"/>
      <c r="AG8" s="92" t="s">
        <v>37</v>
      </c>
      <c r="AH8" s="83"/>
      <c r="AI8" s="26"/>
      <c r="AJ8" s="93"/>
      <c r="AK8" s="94"/>
      <c r="AL8" s="94"/>
      <c r="AM8" s="95"/>
    </row>
    <row r="9" ht="52.5" customHeight="1">
      <c r="A9" s="26"/>
      <c r="B9" s="96" t="s">
        <v>38</v>
      </c>
      <c r="C9" s="96" t="s">
        <v>39</v>
      </c>
      <c r="D9" s="97" t="s">
        <v>40</v>
      </c>
      <c r="E9" s="98" t="s">
        <v>41</v>
      </c>
      <c r="F9" s="99" t="s">
        <v>42</v>
      </c>
      <c r="G9" s="100" t="s">
        <v>43</v>
      </c>
      <c r="H9" s="101" t="s">
        <v>44</v>
      </c>
      <c r="I9" s="101" t="s">
        <v>45</v>
      </c>
      <c r="J9" s="101" t="s">
        <v>46</v>
      </c>
      <c r="K9" s="102" t="s">
        <v>47</v>
      </c>
      <c r="L9" s="103" t="s">
        <v>48</v>
      </c>
      <c r="M9" s="104" t="s">
        <v>49</v>
      </c>
      <c r="N9" s="105" t="s">
        <v>50</v>
      </c>
      <c r="O9" s="106" t="s">
        <v>51</v>
      </c>
      <c r="P9" s="107" t="s">
        <v>52</v>
      </c>
      <c r="Q9" s="108" t="s">
        <v>53</v>
      </c>
      <c r="R9" s="109" t="s">
        <v>54</v>
      </c>
      <c r="S9" s="110" t="s">
        <v>55</v>
      </c>
      <c r="T9" s="111" t="s">
        <v>56</v>
      </c>
      <c r="U9" s="111" t="s">
        <v>57</v>
      </c>
      <c r="V9" s="112" t="s">
        <v>58</v>
      </c>
      <c r="W9" s="113" t="s">
        <v>59</v>
      </c>
      <c r="X9" s="114" t="s">
        <v>60</v>
      </c>
      <c r="Y9" s="115" t="s">
        <v>61</v>
      </c>
      <c r="Z9" s="115" t="s">
        <v>62</v>
      </c>
      <c r="AA9" s="116" t="s">
        <v>63</v>
      </c>
      <c r="AB9" s="116" t="s">
        <v>64</v>
      </c>
      <c r="AC9" s="116" t="s">
        <v>65</v>
      </c>
      <c r="AD9" s="117" t="s">
        <v>66</v>
      </c>
      <c r="AE9" s="118" t="s">
        <v>67</v>
      </c>
      <c r="AF9" s="119" t="s">
        <v>68</v>
      </c>
      <c r="AG9" s="120" t="s">
        <v>69</v>
      </c>
      <c r="AH9" s="121" t="s">
        <v>70</v>
      </c>
      <c r="AI9" s="26"/>
      <c r="AJ9" s="122" t="s">
        <v>71</v>
      </c>
      <c r="AK9" s="123" t="s">
        <v>72</v>
      </c>
      <c r="AL9" s="107" t="s">
        <v>73</v>
      </c>
      <c r="AM9" s="124" t="s">
        <v>74</v>
      </c>
    </row>
    <row r="10" ht="12.75" customHeight="1">
      <c r="A10" s="26"/>
      <c r="B10" s="125" t="s">
        <v>75</v>
      </c>
      <c r="C10" s="126"/>
      <c r="D10" s="127"/>
      <c r="E10" s="128"/>
      <c r="F10" s="129"/>
      <c r="G10" s="128"/>
      <c r="H10" s="128"/>
      <c r="I10" s="128"/>
      <c r="J10" s="128"/>
      <c r="K10" s="130"/>
      <c r="L10" s="131"/>
      <c r="M10" s="132"/>
      <c r="N10" s="133"/>
      <c r="O10" s="134"/>
      <c r="P10" s="135"/>
      <c r="Q10" s="135"/>
      <c r="R10" s="136"/>
      <c r="S10" s="137"/>
      <c r="T10" s="138"/>
      <c r="U10" s="139"/>
      <c r="V10" s="140"/>
      <c r="W10" s="141"/>
      <c r="X10" s="142"/>
      <c r="Y10" s="143"/>
      <c r="Z10" s="143"/>
      <c r="AA10" s="139"/>
      <c r="AB10" s="139"/>
      <c r="AC10" s="139"/>
      <c r="AD10" s="140"/>
      <c r="AE10" s="144"/>
      <c r="AF10" s="145"/>
      <c r="AG10" s="138"/>
      <c r="AH10" s="146"/>
      <c r="AI10" s="26"/>
      <c r="AJ10" s="147"/>
      <c r="AK10" s="148"/>
      <c r="AL10" s="149"/>
      <c r="AM10" s="150"/>
    </row>
    <row r="11" ht="12.75" customHeight="1">
      <c r="A11" s="26"/>
      <c r="C11" s="151">
        <v>2.07481251E8</v>
      </c>
      <c r="D11" s="152" t="s">
        <v>76</v>
      </c>
      <c r="E11" s="153" t="s">
        <v>77</v>
      </c>
      <c r="F11" s="154">
        <v>1.0</v>
      </c>
      <c r="G11" s="53">
        <v>0.0</v>
      </c>
      <c r="H11" s="53" t="str">
        <f t="shared" ref="H11:H14" si="1">$I$2</f>
        <v>0.00069</v>
      </c>
      <c r="I11" s="53" t="str">
        <f t="shared" ref="I11:I14" si="2">$I$3</f>
        <v>89</v>
      </c>
      <c r="J11" s="53" t="str">
        <f t="shared" ref="J11:J14" si="3">G11*H11*I11*F11</f>
        <v>0</v>
      </c>
      <c r="K11" s="155" t="str">
        <f t="shared" ref="K11:K14" si="4">J11*$J$4</f>
        <v>0.00</v>
      </c>
      <c r="L11" s="156" t="str">
        <f t="shared" ref="L11:L14" si="5">K11+J11</f>
        <v>0.00 </v>
      </c>
      <c r="M11" s="132">
        <v>90.0</v>
      </c>
      <c r="N11" s="157">
        <v>756.59</v>
      </c>
      <c r="O11" s="158">
        <v>2200.0</v>
      </c>
      <c r="P11" s="159" t="str">
        <f t="shared" ref="P11:P14" si="6">O11</f>
        <v>2,200.00</v>
      </c>
      <c r="Q11" s="160" t="s">
        <v>78</v>
      </c>
      <c r="R11" s="161">
        <v>0.26</v>
      </c>
      <c r="S11" s="162" t="str">
        <f t="shared" ref="S11:S14" si="7">O11-(O11*R11)</f>
        <v>1,628.00</v>
      </c>
      <c r="T11" s="163" t="str">
        <f t="shared" ref="T11:T14" si="8">$C$1</f>
        <v>60.00</v>
      </c>
      <c r="U11" s="164" t="str">
        <f t="shared" ref="U11:U14" si="9">(S11*7/107)+((S11-(S11*7/107))*1%)</f>
        <v>121.72</v>
      </c>
      <c r="V11" s="165" t="str">
        <f t="shared" ref="V11:V14" si="10">N11*$C$3*(M11/30)</f>
        <v>0.00</v>
      </c>
      <c r="W11" s="166">
        <v>0.4</v>
      </c>
      <c r="X11" s="167" t="str">
        <f t="shared" ref="X11:X12" si="11">((_xlfn.CEILING.MATH(W11)-1)*$C$5+$C$4)</f>
        <v>76</v>
      </c>
      <c r="Y11" s="168" t="str">
        <f t="shared" ref="Y11:Y14" si="12">O11*$Y$6</f>
        <v>715.000</v>
      </c>
      <c r="Z11" s="168" t="str">
        <f t="shared" ref="Z11:Z14" si="13">S11*$Y$7</f>
        <v>64.957</v>
      </c>
      <c r="AA11" s="164" t="str">
        <f t="shared" ref="AA11:AA14" si="14">$Y$3*((100-AB11)/100)</f>
        <v>3.91</v>
      </c>
      <c r="AB11" s="164">
        <v>92.19</v>
      </c>
      <c r="AC11" s="164" t="str">
        <f t="shared" ref="AC11:AC14" si="15">$C$6*$C$7</f>
        <v>4.80</v>
      </c>
      <c r="AD11" s="165" t="str">
        <f t="shared" ref="AD11:AD14" si="16">O11*$C$2</f>
        <v>220.00</v>
      </c>
      <c r="AE11" s="23"/>
      <c r="AF11" s="169" t="str">
        <f t="shared" ref="AF11:AF14" si="17">(_xlfn.CEILING.MATH(W11))*$Y$1*$AD$2</f>
        <v>0</v>
      </c>
      <c r="AG11" s="163" t="str">
        <f t="shared" ref="AG11:AG14" si="18">O11-T11-U11-V11-X11-Y11-Z11-AA11-AC11-AD11-N11</f>
        <v>177.03</v>
      </c>
      <c r="AH11" s="170" t="str">
        <f t="shared" ref="AH11:AH14" si="19">AG11/N11</f>
        <v>23.40%</v>
      </c>
      <c r="AI11" s="26"/>
      <c r="AJ11" s="171" t="str">
        <f t="shared" ref="AJ11:AJ14" si="20">$AD$3</f>
        <v>0.00%</v>
      </c>
      <c r="AK11" s="172" t="str">
        <f t="shared" ref="AK11:AK14" si="21">N11*AJ11</f>
        <v>0.00</v>
      </c>
      <c r="AL11" s="173" t="str">
        <f t="shared" ref="AL11:AL14" si="22">(N11+T11+V11+X11+AA11+AC11+AF11+AK11)/(100%-($C$2+$C$8+$Y$6+$Y$7))</f>
        <v>1,980.43</v>
      </c>
      <c r="AM11" s="174" t="str">
        <f t="shared" ref="AM11:AM14" si="23">AL11-(AL11*$AD$1)</f>
        <v>1,406.11</v>
      </c>
    </row>
    <row r="12" ht="12.75" customHeight="1">
      <c r="A12" s="26"/>
      <c r="C12" s="151">
        <v>2.07481714E8</v>
      </c>
      <c r="D12" s="152" t="s">
        <v>79</v>
      </c>
      <c r="E12" s="153" t="s">
        <v>77</v>
      </c>
      <c r="F12" s="154">
        <v>1.0</v>
      </c>
      <c r="G12" s="53"/>
      <c r="H12" s="53" t="str">
        <f t="shared" si="1"/>
        <v>0.00069</v>
      </c>
      <c r="I12" s="53" t="str">
        <f t="shared" si="2"/>
        <v>89</v>
      </c>
      <c r="J12" s="53" t="str">
        <f t="shared" si="3"/>
        <v>0</v>
      </c>
      <c r="K12" s="155" t="str">
        <f t="shared" si="4"/>
        <v>0.00</v>
      </c>
      <c r="L12" s="156" t="str">
        <f t="shared" si="5"/>
        <v>0.00 </v>
      </c>
      <c r="M12" s="132">
        <v>90.0</v>
      </c>
      <c r="N12" s="175">
        <v>499.7</v>
      </c>
      <c r="O12" s="158">
        <v>1800.0</v>
      </c>
      <c r="P12" s="159" t="str">
        <f t="shared" si="6"/>
        <v>1,800.00</v>
      </c>
      <c r="Q12" s="160">
        <v>1847.0</v>
      </c>
      <c r="R12" s="161">
        <v>0.26</v>
      </c>
      <c r="S12" s="162" t="str">
        <f t="shared" si="7"/>
        <v>1,332.00</v>
      </c>
      <c r="T12" s="163" t="str">
        <f t="shared" si="8"/>
        <v>60.00</v>
      </c>
      <c r="U12" s="164" t="str">
        <f t="shared" si="9"/>
        <v>99.59</v>
      </c>
      <c r="V12" s="165" t="str">
        <f t="shared" si="10"/>
        <v>0.00</v>
      </c>
      <c r="W12" s="166">
        <v>0.45</v>
      </c>
      <c r="X12" s="167" t="str">
        <f t="shared" si="11"/>
        <v>76</v>
      </c>
      <c r="Y12" s="168" t="str">
        <f t="shared" si="12"/>
        <v>585.000</v>
      </c>
      <c r="Z12" s="168" t="str">
        <f t="shared" si="13"/>
        <v>53.147</v>
      </c>
      <c r="AA12" s="164" t="str">
        <f t="shared" si="14"/>
        <v>5.23</v>
      </c>
      <c r="AB12" s="164">
        <v>89.55</v>
      </c>
      <c r="AC12" s="164" t="str">
        <f t="shared" si="15"/>
        <v>4.80</v>
      </c>
      <c r="AD12" s="165" t="str">
        <f t="shared" si="16"/>
        <v>180.00</v>
      </c>
      <c r="AE12" s="23"/>
      <c r="AF12" s="169" t="str">
        <f t="shared" si="17"/>
        <v>0</v>
      </c>
      <c r="AG12" s="163" t="str">
        <f t="shared" si="18"/>
        <v>236.54</v>
      </c>
      <c r="AH12" s="170" t="str">
        <f t="shared" si="19"/>
        <v>47.34%</v>
      </c>
      <c r="AI12" s="26"/>
      <c r="AJ12" s="171" t="str">
        <f t="shared" si="20"/>
        <v>0.00%</v>
      </c>
      <c r="AK12" s="172" t="str">
        <f t="shared" si="21"/>
        <v>0.00</v>
      </c>
      <c r="AL12" s="173" t="str">
        <f t="shared" si="22"/>
        <v>1,418.86</v>
      </c>
      <c r="AM12" s="174" t="str">
        <f t="shared" si="23"/>
        <v>1,007.39</v>
      </c>
    </row>
    <row r="13" ht="12.75" customHeight="1">
      <c r="A13" s="26"/>
      <c r="C13" s="151">
        <v>2.0425006E8</v>
      </c>
      <c r="D13" s="152" t="s">
        <v>80</v>
      </c>
      <c r="E13" s="153" t="s">
        <v>77</v>
      </c>
      <c r="F13" s="154">
        <v>1.0</v>
      </c>
      <c r="G13" s="53"/>
      <c r="H13" s="53" t="str">
        <f t="shared" si="1"/>
        <v>0.00069</v>
      </c>
      <c r="I13" s="53" t="str">
        <f t="shared" si="2"/>
        <v>89</v>
      </c>
      <c r="J13" s="53" t="str">
        <f t="shared" si="3"/>
        <v>0</v>
      </c>
      <c r="K13" s="155" t="str">
        <f t="shared" si="4"/>
        <v>0.00</v>
      </c>
      <c r="L13" s="156" t="str">
        <f t="shared" si="5"/>
        <v>0.00 </v>
      </c>
      <c r="M13" s="132">
        <v>90.0</v>
      </c>
      <c r="N13" s="157">
        <v>343.82</v>
      </c>
      <c r="O13" s="158">
        <v>1450.0</v>
      </c>
      <c r="P13" s="159" t="str">
        <f t="shared" si="6"/>
        <v>1,450.00</v>
      </c>
      <c r="Q13" s="160">
        <v>1478.0</v>
      </c>
      <c r="R13" s="161">
        <v>0.26</v>
      </c>
      <c r="S13" s="162" t="str">
        <f t="shared" si="7"/>
        <v>1,073.00</v>
      </c>
      <c r="T13" s="163" t="str">
        <f t="shared" si="8"/>
        <v>60.00</v>
      </c>
      <c r="U13" s="164" t="str">
        <f t="shared" si="9"/>
        <v>80.22</v>
      </c>
      <c r="V13" s="165" t="str">
        <f t="shared" si="10"/>
        <v>0.00</v>
      </c>
      <c r="W13" s="166">
        <v>0.68</v>
      </c>
      <c r="X13" s="167">
        <v>88.0</v>
      </c>
      <c r="Y13" s="168" t="str">
        <f t="shared" si="12"/>
        <v>471.250</v>
      </c>
      <c r="Z13" s="168" t="str">
        <f t="shared" si="13"/>
        <v>42.813</v>
      </c>
      <c r="AA13" s="164" t="str">
        <f t="shared" si="14"/>
        <v>1.47</v>
      </c>
      <c r="AB13" s="164">
        <v>97.07</v>
      </c>
      <c r="AC13" s="164" t="str">
        <f t="shared" si="15"/>
        <v>4.80</v>
      </c>
      <c r="AD13" s="165" t="str">
        <f t="shared" si="16"/>
        <v>145.00</v>
      </c>
      <c r="AE13" s="23"/>
      <c r="AF13" s="169" t="str">
        <f t="shared" si="17"/>
        <v>0</v>
      </c>
      <c r="AG13" s="163" t="str">
        <f t="shared" si="18"/>
        <v>212.63</v>
      </c>
      <c r="AH13" s="170" t="str">
        <f t="shared" si="19"/>
        <v>61.84%</v>
      </c>
      <c r="AI13" s="26"/>
      <c r="AJ13" s="171" t="str">
        <f t="shared" si="20"/>
        <v>0.00%</v>
      </c>
      <c r="AK13" s="172" t="str">
        <f t="shared" si="21"/>
        <v>0.00</v>
      </c>
      <c r="AL13" s="173" t="str">
        <f t="shared" si="22"/>
        <v>1,094.45</v>
      </c>
      <c r="AM13" s="174" t="str">
        <f t="shared" si="23"/>
        <v>777.06</v>
      </c>
    </row>
    <row r="14" ht="12.75" customHeight="1">
      <c r="A14" s="26"/>
      <c r="C14" s="151">
        <v>2.04258828E8</v>
      </c>
      <c r="D14" s="152" t="s">
        <v>81</v>
      </c>
      <c r="E14" s="153" t="s">
        <v>77</v>
      </c>
      <c r="F14" s="154">
        <v>1.0</v>
      </c>
      <c r="G14" s="53"/>
      <c r="H14" s="53" t="str">
        <f t="shared" si="1"/>
        <v>0.00069</v>
      </c>
      <c r="I14" s="53" t="str">
        <f t="shared" si="2"/>
        <v>89</v>
      </c>
      <c r="J14" s="53" t="str">
        <f t="shared" si="3"/>
        <v>0</v>
      </c>
      <c r="K14" s="155" t="str">
        <f t="shared" si="4"/>
        <v>0.00</v>
      </c>
      <c r="L14" s="156" t="str">
        <f t="shared" si="5"/>
        <v>0.00 </v>
      </c>
      <c r="M14" s="132">
        <v>90.0</v>
      </c>
      <c r="N14" s="157">
        <v>343.82</v>
      </c>
      <c r="O14" s="158">
        <v>1200.0</v>
      </c>
      <c r="P14" s="159" t="str">
        <f t="shared" si="6"/>
        <v>1,200.00</v>
      </c>
      <c r="Q14" s="160">
        <v>1920.0</v>
      </c>
      <c r="R14" s="161">
        <v>0.26</v>
      </c>
      <c r="S14" s="162" t="str">
        <f t="shared" si="7"/>
        <v>888.00</v>
      </c>
      <c r="T14" s="163" t="str">
        <f t="shared" si="8"/>
        <v>60.00</v>
      </c>
      <c r="U14" s="164" t="str">
        <f t="shared" si="9"/>
        <v>66.39</v>
      </c>
      <c r="V14" s="165" t="str">
        <f t="shared" si="10"/>
        <v>0.00</v>
      </c>
      <c r="W14" s="166">
        <v>0.63</v>
      </c>
      <c r="X14" s="167" t="str">
        <f>((_xlfn.CEILING.MATH(W14)-1)*$C$5+$C$4)</f>
        <v>76</v>
      </c>
      <c r="Y14" s="168" t="str">
        <f t="shared" si="12"/>
        <v>390.000</v>
      </c>
      <c r="Z14" s="168" t="str">
        <f t="shared" si="13"/>
        <v>35.431</v>
      </c>
      <c r="AA14" s="164" t="str">
        <f t="shared" si="14"/>
        <v>0.00</v>
      </c>
      <c r="AB14" s="164">
        <v>100.0</v>
      </c>
      <c r="AC14" s="164" t="str">
        <f t="shared" si="15"/>
        <v>4.80</v>
      </c>
      <c r="AD14" s="165" t="str">
        <f t="shared" si="16"/>
        <v>120.00</v>
      </c>
      <c r="AE14" s="23"/>
      <c r="AF14" s="169" t="str">
        <f t="shared" si="17"/>
        <v>0</v>
      </c>
      <c r="AG14" s="163" t="str">
        <f t="shared" si="18"/>
        <v>103.56</v>
      </c>
      <c r="AH14" s="170" t="str">
        <f t="shared" si="19"/>
        <v>30.12%</v>
      </c>
      <c r="AI14" s="26"/>
      <c r="AJ14" s="171" t="str">
        <f t="shared" si="20"/>
        <v>0.00%</v>
      </c>
      <c r="AK14" s="172" t="str">
        <f t="shared" si="21"/>
        <v>0.00</v>
      </c>
      <c r="AL14" s="173" t="str">
        <f t="shared" si="22"/>
        <v>1,064.86</v>
      </c>
      <c r="AM14" s="174" t="str">
        <f t="shared" si="23"/>
        <v>756.05</v>
      </c>
    </row>
    <row r="15" ht="12.75" customHeight="1">
      <c r="A15" s="26"/>
      <c r="B15" s="125" t="s">
        <v>82</v>
      </c>
      <c r="C15" s="126"/>
      <c r="D15" s="127"/>
      <c r="E15" s="128"/>
      <c r="F15" s="129"/>
      <c r="G15" s="128"/>
      <c r="H15" s="128"/>
      <c r="I15" s="128"/>
      <c r="J15" s="128"/>
      <c r="K15" s="130"/>
      <c r="L15" s="131"/>
      <c r="M15" s="132"/>
      <c r="N15" s="176"/>
      <c r="O15" s="134"/>
      <c r="P15" s="135"/>
      <c r="Q15" s="135"/>
      <c r="R15" s="136"/>
      <c r="S15" s="137"/>
      <c r="T15" s="177"/>
      <c r="U15" s="178"/>
      <c r="V15" s="179"/>
      <c r="W15" s="180"/>
      <c r="X15" s="181"/>
      <c r="Y15" s="182"/>
      <c r="Z15" s="182"/>
      <c r="AA15" s="178"/>
      <c r="AB15" s="178"/>
      <c r="AC15" s="178"/>
      <c r="AD15" s="179"/>
      <c r="AE15" s="183"/>
      <c r="AF15" s="184"/>
      <c r="AG15" s="177"/>
      <c r="AH15" s="185"/>
      <c r="AI15" s="26"/>
      <c r="AJ15" s="186"/>
      <c r="AK15" s="187"/>
      <c r="AL15" s="188"/>
      <c r="AM15" s="189"/>
    </row>
    <row r="16" ht="12.75" customHeight="1">
      <c r="A16" s="26"/>
      <c r="B16" s="190" t="s">
        <v>83</v>
      </c>
      <c r="C16" s="191">
        <v>2.14301471E8</v>
      </c>
      <c r="D16" s="152" t="s">
        <v>84</v>
      </c>
      <c r="E16" s="53" t="s">
        <v>77</v>
      </c>
      <c r="F16" s="154">
        <v>1.0</v>
      </c>
      <c r="G16" s="53">
        <v>0.0</v>
      </c>
      <c r="H16" s="53" t="str">
        <f t="shared" ref="H16:H26" si="24">$I$2</f>
        <v>0.00069</v>
      </c>
      <c r="I16" s="53" t="str">
        <f t="shared" ref="I16:I26" si="25">$I$3</f>
        <v>89</v>
      </c>
      <c r="J16" s="53" t="str">
        <f t="shared" ref="J16:J26" si="26">G16*H16*I16*F16</f>
        <v>0</v>
      </c>
      <c r="K16" s="155" t="str">
        <f t="shared" ref="K16:K26" si="27">J16*$J$4</f>
        <v>0.00</v>
      </c>
      <c r="L16" s="156" t="str">
        <f t="shared" ref="L16:L26" si="28">K16+J16</f>
        <v>0.00 </v>
      </c>
      <c r="M16" s="132">
        <v>90.0</v>
      </c>
      <c r="N16" s="157">
        <v>0.0</v>
      </c>
      <c r="O16" s="158">
        <v>1285.2</v>
      </c>
      <c r="P16" s="159" t="str">
        <f t="shared" ref="P16:P26" si="29">AL16</f>
        <v>309.38</v>
      </c>
      <c r="Q16" s="160"/>
      <c r="R16" s="161">
        <v>0.26</v>
      </c>
      <c r="S16" s="162" t="str">
        <f t="shared" ref="S16:S26" si="30">O16-(O16*R16)</f>
        <v>951.05</v>
      </c>
      <c r="T16" s="163" t="str">
        <f t="shared" ref="T16:T18" si="31">$C$1</f>
        <v>60.00</v>
      </c>
      <c r="U16" s="164" t="str">
        <f t="shared" ref="U16:U26" si="32">(S16*7/107)+((S16-(S16*7/107))*1%)</f>
        <v>71.11</v>
      </c>
      <c r="V16" s="165" t="str">
        <f t="shared" ref="V16:V26" si="33">N16*$C$3*(M16/30)</f>
        <v>0.00</v>
      </c>
      <c r="W16" s="166">
        <v>0.7</v>
      </c>
      <c r="X16" s="167" t="str">
        <f t="shared" ref="X16:X18" si="34">((_xlfn.CEILING.MATH(W16)-1)*$C$5+$C$4)</f>
        <v>76</v>
      </c>
      <c r="Y16" s="168" t="str">
        <f t="shared" ref="Y16:Y26" si="35">O16*$Y$6</f>
        <v>417.690</v>
      </c>
      <c r="Z16" s="168" t="str">
        <f t="shared" ref="Z16:Z26" si="36">S16*$Y$7</f>
        <v>37.947</v>
      </c>
      <c r="AA16" s="164" t="str">
        <f t="shared" ref="AA16:AA26" si="37">$Y$3*((100-AB16)/100)</f>
        <v>0.00</v>
      </c>
      <c r="AB16" s="164">
        <v>100.0</v>
      </c>
      <c r="AC16" s="164" t="str">
        <f t="shared" ref="AC16:AC26" si="38">$C$6*$C$7*_xlfn.CEILING.MATH(W16)</f>
        <v>4.80</v>
      </c>
      <c r="AD16" s="165" t="str">
        <f t="shared" ref="AD16:AD26" si="39">O16*$C$2</f>
        <v>128.52</v>
      </c>
      <c r="AE16" s="23"/>
      <c r="AF16" s="169" t="str">
        <f t="shared" ref="AF16:AF26" si="40">(_xlfn.CEILING.MATH(W16))*$Y$1*$AD$2</f>
        <v>0</v>
      </c>
      <c r="AG16" s="163" t="str">
        <f t="shared" ref="AG16:AG26" si="41">O16-T16-U16-V16-X16-Y16-Z16-AA16-AC16-AD16-N16</f>
        <v>489.14</v>
      </c>
      <c r="AH16" s="170" t="str">
        <f t="shared" ref="AH16:AH18" si="42">AG16/N16</f>
        <v>#DIV/0!</v>
      </c>
      <c r="AI16" s="26"/>
      <c r="AJ16" s="171" t="str">
        <f t="shared" ref="AJ16:AJ26" si="43">$AD$3</f>
        <v>0.00%</v>
      </c>
      <c r="AK16" s="172" t="str">
        <f t="shared" ref="AK16:AK26" si="44">N16*AJ16</f>
        <v>0.00</v>
      </c>
      <c r="AL16" s="173" t="str">
        <f t="shared" ref="AL16:AL26" si="45">(N16+T16+V16+X16+AA16+AC16+AF16+AK16)/(100%-($C$2+$C$8+$Y$6+$Y$7))</f>
        <v>309.38</v>
      </c>
      <c r="AM16" s="174" t="str">
        <f t="shared" ref="AM16:AM26" si="46">AL16-(AL16*$AD$1)</f>
        <v>219.66</v>
      </c>
    </row>
    <row r="17" ht="12.75" customHeight="1">
      <c r="A17" s="26"/>
      <c r="B17" s="190" t="s">
        <v>85</v>
      </c>
      <c r="C17" s="192">
        <v>2.14301724E8</v>
      </c>
      <c r="D17" s="152" t="s">
        <v>86</v>
      </c>
      <c r="E17" s="53" t="s">
        <v>77</v>
      </c>
      <c r="F17" s="154">
        <v>1.0</v>
      </c>
      <c r="G17" s="53"/>
      <c r="H17" s="53" t="str">
        <f t="shared" si="24"/>
        <v>0.00069</v>
      </c>
      <c r="I17" s="53" t="str">
        <f t="shared" si="25"/>
        <v>89</v>
      </c>
      <c r="J17" s="53" t="str">
        <f t="shared" si="26"/>
        <v>0</v>
      </c>
      <c r="K17" s="155" t="str">
        <f t="shared" si="27"/>
        <v>0.00</v>
      </c>
      <c r="L17" s="156" t="str">
        <f t="shared" si="28"/>
        <v>0.00 </v>
      </c>
      <c r="M17" s="132">
        <v>90.0</v>
      </c>
      <c r="N17" s="157">
        <v>0.0</v>
      </c>
      <c r="O17" s="158">
        <v>1285.2</v>
      </c>
      <c r="P17" s="159" t="str">
        <f t="shared" si="29"/>
        <v>314.88</v>
      </c>
      <c r="Q17" s="160"/>
      <c r="R17" s="161">
        <v>0.26</v>
      </c>
      <c r="S17" s="162" t="str">
        <f t="shared" si="30"/>
        <v>951.05</v>
      </c>
      <c r="T17" s="163" t="str">
        <f t="shared" si="31"/>
        <v>60.00</v>
      </c>
      <c r="U17" s="164" t="str">
        <f t="shared" si="32"/>
        <v>71.11</v>
      </c>
      <c r="V17" s="165" t="str">
        <f t="shared" si="33"/>
        <v>0.00</v>
      </c>
      <c r="W17" s="166">
        <v>0.7</v>
      </c>
      <c r="X17" s="167" t="str">
        <f t="shared" si="34"/>
        <v>76</v>
      </c>
      <c r="Y17" s="168" t="str">
        <f t="shared" si="35"/>
        <v>417.690</v>
      </c>
      <c r="Z17" s="168" t="str">
        <f t="shared" si="36"/>
        <v>37.947</v>
      </c>
      <c r="AA17" s="164" t="str">
        <f t="shared" si="37"/>
        <v>2.50</v>
      </c>
      <c r="AB17" s="164">
        <v>95.0</v>
      </c>
      <c r="AC17" s="164" t="str">
        <f t="shared" si="38"/>
        <v>4.80</v>
      </c>
      <c r="AD17" s="165" t="str">
        <f t="shared" si="39"/>
        <v>128.52</v>
      </c>
      <c r="AE17" s="23"/>
      <c r="AF17" s="169" t="str">
        <f t="shared" si="40"/>
        <v>0</v>
      </c>
      <c r="AG17" s="163" t="str">
        <f t="shared" si="41"/>
        <v>486.64</v>
      </c>
      <c r="AH17" s="170" t="str">
        <f t="shared" si="42"/>
        <v>#DIV/0!</v>
      </c>
      <c r="AI17" s="26"/>
      <c r="AJ17" s="171" t="str">
        <f t="shared" si="43"/>
        <v>0.00%</v>
      </c>
      <c r="AK17" s="172" t="str">
        <f t="shared" si="44"/>
        <v>0.00</v>
      </c>
      <c r="AL17" s="173" t="str">
        <f t="shared" si="45"/>
        <v>314.88</v>
      </c>
      <c r="AM17" s="174" t="str">
        <f t="shared" si="46"/>
        <v>223.56</v>
      </c>
    </row>
    <row r="18" ht="12.75" customHeight="1">
      <c r="A18" s="26"/>
      <c r="B18" s="190" t="s">
        <v>87</v>
      </c>
      <c r="C18" s="192">
        <v>2.14301797E8</v>
      </c>
      <c r="D18" s="152" t="s">
        <v>88</v>
      </c>
      <c r="E18" s="53" t="s">
        <v>77</v>
      </c>
      <c r="F18" s="154">
        <v>1.0</v>
      </c>
      <c r="G18" s="53"/>
      <c r="H18" s="53" t="str">
        <f t="shared" si="24"/>
        <v>0.00069</v>
      </c>
      <c r="I18" s="53" t="str">
        <f t="shared" si="25"/>
        <v>89</v>
      </c>
      <c r="J18" s="53" t="str">
        <f t="shared" si="26"/>
        <v>0</v>
      </c>
      <c r="K18" s="155" t="str">
        <f t="shared" si="27"/>
        <v>0.00</v>
      </c>
      <c r="L18" s="156" t="str">
        <f t="shared" si="28"/>
        <v>0.00 </v>
      </c>
      <c r="M18" s="132">
        <v>90.0</v>
      </c>
      <c r="N18" s="157">
        <v>0.0</v>
      </c>
      <c r="O18" s="158">
        <v>1285.2</v>
      </c>
      <c r="P18" s="159" t="str">
        <f t="shared" si="29"/>
        <v>316.81</v>
      </c>
      <c r="Q18" s="160"/>
      <c r="R18" s="161">
        <v>0.26</v>
      </c>
      <c r="S18" s="162" t="str">
        <f t="shared" si="30"/>
        <v>951.05</v>
      </c>
      <c r="T18" s="163" t="str">
        <f t="shared" si="31"/>
        <v>60.00</v>
      </c>
      <c r="U18" s="164" t="str">
        <f t="shared" si="32"/>
        <v>71.11</v>
      </c>
      <c r="V18" s="165" t="str">
        <f t="shared" si="33"/>
        <v>0.00</v>
      </c>
      <c r="W18" s="166">
        <v>0.45</v>
      </c>
      <c r="X18" s="167" t="str">
        <f t="shared" si="34"/>
        <v>76</v>
      </c>
      <c r="Y18" s="168" t="str">
        <f t="shared" si="35"/>
        <v>417.690</v>
      </c>
      <c r="Z18" s="168" t="str">
        <f t="shared" si="36"/>
        <v>37.947</v>
      </c>
      <c r="AA18" s="164" t="str">
        <f t="shared" si="37"/>
        <v>3.38</v>
      </c>
      <c r="AB18" s="164">
        <v>93.24</v>
      </c>
      <c r="AC18" s="164" t="str">
        <f t="shared" si="38"/>
        <v>4.80</v>
      </c>
      <c r="AD18" s="165" t="str">
        <f t="shared" si="39"/>
        <v>128.52</v>
      </c>
      <c r="AE18" s="23"/>
      <c r="AF18" s="169" t="str">
        <f t="shared" si="40"/>
        <v>0</v>
      </c>
      <c r="AG18" s="163" t="str">
        <f t="shared" si="41"/>
        <v>485.76</v>
      </c>
      <c r="AH18" s="170" t="str">
        <f t="shared" si="42"/>
        <v>#DIV/0!</v>
      </c>
      <c r="AI18" s="26"/>
      <c r="AJ18" s="171" t="str">
        <f t="shared" si="43"/>
        <v>0.00%</v>
      </c>
      <c r="AK18" s="172" t="str">
        <f t="shared" si="44"/>
        <v>0.00</v>
      </c>
      <c r="AL18" s="173" t="str">
        <f t="shared" si="45"/>
        <v>316.81</v>
      </c>
      <c r="AM18" s="174" t="str">
        <f t="shared" si="46"/>
        <v>224.93</v>
      </c>
    </row>
    <row r="19" ht="12.75" customHeight="1">
      <c r="A19" s="26"/>
      <c r="C19" s="193"/>
      <c r="D19" s="194" t="s">
        <v>89</v>
      </c>
      <c r="E19" s="195" t="s">
        <v>77</v>
      </c>
      <c r="F19" s="154">
        <v>1.0</v>
      </c>
      <c r="G19" s="195"/>
      <c r="H19" s="53" t="str">
        <f t="shared" si="24"/>
        <v>0.00069</v>
      </c>
      <c r="I19" s="53" t="str">
        <f t="shared" si="25"/>
        <v>89</v>
      </c>
      <c r="J19" s="53" t="str">
        <f t="shared" si="26"/>
        <v>0</v>
      </c>
      <c r="K19" s="155" t="str">
        <f t="shared" si="27"/>
        <v>0.00</v>
      </c>
      <c r="L19" s="156" t="str">
        <f t="shared" si="28"/>
        <v>0.00 </v>
      </c>
      <c r="M19" s="132">
        <v>0.0</v>
      </c>
      <c r="N19" s="157">
        <v>0.0</v>
      </c>
      <c r="O19" s="158"/>
      <c r="P19" s="159" t="str">
        <f t="shared" si="29"/>
        <v>0.00</v>
      </c>
      <c r="Q19" s="160"/>
      <c r="R19" s="161">
        <v>0.26</v>
      </c>
      <c r="S19" s="162" t="str">
        <f t="shared" si="30"/>
        <v>0.00</v>
      </c>
      <c r="T19" s="163">
        <v>0.0</v>
      </c>
      <c r="U19" s="164" t="str">
        <f t="shared" si="32"/>
        <v>0.00</v>
      </c>
      <c r="V19" s="165" t="str">
        <f t="shared" si="33"/>
        <v>0.00</v>
      </c>
      <c r="W19" s="166"/>
      <c r="X19" s="167"/>
      <c r="Y19" s="168" t="str">
        <f t="shared" si="35"/>
        <v>0.000</v>
      </c>
      <c r="Z19" s="168" t="str">
        <f t="shared" si="36"/>
        <v>0.000</v>
      </c>
      <c r="AA19" s="164" t="str">
        <f t="shared" si="37"/>
        <v>0.00</v>
      </c>
      <c r="AB19" s="164">
        <v>100.0</v>
      </c>
      <c r="AC19" s="164" t="str">
        <f t="shared" si="38"/>
        <v>0.00</v>
      </c>
      <c r="AD19" s="165" t="str">
        <f t="shared" si="39"/>
        <v>0.00</v>
      </c>
      <c r="AE19" s="23"/>
      <c r="AF19" s="169" t="str">
        <f t="shared" si="40"/>
        <v>0</v>
      </c>
      <c r="AG19" s="163" t="str">
        <f t="shared" si="41"/>
        <v>0.00</v>
      </c>
      <c r="AH19" s="170"/>
      <c r="AI19" s="26"/>
      <c r="AJ19" s="171" t="str">
        <f t="shared" si="43"/>
        <v>0.00%</v>
      </c>
      <c r="AK19" s="172" t="str">
        <f t="shared" si="44"/>
        <v>0.00</v>
      </c>
      <c r="AL19" s="173" t="str">
        <f t="shared" si="45"/>
        <v>0.00</v>
      </c>
      <c r="AM19" s="174" t="str">
        <f t="shared" si="46"/>
        <v>0.00</v>
      </c>
    </row>
    <row r="20" ht="12.75" customHeight="1">
      <c r="A20" s="26"/>
      <c r="B20" s="190" t="s">
        <v>90</v>
      </c>
      <c r="C20" s="192">
        <v>2.14303984E8</v>
      </c>
      <c r="D20" s="152" t="s">
        <v>91</v>
      </c>
      <c r="E20" s="53" t="s">
        <v>77</v>
      </c>
      <c r="F20" s="154">
        <v>1.0</v>
      </c>
      <c r="G20" s="53"/>
      <c r="H20" s="53" t="str">
        <f t="shared" si="24"/>
        <v>0.00069</v>
      </c>
      <c r="I20" s="53" t="str">
        <f t="shared" si="25"/>
        <v>89</v>
      </c>
      <c r="J20" s="53" t="str">
        <f t="shared" si="26"/>
        <v>0</v>
      </c>
      <c r="K20" s="155" t="str">
        <f t="shared" si="27"/>
        <v>0.00</v>
      </c>
      <c r="L20" s="156" t="str">
        <f t="shared" si="28"/>
        <v>0.00 </v>
      </c>
      <c r="M20" s="132">
        <v>90.0</v>
      </c>
      <c r="N20" s="157">
        <v>0.0</v>
      </c>
      <c r="O20" s="158">
        <v>1285.2</v>
      </c>
      <c r="P20" s="159" t="str">
        <f t="shared" si="29"/>
        <v>314.70</v>
      </c>
      <c r="Q20" s="160"/>
      <c r="R20" s="161">
        <v>0.26</v>
      </c>
      <c r="S20" s="162" t="str">
        <f t="shared" si="30"/>
        <v>951.05</v>
      </c>
      <c r="T20" s="163" t="str">
        <f t="shared" ref="T20:T26" si="47">$C$1</f>
        <v>60.00</v>
      </c>
      <c r="U20" s="164" t="str">
        <f t="shared" si="32"/>
        <v>71.11</v>
      </c>
      <c r="V20" s="165" t="str">
        <f t="shared" si="33"/>
        <v>0.00</v>
      </c>
      <c r="W20" s="166">
        <v>0.7</v>
      </c>
      <c r="X20" s="167" t="str">
        <f t="shared" ref="X20:X26" si="48">((_xlfn.CEILING.MATH(W20)-1)*$C$5+$C$4)</f>
        <v>76</v>
      </c>
      <c r="Y20" s="168" t="str">
        <f t="shared" si="35"/>
        <v>417.690</v>
      </c>
      <c r="Z20" s="168" t="str">
        <f t="shared" si="36"/>
        <v>37.947</v>
      </c>
      <c r="AA20" s="164" t="str">
        <f t="shared" si="37"/>
        <v>2.42</v>
      </c>
      <c r="AB20" s="164">
        <v>95.16</v>
      </c>
      <c r="AC20" s="164" t="str">
        <f t="shared" si="38"/>
        <v>4.80</v>
      </c>
      <c r="AD20" s="165" t="str">
        <f t="shared" si="39"/>
        <v>128.52</v>
      </c>
      <c r="AE20" s="23"/>
      <c r="AF20" s="169" t="str">
        <f t="shared" si="40"/>
        <v>0</v>
      </c>
      <c r="AG20" s="163" t="str">
        <f t="shared" si="41"/>
        <v>486.72</v>
      </c>
      <c r="AH20" s="170" t="str">
        <f t="shared" ref="AH20:AH26" si="49">AG20/N20</f>
        <v>#DIV/0!</v>
      </c>
      <c r="AI20" s="26"/>
      <c r="AJ20" s="171" t="str">
        <f t="shared" si="43"/>
        <v>0.00%</v>
      </c>
      <c r="AK20" s="172" t="str">
        <f t="shared" si="44"/>
        <v>0.00</v>
      </c>
      <c r="AL20" s="173" t="str">
        <f t="shared" si="45"/>
        <v>314.70</v>
      </c>
      <c r="AM20" s="174" t="str">
        <f t="shared" si="46"/>
        <v>223.44</v>
      </c>
    </row>
    <row r="21" ht="12.75" customHeight="1">
      <c r="A21" s="26"/>
      <c r="B21" s="190" t="s">
        <v>92</v>
      </c>
      <c r="C21" s="192">
        <v>2.14304435E8</v>
      </c>
      <c r="D21" s="152" t="s">
        <v>93</v>
      </c>
      <c r="E21" s="53" t="s">
        <v>77</v>
      </c>
      <c r="F21" s="154">
        <v>1.0</v>
      </c>
      <c r="G21" s="53"/>
      <c r="H21" s="53" t="str">
        <f t="shared" si="24"/>
        <v>0.00069</v>
      </c>
      <c r="I21" s="53" t="str">
        <f t="shared" si="25"/>
        <v>89</v>
      </c>
      <c r="J21" s="53" t="str">
        <f t="shared" si="26"/>
        <v>0</v>
      </c>
      <c r="K21" s="155" t="str">
        <f t="shared" si="27"/>
        <v>0.00</v>
      </c>
      <c r="L21" s="156" t="str">
        <f t="shared" si="28"/>
        <v>0.00 </v>
      </c>
      <c r="M21" s="132">
        <v>90.0</v>
      </c>
      <c r="N21" s="157">
        <v>0.0</v>
      </c>
      <c r="O21" s="158">
        <v>1285.2</v>
      </c>
      <c r="P21" s="159" t="str">
        <f t="shared" si="29"/>
        <v>309.38</v>
      </c>
      <c r="Q21" s="160"/>
      <c r="R21" s="161">
        <v>0.26</v>
      </c>
      <c r="S21" s="162" t="str">
        <f t="shared" si="30"/>
        <v>951.05</v>
      </c>
      <c r="T21" s="163" t="str">
        <f t="shared" si="47"/>
        <v>60.00</v>
      </c>
      <c r="U21" s="164" t="str">
        <f t="shared" si="32"/>
        <v>71.11</v>
      </c>
      <c r="V21" s="165" t="str">
        <f t="shared" si="33"/>
        <v>0.00</v>
      </c>
      <c r="W21" s="166">
        <v>0.7</v>
      </c>
      <c r="X21" s="167" t="str">
        <f t="shared" si="48"/>
        <v>76</v>
      </c>
      <c r="Y21" s="168" t="str">
        <f t="shared" si="35"/>
        <v>417.690</v>
      </c>
      <c r="Z21" s="168" t="str">
        <f t="shared" si="36"/>
        <v>37.947</v>
      </c>
      <c r="AA21" s="164" t="str">
        <f t="shared" si="37"/>
        <v>0.00</v>
      </c>
      <c r="AB21" s="164">
        <v>100.0</v>
      </c>
      <c r="AC21" s="164" t="str">
        <f t="shared" si="38"/>
        <v>4.80</v>
      </c>
      <c r="AD21" s="165" t="str">
        <f t="shared" si="39"/>
        <v>128.52</v>
      </c>
      <c r="AE21" s="23"/>
      <c r="AF21" s="169" t="str">
        <f t="shared" si="40"/>
        <v>0</v>
      </c>
      <c r="AG21" s="163" t="str">
        <f t="shared" si="41"/>
        <v>489.14</v>
      </c>
      <c r="AH21" s="170" t="str">
        <f t="shared" si="49"/>
        <v>#DIV/0!</v>
      </c>
      <c r="AI21" s="26"/>
      <c r="AJ21" s="171" t="str">
        <f t="shared" si="43"/>
        <v>0.00%</v>
      </c>
      <c r="AK21" s="172" t="str">
        <f t="shared" si="44"/>
        <v>0.00</v>
      </c>
      <c r="AL21" s="173" t="str">
        <f t="shared" si="45"/>
        <v>309.38</v>
      </c>
      <c r="AM21" s="174" t="str">
        <f t="shared" si="46"/>
        <v>219.66</v>
      </c>
    </row>
    <row r="22" ht="12.75" customHeight="1">
      <c r="A22" s="26"/>
      <c r="B22" s="190" t="s">
        <v>94</v>
      </c>
      <c r="C22" s="192">
        <v>2.15182642E8</v>
      </c>
      <c r="D22" s="152" t="s">
        <v>95</v>
      </c>
      <c r="E22" s="53" t="s">
        <v>77</v>
      </c>
      <c r="F22" s="154">
        <v>1.0</v>
      </c>
      <c r="G22" s="53"/>
      <c r="H22" s="53" t="str">
        <f t="shared" si="24"/>
        <v>0.00069</v>
      </c>
      <c r="I22" s="53" t="str">
        <f t="shared" si="25"/>
        <v>89</v>
      </c>
      <c r="J22" s="53" t="str">
        <f t="shared" si="26"/>
        <v>0</v>
      </c>
      <c r="K22" s="155" t="str">
        <f t="shared" si="27"/>
        <v>0.00</v>
      </c>
      <c r="L22" s="156" t="str">
        <f t="shared" si="28"/>
        <v>0.00 </v>
      </c>
      <c r="M22" s="132">
        <v>90.0</v>
      </c>
      <c r="N22" s="157">
        <v>0.0</v>
      </c>
      <c r="O22" s="158">
        <v>1197.6</v>
      </c>
      <c r="P22" s="159" t="str">
        <f t="shared" si="29"/>
        <v>314.61</v>
      </c>
      <c r="Q22" s="160"/>
      <c r="R22" s="161">
        <v>0.26</v>
      </c>
      <c r="S22" s="162" t="str">
        <f t="shared" si="30"/>
        <v>886.22</v>
      </c>
      <c r="T22" s="163" t="str">
        <f t="shared" si="47"/>
        <v>60.00</v>
      </c>
      <c r="U22" s="164" t="str">
        <f t="shared" si="32"/>
        <v>66.26</v>
      </c>
      <c r="V22" s="165" t="str">
        <f t="shared" si="33"/>
        <v>0.00</v>
      </c>
      <c r="W22" s="166">
        <v>0.7</v>
      </c>
      <c r="X22" s="167" t="str">
        <f t="shared" si="48"/>
        <v>76</v>
      </c>
      <c r="Y22" s="168" t="str">
        <f t="shared" si="35"/>
        <v>389.220</v>
      </c>
      <c r="Z22" s="168" t="str">
        <f t="shared" si="36"/>
        <v>35.360</v>
      </c>
      <c r="AA22" s="164" t="str">
        <f t="shared" si="37"/>
        <v>2.38</v>
      </c>
      <c r="AB22" s="164">
        <v>95.24</v>
      </c>
      <c r="AC22" s="164" t="str">
        <f t="shared" si="38"/>
        <v>4.80</v>
      </c>
      <c r="AD22" s="165" t="str">
        <f t="shared" si="39"/>
        <v>119.76</v>
      </c>
      <c r="AE22" s="23"/>
      <c r="AF22" s="169" t="str">
        <f t="shared" si="40"/>
        <v>0</v>
      </c>
      <c r="AG22" s="163" t="str">
        <f t="shared" si="41"/>
        <v>443.82</v>
      </c>
      <c r="AH22" s="170" t="str">
        <f t="shared" si="49"/>
        <v>#DIV/0!</v>
      </c>
      <c r="AI22" s="26"/>
      <c r="AJ22" s="171" t="str">
        <f t="shared" si="43"/>
        <v>0.00%</v>
      </c>
      <c r="AK22" s="172" t="str">
        <f t="shared" si="44"/>
        <v>0.00</v>
      </c>
      <c r="AL22" s="173" t="str">
        <f t="shared" si="45"/>
        <v>314.61</v>
      </c>
      <c r="AM22" s="174" t="str">
        <f t="shared" si="46"/>
        <v>223.37</v>
      </c>
    </row>
    <row r="23" ht="12.75" customHeight="1">
      <c r="A23" s="26"/>
      <c r="B23" s="190" t="s">
        <v>96</v>
      </c>
      <c r="C23" s="196">
        <v>2.14304883E8</v>
      </c>
      <c r="D23" s="152" t="s">
        <v>97</v>
      </c>
      <c r="E23" s="153" t="s">
        <v>77</v>
      </c>
      <c r="F23" s="154">
        <v>1.0</v>
      </c>
      <c r="G23" s="53"/>
      <c r="H23" s="53" t="str">
        <f t="shared" si="24"/>
        <v>0.00069</v>
      </c>
      <c r="I23" s="53" t="str">
        <f t="shared" si="25"/>
        <v>89</v>
      </c>
      <c r="J23" s="53" t="str">
        <f t="shared" si="26"/>
        <v>0</v>
      </c>
      <c r="K23" s="155" t="str">
        <f t="shared" si="27"/>
        <v>0.00</v>
      </c>
      <c r="L23" s="156" t="str">
        <f t="shared" si="28"/>
        <v>0.00 </v>
      </c>
      <c r="M23" s="132">
        <v>90.0</v>
      </c>
      <c r="N23" s="157">
        <v>594.61</v>
      </c>
      <c r="O23" s="158">
        <v>2000.0</v>
      </c>
      <c r="P23" s="159" t="str">
        <f t="shared" si="29"/>
        <v>1,619.84</v>
      </c>
      <c r="Q23" s="160"/>
      <c r="R23" s="161">
        <v>0.26</v>
      </c>
      <c r="S23" s="162" t="str">
        <f t="shared" si="30"/>
        <v>1,480.00</v>
      </c>
      <c r="T23" s="163" t="str">
        <f t="shared" si="47"/>
        <v>60.00</v>
      </c>
      <c r="U23" s="164" t="str">
        <f t="shared" si="32"/>
        <v>110.65</v>
      </c>
      <c r="V23" s="165" t="str">
        <f t="shared" si="33"/>
        <v>0.00</v>
      </c>
      <c r="W23" s="166">
        <v>0.7</v>
      </c>
      <c r="X23" s="167" t="str">
        <f t="shared" si="48"/>
        <v>76</v>
      </c>
      <c r="Y23" s="168" t="str">
        <f t="shared" si="35"/>
        <v>650.000</v>
      </c>
      <c r="Z23" s="168" t="str">
        <f t="shared" si="36"/>
        <v>59.052</v>
      </c>
      <c r="AA23" s="164" t="str">
        <f t="shared" si="37"/>
        <v>1.78</v>
      </c>
      <c r="AB23" s="164">
        <v>96.44</v>
      </c>
      <c r="AC23" s="164" t="str">
        <f t="shared" si="38"/>
        <v>4.80</v>
      </c>
      <c r="AD23" s="165" t="str">
        <f t="shared" si="39"/>
        <v>200.00</v>
      </c>
      <c r="AE23" s="23"/>
      <c r="AF23" s="169" t="str">
        <f t="shared" si="40"/>
        <v>0</v>
      </c>
      <c r="AG23" s="163" t="str">
        <f t="shared" si="41"/>
        <v>243.10</v>
      </c>
      <c r="AH23" s="170" t="str">
        <f t="shared" si="49"/>
        <v>40.88%</v>
      </c>
      <c r="AI23" s="26"/>
      <c r="AJ23" s="171" t="str">
        <f t="shared" si="43"/>
        <v>0.00%</v>
      </c>
      <c r="AK23" s="172" t="str">
        <f t="shared" si="44"/>
        <v>0.00</v>
      </c>
      <c r="AL23" s="173" t="str">
        <f t="shared" si="45"/>
        <v>1,619.84</v>
      </c>
      <c r="AM23" s="174" t="str">
        <f t="shared" si="46"/>
        <v>1,150.09</v>
      </c>
    </row>
    <row r="24" ht="12.75" customHeight="1">
      <c r="A24" s="26"/>
      <c r="B24" s="190" t="s">
        <v>98</v>
      </c>
      <c r="C24" s="192">
        <v>2.14305187E8</v>
      </c>
      <c r="D24" s="152" t="s">
        <v>99</v>
      </c>
      <c r="E24" s="53" t="s">
        <v>77</v>
      </c>
      <c r="F24" s="154">
        <v>1.0</v>
      </c>
      <c r="G24" s="53"/>
      <c r="H24" s="53" t="str">
        <f t="shared" si="24"/>
        <v>0.00069</v>
      </c>
      <c r="I24" s="53" t="str">
        <f t="shared" si="25"/>
        <v>89</v>
      </c>
      <c r="J24" s="53" t="str">
        <f t="shared" si="26"/>
        <v>0</v>
      </c>
      <c r="K24" s="155" t="str">
        <f t="shared" si="27"/>
        <v>0.00</v>
      </c>
      <c r="L24" s="156" t="str">
        <f t="shared" si="28"/>
        <v>0.00 </v>
      </c>
      <c r="M24" s="132">
        <v>90.0</v>
      </c>
      <c r="N24" s="157">
        <v>0.0</v>
      </c>
      <c r="O24" s="158">
        <v>1197.6</v>
      </c>
      <c r="P24" s="159" t="str">
        <f t="shared" si="29"/>
        <v>316.25</v>
      </c>
      <c r="Q24" s="160"/>
      <c r="R24" s="161">
        <v>0.26</v>
      </c>
      <c r="S24" s="162" t="str">
        <f t="shared" si="30"/>
        <v>886.22</v>
      </c>
      <c r="T24" s="163" t="str">
        <f t="shared" si="47"/>
        <v>60.00</v>
      </c>
      <c r="U24" s="164" t="str">
        <f t="shared" si="32"/>
        <v>66.26</v>
      </c>
      <c r="V24" s="165" t="str">
        <f t="shared" si="33"/>
        <v>0.00</v>
      </c>
      <c r="W24" s="166">
        <v>0.7</v>
      </c>
      <c r="X24" s="167" t="str">
        <f t="shared" si="48"/>
        <v>76</v>
      </c>
      <c r="Y24" s="168" t="str">
        <f t="shared" si="35"/>
        <v>389.220</v>
      </c>
      <c r="Z24" s="168" t="str">
        <f t="shared" si="36"/>
        <v>35.360</v>
      </c>
      <c r="AA24" s="164" t="str">
        <f t="shared" si="37"/>
        <v>3.13</v>
      </c>
      <c r="AB24" s="164">
        <v>93.75</v>
      </c>
      <c r="AC24" s="164" t="str">
        <f t="shared" si="38"/>
        <v>4.80</v>
      </c>
      <c r="AD24" s="165" t="str">
        <f t="shared" si="39"/>
        <v>119.76</v>
      </c>
      <c r="AE24" s="23"/>
      <c r="AF24" s="169" t="str">
        <f t="shared" si="40"/>
        <v>0</v>
      </c>
      <c r="AG24" s="163" t="str">
        <f t="shared" si="41"/>
        <v>443.07</v>
      </c>
      <c r="AH24" s="170" t="str">
        <f t="shared" si="49"/>
        <v>#DIV/0!</v>
      </c>
      <c r="AI24" s="26"/>
      <c r="AJ24" s="171" t="str">
        <f t="shared" si="43"/>
        <v>0.00%</v>
      </c>
      <c r="AK24" s="172" t="str">
        <f t="shared" si="44"/>
        <v>0.00</v>
      </c>
      <c r="AL24" s="173" t="str">
        <f t="shared" si="45"/>
        <v>316.25</v>
      </c>
      <c r="AM24" s="174" t="str">
        <f t="shared" si="46"/>
        <v>224.54</v>
      </c>
    </row>
    <row r="25" ht="12.75" customHeight="1">
      <c r="A25" s="26"/>
      <c r="B25" s="190" t="s">
        <v>100</v>
      </c>
      <c r="C25" s="192">
        <v>2.1430522E8</v>
      </c>
      <c r="D25" s="152" t="s">
        <v>101</v>
      </c>
      <c r="E25" s="53" t="s">
        <v>77</v>
      </c>
      <c r="F25" s="154">
        <v>1.0</v>
      </c>
      <c r="G25" s="53"/>
      <c r="H25" s="53" t="str">
        <f t="shared" si="24"/>
        <v>0.00069</v>
      </c>
      <c r="I25" s="53" t="str">
        <f t="shared" si="25"/>
        <v>89</v>
      </c>
      <c r="J25" s="53" t="str">
        <f t="shared" si="26"/>
        <v>0</v>
      </c>
      <c r="K25" s="155" t="str">
        <f t="shared" si="27"/>
        <v>0.00</v>
      </c>
      <c r="L25" s="156" t="str">
        <f t="shared" si="28"/>
        <v>0.00 </v>
      </c>
      <c r="M25" s="132">
        <v>90.0</v>
      </c>
      <c r="N25" s="157">
        <v>0.0</v>
      </c>
      <c r="O25" s="158">
        <v>1197.6</v>
      </c>
      <c r="P25" s="159" t="str">
        <f t="shared" si="29"/>
        <v>318.05</v>
      </c>
      <c r="Q25" s="160"/>
      <c r="R25" s="161">
        <v>0.26</v>
      </c>
      <c r="S25" s="162" t="str">
        <f t="shared" si="30"/>
        <v>886.22</v>
      </c>
      <c r="T25" s="163" t="str">
        <f t="shared" si="47"/>
        <v>60.00</v>
      </c>
      <c r="U25" s="164" t="str">
        <f t="shared" si="32"/>
        <v>66.26</v>
      </c>
      <c r="V25" s="165" t="str">
        <f t="shared" si="33"/>
        <v>0.00</v>
      </c>
      <c r="W25" s="166">
        <v>0.7</v>
      </c>
      <c r="X25" s="167" t="str">
        <f t="shared" si="48"/>
        <v>76</v>
      </c>
      <c r="Y25" s="168" t="str">
        <f t="shared" si="35"/>
        <v>389.220</v>
      </c>
      <c r="Z25" s="168" t="str">
        <f t="shared" si="36"/>
        <v>35.360</v>
      </c>
      <c r="AA25" s="164" t="str">
        <f t="shared" si="37"/>
        <v>3.95</v>
      </c>
      <c r="AB25" s="164">
        <v>92.11</v>
      </c>
      <c r="AC25" s="164" t="str">
        <f t="shared" si="38"/>
        <v>4.80</v>
      </c>
      <c r="AD25" s="165" t="str">
        <f t="shared" si="39"/>
        <v>119.76</v>
      </c>
      <c r="AE25" s="23"/>
      <c r="AF25" s="169" t="str">
        <f t="shared" si="40"/>
        <v>0</v>
      </c>
      <c r="AG25" s="163" t="str">
        <f t="shared" si="41"/>
        <v>442.25</v>
      </c>
      <c r="AH25" s="170" t="str">
        <f t="shared" si="49"/>
        <v>#DIV/0!</v>
      </c>
      <c r="AI25" s="26"/>
      <c r="AJ25" s="171" t="str">
        <f t="shared" si="43"/>
        <v>0.00%</v>
      </c>
      <c r="AK25" s="172" t="str">
        <f t="shared" si="44"/>
        <v>0.00</v>
      </c>
      <c r="AL25" s="173" t="str">
        <f t="shared" si="45"/>
        <v>318.05</v>
      </c>
      <c r="AM25" s="174" t="str">
        <f t="shared" si="46"/>
        <v>225.82</v>
      </c>
    </row>
    <row r="26" ht="12.75" customHeight="1">
      <c r="A26" s="26"/>
      <c r="B26" s="190" t="s">
        <v>102</v>
      </c>
      <c r="C26" s="192">
        <v>2.1430528E8</v>
      </c>
      <c r="D26" s="152" t="s">
        <v>103</v>
      </c>
      <c r="E26" s="53" t="s">
        <v>77</v>
      </c>
      <c r="F26" s="154">
        <v>1.0</v>
      </c>
      <c r="G26" s="53"/>
      <c r="H26" s="53" t="str">
        <f t="shared" si="24"/>
        <v>0.00069</v>
      </c>
      <c r="I26" s="53" t="str">
        <f t="shared" si="25"/>
        <v>89</v>
      </c>
      <c r="J26" s="53" t="str">
        <f t="shared" si="26"/>
        <v>0</v>
      </c>
      <c r="K26" s="155" t="str">
        <f t="shared" si="27"/>
        <v>0.00</v>
      </c>
      <c r="L26" s="156" t="str">
        <f t="shared" si="28"/>
        <v>0.00 </v>
      </c>
      <c r="M26" s="132">
        <v>90.0</v>
      </c>
      <c r="N26" s="157">
        <v>0.0</v>
      </c>
      <c r="O26" s="158">
        <v>1197.6</v>
      </c>
      <c r="P26" s="159" t="str">
        <f t="shared" si="29"/>
        <v>311.20</v>
      </c>
      <c r="Q26" s="160"/>
      <c r="R26" s="161">
        <v>0.26</v>
      </c>
      <c r="S26" s="162" t="str">
        <f t="shared" si="30"/>
        <v>886.22</v>
      </c>
      <c r="T26" s="163" t="str">
        <f t="shared" si="47"/>
        <v>60.00</v>
      </c>
      <c r="U26" s="164" t="str">
        <f t="shared" si="32"/>
        <v>66.26</v>
      </c>
      <c r="V26" s="165" t="str">
        <f t="shared" si="33"/>
        <v>0.00</v>
      </c>
      <c r="W26" s="166">
        <v>0.7</v>
      </c>
      <c r="X26" s="167" t="str">
        <f t="shared" si="48"/>
        <v>76</v>
      </c>
      <c r="Y26" s="168" t="str">
        <f t="shared" si="35"/>
        <v>389.220</v>
      </c>
      <c r="Z26" s="168" t="str">
        <f t="shared" si="36"/>
        <v>35.360</v>
      </c>
      <c r="AA26" s="164" t="str">
        <f t="shared" si="37"/>
        <v>0.83</v>
      </c>
      <c r="AB26" s="164">
        <v>98.35</v>
      </c>
      <c r="AC26" s="164" t="str">
        <f t="shared" si="38"/>
        <v>4.80</v>
      </c>
      <c r="AD26" s="165" t="str">
        <f t="shared" si="39"/>
        <v>119.76</v>
      </c>
      <c r="AE26" s="23"/>
      <c r="AF26" s="169" t="str">
        <f t="shared" si="40"/>
        <v>0</v>
      </c>
      <c r="AG26" s="163" t="str">
        <f t="shared" si="41"/>
        <v>445.37</v>
      </c>
      <c r="AH26" s="170" t="str">
        <f t="shared" si="49"/>
        <v>#DIV/0!</v>
      </c>
      <c r="AI26" s="26"/>
      <c r="AJ26" s="171" t="str">
        <f t="shared" si="43"/>
        <v>0.00%</v>
      </c>
      <c r="AK26" s="172" t="str">
        <f t="shared" si="44"/>
        <v>0.00</v>
      </c>
      <c r="AL26" s="173" t="str">
        <f t="shared" si="45"/>
        <v>311.20</v>
      </c>
      <c r="AM26" s="174" t="str">
        <f t="shared" si="46"/>
        <v>220.95</v>
      </c>
    </row>
    <row r="27" ht="12.75" customHeight="1">
      <c r="A27" s="26"/>
      <c r="B27" s="125" t="s">
        <v>104</v>
      </c>
      <c r="C27" s="126"/>
      <c r="D27" s="127"/>
      <c r="E27" s="128"/>
      <c r="F27" s="129"/>
      <c r="G27" s="128"/>
      <c r="H27" s="128"/>
      <c r="I27" s="197"/>
      <c r="J27" s="128"/>
      <c r="K27" s="130"/>
      <c r="L27" s="131"/>
      <c r="M27" s="132"/>
      <c r="N27" s="176"/>
      <c r="O27" s="134"/>
      <c r="P27" s="135"/>
      <c r="Q27" s="135"/>
      <c r="R27" s="136"/>
      <c r="S27" s="137"/>
      <c r="T27" s="177"/>
      <c r="U27" s="178"/>
      <c r="V27" s="179"/>
      <c r="W27" s="180"/>
      <c r="X27" s="181"/>
      <c r="Y27" s="182"/>
      <c r="Z27" s="182"/>
      <c r="AA27" s="178"/>
      <c r="AB27" s="178"/>
      <c r="AC27" s="178"/>
      <c r="AD27" s="179"/>
      <c r="AE27" s="183"/>
      <c r="AF27" s="184"/>
      <c r="AG27" s="177"/>
      <c r="AH27" s="185"/>
      <c r="AI27" s="26"/>
      <c r="AJ27" s="186"/>
      <c r="AK27" s="187"/>
      <c r="AL27" s="188"/>
      <c r="AM27" s="189"/>
    </row>
    <row r="28" ht="12.75" customHeight="1">
      <c r="A28" s="26"/>
      <c r="B28" s="190" t="s">
        <v>105</v>
      </c>
      <c r="C28" s="191">
        <v>2.1430552E8</v>
      </c>
      <c r="D28" s="152" t="s">
        <v>106</v>
      </c>
      <c r="E28" s="53" t="s">
        <v>77</v>
      </c>
      <c r="F28" s="154">
        <v>1.0</v>
      </c>
      <c r="G28" s="53"/>
      <c r="H28" s="53" t="str">
        <f t="shared" ref="H28:H30" si="50">$I$2</f>
        <v>0.00069</v>
      </c>
      <c r="I28" s="53" t="str">
        <f t="shared" ref="I28:I30" si="51">$I$3</f>
        <v>89</v>
      </c>
      <c r="J28" s="53" t="str">
        <f t="shared" ref="J28:J30" si="52">G28*H28*I28*F28</f>
        <v>0</v>
      </c>
      <c r="K28" s="155" t="str">
        <f t="shared" ref="K28:K30" si="53">J28*$J$4</f>
        <v>0.00</v>
      </c>
      <c r="L28" s="156" t="str">
        <f t="shared" ref="L28:L30" si="54">K28+J28</f>
        <v>0.00 </v>
      </c>
      <c r="M28" s="132">
        <v>90.0</v>
      </c>
      <c r="N28" s="157">
        <v>0.0</v>
      </c>
      <c r="O28" s="158">
        <v>831.0</v>
      </c>
      <c r="P28" s="159" t="str">
        <f t="shared" ref="P28:P30" si="55">O28</f>
        <v>831.00</v>
      </c>
      <c r="Q28" s="160"/>
      <c r="R28" s="161">
        <v>0.26</v>
      </c>
      <c r="S28" s="162" t="str">
        <f t="shared" ref="S28:S30" si="56">O28-(O28*R28)</f>
        <v>614.94</v>
      </c>
      <c r="T28" s="163" t="str">
        <f t="shared" ref="T28:T30" si="57">$C$1</f>
        <v>60.00</v>
      </c>
      <c r="U28" s="164" t="str">
        <f t="shared" ref="U28:U30" si="58">(S28*7/107)+((S28-(S28*7/107))*1%)</f>
        <v>45.98</v>
      </c>
      <c r="V28" s="165" t="str">
        <f t="shared" ref="V28:V30" si="59">N28*$C$3*(M28/30)</f>
        <v>0.00</v>
      </c>
      <c r="W28" s="166">
        <v>2.27</v>
      </c>
      <c r="X28" s="167" t="str">
        <f t="shared" ref="X28:X30" si="60">((_xlfn.CEILING.MATH(W28)-1)*$C$5+$C$4)</f>
        <v>114</v>
      </c>
      <c r="Y28" s="168" t="str">
        <f t="shared" ref="Y28:Y30" si="61">O28*$Y$6</f>
        <v>270.075</v>
      </c>
      <c r="Z28" s="168" t="str">
        <f t="shared" ref="Z28:Z30" si="62">S28*$Y$7</f>
        <v>24.536</v>
      </c>
      <c r="AA28" s="164" t="str">
        <f t="shared" ref="AA28:AA30" si="63">$Y$3*((100-AB28)/100)</f>
        <v>2.28</v>
      </c>
      <c r="AB28" s="164">
        <v>95.45</v>
      </c>
      <c r="AC28" s="164" t="str">
        <f t="shared" ref="AC28:AC30" si="64">$C$6*$C$7*_xlfn.CEILING.MATH(W28)</f>
        <v>14.40</v>
      </c>
      <c r="AD28" s="165" t="str">
        <f t="shared" ref="AD28:AD30" si="65">O28*$C$2</f>
        <v>83.10</v>
      </c>
      <c r="AE28" s="23"/>
      <c r="AF28" s="169" t="str">
        <f t="shared" ref="AF28:AF30" si="66">(_xlfn.CEILING.MATH(W28))*$Y$1*$AD$2</f>
        <v>0</v>
      </c>
      <c r="AG28" s="163" t="str">
        <f t="shared" ref="AG28:AG30" si="67">O28-T28-U28-V28-X28-Y28-Z28-AA28-AC28-AD28-N28</f>
        <v>216.64</v>
      </c>
      <c r="AH28" s="170" t="str">
        <f t="shared" ref="AH28:AH30" si="68">AG28/N28</f>
        <v>#DIV/0!</v>
      </c>
      <c r="AI28" s="26"/>
      <c r="AJ28" s="171" t="str">
        <f t="shared" ref="AJ28:AJ30" si="69">$AD$3</f>
        <v>0.00%</v>
      </c>
      <c r="AK28" s="172" t="str">
        <f t="shared" ref="AK28:AK30" si="70">N28*AJ28</f>
        <v>0.00</v>
      </c>
      <c r="AL28" s="173" t="str">
        <f t="shared" ref="AL28:AL30" si="71">(N28+T28+V28+X28+AA28+AC28+AF28+AK28)/(100%-($C$2+$C$8+$Y$6+$Y$7))</f>
        <v>418.97</v>
      </c>
      <c r="AM28" s="174" t="str">
        <f t="shared" ref="AM28:AM30" si="72">AL28-(AL28*$AD$1)</f>
        <v>297.47</v>
      </c>
    </row>
    <row r="29" ht="12.75" customHeight="1">
      <c r="A29" s="26"/>
      <c r="B29" s="190" t="s">
        <v>107</v>
      </c>
      <c r="C29" s="198">
        <v>2.14305584E8</v>
      </c>
      <c r="D29" s="152" t="s">
        <v>108</v>
      </c>
      <c r="E29" s="53" t="s">
        <v>77</v>
      </c>
      <c r="F29" s="154">
        <v>1.0</v>
      </c>
      <c r="G29" s="53"/>
      <c r="H29" s="53" t="str">
        <f t="shared" si="50"/>
        <v>0.00069</v>
      </c>
      <c r="I29" s="53" t="str">
        <f t="shared" si="51"/>
        <v>89</v>
      </c>
      <c r="J29" s="53" t="str">
        <f t="shared" si="52"/>
        <v>0</v>
      </c>
      <c r="K29" s="155" t="str">
        <f t="shared" si="53"/>
        <v>0.00</v>
      </c>
      <c r="L29" s="156" t="str">
        <f t="shared" si="54"/>
        <v>0.00 </v>
      </c>
      <c r="M29" s="132">
        <v>90.0</v>
      </c>
      <c r="N29" s="157">
        <v>358.93</v>
      </c>
      <c r="O29" s="158">
        <v>831.0</v>
      </c>
      <c r="P29" s="159" t="str">
        <f t="shared" si="55"/>
        <v>831.00</v>
      </c>
      <c r="Q29" s="160"/>
      <c r="R29" s="161">
        <v>0.26</v>
      </c>
      <c r="S29" s="162" t="str">
        <f t="shared" si="56"/>
        <v>614.94</v>
      </c>
      <c r="T29" s="163" t="str">
        <f t="shared" si="57"/>
        <v>60.00</v>
      </c>
      <c r="U29" s="164" t="str">
        <f t="shared" si="58"/>
        <v>45.98</v>
      </c>
      <c r="V29" s="165" t="str">
        <f t="shared" si="59"/>
        <v>0.00</v>
      </c>
      <c r="W29" s="166">
        <v>2.35</v>
      </c>
      <c r="X29" s="167" t="str">
        <f t="shared" si="60"/>
        <v>114</v>
      </c>
      <c r="Y29" s="168" t="str">
        <f t="shared" si="61"/>
        <v>270.075</v>
      </c>
      <c r="Z29" s="168" t="str">
        <f t="shared" si="62"/>
        <v>24.536</v>
      </c>
      <c r="AA29" s="164" t="str">
        <f t="shared" si="63"/>
        <v>2.06</v>
      </c>
      <c r="AB29" s="164">
        <v>95.89</v>
      </c>
      <c r="AC29" s="164" t="str">
        <f t="shared" si="64"/>
        <v>14.40</v>
      </c>
      <c r="AD29" s="165" t="str">
        <f t="shared" si="65"/>
        <v>83.10</v>
      </c>
      <c r="AE29" s="23"/>
      <c r="AF29" s="169" t="str">
        <f t="shared" si="66"/>
        <v>0</v>
      </c>
      <c r="AG29" s="163" t="str">
        <f t="shared" si="67"/>
        <v>-142.07</v>
      </c>
      <c r="AH29" s="170" t="str">
        <f t="shared" si="68"/>
        <v>-39.58%</v>
      </c>
      <c r="AI29" s="26"/>
      <c r="AJ29" s="171" t="str">
        <f t="shared" si="69"/>
        <v>0.00%</v>
      </c>
      <c r="AK29" s="172" t="str">
        <f t="shared" si="70"/>
        <v>0.00</v>
      </c>
      <c r="AL29" s="173" t="str">
        <f t="shared" si="71"/>
        <v>1,207.17</v>
      </c>
      <c r="AM29" s="174" t="str">
        <f t="shared" si="72"/>
        <v>857.09</v>
      </c>
    </row>
    <row r="30" ht="12.75" customHeight="1">
      <c r="A30" s="26"/>
      <c r="B30" s="190" t="s">
        <v>109</v>
      </c>
      <c r="C30" s="192">
        <v>2.14305639E8</v>
      </c>
      <c r="D30" s="152" t="s">
        <v>110</v>
      </c>
      <c r="E30" s="53" t="s">
        <v>77</v>
      </c>
      <c r="F30" s="154">
        <v>1.0</v>
      </c>
      <c r="G30" s="53"/>
      <c r="H30" s="53" t="str">
        <f t="shared" si="50"/>
        <v>0.00069</v>
      </c>
      <c r="I30" s="53" t="str">
        <f t="shared" si="51"/>
        <v>89</v>
      </c>
      <c r="J30" s="53" t="str">
        <f t="shared" si="52"/>
        <v>0</v>
      </c>
      <c r="K30" s="155" t="str">
        <f t="shared" si="53"/>
        <v>0.00</v>
      </c>
      <c r="L30" s="156" t="str">
        <f t="shared" si="54"/>
        <v>0.00 </v>
      </c>
      <c r="M30" s="132">
        <v>90.0</v>
      </c>
      <c r="N30" s="157">
        <v>0.0</v>
      </c>
      <c r="O30" s="158">
        <v>831.0</v>
      </c>
      <c r="P30" s="159" t="str">
        <f t="shared" si="55"/>
        <v>831.00</v>
      </c>
      <c r="Q30" s="160"/>
      <c r="R30" s="161">
        <v>0.26</v>
      </c>
      <c r="S30" s="162" t="str">
        <f t="shared" si="56"/>
        <v>614.94</v>
      </c>
      <c r="T30" s="163" t="str">
        <f t="shared" si="57"/>
        <v>60.00</v>
      </c>
      <c r="U30" s="164" t="str">
        <f t="shared" si="58"/>
        <v>45.98</v>
      </c>
      <c r="V30" s="165" t="str">
        <f t="shared" si="59"/>
        <v>0.00</v>
      </c>
      <c r="W30" s="166">
        <v>2.27</v>
      </c>
      <c r="X30" s="167" t="str">
        <f t="shared" si="60"/>
        <v>114</v>
      </c>
      <c r="Y30" s="168" t="str">
        <f t="shared" si="61"/>
        <v>270.075</v>
      </c>
      <c r="Z30" s="168" t="str">
        <f t="shared" si="62"/>
        <v>24.536</v>
      </c>
      <c r="AA30" s="164" t="str">
        <f t="shared" si="63"/>
        <v>0.00</v>
      </c>
      <c r="AB30" s="164">
        <v>100.0</v>
      </c>
      <c r="AC30" s="164" t="str">
        <f t="shared" si="64"/>
        <v>14.40</v>
      </c>
      <c r="AD30" s="165" t="str">
        <f t="shared" si="65"/>
        <v>83.10</v>
      </c>
      <c r="AE30" s="23"/>
      <c r="AF30" s="169" t="str">
        <f t="shared" si="66"/>
        <v>0</v>
      </c>
      <c r="AG30" s="163" t="str">
        <f t="shared" si="67"/>
        <v>218.91</v>
      </c>
      <c r="AH30" s="170" t="str">
        <f t="shared" si="68"/>
        <v>#DIV/0!</v>
      </c>
      <c r="AI30" s="26"/>
      <c r="AJ30" s="171" t="str">
        <f t="shared" si="69"/>
        <v>0.00%</v>
      </c>
      <c r="AK30" s="172" t="str">
        <f t="shared" si="70"/>
        <v>0.00</v>
      </c>
      <c r="AL30" s="173" t="str">
        <f t="shared" si="71"/>
        <v>413.97</v>
      </c>
      <c r="AM30" s="174" t="str">
        <f t="shared" si="72"/>
        <v>293.92</v>
      </c>
    </row>
    <row r="31" ht="12.75" customHeight="1">
      <c r="A31" s="26"/>
      <c r="B31" s="125" t="s">
        <v>111</v>
      </c>
      <c r="C31" s="126"/>
      <c r="D31" s="127"/>
      <c r="E31" s="128"/>
      <c r="F31" s="129"/>
      <c r="G31" s="128"/>
      <c r="H31" s="197"/>
      <c r="I31" s="197"/>
      <c r="J31" s="128"/>
      <c r="K31" s="130"/>
      <c r="L31" s="131"/>
      <c r="M31" s="132"/>
      <c r="N31" s="176"/>
      <c r="O31" s="134"/>
      <c r="P31" s="135"/>
      <c r="Q31" s="135"/>
      <c r="R31" s="136"/>
      <c r="S31" s="137"/>
      <c r="T31" s="177"/>
      <c r="U31" s="178"/>
      <c r="V31" s="179"/>
      <c r="W31" s="180"/>
      <c r="X31" s="181"/>
      <c r="Y31" s="182"/>
      <c r="Z31" s="182"/>
      <c r="AA31" s="178"/>
      <c r="AB31" s="178"/>
      <c r="AC31" s="178"/>
      <c r="AD31" s="179"/>
      <c r="AE31" s="183"/>
      <c r="AF31" s="184"/>
      <c r="AG31" s="177"/>
      <c r="AH31" s="185"/>
      <c r="AI31" s="26"/>
      <c r="AJ31" s="186"/>
      <c r="AK31" s="187"/>
      <c r="AL31" s="188"/>
      <c r="AM31" s="189"/>
    </row>
    <row r="32" ht="12.75" customHeight="1">
      <c r="A32" s="26"/>
      <c r="B32" s="190" t="s">
        <v>112</v>
      </c>
      <c r="C32" s="151">
        <v>2.14305705E8</v>
      </c>
      <c r="D32" s="152" t="s">
        <v>113</v>
      </c>
      <c r="E32" s="153" t="s">
        <v>77</v>
      </c>
      <c r="F32" s="154">
        <v>1.0</v>
      </c>
      <c r="G32" s="53"/>
      <c r="H32" s="53" t="str">
        <f t="shared" ref="H32:H34" si="73">$I$2</f>
        <v>0.00069</v>
      </c>
      <c r="I32" s="53" t="str">
        <f t="shared" ref="I32:I34" si="74">$I$3</f>
        <v>89</v>
      </c>
      <c r="J32" s="53" t="str">
        <f t="shared" ref="J32:J34" si="75">G32*H32*I32*F32</f>
        <v>0</v>
      </c>
      <c r="K32" s="155" t="str">
        <f t="shared" ref="K32:K34" si="76">J32*$J$4</f>
        <v>0.00</v>
      </c>
      <c r="L32" s="156" t="str">
        <f t="shared" ref="L32:L34" si="77">K32+J32</f>
        <v>0.00 </v>
      </c>
      <c r="M32" s="132">
        <v>90.0</v>
      </c>
      <c r="N32" s="157">
        <v>367.92</v>
      </c>
      <c r="O32" s="158">
        <v>1410.0</v>
      </c>
      <c r="P32" s="159" t="str">
        <f t="shared" ref="P32:P37" si="78">O32</f>
        <v>1,410.00</v>
      </c>
      <c r="Q32" s="160"/>
      <c r="R32" s="161">
        <v>0.37</v>
      </c>
      <c r="S32" s="162" t="str">
        <f t="shared" ref="S32:S37" si="79">O32-(O32*R32)</f>
        <v>888.30</v>
      </c>
      <c r="T32" s="163" t="str">
        <f t="shared" ref="T32:T37" si="80">$C$1</f>
        <v>60.00</v>
      </c>
      <c r="U32" s="164" t="str">
        <f t="shared" ref="U32:U37" si="81">(S32*7/107)+((S32-(S32*7/107))*1%)</f>
        <v>66.41</v>
      </c>
      <c r="V32" s="165" t="str">
        <f t="shared" ref="V32:V37" si="82">N32*$C$3*(M32/30)</f>
        <v>0.00</v>
      </c>
      <c r="W32" s="166">
        <v>2.27</v>
      </c>
      <c r="X32" s="167">
        <v>135.0</v>
      </c>
      <c r="Y32" s="168" t="str">
        <f t="shared" ref="Y32:Y37" si="83">O32*$Y$6</f>
        <v>458.250</v>
      </c>
      <c r="Z32" s="168" t="str">
        <f t="shared" ref="Z32:Z37" si="84">S32*$Y$7</f>
        <v>35.443</v>
      </c>
      <c r="AA32" s="164" t="str">
        <f t="shared" ref="AA32:AA37" si="85">$Y$3*((100-AB32)/100)</f>
        <v>1.28</v>
      </c>
      <c r="AB32" s="164">
        <v>97.44</v>
      </c>
      <c r="AC32" s="164" t="str">
        <f t="shared" ref="AC32:AC37" si="86">$C$6*$C$7*_xlfn.CEILING.MATH(W32)</f>
        <v>14.40</v>
      </c>
      <c r="AD32" s="165" t="str">
        <f t="shared" ref="AD32:AD37" si="87">O32*$C$2</f>
        <v>141.00</v>
      </c>
      <c r="AE32" s="23"/>
      <c r="AF32" s="169" t="str">
        <f t="shared" ref="AF32:AF37" si="88">(_xlfn.CEILING.MATH(W32))*$Y$1*$AD$2</f>
        <v>0</v>
      </c>
      <c r="AG32" s="163" t="str">
        <f t="shared" ref="AG32:AG37" si="89">O32-T32-U32-V32-X32-Y32-Z32-AA32-AC32-AD32-N32</f>
        <v>130.29</v>
      </c>
      <c r="AH32" s="170" t="str">
        <f t="shared" ref="AH32:AH37" si="90">AG32/N32</f>
        <v>35.41%</v>
      </c>
      <c r="AI32" s="26"/>
      <c r="AJ32" s="171" t="str">
        <f t="shared" ref="AJ32:AJ34" si="91">$AD$3</f>
        <v>0.00%</v>
      </c>
      <c r="AK32" s="172" t="str">
        <f t="shared" ref="AK32:AK34" si="92">N32*AJ32</f>
        <v>0.00</v>
      </c>
      <c r="AL32" s="173" t="str">
        <f t="shared" ref="AL32:AL34" si="93">(N32+T32+V32+X32+AA32+AC32+AF32+AK32)/(100%-($C$2+$C$8+$Y$6+$Y$7))</f>
        <v>1,271.37</v>
      </c>
      <c r="AM32" s="174" t="str">
        <f t="shared" ref="AM32:AM34" si="94">AL32-(AL32*$AD$1)</f>
        <v>902.67</v>
      </c>
    </row>
    <row r="33" ht="12.75" customHeight="1">
      <c r="A33" s="26"/>
      <c r="B33" s="190" t="s">
        <v>114</v>
      </c>
      <c r="C33" s="151">
        <v>2.14305722E8</v>
      </c>
      <c r="D33" s="152" t="s">
        <v>115</v>
      </c>
      <c r="E33" s="153" t="s">
        <v>77</v>
      </c>
      <c r="F33" s="154">
        <v>1.0</v>
      </c>
      <c r="G33" s="53"/>
      <c r="H33" s="53" t="str">
        <f t="shared" si="73"/>
        <v>0.00069</v>
      </c>
      <c r="I33" s="53" t="str">
        <f t="shared" si="74"/>
        <v>89</v>
      </c>
      <c r="J33" s="53" t="str">
        <f t="shared" si="75"/>
        <v>0</v>
      </c>
      <c r="K33" s="155" t="str">
        <f t="shared" si="76"/>
        <v>0.00</v>
      </c>
      <c r="L33" s="156" t="str">
        <f t="shared" si="77"/>
        <v>0.00 </v>
      </c>
      <c r="M33" s="132">
        <v>90.0</v>
      </c>
      <c r="N33" s="157">
        <v>726.85</v>
      </c>
      <c r="O33" s="158">
        <v>2490.0</v>
      </c>
      <c r="P33" s="159" t="str">
        <f t="shared" si="78"/>
        <v>2,490.00</v>
      </c>
      <c r="Q33" s="160"/>
      <c r="R33" s="161">
        <v>0.37</v>
      </c>
      <c r="S33" s="162" t="str">
        <f t="shared" si="79"/>
        <v>1,568.70</v>
      </c>
      <c r="T33" s="163" t="str">
        <f t="shared" si="80"/>
        <v>60.00</v>
      </c>
      <c r="U33" s="164" t="str">
        <f t="shared" si="81"/>
        <v>117.29</v>
      </c>
      <c r="V33" s="165" t="str">
        <f t="shared" si="82"/>
        <v>0.00</v>
      </c>
      <c r="W33" s="166">
        <v>5.8</v>
      </c>
      <c r="X33" s="167">
        <v>220.0</v>
      </c>
      <c r="Y33" s="168" t="str">
        <f t="shared" si="83"/>
        <v>809.250</v>
      </c>
      <c r="Z33" s="168" t="str">
        <f t="shared" si="84"/>
        <v>62.591</v>
      </c>
      <c r="AA33" s="164" t="str">
        <f t="shared" si="85"/>
        <v>0.00</v>
      </c>
      <c r="AB33" s="164">
        <v>100.0</v>
      </c>
      <c r="AC33" s="164" t="str">
        <f t="shared" si="86"/>
        <v>28.80</v>
      </c>
      <c r="AD33" s="165" t="str">
        <f t="shared" si="87"/>
        <v>249.00</v>
      </c>
      <c r="AE33" s="23"/>
      <c r="AF33" s="169" t="str">
        <f t="shared" si="88"/>
        <v>0</v>
      </c>
      <c r="AG33" s="163" t="str">
        <f t="shared" si="89"/>
        <v>216.22</v>
      </c>
      <c r="AH33" s="170" t="str">
        <f t="shared" si="90"/>
        <v>29.75%</v>
      </c>
      <c r="AI33" s="26"/>
      <c r="AJ33" s="171" t="str">
        <f t="shared" si="91"/>
        <v>0.00%</v>
      </c>
      <c r="AK33" s="172" t="str">
        <f t="shared" si="92"/>
        <v>0.00</v>
      </c>
      <c r="AL33" s="173" t="str">
        <f t="shared" si="93"/>
        <v>2,275.65</v>
      </c>
      <c r="AM33" s="174" t="str">
        <f t="shared" si="94"/>
        <v>1,615.71</v>
      </c>
    </row>
    <row r="34" ht="12.75" customHeight="1">
      <c r="A34" s="26"/>
      <c r="B34" s="190" t="s">
        <v>116</v>
      </c>
      <c r="C34" s="192">
        <v>2.14305782E8</v>
      </c>
      <c r="D34" s="152" t="s">
        <v>117</v>
      </c>
      <c r="E34" s="53" t="s">
        <v>77</v>
      </c>
      <c r="F34" s="154">
        <v>1.0</v>
      </c>
      <c r="G34" s="53"/>
      <c r="H34" s="53" t="str">
        <f t="shared" si="73"/>
        <v>0.00069</v>
      </c>
      <c r="I34" s="53" t="str">
        <f t="shared" si="74"/>
        <v>89</v>
      </c>
      <c r="J34" s="53" t="str">
        <f t="shared" si="75"/>
        <v>0</v>
      </c>
      <c r="K34" s="155" t="str">
        <f t="shared" si="76"/>
        <v>0.00</v>
      </c>
      <c r="L34" s="156" t="str">
        <f t="shared" si="77"/>
        <v>0.00 </v>
      </c>
      <c r="M34" s="132">
        <v>90.0</v>
      </c>
      <c r="N34" s="157">
        <v>0.0</v>
      </c>
      <c r="O34" s="158">
        <v>831.0</v>
      </c>
      <c r="P34" s="159" t="str">
        <f t="shared" si="78"/>
        <v>831.00</v>
      </c>
      <c r="Q34" s="160"/>
      <c r="R34" s="161">
        <v>0.26</v>
      </c>
      <c r="S34" s="162" t="str">
        <f t="shared" si="79"/>
        <v>614.94</v>
      </c>
      <c r="T34" s="163" t="str">
        <f t="shared" si="80"/>
        <v>60.00</v>
      </c>
      <c r="U34" s="164" t="str">
        <f t="shared" si="81"/>
        <v>45.98</v>
      </c>
      <c r="V34" s="165" t="str">
        <f t="shared" si="82"/>
        <v>0.00</v>
      </c>
      <c r="W34" s="166">
        <v>2.27</v>
      </c>
      <c r="X34" s="167" t="str">
        <f>((_xlfn.CEILING.MATH(W34)-1)*$C$5+$C$4)</f>
        <v>114</v>
      </c>
      <c r="Y34" s="168" t="str">
        <f t="shared" si="83"/>
        <v>270.075</v>
      </c>
      <c r="Z34" s="168" t="str">
        <f t="shared" si="84"/>
        <v>24.536</v>
      </c>
      <c r="AA34" s="164" t="str">
        <f t="shared" si="85"/>
        <v>0.00</v>
      </c>
      <c r="AB34" s="164">
        <v>100.0</v>
      </c>
      <c r="AC34" s="164" t="str">
        <f t="shared" si="86"/>
        <v>14.40</v>
      </c>
      <c r="AD34" s="165" t="str">
        <f t="shared" si="87"/>
        <v>83.10</v>
      </c>
      <c r="AE34" s="23"/>
      <c r="AF34" s="169" t="str">
        <f t="shared" si="88"/>
        <v>0</v>
      </c>
      <c r="AG34" s="163" t="str">
        <f t="shared" si="89"/>
        <v>218.91</v>
      </c>
      <c r="AH34" s="170" t="str">
        <f t="shared" si="90"/>
        <v>#DIV/0!</v>
      </c>
      <c r="AI34" s="26"/>
      <c r="AJ34" s="171" t="str">
        <f t="shared" si="91"/>
        <v>0.00%</v>
      </c>
      <c r="AK34" s="172" t="str">
        <f t="shared" si="92"/>
        <v>0.00</v>
      </c>
      <c r="AL34" s="173" t="str">
        <f t="shared" si="93"/>
        <v>413.97</v>
      </c>
      <c r="AM34" s="174" t="str">
        <f t="shared" si="94"/>
        <v>293.92</v>
      </c>
    </row>
    <row r="35" ht="12.0" customHeight="1">
      <c r="A35" s="26"/>
      <c r="B35" s="190"/>
      <c r="C35" s="151">
        <v>6.08624295E8</v>
      </c>
      <c r="D35" s="152" t="s">
        <v>118</v>
      </c>
      <c r="E35" s="153" t="s">
        <v>77</v>
      </c>
      <c r="F35" s="154">
        <v>1.0</v>
      </c>
      <c r="G35" s="53"/>
      <c r="H35" s="53"/>
      <c r="I35" s="53"/>
      <c r="J35" s="53"/>
      <c r="K35" s="155"/>
      <c r="L35" s="156"/>
      <c r="M35" s="132">
        <v>90.0</v>
      </c>
      <c r="N35" s="157">
        <v>314.85</v>
      </c>
      <c r="O35" s="158">
        <v>1200.0</v>
      </c>
      <c r="P35" s="159" t="str">
        <f t="shared" si="78"/>
        <v>1,200.00</v>
      </c>
      <c r="Q35" s="160"/>
      <c r="R35" s="161">
        <v>0.31</v>
      </c>
      <c r="S35" s="162" t="str">
        <f t="shared" si="79"/>
        <v>828.00</v>
      </c>
      <c r="T35" s="163" t="str">
        <f t="shared" si="80"/>
        <v>60.00</v>
      </c>
      <c r="U35" s="164" t="str">
        <f t="shared" si="81"/>
        <v>61.91</v>
      </c>
      <c r="V35" s="165" t="str">
        <f t="shared" si="82"/>
        <v>0.00</v>
      </c>
      <c r="W35" s="166">
        <v>2.27</v>
      </c>
      <c r="X35" s="167">
        <v>136.0</v>
      </c>
      <c r="Y35" s="168" t="str">
        <f t="shared" si="83"/>
        <v>390.000</v>
      </c>
      <c r="Z35" s="168" t="str">
        <f t="shared" si="84"/>
        <v>33.037</v>
      </c>
      <c r="AA35" s="164" t="str">
        <f t="shared" si="85"/>
        <v>0.00</v>
      </c>
      <c r="AB35" s="164">
        <v>100.0</v>
      </c>
      <c r="AC35" s="164" t="str">
        <f t="shared" si="86"/>
        <v>14.40</v>
      </c>
      <c r="AD35" s="165" t="str">
        <f t="shared" si="87"/>
        <v>120.00</v>
      </c>
      <c r="AE35" s="23"/>
      <c r="AF35" s="169" t="str">
        <f t="shared" si="88"/>
        <v>0</v>
      </c>
      <c r="AG35" s="163" t="str">
        <f t="shared" si="89"/>
        <v>69.81</v>
      </c>
      <c r="AH35" s="170" t="str">
        <f t="shared" si="90"/>
        <v>22.17%</v>
      </c>
      <c r="AI35" s="26"/>
      <c r="AJ35" s="171"/>
      <c r="AK35" s="172"/>
      <c r="AL35" s="173"/>
      <c r="AM35" s="174"/>
    </row>
    <row r="36" ht="12.75" customHeight="1">
      <c r="A36" s="26"/>
      <c r="B36" s="190"/>
      <c r="C36" s="151">
        <v>6.08837066E8</v>
      </c>
      <c r="D36" s="152" t="s">
        <v>119</v>
      </c>
      <c r="E36" s="153" t="s">
        <v>77</v>
      </c>
      <c r="F36" s="154">
        <v>1.0</v>
      </c>
      <c r="G36" s="53"/>
      <c r="H36" s="53"/>
      <c r="I36" s="53"/>
      <c r="J36" s="53"/>
      <c r="K36" s="155"/>
      <c r="L36" s="156"/>
      <c r="M36" s="132">
        <v>90.0</v>
      </c>
      <c r="N36" s="157">
        <v>269.87</v>
      </c>
      <c r="O36" s="158">
        <v>1100.0</v>
      </c>
      <c r="P36" s="159" t="str">
        <f t="shared" si="78"/>
        <v>1,100.00</v>
      </c>
      <c r="Q36" s="160"/>
      <c r="R36" s="161">
        <v>0.31</v>
      </c>
      <c r="S36" s="162" t="str">
        <f t="shared" si="79"/>
        <v>759.00</v>
      </c>
      <c r="T36" s="163" t="str">
        <f t="shared" si="80"/>
        <v>60.00</v>
      </c>
      <c r="U36" s="164" t="str">
        <f t="shared" si="81"/>
        <v>56.75</v>
      </c>
      <c r="V36" s="165" t="str">
        <f t="shared" si="82"/>
        <v>0.00</v>
      </c>
      <c r="W36" s="166">
        <v>2.27</v>
      </c>
      <c r="X36" s="167">
        <v>136.0</v>
      </c>
      <c r="Y36" s="168" t="str">
        <f t="shared" si="83"/>
        <v>357.500</v>
      </c>
      <c r="Z36" s="168" t="str">
        <f t="shared" si="84"/>
        <v>30.284</v>
      </c>
      <c r="AA36" s="164" t="str">
        <f t="shared" si="85"/>
        <v>0.00</v>
      </c>
      <c r="AB36" s="164">
        <v>100.0</v>
      </c>
      <c r="AC36" s="164" t="str">
        <f t="shared" si="86"/>
        <v>14.40</v>
      </c>
      <c r="AD36" s="165" t="str">
        <f t="shared" si="87"/>
        <v>110.00</v>
      </c>
      <c r="AE36" s="23"/>
      <c r="AF36" s="169" t="str">
        <f t="shared" si="88"/>
        <v>0</v>
      </c>
      <c r="AG36" s="163" t="str">
        <f t="shared" si="89"/>
        <v>65.20</v>
      </c>
      <c r="AH36" s="170" t="str">
        <f t="shared" si="90"/>
        <v>24.16%</v>
      </c>
      <c r="AI36" s="26"/>
      <c r="AJ36" s="171"/>
      <c r="AK36" s="172"/>
      <c r="AL36" s="173"/>
      <c r="AM36" s="174"/>
    </row>
    <row r="37" ht="12.75" customHeight="1">
      <c r="A37" s="26"/>
      <c r="B37" s="190"/>
      <c r="C37" s="151">
        <v>6.08841921E8</v>
      </c>
      <c r="D37" s="152" t="s">
        <v>120</v>
      </c>
      <c r="E37" s="153" t="s">
        <v>77</v>
      </c>
      <c r="F37" s="154">
        <v>1.0</v>
      </c>
      <c r="G37" s="53"/>
      <c r="H37" s="53"/>
      <c r="I37" s="53"/>
      <c r="J37" s="53"/>
      <c r="K37" s="155"/>
      <c r="L37" s="156"/>
      <c r="M37" s="132">
        <v>90.0</v>
      </c>
      <c r="N37" s="157">
        <v>151.13</v>
      </c>
      <c r="O37" s="158">
        <v>750.0</v>
      </c>
      <c r="P37" s="159" t="str">
        <f t="shared" si="78"/>
        <v>750.00</v>
      </c>
      <c r="Q37" s="160"/>
      <c r="R37" s="161">
        <v>0.31</v>
      </c>
      <c r="S37" s="162" t="str">
        <f t="shared" si="79"/>
        <v>517.50</v>
      </c>
      <c r="T37" s="163" t="str">
        <f t="shared" si="80"/>
        <v>60.00</v>
      </c>
      <c r="U37" s="164" t="str">
        <f t="shared" si="81"/>
        <v>38.69</v>
      </c>
      <c r="V37" s="165" t="str">
        <f t="shared" si="82"/>
        <v>0.00</v>
      </c>
      <c r="W37" s="166">
        <v>2.27</v>
      </c>
      <c r="X37" s="167">
        <v>90.0</v>
      </c>
      <c r="Y37" s="168" t="str">
        <f t="shared" si="83"/>
        <v>243.750</v>
      </c>
      <c r="Z37" s="168" t="str">
        <f t="shared" si="84"/>
        <v>20.648</v>
      </c>
      <c r="AA37" s="164" t="str">
        <f t="shared" si="85"/>
        <v>0.00</v>
      </c>
      <c r="AB37" s="164">
        <v>100.0</v>
      </c>
      <c r="AC37" s="164" t="str">
        <f t="shared" si="86"/>
        <v>14.40</v>
      </c>
      <c r="AD37" s="165" t="str">
        <f t="shared" si="87"/>
        <v>75.00</v>
      </c>
      <c r="AE37" s="23"/>
      <c r="AF37" s="169" t="str">
        <f t="shared" si="88"/>
        <v>0</v>
      </c>
      <c r="AG37" s="163" t="str">
        <f t="shared" si="89"/>
        <v>56.38</v>
      </c>
      <c r="AH37" s="170" t="str">
        <f t="shared" si="90"/>
        <v>37.31%</v>
      </c>
      <c r="AI37" s="26"/>
      <c r="AJ37" s="171"/>
      <c r="AK37" s="172"/>
      <c r="AL37" s="173"/>
      <c r="AM37" s="174"/>
    </row>
    <row r="38" ht="12.75" customHeight="1">
      <c r="A38" s="26"/>
      <c r="B38" s="125" t="s">
        <v>121</v>
      </c>
      <c r="C38" s="126"/>
      <c r="D38" s="127"/>
      <c r="E38" s="128"/>
      <c r="F38" s="129"/>
      <c r="G38" s="128"/>
      <c r="H38" s="197"/>
      <c r="I38" s="197"/>
      <c r="J38" s="128"/>
      <c r="K38" s="130"/>
      <c r="L38" s="131"/>
      <c r="M38" s="132"/>
      <c r="N38" s="176"/>
      <c r="O38" s="134"/>
      <c r="P38" s="135"/>
      <c r="Q38" s="135"/>
      <c r="R38" s="136"/>
      <c r="S38" s="137"/>
      <c r="T38" s="177"/>
      <c r="U38" s="178"/>
      <c r="V38" s="179"/>
      <c r="W38" s="180"/>
      <c r="X38" s="181"/>
      <c r="Y38" s="182"/>
      <c r="Z38" s="182"/>
      <c r="AA38" s="178"/>
      <c r="AB38" s="178"/>
      <c r="AC38" s="178"/>
      <c r="AD38" s="179"/>
      <c r="AE38" s="183"/>
      <c r="AF38" s="184"/>
      <c r="AG38" s="177"/>
      <c r="AH38" s="185"/>
      <c r="AI38" s="26"/>
      <c r="AJ38" s="186"/>
      <c r="AK38" s="187"/>
      <c r="AL38" s="188"/>
      <c r="AM38" s="189"/>
    </row>
    <row r="39" ht="12.75" customHeight="1">
      <c r="A39" s="26"/>
      <c r="B39" s="190" t="s">
        <v>122</v>
      </c>
      <c r="C39" s="191">
        <v>2.14301052E8</v>
      </c>
      <c r="D39" s="152" t="s">
        <v>123</v>
      </c>
      <c r="E39" s="53" t="s">
        <v>77</v>
      </c>
      <c r="F39" s="154">
        <v>1.0</v>
      </c>
      <c r="G39" s="53"/>
      <c r="H39" s="53" t="str">
        <f t="shared" ref="H39:H56" si="95">$I$2</f>
        <v>0.00069</v>
      </c>
      <c r="I39" s="53" t="str">
        <f t="shared" ref="I39:I56" si="96">$I$3</f>
        <v>89</v>
      </c>
      <c r="J39" s="53" t="str">
        <f t="shared" ref="J39:J56" si="97">G39*H39*I39*F39</f>
        <v>0</v>
      </c>
      <c r="K39" s="155" t="str">
        <f t="shared" ref="K39:K56" si="98">J39*$J$4</f>
        <v>0.00</v>
      </c>
      <c r="L39" s="156" t="str">
        <f t="shared" ref="L39:L56" si="99">K39+J39</f>
        <v>0.00 </v>
      </c>
      <c r="M39" s="132">
        <v>90.0</v>
      </c>
      <c r="N39" s="157">
        <v>0.0</v>
      </c>
      <c r="O39" s="158">
        <v>785.4</v>
      </c>
      <c r="P39" s="159" t="str">
        <f t="shared" ref="P39:P56" si="100">AL39</f>
        <v>309.38</v>
      </c>
      <c r="Q39" s="160"/>
      <c r="R39" s="161">
        <v>0.26</v>
      </c>
      <c r="S39" s="162" t="str">
        <f t="shared" ref="S39:S56" si="101">O39-(O39*R39)</f>
        <v>581.20</v>
      </c>
      <c r="T39" s="163" t="str">
        <f t="shared" ref="T39:T56" si="102">$C$1</f>
        <v>60.00</v>
      </c>
      <c r="U39" s="164" t="str">
        <f t="shared" ref="U39:U56" si="103">(S39*7/107)+((S39-(S39*7/107))*1%)</f>
        <v>43.45</v>
      </c>
      <c r="V39" s="165" t="str">
        <f t="shared" ref="V39:V56" si="104">N39*$C$3*(M39/30)</f>
        <v>0.00</v>
      </c>
      <c r="W39" s="166">
        <v>0.58</v>
      </c>
      <c r="X39" s="167" t="str">
        <f t="shared" ref="X39:X56" si="105">((_xlfn.CEILING.MATH(W39)-1)*$C$5+$C$4)</f>
        <v>76</v>
      </c>
      <c r="Y39" s="168" t="str">
        <f t="shared" ref="Y39:Y56" si="106">O39*$Y$6</f>
        <v>255.255</v>
      </c>
      <c r="Z39" s="168" t="str">
        <f t="shared" ref="Z39:Z56" si="107">S39*$Y$7</f>
        <v>23.190</v>
      </c>
      <c r="AA39" s="164" t="str">
        <f t="shared" ref="AA39:AA56" si="108">$Y$3*((100-AB39)/100)</f>
        <v>0.00</v>
      </c>
      <c r="AB39" s="164">
        <v>100.0</v>
      </c>
      <c r="AC39" s="164" t="str">
        <f t="shared" ref="AC39:AC56" si="109">$C$6*$C$7*_xlfn.CEILING.MATH(W39)</f>
        <v>4.80</v>
      </c>
      <c r="AD39" s="165" t="str">
        <f t="shared" ref="AD39:AD56" si="110">O39*$C$2</f>
        <v>78.54</v>
      </c>
      <c r="AE39" s="23"/>
      <c r="AF39" s="169" t="str">
        <f t="shared" ref="AF39:AF56" si="111">(_xlfn.CEILING.MATH(W39))*$Y$1*$AD$2</f>
        <v>0</v>
      </c>
      <c r="AG39" s="163" t="str">
        <f t="shared" ref="AG39:AG56" si="112">O39-T39-U39-V39-X39-Y39-Z39-AA39-AC39-AD39-N39</f>
        <v>244.16</v>
      </c>
      <c r="AH39" s="170" t="str">
        <f t="shared" ref="AH39:AH56" si="113">AG39/N39</f>
        <v>#DIV/0!</v>
      </c>
      <c r="AI39" s="26"/>
      <c r="AJ39" s="171" t="str">
        <f t="shared" ref="AJ39:AJ56" si="114">$AD$3</f>
        <v>0.00%</v>
      </c>
      <c r="AK39" s="172" t="str">
        <f t="shared" ref="AK39:AK56" si="115">N39*AJ39</f>
        <v>0.00</v>
      </c>
      <c r="AL39" s="173" t="str">
        <f t="shared" ref="AL39:AL56" si="116">(N39+T39+V39+X39+AA39+AC39+AF39+AK39)/(100%-($C$2+$C$8+$Y$6+$Y$7))</f>
        <v>309.38</v>
      </c>
      <c r="AM39" s="174" t="str">
        <f t="shared" ref="AM39:AM56" si="117">AL39-(AL39*$AD$1)</f>
        <v>219.66</v>
      </c>
    </row>
    <row r="40" ht="12.75" customHeight="1">
      <c r="A40" s="26"/>
      <c r="B40" s="190" t="s">
        <v>124</v>
      </c>
      <c r="C40" s="192">
        <v>2.14301295E8</v>
      </c>
      <c r="D40" s="152" t="s">
        <v>125</v>
      </c>
      <c r="E40" s="53" t="s">
        <v>77</v>
      </c>
      <c r="F40" s="154">
        <v>1.0</v>
      </c>
      <c r="G40" s="53"/>
      <c r="H40" s="53" t="str">
        <f t="shared" si="95"/>
        <v>0.00069</v>
      </c>
      <c r="I40" s="53" t="str">
        <f t="shared" si="96"/>
        <v>89</v>
      </c>
      <c r="J40" s="53" t="str">
        <f t="shared" si="97"/>
        <v>0</v>
      </c>
      <c r="K40" s="155" t="str">
        <f t="shared" si="98"/>
        <v>0.00</v>
      </c>
      <c r="L40" s="156" t="str">
        <f t="shared" si="99"/>
        <v>0.00 </v>
      </c>
      <c r="M40" s="132">
        <v>90.0</v>
      </c>
      <c r="N40" s="157">
        <v>0.0</v>
      </c>
      <c r="O40" s="158">
        <v>741.6</v>
      </c>
      <c r="P40" s="159" t="str">
        <f t="shared" si="100"/>
        <v>313.96</v>
      </c>
      <c r="Q40" s="160"/>
      <c r="R40" s="161">
        <v>0.26</v>
      </c>
      <c r="S40" s="162" t="str">
        <f t="shared" si="101"/>
        <v>548.78</v>
      </c>
      <c r="T40" s="163" t="str">
        <f t="shared" si="102"/>
        <v>60.00</v>
      </c>
      <c r="U40" s="164" t="str">
        <f t="shared" si="103"/>
        <v>41.03</v>
      </c>
      <c r="V40" s="165" t="str">
        <f t="shared" si="104"/>
        <v>0.00</v>
      </c>
      <c r="W40" s="166">
        <v>0.68</v>
      </c>
      <c r="X40" s="167" t="str">
        <f t="shared" si="105"/>
        <v>76</v>
      </c>
      <c r="Y40" s="168" t="str">
        <f t="shared" si="106"/>
        <v>241.020</v>
      </c>
      <c r="Z40" s="168" t="str">
        <f t="shared" si="107"/>
        <v>21.896</v>
      </c>
      <c r="AA40" s="164" t="str">
        <f t="shared" si="108"/>
        <v>2.09</v>
      </c>
      <c r="AB40" s="164">
        <v>95.83</v>
      </c>
      <c r="AC40" s="164" t="str">
        <f t="shared" si="109"/>
        <v>4.80</v>
      </c>
      <c r="AD40" s="165" t="str">
        <f t="shared" si="110"/>
        <v>74.16</v>
      </c>
      <c r="AE40" s="23"/>
      <c r="AF40" s="169" t="str">
        <f t="shared" si="111"/>
        <v>0</v>
      </c>
      <c r="AG40" s="163" t="str">
        <f t="shared" si="112"/>
        <v>220.61</v>
      </c>
      <c r="AH40" s="170" t="str">
        <f t="shared" si="113"/>
        <v>#DIV/0!</v>
      </c>
      <c r="AI40" s="26"/>
      <c r="AJ40" s="171" t="str">
        <f t="shared" si="114"/>
        <v>0.00%</v>
      </c>
      <c r="AK40" s="172" t="str">
        <f t="shared" si="115"/>
        <v>0.00</v>
      </c>
      <c r="AL40" s="173" t="str">
        <f t="shared" si="116"/>
        <v>313.96</v>
      </c>
      <c r="AM40" s="174" t="str">
        <f t="shared" si="117"/>
        <v>222.91</v>
      </c>
    </row>
    <row r="41" ht="12.75" customHeight="1">
      <c r="A41" s="26"/>
      <c r="B41" s="190" t="s">
        <v>126</v>
      </c>
      <c r="C41" s="192">
        <v>2.14301375E8</v>
      </c>
      <c r="D41" s="152" t="s">
        <v>127</v>
      </c>
      <c r="E41" s="53" t="s">
        <v>77</v>
      </c>
      <c r="F41" s="154">
        <v>1.0</v>
      </c>
      <c r="G41" s="53"/>
      <c r="H41" s="53" t="str">
        <f t="shared" si="95"/>
        <v>0.00069</v>
      </c>
      <c r="I41" s="53" t="str">
        <f t="shared" si="96"/>
        <v>89</v>
      </c>
      <c r="J41" s="53" t="str">
        <f t="shared" si="97"/>
        <v>0</v>
      </c>
      <c r="K41" s="155" t="str">
        <f t="shared" si="98"/>
        <v>0.00</v>
      </c>
      <c r="L41" s="156" t="str">
        <f t="shared" si="99"/>
        <v>0.00 </v>
      </c>
      <c r="M41" s="132">
        <v>90.0</v>
      </c>
      <c r="N41" s="157">
        <v>0.0</v>
      </c>
      <c r="O41" s="158">
        <v>858.9</v>
      </c>
      <c r="P41" s="159" t="str">
        <f t="shared" si="100"/>
        <v>309.38</v>
      </c>
      <c r="Q41" s="160"/>
      <c r="R41" s="161">
        <v>0.26</v>
      </c>
      <c r="S41" s="162" t="str">
        <f t="shared" si="101"/>
        <v>635.59</v>
      </c>
      <c r="T41" s="163" t="str">
        <f t="shared" si="102"/>
        <v>60.00</v>
      </c>
      <c r="U41" s="164" t="str">
        <f t="shared" si="103"/>
        <v>47.52</v>
      </c>
      <c r="V41" s="165" t="str">
        <f t="shared" si="104"/>
        <v>0.00</v>
      </c>
      <c r="W41" s="166">
        <v>0.68</v>
      </c>
      <c r="X41" s="167" t="str">
        <f t="shared" si="105"/>
        <v>76</v>
      </c>
      <c r="Y41" s="168" t="str">
        <f t="shared" si="106"/>
        <v>279.143</v>
      </c>
      <c r="Z41" s="168" t="str">
        <f t="shared" si="107"/>
        <v>25.360</v>
      </c>
      <c r="AA41" s="164" t="str">
        <f t="shared" si="108"/>
        <v>0.00</v>
      </c>
      <c r="AB41" s="164">
        <v>100.0</v>
      </c>
      <c r="AC41" s="164" t="str">
        <f t="shared" si="109"/>
        <v>4.80</v>
      </c>
      <c r="AD41" s="165" t="str">
        <f t="shared" si="110"/>
        <v>85.89</v>
      </c>
      <c r="AE41" s="23"/>
      <c r="AF41" s="169" t="str">
        <f t="shared" si="111"/>
        <v>0</v>
      </c>
      <c r="AG41" s="163" t="str">
        <f t="shared" si="112"/>
        <v>280.19</v>
      </c>
      <c r="AH41" s="170" t="str">
        <f t="shared" si="113"/>
        <v>#DIV/0!</v>
      </c>
      <c r="AI41" s="26"/>
      <c r="AJ41" s="171" t="str">
        <f t="shared" si="114"/>
        <v>0.00%</v>
      </c>
      <c r="AK41" s="172" t="str">
        <f t="shared" si="115"/>
        <v>0.00</v>
      </c>
      <c r="AL41" s="173" t="str">
        <f t="shared" si="116"/>
        <v>309.38</v>
      </c>
      <c r="AM41" s="174" t="str">
        <f t="shared" si="117"/>
        <v>219.66</v>
      </c>
    </row>
    <row r="42" ht="12.75" customHeight="1">
      <c r="A42" s="26"/>
      <c r="B42" s="190" t="s">
        <v>128</v>
      </c>
      <c r="C42" s="192">
        <v>2.14301558E8</v>
      </c>
      <c r="D42" s="152" t="s">
        <v>129</v>
      </c>
      <c r="E42" s="53" t="s">
        <v>77</v>
      </c>
      <c r="F42" s="154">
        <v>1.0</v>
      </c>
      <c r="G42" s="53"/>
      <c r="H42" s="53" t="str">
        <f t="shared" si="95"/>
        <v>0.00069</v>
      </c>
      <c r="I42" s="53" t="str">
        <f t="shared" si="96"/>
        <v>89</v>
      </c>
      <c r="J42" s="53" t="str">
        <f t="shared" si="97"/>
        <v>0</v>
      </c>
      <c r="K42" s="155" t="str">
        <f t="shared" si="98"/>
        <v>0.00</v>
      </c>
      <c r="L42" s="156" t="str">
        <f t="shared" si="99"/>
        <v>0.00 </v>
      </c>
      <c r="M42" s="132">
        <v>90.0</v>
      </c>
      <c r="N42" s="157">
        <v>0.0</v>
      </c>
      <c r="O42" s="158">
        <v>757.2</v>
      </c>
      <c r="P42" s="159" t="str">
        <f t="shared" si="100"/>
        <v>309.38</v>
      </c>
      <c r="Q42" s="160"/>
      <c r="R42" s="161">
        <v>0.26</v>
      </c>
      <c r="S42" s="162" t="str">
        <f t="shared" si="101"/>
        <v>560.33</v>
      </c>
      <c r="T42" s="163" t="str">
        <f t="shared" si="102"/>
        <v>60.00</v>
      </c>
      <c r="U42" s="164" t="str">
        <f t="shared" si="103"/>
        <v>41.89</v>
      </c>
      <c r="V42" s="165" t="str">
        <f t="shared" si="104"/>
        <v>0.00</v>
      </c>
      <c r="W42" s="166">
        <v>0.68</v>
      </c>
      <c r="X42" s="167" t="str">
        <f t="shared" si="105"/>
        <v>76</v>
      </c>
      <c r="Y42" s="168" t="str">
        <f t="shared" si="106"/>
        <v>246.090</v>
      </c>
      <c r="Z42" s="168" t="str">
        <f t="shared" si="107"/>
        <v>22.357</v>
      </c>
      <c r="AA42" s="164" t="str">
        <f t="shared" si="108"/>
        <v>0.00</v>
      </c>
      <c r="AB42" s="164">
        <v>100.0</v>
      </c>
      <c r="AC42" s="164" t="str">
        <f t="shared" si="109"/>
        <v>4.80</v>
      </c>
      <c r="AD42" s="165" t="str">
        <f t="shared" si="110"/>
        <v>75.72</v>
      </c>
      <c r="AE42" s="23"/>
      <c r="AF42" s="169" t="str">
        <f t="shared" si="111"/>
        <v>0</v>
      </c>
      <c r="AG42" s="163" t="str">
        <f t="shared" si="112"/>
        <v>230.34</v>
      </c>
      <c r="AH42" s="170" t="str">
        <f t="shared" si="113"/>
        <v>#DIV/0!</v>
      </c>
      <c r="AI42" s="26"/>
      <c r="AJ42" s="171" t="str">
        <f t="shared" si="114"/>
        <v>0.00%</v>
      </c>
      <c r="AK42" s="172" t="str">
        <f t="shared" si="115"/>
        <v>0.00</v>
      </c>
      <c r="AL42" s="173" t="str">
        <f t="shared" si="116"/>
        <v>309.38</v>
      </c>
      <c r="AM42" s="174" t="str">
        <f t="shared" si="117"/>
        <v>219.66</v>
      </c>
    </row>
    <row r="43" ht="12.75" customHeight="1">
      <c r="A43" s="26"/>
      <c r="B43" s="190" t="s">
        <v>130</v>
      </c>
      <c r="C43" s="192">
        <v>2.14301677E8</v>
      </c>
      <c r="D43" s="152" t="s">
        <v>131</v>
      </c>
      <c r="E43" s="53" t="s">
        <v>77</v>
      </c>
      <c r="F43" s="154">
        <v>1.0</v>
      </c>
      <c r="G43" s="53"/>
      <c r="H43" s="53" t="str">
        <f t="shared" si="95"/>
        <v>0.00069</v>
      </c>
      <c r="I43" s="53" t="str">
        <f t="shared" si="96"/>
        <v>89</v>
      </c>
      <c r="J43" s="53" t="str">
        <f t="shared" si="97"/>
        <v>0</v>
      </c>
      <c r="K43" s="155" t="str">
        <f t="shared" si="98"/>
        <v>0.00</v>
      </c>
      <c r="L43" s="156" t="str">
        <f t="shared" si="99"/>
        <v>0.00 </v>
      </c>
      <c r="M43" s="132">
        <v>90.0</v>
      </c>
      <c r="N43" s="157">
        <v>0.0</v>
      </c>
      <c r="O43" s="158">
        <v>580.2</v>
      </c>
      <c r="P43" s="159" t="str">
        <f t="shared" si="100"/>
        <v>364.43</v>
      </c>
      <c r="Q43" s="160"/>
      <c r="R43" s="161">
        <v>0.26</v>
      </c>
      <c r="S43" s="162" t="str">
        <f t="shared" si="101"/>
        <v>429.35</v>
      </c>
      <c r="T43" s="163" t="str">
        <f t="shared" si="102"/>
        <v>60.00</v>
      </c>
      <c r="U43" s="164" t="str">
        <f t="shared" si="103"/>
        <v>32.10</v>
      </c>
      <c r="V43" s="165" t="str">
        <f t="shared" si="104"/>
        <v>0.00</v>
      </c>
      <c r="W43" s="166">
        <v>1.06</v>
      </c>
      <c r="X43" s="167" t="str">
        <f t="shared" si="105"/>
        <v>95</v>
      </c>
      <c r="Y43" s="168" t="str">
        <f t="shared" si="106"/>
        <v>188.565</v>
      </c>
      <c r="Z43" s="168" t="str">
        <f t="shared" si="107"/>
        <v>17.131</v>
      </c>
      <c r="AA43" s="164" t="str">
        <f t="shared" si="108"/>
        <v>1.25</v>
      </c>
      <c r="AB43" s="164">
        <v>97.5</v>
      </c>
      <c r="AC43" s="164" t="str">
        <f t="shared" si="109"/>
        <v>9.60</v>
      </c>
      <c r="AD43" s="165" t="str">
        <f t="shared" si="110"/>
        <v>58.02</v>
      </c>
      <c r="AE43" s="23"/>
      <c r="AF43" s="169" t="str">
        <f t="shared" si="111"/>
        <v>0</v>
      </c>
      <c r="AG43" s="163" t="str">
        <f t="shared" si="112"/>
        <v>118.53</v>
      </c>
      <c r="AH43" s="170" t="str">
        <f t="shared" si="113"/>
        <v>#DIV/0!</v>
      </c>
      <c r="AI43" s="26"/>
      <c r="AJ43" s="171" t="str">
        <f t="shared" si="114"/>
        <v>0.00%</v>
      </c>
      <c r="AK43" s="172" t="str">
        <f t="shared" si="115"/>
        <v>0.00</v>
      </c>
      <c r="AL43" s="173" t="str">
        <f t="shared" si="116"/>
        <v>364.43</v>
      </c>
      <c r="AM43" s="174" t="str">
        <f t="shared" si="117"/>
        <v>258.74</v>
      </c>
    </row>
    <row r="44" ht="12.75" customHeight="1">
      <c r="A44" s="26"/>
      <c r="B44" s="190" t="s">
        <v>132</v>
      </c>
      <c r="C44" s="192">
        <v>2.14301939E8</v>
      </c>
      <c r="D44" s="152" t="s">
        <v>133</v>
      </c>
      <c r="E44" s="53" t="s">
        <v>77</v>
      </c>
      <c r="F44" s="154">
        <v>1.0</v>
      </c>
      <c r="G44" s="53"/>
      <c r="H44" s="53" t="str">
        <f t="shared" si="95"/>
        <v>0.00069</v>
      </c>
      <c r="I44" s="53" t="str">
        <f t="shared" si="96"/>
        <v>89</v>
      </c>
      <c r="J44" s="53" t="str">
        <f t="shared" si="97"/>
        <v>0</v>
      </c>
      <c r="K44" s="155" t="str">
        <f t="shared" si="98"/>
        <v>0.00</v>
      </c>
      <c r="L44" s="156" t="str">
        <f t="shared" si="99"/>
        <v>0.00 </v>
      </c>
      <c r="M44" s="132">
        <v>90.0</v>
      </c>
      <c r="N44" s="157">
        <v>0.0</v>
      </c>
      <c r="O44" s="158">
        <v>580.2</v>
      </c>
      <c r="P44" s="159" t="str">
        <f t="shared" si="100"/>
        <v>361.68</v>
      </c>
      <c r="Q44" s="160"/>
      <c r="R44" s="161">
        <v>0.26</v>
      </c>
      <c r="S44" s="162" t="str">
        <f t="shared" si="101"/>
        <v>429.35</v>
      </c>
      <c r="T44" s="163" t="str">
        <f t="shared" si="102"/>
        <v>60.00</v>
      </c>
      <c r="U44" s="164" t="str">
        <f t="shared" si="103"/>
        <v>32.10</v>
      </c>
      <c r="V44" s="165" t="str">
        <f t="shared" si="104"/>
        <v>0.00</v>
      </c>
      <c r="W44" s="166">
        <v>1.06</v>
      </c>
      <c r="X44" s="167" t="str">
        <f t="shared" si="105"/>
        <v>95</v>
      </c>
      <c r="Y44" s="168" t="str">
        <f t="shared" si="106"/>
        <v>188.565</v>
      </c>
      <c r="Z44" s="168" t="str">
        <f t="shared" si="107"/>
        <v>17.131</v>
      </c>
      <c r="AA44" s="164" t="str">
        <f t="shared" si="108"/>
        <v>0.00</v>
      </c>
      <c r="AB44" s="164">
        <v>100.0</v>
      </c>
      <c r="AC44" s="164" t="str">
        <f t="shared" si="109"/>
        <v>9.60</v>
      </c>
      <c r="AD44" s="165" t="str">
        <f t="shared" si="110"/>
        <v>58.02</v>
      </c>
      <c r="AE44" s="23"/>
      <c r="AF44" s="169" t="str">
        <f t="shared" si="111"/>
        <v>0</v>
      </c>
      <c r="AG44" s="163" t="str">
        <f t="shared" si="112"/>
        <v>119.78</v>
      </c>
      <c r="AH44" s="170" t="str">
        <f t="shared" si="113"/>
        <v>#DIV/0!</v>
      </c>
      <c r="AI44" s="26"/>
      <c r="AJ44" s="171" t="str">
        <f t="shared" si="114"/>
        <v>0.00%</v>
      </c>
      <c r="AK44" s="172" t="str">
        <f t="shared" si="115"/>
        <v>0.00</v>
      </c>
      <c r="AL44" s="173" t="str">
        <f t="shared" si="116"/>
        <v>361.68</v>
      </c>
      <c r="AM44" s="174" t="str">
        <f t="shared" si="117"/>
        <v>256.79</v>
      </c>
    </row>
    <row r="45" ht="12.75" customHeight="1">
      <c r="A45" s="26"/>
      <c r="B45" s="190" t="s">
        <v>134</v>
      </c>
      <c r="C45" s="192">
        <v>2.14302044E8</v>
      </c>
      <c r="D45" s="152" t="s">
        <v>135</v>
      </c>
      <c r="E45" s="53" t="s">
        <v>77</v>
      </c>
      <c r="F45" s="154">
        <v>1.0</v>
      </c>
      <c r="G45" s="53"/>
      <c r="H45" s="53" t="str">
        <f t="shared" si="95"/>
        <v>0.00069</v>
      </c>
      <c r="I45" s="53" t="str">
        <f t="shared" si="96"/>
        <v>89</v>
      </c>
      <c r="J45" s="53" t="str">
        <f t="shared" si="97"/>
        <v>0</v>
      </c>
      <c r="K45" s="155" t="str">
        <f t="shared" si="98"/>
        <v>0.00</v>
      </c>
      <c r="L45" s="156" t="str">
        <f t="shared" si="99"/>
        <v>0.00 </v>
      </c>
      <c r="M45" s="132">
        <v>90.0</v>
      </c>
      <c r="N45" s="157">
        <v>0.0</v>
      </c>
      <c r="O45" s="158">
        <v>580.2</v>
      </c>
      <c r="P45" s="159" t="str">
        <f t="shared" si="100"/>
        <v>361.68</v>
      </c>
      <c r="Q45" s="160"/>
      <c r="R45" s="161">
        <v>0.26</v>
      </c>
      <c r="S45" s="162" t="str">
        <f t="shared" si="101"/>
        <v>429.35</v>
      </c>
      <c r="T45" s="163" t="str">
        <f t="shared" si="102"/>
        <v>60.00</v>
      </c>
      <c r="U45" s="164" t="str">
        <f t="shared" si="103"/>
        <v>32.10</v>
      </c>
      <c r="V45" s="165" t="str">
        <f t="shared" si="104"/>
        <v>0.00</v>
      </c>
      <c r="W45" s="166">
        <v>1.06</v>
      </c>
      <c r="X45" s="167" t="str">
        <f t="shared" si="105"/>
        <v>95</v>
      </c>
      <c r="Y45" s="168" t="str">
        <f t="shared" si="106"/>
        <v>188.565</v>
      </c>
      <c r="Z45" s="168" t="str">
        <f t="shared" si="107"/>
        <v>17.131</v>
      </c>
      <c r="AA45" s="164" t="str">
        <f t="shared" si="108"/>
        <v>0.00</v>
      </c>
      <c r="AB45" s="164">
        <v>100.0</v>
      </c>
      <c r="AC45" s="164" t="str">
        <f t="shared" si="109"/>
        <v>9.60</v>
      </c>
      <c r="AD45" s="165" t="str">
        <f t="shared" si="110"/>
        <v>58.02</v>
      </c>
      <c r="AE45" s="23"/>
      <c r="AF45" s="169" t="str">
        <f t="shared" si="111"/>
        <v>0</v>
      </c>
      <c r="AG45" s="163" t="str">
        <f t="shared" si="112"/>
        <v>119.78</v>
      </c>
      <c r="AH45" s="170" t="str">
        <f t="shared" si="113"/>
        <v>#DIV/0!</v>
      </c>
      <c r="AI45" s="26"/>
      <c r="AJ45" s="171" t="str">
        <f t="shared" si="114"/>
        <v>0.00%</v>
      </c>
      <c r="AK45" s="172" t="str">
        <f t="shared" si="115"/>
        <v>0.00</v>
      </c>
      <c r="AL45" s="173" t="str">
        <f t="shared" si="116"/>
        <v>361.68</v>
      </c>
      <c r="AM45" s="174" t="str">
        <f t="shared" si="117"/>
        <v>256.79</v>
      </c>
    </row>
    <row r="46" ht="12.75" customHeight="1">
      <c r="A46" s="26"/>
      <c r="B46" s="190" t="s">
        <v>136</v>
      </c>
      <c r="C46" s="192">
        <v>2.14303837E8</v>
      </c>
      <c r="D46" s="152" t="s">
        <v>137</v>
      </c>
      <c r="E46" s="53" t="s">
        <v>77</v>
      </c>
      <c r="F46" s="154">
        <v>1.0</v>
      </c>
      <c r="G46" s="53"/>
      <c r="H46" s="53" t="str">
        <f t="shared" si="95"/>
        <v>0.00069</v>
      </c>
      <c r="I46" s="53" t="str">
        <f t="shared" si="96"/>
        <v>89</v>
      </c>
      <c r="J46" s="53" t="str">
        <f t="shared" si="97"/>
        <v>0</v>
      </c>
      <c r="K46" s="155" t="str">
        <f t="shared" si="98"/>
        <v>0.00</v>
      </c>
      <c r="L46" s="156" t="str">
        <f t="shared" si="99"/>
        <v>0.00 </v>
      </c>
      <c r="M46" s="132">
        <v>90.0</v>
      </c>
      <c r="N46" s="157">
        <v>0.0</v>
      </c>
      <c r="O46" s="158">
        <v>536.1</v>
      </c>
      <c r="P46" s="159" t="str">
        <f t="shared" si="100"/>
        <v>309.38</v>
      </c>
      <c r="Q46" s="160"/>
      <c r="R46" s="161">
        <v>0.26</v>
      </c>
      <c r="S46" s="162" t="str">
        <f t="shared" si="101"/>
        <v>396.71</v>
      </c>
      <c r="T46" s="163" t="str">
        <f t="shared" si="102"/>
        <v>60.00</v>
      </c>
      <c r="U46" s="164" t="str">
        <f t="shared" si="103"/>
        <v>29.66</v>
      </c>
      <c r="V46" s="165" t="str">
        <f t="shared" si="104"/>
        <v>0.00</v>
      </c>
      <c r="W46" s="166">
        <v>0.88</v>
      </c>
      <c r="X46" s="167" t="str">
        <f t="shared" si="105"/>
        <v>76</v>
      </c>
      <c r="Y46" s="168" t="str">
        <f t="shared" si="106"/>
        <v>174.233</v>
      </c>
      <c r="Z46" s="168" t="str">
        <f t="shared" si="107"/>
        <v>15.829</v>
      </c>
      <c r="AA46" s="164" t="str">
        <f t="shared" si="108"/>
        <v>0.00</v>
      </c>
      <c r="AB46" s="164">
        <v>100.0</v>
      </c>
      <c r="AC46" s="164" t="str">
        <f t="shared" si="109"/>
        <v>4.80</v>
      </c>
      <c r="AD46" s="165" t="str">
        <f t="shared" si="110"/>
        <v>53.61</v>
      </c>
      <c r="AE46" s="23"/>
      <c r="AF46" s="169" t="str">
        <f t="shared" si="111"/>
        <v>0</v>
      </c>
      <c r="AG46" s="163" t="str">
        <f t="shared" si="112"/>
        <v>121.97</v>
      </c>
      <c r="AH46" s="170" t="str">
        <f t="shared" si="113"/>
        <v>#DIV/0!</v>
      </c>
      <c r="AI46" s="26"/>
      <c r="AJ46" s="171" t="str">
        <f t="shared" si="114"/>
        <v>0.00%</v>
      </c>
      <c r="AK46" s="172" t="str">
        <f t="shared" si="115"/>
        <v>0.00</v>
      </c>
      <c r="AL46" s="173" t="str">
        <f t="shared" si="116"/>
        <v>309.38</v>
      </c>
      <c r="AM46" s="174" t="str">
        <f t="shared" si="117"/>
        <v>219.66</v>
      </c>
    </row>
    <row r="47" ht="12.75" customHeight="1">
      <c r="A47" s="26"/>
      <c r="B47" s="190" t="s">
        <v>138</v>
      </c>
      <c r="C47" s="192">
        <v>2.14303875E8</v>
      </c>
      <c r="D47" s="152" t="s">
        <v>139</v>
      </c>
      <c r="E47" s="53" t="s">
        <v>77</v>
      </c>
      <c r="F47" s="154">
        <v>1.0</v>
      </c>
      <c r="G47" s="53"/>
      <c r="H47" s="53" t="str">
        <f t="shared" si="95"/>
        <v>0.00069</v>
      </c>
      <c r="I47" s="53" t="str">
        <f t="shared" si="96"/>
        <v>89</v>
      </c>
      <c r="J47" s="53" t="str">
        <f t="shared" si="97"/>
        <v>0</v>
      </c>
      <c r="K47" s="155" t="str">
        <f t="shared" si="98"/>
        <v>0.00</v>
      </c>
      <c r="L47" s="156" t="str">
        <f t="shared" si="99"/>
        <v>0.00 </v>
      </c>
      <c r="M47" s="132">
        <v>90.0</v>
      </c>
      <c r="N47" s="157">
        <v>0.0</v>
      </c>
      <c r="O47" s="158">
        <v>580.2</v>
      </c>
      <c r="P47" s="159" t="str">
        <f t="shared" si="100"/>
        <v>364.36</v>
      </c>
      <c r="Q47" s="160"/>
      <c r="R47" s="161">
        <v>0.26</v>
      </c>
      <c r="S47" s="162" t="str">
        <f t="shared" si="101"/>
        <v>429.35</v>
      </c>
      <c r="T47" s="163" t="str">
        <f t="shared" si="102"/>
        <v>60.00</v>
      </c>
      <c r="U47" s="164" t="str">
        <f t="shared" si="103"/>
        <v>32.10</v>
      </c>
      <c r="V47" s="165" t="str">
        <f t="shared" si="104"/>
        <v>0.00</v>
      </c>
      <c r="W47" s="166">
        <v>1.06</v>
      </c>
      <c r="X47" s="167" t="str">
        <f t="shared" si="105"/>
        <v>95</v>
      </c>
      <c r="Y47" s="168" t="str">
        <f t="shared" si="106"/>
        <v>188.565</v>
      </c>
      <c r="Z47" s="168" t="str">
        <f t="shared" si="107"/>
        <v>17.131</v>
      </c>
      <c r="AA47" s="164" t="str">
        <f t="shared" si="108"/>
        <v>1.22</v>
      </c>
      <c r="AB47" s="164">
        <v>97.56</v>
      </c>
      <c r="AC47" s="164" t="str">
        <f t="shared" si="109"/>
        <v>9.60</v>
      </c>
      <c r="AD47" s="165" t="str">
        <f t="shared" si="110"/>
        <v>58.02</v>
      </c>
      <c r="AE47" s="23"/>
      <c r="AF47" s="169" t="str">
        <f t="shared" si="111"/>
        <v>0</v>
      </c>
      <c r="AG47" s="163" t="str">
        <f t="shared" si="112"/>
        <v>118.56</v>
      </c>
      <c r="AH47" s="170" t="str">
        <f t="shared" si="113"/>
        <v>#DIV/0!</v>
      </c>
      <c r="AI47" s="26"/>
      <c r="AJ47" s="171" t="str">
        <f t="shared" si="114"/>
        <v>0.00%</v>
      </c>
      <c r="AK47" s="172" t="str">
        <f t="shared" si="115"/>
        <v>0.00</v>
      </c>
      <c r="AL47" s="173" t="str">
        <f t="shared" si="116"/>
        <v>364.36</v>
      </c>
      <c r="AM47" s="174" t="str">
        <f t="shared" si="117"/>
        <v>258.70</v>
      </c>
    </row>
    <row r="48" ht="12.75" customHeight="1">
      <c r="A48" s="26"/>
      <c r="B48" s="190" t="s">
        <v>140</v>
      </c>
      <c r="C48" s="192">
        <v>2.14303928E8</v>
      </c>
      <c r="D48" s="152" t="s">
        <v>141</v>
      </c>
      <c r="E48" s="53" t="s">
        <v>77</v>
      </c>
      <c r="F48" s="154">
        <v>1.0</v>
      </c>
      <c r="G48" s="53"/>
      <c r="H48" s="53" t="str">
        <f t="shared" si="95"/>
        <v>0.00069</v>
      </c>
      <c r="I48" s="53" t="str">
        <f t="shared" si="96"/>
        <v>89</v>
      </c>
      <c r="J48" s="53" t="str">
        <f t="shared" si="97"/>
        <v>0</v>
      </c>
      <c r="K48" s="155" t="str">
        <f t="shared" si="98"/>
        <v>0.00</v>
      </c>
      <c r="L48" s="156" t="str">
        <f t="shared" si="99"/>
        <v>0.00 </v>
      </c>
      <c r="M48" s="132">
        <v>90.0</v>
      </c>
      <c r="N48" s="157">
        <v>0.0</v>
      </c>
      <c r="O48" s="158">
        <v>580.2</v>
      </c>
      <c r="P48" s="159" t="str">
        <f t="shared" si="100"/>
        <v>365.64</v>
      </c>
      <c r="Q48" s="160"/>
      <c r="R48" s="161">
        <v>0.26</v>
      </c>
      <c r="S48" s="162" t="str">
        <f t="shared" si="101"/>
        <v>429.35</v>
      </c>
      <c r="T48" s="163" t="str">
        <f t="shared" si="102"/>
        <v>60.00</v>
      </c>
      <c r="U48" s="164" t="str">
        <f t="shared" si="103"/>
        <v>32.10</v>
      </c>
      <c r="V48" s="165" t="str">
        <f t="shared" si="104"/>
        <v>0.00</v>
      </c>
      <c r="W48" s="166">
        <v>1.06</v>
      </c>
      <c r="X48" s="167" t="str">
        <f t="shared" si="105"/>
        <v>95</v>
      </c>
      <c r="Y48" s="168" t="str">
        <f t="shared" si="106"/>
        <v>188.565</v>
      </c>
      <c r="Z48" s="168" t="str">
        <f t="shared" si="107"/>
        <v>17.131</v>
      </c>
      <c r="AA48" s="164" t="str">
        <f t="shared" si="108"/>
        <v>1.81</v>
      </c>
      <c r="AB48" s="164">
        <v>96.39</v>
      </c>
      <c r="AC48" s="164" t="str">
        <f t="shared" si="109"/>
        <v>9.60</v>
      </c>
      <c r="AD48" s="165" t="str">
        <f t="shared" si="110"/>
        <v>58.02</v>
      </c>
      <c r="AE48" s="23"/>
      <c r="AF48" s="169" t="str">
        <f t="shared" si="111"/>
        <v>0</v>
      </c>
      <c r="AG48" s="163" t="str">
        <f t="shared" si="112"/>
        <v>117.98</v>
      </c>
      <c r="AH48" s="170" t="str">
        <f t="shared" si="113"/>
        <v>#DIV/0!</v>
      </c>
      <c r="AI48" s="26"/>
      <c r="AJ48" s="171" t="str">
        <f t="shared" si="114"/>
        <v>0.00%</v>
      </c>
      <c r="AK48" s="172" t="str">
        <f t="shared" si="115"/>
        <v>0.00</v>
      </c>
      <c r="AL48" s="173" t="str">
        <f t="shared" si="116"/>
        <v>365.64</v>
      </c>
      <c r="AM48" s="174" t="str">
        <f t="shared" si="117"/>
        <v>259.61</v>
      </c>
    </row>
    <row r="49" ht="12.75" customHeight="1">
      <c r="A49" s="26"/>
      <c r="B49" s="190" t="s">
        <v>142</v>
      </c>
      <c r="C49" s="192">
        <v>2.14305484E8</v>
      </c>
      <c r="D49" s="152" t="s">
        <v>143</v>
      </c>
      <c r="E49" s="53" t="s">
        <v>77</v>
      </c>
      <c r="F49" s="154">
        <v>1.0</v>
      </c>
      <c r="G49" s="53"/>
      <c r="H49" s="53" t="str">
        <f t="shared" si="95"/>
        <v>0.00069</v>
      </c>
      <c r="I49" s="53" t="str">
        <f t="shared" si="96"/>
        <v>89</v>
      </c>
      <c r="J49" s="53" t="str">
        <f t="shared" si="97"/>
        <v>0</v>
      </c>
      <c r="K49" s="155" t="str">
        <f t="shared" si="98"/>
        <v>0.00</v>
      </c>
      <c r="L49" s="156" t="str">
        <f t="shared" si="99"/>
        <v>0.00 </v>
      </c>
      <c r="M49" s="132">
        <v>90.0</v>
      </c>
      <c r="N49" s="157">
        <v>0.0</v>
      </c>
      <c r="O49" s="158">
        <v>727.5</v>
      </c>
      <c r="P49" s="159" t="str">
        <f t="shared" si="100"/>
        <v>309.38</v>
      </c>
      <c r="Q49" s="160"/>
      <c r="R49" s="161">
        <v>0.26</v>
      </c>
      <c r="S49" s="162" t="str">
        <f t="shared" si="101"/>
        <v>538.35</v>
      </c>
      <c r="T49" s="163" t="str">
        <f t="shared" si="102"/>
        <v>60.00</v>
      </c>
      <c r="U49" s="164" t="str">
        <f t="shared" si="103"/>
        <v>40.25</v>
      </c>
      <c r="V49" s="165" t="str">
        <f t="shared" si="104"/>
        <v>0.00</v>
      </c>
      <c r="W49" s="166">
        <v>0.65</v>
      </c>
      <c r="X49" s="167" t="str">
        <f t="shared" si="105"/>
        <v>76</v>
      </c>
      <c r="Y49" s="168" t="str">
        <f t="shared" si="106"/>
        <v>236.438</v>
      </c>
      <c r="Z49" s="168" t="str">
        <f t="shared" si="107"/>
        <v>21.480</v>
      </c>
      <c r="AA49" s="164" t="str">
        <f t="shared" si="108"/>
        <v>0.00</v>
      </c>
      <c r="AB49" s="164">
        <v>100.0</v>
      </c>
      <c r="AC49" s="164" t="str">
        <f t="shared" si="109"/>
        <v>4.80</v>
      </c>
      <c r="AD49" s="165" t="str">
        <f t="shared" si="110"/>
        <v>72.75</v>
      </c>
      <c r="AE49" s="23"/>
      <c r="AF49" s="169" t="str">
        <f t="shared" si="111"/>
        <v>0</v>
      </c>
      <c r="AG49" s="163" t="str">
        <f t="shared" si="112"/>
        <v>215.78</v>
      </c>
      <c r="AH49" s="170" t="str">
        <f t="shared" si="113"/>
        <v>#DIV/0!</v>
      </c>
      <c r="AI49" s="26"/>
      <c r="AJ49" s="171" t="str">
        <f t="shared" si="114"/>
        <v>0.00%</v>
      </c>
      <c r="AK49" s="172" t="str">
        <f t="shared" si="115"/>
        <v>0.00</v>
      </c>
      <c r="AL49" s="173" t="str">
        <f t="shared" si="116"/>
        <v>309.38</v>
      </c>
      <c r="AM49" s="174" t="str">
        <f t="shared" si="117"/>
        <v>219.66</v>
      </c>
    </row>
    <row r="50" ht="12.75" customHeight="1">
      <c r="A50" s="26"/>
      <c r="B50" s="190" t="s">
        <v>144</v>
      </c>
      <c r="C50" s="192">
        <v>2.14304289E8</v>
      </c>
      <c r="D50" s="152" t="s">
        <v>145</v>
      </c>
      <c r="E50" s="53" t="s">
        <v>77</v>
      </c>
      <c r="F50" s="154">
        <v>1.0</v>
      </c>
      <c r="G50" s="53"/>
      <c r="H50" s="53" t="str">
        <f t="shared" si="95"/>
        <v>0.00069</v>
      </c>
      <c r="I50" s="53" t="str">
        <f t="shared" si="96"/>
        <v>89</v>
      </c>
      <c r="J50" s="53" t="str">
        <f t="shared" si="97"/>
        <v>0</v>
      </c>
      <c r="K50" s="155" t="str">
        <f t="shared" si="98"/>
        <v>0.00</v>
      </c>
      <c r="L50" s="156" t="str">
        <f t="shared" si="99"/>
        <v>0.00 </v>
      </c>
      <c r="M50" s="132">
        <v>90.0</v>
      </c>
      <c r="N50" s="157">
        <v>0.0</v>
      </c>
      <c r="O50" s="158">
        <v>741.6</v>
      </c>
      <c r="P50" s="159" t="str">
        <f t="shared" si="100"/>
        <v>334.74</v>
      </c>
      <c r="Q50" s="160"/>
      <c r="R50" s="161">
        <v>0.26</v>
      </c>
      <c r="S50" s="162" t="str">
        <f t="shared" si="101"/>
        <v>548.78</v>
      </c>
      <c r="T50" s="163" t="str">
        <f t="shared" si="102"/>
        <v>60.00</v>
      </c>
      <c r="U50" s="164" t="str">
        <f t="shared" si="103"/>
        <v>41.03</v>
      </c>
      <c r="V50" s="165" t="str">
        <f t="shared" si="104"/>
        <v>0.00</v>
      </c>
      <c r="W50" s="166">
        <v>0.88</v>
      </c>
      <c r="X50" s="167" t="str">
        <f t="shared" si="105"/>
        <v>76</v>
      </c>
      <c r="Y50" s="168" t="str">
        <f t="shared" si="106"/>
        <v>241.020</v>
      </c>
      <c r="Z50" s="168" t="str">
        <f t="shared" si="107"/>
        <v>21.896</v>
      </c>
      <c r="AA50" s="164" t="str">
        <f t="shared" si="108"/>
        <v>11.54</v>
      </c>
      <c r="AB50" s="164">
        <v>76.92</v>
      </c>
      <c r="AC50" s="164" t="str">
        <f t="shared" si="109"/>
        <v>4.80</v>
      </c>
      <c r="AD50" s="165" t="str">
        <f t="shared" si="110"/>
        <v>74.16</v>
      </c>
      <c r="AE50" s="23"/>
      <c r="AF50" s="169" t="str">
        <f t="shared" si="111"/>
        <v>0</v>
      </c>
      <c r="AG50" s="163" t="str">
        <f t="shared" si="112"/>
        <v>211.15</v>
      </c>
      <c r="AH50" s="170" t="str">
        <f t="shared" si="113"/>
        <v>#DIV/0!</v>
      </c>
      <c r="AI50" s="26"/>
      <c r="AJ50" s="171" t="str">
        <f t="shared" si="114"/>
        <v>0.00%</v>
      </c>
      <c r="AK50" s="172" t="str">
        <f t="shared" si="115"/>
        <v>0.00</v>
      </c>
      <c r="AL50" s="173" t="str">
        <f t="shared" si="116"/>
        <v>334.74</v>
      </c>
      <c r="AM50" s="174" t="str">
        <f t="shared" si="117"/>
        <v>237.67</v>
      </c>
    </row>
    <row r="51" ht="12.75" customHeight="1">
      <c r="A51" s="26"/>
      <c r="B51" s="190" t="s">
        <v>146</v>
      </c>
      <c r="C51" s="192">
        <v>2.14304723E8</v>
      </c>
      <c r="D51" s="152" t="s">
        <v>147</v>
      </c>
      <c r="E51" s="53" t="s">
        <v>77</v>
      </c>
      <c r="F51" s="154">
        <v>1.0</v>
      </c>
      <c r="G51" s="53"/>
      <c r="H51" s="53" t="str">
        <f t="shared" si="95"/>
        <v>0.00069</v>
      </c>
      <c r="I51" s="53" t="str">
        <f t="shared" si="96"/>
        <v>89</v>
      </c>
      <c r="J51" s="53" t="str">
        <f t="shared" si="97"/>
        <v>0</v>
      </c>
      <c r="K51" s="155" t="str">
        <f t="shared" si="98"/>
        <v>0.00</v>
      </c>
      <c r="L51" s="156" t="str">
        <f t="shared" si="99"/>
        <v>0.00 </v>
      </c>
      <c r="M51" s="132">
        <v>90.0</v>
      </c>
      <c r="N51" s="157">
        <v>0.0</v>
      </c>
      <c r="O51" s="158">
        <v>741.6</v>
      </c>
      <c r="P51" s="159" t="str">
        <f t="shared" si="100"/>
        <v>309.38</v>
      </c>
      <c r="Q51" s="160"/>
      <c r="R51" s="161">
        <v>0.26</v>
      </c>
      <c r="S51" s="162" t="str">
        <f t="shared" si="101"/>
        <v>548.78</v>
      </c>
      <c r="T51" s="163" t="str">
        <f t="shared" si="102"/>
        <v>60.00</v>
      </c>
      <c r="U51" s="164" t="str">
        <f t="shared" si="103"/>
        <v>41.03</v>
      </c>
      <c r="V51" s="165" t="str">
        <f t="shared" si="104"/>
        <v>0.00</v>
      </c>
      <c r="W51" s="166">
        <v>0.65</v>
      </c>
      <c r="X51" s="167" t="str">
        <f t="shared" si="105"/>
        <v>76</v>
      </c>
      <c r="Y51" s="168" t="str">
        <f t="shared" si="106"/>
        <v>241.020</v>
      </c>
      <c r="Z51" s="168" t="str">
        <f t="shared" si="107"/>
        <v>21.896</v>
      </c>
      <c r="AA51" s="164" t="str">
        <f t="shared" si="108"/>
        <v>0.00</v>
      </c>
      <c r="AB51" s="164">
        <v>100.0</v>
      </c>
      <c r="AC51" s="164" t="str">
        <f t="shared" si="109"/>
        <v>4.80</v>
      </c>
      <c r="AD51" s="165" t="str">
        <f t="shared" si="110"/>
        <v>74.16</v>
      </c>
      <c r="AE51" s="23"/>
      <c r="AF51" s="169" t="str">
        <f t="shared" si="111"/>
        <v>0</v>
      </c>
      <c r="AG51" s="163" t="str">
        <f t="shared" si="112"/>
        <v>222.69</v>
      </c>
      <c r="AH51" s="170" t="str">
        <f t="shared" si="113"/>
        <v>#DIV/0!</v>
      </c>
      <c r="AI51" s="26"/>
      <c r="AJ51" s="171" t="str">
        <f t="shared" si="114"/>
        <v>0.00%</v>
      </c>
      <c r="AK51" s="172" t="str">
        <f t="shared" si="115"/>
        <v>0.00</v>
      </c>
      <c r="AL51" s="173" t="str">
        <f t="shared" si="116"/>
        <v>309.38</v>
      </c>
      <c r="AM51" s="174" t="str">
        <f t="shared" si="117"/>
        <v>219.66</v>
      </c>
    </row>
    <row r="52" ht="12.75" customHeight="1">
      <c r="A52" s="26"/>
      <c r="B52" s="190" t="s">
        <v>148</v>
      </c>
      <c r="C52" s="192">
        <v>2.14304848E8</v>
      </c>
      <c r="D52" s="152" t="s">
        <v>149</v>
      </c>
      <c r="E52" s="53" t="s">
        <v>77</v>
      </c>
      <c r="F52" s="154">
        <v>1.0</v>
      </c>
      <c r="G52" s="53"/>
      <c r="H52" s="53" t="str">
        <f t="shared" si="95"/>
        <v>0.00069</v>
      </c>
      <c r="I52" s="53" t="str">
        <f t="shared" si="96"/>
        <v>89</v>
      </c>
      <c r="J52" s="53" t="str">
        <f t="shared" si="97"/>
        <v>0</v>
      </c>
      <c r="K52" s="155" t="str">
        <f t="shared" si="98"/>
        <v>0.00</v>
      </c>
      <c r="L52" s="156" t="str">
        <f t="shared" si="99"/>
        <v>0.00 </v>
      </c>
      <c r="M52" s="132">
        <v>90.0</v>
      </c>
      <c r="N52" s="157">
        <v>0.0</v>
      </c>
      <c r="O52" s="158">
        <v>1359.0</v>
      </c>
      <c r="P52" s="159" t="str">
        <f t="shared" si="100"/>
        <v>333.79</v>
      </c>
      <c r="Q52" s="160"/>
      <c r="R52" s="161">
        <v>0.26</v>
      </c>
      <c r="S52" s="162" t="str">
        <f t="shared" si="101"/>
        <v>1,005.66</v>
      </c>
      <c r="T52" s="163" t="str">
        <f t="shared" si="102"/>
        <v>60.00</v>
      </c>
      <c r="U52" s="164" t="str">
        <f t="shared" si="103"/>
        <v>75.19</v>
      </c>
      <c r="V52" s="165" t="str">
        <f t="shared" si="104"/>
        <v>0.00</v>
      </c>
      <c r="W52" s="166">
        <v>0.72</v>
      </c>
      <c r="X52" s="167" t="str">
        <f t="shared" si="105"/>
        <v>76</v>
      </c>
      <c r="Y52" s="168" t="str">
        <f t="shared" si="106"/>
        <v>441.675</v>
      </c>
      <c r="Z52" s="168" t="str">
        <f t="shared" si="107"/>
        <v>40.126</v>
      </c>
      <c r="AA52" s="164" t="str">
        <f t="shared" si="108"/>
        <v>11.11</v>
      </c>
      <c r="AB52" s="164">
        <v>77.78</v>
      </c>
      <c r="AC52" s="164" t="str">
        <f t="shared" si="109"/>
        <v>4.80</v>
      </c>
      <c r="AD52" s="165" t="str">
        <f t="shared" si="110"/>
        <v>135.90</v>
      </c>
      <c r="AE52" s="23"/>
      <c r="AF52" s="169" t="str">
        <f t="shared" si="111"/>
        <v>0</v>
      </c>
      <c r="AG52" s="163" t="str">
        <f t="shared" si="112"/>
        <v>514.20</v>
      </c>
      <c r="AH52" s="170" t="str">
        <f t="shared" si="113"/>
        <v>#DIV/0!</v>
      </c>
      <c r="AI52" s="26"/>
      <c r="AJ52" s="171" t="str">
        <f t="shared" si="114"/>
        <v>0.00%</v>
      </c>
      <c r="AK52" s="172" t="str">
        <f t="shared" si="115"/>
        <v>0.00</v>
      </c>
      <c r="AL52" s="173" t="str">
        <f t="shared" si="116"/>
        <v>333.79</v>
      </c>
      <c r="AM52" s="174" t="str">
        <f t="shared" si="117"/>
        <v>236.99</v>
      </c>
    </row>
    <row r="53" ht="12.75" customHeight="1">
      <c r="A53" s="26"/>
      <c r="B53" s="190" t="s">
        <v>150</v>
      </c>
      <c r="C53" s="192">
        <v>2.14305157E8</v>
      </c>
      <c r="D53" s="152" t="s">
        <v>151</v>
      </c>
      <c r="E53" s="53" t="s">
        <v>77</v>
      </c>
      <c r="F53" s="154">
        <v>1.0</v>
      </c>
      <c r="G53" s="53"/>
      <c r="H53" s="53" t="str">
        <f t="shared" si="95"/>
        <v>0.00069</v>
      </c>
      <c r="I53" s="53" t="str">
        <f t="shared" si="96"/>
        <v>89</v>
      </c>
      <c r="J53" s="53" t="str">
        <f t="shared" si="97"/>
        <v>0</v>
      </c>
      <c r="K53" s="155" t="str">
        <f t="shared" si="98"/>
        <v>0.00</v>
      </c>
      <c r="L53" s="156" t="str">
        <f t="shared" si="99"/>
        <v>0.00 </v>
      </c>
      <c r="M53" s="132">
        <v>90.0</v>
      </c>
      <c r="N53" s="157">
        <v>0.0</v>
      </c>
      <c r="O53" s="158">
        <v>713.4</v>
      </c>
      <c r="P53" s="159" t="str">
        <f t="shared" si="100"/>
        <v>314.88</v>
      </c>
      <c r="Q53" s="160"/>
      <c r="R53" s="161">
        <v>0.26</v>
      </c>
      <c r="S53" s="162" t="str">
        <f t="shared" si="101"/>
        <v>527.92</v>
      </c>
      <c r="T53" s="163" t="str">
        <f t="shared" si="102"/>
        <v>60.00</v>
      </c>
      <c r="U53" s="164" t="str">
        <f t="shared" si="103"/>
        <v>39.47</v>
      </c>
      <c r="V53" s="165" t="str">
        <f t="shared" si="104"/>
        <v>0.00</v>
      </c>
      <c r="W53" s="166">
        <v>0.65</v>
      </c>
      <c r="X53" s="167" t="str">
        <f t="shared" si="105"/>
        <v>76</v>
      </c>
      <c r="Y53" s="168" t="str">
        <f t="shared" si="106"/>
        <v>231.855</v>
      </c>
      <c r="Z53" s="168" t="str">
        <f t="shared" si="107"/>
        <v>21.064</v>
      </c>
      <c r="AA53" s="164" t="str">
        <f t="shared" si="108"/>
        <v>2.50</v>
      </c>
      <c r="AB53" s="164">
        <v>95.0</v>
      </c>
      <c r="AC53" s="164" t="str">
        <f t="shared" si="109"/>
        <v>4.80</v>
      </c>
      <c r="AD53" s="165" t="str">
        <f t="shared" si="110"/>
        <v>71.34</v>
      </c>
      <c r="AE53" s="23"/>
      <c r="AF53" s="169" t="str">
        <f t="shared" si="111"/>
        <v>0</v>
      </c>
      <c r="AG53" s="163" t="str">
        <f t="shared" si="112"/>
        <v>206.37</v>
      </c>
      <c r="AH53" s="170" t="str">
        <f t="shared" si="113"/>
        <v>#DIV/0!</v>
      </c>
      <c r="AI53" s="26"/>
      <c r="AJ53" s="171" t="str">
        <f t="shared" si="114"/>
        <v>0.00%</v>
      </c>
      <c r="AK53" s="172" t="str">
        <f t="shared" si="115"/>
        <v>0.00</v>
      </c>
      <c r="AL53" s="173" t="str">
        <f t="shared" si="116"/>
        <v>314.88</v>
      </c>
      <c r="AM53" s="174" t="str">
        <f t="shared" si="117"/>
        <v>223.56</v>
      </c>
    </row>
    <row r="54" ht="12.75" customHeight="1">
      <c r="A54" s="26"/>
      <c r="B54" s="190" t="s">
        <v>152</v>
      </c>
      <c r="C54" s="192">
        <v>2.14305367E8</v>
      </c>
      <c r="D54" s="152" t="s">
        <v>153</v>
      </c>
      <c r="E54" s="53" t="s">
        <v>77</v>
      </c>
      <c r="F54" s="154">
        <v>1.0</v>
      </c>
      <c r="G54" s="53"/>
      <c r="H54" s="53" t="str">
        <f t="shared" si="95"/>
        <v>0.00069</v>
      </c>
      <c r="I54" s="53" t="str">
        <f t="shared" si="96"/>
        <v>89</v>
      </c>
      <c r="J54" s="53" t="str">
        <f t="shared" si="97"/>
        <v>0</v>
      </c>
      <c r="K54" s="155" t="str">
        <f t="shared" si="98"/>
        <v>0.00</v>
      </c>
      <c r="L54" s="156" t="str">
        <f t="shared" si="99"/>
        <v>0.00 </v>
      </c>
      <c r="M54" s="132">
        <v>90.0</v>
      </c>
      <c r="N54" s="157">
        <v>0.0</v>
      </c>
      <c r="O54" s="158">
        <v>727.5</v>
      </c>
      <c r="P54" s="159" t="str">
        <f t="shared" si="100"/>
        <v>314.68</v>
      </c>
      <c r="Q54" s="160"/>
      <c r="R54" s="161">
        <v>0.26</v>
      </c>
      <c r="S54" s="162" t="str">
        <f t="shared" si="101"/>
        <v>538.35</v>
      </c>
      <c r="T54" s="163" t="str">
        <f t="shared" si="102"/>
        <v>60.00</v>
      </c>
      <c r="U54" s="164" t="str">
        <f t="shared" si="103"/>
        <v>40.25</v>
      </c>
      <c r="V54" s="165" t="str">
        <f t="shared" si="104"/>
        <v>0.00</v>
      </c>
      <c r="W54" s="166">
        <v>0.72</v>
      </c>
      <c r="X54" s="167" t="str">
        <f t="shared" si="105"/>
        <v>76</v>
      </c>
      <c r="Y54" s="168" t="str">
        <f t="shared" si="106"/>
        <v>236.438</v>
      </c>
      <c r="Z54" s="168" t="str">
        <f t="shared" si="107"/>
        <v>21.480</v>
      </c>
      <c r="AA54" s="164" t="str">
        <f t="shared" si="108"/>
        <v>2.41</v>
      </c>
      <c r="AB54" s="164">
        <v>95.18</v>
      </c>
      <c r="AC54" s="164" t="str">
        <f t="shared" si="109"/>
        <v>4.80</v>
      </c>
      <c r="AD54" s="165" t="str">
        <f t="shared" si="110"/>
        <v>72.75</v>
      </c>
      <c r="AE54" s="23"/>
      <c r="AF54" s="169" t="str">
        <f t="shared" si="111"/>
        <v>0</v>
      </c>
      <c r="AG54" s="163" t="str">
        <f t="shared" si="112"/>
        <v>213.37</v>
      </c>
      <c r="AH54" s="170" t="str">
        <f t="shared" si="113"/>
        <v>#DIV/0!</v>
      </c>
      <c r="AI54" s="26"/>
      <c r="AJ54" s="171" t="str">
        <f t="shared" si="114"/>
        <v>0.00%</v>
      </c>
      <c r="AK54" s="172" t="str">
        <f t="shared" si="115"/>
        <v>0.00</v>
      </c>
      <c r="AL54" s="173" t="str">
        <f t="shared" si="116"/>
        <v>314.68</v>
      </c>
      <c r="AM54" s="174" t="str">
        <f t="shared" si="117"/>
        <v>223.42</v>
      </c>
    </row>
    <row r="55" ht="12.75" customHeight="1">
      <c r="A55" s="26"/>
      <c r="B55" s="190" t="s">
        <v>154</v>
      </c>
      <c r="C55" s="192">
        <v>2.14305331E8</v>
      </c>
      <c r="D55" s="152" t="s">
        <v>155</v>
      </c>
      <c r="E55" s="53" t="s">
        <v>77</v>
      </c>
      <c r="F55" s="154">
        <v>1.0</v>
      </c>
      <c r="G55" s="53"/>
      <c r="H55" s="53" t="str">
        <f t="shared" si="95"/>
        <v>0.00069</v>
      </c>
      <c r="I55" s="53" t="str">
        <f t="shared" si="96"/>
        <v>89</v>
      </c>
      <c r="J55" s="53" t="str">
        <f t="shared" si="97"/>
        <v>0</v>
      </c>
      <c r="K55" s="155" t="str">
        <f t="shared" si="98"/>
        <v>0.00</v>
      </c>
      <c r="L55" s="156" t="str">
        <f t="shared" si="99"/>
        <v>0.00 </v>
      </c>
      <c r="M55" s="132">
        <v>90.0</v>
      </c>
      <c r="N55" s="157">
        <v>0.0</v>
      </c>
      <c r="O55" s="158">
        <v>727.5</v>
      </c>
      <c r="P55" s="159" t="str">
        <f t="shared" si="100"/>
        <v>315.49</v>
      </c>
      <c r="Q55" s="160"/>
      <c r="R55" s="161">
        <v>0.26</v>
      </c>
      <c r="S55" s="162" t="str">
        <f t="shared" si="101"/>
        <v>538.35</v>
      </c>
      <c r="T55" s="163" t="str">
        <f t="shared" si="102"/>
        <v>60.00</v>
      </c>
      <c r="U55" s="164" t="str">
        <f t="shared" si="103"/>
        <v>40.25</v>
      </c>
      <c r="V55" s="165" t="str">
        <f t="shared" si="104"/>
        <v>0.00</v>
      </c>
      <c r="W55" s="166">
        <v>0.68</v>
      </c>
      <c r="X55" s="167" t="str">
        <f t="shared" si="105"/>
        <v>76</v>
      </c>
      <c r="Y55" s="168" t="str">
        <f t="shared" si="106"/>
        <v>236.438</v>
      </c>
      <c r="Z55" s="168" t="str">
        <f t="shared" si="107"/>
        <v>21.480</v>
      </c>
      <c r="AA55" s="164" t="str">
        <f t="shared" si="108"/>
        <v>2.78</v>
      </c>
      <c r="AB55" s="164">
        <v>94.44</v>
      </c>
      <c r="AC55" s="164" t="str">
        <f t="shared" si="109"/>
        <v>4.80</v>
      </c>
      <c r="AD55" s="165" t="str">
        <f t="shared" si="110"/>
        <v>72.75</v>
      </c>
      <c r="AE55" s="23"/>
      <c r="AF55" s="169" t="str">
        <f t="shared" si="111"/>
        <v>0</v>
      </c>
      <c r="AG55" s="163" t="str">
        <f t="shared" si="112"/>
        <v>213.00</v>
      </c>
      <c r="AH55" s="170" t="str">
        <f t="shared" si="113"/>
        <v>#DIV/0!</v>
      </c>
      <c r="AI55" s="26"/>
      <c r="AJ55" s="171" t="str">
        <f t="shared" si="114"/>
        <v>0.00%</v>
      </c>
      <c r="AK55" s="172" t="str">
        <f t="shared" si="115"/>
        <v>0.00</v>
      </c>
      <c r="AL55" s="173" t="str">
        <f t="shared" si="116"/>
        <v>315.49</v>
      </c>
      <c r="AM55" s="174" t="str">
        <f t="shared" si="117"/>
        <v>224.00</v>
      </c>
    </row>
    <row r="56" ht="12.75" customHeight="1">
      <c r="A56" s="26"/>
      <c r="B56" s="190" t="s">
        <v>156</v>
      </c>
      <c r="C56" s="192">
        <v>2.14305394E8</v>
      </c>
      <c r="D56" s="152" t="s">
        <v>157</v>
      </c>
      <c r="E56" s="53" t="s">
        <v>77</v>
      </c>
      <c r="F56" s="154">
        <v>1.0</v>
      </c>
      <c r="G56" s="53"/>
      <c r="H56" s="53" t="str">
        <f t="shared" si="95"/>
        <v>0.00069</v>
      </c>
      <c r="I56" s="53" t="str">
        <f t="shared" si="96"/>
        <v>89</v>
      </c>
      <c r="J56" s="53" t="str">
        <f t="shared" si="97"/>
        <v>0</v>
      </c>
      <c r="K56" s="155" t="str">
        <f t="shared" si="98"/>
        <v>0.00</v>
      </c>
      <c r="L56" s="156" t="str">
        <f t="shared" si="99"/>
        <v>0.00 </v>
      </c>
      <c r="M56" s="132">
        <v>90.0</v>
      </c>
      <c r="N56" s="157">
        <v>0.0</v>
      </c>
      <c r="O56" s="158">
        <v>1241.4</v>
      </c>
      <c r="P56" s="159" t="str">
        <f t="shared" si="100"/>
        <v>309.38</v>
      </c>
      <c r="Q56" s="160"/>
      <c r="R56" s="161">
        <v>0.26</v>
      </c>
      <c r="S56" s="162" t="str">
        <f t="shared" si="101"/>
        <v>918.64</v>
      </c>
      <c r="T56" s="163" t="str">
        <f t="shared" si="102"/>
        <v>60.00</v>
      </c>
      <c r="U56" s="164" t="str">
        <f t="shared" si="103"/>
        <v>68.68</v>
      </c>
      <c r="V56" s="165" t="str">
        <f t="shared" si="104"/>
        <v>0.00</v>
      </c>
      <c r="W56" s="166">
        <v>0.68</v>
      </c>
      <c r="X56" s="167" t="str">
        <f t="shared" si="105"/>
        <v>76</v>
      </c>
      <c r="Y56" s="168" t="str">
        <f t="shared" si="106"/>
        <v>403.455</v>
      </c>
      <c r="Z56" s="168" t="str">
        <f t="shared" si="107"/>
        <v>36.654</v>
      </c>
      <c r="AA56" s="164" t="str">
        <f t="shared" si="108"/>
        <v>0.00</v>
      </c>
      <c r="AB56" s="164">
        <v>100.0</v>
      </c>
      <c r="AC56" s="164" t="str">
        <f t="shared" si="109"/>
        <v>4.80</v>
      </c>
      <c r="AD56" s="165" t="str">
        <f t="shared" si="110"/>
        <v>124.14</v>
      </c>
      <c r="AE56" s="23"/>
      <c r="AF56" s="169" t="str">
        <f t="shared" si="111"/>
        <v>0</v>
      </c>
      <c r="AG56" s="163" t="str">
        <f t="shared" si="112"/>
        <v>467.67</v>
      </c>
      <c r="AH56" s="170" t="str">
        <f t="shared" si="113"/>
        <v>#DIV/0!</v>
      </c>
      <c r="AI56" s="26"/>
      <c r="AJ56" s="171" t="str">
        <f t="shared" si="114"/>
        <v>0.00%</v>
      </c>
      <c r="AK56" s="172" t="str">
        <f t="shared" si="115"/>
        <v>0.00</v>
      </c>
      <c r="AL56" s="173" t="str">
        <f t="shared" si="116"/>
        <v>309.38</v>
      </c>
      <c r="AM56" s="174" t="str">
        <f t="shared" si="117"/>
        <v>219.66</v>
      </c>
    </row>
    <row r="57" ht="12.75" customHeight="1">
      <c r="A57" s="26"/>
      <c r="B57" s="125" t="s">
        <v>158</v>
      </c>
      <c r="C57" s="126"/>
      <c r="D57" s="127"/>
      <c r="E57" s="128"/>
      <c r="F57" s="129"/>
      <c r="G57" s="128"/>
      <c r="H57" s="197"/>
      <c r="I57" s="197"/>
      <c r="J57" s="128"/>
      <c r="K57" s="130"/>
      <c r="L57" s="131"/>
      <c r="M57" s="132"/>
      <c r="N57" s="176"/>
      <c r="O57" s="134"/>
      <c r="P57" s="135"/>
      <c r="Q57" s="135"/>
      <c r="R57" s="136"/>
      <c r="S57" s="137"/>
      <c r="T57" s="177"/>
      <c r="U57" s="178"/>
      <c r="V57" s="179"/>
      <c r="W57" s="180"/>
      <c r="X57" s="181"/>
      <c r="Y57" s="182"/>
      <c r="Z57" s="182"/>
      <c r="AA57" s="178"/>
      <c r="AB57" s="178"/>
      <c r="AC57" s="178"/>
      <c r="AD57" s="179"/>
      <c r="AE57" s="183"/>
      <c r="AF57" s="184"/>
      <c r="AG57" s="177"/>
      <c r="AH57" s="185"/>
      <c r="AI57" s="26"/>
      <c r="AJ57" s="186"/>
      <c r="AK57" s="187"/>
      <c r="AL57" s="188"/>
      <c r="AM57" s="189"/>
    </row>
    <row r="58" ht="12.75" customHeight="1">
      <c r="A58" s="26"/>
      <c r="B58" s="190" t="s">
        <v>159</v>
      </c>
      <c r="C58" s="199">
        <v>2.12719009E8</v>
      </c>
      <c r="D58" s="152" t="s">
        <v>160</v>
      </c>
      <c r="E58" s="53" t="s">
        <v>77</v>
      </c>
      <c r="F58" s="154">
        <v>1.0</v>
      </c>
      <c r="G58" s="53"/>
      <c r="H58" s="53" t="str">
        <f t="shared" ref="H58:H64" si="118">$I$2</f>
        <v>0.00069</v>
      </c>
      <c r="I58" s="53" t="str">
        <f t="shared" ref="I58:I64" si="119">$I$3</f>
        <v>89</v>
      </c>
      <c r="J58" s="53" t="str">
        <f t="shared" ref="J58:J64" si="120">G58*H58*I58*F58</f>
        <v>0</v>
      </c>
      <c r="K58" s="155" t="str">
        <f t="shared" ref="K58:K64" si="121">J58*$J$4</f>
        <v>0.00</v>
      </c>
      <c r="L58" s="156" t="str">
        <f t="shared" ref="L58:L64" si="122">K58+J58</f>
        <v>0.00 </v>
      </c>
      <c r="M58" s="132">
        <v>90.0</v>
      </c>
      <c r="N58" s="157">
        <v>1449.78</v>
      </c>
      <c r="O58" s="158">
        <v>3800.0</v>
      </c>
      <c r="P58" s="159" t="str">
        <f t="shared" ref="P58:P62" si="123">O58</f>
        <v>3,800.00</v>
      </c>
      <c r="Q58" s="160">
        <v>3829.0</v>
      </c>
      <c r="R58" s="161">
        <v>0.26</v>
      </c>
      <c r="S58" s="162" t="str">
        <f t="shared" ref="S58:S64" si="124">O58-(O58*R58)</f>
        <v>2,812.00</v>
      </c>
      <c r="T58" s="163" t="str">
        <f t="shared" ref="T58:T64" si="125">$C$1</f>
        <v>60.00</v>
      </c>
      <c r="U58" s="164" t="str">
        <f t="shared" ref="U58:U64" si="126">(S58*7/107)+((S58-(S58*7/107))*1%)</f>
        <v>210.24</v>
      </c>
      <c r="V58" s="165" t="str">
        <f t="shared" ref="V58:V64" si="127">N58*$C$3*(M58/30)</f>
        <v>0.00</v>
      </c>
      <c r="W58" s="166">
        <v>0.45</v>
      </c>
      <c r="X58" s="167" t="str">
        <f>((_xlfn.CEILING.MATH(W58)-1)*$C$5+$C$4)</f>
        <v>76</v>
      </c>
      <c r="Y58" s="168" t="str">
        <f t="shared" ref="Y58:Y64" si="128">O58*$Y$6</f>
        <v>1,235.000</v>
      </c>
      <c r="Z58" s="168" t="str">
        <f t="shared" ref="Z58:Z64" si="129">S58*$Y$7</f>
        <v>112.199</v>
      </c>
      <c r="AA58" s="164" t="str">
        <f t="shared" ref="AA58:AA64" si="130">$Y$3*((100-AB58)/100)</f>
        <v>4.74</v>
      </c>
      <c r="AB58" s="164">
        <v>90.52</v>
      </c>
      <c r="AC58" s="164" t="str">
        <f t="shared" ref="AC58:AC64" si="131">$C$6*$C$7*_xlfn.CEILING.MATH(W58)</f>
        <v>4.80</v>
      </c>
      <c r="AD58" s="165" t="str">
        <f t="shared" ref="AD58:AD64" si="132">O58*$C$2</f>
        <v>380.00</v>
      </c>
      <c r="AE58" s="23"/>
      <c r="AF58" s="169" t="str">
        <f t="shared" ref="AF58:AF64" si="133">(_xlfn.CEILING.MATH(W58))*$Y$1*$AD$2</f>
        <v>0</v>
      </c>
      <c r="AG58" s="163" t="str">
        <f t="shared" ref="AG58:AG64" si="134">O58-T58-U58-V58-X58-Y58-Z58-AA58-AC58-AD58-N58</f>
        <v>267.24</v>
      </c>
      <c r="AH58" s="170" t="str">
        <f t="shared" ref="AH58:AH64" si="135">AG58/N58</f>
        <v>18.43%</v>
      </c>
      <c r="AI58" s="26"/>
      <c r="AJ58" s="171" t="str">
        <f t="shared" ref="AJ58:AJ64" si="136">$AD$3</f>
        <v>0.00%</v>
      </c>
      <c r="AK58" s="172" t="str">
        <f t="shared" ref="AK58:AK64" si="137">N58*AJ58</f>
        <v>0.00</v>
      </c>
      <c r="AL58" s="173" t="str">
        <f t="shared" ref="AL58:AL64" si="138">(N58+T58+V58+X58+AA58+AC58+AF58+AK58)/(100%-($C$2+$C$8+$Y$6+$Y$7))</f>
        <v>3,505.43</v>
      </c>
      <c r="AM58" s="174" t="str">
        <f t="shared" ref="AM58:AM64" si="139">AL58-(AL58*$AD$1)</f>
        <v>2,488.85</v>
      </c>
    </row>
    <row r="59" ht="12.75" customHeight="1">
      <c r="A59" s="26"/>
      <c r="B59" s="190" t="s">
        <v>161</v>
      </c>
      <c r="C59" s="199">
        <v>1.9942606E8</v>
      </c>
      <c r="D59" s="152" t="s">
        <v>162</v>
      </c>
      <c r="E59" s="53" t="s">
        <v>77</v>
      </c>
      <c r="F59" s="154">
        <v>1.0</v>
      </c>
      <c r="G59" s="53"/>
      <c r="H59" s="53" t="str">
        <f t="shared" si="118"/>
        <v>0.00069</v>
      </c>
      <c r="I59" s="53" t="str">
        <f t="shared" si="119"/>
        <v>89</v>
      </c>
      <c r="J59" s="53" t="str">
        <f t="shared" si="120"/>
        <v>0</v>
      </c>
      <c r="K59" s="155" t="str">
        <f t="shared" si="121"/>
        <v>0.00</v>
      </c>
      <c r="L59" s="156" t="str">
        <f t="shared" si="122"/>
        <v>0.00 </v>
      </c>
      <c r="M59" s="132">
        <v>90.0</v>
      </c>
      <c r="N59" s="157">
        <v>927.84</v>
      </c>
      <c r="O59" s="158">
        <v>2730.0</v>
      </c>
      <c r="P59" s="159" t="str">
        <f t="shared" si="123"/>
        <v>2,730.00</v>
      </c>
      <c r="Q59" s="160">
        <v>2228.0</v>
      </c>
      <c r="R59" s="161">
        <v>0.26</v>
      </c>
      <c r="S59" s="162" t="str">
        <f t="shared" si="124"/>
        <v>2,020.20</v>
      </c>
      <c r="T59" s="163" t="str">
        <f t="shared" si="125"/>
        <v>60.00</v>
      </c>
      <c r="U59" s="164" t="str">
        <f t="shared" si="126"/>
        <v>151.04</v>
      </c>
      <c r="V59" s="165" t="str">
        <f t="shared" si="127"/>
        <v>0.00</v>
      </c>
      <c r="W59" s="166">
        <v>0.23</v>
      </c>
      <c r="X59" s="167">
        <v>90.0</v>
      </c>
      <c r="Y59" s="168" t="str">
        <f t="shared" si="128"/>
        <v>887.250</v>
      </c>
      <c r="Z59" s="168" t="str">
        <f t="shared" si="129"/>
        <v>80.606</v>
      </c>
      <c r="AA59" s="164" t="str">
        <f t="shared" si="130"/>
        <v>10.23</v>
      </c>
      <c r="AB59" s="164">
        <v>79.55</v>
      </c>
      <c r="AC59" s="164" t="str">
        <f t="shared" si="131"/>
        <v>4.80</v>
      </c>
      <c r="AD59" s="165" t="str">
        <f t="shared" si="132"/>
        <v>273.00</v>
      </c>
      <c r="AE59" s="23"/>
      <c r="AF59" s="169" t="str">
        <f t="shared" si="133"/>
        <v>0</v>
      </c>
      <c r="AG59" s="163" t="str">
        <f t="shared" si="134"/>
        <v>245.24</v>
      </c>
      <c r="AH59" s="170" t="str">
        <f t="shared" si="135"/>
        <v>26.43%</v>
      </c>
      <c r="AI59" s="26"/>
      <c r="AJ59" s="171" t="str">
        <f t="shared" si="136"/>
        <v>0.00%</v>
      </c>
      <c r="AK59" s="172" t="str">
        <f t="shared" si="137"/>
        <v>0.00</v>
      </c>
      <c r="AL59" s="173" t="str">
        <f t="shared" si="138"/>
        <v>2,401.37</v>
      </c>
      <c r="AM59" s="174" t="str">
        <f t="shared" si="139"/>
        <v>1,704.98</v>
      </c>
    </row>
    <row r="60" ht="12.75" customHeight="1">
      <c r="A60" s="26"/>
      <c r="B60" s="190" t="s">
        <v>163</v>
      </c>
      <c r="C60" s="199">
        <v>1.99425671E8</v>
      </c>
      <c r="D60" s="152" t="s">
        <v>164</v>
      </c>
      <c r="E60" s="53" t="s">
        <v>77</v>
      </c>
      <c r="F60" s="154">
        <v>1.0</v>
      </c>
      <c r="G60" s="53"/>
      <c r="H60" s="53" t="str">
        <f t="shared" si="118"/>
        <v>0.00069</v>
      </c>
      <c r="I60" s="53" t="str">
        <f t="shared" si="119"/>
        <v>89</v>
      </c>
      <c r="J60" s="53" t="str">
        <f t="shared" si="120"/>
        <v>0</v>
      </c>
      <c r="K60" s="155" t="str">
        <f t="shared" si="121"/>
        <v>0.00</v>
      </c>
      <c r="L60" s="156" t="str">
        <f t="shared" si="122"/>
        <v>0.00 </v>
      </c>
      <c r="M60" s="132">
        <v>90.0</v>
      </c>
      <c r="N60" s="157">
        <v>666.95</v>
      </c>
      <c r="O60" s="158">
        <v>2117.0</v>
      </c>
      <c r="P60" s="159" t="str">
        <f t="shared" si="123"/>
        <v>2,117.00</v>
      </c>
      <c r="Q60" s="160">
        <v>2138.0</v>
      </c>
      <c r="R60" s="161">
        <v>0.26</v>
      </c>
      <c r="S60" s="162" t="str">
        <f t="shared" si="124"/>
        <v>1,566.58</v>
      </c>
      <c r="T60" s="163" t="str">
        <f t="shared" si="125"/>
        <v>60.00</v>
      </c>
      <c r="U60" s="164" t="str">
        <f t="shared" si="126"/>
        <v>117.13</v>
      </c>
      <c r="V60" s="165" t="str">
        <f t="shared" si="127"/>
        <v>0.00</v>
      </c>
      <c r="W60" s="166">
        <v>0.14</v>
      </c>
      <c r="X60" s="167" t="str">
        <f t="shared" ref="X60:X64" si="140">((_xlfn.CEILING.MATH(W60)-1)*$C$5+$C$4)</f>
        <v>76</v>
      </c>
      <c r="Y60" s="168" t="str">
        <f t="shared" si="128"/>
        <v>688.025</v>
      </c>
      <c r="Z60" s="168" t="str">
        <f t="shared" si="129"/>
        <v>62.507</v>
      </c>
      <c r="AA60" s="164" t="str">
        <f t="shared" si="130"/>
        <v>3.97</v>
      </c>
      <c r="AB60" s="164">
        <v>92.07</v>
      </c>
      <c r="AC60" s="164" t="str">
        <f t="shared" si="131"/>
        <v>4.80</v>
      </c>
      <c r="AD60" s="165" t="str">
        <f t="shared" si="132"/>
        <v>211.70</v>
      </c>
      <c r="AE60" s="23"/>
      <c r="AF60" s="169" t="str">
        <f t="shared" si="133"/>
        <v>0</v>
      </c>
      <c r="AG60" s="163" t="str">
        <f t="shared" si="134"/>
        <v>225.93</v>
      </c>
      <c r="AH60" s="170" t="str">
        <f t="shared" si="135"/>
        <v>33.87%</v>
      </c>
      <c r="AI60" s="26"/>
      <c r="AJ60" s="171" t="str">
        <f t="shared" si="136"/>
        <v>0.00%</v>
      </c>
      <c r="AK60" s="172" t="str">
        <f t="shared" si="137"/>
        <v>0.00</v>
      </c>
      <c r="AL60" s="173" t="str">
        <f t="shared" si="138"/>
        <v>1,783.60</v>
      </c>
      <c r="AM60" s="174" t="str">
        <f t="shared" si="139"/>
        <v>1,266.35</v>
      </c>
    </row>
    <row r="61" ht="12.75" customHeight="1">
      <c r="A61" s="26"/>
      <c r="B61" s="190" t="s">
        <v>165</v>
      </c>
      <c r="C61" s="199">
        <v>1.99427475E8</v>
      </c>
      <c r="D61" s="152" t="s">
        <v>166</v>
      </c>
      <c r="E61" s="53" t="s">
        <v>77</v>
      </c>
      <c r="F61" s="154">
        <v>1.0</v>
      </c>
      <c r="G61" s="53"/>
      <c r="H61" s="53" t="str">
        <f t="shared" si="118"/>
        <v>0.00069</v>
      </c>
      <c r="I61" s="53" t="str">
        <f t="shared" si="119"/>
        <v>89</v>
      </c>
      <c r="J61" s="53" t="str">
        <f t="shared" si="120"/>
        <v>0</v>
      </c>
      <c r="K61" s="155" t="str">
        <f t="shared" si="121"/>
        <v>0.00</v>
      </c>
      <c r="L61" s="156" t="str">
        <f t="shared" si="122"/>
        <v>0.00 </v>
      </c>
      <c r="M61" s="132">
        <v>90.0</v>
      </c>
      <c r="N61" s="157">
        <v>637.89</v>
      </c>
      <c r="O61" s="158">
        <v>2000.0</v>
      </c>
      <c r="P61" s="159" t="str">
        <f t="shared" si="123"/>
        <v>2,000.00</v>
      </c>
      <c r="Q61" s="160">
        <v>1606.0</v>
      </c>
      <c r="R61" s="161">
        <v>0.26</v>
      </c>
      <c r="S61" s="162" t="str">
        <f t="shared" si="124"/>
        <v>1,480.00</v>
      </c>
      <c r="T61" s="163" t="str">
        <f t="shared" si="125"/>
        <v>60.00</v>
      </c>
      <c r="U61" s="164" t="str">
        <f t="shared" si="126"/>
        <v>110.65</v>
      </c>
      <c r="V61" s="165" t="str">
        <f t="shared" si="127"/>
        <v>0.00</v>
      </c>
      <c r="W61" s="166">
        <v>0.33</v>
      </c>
      <c r="X61" s="167" t="str">
        <f t="shared" si="140"/>
        <v>76</v>
      </c>
      <c r="Y61" s="168" t="str">
        <f t="shared" si="128"/>
        <v>650.000</v>
      </c>
      <c r="Z61" s="168" t="str">
        <f t="shared" si="129"/>
        <v>59.052</v>
      </c>
      <c r="AA61" s="164" t="str">
        <f t="shared" si="130"/>
        <v>4.29</v>
      </c>
      <c r="AB61" s="164">
        <v>91.43</v>
      </c>
      <c r="AC61" s="164" t="str">
        <f t="shared" si="131"/>
        <v>4.80</v>
      </c>
      <c r="AD61" s="165" t="str">
        <f t="shared" si="132"/>
        <v>200.00</v>
      </c>
      <c r="AE61" s="23"/>
      <c r="AF61" s="169" t="str">
        <f t="shared" si="133"/>
        <v>0</v>
      </c>
      <c r="AG61" s="163" t="str">
        <f t="shared" si="134"/>
        <v>197.32</v>
      </c>
      <c r="AH61" s="170" t="str">
        <f t="shared" si="135"/>
        <v>30.93%</v>
      </c>
      <c r="AI61" s="26"/>
      <c r="AJ61" s="171" t="str">
        <f t="shared" si="136"/>
        <v>0.00%</v>
      </c>
      <c r="AK61" s="172" t="str">
        <f t="shared" si="137"/>
        <v>0.00</v>
      </c>
      <c r="AL61" s="173" t="str">
        <f t="shared" si="138"/>
        <v>1,720.45</v>
      </c>
      <c r="AM61" s="174" t="str">
        <f t="shared" si="139"/>
        <v>1,221.52</v>
      </c>
    </row>
    <row r="62" ht="12.75" customHeight="1">
      <c r="A62" s="26"/>
      <c r="B62" s="190" t="s">
        <v>167</v>
      </c>
      <c r="C62" s="199">
        <v>1.99367159E8</v>
      </c>
      <c r="D62" s="152" t="s">
        <v>168</v>
      </c>
      <c r="E62" s="153" t="s">
        <v>77</v>
      </c>
      <c r="F62" s="154">
        <v>1.0</v>
      </c>
      <c r="G62" s="53"/>
      <c r="H62" s="53" t="str">
        <f t="shared" si="118"/>
        <v>0.00069</v>
      </c>
      <c r="I62" s="53" t="str">
        <f t="shared" si="119"/>
        <v>89</v>
      </c>
      <c r="J62" s="53" t="str">
        <f t="shared" si="120"/>
        <v>0</v>
      </c>
      <c r="K62" s="155" t="str">
        <f t="shared" si="121"/>
        <v>0.00</v>
      </c>
      <c r="L62" s="156" t="str">
        <f t="shared" si="122"/>
        <v>0.00 </v>
      </c>
      <c r="M62" s="132">
        <v>90.0</v>
      </c>
      <c r="N62" s="175">
        <v>690.39</v>
      </c>
      <c r="O62" s="158">
        <v>1900.0</v>
      </c>
      <c r="P62" s="159" t="str">
        <f t="shared" si="123"/>
        <v>1,900.00</v>
      </c>
      <c r="Q62" s="160">
        <v>1919.0</v>
      </c>
      <c r="R62" s="161">
        <v>0.26</v>
      </c>
      <c r="S62" s="162" t="str">
        <f t="shared" si="124"/>
        <v>1,406.00</v>
      </c>
      <c r="T62" s="163" t="str">
        <f t="shared" si="125"/>
        <v>60.00</v>
      </c>
      <c r="U62" s="164" t="str">
        <f t="shared" si="126"/>
        <v>105.12</v>
      </c>
      <c r="V62" s="165" t="str">
        <f t="shared" si="127"/>
        <v>0.00</v>
      </c>
      <c r="W62" s="166">
        <v>0.48</v>
      </c>
      <c r="X62" s="167" t="str">
        <f t="shared" si="140"/>
        <v>76</v>
      </c>
      <c r="Y62" s="168" t="str">
        <f t="shared" si="128"/>
        <v>617.500</v>
      </c>
      <c r="Z62" s="168" t="str">
        <f t="shared" si="129"/>
        <v>56.099</v>
      </c>
      <c r="AA62" s="164" t="str">
        <f t="shared" si="130"/>
        <v>10.81</v>
      </c>
      <c r="AB62" s="164">
        <v>78.38</v>
      </c>
      <c r="AC62" s="164" t="str">
        <f t="shared" si="131"/>
        <v>4.80</v>
      </c>
      <c r="AD62" s="165" t="str">
        <f t="shared" si="132"/>
        <v>190.00</v>
      </c>
      <c r="AE62" s="23"/>
      <c r="AF62" s="169" t="str">
        <f t="shared" si="133"/>
        <v>0</v>
      </c>
      <c r="AG62" s="163" t="str">
        <f t="shared" si="134"/>
        <v>89.28</v>
      </c>
      <c r="AH62" s="170" t="str">
        <f t="shared" si="135"/>
        <v>12.93%</v>
      </c>
      <c r="AI62" s="26"/>
      <c r="AJ62" s="171" t="str">
        <f t="shared" si="136"/>
        <v>0.00%</v>
      </c>
      <c r="AK62" s="172" t="str">
        <f t="shared" si="137"/>
        <v>0.00</v>
      </c>
      <c r="AL62" s="173" t="str">
        <f t="shared" si="138"/>
        <v>1,850.14</v>
      </c>
      <c r="AM62" s="174" t="str">
        <f t="shared" si="139"/>
        <v>1,313.60</v>
      </c>
    </row>
    <row r="63" ht="12.75" customHeight="1">
      <c r="A63" s="26"/>
      <c r="B63" s="190" t="s">
        <v>169</v>
      </c>
      <c r="C63" s="192">
        <v>1.99359659E8</v>
      </c>
      <c r="D63" s="152" t="s">
        <v>170</v>
      </c>
      <c r="E63" s="53" t="s">
        <v>77</v>
      </c>
      <c r="F63" s="154">
        <v>1.0</v>
      </c>
      <c r="G63" s="53"/>
      <c r="H63" s="53" t="str">
        <f t="shared" si="118"/>
        <v>0.00069</v>
      </c>
      <c r="I63" s="53" t="str">
        <f t="shared" si="119"/>
        <v>89</v>
      </c>
      <c r="J63" s="53" t="str">
        <f t="shared" si="120"/>
        <v>0</v>
      </c>
      <c r="K63" s="155" t="str">
        <f t="shared" si="121"/>
        <v>0.00</v>
      </c>
      <c r="L63" s="156" t="str">
        <f t="shared" si="122"/>
        <v>0.00 </v>
      </c>
      <c r="M63" s="132">
        <v>90.0</v>
      </c>
      <c r="N63" s="157">
        <v>0.0</v>
      </c>
      <c r="O63" s="158">
        <v>1592.4</v>
      </c>
      <c r="P63" s="159" t="str">
        <f t="shared" ref="P63:P64" si="141">AL63</f>
        <v>316.04</v>
      </c>
      <c r="Q63" s="160"/>
      <c r="R63" s="161">
        <v>0.26</v>
      </c>
      <c r="S63" s="162" t="str">
        <f t="shared" si="124"/>
        <v>1,178.38</v>
      </c>
      <c r="T63" s="163" t="str">
        <f t="shared" si="125"/>
        <v>60.00</v>
      </c>
      <c r="U63" s="164" t="str">
        <f t="shared" si="126"/>
        <v>88.10</v>
      </c>
      <c r="V63" s="165" t="str">
        <f t="shared" si="127"/>
        <v>0.00</v>
      </c>
      <c r="W63" s="166">
        <v>0.4</v>
      </c>
      <c r="X63" s="167" t="str">
        <f t="shared" si="140"/>
        <v>76</v>
      </c>
      <c r="Y63" s="168" t="str">
        <f t="shared" si="128"/>
        <v>517.530</v>
      </c>
      <c r="Z63" s="168" t="str">
        <f t="shared" si="129"/>
        <v>47.017</v>
      </c>
      <c r="AA63" s="164" t="str">
        <f t="shared" si="130"/>
        <v>3.03</v>
      </c>
      <c r="AB63" s="164">
        <v>93.94</v>
      </c>
      <c r="AC63" s="164" t="str">
        <f t="shared" si="131"/>
        <v>4.80</v>
      </c>
      <c r="AD63" s="165" t="str">
        <f t="shared" si="132"/>
        <v>159.24</v>
      </c>
      <c r="AE63" s="23"/>
      <c r="AF63" s="169" t="str">
        <f t="shared" si="133"/>
        <v>0</v>
      </c>
      <c r="AG63" s="163" t="str">
        <f t="shared" si="134"/>
        <v>636.68</v>
      </c>
      <c r="AH63" s="170" t="str">
        <f t="shared" si="135"/>
        <v>#DIV/0!</v>
      </c>
      <c r="AI63" s="26"/>
      <c r="AJ63" s="171" t="str">
        <f t="shared" si="136"/>
        <v>0.00%</v>
      </c>
      <c r="AK63" s="172" t="str">
        <f t="shared" si="137"/>
        <v>0.00</v>
      </c>
      <c r="AL63" s="173" t="str">
        <f t="shared" si="138"/>
        <v>316.04</v>
      </c>
      <c r="AM63" s="174" t="str">
        <f t="shared" si="139"/>
        <v>224.39</v>
      </c>
    </row>
    <row r="64" ht="12.75" customHeight="1">
      <c r="A64" s="26"/>
      <c r="B64" s="190" t="s">
        <v>171</v>
      </c>
      <c r="C64" s="192">
        <v>1.99427997E8</v>
      </c>
      <c r="D64" s="152" t="s">
        <v>172</v>
      </c>
      <c r="E64" s="53" t="s">
        <v>77</v>
      </c>
      <c r="F64" s="154">
        <v>1.0</v>
      </c>
      <c r="G64" s="53"/>
      <c r="H64" s="53" t="str">
        <f t="shared" si="118"/>
        <v>0.00069</v>
      </c>
      <c r="I64" s="53" t="str">
        <f t="shared" si="119"/>
        <v>89</v>
      </c>
      <c r="J64" s="53" t="str">
        <f t="shared" si="120"/>
        <v>0</v>
      </c>
      <c r="K64" s="155" t="str">
        <f t="shared" si="121"/>
        <v>0.00</v>
      </c>
      <c r="L64" s="156" t="str">
        <f t="shared" si="122"/>
        <v>0.00 </v>
      </c>
      <c r="M64" s="132">
        <v>90.0</v>
      </c>
      <c r="N64" s="157">
        <v>0.0</v>
      </c>
      <c r="O64" s="158">
        <v>2055.6</v>
      </c>
      <c r="P64" s="159" t="str">
        <f t="shared" si="141"/>
        <v>317.28</v>
      </c>
      <c r="Q64" s="160"/>
      <c r="R64" s="161">
        <v>0.26</v>
      </c>
      <c r="S64" s="162" t="str">
        <f t="shared" si="124"/>
        <v>1,521.14</v>
      </c>
      <c r="T64" s="163" t="str">
        <f t="shared" si="125"/>
        <v>60.00</v>
      </c>
      <c r="U64" s="164" t="str">
        <f t="shared" si="126"/>
        <v>113.73</v>
      </c>
      <c r="V64" s="165" t="str">
        <f t="shared" si="127"/>
        <v>0.00</v>
      </c>
      <c r="W64" s="166">
        <v>0.27</v>
      </c>
      <c r="X64" s="167" t="str">
        <f t="shared" si="140"/>
        <v>76</v>
      </c>
      <c r="Y64" s="168" t="str">
        <f t="shared" si="128"/>
        <v>668.070</v>
      </c>
      <c r="Z64" s="168" t="str">
        <f t="shared" si="129"/>
        <v>60.694</v>
      </c>
      <c r="AA64" s="164" t="str">
        <f t="shared" si="130"/>
        <v>3.60</v>
      </c>
      <c r="AB64" s="164">
        <v>92.81</v>
      </c>
      <c r="AC64" s="164" t="str">
        <f t="shared" si="131"/>
        <v>4.80</v>
      </c>
      <c r="AD64" s="165" t="str">
        <f t="shared" si="132"/>
        <v>205.56</v>
      </c>
      <c r="AE64" s="23"/>
      <c r="AF64" s="169" t="str">
        <f t="shared" si="133"/>
        <v>0</v>
      </c>
      <c r="AG64" s="163" t="str">
        <f t="shared" si="134"/>
        <v>863.15</v>
      </c>
      <c r="AH64" s="170" t="str">
        <f t="shared" si="135"/>
        <v>#DIV/0!</v>
      </c>
      <c r="AI64" s="26"/>
      <c r="AJ64" s="171" t="str">
        <f t="shared" si="136"/>
        <v>0.00%</v>
      </c>
      <c r="AK64" s="172" t="str">
        <f t="shared" si="137"/>
        <v>0.00</v>
      </c>
      <c r="AL64" s="173" t="str">
        <f t="shared" si="138"/>
        <v>317.28</v>
      </c>
      <c r="AM64" s="174" t="str">
        <f t="shared" si="139"/>
        <v>225.27</v>
      </c>
    </row>
    <row r="65" ht="12.75" customHeight="1">
      <c r="A65" s="26"/>
      <c r="B65" s="125" t="s">
        <v>173</v>
      </c>
      <c r="C65" s="126"/>
      <c r="D65" s="127"/>
      <c r="E65" s="128"/>
      <c r="F65" s="129"/>
      <c r="G65" s="128"/>
      <c r="H65" s="197"/>
      <c r="I65" s="197"/>
      <c r="J65" s="128"/>
      <c r="K65" s="130"/>
      <c r="L65" s="131"/>
      <c r="M65" s="132"/>
      <c r="N65" s="176"/>
      <c r="O65" s="134"/>
      <c r="P65" s="135"/>
      <c r="Q65" s="135"/>
      <c r="R65" s="136"/>
      <c r="S65" s="137"/>
      <c r="T65" s="177"/>
      <c r="U65" s="178"/>
      <c r="V65" s="179"/>
      <c r="W65" s="180"/>
      <c r="X65" s="181"/>
      <c r="Y65" s="182"/>
      <c r="Z65" s="182"/>
      <c r="AA65" s="178"/>
      <c r="AB65" s="178"/>
      <c r="AC65" s="178"/>
      <c r="AD65" s="179"/>
      <c r="AE65" s="183"/>
      <c r="AF65" s="184"/>
      <c r="AG65" s="177"/>
      <c r="AH65" s="185"/>
      <c r="AI65" s="26"/>
      <c r="AJ65" s="186"/>
      <c r="AK65" s="187"/>
      <c r="AL65" s="188"/>
      <c r="AM65" s="189"/>
    </row>
    <row r="66" ht="12.75" customHeight="1">
      <c r="A66" s="26"/>
      <c r="B66" s="190" t="s">
        <v>174</v>
      </c>
      <c r="C66" s="199">
        <v>2.07479264E8</v>
      </c>
      <c r="D66" s="190" t="s">
        <v>175</v>
      </c>
      <c r="E66" s="153" t="s">
        <v>77</v>
      </c>
      <c r="F66" s="154">
        <v>1.0</v>
      </c>
      <c r="G66" s="53"/>
      <c r="H66" s="53" t="str">
        <f t="shared" ref="H66:H69" si="142">$I$2</f>
        <v>0.00069</v>
      </c>
      <c r="I66" s="53" t="str">
        <f t="shared" ref="I66:I69" si="143">$I$3</f>
        <v>89</v>
      </c>
      <c r="J66" s="53" t="str">
        <f t="shared" ref="J66:J69" si="144">G66*H66*I66*F66</f>
        <v>0</v>
      </c>
      <c r="K66" s="155" t="str">
        <f t="shared" ref="K66:K69" si="145">J66*$J$4</f>
        <v>0.00</v>
      </c>
      <c r="L66" s="156" t="str">
        <f t="shared" ref="L66:L69" si="146">K66+J66</f>
        <v>0.00 </v>
      </c>
      <c r="M66" s="132">
        <v>90.0</v>
      </c>
      <c r="N66" s="175">
        <v>219.47</v>
      </c>
      <c r="O66" s="158">
        <v>850.0</v>
      </c>
      <c r="P66" s="159" t="str">
        <f t="shared" ref="P66:P68" si="147">O66</f>
        <v>850.00</v>
      </c>
      <c r="Q66" s="160">
        <v>909.0</v>
      </c>
      <c r="R66" s="161">
        <v>0.26</v>
      </c>
      <c r="S66" s="162" t="str">
        <f t="shared" ref="S66:S69" si="148">O66-(O66*R66)</f>
        <v>629.00</v>
      </c>
      <c r="T66" s="163" t="str">
        <f t="shared" ref="T66:T69" si="149">$C$1</f>
        <v>60.00</v>
      </c>
      <c r="U66" s="164" t="str">
        <f t="shared" ref="U66:U69" si="150">(S66*7/107)+((S66-(S66*7/107))*1%)</f>
        <v>47.03</v>
      </c>
      <c r="V66" s="165" t="str">
        <f t="shared" ref="V66:V69" si="151">N66*$C$3*(M66/30)</f>
        <v>0.00</v>
      </c>
      <c r="W66" s="166">
        <v>0.29</v>
      </c>
      <c r="X66" s="167" t="str">
        <f t="shared" ref="X66:X69" si="152">((_xlfn.CEILING.MATH(W66)-1)*$C$5+$C$4)</f>
        <v>76</v>
      </c>
      <c r="Y66" s="168" t="str">
        <f t="shared" ref="Y66:Y69" si="153">O66*$Y$6</f>
        <v>276.250</v>
      </c>
      <c r="Z66" s="168" t="str">
        <f t="shared" ref="Z66:Z69" si="154">S66*$Y$7</f>
        <v>25.097</v>
      </c>
      <c r="AA66" s="164" t="str">
        <f t="shared" ref="AA66:AA69" si="155">$Y$3*((100-AB66)/100)</f>
        <v>5.50</v>
      </c>
      <c r="AB66" s="164">
        <v>89.0</v>
      </c>
      <c r="AC66" s="164" t="str">
        <f t="shared" ref="AC66:AC69" si="156">$C$6*$C$7*_xlfn.CEILING.MATH(W66)</f>
        <v>4.80</v>
      </c>
      <c r="AD66" s="165" t="str">
        <f t="shared" ref="AD66:AD69" si="157">O66*$C$2</f>
        <v>85.00</v>
      </c>
      <c r="AE66" s="23"/>
      <c r="AF66" s="169" t="str">
        <f t="shared" ref="AF66:AF69" si="158">(_xlfn.CEILING.MATH(W66))*$Y$1*$AD$2</f>
        <v>0</v>
      </c>
      <c r="AG66" s="163" t="str">
        <f t="shared" ref="AG66:AG69" si="159">O66-T66-U66-V66-X66-Y66-Z66-AA66-AC66-AD66-N66</f>
        <v>50.85</v>
      </c>
      <c r="AH66" s="170" t="str">
        <f t="shared" ref="AH66:AH69" si="160">AG66/N66</f>
        <v>23.17%</v>
      </c>
      <c r="AI66" s="26"/>
      <c r="AJ66" s="171" t="str">
        <f t="shared" ref="AJ66:AJ69" si="161">$AD$3</f>
        <v>0.00%</v>
      </c>
      <c r="AK66" s="172" t="str">
        <f t="shared" ref="AK66:AK69" si="162">N66*AJ66</f>
        <v>0.00</v>
      </c>
      <c r="AL66" s="173" t="str">
        <f t="shared" ref="AL66:AL69" si="163">(N66+T66+V66+X66+AA66+AC66+AF66+AK66)/(100%-($C$2+$C$8+$Y$6+$Y$7))</f>
        <v>803.71</v>
      </c>
      <c r="AM66" s="174" t="str">
        <f t="shared" ref="AM66:AM69" si="164">AL66-(AL66*$AD$1)</f>
        <v>570.64</v>
      </c>
    </row>
    <row r="67" ht="12.75" customHeight="1">
      <c r="A67" s="26"/>
      <c r="B67" s="190" t="s">
        <v>176</v>
      </c>
      <c r="C67" s="199">
        <v>1.90160197E8</v>
      </c>
      <c r="D67" s="152" t="s">
        <v>177</v>
      </c>
      <c r="E67" s="153" t="s">
        <v>77</v>
      </c>
      <c r="F67" s="154">
        <v>1.0</v>
      </c>
      <c r="G67" s="53"/>
      <c r="H67" s="53" t="str">
        <f t="shared" si="142"/>
        <v>0.00069</v>
      </c>
      <c r="I67" s="53" t="str">
        <f t="shared" si="143"/>
        <v>89</v>
      </c>
      <c r="J67" s="53" t="str">
        <f t="shared" si="144"/>
        <v>0</v>
      </c>
      <c r="K67" s="155" t="str">
        <f t="shared" si="145"/>
        <v>0.00</v>
      </c>
      <c r="L67" s="156" t="str">
        <f t="shared" si="146"/>
        <v>0.00 </v>
      </c>
      <c r="M67" s="132">
        <v>90.0</v>
      </c>
      <c r="N67" s="157">
        <v>234.0</v>
      </c>
      <c r="O67" s="158">
        <v>900.0</v>
      </c>
      <c r="P67" s="159" t="str">
        <f t="shared" si="147"/>
        <v>900.00</v>
      </c>
      <c r="Q67" s="160">
        <v>923.0</v>
      </c>
      <c r="R67" s="161">
        <v>0.26</v>
      </c>
      <c r="S67" s="162" t="str">
        <f t="shared" si="148"/>
        <v>666.00</v>
      </c>
      <c r="T67" s="163" t="str">
        <f t="shared" si="149"/>
        <v>60.00</v>
      </c>
      <c r="U67" s="164" t="str">
        <f t="shared" si="150"/>
        <v>49.79</v>
      </c>
      <c r="V67" s="165" t="str">
        <f t="shared" si="151"/>
        <v>0.00</v>
      </c>
      <c r="W67" s="166">
        <v>0.5</v>
      </c>
      <c r="X67" s="167" t="str">
        <f t="shared" si="152"/>
        <v>76</v>
      </c>
      <c r="Y67" s="168" t="str">
        <f t="shared" si="153"/>
        <v>292.500</v>
      </c>
      <c r="Z67" s="168" t="str">
        <f t="shared" si="154"/>
        <v>26.573</v>
      </c>
      <c r="AA67" s="164" t="str">
        <f t="shared" si="155"/>
        <v>2.06</v>
      </c>
      <c r="AB67" s="164">
        <v>95.89</v>
      </c>
      <c r="AC67" s="164" t="str">
        <f t="shared" si="156"/>
        <v>4.80</v>
      </c>
      <c r="AD67" s="165" t="str">
        <f t="shared" si="157"/>
        <v>90.00</v>
      </c>
      <c r="AE67" s="23"/>
      <c r="AF67" s="169" t="str">
        <f t="shared" si="158"/>
        <v>0</v>
      </c>
      <c r="AG67" s="163" t="str">
        <f t="shared" si="159"/>
        <v>64.28</v>
      </c>
      <c r="AH67" s="170" t="str">
        <f t="shared" si="160"/>
        <v>27.47%</v>
      </c>
      <c r="AI67" s="26"/>
      <c r="AJ67" s="171" t="str">
        <f t="shared" si="161"/>
        <v>0.00%</v>
      </c>
      <c r="AK67" s="172" t="str">
        <f t="shared" si="162"/>
        <v>0.00</v>
      </c>
      <c r="AL67" s="173" t="str">
        <f t="shared" si="163"/>
        <v>828.07</v>
      </c>
      <c r="AM67" s="174" t="str">
        <f t="shared" si="164"/>
        <v>587.93</v>
      </c>
    </row>
    <row r="68" ht="12.75" customHeight="1">
      <c r="A68" s="26"/>
      <c r="B68" s="190" t="s">
        <v>178</v>
      </c>
      <c r="C68" s="199">
        <v>2.08202076E8</v>
      </c>
      <c r="D68" s="152" t="s">
        <v>179</v>
      </c>
      <c r="E68" s="153" t="s">
        <v>77</v>
      </c>
      <c r="F68" s="154">
        <v>1.0</v>
      </c>
      <c r="G68" s="53"/>
      <c r="H68" s="53" t="str">
        <f t="shared" si="142"/>
        <v>0.00069</v>
      </c>
      <c r="I68" s="53" t="str">
        <f t="shared" si="143"/>
        <v>89</v>
      </c>
      <c r="J68" s="53" t="str">
        <f t="shared" si="144"/>
        <v>0</v>
      </c>
      <c r="K68" s="155" t="str">
        <f t="shared" si="145"/>
        <v>0.00</v>
      </c>
      <c r="L68" s="156" t="str">
        <f t="shared" si="146"/>
        <v>0.00 </v>
      </c>
      <c r="M68" s="132">
        <v>90.0</v>
      </c>
      <c r="N68" s="157">
        <v>142.13</v>
      </c>
      <c r="O68" s="158">
        <v>660.0</v>
      </c>
      <c r="P68" s="159" t="str">
        <f t="shared" si="147"/>
        <v>660.00</v>
      </c>
      <c r="Q68" s="160">
        <v>524.0</v>
      </c>
      <c r="R68" s="161">
        <v>0.26</v>
      </c>
      <c r="S68" s="162" t="str">
        <f t="shared" si="148"/>
        <v>488.40</v>
      </c>
      <c r="T68" s="163" t="str">
        <f t="shared" si="149"/>
        <v>60.00</v>
      </c>
      <c r="U68" s="164" t="str">
        <f t="shared" si="150"/>
        <v>36.52</v>
      </c>
      <c r="V68" s="165" t="str">
        <f t="shared" si="151"/>
        <v>0.00</v>
      </c>
      <c r="W68" s="166">
        <v>0.29</v>
      </c>
      <c r="X68" s="167" t="str">
        <f t="shared" si="152"/>
        <v>76</v>
      </c>
      <c r="Y68" s="168" t="str">
        <f t="shared" si="153"/>
        <v>214.500</v>
      </c>
      <c r="Z68" s="168" t="str">
        <f t="shared" si="154"/>
        <v>19.487</v>
      </c>
      <c r="AA68" s="164" t="str">
        <f t="shared" si="155"/>
        <v>2.05</v>
      </c>
      <c r="AB68" s="164">
        <v>95.9</v>
      </c>
      <c r="AC68" s="164" t="str">
        <f t="shared" si="156"/>
        <v>4.80</v>
      </c>
      <c r="AD68" s="165" t="str">
        <f t="shared" si="157"/>
        <v>66.00</v>
      </c>
      <c r="AE68" s="23"/>
      <c r="AF68" s="169" t="str">
        <f t="shared" si="158"/>
        <v>0</v>
      </c>
      <c r="AG68" s="163" t="str">
        <f t="shared" si="159"/>
        <v>38.52</v>
      </c>
      <c r="AH68" s="200" t="str">
        <f t="shared" si="160"/>
        <v>27.10%</v>
      </c>
      <c r="AI68" s="26"/>
      <c r="AJ68" s="171" t="str">
        <f t="shared" si="161"/>
        <v>0.00%</v>
      </c>
      <c r="AK68" s="172" t="str">
        <f t="shared" si="162"/>
        <v>0.00</v>
      </c>
      <c r="AL68" s="173" t="str">
        <f t="shared" si="163"/>
        <v>626.19</v>
      </c>
      <c r="AM68" s="174" t="str">
        <f t="shared" si="164"/>
        <v>444.60</v>
      </c>
    </row>
    <row r="69" ht="12.75" customHeight="1">
      <c r="A69" s="26"/>
      <c r="B69" s="190" t="s">
        <v>180</v>
      </c>
      <c r="C69" s="192">
        <v>2.07480081E8</v>
      </c>
      <c r="D69" s="152" t="s">
        <v>181</v>
      </c>
      <c r="E69" s="53" t="s">
        <v>77</v>
      </c>
      <c r="F69" s="154">
        <v>1.0</v>
      </c>
      <c r="G69" s="53"/>
      <c r="H69" s="53" t="str">
        <f t="shared" si="142"/>
        <v>0.00069</v>
      </c>
      <c r="I69" s="53" t="str">
        <f t="shared" si="143"/>
        <v>89</v>
      </c>
      <c r="J69" s="53" t="str">
        <f t="shared" si="144"/>
        <v>0</v>
      </c>
      <c r="K69" s="155" t="str">
        <f t="shared" si="145"/>
        <v>0.00</v>
      </c>
      <c r="L69" s="156" t="str">
        <f t="shared" si="146"/>
        <v>0.00 </v>
      </c>
      <c r="M69" s="132">
        <v>90.0</v>
      </c>
      <c r="N69" s="157">
        <v>0.0</v>
      </c>
      <c r="O69" s="158">
        <v>736.2</v>
      </c>
      <c r="P69" s="159" t="str">
        <f>AL69</f>
        <v>316.12</v>
      </c>
      <c r="Q69" s="160"/>
      <c r="R69" s="161">
        <v>0.26</v>
      </c>
      <c r="S69" s="162" t="str">
        <f t="shared" si="148"/>
        <v>544.79</v>
      </c>
      <c r="T69" s="163" t="str">
        <f t="shared" si="149"/>
        <v>60.00</v>
      </c>
      <c r="U69" s="164" t="str">
        <f t="shared" si="150"/>
        <v>40.73</v>
      </c>
      <c r="V69" s="165" t="str">
        <f t="shared" si="151"/>
        <v>0.00</v>
      </c>
      <c r="W69" s="166">
        <v>0.48</v>
      </c>
      <c r="X69" s="167" t="str">
        <f t="shared" si="152"/>
        <v>76</v>
      </c>
      <c r="Y69" s="168" t="str">
        <f t="shared" si="153"/>
        <v>239.265</v>
      </c>
      <c r="Z69" s="168" t="str">
        <f t="shared" si="154"/>
        <v>21.737</v>
      </c>
      <c r="AA69" s="164" t="str">
        <f t="shared" si="155"/>
        <v>3.07</v>
      </c>
      <c r="AB69" s="164">
        <v>93.87</v>
      </c>
      <c r="AC69" s="164" t="str">
        <f t="shared" si="156"/>
        <v>4.80</v>
      </c>
      <c r="AD69" s="165" t="str">
        <f t="shared" si="157"/>
        <v>73.62</v>
      </c>
      <c r="AE69" s="23"/>
      <c r="AF69" s="169" t="str">
        <f t="shared" si="158"/>
        <v>0</v>
      </c>
      <c r="AG69" s="163" t="str">
        <f t="shared" si="159"/>
        <v>216.98</v>
      </c>
      <c r="AH69" s="170" t="str">
        <f t="shared" si="160"/>
        <v>#DIV/0!</v>
      </c>
      <c r="AI69" s="26"/>
      <c r="AJ69" s="171" t="str">
        <f t="shared" si="161"/>
        <v>0.00%</v>
      </c>
      <c r="AK69" s="172" t="str">
        <f t="shared" si="162"/>
        <v>0.00</v>
      </c>
      <c r="AL69" s="173" t="str">
        <f t="shared" si="163"/>
        <v>316.12</v>
      </c>
      <c r="AM69" s="174" t="str">
        <f t="shared" si="164"/>
        <v>224.44</v>
      </c>
    </row>
    <row r="70" ht="12.75" customHeight="1">
      <c r="A70" s="26"/>
      <c r="B70" s="125" t="s">
        <v>182</v>
      </c>
      <c r="C70" s="126"/>
      <c r="D70" s="127"/>
      <c r="E70" s="128"/>
      <c r="F70" s="128"/>
      <c r="G70" s="128"/>
      <c r="H70" s="197"/>
      <c r="I70" s="197"/>
      <c r="J70" s="128"/>
      <c r="K70" s="130"/>
      <c r="L70" s="131"/>
      <c r="M70" s="132"/>
      <c r="N70" s="176"/>
      <c r="O70" s="134"/>
      <c r="P70" s="135"/>
      <c r="Q70" s="135"/>
      <c r="R70" s="136"/>
      <c r="S70" s="137"/>
      <c r="T70" s="177"/>
      <c r="U70" s="178"/>
      <c r="V70" s="179"/>
      <c r="W70" s="180"/>
      <c r="X70" s="181"/>
      <c r="Y70" s="182"/>
      <c r="Z70" s="182"/>
      <c r="AA70" s="178"/>
      <c r="AB70" s="178"/>
      <c r="AC70" s="178"/>
      <c r="AD70" s="179"/>
      <c r="AE70" s="183"/>
      <c r="AF70" s="184"/>
      <c r="AG70" s="177"/>
      <c r="AH70" s="185"/>
      <c r="AI70" s="26"/>
      <c r="AJ70" s="186"/>
      <c r="AK70" s="187"/>
      <c r="AL70" s="188"/>
      <c r="AM70" s="189"/>
    </row>
    <row r="71" ht="12.75" customHeight="1">
      <c r="A71" s="26"/>
      <c r="B71" s="190"/>
      <c r="C71" s="199">
        <v>1.90159348E8</v>
      </c>
      <c r="D71" s="152" t="s">
        <v>183</v>
      </c>
      <c r="E71" s="153" t="s">
        <v>77</v>
      </c>
      <c r="F71" s="154">
        <v>1.0</v>
      </c>
      <c r="G71" s="53"/>
      <c r="H71" s="53" t="str">
        <f t="shared" ref="H71:H85" si="165">$I$2</f>
        <v>0.00069</v>
      </c>
      <c r="I71" s="53" t="str">
        <f t="shared" ref="I71:I85" si="166">$I$3</f>
        <v>89</v>
      </c>
      <c r="J71" s="53" t="str">
        <f t="shared" ref="J71:J85" si="167">G71*H71*I71*F71</f>
        <v>0</v>
      </c>
      <c r="K71" s="155" t="str">
        <f t="shared" ref="K71:K85" si="168">J71*$J$4</f>
        <v>0.00</v>
      </c>
      <c r="L71" s="156" t="str">
        <f t="shared" ref="L71:L85" si="169">K71+J71</f>
        <v>0.00 </v>
      </c>
      <c r="M71" s="132">
        <v>90.0</v>
      </c>
      <c r="N71" s="157">
        <v>283.36</v>
      </c>
      <c r="O71" s="158">
        <v>990.0</v>
      </c>
      <c r="P71" s="159" t="str">
        <f t="shared" ref="P71:P78" si="170">O71</f>
        <v>990.00</v>
      </c>
      <c r="Q71" s="160">
        <v>689.0</v>
      </c>
      <c r="R71" s="161">
        <v>0.26</v>
      </c>
      <c r="S71" s="162" t="str">
        <f t="shared" ref="S71:S86" si="171">O71-(O71*R71)</f>
        <v>732.60</v>
      </c>
      <c r="T71" s="163" t="str">
        <f t="shared" ref="T71:T86" si="172">$C$1</f>
        <v>60.00</v>
      </c>
      <c r="U71" s="164" t="str">
        <f t="shared" ref="U71:U86" si="173">(S71*7/107)+((S71-(S71*7/107))*1%)</f>
        <v>54.77</v>
      </c>
      <c r="V71" s="165" t="str">
        <f t="shared" ref="V71:V86" si="174">N71*$C$3*(M71/30)</f>
        <v>0.00</v>
      </c>
      <c r="W71" s="166">
        <v>0.35</v>
      </c>
      <c r="X71" s="167" t="str">
        <f t="shared" ref="X71:X76" si="175">((_xlfn.CEILING.MATH(W71)-1)*$C$5+$C$4)</f>
        <v>76</v>
      </c>
      <c r="Y71" s="168" t="str">
        <f t="shared" ref="Y71:Y86" si="176">O71*$Y$6</f>
        <v>321.750</v>
      </c>
      <c r="Z71" s="168" t="str">
        <f t="shared" ref="Z71:Z86" si="177">S71*$Y$7</f>
        <v>29.231</v>
      </c>
      <c r="AA71" s="164" t="str">
        <f t="shared" ref="AA71:AA86" si="178">$Y$3*((100-AB71)/100)</f>
        <v>2.85</v>
      </c>
      <c r="AB71" s="164">
        <v>94.31</v>
      </c>
      <c r="AC71" s="164" t="str">
        <f t="shared" ref="AC71:AC86" si="179">$C$6*$C$7*_xlfn.CEILING.MATH(W71)</f>
        <v>4.80</v>
      </c>
      <c r="AD71" s="165" t="str">
        <f t="shared" ref="AD71:AD86" si="180">O71*$C$2</f>
        <v>99.00</v>
      </c>
      <c r="AE71" s="23"/>
      <c r="AF71" s="169" t="str">
        <f t="shared" ref="AF71:AF86" si="181">(_xlfn.CEILING.MATH(W71))*$Y$1*$AD$2</f>
        <v>0</v>
      </c>
      <c r="AG71" s="163" t="str">
        <f t="shared" ref="AG71:AG86" si="182">O71-T71-U71-V71-X71-Y71-Z71-AA71-AC71-AD71-N71</f>
        <v>58.24</v>
      </c>
      <c r="AH71" s="170" t="str">
        <f t="shared" ref="AH71:AH86" si="183">AG71/N71</f>
        <v>20.55%</v>
      </c>
      <c r="AI71" s="26"/>
      <c r="AJ71" s="171" t="str">
        <f t="shared" ref="AJ71:AJ85" si="184">$AD$3</f>
        <v>0.00%</v>
      </c>
      <c r="AK71" s="172" t="str">
        <f t="shared" ref="AK71:AK85" si="185">N71*AJ71</f>
        <v>0.00</v>
      </c>
      <c r="AL71" s="173" t="str">
        <f t="shared" ref="AL71:AL85" si="186">(N71+T71+V71+X71+AA71+AC71+AF71+AK71)/(100%-($C$2+$C$8+$Y$6+$Y$7))</f>
        <v>938.27</v>
      </c>
      <c r="AM71" s="174" t="str">
        <f t="shared" ref="AM71:AM85" si="187">AL71-(AL71*$AD$1)</f>
        <v>666.17</v>
      </c>
    </row>
    <row r="72" ht="12.75" customHeight="1">
      <c r="A72" s="26"/>
      <c r="B72" s="190"/>
      <c r="C72" s="199">
        <v>2.07796563E8</v>
      </c>
      <c r="D72" s="152" t="s">
        <v>184</v>
      </c>
      <c r="E72" s="153" t="s">
        <v>77</v>
      </c>
      <c r="F72" s="154">
        <v>1.0</v>
      </c>
      <c r="G72" s="53"/>
      <c r="H72" s="53" t="str">
        <f t="shared" si="165"/>
        <v>0.00069</v>
      </c>
      <c r="I72" s="53" t="str">
        <f t="shared" si="166"/>
        <v>89</v>
      </c>
      <c r="J72" s="53" t="str">
        <f t="shared" si="167"/>
        <v>0</v>
      </c>
      <c r="K72" s="155" t="str">
        <f t="shared" si="168"/>
        <v>0.00</v>
      </c>
      <c r="L72" s="156" t="str">
        <f t="shared" si="169"/>
        <v>0.00 </v>
      </c>
      <c r="M72" s="132">
        <v>90.0</v>
      </c>
      <c r="N72" s="157">
        <v>281.34</v>
      </c>
      <c r="O72" s="158">
        <v>1000.0</v>
      </c>
      <c r="P72" s="159" t="str">
        <f t="shared" si="170"/>
        <v>1,000.00</v>
      </c>
      <c r="Q72" s="160">
        <v>811.0</v>
      </c>
      <c r="R72" s="161">
        <v>0.26</v>
      </c>
      <c r="S72" s="162" t="str">
        <f t="shared" si="171"/>
        <v>740.00</v>
      </c>
      <c r="T72" s="163" t="str">
        <f t="shared" si="172"/>
        <v>60.00</v>
      </c>
      <c r="U72" s="164" t="str">
        <f t="shared" si="173"/>
        <v>55.33</v>
      </c>
      <c r="V72" s="165" t="str">
        <f t="shared" si="174"/>
        <v>0.00</v>
      </c>
      <c r="W72" s="166">
        <v>0.25</v>
      </c>
      <c r="X72" s="167" t="str">
        <f t="shared" si="175"/>
        <v>76</v>
      </c>
      <c r="Y72" s="168" t="str">
        <f t="shared" si="176"/>
        <v>325.000</v>
      </c>
      <c r="Z72" s="168" t="str">
        <f t="shared" si="177"/>
        <v>29.526</v>
      </c>
      <c r="AA72" s="164" t="str">
        <f t="shared" si="178"/>
        <v>3.64</v>
      </c>
      <c r="AB72" s="164">
        <v>92.73</v>
      </c>
      <c r="AC72" s="164" t="str">
        <f t="shared" si="179"/>
        <v>4.80</v>
      </c>
      <c r="AD72" s="165" t="str">
        <f t="shared" si="180"/>
        <v>100.00</v>
      </c>
      <c r="AE72" s="23"/>
      <c r="AF72" s="169" t="str">
        <f t="shared" si="181"/>
        <v>0</v>
      </c>
      <c r="AG72" s="163" t="str">
        <f t="shared" si="182"/>
        <v>64.37</v>
      </c>
      <c r="AH72" s="170" t="str">
        <f t="shared" si="183"/>
        <v>22.88%</v>
      </c>
      <c r="AI72" s="26"/>
      <c r="AJ72" s="171" t="str">
        <f t="shared" si="184"/>
        <v>0.00%</v>
      </c>
      <c r="AK72" s="172" t="str">
        <f t="shared" si="185"/>
        <v>0.00</v>
      </c>
      <c r="AL72" s="173" t="str">
        <f t="shared" si="186"/>
        <v>935.56</v>
      </c>
      <c r="AM72" s="174" t="str">
        <f t="shared" si="187"/>
        <v>664.25</v>
      </c>
    </row>
    <row r="73" ht="12.75" customHeight="1">
      <c r="A73" s="26"/>
      <c r="B73" s="190"/>
      <c r="C73" s="199">
        <v>2.0779635E8</v>
      </c>
      <c r="D73" s="152" t="s">
        <v>185</v>
      </c>
      <c r="E73" s="153" t="s">
        <v>77</v>
      </c>
      <c r="F73" s="154">
        <v>1.0</v>
      </c>
      <c r="G73" s="53"/>
      <c r="H73" s="53" t="str">
        <f t="shared" si="165"/>
        <v>0.00069</v>
      </c>
      <c r="I73" s="53" t="str">
        <f t="shared" si="166"/>
        <v>89</v>
      </c>
      <c r="J73" s="53" t="str">
        <f t="shared" si="167"/>
        <v>0</v>
      </c>
      <c r="K73" s="155" t="str">
        <f t="shared" si="168"/>
        <v>0.00</v>
      </c>
      <c r="L73" s="156" t="str">
        <f t="shared" si="169"/>
        <v>0.00 </v>
      </c>
      <c r="M73" s="132">
        <v>90.0</v>
      </c>
      <c r="N73" s="157">
        <v>242.23</v>
      </c>
      <c r="O73" s="158">
        <v>890.4</v>
      </c>
      <c r="P73" s="159" t="str">
        <f t="shared" si="170"/>
        <v>890.40</v>
      </c>
      <c r="Q73" s="160">
        <v>814.0</v>
      </c>
      <c r="R73" s="161">
        <v>0.26</v>
      </c>
      <c r="S73" s="162" t="str">
        <f t="shared" si="171"/>
        <v>658.90</v>
      </c>
      <c r="T73" s="163" t="str">
        <f t="shared" si="172"/>
        <v>60.00</v>
      </c>
      <c r="U73" s="164" t="str">
        <f t="shared" si="173"/>
        <v>49.26</v>
      </c>
      <c r="V73" s="165" t="str">
        <f t="shared" si="174"/>
        <v>0.00</v>
      </c>
      <c r="W73" s="166">
        <v>0.46</v>
      </c>
      <c r="X73" s="167" t="str">
        <f t="shared" si="175"/>
        <v>76</v>
      </c>
      <c r="Y73" s="168" t="str">
        <f t="shared" si="176"/>
        <v>289.380</v>
      </c>
      <c r="Z73" s="168" t="str">
        <f t="shared" si="177"/>
        <v>26.290</v>
      </c>
      <c r="AA73" s="164" t="str">
        <f t="shared" si="178"/>
        <v>2.44</v>
      </c>
      <c r="AB73" s="164">
        <v>95.12</v>
      </c>
      <c r="AC73" s="164" t="str">
        <f t="shared" si="179"/>
        <v>4.80</v>
      </c>
      <c r="AD73" s="165" t="str">
        <f t="shared" si="180"/>
        <v>89.04</v>
      </c>
      <c r="AE73" s="23"/>
      <c r="AF73" s="169" t="str">
        <f t="shared" si="181"/>
        <v>0</v>
      </c>
      <c r="AG73" s="163" t="str">
        <f t="shared" si="182"/>
        <v>50.96</v>
      </c>
      <c r="AH73" s="170" t="str">
        <f t="shared" si="183"/>
        <v>21.04%</v>
      </c>
      <c r="AI73" s="26"/>
      <c r="AJ73" s="171" t="str">
        <f t="shared" si="184"/>
        <v>0.00%</v>
      </c>
      <c r="AK73" s="172" t="str">
        <f t="shared" si="185"/>
        <v>0.00</v>
      </c>
      <c r="AL73" s="173" t="str">
        <f t="shared" si="186"/>
        <v>847.00</v>
      </c>
      <c r="AM73" s="174" t="str">
        <f t="shared" si="187"/>
        <v>601.37</v>
      </c>
    </row>
    <row r="74" ht="12.75" customHeight="1">
      <c r="A74" s="26"/>
      <c r="B74" s="190"/>
      <c r="C74" s="199">
        <v>2.06057411E8</v>
      </c>
      <c r="D74" s="152" t="s">
        <v>186</v>
      </c>
      <c r="E74" s="153" t="s">
        <v>77</v>
      </c>
      <c r="F74" s="154">
        <v>1.0</v>
      </c>
      <c r="G74" s="53"/>
      <c r="H74" s="53" t="str">
        <f t="shared" si="165"/>
        <v>0.00069</v>
      </c>
      <c r="I74" s="53" t="str">
        <f t="shared" si="166"/>
        <v>89</v>
      </c>
      <c r="J74" s="53" t="str">
        <f t="shared" si="167"/>
        <v>0</v>
      </c>
      <c r="K74" s="155" t="str">
        <f t="shared" si="168"/>
        <v>0.00</v>
      </c>
      <c r="L74" s="156" t="str">
        <f t="shared" si="169"/>
        <v>0.00 </v>
      </c>
      <c r="M74" s="132">
        <v>90.0</v>
      </c>
      <c r="N74" s="175">
        <v>328.19</v>
      </c>
      <c r="O74" s="158">
        <v>1100.0</v>
      </c>
      <c r="P74" s="159" t="str">
        <f t="shared" si="170"/>
        <v>1,100.00</v>
      </c>
      <c r="Q74" s="160">
        <v>859.0</v>
      </c>
      <c r="R74" s="161">
        <v>0.26</v>
      </c>
      <c r="S74" s="162" t="str">
        <f t="shared" si="171"/>
        <v>814.00</v>
      </c>
      <c r="T74" s="163" t="str">
        <f t="shared" si="172"/>
        <v>60.00</v>
      </c>
      <c r="U74" s="164" t="str">
        <f t="shared" si="173"/>
        <v>60.86</v>
      </c>
      <c r="V74" s="165" t="str">
        <f t="shared" si="174"/>
        <v>0.00</v>
      </c>
      <c r="W74" s="166">
        <v>0.38</v>
      </c>
      <c r="X74" s="167" t="str">
        <f t="shared" si="175"/>
        <v>76</v>
      </c>
      <c r="Y74" s="168" t="str">
        <f t="shared" si="176"/>
        <v>357.500</v>
      </c>
      <c r="Z74" s="168" t="str">
        <f t="shared" si="177"/>
        <v>32.479</v>
      </c>
      <c r="AA74" s="164" t="str">
        <f t="shared" si="178"/>
        <v>3.23</v>
      </c>
      <c r="AB74" s="164">
        <v>93.55</v>
      </c>
      <c r="AC74" s="164" t="str">
        <f t="shared" si="179"/>
        <v>4.80</v>
      </c>
      <c r="AD74" s="165" t="str">
        <f t="shared" si="180"/>
        <v>110.00</v>
      </c>
      <c r="AE74" s="23"/>
      <c r="AF74" s="169" t="str">
        <f t="shared" si="181"/>
        <v>0</v>
      </c>
      <c r="AG74" s="163" t="str">
        <f t="shared" si="182"/>
        <v>66.95</v>
      </c>
      <c r="AH74" s="170" t="str">
        <f t="shared" si="183"/>
        <v>20.40%</v>
      </c>
      <c r="AI74" s="26"/>
      <c r="AJ74" s="171" t="str">
        <f t="shared" si="184"/>
        <v>0.00%</v>
      </c>
      <c r="AK74" s="172" t="str">
        <f t="shared" si="185"/>
        <v>0.00</v>
      </c>
      <c r="AL74" s="173" t="str">
        <f t="shared" si="186"/>
        <v>1,037.61</v>
      </c>
      <c r="AM74" s="174" t="str">
        <f t="shared" si="187"/>
        <v>736.70</v>
      </c>
    </row>
    <row r="75" ht="12.75" customHeight="1">
      <c r="A75" s="26"/>
      <c r="B75" s="190"/>
      <c r="C75" s="199">
        <v>1.54163936E8</v>
      </c>
      <c r="D75" s="152" t="s">
        <v>187</v>
      </c>
      <c r="E75" s="153" t="s">
        <v>77</v>
      </c>
      <c r="F75" s="154">
        <v>1.0</v>
      </c>
      <c r="G75" s="53"/>
      <c r="H75" s="53" t="str">
        <f t="shared" si="165"/>
        <v>0.00069</v>
      </c>
      <c r="I75" s="53" t="str">
        <f t="shared" si="166"/>
        <v>89</v>
      </c>
      <c r="J75" s="53" t="str">
        <f t="shared" si="167"/>
        <v>0</v>
      </c>
      <c r="K75" s="155" t="str">
        <f t="shared" si="168"/>
        <v>0.00</v>
      </c>
      <c r="L75" s="156" t="str">
        <f t="shared" si="169"/>
        <v>0.00 </v>
      </c>
      <c r="M75" s="132">
        <v>90.0</v>
      </c>
      <c r="N75" s="157">
        <v>378.77</v>
      </c>
      <c r="O75" s="158">
        <v>1260.0</v>
      </c>
      <c r="P75" s="159" t="str">
        <f t="shared" si="170"/>
        <v>1,260.00</v>
      </c>
      <c r="Q75" s="160">
        <v>900.0</v>
      </c>
      <c r="R75" s="161">
        <v>0.26</v>
      </c>
      <c r="S75" s="162" t="str">
        <f t="shared" si="171"/>
        <v>932.40</v>
      </c>
      <c r="T75" s="163" t="str">
        <f t="shared" si="172"/>
        <v>60.00</v>
      </c>
      <c r="U75" s="164" t="str">
        <f t="shared" si="173"/>
        <v>69.71</v>
      </c>
      <c r="V75" s="165" t="str">
        <f t="shared" si="174"/>
        <v>0.00</v>
      </c>
      <c r="W75" s="166">
        <v>0.3</v>
      </c>
      <c r="X75" s="167" t="str">
        <f t="shared" si="175"/>
        <v>76</v>
      </c>
      <c r="Y75" s="168" t="str">
        <f t="shared" si="176"/>
        <v>409.500</v>
      </c>
      <c r="Z75" s="168" t="str">
        <f t="shared" si="177"/>
        <v>37.203</v>
      </c>
      <c r="AA75" s="164" t="str">
        <f t="shared" si="178"/>
        <v>3.77</v>
      </c>
      <c r="AB75" s="164">
        <v>92.46</v>
      </c>
      <c r="AC75" s="164" t="str">
        <f t="shared" si="179"/>
        <v>4.80</v>
      </c>
      <c r="AD75" s="165" t="str">
        <f t="shared" si="180"/>
        <v>126.00</v>
      </c>
      <c r="AE75" s="23"/>
      <c r="AF75" s="169" t="str">
        <f t="shared" si="181"/>
        <v>0</v>
      </c>
      <c r="AG75" s="163" t="str">
        <f t="shared" si="182"/>
        <v>94.25</v>
      </c>
      <c r="AH75" s="170" t="str">
        <f t="shared" si="183"/>
        <v>24.88%</v>
      </c>
      <c r="AI75" s="26"/>
      <c r="AJ75" s="171" t="str">
        <f t="shared" si="184"/>
        <v>0.00%</v>
      </c>
      <c r="AK75" s="172" t="str">
        <f t="shared" si="185"/>
        <v>0.00</v>
      </c>
      <c r="AL75" s="173" t="str">
        <f t="shared" si="186"/>
        <v>1,149.95</v>
      </c>
      <c r="AM75" s="174" t="str">
        <f t="shared" si="187"/>
        <v>816.46</v>
      </c>
    </row>
    <row r="76" ht="12.75" customHeight="1">
      <c r="A76" s="26"/>
      <c r="B76" s="190"/>
      <c r="C76" s="199">
        <v>1.90160008E8</v>
      </c>
      <c r="D76" s="152" t="s">
        <v>188</v>
      </c>
      <c r="E76" s="153" t="s">
        <v>77</v>
      </c>
      <c r="F76" s="154">
        <v>1.0</v>
      </c>
      <c r="G76" s="53"/>
      <c r="H76" s="53" t="str">
        <f t="shared" si="165"/>
        <v>0.00069</v>
      </c>
      <c r="I76" s="53" t="str">
        <f t="shared" si="166"/>
        <v>89</v>
      </c>
      <c r="J76" s="53" t="str">
        <f t="shared" si="167"/>
        <v>0</v>
      </c>
      <c r="K76" s="155" t="str">
        <f t="shared" si="168"/>
        <v>0.00</v>
      </c>
      <c r="L76" s="156" t="str">
        <f t="shared" si="169"/>
        <v>0.00 </v>
      </c>
      <c r="M76" s="132">
        <v>90.0</v>
      </c>
      <c r="N76" s="157">
        <v>602.18</v>
      </c>
      <c r="O76" s="158">
        <v>1800.0</v>
      </c>
      <c r="P76" s="159" t="str">
        <f t="shared" si="170"/>
        <v>1,800.00</v>
      </c>
      <c r="Q76" s="160">
        <v>1023.0</v>
      </c>
      <c r="R76" s="161">
        <v>0.26</v>
      </c>
      <c r="S76" s="162" t="str">
        <f t="shared" si="171"/>
        <v>1,332.00</v>
      </c>
      <c r="T76" s="163" t="str">
        <f t="shared" si="172"/>
        <v>60.00</v>
      </c>
      <c r="U76" s="164" t="str">
        <f t="shared" si="173"/>
        <v>99.59</v>
      </c>
      <c r="V76" s="165" t="str">
        <f t="shared" si="174"/>
        <v>0.00</v>
      </c>
      <c r="W76" s="166">
        <v>0.58</v>
      </c>
      <c r="X76" s="167" t="str">
        <f t="shared" si="175"/>
        <v>76</v>
      </c>
      <c r="Y76" s="168" t="str">
        <f t="shared" si="176"/>
        <v>585.000</v>
      </c>
      <c r="Z76" s="168" t="str">
        <f t="shared" si="177"/>
        <v>53.147</v>
      </c>
      <c r="AA76" s="164" t="str">
        <f t="shared" si="178"/>
        <v>3.18</v>
      </c>
      <c r="AB76" s="164">
        <v>93.64</v>
      </c>
      <c r="AC76" s="164" t="str">
        <f t="shared" si="179"/>
        <v>4.80</v>
      </c>
      <c r="AD76" s="165" t="str">
        <f t="shared" si="180"/>
        <v>180.00</v>
      </c>
      <c r="AE76" s="23"/>
      <c r="AF76" s="169" t="str">
        <f t="shared" si="181"/>
        <v>0</v>
      </c>
      <c r="AG76" s="163" t="str">
        <f t="shared" si="182"/>
        <v>136.10</v>
      </c>
      <c r="AH76" s="170" t="str">
        <f t="shared" si="183"/>
        <v>22.60%</v>
      </c>
      <c r="AI76" s="26"/>
      <c r="AJ76" s="171" t="str">
        <f t="shared" si="184"/>
        <v>0.00%</v>
      </c>
      <c r="AK76" s="172" t="str">
        <f t="shared" si="185"/>
        <v>0.00</v>
      </c>
      <c r="AL76" s="173" t="str">
        <f t="shared" si="186"/>
        <v>1,639.55</v>
      </c>
      <c r="AM76" s="174" t="str">
        <f t="shared" si="187"/>
        <v>1,164.08</v>
      </c>
    </row>
    <row r="77" ht="12.75" customHeight="1">
      <c r="A77" s="26"/>
      <c r="B77" s="190"/>
      <c r="C77" s="199">
        <v>2.07796439E8</v>
      </c>
      <c r="D77" s="152" t="s">
        <v>189</v>
      </c>
      <c r="E77" s="153" t="s">
        <v>77</v>
      </c>
      <c r="F77" s="154">
        <v>1.0</v>
      </c>
      <c r="G77" s="53"/>
      <c r="H77" s="53" t="str">
        <f t="shared" si="165"/>
        <v>0.00069</v>
      </c>
      <c r="I77" s="53" t="str">
        <f t="shared" si="166"/>
        <v>89</v>
      </c>
      <c r="J77" s="53" t="str">
        <f t="shared" si="167"/>
        <v>0</v>
      </c>
      <c r="K77" s="155" t="str">
        <f t="shared" si="168"/>
        <v>0.00</v>
      </c>
      <c r="L77" s="156" t="str">
        <f t="shared" si="169"/>
        <v>0.00 </v>
      </c>
      <c r="M77" s="132">
        <v>90.0</v>
      </c>
      <c r="N77" s="157">
        <v>671.73</v>
      </c>
      <c r="O77" s="158">
        <v>2000.0</v>
      </c>
      <c r="P77" s="159" t="str">
        <f t="shared" si="170"/>
        <v>2,000.00</v>
      </c>
      <c r="Q77" s="160">
        <v>1349.0</v>
      </c>
      <c r="R77" s="161">
        <v>0.26</v>
      </c>
      <c r="S77" s="162" t="str">
        <f t="shared" si="171"/>
        <v>1,480.00</v>
      </c>
      <c r="T77" s="163" t="str">
        <f t="shared" si="172"/>
        <v>60.00</v>
      </c>
      <c r="U77" s="164" t="str">
        <f t="shared" si="173"/>
        <v>110.65</v>
      </c>
      <c r="V77" s="165" t="str">
        <f t="shared" si="174"/>
        <v>0.00</v>
      </c>
      <c r="W77" s="166">
        <v>0.98</v>
      </c>
      <c r="X77" s="167">
        <v>91.0</v>
      </c>
      <c r="Y77" s="168" t="str">
        <f t="shared" si="176"/>
        <v>650.000</v>
      </c>
      <c r="Z77" s="168" t="str">
        <f t="shared" si="177"/>
        <v>59.052</v>
      </c>
      <c r="AA77" s="164" t="str">
        <f t="shared" si="178"/>
        <v>0.00</v>
      </c>
      <c r="AB77" s="164">
        <v>100.0</v>
      </c>
      <c r="AC77" s="164" t="str">
        <f t="shared" si="179"/>
        <v>4.80</v>
      </c>
      <c r="AD77" s="165" t="str">
        <f t="shared" si="180"/>
        <v>200.00</v>
      </c>
      <c r="AE77" s="23"/>
      <c r="AF77" s="169" t="str">
        <f t="shared" si="181"/>
        <v>0</v>
      </c>
      <c r="AG77" s="163" t="str">
        <f t="shared" si="182"/>
        <v>152.76</v>
      </c>
      <c r="AH77" s="170" t="str">
        <f t="shared" si="183"/>
        <v>22.74%</v>
      </c>
      <c r="AI77" s="26"/>
      <c r="AJ77" s="171" t="str">
        <f t="shared" si="184"/>
        <v>0.00%</v>
      </c>
      <c r="AK77" s="172" t="str">
        <f t="shared" si="185"/>
        <v>0.00</v>
      </c>
      <c r="AL77" s="173" t="str">
        <f t="shared" si="186"/>
        <v>1,818.35</v>
      </c>
      <c r="AM77" s="174" t="str">
        <f t="shared" si="187"/>
        <v>1,291.03</v>
      </c>
    </row>
    <row r="78" ht="12.75" customHeight="1">
      <c r="A78" s="26"/>
      <c r="B78" s="190"/>
      <c r="C78" s="201">
        <v>1.51298064E8</v>
      </c>
      <c r="D78" s="152" t="s">
        <v>190</v>
      </c>
      <c r="E78" s="153" t="s">
        <v>77</v>
      </c>
      <c r="F78" s="154">
        <v>1.0</v>
      </c>
      <c r="G78" s="53"/>
      <c r="H78" s="53" t="str">
        <f t="shared" si="165"/>
        <v>0.00069</v>
      </c>
      <c r="I78" s="53" t="str">
        <f t="shared" si="166"/>
        <v>89</v>
      </c>
      <c r="J78" s="53" t="str">
        <f t="shared" si="167"/>
        <v>0</v>
      </c>
      <c r="K78" s="155" t="str">
        <f t="shared" si="168"/>
        <v>0.00</v>
      </c>
      <c r="L78" s="156" t="str">
        <f t="shared" si="169"/>
        <v>0.00 </v>
      </c>
      <c r="M78" s="132">
        <v>90.0</v>
      </c>
      <c r="N78" s="157">
        <v>106.31</v>
      </c>
      <c r="O78" s="158">
        <v>390.0</v>
      </c>
      <c r="P78" s="159" t="str">
        <f t="shared" si="170"/>
        <v>390.00</v>
      </c>
      <c r="Q78" s="160">
        <v>309.0</v>
      </c>
      <c r="R78" s="161">
        <v>0.0</v>
      </c>
      <c r="S78" s="162" t="str">
        <f t="shared" si="171"/>
        <v>390.00</v>
      </c>
      <c r="T78" s="163" t="str">
        <f t="shared" si="172"/>
        <v>60.00</v>
      </c>
      <c r="U78" s="164" t="str">
        <f t="shared" si="173"/>
        <v>29.16</v>
      </c>
      <c r="V78" s="165" t="str">
        <f t="shared" si="174"/>
        <v>0.00</v>
      </c>
      <c r="W78" s="166">
        <v>0.1</v>
      </c>
      <c r="X78" s="167" t="str">
        <f t="shared" ref="X78:X86" si="188">((_xlfn.CEILING.MATH(W78)-1)*$C$5+$C$4)</f>
        <v>76</v>
      </c>
      <c r="Y78" s="168" t="str">
        <f t="shared" si="176"/>
        <v>126.750</v>
      </c>
      <c r="Z78" s="168" t="str">
        <f t="shared" si="177"/>
        <v>15.561</v>
      </c>
      <c r="AA78" s="164" t="str">
        <f t="shared" si="178"/>
        <v>2.78</v>
      </c>
      <c r="AB78" s="164">
        <v>94.44</v>
      </c>
      <c r="AC78" s="164" t="str">
        <f t="shared" si="179"/>
        <v>4.80</v>
      </c>
      <c r="AD78" s="165" t="str">
        <f t="shared" si="180"/>
        <v>39.00</v>
      </c>
      <c r="AE78" s="23"/>
      <c r="AF78" s="169" t="str">
        <f t="shared" si="181"/>
        <v>0</v>
      </c>
      <c r="AG78" s="163" t="str">
        <f t="shared" si="182"/>
        <v>-70.36</v>
      </c>
      <c r="AH78" s="170" t="str">
        <f t="shared" si="183"/>
        <v>-66.18%</v>
      </c>
      <c r="AI78" s="26"/>
      <c r="AJ78" s="171" t="str">
        <f t="shared" si="184"/>
        <v>0.00%</v>
      </c>
      <c r="AK78" s="172" t="str">
        <f t="shared" si="185"/>
        <v>0.00</v>
      </c>
      <c r="AL78" s="173" t="str">
        <f t="shared" si="186"/>
        <v>549.09</v>
      </c>
      <c r="AM78" s="174" t="str">
        <f t="shared" si="187"/>
        <v>389.85</v>
      </c>
    </row>
    <row r="79" ht="12.75" customHeight="1">
      <c r="A79" s="26"/>
      <c r="B79" s="190"/>
      <c r="C79" s="201">
        <v>2.26322576E8</v>
      </c>
      <c r="D79" s="152" t="s">
        <v>191</v>
      </c>
      <c r="E79" s="53" t="s">
        <v>77</v>
      </c>
      <c r="F79" s="154">
        <v>1.0</v>
      </c>
      <c r="G79" s="53"/>
      <c r="H79" s="53" t="str">
        <f t="shared" si="165"/>
        <v>0.00069</v>
      </c>
      <c r="I79" s="53" t="str">
        <f t="shared" si="166"/>
        <v>89</v>
      </c>
      <c r="J79" s="53" t="str">
        <f t="shared" si="167"/>
        <v>0</v>
      </c>
      <c r="K79" s="155" t="str">
        <f t="shared" si="168"/>
        <v>0.00</v>
      </c>
      <c r="L79" s="156" t="str">
        <f t="shared" si="169"/>
        <v>0.00 </v>
      </c>
      <c r="M79" s="132">
        <v>90.0</v>
      </c>
      <c r="N79" s="157">
        <v>212.62</v>
      </c>
      <c r="O79" s="158">
        <v>601.0</v>
      </c>
      <c r="P79" s="159">
        <v>630.0</v>
      </c>
      <c r="Q79" s="160">
        <v>641.0</v>
      </c>
      <c r="R79" s="161">
        <v>0.26</v>
      </c>
      <c r="S79" s="162" t="str">
        <f t="shared" si="171"/>
        <v>444.74</v>
      </c>
      <c r="T79" s="163" t="str">
        <f t="shared" si="172"/>
        <v>60.00</v>
      </c>
      <c r="U79" s="164" t="str">
        <f t="shared" si="173"/>
        <v>33.25</v>
      </c>
      <c r="V79" s="165" t="str">
        <f t="shared" si="174"/>
        <v>0.00</v>
      </c>
      <c r="W79" s="166">
        <v>0.25</v>
      </c>
      <c r="X79" s="167" t="str">
        <f t="shared" si="188"/>
        <v>76</v>
      </c>
      <c r="Y79" s="168" t="str">
        <f t="shared" si="176"/>
        <v>195.325</v>
      </c>
      <c r="Z79" s="168" t="str">
        <f t="shared" si="177"/>
        <v>17.745</v>
      </c>
      <c r="AA79" s="164" t="str">
        <f t="shared" si="178"/>
        <v>1.47</v>
      </c>
      <c r="AB79" s="164">
        <v>97.06</v>
      </c>
      <c r="AC79" s="164" t="str">
        <f t="shared" si="179"/>
        <v>4.80</v>
      </c>
      <c r="AD79" s="165" t="str">
        <f t="shared" si="180"/>
        <v>60.10</v>
      </c>
      <c r="AE79" s="23"/>
      <c r="AF79" s="169" t="str">
        <f t="shared" si="181"/>
        <v>0</v>
      </c>
      <c r="AG79" s="163" t="str">
        <f t="shared" si="182"/>
        <v>-60.31</v>
      </c>
      <c r="AH79" s="170" t="str">
        <f t="shared" si="183"/>
        <v>-28.37%</v>
      </c>
      <c r="AI79" s="26"/>
      <c r="AJ79" s="171" t="str">
        <f t="shared" si="184"/>
        <v>0.00%</v>
      </c>
      <c r="AK79" s="172" t="str">
        <f t="shared" si="185"/>
        <v>0.00</v>
      </c>
      <c r="AL79" s="173" t="str">
        <f t="shared" si="186"/>
        <v>779.81</v>
      </c>
      <c r="AM79" s="174" t="str">
        <f t="shared" si="187"/>
        <v>553.66</v>
      </c>
    </row>
    <row r="80" ht="12.75" customHeight="1">
      <c r="A80" s="26"/>
      <c r="B80" s="190"/>
      <c r="C80" s="202">
        <v>1.54160462E8</v>
      </c>
      <c r="D80" s="152" t="s">
        <v>192</v>
      </c>
      <c r="E80" s="53" t="s">
        <v>77</v>
      </c>
      <c r="F80" s="154">
        <v>1.0</v>
      </c>
      <c r="G80" s="53"/>
      <c r="H80" s="53" t="str">
        <f t="shared" si="165"/>
        <v>0.00069</v>
      </c>
      <c r="I80" s="53" t="str">
        <f t="shared" si="166"/>
        <v>89</v>
      </c>
      <c r="J80" s="53" t="str">
        <f t="shared" si="167"/>
        <v>0</v>
      </c>
      <c r="K80" s="155" t="str">
        <f t="shared" si="168"/>
        <v>0.00</v>
      </c>
      <c r="L80" s="156" t="str">
        <f t="shared" si="169"/>
        <v>0.00 </v>
      </c>
      <c r="M80" s="132">
        <v>90.0</v>
      </c>
      <c r="N80" s="157">
        <v>0.0</v>
      </c>
      <c r="O80" s="158">
        <v>1145.1</v>
      </c>
      <c r="P80" s="159" t="str">
        <f t="shared" ref="P80:P85" si="189">AL80</f>
        <v>366.36</v>
      </c>
      <c r="Q80" s="160"/>
      <c r="R80" s="161">
        <v>0.26</v>
      </c>
      <c r="S80" s="162" t="str">
        <f t="shared" si="171"/>
        <v>847.37</v>
      </c>
      <c r="T80" s="163" t="str">
        <f t="shared" si="172"/>
        <v>60.00</v>
      </c>
      <c r="U80" s="164" t="str">
        <f t="shared" si="173"/>
        <v>63.36</v>
      </c>
      <c r="V80" s="165" t="str">
        <f t="shared" si="174"/>
        <v>0.00</v>
      </c>
      <c r="W80" s="166">
        <v>1.73</v>
      </c>
      <c r="X80" s="167" t="str">
        <f t="shared" si="188"/>
        <v>95</v>
      </c>
      <c r="Y80" s="168" t="str">
        <f t="shared" si="176"/>
        <v>372.158</v>
      </c>
      <c r="Z80" s="168" t="str">
        <f t="shared" si="177"/>
        <v>33.810</v>
      </c>
      <c r="AA80" s="164" t="str">
        <f t="shared" si="178"/>
        <v>2.13</v>
      </c>
      <c r="AB80" s="164">
        <v>95.74</v>
      </c>
      <c r="AC80" s="164" t="str">
        <f t="shared" si="179"/>
        <v>9.60</v>
      </c>
      <c r="AD80" s="165" t="str">
        <f t="shared" si="180"/>
        <v>114.51</v>
      </c>
      <c r="AE80" s="23"/>
      <c r="AF80" s="169" t="str">
        <f t="shared" si="181"/>
        <v>0</v>
      </c>
      <c r="AG80" s="163" t="str">
        <f t="shared" si="182"/>
        <v>394.54</v>
      </c>
      <c r="AH80" s="170" t="str">
        <f t="shared" si="183"/>
        <v>#DIV/0!</v>
      </c>
      <c r="AI80" s="26"/>
      <c r="AJ80" s="171" t="str">
        <f t="shared" si="184"/>
        <v>0.00%</v>
      </c>
      <c r="AK80" s="172" t="str">
        <f t="shared" si="185"/>
        <v>0.00</v>
      </c>
      <c r="AL80" s="173" t="str">
        <f t="shared" si="186"/>
        <v>366.36</v>
      </c>
      <c r="AM80" s="174" t="str">
        <f t="shared" si="187"/>
        <v>260.11</v>
      </c>
    </row>
    <row r="81" ht="12.75" customHeight="1">
      <c r="A81" s="26"/>
      <c r="B81" s="190"/>
      <c r="C81" s="199">
        <v>2.07795785E8</v>
      </c>
      <c r="D81" s="152" t="s">
        <v>193</v>
      </c>
      <c r="E81" s="153" t="s">
        <v>77</v>
      </c>
      <c r="F81" s="154">
        <v>1.0</v>
      </c>
      <c r="G81" s="53"/>
      <c r="H81" s="53" t="str">
        <f t="shared" si="165"/>
        <v>0.00069</v>
      </c>
      <c r="I81" s="53" t="str">
        <f t="shared" si="166"/>
        <v>89</v>
      </c>
      <c r="J81" s="53" t="str">
        <f t="shared" si="167"/>
        <v>0</v>
      </c>
      <c r="K81" s="155" t="str">
        <f t="shared" si="168"/>
        <v>0.00</v>
      </c>
      <c r="L81" s="156" t="str">
        <f t="shared" si="169"/>
        <v>0.00 </v>
      </c>
      <c r="M81" s="132">
        <v>90.0</v>
      </c>
      <c r="N81" s="157">
        <v>531.71</v>
      </c>
      <c r="O81" s="158">
        <v>1109.83</v>
      </c>
      <c r="P81" s="159" t="str">
        <f t="shared" si="189"/>
        <v>1,485.68</v>
      </c>
      <c r="Q81" s="160"/>
      <c r="R81" s="161">
        <v>0.26</v>
      </c>
      <c r="S81" s="162" t="str">
        <f t="shared" si="171"/>
        <v>821.27</v>
      </c>
      <c r="T81" s="163" t="str">
        <f t="shared" si="172"/>
        <v>60.00</v>
      </c>
      <c r="U81" s="164" t="str">
        <f t="shared" si="173"/>
        <v>61.40</v>
      </c>
      <c r="V81" s="165" t="str">
        <f t="shared" si="174"/>
        <v>0.00</v>
      </c>
      <c r="W81" s="166">
        <v>0.38</v>
      </c>
      <c r="X81" s="167" t="str">
        <f t="shared" si="188"/>
        <v>76</v>
      </c>
      <c r="Y81" s="168" t="str">
        <f t="shared" si="176"/>
        <v>360.695</v>
      </c>
      <c r="Z81" s="168" t="str">
        <f t="shared" si="177"/>
        <v>32.769</v>
      </c>
      <c r="AA81" s="164" t="str">
        <f t="shared" si="178"/>
        <v>3.63</v>
      </c>
      <c r="AB81" s="164">
        <v>92.75</v>
      </c>
      <c r="AC81" s="164" t="str">
        <f t="shared" si="179"/>
        <v>4.80</v>
      </c>
      <c r="AD81" s="165" t="str">
        <f t="shared" si="180"/>
        <v>110.98</v>
      </c>
      <c r="AE81" s="23"/>
      <c r="AF81" s="169" t="str">
        <f t="shared" si="181"/>
        <v>0</v>
      </c>
      <c r="AG81" s="163" t="str">
        <f t="shared" si="182"/>
        <v>-132.16</v>
      </c>
      <c r="AH81" s="170" t="str">
        <f t="shared" si="183"/>
        <v>-24.85%</v>
      </c>
      <c r="AI81" s="26"/>
      <c r="AJ81" s="171" t="str">
        <f t="shared" si="184"/>
        <v>0.00%</v>
      </c>
      <c r="AK81" s="172" t="str">
        <f t="shared" si="185"/>
        <v>0.00</v>
      </c>
      <c r="AL81" s="173" t="str">
        <f t="shared" si="186"/>
        <v>1,485.68</v>
      </c>
      <c r="AM81" s="174" t="str">
        <f t="shared" si="187"/>
        <v>1,054.84</v>
      </c>
    </row>
    <row r="82" ht="12.75" customHeight="1">
      <c r="A82" s="26"/>
      <c r="B82" s="190"/>
      <c r="C82" s="202">
        <v>2.14311386E8</v>
      </c>
      <c r="D82" s="152" t="s">
        <v>194</v>
      </c>
      <c r="E82" s="53" t="s">
        <v>77</v>
      </c>
      <c r="F82" s="154">
        <v>1.0</v>
      </c>
      <c r="G82" s="53"/>
      <c r="H82" s="53" t="str">
        <f t="shared" si="165"/>
        <v>0.00069</v>
      </c>
      <c r="I82" s="53" t="str">
        <f t="shared" si="166"/>
        <v>89</v>
      </c>
      <c r="J82" s="53" t="str">
        <f t="shared" si="167"/>
        <v>0</v>
      </c>
      <c r="K82" s="155" t="str">
        <f t="shared" si="168"/>
        <v>0.00</v>
      </c>
      <c r="L82" s="156" t="str">
        <f t="shared" si="169"/>
        <v>0.00 </v>
      </c>
      <c r="M82" s="132">
        <v>90.0</v>
      </c>
      <c r="N82" s="157">
        <v>0.0</v>
      </c>
      <c r="O82" s="158">
        <v>1797.6</v>
      </c>
      <c r="P82" s="159" t="str">
        <f t="shared" si="189"/>
        <v>312.58</v>
      </c>
      <c r="Q82" s="160"/>
      <c r="R82" s="161">
        <v>0.26</v>
      </c>
      <c r="S82" s="162" t="str">
        <f t="shared" si="171"/>
        <v>1,330.22</v>
      </c>
      <c r="T82" s="163" t="str">
        <f t="shared" si="172"/>
        <v>60.00</v>
      </c>
      <c r="U82" s="164" t="str">
        <f t="shared" si="173"/>
        <v>99.46</v>
      </c>
      <c r="V82" s="165" t="str">
        <f t="shared" si="174"/>
        <v>0.00</v>
      </c>
      <c r="W82" s="166">
        <v>0.76</v>
      </c>
      <c r="X82" s="167" t="str">
        <f t="shared" si="188"/>
        <v>76</v>
      </c>
      <c r="Y82" s="168" t="str">
        <f t="shared" si="176"/>
        <v>584.220</v>
      </c>
      <c r="Z82" s="168" t="str">
        <f t="shared" si="177"/>
        <v>53.076</v>
      </c>
      <c r="AA82" s="164" t="str">
        <f t="shared" si="178"/>
        <v>1.46</v>
      </c>
      <c r="AB82" s="164">
        <v>97.09</v>
      </c>
      <c r="AC82" s="164" t="str">
        <f t="shared" si="179"/>
        <v>4.80</v>
      </c>
      <c r="AD82" s="165" t="str">
        <f t="shared" si="180"/>
        <v>179.76</v>
      </c>
      <c r="AE82" s="23"/>
      <c r="AF82" s="169" t="str">
        <f t="shared" si="181"/>
        <v>0</v>
      </c>
      <c r="AG82" s="163" t="str">
        <f t="shared" si="182"/>
        <v>738.83</v>
      </c>
      <c r="AH82" s="170" t="str">
        <f t="shared" si="183"/>
        <v>#DIV/0!</v>
      </c>
      <c r="AI82" s="26"/>
      <c r="AJ82" s="171" t="str">
        <f t="shared" si="184"/>
        <v>0.00%</v>
      </c>
      <c r="AK82" s="172" t="str">
        <f t="shared" si="185"/>
        <v>0.00</v>
      </c>
      <c r="AL82" s="173" t="str">
        <f t="shared" si="186"/>
        <v>312.58</v>
      </c>
      <c r="AM82" s="174" t="str">
        <f t="shared" si="187"/>
        <v>221.93</v>
      </c>
    </row>
    <row r="83" ht="12.75" customHeight="1">
      <c r="A83" s="26"/>
      <c r="B83" s="190"/>
      <c r="C83" s="202">
        <v>2.07795963E8</v>
      </c>
      <c r="D83" s="152" t="s">
        <v>195</v>
      </c>
      <c r="E83" s="53" t="s">
        <v>77</v>
      </c>
      <c r="F83" s="154">
        <v>1.0</v>
      </c>
      <c r="G83" s="53"/>
      <c r="H83" s="53" t="str">
        <f t="shared" si="165"/>
        <v>0.00069</v>
      </c>
      <c r="I83" s="53" t="str">
        <f t="shared" si="166"/>
        <v>89</v>
      </c>
      <c r="J83" s="53" t="str">
        <f t="shared" si="167"/>
        <v>0</v>
      </c>
      <c r="K83" s="155" t="str">
        <f t="shared" si="168"/>
        <v>0.00</v>
      </c>
      <c r="L83" s="156" t="str">
        <f t="shared" si="169"/>
        <v>0.00 </v>
      </c>
      <c r="M83" s="132">
        <v>90.0</v>
      </c>
      <c r="N83" s="157">
        <v>0.0</v>
      </c>
      <c r="O83" s="158">
        <v>1025.7</v>
      </c>
      <c r="P83" s="159" t="str">
        <f t="shared" si="189"/>
        <v>316.85</v>
      </c>
      <c r="Q83" s="160"/>
      <c r="R83" s="161">
        <v>0.26</v>
      </c>
      <c r="S83" s="162" t="str">
        <f t="shared" si="171"/>
        <v>759.02</v>
      </c>
      <c r="T83" s="163" t="str">
        <f t="shared" si="172"/>
        <v>60.00</v>
      </c>
      <c r="U83" s="164" t="str">
        <f t="shared" si="173"/>
        <v>56.75</v>
      </c>
      <c r="V83" s="165" t="str">
        <f t="shared" si="174"/>
        <v>0.00</v>
      </c>
      <c r="W83" s="166">
        <v>0.19</v>
      </c>
      <c r="X83" s="167" t="str">
        <f t="shared" si="188"/>
        <v>76</v>
      </c>
      <c r="Y83" s="168" t="str">
        <f t="shared" si="176"/>
        <v>333.353</v>
      </c>
      <c r="Z83" s="168" t="str">
        <f t="shared" si="177"/>
        <v>30.285</v>
      </c>
      <c r="AA83" s="164" t="str">
        <f t="shared" si="178"/>
        <v>3.40</v>
      </c>
      <c r="AB83" s="164">
        <v>93.2</v>
      </c>
      <c r="AC83" s="164" t="str">
        <f t="shared" si="179"/>
        <v>4.80</v>
      </c>
      <c r="AD83" s="165" t="str">
        <f t="shared" si="180"/>
        <v>102.57</v>
      </c>
      <c r="AE83" s="23"/>
      <c r="AF83" s="169" t="str">
        <f t="shared" si="181"/>
        <v>0</v>
      </c>
      <c r="AG83" s="163" t="str">
        <f t="shared" si="182"/>
        <v>358.54</v>
      </c>
      <c r="AH83" s="170" t="str">
        <f t="shared" si="183"/>
        <v>#DIV/0!</v>
      </c>
      <c r="AI83" s="26"/>
      <c r="AJ83" s="171" t="str">
        <f t="shared" si="184"/>
        <v>0.00%</v>
      </c>
      <c r="AK83" s="172" t="str">
        <f t="shared" si="185"/>
        <v>0.00</v>
      </c>
      <c r="AL83" s="173" t="str">
        <f t="shared" si="186"/>
        <v>316.85</v>
      </c>
      <c r="AM83" s="174" t="str">
        <f t="shared" si="187"/>
        <v>224.97</v>
      </c>
    </row>
    <row r="84" ht="12.75" customHeight="1">
      <c r="A84" s="26"/>
      <c r="B84" s="190"/>
      <c r="C84" s="202">
        <v>2.06058262E8</v>
      </c>
      <c r="D84" s="152" t="s">
        <v>196</v>
      </c>
      <c r="E84" s="153" t="s">
        <v>77</v>
      </c>
      <c r="F84" s="154">
        <v>1.0</v>
      </c>
      <c r="G84" s="53"/>
      <c r="H84" s="53" t="str">
        <f t="shared" si="165"/>
        <v>0.00069</v>
      </c>
      <c r="I84" s="53" t="str">
        <f t="shared" si="166"/>
        <v>89</v>
      </c>
      <c r="J84" s="53" t="str">
        <f t="shared" si="167"/>
        <v>0</v>
      </c>
      <c r="K84" s="155" t="str">
        <f t="shared" si="168"/>
        <v>0.00</v>
      </c>
      <c r="L84" s="156" t="str">
        <f t="shared" si="169"/>
        <v>0.00 </v>
      </c>
      <c r="M84" s="132">
        <v>90.0</v>
      </c>
      <c r="N84" s="157">
        <v>447.64</v>
      </c>
      <c r="O84" s="158">
        <v>1500.0</v>
      </c>
      <c r="P84" s="159" t="str">
        <f t="shared" si="189"/>
        <v>1,300.83</v>
      </c>
      <c r="Q84" s="160"/>
      <c r="R84" s="161">
        <v>0.26</v>
      </c>
      <c r="S84" s="162" t="str">
        <f t="shared" si="171"/>
        <v>1,110.00</v>
      </c>
      <c r="T84" s="163" t="str">
        <f t="shared" si="172"/>
        <v>60.00</v>
      </c>
      <c r="U84" s="164" t="str">
        <f t="shared" si="173"/>
        <v>82.99</v>
      </c>
      <c r="V84" s="165" t="str">
        <f t="shared" si="174"/>
        <v>0.00</v>
      </c>
      <c r="W84" s="166">
        <v>0.3</v>
      </c>
      <c r="X84" s="167" t="str">
        <f t="shared" si="188"/>
        <v>76</v>
      </c>
      <c r="Y84" s="168" t="str">
        <f t="shared" si="176"/>
        <v>487.500</v>
      </c>
      <c r="Z84" s="168" t="str">
        <f t="shared" si="177"/>
        <v>44.289</v>
      </c>
      <c r="AA84" s="164" t="str">
        <f t="shared" si="178"/>
        <v>3.57</v>
      </c>
      <c r="AB84" s="164">
        <v>92.86</v>
      </c>
      <c r="AC84" s="164" t="str">
        <f t="shared" si="179"/>
        <v>4.80</v>
      </c>
      <c r="AD84" s="165" t="str">
        <f t="shared" si="180"/>
        <v>150.00</v>
      </c>
      <c r="AE84" s="23"/>
      <c r="AF84" s="169" t="str">
        <f t="shared" si="181"/>
        <v>0</v>
      </c>
      <c r="AG84" s="163" t="str">
        <f t="shared" si="182"/>
        <v>143.21</v>
      </c>
      <c r="AH84" s="170" t="str">
        <f t="shared" si="183"/>
        <v>31.99%</v>
      </c>
      <c r="AI84" s="26"/>
      <c r="AJ84" s="171" t="str">
        <f t="shared" si="184"/>
        <v>0.00%</v>
      </c>
      <c r="AK84" s="172" t="str">
        <f t="shared" si="185"/>
        <v>0.00</v>
      </c>
      <c r="AL84" s="173" t="str">
        <f t="shared" si="186"/>
        <v>1,300.83</v>
      </c>
      <c r="AM84" s="174" t="str">
        <f t="shared" si="187"/>
        <v>923.59</v>
      </c>
    </row>
    <row r="85" ht="12.75" customHeight="1">
      <c r="A85" s="26"/>
      <c r="B85" s="190"/>
      <c r="C85" s="203" t="s">
        <v>197</v>
      </c>
      <c r="D85" s="204" t="s">
        <v>198</v>
      </c>
      <c r="E85" s="53" t="s">
        <v>77</v>
      </c>
      <c r="F85" s="154">
        <v>1.0</v>
      </c>
      <c r="G85" s="53"/>
      <c r="H85" s="53" t="str">
        <f t="shared" si="165"/>
        <v>0.00069</v>
      </c>
      <c r="I85" s="53" t="str">
        <f t="shared" si="166"/>
        <v>89</v>
      </c>
      <c r="J85" s="53" t="str">
        <f t="shared" si="167"/>
        <v>0</v>
      </c>
      <c r="K85" s="155" t="str">
        <f t="shared" si="168"/>
        <v>0.00</v>
      </c>
      <c r="L85" s="156" t="str">
        <f t="shared" si="169"/>
        <v>0.00 </v>
      </c>
      <c r="M85" s="132">
        <v>90.0</v>
      </c>
      <c r="N85" s="157">
        <v>0.0</v>
      </c>
      <c r="O85" s="158"/>
      <c r="P85" s="159" t="str">
        <f t="shared" si="189"/>
        <v>366.95</v>
      </c>
      <c r="Q85" s="160"/>
      <c r="R85" s="161">
        <v>0.26</v>
      </c>
      <c r="S85" s="162" t="str">
        <f t="shared" si="171"/>
        <v>0.00</v>
      </c>
      <c r="T85" s="163" t="str">
        <f t="shared" si="172"/>
        <v>60.00</v>
      </c>
      <c r="U85" s="164" t="str">
        <f t="shared" si="173"/>
        <v>0.00</v>
      </c>
      <c r="V85" s="165" t="str">
        <f t="shared" si="174"/>
        <v>0.00</v>
      </c>
      <c r="W85" s="166"/>
      <c r="X85" s="167" t="str">
        <f t="shared" si="188"/>
        <v>57</v>
      </c>
      <c r="Y85" s="168" t="str">
        <f t="shared" si="176"/>
        <v>0.000</v>
      </c>
      <c r="Z85" s="168" t="str">
        <f t="shared" si="177"/>
        <v>0.000</v>
      </c>
      <c r="AA85" s="164" t="str">
        <f t="shared" si="178"/>
        <v>50.00</v>
      </c>
      <c r="AB85" s="164"/>
      <c r="AC85" s="164" t="str">
        <f t="shared" si="179"/>
        <v>0.00</v>
      </c>
      <c r="AD85" s="165" t="str">
        <f t="shared" si="180"/>
        <v>0.00</v>
      </c>
      <c r="AE85" s="23"/>
      <c r="AF85" s="169" t="str">
        <f t="shared" si="181"/>
        <v>0</v>
      </c>
      <c r="AG85" s="163" t="str">
        <f t="shared" si="182"/>
        <v>-167.00</v>
      </c>
      <c r="AH85" s="170" t="str">
        <f t="shared" si="183"/>
        <v>#DIV/0!</v>
      </c>
      <c r="AI85" s="26"/>
      <c r="AJ85" s="171" t="str">
        <f t="shared" si="184"/>
        <v>0.00%</v>
      </c>
      <c r="AK85" s="172" t="str">
        <f t="shared" si="185"/>
        <v>0.00</v>
      </c>
      <c r="AL85" s="173" t="str">
        <f t="shared" si="186"/>
        <v>366.95</v>
      </c>
      <c r="AM85" s="174" t="str">
        <f t="shared" si="187"/>
        <v>260.54</v>
      </c>
    </row>
    <row r="86" ht="12.75" customHeight="1">
      <c r="A86" s="26"/>
      <c r="B86" s="190"/>
      <c r="C86" s="199">
        <v>3.07071318E8</v>
      </c>
      <c r="D86" s="152" t="s">
        <v>199</v>
      </c>
      <c r="E86" s="53" t="s">
        <v>77</v>
      </c>
      <c r="F86" s="154">
        <v>1.0</v>
      </c>
      <c r="G86" s="53"/>
      <c r="H86" s="53"/>
      <c r="I86" s="53"/>
      <c r="J86" s="53"/>
      <c r="K86" s="155"/>
      <c r="L86" s="156"/>
      <c r="M86" s="132"/>
      <c r="N86" s="157">
        <v>512.19</v>
      </c>
      <c r="O86" s="158">
        <v>1600.0</v>
      </c>
      <c r="P86" s="159"/>
      <c r="Q86" s="160"/>
      <c r="R86" s="161">
        <v>0.26</v>
      </c>
      <c r="S86" s="162" t="str">
        <f t="shared" si="171"/>
        <v>1,184.00</v>
      </c>
      <c r="T86" s="163" t="str">
        <f t="shared" si="172"/>
        <v>60.00</v>
      </c>
      <c r="U86" s="164" t="str">
        <f t="shared" si="173"/>
        <v>88.52</v>
      </c>
      <c r="V86" s="165" t="str">
        <f t="shared" si="174"/>
        <v>0.00</v>
      </c>
      <c r="W86" s="166">
        <v>0.3</v>
      </c>
      <c r="X86" s="167" t="str">
        <f t="shared" si="188"/>
        <v>76</v>
      </c>
      <c r="Y86" s="168" t="str">
        <f t="shared" si="176"/>
        <v>520.000</v>
      </c>
      <c r="Z86" s="168" t="str">
        <f t="shared" si="177"/>
        <v>47.242</v>
      </c>
      <c r="AA86" s="164" t="str">
        <f t="shared" si="178"/>
        <v>3.57</v>
      </c>
      <c r="AB86" s="164">
        <v>92.86</v>
      </c>
      <c r="AC86" s="164" t="str">
        <f t="shared" si="179"/>
        <v>4.80</v>
      </c>
      <c r="AD86" s="165" t="str">
        <f t="shared" si="180"/>
        <v>160.00</v>
      </c>
      <c r="AE86" s="23"/>
      <c r="AF86" s="169" t="str">
        <f t="shared" si="181"/>
        <v>0</v>
      </c>
      <c r="AG86" s="163" t="str">
        <f t="shared" si="182"/>
        <v>127.68</v>
      </c>
      <c r="AH86" s="170" t="str">
        <f t="shared" si="183"/>
        <v>24.93%</v>
      </c>
      <c r="AI86" s="26"/>
      <c r="AJ86" s="171"/>
      <c r="AK86" s="172"/>
      <c r="AL86" s="173"/>
      <c r="AM86" s="174"/>
    </row>
    <row r="87" ht="12.75" customHeight="1">
      <c r="A87" s="26"/>
      <c r="B87" s="125" t="s">
        <v>200</v>
      </c>
      <c r="C87" s="126"/>
      <c r="D87" s="127"/>
      <c r="E87" s="128"/>
      <c r="F87" s="128"/>
      <c r="G87" s="128"/>
      <c r="H87" s="197"/>
      <c r="I87" s="197"/>
      <c r="J87" s="128"/>
      <c r="K87" s="130"/>
      <c r="L87" s="131"/>
      <c r="M87" s="132"/>
      <c r="N87" s="176"/>
      <c r="O87" s="134"/>
      <c r="P87" s="135"/>
      <c r="Q87" s="135"/>
      <c r="R87" s="136"/>
      <c r="S87" s="137"/>
      <c r="T87" s="177"/>
      <c r="U87" s="178"/>
      <c r="V87" s="179"/>
      <c r="W87" s="180"/>
      <c r="X87" s="181"/>
      <c r="Y87" s="182"/>
      <c r="Z87" s="182"/>
      <c r="AA87" s="178"/>
      <c r="AB87" s="178"/>
      <c r="AC87" s="178"/>
      <c r="AD87" s="179"/>
      <c r="AE87" s="183"/>
      <c r="AF87" s="184"/>
      <c r="AG87" s="177"/>
      <c r="AH87" s="185"/>
      <c r="AI87" s="26"/>
      <c r="AJ87" s="186"/>
      <c r="AK87" s="187"/>
      <c r="AL87" s="188"/>
      <c r="AM87" s="189"/>
    </row>
    <row r="88" ht="12.75" customHeight="1">
      <c r="A88" s="26"/>
      <c r="B88" s="190" t="s">
        <v>201</v>
      </c>
      <c r="C88" s="199">
        <v>2.38358954E8</v>
      </c>
      <c r="D88" s="152" t="s">
        <v>202</v>
      </c>
      <c r="E88" s="53" t="s">
        <v>77</v>
      </c>
      <c r="F88" s="154">
        <v>1.0</v>
      </c>
      <c r="G88" s="53"/>
      <c r="H88" s="53" t="str">
        <f t="shared" ref="H88:H105" si="190">$I$2</f>
        <v>0.00069</v>
      </c>
      <c r="I88" s="53" t="str">
        <f t="shared" ref="I88:I105" si="191">$I$3</f>
        <v>89</v>
      </c>
      <c r="J88" s="53" t="str">
        <f t="shared" ref="J88:J103" si="192">G88*H88*I88*F88</f>
        <v>0</v>
      </c>
      <c r="K88" s="155" t="str">
        <f t="shared" ref="K88:K103" si="193">J88*$J$4</f>
        <v>0.00</v>
      </c>
      <c r="L88" s="156" t="str">
        <f t="shared" ref="L88:L103" si="194">K88+J88</f>
        <v>0.00 </v>
      </c>
      <c r="M88" s="132">
        <v>90.0</v>
      </c>
      <c r="N88" s="157">
        <v>203.11</v>
      </c>
      <c r="O88" s="158">
        <v>750.0</v>
      </c>
      <c r="P88" s="159">
        <v>750.0</v>
      </c>
      <c r="Q88" s="160">
        <v>560.0</v>
      </c>
      <c r="R88" s="161">
        <v>0.26</v>
      </c>
      <c r="S88" s="162" t="str">
        <f t="shared" ref="S88:S114" si="195">O88-(O88*R88)</f>
        <v>555.00</v>
      </c>
      <c r="T88" s="163" t="str">
        <f t="shared" ref="T88:T111" si="196">$C$1</f>
        <v>60.00</v>
      </c>
      <c r="U88" s="164" t="str">
        <f t="shared" ref="U88:U114" si="197">(S88*7/107)+((S88-(S88*7/107))*1%)</f>
        <v>41.50</v>
      </c>
      <c r="V88" s="165" t="str">
        <f t="shared" ref="V88:V114" si="198">N88*$C$3*(M88/30)</f>
        <v>0.00</v>
      </c>
      <c r="W88" s="166">
        <v>0.28</v>
      </c>
      <c r="X88" s="167" t="str">
        <f>((_xlfn.CEILING.MATH(W88)-1)*$C$5+$C$4)</f>
        <v>76</v>
      </c>
      <c r="Y88" s="168" t="str">
        <f t="shared" ref="Y88:Y114" si="199">O88*$Y$6</f>
        <v>243.750</v>
      </c>
      <c r="Z88" s="168" t="str">
        <f t="shared" ref="Z88:Z114" si="200">S88*$Y$7</f>
        <v>22.145</v>
      </c>
      <c r="AA88" s="164" t="str">
        <f t="shared" ref="AA88:AA114" si="201">$Y$3*((100-AB88)/100)</f>
        <v>3.48</v>
      </c>
      <c r="AB88" s="164">
        <v>93.04</v>
      </c>
      <c r="AC88" s="164" t="str">
        <f t="shared" ref="AC88:AC114" si="202">$C$6*$C$7*_xlfn.CEILING.MATH(W88)</f>
        <v>4.80</v>
      </c>
      <c r="AD88" s="165" t="str">
        <f t="shared" ref="AD88:AD114" si="203">O88*$C$2</f>
        <v>75.00</v>
      </c>
      <c r="AE88" s="23"/>
      <c r="AF88" s="169" t="str">
        <f t="shared" ref="AF88:AF114" si="204">(_xlfn.CEILING.MATH(W88))*$Y$1*$AD$2</f>
        <v>0</v>
      </c>
      <c r="AG88" s="163" t="str">
        <f t="shared" ref="AG88:AG111" si="205">O88-T88-U88-V88-X88-Y88-Z88-AA88-AC88-AD88-N88</f>
        <v>20.22</v>
      </c>
      <c r="AH88" s="170" t="str">
        <f t="shared" ref="AH88:AH114" si="206">AG88/N88</f>
        <v>9.96%</v>
      </c>
      <c r="AI88" s="26"/>
      <c r="AJ88" s="171" t="str">
        <f t="shared" ref="AJ88:AJ93" si="207">$AD$3</f>
        <v>0.00%</v>
      </c>
      <c r="AK88" s="172" t="str">
        <f t="shared" ref="AK88:AK93" si="208">N88*AJ88</f>
        <v>0.00</v>
      </c>
      <c r="AL88" s="173" t="str">
        <f t="shared" ref="AL88:AL93" si="209">(N88+T88+V88+X88+AA88+AC88+AF88+AK88)/(100%-($C$2+$C$8+$Y$6+$Y$7))</f>
        <v>763.33</v>
      </c>
      <c r="AM88" s="174" t="str">
        <f t="shared" ref="AM88:AM93" si="210">AL88-(AL88*$AD$1)</f>
        <v>541.96</v>
      </c>
    </row>
    <row r="89" ht="12.75" customHeight="1">
      <c r="A89" s="26"/>
      <c r="B89" s="190" t="s">
        <v>203</v>
      </c>
      <c r="C89" s="199">
        <v>1.51132051E8</v>
      </c>
      <c r="D89" s="152" t="s">
        <v>204</v>
      </c>
      <c r="E89" s="53" t="s">
        <v>77</v>
      </c>
      <c r="F89" s="154">
        <v>1.0</v>
      </c>
      <c r="G89" s="53"/>
      <c r="H89" s="53" t="str">
        <f t="shared" si="190"/>
        <v>0.00069</v>
      </c>
      <c r="I89" s="53" t="str">
        <f t="shared" si="191"/>
        <v>89</v>
      </c>
      <c r="J89" s="53" t="str">
        <f t="shared" si="192"/>
        <v>0</v>
      </c>
      <c r="K89" s="155" t="str">
        <f t="shared" si="193"/>
        <v>0.00</v>
      </c>
      <c r="L89" s="156" t="str">
        <f t="shared" si="194"/>
        <v>0.00 </v>
      </c>
      <c r="M89" s="132">
        <v>90.0</v>
      </c>
      <c r="N89" s="157">
        <v>238.13</v>
      </c>
      <c r="O89" s="158">
        <v>999.0</v>
      </c>
      <c r="P89" s="159" t="str">
        <f t="shared" ref="P89:P91" si="211">O89</f>
        <v>999.00</v>
      </c>
      <c r="Q89" s="160">
        <v>1058.0</v>
      </c>
      <c r="R89" s="161">
        <v>0.26</v>
      </c>
      <c r="S89" s="162" t="str">
        <f t="shared" si="195"/>
        <v>739.26</v>
      </c>
      <c r="T89" s="163" t="str">
        <f t="shared" si="196"/>
        <v>60.00</v>
      </c>
      <c r="U89" s="164" t="str">
        <f t="shared" si="197"/>
        <v>55.27</v>
      </c>
      <c r="V89" s="165" t="str">
        <f t="shared" si="198"/>
        <v>0.00</v>
      </c>
      <c r="W89" s="166">
        <v>0.24</v>
      </c>
      <c r="X89" s="167">
        <v>89.0</v>
      </c>
      <c r="Y89" s="168" t="str">
        <f t="shared" si="199"/>
        <v>324.675</v>
      </c>
      <c r="Z89" s="168" t="str">
        <f t="shared" si="200"/>
        <v>29.496</v>
      </c>
      <c r="AA89" s="164" t="str">
        <f t="shared" si="201"/>
        <v>7.15</v>
      </c>
      <c r="AB89" s="164">
        <v>85.71</v>
      </c>
      <c r="AC89" s="164" t="str">
        <f t="shared" si="202"/>
        <v>4.80</v>
      </c>
      <c r="AD89" s="165" t="str">
        <f t="shared" si="203"/>
        <v>99.90</v>
      </c>
      <c r="AE89" s="23"/>
      <c r="AF89" s="169" t="str">
        <f t="shared" si="204"/>
        <v>0</v>
      </c>
      <c r="AG89" s="163" t="str">
        <f t="shared" si="205"/>
        <v>90.58</v>
      </c>
      <c r="AH89" s="170" t="str">
        <f t="shared" si="206"/>
        <v>38.04%</v>
      </c>
      <c r="AI89" s="26"/>
      <c r="AJ89" s="171" t="str">
        <f t="shared" si="207"/>
        <v>0.00%</v>
      </c>
      <c r="AK89" s="172" t="str">
        <f t="shared" si="208"/>
        <v>0.00</v>
      </c>
      <c r="AL89" s="173" t="str">
        <f t="shared" si="209"/>
        <v>876.90</v>
      </c>
      <c r="AM89" s="174" t="str">
        <f t="shared" si="210"/>
        <v>622.60</v>
      </c>
    </row>
    <row r="90" ht="12.75" customHeight="1">
      <c r="A90" s="26"/>
      <c r="B90" s="190" t="s">
        <v>205</v>
      </c>
      <c r="C90" s="199">
        <v>1.51132052E8</v>
      </c>
      <c r="D90" s="152" t="s">
        <v>206</v>
      </c>
      <c r="E90" s="53" t="s">
        <v>77</v>
      </c>
      <c r="F90" s="154">
        <v>1.0</v>
      </c>
      <c r="G90" s="53"/>
      <c r="H90" s="53" t="str">
        <f t="shared" si="190"/>
        <v>0.00069</v>
      </c>
      <c r="I90" s="53" t="str">
        <f t="shared" si="191"/>
        <v>89</v>
      </c>
      <c r="J90" s="53" t="str">
        <f t="shared" si="192"/>
        <v>0</v>
      </c>
      <c r="K90" s="155" t="str">
        <f t="shared" si="193"/>
        <v>0.00</v>
      </c>
      <c r="L90" s="156" t="str">
        <f t="shared" si="194"/>
        <v>0.00 </v>
      </c>
      <c r="M90" s="132">
        <v>90.0</v>
      </c>
      <c r="N90" s="157">
        <v>223.35</v>
      </c>
      <c r="O90" s="158">
        <v>900.0</v>
      </c>
      <c r="P90" s="159" t="str">
        <f t="shared" si="211"/>
        <v>900.00</v>
      </c>
      <c r="Q90" s="160">
        <v>937.0</v>
      </c>
      <c r="R90" s="161">
        <v>0.26</v>
      </c>
      <c r="S90" s="162" t="str">
        <f t="shared" si="195"/>
        <v>666.00</v>
      </c>
      <c r="T90" s="163" t="str">
        <f t="shared" si="196"/>
        <v>60.00</v>
      </c>
      <c r="U90" s="164" t="str">
        <f t="shared" si="197"/>
        <v>49.79</v>
      </c>
      <c r="V90" s="165" t="str">
        <f t="shared" si="198"/>
        <v>0.00</v>
      </c>
      <c r="W90" s="166">
        <v>0.24</v>
      </c>
      <c r="X90" s="167">
        <v>92.0</v>
      </c>
      <c r="Y90" s="168" t="str">
        <f t="shared" si="199"/>
        <v>292.500</v>
      </c>
      <c r="Z90" s="168" t="str">
        <f t="shared" si="200"/>
        <v>26.573</v>
      </c>
      <c r="AA90" s="164" t="str">
        <f t="shared" si="201"/>
        <v>5.17</v>
      </c>
      <c r="AB90" s="164">
        <v>89.66</v>
      </c>
      <c r="AC90" s="164" t="str">
        <f t="shared" si="202"/>
        <v>4.80</v>
      </c>
      <c r="AD90" s="165" t="str">
        <f t="shared" si="203"/>
        <v>90.00</v>
      </c>
      <c r="AE90" s="23"/>
      <c r="AF90" s="169" t="str">
        <f t="shared" si="204"/>
        <v>0</v>
      </c>
      <c r="AG90" s="163" t="str">
        <f t="shared" si="205"/>
        <v>55.81</v>
      </c>
      <c r="AH90" s="170" t="str">
        <f t="shared" si="206"/>
        <v>24.99%</v>
      </c>
      <c r="AI90" s="26"/>
      <c r="AJ90" s="171" t="str">
        <f t="shared" si="207"/>
        <v>0.00%</v>
      </c>
      <c r="AK90" s="172" t="str">
        <f t="shared" si="208"/>
        <v>0.00</v>
      </c>
      <c r="AL90" s="173" t="str">
        <f t="shared" si="209"/>
        <v>846.67</v>
      </c>
      <c r="AM90" s="174" t="str">
        <f t="shared" si="210"/>
        <v>601.14</v>
      </c>
    </row>
    <row r="91" ht="12.75" customHeight="1">
      <c r="A91" s="26"/>
      <c r="B91" s="190" t="s">
        <v>207</v>
      </c>
      <c r="C91" s="199">
        <v>2.38415286E8</v>
      </c>
      <c r="D91" s="152" t="s">
        <v>208</v>
      </c>
      <c r="E91" s="53" t="s">
        <v>77</v>
      </c>
      <c r="F91" s="154">
        <v>1.0</v>
      </c>
      <c r="G91" s="53"/>
      <c r="H91" s="53" t="str">
        <f t="shared" si="190"/>
        <v>0.00069</v>
      </c>
      <c r="I91" s="53" t="str">
        <f t="shared" si="191"/>
        <v>89</v>
      </c>
      <c r="J91" s="53" t="str">
        <f t="shared" si="192"/>
        <v>0</v>
      </c>
      <c r="K91" s="155" t="str">
        <f t="shared" si="193"/>
        <v>0.00</v>
      </c>
      <c r="L91" s="156" t="str">
        <f t="shared" si="194"/>
        <v>0.00 </v>
      </c>
      <c r="M91" s="132">
        <v>90.0</v>
      </c>
      <c r="N91" s="175">
        <v>161.3</v>
      </c>
      <c r="O91" s="158">
        <v>663.0</v>
      </c>
      <c r="P91" s="159" t="str">
        <f t="shared" si="211"/>
        <v>663.00</v>
      </c>
      <c r="Q91" s="160">
        <v>540.0</v>
      </c>
      <c r="R91" s="161">
        <v>0.26</v>
      </c>
      <c r="S91" s="162" t="str">
        <f t="shared" si="195"/>
        <v>490.62</v>
      </c>
      <c r="T91" s="163" t="str">
        <f t="shared" si="196"/>
        <v>60.00</v>
      </c>
      <c r="U91" s="164" t="str">
        <f t="shared" si="197"/>
        <v>36.68</v>
      </c>
      <c r="V91" s="165" t="str">
        <f t="shared" si="198"/>
        <v>0.00</v>
      </c>
      <c r="W91" s="166">
        <v>0.73</v>
      </c>
      <c r="X91" s="167">
        <v>84.0</v>
      </c>
      <c r="Y91" s="168" t="str">
        <f t="shared" si="199"/>
        <v>215.475</v>
      </c>
      <c r="Z91" s="168" t="str">
        <f t="shared" si="200"/>
        <v>19.576</v>
      </c>
      <c r="AA91" s="164" t="str">
        <f t="shared" si="201"/>
        <v>1.87</v>
      </c>
      <c r="AB91" s="164">
        <v>96.27</v>
      </c>
      <c r="AC91" s="164" t="str">
        <f t="shared" si="202"/>
        <v>4.80</v>
      </c>
      <c r="AD91" s="165" t="str">
        <f t="shared" si="203"/>
        <v>66.30</v>
      </c>
      <c r="AE91" s="23"/>
      <c r="AF91" s="169" t="str">
        <f t="shared" si="204"/>
        <v>0</v>
      </c>
      <c r="AG91" s="163" t="str">
        <f t="shared" si="205"/>
        <v>13.00</v>
      </c>
      <c r="AH91" s="170" t="str">
        <f t="shared" si="206"/>
        <v>8.06%</v>
      </c>
      <c r="AI91" s="26"/>
      <c r="AJ91" s="171" t="str">
        <f t="shared" si="207"/>
        <v>0.00%</v>
      </c>
      <c r="AK91" s="172" t="str">
        <f t="shared" si="208"/>
        <v>0.00</v>
      </c>
      <c r="AL91" s="173" t="str">
        <f t="shared" si="209"/>
        <v>685.49</v>
      </c>
      <c r="AM91" s="174" t="str">
        <f t="shared" si="210"/>
        <v>486.70</v>
      </c>
    </row>
    <row r="92" ht="12.75" customHeight="1">
      <c r="A92" s="26"/>
      <c r="B92" s="190" t="s">
        <v>209</v>
      </c>
      <c r="C92" s="199">
        <v>1.50925321E8</v>
      </c>
      <c r="D92" s="152" t="s">
        <v>210</v>
      </c>
      <c r="E92" s="53" t="s">
        <v>77</v>
      </c>
      <c r="F92" s="154">
        <v>1.0</v>
      </c>
      <c r="G92" s="53"/>
      <c r="H92" s="53" t="str">
        <f t="shared" si="190"/>
        <v>0.00069</v>
      </c>
      <c r="I92" s="53" t="str">
        <f t="shared" si="191"/>
        <v>89</v>
      </c>
      <c r="J92" s="53" t="str">
        <f t="shared" si="192"/>
        <v>0</v>
      </c>
      <c r="K92" s="155" t="str">
        <f t="shared" si="193"/>
        <v>0.00</v>
      </c>
      <c r="L92" s="156" t="str">
        <f t="shared" si="194"/>
        <v>0.00 </v>
      </c>
      <c r="M92" s="132">
        <v>90.0</v>
      </c>
      <c r="N92" s="175">
        <v>216.45</v>
      </c>
      <c r="O92" s="158">
        <v>945.0</v>
      </c>
      <c r="P92" s="159">
        <v>986.0</v>
      </c>
      <c r="Q92" s="160">
        <v>855.0</v>
      </c>
      <c r="R92" s="161">
        <v>0.38</v>
      </c>
      <c r="S92" s="162" t="str">
        <f t="shared" si="195"/>
        <v>585.90</v>
      </c>
      <c r="T92" s="163" t="str">
        <f t="shared" si="196"/>
        <v>60.00</v>
      </c>
      <c r="U92" s="164" t="str">
        <f t="shared" si="197"/>
        <v>43.81</v>
      </c>
      <c r="V92" s="165" t="str">
        <f t="shared" si="198"/>
        <v>0.00</v>
      </c>
      <c r="W92" s="166">
        <v>0.63</v>
      </c>
      <c r="X92" s="167">
        <v>97.0</v>
      </c>
      <c r="Y92" s="168" t="str">
        <f t="shared" si="199"/>
        <v>307.125</v>
      </c>
      <c r="Z92" s="168" t="str">
        <f t="shared" si="200"/>
        <v>23.377</v>
      </c>
      <c r="AA92" s="164" t="str">
        <f t="shared" si="201"/>
        <v>3.36</v>
      </c>
      <c r="AB92" s="164">
        <v>93.29</v>
      </c>
      <c r="AC92" s="164" t="str">
        <f t="shared" si="202"/>
        <v>4.80</v>
      </c>
      <c r="AD92" s="165" t="str">
        <f t="shared" si="203"/>
        <v>94.50</v>
      </c>
      <c r="AE92" s="23"/>
      <c r="AF92" s="169" t="str">
        <f t="shared" si="204"/>
        <v>0</v>
      </c>
      <c r="AG92" s="163" t="str">
        <f t="shared" si="205"/>
        <v>94.59</v>
      </c>
      <c r="AH92" s="170" t="str">
        <f t="shared" si="206"/>
        <v>43.70%</v>
      </c>
      <c r="AI92" s="26"/>
      <c r="AJ92" s="171" t="str">
        <f t="shared" si="207"/>
        <v>0.00%</v>
      </c>
      <c r="AK92" s="172" t="str">
        <f t="shared" si="208"/>
        <v>0.00</v>
      </c>
      <c r="AL92" s="173" t="str">
        <f t="shared" si="209"/>
        <v>838.51</v>
      </c>
      <c r="AM92" s="174" t="str">
        <f t="shared" si="210"/>
        <v>595.34</v>
      </c>
    </row>
    <row r="93" ht="12.75" customHeight="1">
      <c r="A93" s="26"/>
      <c r="B93" s="190" t="s">
        <v>211</v>
      </c>
      <c r="C93" s="199">
        <v>1.50925322E8</v>
      </c>
      <c r="D93" s="152" t="s">
        <v>212</v>
      </c>
      <c r="E93" s="53" t="s">
        <v>77</v>
      </c>
      <c r="F93" s="154">
        <v>1.0</v>
      </c>
      <c r="G93" s="53"/>
      <c r="H93" s="53" t="str">
        <f t="shared" si="190"/>
        <v>0.00069</v>
      </c>
      <c r="I93" s="53" t="str">
        <f t="shared" si="191"/>
        <v>89</v>
      </c>
      <c r="J93" s="53" t="str">
        <f t="shared" si="192"/>
        <v>0</v>
      </c>
      <c r="K93" s="155" t="str">
        <f t="shared" si="193"/>
        <v>0.00</v>
      </c>
      <c r="L93" s="156" t="str">
        <f t="shared" si="194"/>
        <v>0.00 </v>
      </c>
      <c r="M93" s="132">
        <v>90.0</v>
      </c>
      <c r="N93" s="157">
        <v>242.88</v>
      </c>
      <c r="O93" s="158">
        <v>945.0</v>
      </c>
      <c r="P93" s="159" t="str">
        <f t="shared" ref="P93:P114" si="212">O93</f>
        <v>945.00</v>
      </c>
      <c r="Q93" s="160">
        <v>750.0</v>
      </c>
      <c r="R93" s="161">
        <v>0.26</v>
      </c>
      <c r="S93" s="162" t="str">
        <f t="shared" si="195"/>
        <v>699.30</v>
      </c>
      <c r="T93" s="163" t="str">
        <f t="shared" si="196"/>
        <v>60.00</v>
      </c>
      <c r="U93" s="164" t="str">
        <f t="shared" si="197"/>
        <v>52.28</v>
      </c>
      <c r="V93" s="165" t="str">
        <f t="shared" si="198"/>
        <v>0.00</v>
      </c>
      <c r="W93" s="166">
        <v>0.63</v>
      </c>
      <c r="X93" s="167">
        <v>79.0</v>
      </c>
      <c r="Y93" s="168" t="str">
        <f t="shared" si="199"/>
        <v>307.125</v>
      </c>
      <c r="Z93" s="168" t="str">
        <f t="shared" si="200"/>
        <v>27.902</v>
      </c>
      <c r="AA93" s="164" t="str">
        <f t="shared" si="201"/>
        <v>2.00</v>
      </c>
      <c r="AB93" s="164">
        <v>96.0</v>
      </c>
      <c r="AC93" s="164" t="str">
        <f t="shared" si="202"/>
        <v>4.80</v>
      </c>
      <c r="AD93" s="165" t="str">
        <f t="shared" si="203"/>
        <v>94.50</v>
      </c>
      <c r="AE93" s="23"/>
      <c r="AF93" s="169" t="str">
        <f t="shared" si="204"/>
        <v>0</v>
      </c>
      <c r="AG93" s="163" t="str">
        <f t="shared" si="205"/>
        <v>74.51</v>
      </c>
      <c r="AH93" s="170" t="str">
        <f t="shared" si="206"/>
        <v>30.68%</v>
      </c>
      <c r="AI93" s="26"/>
      <c r="AJ93" s="171" t="str">
        <f t="shared" si="207"/>
        <v>0.00%</v>
      </c>
      <c r="AK93" s="172" t="str">
        <f t="shared" si="208"/>
        <v>0.00</v>
      </c>
      <c r="AL93" s="173" t="str">
        <f t="shared" si="209"/>
        <v>854.05</v>
      </c>
      <c r="AM93" s="174" t="str">
        <f t="shared" si="210"/>
        <v>606.38</v>
      </c>
    </row>
    <row r="94" ht="12.75" customHeight="1">
      <c r="A94" s="26"/>
      <c r="B94" s="190"/>
      <c r="C94" s="199">
        <v>6.11747838E8</v>
      </c>
      <c r="D94" s="152" t="s">
        <v>213</v>
      </c>
      <c r="E94" s="53" t="s">
        <v>77</v>
      </c>
      <c r="F94" s="154">
        <v>1.0</v>
      </c>
      <c r="G94" s="53"/>
      <c r="H94" s="53" t="str">
        <f t="shared" si="190"/>
        <v>0.00069</v>
      </c>
      <c r="I94" s="53" t="str">
        <f t="shared" si="191"/>
        <v>89</v>
      </c>
      <c r="J94" s="53" t="str">
        <f t="shared" si="192"/>
        <v>0</v>
      </c>
      <c r="K94" s="155" t="str">
        <f t="shared" si="193"/>
        <v>0.00</v>
      </c>
      <c r="L94" s="156" t="str">
        <f t="shared" si="194"/>
        <v>0.00 </v>
      </c>
      <c r="M94" s="132">
        <v>90.0</v>
      </c>
      <c r="N94" s="157">
        <v>242.88</v>
      </c>
      <c r="O94" s="158">
        <v>945.0</v>
      </c>
      <c r="P94" s="159" t="str">
        <f t="shared" si="212"/>
        <v>945.00</v>
      </c>
      <c r="Q94" s="160">
        <v>750.0</v>
      </c>
      <c r="R94" s="161">
        <v>0.26</v>
      </c>
      <c r="S94" s="162" t="str">
        <f t="shared" si="195"/>
        <v>699.30</v>
      </c>
      <c r="T94" s="163" t="str">
        <f t="shared" si="196"/>
        <v>60.00</v>
      </c>
      <c r="U94" s="164" t="str">
        <f t="shared" si="197"/>
        <v>52.28</v>
      </c>
      <c r="V94" s="165" t="str">
        <f t="shared" si="198"/>
        <v>0.00</v>
      </c>
      <c r="W94" s="166">
        <v>0.63</v>
      </c>
      <c r="X94" s="167">
        <v>79.0</v>
      </c>
      <c r="Y94" s="168" t="str">
        <f t="shared" si="199"/>
        <v>307.125</v>
      </c>
      <c r="Z94" s="168" t="str">
        <f t="shared" si="200"/>
        <v>27.902</v>
      </c>
      <c r="AA94" s="164" t="str">
        <f t="shared" si="201"/>
        <v>5.08</v>
      </c>
      <c r="AB94" s="164">
        <v>89.84</v>
      </c>
      <c r="AC94" s="164" t="str">
        <f t="shared" si="202"/>
        <v>4.80</v>
      </c>
      <c r="AD94" s="165" t="str">
        <f t="shared" si="203"/>
        <v>94.50</v>
      </c>
      <c r="AE94" s="23"/>
      <c r="AF94" s="169" t="str">
        <f t="shared" si="204"/>
        <v>0</v>
      </c>
      <c r="AG94" s="163" t="str">
        <f t="shared" si="205"/>
        <v>71.43</v>
      </c>
      <c r="AH94" s="170" t="str">
        <f t="shared" si="206"/>
        <v>29.41%</v>
      </c>
      <c r="AI94" s="26"/>
      <c r="AJ94" s="171"/>
      <c r="AK94" s="172"/>
      <c r="AL94" s="173"/>
      <c r="AM94" s="174"/>
    </row>
    <row r="95" ht="12.75" customHeight="1">
      <c r="A95" s="26"/>
      <c r="B95" s="190" t="s">
        <v>214</v>
      </c>
      <c r="C95" s="199">
        <v>2.3841601E8</v>
      </c>
      <c r="D95" s="152" t="s">
        <v>215</v>
      </c>
      <c r="E95" s="53" t="s">
        <v>77</v>
      </c>
      <c r="F95" s="154">
        <v>1.0</v>
      </c>
      <c r="G95" s="53"/>
      <c r="H95" s="53" t="str">
        <f t="shared" si="190"/>
        <v>0.00069</v>
      </c>
      <c r="I95" s="53" t="str">
        <f t="shared" si="191"/>
        <v>89</v>
      </c>
      <c r="J95" s="53" t="str">
        <f t="shared" si="192"/>
        <v>0</v>
      </c>
      <c r="K95" s="155" t="str">
        <f t="shared" si="193"/>
        <v>0.00</v>
      </c>
      <c r="L95" s="156" t="str">
        <f t="shared" si="194"/>
        <v>0.00 </v>
      </c>
      <c r="M95" s="132">
        <v>90.0</v>
      </c>
      <c r="N95" s="175">
        <v>183.88</v>
      </c>
      <c r="O95" s="158">
        <v>640.0</v>
      </c>
      <c r="P95" s="159" t="str">
        <f t="shared" si="212"/>
        <v>640.00</v>
      </c>
      <c r="Q95" s="160">
        <v>552.0</v>
      </c>
      <c r="R95" s="161">
        <v>0.26</v>
      </c>
      <c r="S95" s="162" t="str">
        <f t="shared" si="195"/>
        <v>473.60</v>
      </c>
      <c r="T95" s="163" t="str">
        <f t="shared" si="196"/>
        <v>60.00</v>
      </c>
      <c r="U95" s="164" t="str">
        <f t="shared" si="197"/>
        <v>35.41</v>
      </c>
      <c r="V95" s="165" t="str">
        <f t="shared" si="198"/>
        <v>0.00</v>
      </c>
      <c r="W95" s="166">
        <v>0.73</v>
      </c>
      <c r="X95" s="167">
        <v>90.0</v>
      </c>
      <c r="Y95" s="168" t="str">
        <f t="shared" si="199"/>
        <v>208.000</v>
      </c>
      <c r="Z95" s="168" t="str">
        <f t="shared" si="200"/>
        <v>18.897</v>
      </c>
      <c r="AA95" s="164" t="str">
        <f t="shared" si="201"/>
        <v>2.11</v>
      </c>
      <c r="AB95" s="164">
        <v>95.78</v>
      </c>
      <c r="AC95" s="164" t="str">
        <f t="shared" si="202"/>
        <v>4.80</v>
      </c>
      <c r="AD95" s="165" t="str">
        <f t="shared" si="203"/>
        <v>64.00</v>
      </c>
      <c r="AE95" s="23"/>
      <c r="AF95" s="169" t="str">
        <f t="shared" si="204"/>
        <v>0</v>
      </c>
      <c r="AG95" s="163" t="str">
        <f t="shared" si="205"/>
        <v>-27.10</v>
      </c>
      <c r="AH95" s="170" t="str">
        <f t="shared" si="206"/>
        <v>-14.74%</v>
      </c>
      <c r="AI95" s="26"/>
      <c r="AJ95" s="171" t="str">
        <f t="shared" ref="AJ95:AJ103" si="213">$AD$3</f>
        <v>0.00%</v>
      </c>
      <c r="AK95" s="172" t="str">
        <f t="shared" ref="AK95:AK103" si="214">N95*AJ95</f>
        <v>0.00</v>
      </c>
      <c r="AL95" s="173" t="str">
        <f t="shared" ref="AL95:AL103" si="215">(N95+T95+V95+X95+AA95+AC95+AF95+AK95)/(100%-($C$2+$C$8+$Y$6+$Y$7))</f>
        <v>748.82</v>
      </c>
      <c r="AM95" s="174" t="str">
        <f t="shared" ref="AM95:AM103" si="216">AL95-(AL95*$AD$1)</f>
        <v>531.67</v>
      </c>
    </row>
    <row r="96" ht="12.75" customHeight="1">
      <c r="A96" s="26"/>
      <c r="B96" s="190" t="s">
        <v>216</v>
      </c>
      <c r="C96" s="199">
        <v>2.07796789E8</v>
      </c>
      <c r="D96" s="152" t="s">
        <v>217</v>
      </c>
      <c r="E96" s="53" t="s">
        <v>77</v>
      </c>
      <c r="F96" s="154">
        <v>1.0</v>
      </c>
      <c r="G96" s="53"/>
      <c r="H96" s="53" t="str">
        <f t="shared" si="190"/>
        <v>0.00069</v>
      </c>
      <c r="I96" s="53" t="str">
        <f t="shared" si="191"/>
        <v>89</v>
      </c>
      <c r="J96" s="53" t="str">
        <f t="shared" si="192"/>
        <v>0</v>
      </c>
      <c r="K96" s="155" t="str">
        <f t="shared" si="193"/>
        <v>0.00</v>
      </c>
      <c r="L96" s="156" t="str">
        <f t="shared" si="194"/>
        <v>0.00 </v>
      </c>
      <c r="M96" s="132">
        <v>90.0</v>
      </c>
      <c r="N96" s="175">
        <v>245.65</v>
      </c>
      <c r="O96" s="158">
        <v>985.0</v>
      </c>
      <c r="P96" s="159" t="str">
        <f t="shared" si="212"/>
        <v>985.00</v>
      </c>
      <c r="Q96" s="160">
        <v>847.0</v>
      </c>
      <c r="R96" s="161">
        <v>0.26</v>
      </c>
      <c r="S96" s="162" t="str">
        <f t="shared" si="195"/>
        <v>728.90</v>
      </c>
      <c r="T96" s="163" t="str">
        <f t="shared" si="196"/>
        <v>60.00</v>
      </c>
      <c r="U96" s="164" t="str">
        <f t="shared" si="197"/>
        <v>54.50</v>
      </c>
      <c r="V96" s="165" t="str">
        <f t="shared" si="198"/>
        <v>0.00</v>
      </c>
      <c r="W96" s="166">
        <v>0.63</v>
      </c>
      <c r="X96" s="167">
        <v>82.0</v>
      </c>
      <c r="Y96" s="168" t="str">
        <f t="shared" si="199"/>
        <v>320.125</v>
      </c>
      <c r="Z96" s="168" t="str">
        <f t="shared" si="200"/>
        <v>29.083</v>
      </c>
      <c r="AA96" s="164" t="str">
        <f t="shared" si="201"/>
        <v>6.67</v>
      </c>
      <c r="AB96" s="164">
        <v>86.67</v>
      </c>
      <c r="AC96" s="164" t="str">
        <f t="shared" si="202"/>
        <v>4.80</v>
      </c>
      <c r="AD96" s="165" t="str">
        <f t="shared" si="203"/>
        <v>98.50</v>
      </c>
      <c r="AE96" s="23"/>
      <c r="AF96" s="169" t="str">
        <f t="shared" si="204"/>
        <v>0</v>
      </c>
      <c r="AG96" s="163" t="str">
        <f t="shared" si="205"/>
        <v>83.68</v>
      </c>
      <c r="AH96" s="170" t="str">
        <f t="shared" si="206"/>
        <v>34.06%</v>
      </c>
      <c r="AI96" s="26"/>
      <c r="AJ96" s="171" t="str">
        <f t="shared" si="213"/>
        <v>0.00%</v>
      </c>
      <c r="AK96" s="172" t="str">
        <f t="shared" si="214"/>
        <v>0.00</v>
      </c>
      <c r="AL96" s="173" t="str">
        <f t="shared" si="215"/>
        <v>876.98</v>
      </c>
      <c r="AM96" s="174" t="str">
        <f t="shared" si="216"/>
        <v>622.66</v>
      </c>
    </row>
    <row r="97" ht="12.75" customHeight="1">
      <c r="A97" s="26"/>
      <c r="B97" s="190" t="s">
        <v>218</v>
      </c>
      <c r="C97" s="199">
        <v>2.07796898E8</v>
      </c>
      <c r="D97" s="152" t="s">
        <v>219</v>
      </c>
      <c r="E97" s="53" t="s">
        <v>77</v>
      </c>
      <c r="F97" s="154">
        <v>1.0</v>
      </c>
      <c r="G97" s="53"/>
      <c r="H97" s="53" t="str">
        <f t="shared" si="190"/>
        <v>0.00069</v>
      </c>
      <c r="I97" s="53" t="str">
        <f t="shared" si="191"/>
        <v>89</v>
      </c>
      <c r="J97" s="53" t="str">
        <f t="shared" si="192"/>
        <v>0</v>
      </c>
      <c r="K97" s="155" t="str">
        <f t="shared" si="193"/>
        <v>0.00</v>
      </c>
      <c r="L97" s="156" t="str">
        <f t="shared" si="194"/>
        <v>0.00 </v>
      </c>
      <c r="M97" s="132">
        <v>90.0</v>
      </c>
      <c r="N97" s="157">
        <v>270.81</v>
      </c>
      <c r="O97" s="158">
        <v>840.0</v>
      </c>
      <c r="P97" s="159" t="str">
        <f t="shared" si="212"/>
        <v>840.00</v>
      </c>
      <c r="Q97" s="160">
        <v>850.0</v>
      </c>
      <c r="R97" s="161">
        <v>0.26</v>
      </c>
      <c r="S97" s="162" t="str">
        <f t="shared" si="195"/>
        <v>621.60</v>
      </c>
      <c r="T97" s="163" t="str">
        <f t="shared" si="196"/>
        <v>60.00</v>
      </c>
      <c r="U97" s="164" t="str">
        <f t="shared" si="197"/>
        <v>46.47</v>
      </c>
      <c r="V97" s="165" t="str">
        <f t="shared" si="198"/>
        <v>0.00</v>
      </c>
      <c r="W97" s="166">
        <v>0.63</v>
      </c>
      <c r="X97" s="167" t="str">
        <f t="shared" ref="X97:X111" si="217">((_xlfn.CEILING.MATH(W97)-1)*$C$5+$C$4)</f>
        <v>76</v>
      </c>
      <c r="Y97" s="168" t="str">
        <f t="shared" si="199"/>
        <v>273.000</v>
      </c>
      <c r="Z97" s="168" t="str">
        <f t="shared" si="200"/>
        <v>24.802</v>
      </c>
      <c r="AA97" s="164" t="str">
        <f t="shared" si="201"/>
        <v>3.91</v>
      </c>
      <c r="AB97" s="164">
        <v>92.19</v>
      </c>
      <c r="AC97" s="164" t="str">
        <f t="shared" si="202"/>
        <v>4.80</v>
      </c>
      <c r="AD97" s="165" t="str">
        <f t="shared" si="203"/>
        <v>84.00</v>
      </c>
      <c r="AE97" s="23"/>
      <c r="AF97" s="169" t="str">
        <f t="shared" si="204"/>
        <v>0</v>
      </c>
      <c r="AG97" s="163" t="str">
        <f t="shared" si="205"/>
        <v>-3.79</v>
      </c>
      <c r="AH97" s="170" t="str">
        <f t="shared" si="206"/>
        <v>-1.40%</v>
      </c>
      <c r="AI97" s="26"/>
      <c r="AJ97" s="171" t="str">
        <f t="shared" si="213"/>
        <v>0.00%</v>
      </c>
      <c r="AK97" s="172" t="str">
        <f t="shared" si="214"/>
        <v>0.00</v>
      </c>
      <c r="AL97" s="173" t="str">
        <f t="shared" si="215"/>
        <v>913.02</v>
      </c>
      <c r="AM97" s="174" t="str">
        <f t="shared" si="216"/>
        <v>648.24</v>
      </c>
    </row>
    <row r="98" ht="12.75" customHeight="1">
      <c r="A98" s="26"/>
      <c r="B98" s="190" t="s">
        <v>220</v>
      </c>
      <c r="C98" s="199">
        <v>1.70198738E8</v>
      </c>
      <c r="D98" s="152" t="s">
        <v>221</v>
      </c>
      <c r="E98" s="53" t="s">
        <v>77</v>
      </c>
      <c r="F98" s="154">
        <v>1.0</v>
      </c>
      <c r="G98" s="53"/>
      <c r="H98" s="53" t="str">
        <f t="shared" si="190"/>
        <v>0.00069</v>
      </c>
      <c r="I98" s="53" t="str">
        <f t="shared" si="191"/>
        <v>89</v>
      </c>
      <c r="J98" s="53" t="str">
        <f t="shared" si="192"/>
        <v>0</v>
      </c>
      <c r="K98" s="155" t="str">
        <f t="shared" si="193"/>
        <v>0.00</v>
      </c>
      <c r="L98" s="156" t="str">
        <f t="shared" si="194"/>
        <v>0.00 </v>
      </c>
      <c r="M98" s="132">
        <v>90.0</v>
      </c>
      <c r="N98" s="157">
        <v>335.9</v>
      </c>
      <c r="O98" s="158">
        <v>1150.0</v>
      </c>
      <c r="P98" s="159" t="str">
        <f t="shared" si="212"/>
        <v>1,150.00</v>
      </c>
      <c r="Q98" s="160">
        <v>957.0</v>
      </c>
      <c r="R98" s="161">
        <v>0.26</v>
      </c>
      <c r="S98" s="162" t="str">
        <f t="shared" si="195"/>
        <v>851.00</v>
      </c>
      <c r="T98" s="163" t="str">
        <f t="shared" si="196"/>
        <v>60.00</v>
      </c>
      <c r="U98" s="164" t="str">
        <f t="shared" si="197"/>
        <v>63.63</v>
      </c>
      <c r="V98" s="165" t="str">
        <f t="shared" si="198"/>
        <v>0.00</v>
      </c>
      <c r="W98" s="166">
        <v>0.4</v>
      </c>
      <c r="X98" s="167" t="str">
        <f t="shared" si="217"/>
        <v>76</v>
      </c>
      <c r="Y98" s="168" t="str">
        <f t="shared" si="199"/>
        <v>373.750</v>
      </c>
      <c r="Z98" s="168" t="str">
        <f t="shared" si="200"/>
        <v>33.955</v>
      </c>
      <c r="AA98" s="164" t="str">
        <f t="shared" si="201"/>
        <v>3.26</v>
      </c>
      <c r="AB98" s="164">
        <v>93.49</v>
      </c>
      <c r="AC98" s="164" t="str">
        <f t="shared" si="202"/>
        <v>4.80</v>
      </c>
      <c r="AD98" s="165" t="str">
        <f t="shared" si="203"/>
        <v>115.00</v>
      </c>
      <c r="AE98" s="23"/>
      <c r="AF98" s="169" t="str">
        <f t="shared" si="204"/>
        <v>0</v>
      </c>
      <c r="AG98" s="163" t="str">
        <f t="shared" si="205"/>
        <v>83.71</v>
      </c>
      <c r="AH98" s="170" t="str">
        <f t="shared" si="206"/>
        <v>24.92%</v>
      </c>
      <c r="AI98" s="26"/>
      <c r="AJ98" s="171" t="str">
        <f t="shared" si="213"/>
        <v>0.00%</v>
      </c>
      <c r="AK98" s="172" t="str">
        <f t="shared" si="214"/>
        <v>0.00</v>
      </c>
      <c r="AL98" s="173" t="str">
        <f t="shared" si="215"/>
        <v>1,054.61</v>
      </c>
      <c r="AM98" s="174" t="str">
        <f t="shared" si="216"/>
        <v>748.78</v>
      </c>
    </row>
    <row r="99" ht="12.75" customHeight="1">
      <c r="A99" s="26"/>
      <c r="B99" s="190" t="s">
        <v>222</v>
      </c>
      <c r="C99" s="199">
        <v>1.70198337E8</v>
      </c>
      <c r="D99" s="152" t="s">
        <v>223</v>
      </c>
      <c r="E99" s="53" t="s">
        <v>77</v>
      </c>
      <c r="F99" s="154">
        <v>1.0</v>
      </c>
      <c r="G99" s="53"/>
      <c r="H99" s="53" t="str">
        <f t="shared" si="190"/>
        <v>0.00069</v>
      </c>
      <c r="I99" s="53" t="str">
        <f t="shared" si="191"/>
        <v>89</v>
      </c>
      <c r="J99" s="53" t="str">
        <f t="shared" si="192"/>
        <v>0</v>
      </c>
      <c r="K99" s="155" t="str">
        <f t="shared" si="193"/>
        <v>0.00</v>
      </c>
      <c r="L99" s="156" t="str">
        <f t="shared" si="194"/>
        <v>0.00 </v>
      </c>
      <c r="M99" s="132">
        <v>90.0</v>
      </c>
      <c r="N99" s="157">
        <v>304.77</v>
      </c>
      <c r="O99" s="158">
        <v>1100.0</v>
      </c>
      <c r="P99" s="159" t="str">
        <f t="shared" si="212"/>
        <v>1,100.00</v>
      </c>
      <c r="Q99" s="160">
        <v>760.0</v>
      </c>
      <c r="R99" s="161">
        <v>0.26</v>
      </c>
      <c r="S99" s="162" t="str">
        <f t="shared" si="195"/>
        <v>814.00</v>
      </c>
      <c r="T99" s="163" t="str">
        <f t="shared" si="196"/>
        <v>60.00</v>
      </c>
      <c r="U99" s="164" t="str">
        <f t="shared" si="197"/>
        <v>60.86</v>
      </c>
      <c r="V99" s="165" t="str">
        <f t="shared" si="198"/>
        <v>0.00</v>
      </c>
      <c r="W99" s="166">
        <v>0.4</v>
      </c>
      <c r="X99" s="167" t="str">
        <f t="shared" si="217"/>
        <v>76</v>
      </c>
      <c r="Y99" s="168" t="str">
        <f t="shared" si="199"/>
        <v>357.500</v>
      </c>
      <c r="Z99" s="168" t="str">
        <f t="shared" si="200"/>
        <v>32.479</v>
      </c>
      <c r="AA99" s="164" t="str">
        <f t="shared" si="201"/>
        <v>2.90</v>
      </c>
      <c r="AB99" s="164">
        <v>94.21</v>
      </c>
      <c r="AC99" s="164" t="str">
        <f t="shared" si="202"/>
        <v>4.80</v>
      </c>
      <c r="AD99" s="165" t="str">
        <f t="shared" si="203"/>
        <v>110.00</v>
      </c>
      <c r="AE99" s="23"/>
      <c r="AF99" s="169" t="str">
        <f t="shared" si="204"/>
        <v>0</v>
      </c>
      <c r="AG99" s="163" t="str">
        <f t="shared" si="205"/>
        <v>90.70</v>
      </c>
      <c r="AH99" s="170" t="str">
        <f t="shared" si="206"/>
        <v>29.76%</v>
      </c>
      <c r="AI99" s="26"/>
      <c r="AJ99" s="171" t="str">
        <f t="shared" si="213"/>
        <v>0.00%</v>
      </c>
      <c r="AK99" s="172" t="str">
        <f t="shared" si="214"/>
        <v>0.00</v>
      </c>
      <c r="AL99" s="173" t="str">
        <f t="shared" si="215"/>
        <v>985.42</v>
      </c>
      <c r="AM99" s="174" t="str">
        <f t="shared" si="216"/>
        <v>699.65</v>
      </c>
    </row>
    <row r="100" ht="12.75" customHeight="1">
      <c r="A100" s="26"/>
      <c r="B100" s="190" t="s">
        <v>224</v>
      </c>
      <c r="C100" s="199">
        <v>1.7019818E8</v>
      </c>
      <c r="D100" s="152" t="s">
        <v>225</v>
      </c>
      <c r="E100" s="53" t="s">
        <v>77</v>
      </c>
      <c r="F100" s="154">
        <v>1.0</v>
      </c>
      <c r="G100" s="53"/>
      <c r="H100" s="53" t="str">
        <f t="shared" si="190"/>
        <v>0.00069</v>
      </c>
      <c r="I100" s="53" t="str">
        <f t="shared" si="191"/>
        <v>89</v>
      </c>
      <c r="J100" s="53" t="str">
        <f t="shared" si="192"/>
        <v>0</v>
      </c>
      <c r="K100" s="155" t="str">
        <f t="shared" si="193"/>
        <v>0.00</v>
      </c>
      <c r="L100" s="156" t="str">
        <f t="shared" si="194"/>
        <v>0.00 </v>
      </c>
      <c r="M100" s="132">
        <v>90.0</v>
      </c>
      <c r="N100" s="157">
        <v>269.65</v>
      </c>
      <c r="O100" s="158">
        <v>945.0</v>
      </c>
      <c r="P100" s="159" t="str">
        <f t="shared" si="212"/>
        <v>945.00</v>
      </c>
      <c r="Q100" s="160">
        <v>950.0</v>
      </c>
      <c r="R100" s="161">
        <v>0.26</v>
      </c>
      <c r="S100" s="162" t="str">
        <f t="shared" si="195"/>
        <v>699.30</v>
      </c>
      <c r="T100" s="163" t="str">
        <f t="shared" si="196"/>
        <v>60.00</v>
      </c>
      <c r="U100" s="164" t="str">
        <f t="shared" si="197"/>
        <v>52.28</v>
      </c>
      <c r="V100" s="165" t="str">
        <f t="shared" si="198"/>
        <v>0.00</v>
      </c>
      <c r="W100" s="166">
        <v>0.4</v>
      </c>
      <c r="X100" s="167" t="str">
        <f t="shared" si="217"/>
        <v>76</v>
      </c>
      <c r="Y100" s="168" t="str">
        <f t="shared" si="199"/>
        <v>307.125</v>
      </c>
      <c r="Z100" s="168" t="str">
        <f t="shared" si="200"/>
        <v>27.902</v>
      </c>
      <c r="AA100" s="164" t="str">
        <f t="shared" si="201"/>
        <v>4.85</v>
      </c>
      <c r="AB100" s="164">
        <v>90.3</v>
      </c>
      <c r="AC100" s="164" t="str">
        <f t="shared" si="202"/>
        <v>4.80</v>
      </c>
      <c r="AD100" s="165" t="str">
        <f t="shared" si="203"/>
        <v>94.50</v>
      </c>
      <c r="AE100" s="23"/>
      <c r="AF100" s="169" t="str">
        <f t="shared" si="204"/>
        <v>0</v>
      </c>
      <c r="AG100" s="163" t="str">
        <f t="shared" si="205"/>
        <v>47.89</v>
      </c>
      <c r="AH100" s="170" t="str">
        <f t="shared" si="206"/>
        <v>17.76%</v>
      </c>
      <c r="AI100" s="26"/>
      <c r="AJ100" s="171" t="str">
        <f t="shared" si="213"/>
        <v>0.00%</v>
      </c>
      <c r="AK100" s="172" t="str">
        <f t="shared" si="214"/>
        <v>0.00</v>
      </c>
      <c r="AL100" s="173" t="str">
        <f t="shared" si="215"/>
        <v>912.55</v>
      </c>
      <c r="AM100" s="174" t="str">
        <f t="shared" si="216"/>
        <v>647.91</v>
      </c>
    </row>
    <row r="101" ht="12.75" customHeight="1">
      <c r="A101" s="26"/>
      <c r="B101" s="190" t="s">
        <v>226</v>
      </c>
      <c r="C101" s="199">
        <v>1.70198109E8</v>
      </c>
      <c r="D101" s="152" t="s">
        <v>227</v>
      </c>
      <c r="E101" s="53" t="s">
        <v>77</v>
      </c>
      <c r="F101" s="154">
        <v>1.0</v>
      </c>
      <c r="G101" s="53"/>
      <c r="H101" s="53" t="str">
        <f t="shared" si="190"/>
        <v>0.00069</v>
      </c>
      <c r="I101" s="53" t="str">
        <f t="shared" si="191"/>
        <v>89</v>
      </c>
      <c r="J101" s="53" t="str">
        <f t="shared" si="192"/>
        <v>0</v>
      </c>
      <c r="K101" s="155" t="str">
        <f t="shared" si="193"/>
        <v>0.00</v>
      </c>
      <c r="L101" s="156" t="str">
        <f t="shared" si="194"/>
        <v>0.00 </v>
      </c>
      <c r="M101" s="132">
        <v>90.0</v>
      </c>
      <c r="N101" s="157">
        <v>269.65</v>
      </c>
      <c r="O101" s="158">
        <v>999.0</v>
      </c>
      <c r="P101" s="159" t="str">
        <f t="shared" si="212"/>
        <v>999.00</v>
      </c>
      <c r="Q101" s="160">
        <v>1026.0</v>
      </c>
      <c r="R101" s="161">
        <v>0.26</v>
      </c>
      <c r="S101" s="162" t="str">
        <f t="shared" si="195"/>
        <v>739.26</v>
      </c>
      <c r="T101" s="163" t="str">
        <f t="shared" si="196"/>
        <v>60.00</v>
      </c>
      <c r="U101" s="164" t="str">
        <f t="shared" si="197"/>
        <v>55.27</v>
      </c>
      <c r="V101" s="165" t="str">
        <f t="shared" si="198"/>
        <v>0.00</v>
      </c>
      <c r="W101" s="166">
        <v>0.4</v>
      </c>
      <c r="X101" s="167" t="str">
        <f t="shared" si="217"/>
        <v>76</v>
      </c>
      <c r="Y101" s="168" t="str">
        <f t="shared" si="199"/>
        <v>324.675</v>
      </c>
      <c r="Z101" s="168" t="str">
        <f t="shared" si="200"/>
        <v>29.496</v>
      </c>
      <c r="AA101" s="164" t="str">
        <f t="shared" si="201"/>
        <v>2.67</v>
      </c>
      <c r="AB101" s="164">
        <v>94.66</v>
      </c>
      <c r="AC101" s="164" t="str">
        <f t="shared" si="202"/>
        <v>4.80</v>
      </c>
      <c r="AD101" s="165" t="str">
        <f t="shared" si="203"/>
        <v>99.90</v>
      </c>
      <c r="AE101" s="23"/>
      <c r="AF101" s="169" t="str">
        <f t="shared" si="204"/>
        <v>0</v>
      </c>
      <c r="AG101" s="163" t="str">
        <f t="shared" si="205"/>
        <v>76.54</v>
      </c>
      <c r="AH101" s="170" t="str">
        <f t="shared" si="206"/>
        <v>28.38%</v>
      </c>
      <c r="AI101" s="26"/>
      <c r="AJ101" s="171" t="str">
        <f t="shared" si="213"/>
        <v>0.00%</v>
      </c>
      <c r="AK101" s="172" t="str">
        <f t="shared" si="214"/>
        <v>0.00</v>
      </c>
      <c r="AL101" s="173" t="str">
        <f t="shared" si="215"/>
        <v>907.76</v>
      </c>
      <c r="AM101" s="174" t="str">
        <f t="shared" si="216"/>
        <v>644.51</v>
      </c>
    </row>
    <row r="102" ht="12.75" customHeight="1">
      <c r="A102" s="26"/>
      <c r="B102" s="190" t="s">
        <v>228</v>
      </c>
      <c r="C102" s="199">
        <v>1.70198835E8</v>
      </c>
      <c r="D102" s="152" t="s">
        <v>229</v>
      </c>
      <c r="E102" s="53" t="s">
        <v>77</v>
      </c>
      <c r="F102" s="154">
        <v>1.0</v>
      </c>
      <c r="G102" s="53"/>
      <c r="H102" s="53" t="str">
        <f t="shared" si="190"/>
        <v>0.00069</v>
      </c>
      <c r="I102" s="53" t="str">
        <f t="shared" si="191"/>
        <v>89</v>
      </c>
      <c r="J102" s="53" t="str">
        <f t="shared" si="192"/>
        <v>0</v>
      </c>
      <c r="K102" s="155" t="str">
        <f t="shared" si="193"/>
        <v>0.00</v>
      </c>
      <c r="L102" s="156" t="str">
        <f t="shared" si="194"/>
        <v>0.00 </v>
      </c>
      <c r="M102" s="132">
        <v>90.0</v>
      </c>
      <c r="N102" s="157">
        <v>315.45</v>
      </c>
      <c r="O102" s="158">
        <v>920.0</v>
      </c>
      <c r="P102" s="159" t="str">
        <f t="shared" si="212"/>
        <v>920.00</v>
      </c>
      <c r="Q102" s="160">
        <v>865.0</v>
      </c>
      <c r="R102" s="161">
        <v>0.26</v>
      </c>
      <c r="S102" s="162" t="str">
        <f t="shared" si="195"/>
        <v>680.80</v>
      </c>
      <c r="T102" s="163" t="str">
        <f t="shared" si="196"/>
        <v>60.00</v>
      </c>
      <c r="U102" s="164" t="str">
        <f t="shared" si="197"/>
        <v>50.90</v>
      </c>
      <c r="V102" s="165" t="str">
        <f t="shared" si="198"/>
        <v>0.00</v>
      </c>
      <c r="W102" s="166">
        <v>0.4</v>
      </c>
      <c r="X102" s="167" t="str">
        <f t="shared" si="217"/>
        <v>76</v>
      </c>
      <c r="Y102" s="168" t="str">
        <f t="shared" si="199"/>
        <v>299.000</v>
      </c>
      <c r="Z102" s="168" t="str">
        <f t="shared" si="200"/>
        <v>27.164</v>
      </c>
      <c r="AA102" s="164" t="str">
        <f t="shared" si="201"/>
        <v>4.08</v>
      </c>
      <c r="AB102" s="164">
        <v>91.85</v>
      </c>
      <c r="AC102" s="164" t="str">
        <f t="shared" si="202"/>
        <v>4.80</v>
      </c>
      <c r="AD102" s="165" t="str">
        <f t="shared" si="203"/>
        <v>92.00</v>
      </c>
      <c r="AE102" s="23"/>
      <c r="AF102" s="169" t="str">
        <f t="shared" si="204"/>
        <v>0</v>
      </c>
      <c r="AG102" s="163" t="str">
        <f t="shared" si="205"/>
        <v>-9.39</v>
      </c>
      <c r="AH102" s="170" t="str">
        <f t="shared" si="206"/>
        <v>-2.98%</v>
      </c>
      <c r="AI102" s="26"/>
      <c r="AJ102" s="171" t="str">
        <f t="shared" si="213"/>
        <v>0.00%</v>
      </c>
      <c r="AK102" s="172" t="str">
        <f t="shared" si="214"/>
        <v>0.00</v>
      </c>
      <c r="AL102" s="173" t="str">
        <f t="shared" si="215"/>
        <v>1,011.48</v>
      </c>
      <c r="AM102" s="174" t="str">
        <f t="shared" si="216"/>
        <v>718.15</v>
      </c>
    </row>
    <row r="103" ht="12.75" customHeight="1">
      <c r="A103" s="26"/>
      <c r="B103" s="190" t="s">
        <v>230</v>
      </c>
      <c r="C103" s="199">
        <v>1.70198876E8</v>
      </c>
      <c r="D103" s="152" t="s">
        <v>231</v>
      </c>
      <c r="E103" s="53" t="s">
        <v>77</v>
      </c>
      <c r="F103" s="154">
        <v>1.0</v>
      </c>
      <c r="G103" s="53"/>
      <c r="H103" s="53" t="str">
        <f t="shared" si="190"/>
        <v>0.00069</v>
      </c>
      <c r="I103" s="53" t="str">
        <f t="shared" si="191"/>
        <v>89</v>
      </c>
      <c r="J103" s="53" t="str">
        <f t="shared" si="192"/>
        <v>0</v>
      </c>
      <c r="K103" s="155" t="str">
        <f t="shared" si="193"/>
        <v>0.00</v>
      </c>
      <c r="L103" s="156" t="str">
        <f t="shared" si="194"/>
        <v>0.00 </v>
      </c>
      <c r="M103" s="132">
        <v>90.0</v>
      </c>
      <c r="N103" s="157">
        <v>315.45</v>
      </c>
      <c r="O103" s="158">
        <v>920.0</v>
      </c>
      <c r="P103" s="159" t="str">
        <f t="shared" si="212"/>
        <v>920.00</v>
      </c>
      <c r="Q103" s="160">
        <v>920.0</v>
      </c>
      <c r="R103" s="161">
        <v>0.26</v>
      </c>
      <c r="S103" s="162" t="str">
        <f t="shared" si="195"/>
        <v>680.80</v>
      </c>
      <c r="T103" s="163" t="str">
        <f t="shared" si="196"/>
        <v>60.00</v>
      </c>
      <c r="U103" s="164" t="str">
        <f t="shared" si="197"/>
        <v>50.90</v>
      </c>
      <c r="V103" s="165" t="str">
        <f t="shared" si="198"/>
        <v>0.00</v>
      </c>
      <c r="W103" s="166">
        <v>0.4</v>
      </c>
      <c r="X103" s="167" t="str">
        <f t="shared" si="217"/>
        <v>76</v>
      </c>
      <c r="Y103" s="168" t="str">
        <f t="shared" si="199"/>
        <v>299.000</v>
      </c>
      <c r="Z103" s="168" t="str">
        <f t="shared" si="200"/>
        <v>27.164</v>
      </c>
      <c r="AA103" s="164" t="str">
        <f t="shared" si="201"/>
        <v>2.58</v>
      </c>
      <c r="AB103" s="164">
        <v>94.85</v>
      </c>
      <c r="AC103" s="164" t="str">
        <f t="shared" si="202"/>
        <v>4.80</v>
      </c>
      <c r="AD103" s="165" t="str">
        <f t="shared" si="203"/>
        <v>92.00</v>
      </c>
      <c r="AE103" s="23"/>
      <c r="AF103" s="169" t="str">
        <f t="shared" si="204"/>
        <v>0</v>
      </c>
      <c r="AG103" s="163" t="str">
        <f t="shared" si="205"/>
        <v>-7.89</v>
      </c>
      <c r="AH103" s="170" t="str">
        <f t="shared" si="206"/>
        <v>-2.50%</v>
      </c>
      <c r="AI103" s="26"/>
      <c r="AJ103" s="171" t="str">
        <f t="shared" si="213"/>
        <v>0.00%</v>
      </c>
      <c r="AK103" s="172" t="str">
        <f t="shared" si="214"/>
        <v>0.00</v>
      </c>
      <c r="AL103" s="173" t="str">
        <f t="shared" si="215"/>
        <v>1,008.19</v>
      </c>
      <c r="AM103" s="174" t="str">
        <f t="shared" si="216"/>
        <v>715.81</v>
      </c>
    </row>
    <row r="104" ht="12.75" customHeight="1">
      <c r="A104" s="26"/>
      <c r="B104" s="190"/>
      <c r="C104" s="199">
        <v>6.11717011E8</v>
      </c>
      <c r="D104" s="152" t="s">
        <v>232</v>
      </c>
      <c r="E104" s="53" t="s">
        <v>77</v>
      </c>
      <c r="F104" s="154">
        <v>1.0</v>
      </c>
      <c r="G104" s="53"/>
      <c r="H104" s="53" t="str">
        <f t="shared" si="190"/>
        <v>0.00069</v>
      </c>
      <c r="I104" s="53" t="str">
        <f t="shared" si="191"/>
        <v>89</v>
      </c>
      <c r="J104" s="53">
        <v>0.0</v>
      </c>
      <c r="K104" s="155">
        <v>0.0</v>
      </c>
      <c r="L104" s="156">
        <v>0.0</v>
      </c>
      <c r="M104" s="132">
        <v>90.0</v>
      </c>
      <c r="N104" s="157">
        <v>183.24</v>
      </c>
      <c r="O104" s="158">
        <v>800.0</v>
      </c>
      <c r="P104" s="159" t="str">
        <f t="shared" si="212"/>
        <v>800.00</v>
      </c>
      <c r="Q104" s="160"/>
      <c r="R104" s="161">
        <v>0.26</v>
      </c>
      <c r="S104" s="162" t="str">
        <f t="shared" si="195"/>
        <v>592.00</v>
      </c>
      <c r="T104" s="163" t="str">
        <f t="shared" si="196"/>
        <v>60.00</v>
      </c>
      <c r="U104" s="164" t="str">
        <f t="shared" si="197"/>
        <v>44.26</v>
      </c>
      <c r="V104" s="165" t="str">
        <f t="shared" si="198"/>
        <v>0.00</v>
      </c>
      <c r="W104" s="166">
        <v>0.4</v>
      </c>
      <c r="X104" s="167" t="str">
        <f t="shared" si="217"/>
        <v>76</v>
      </c>
      <c r="Y104" s="168" t="str">
        <f t="shared" si="199"/>
        <v>260.000</v>
      </c>
      <c r="Z104" s="168" t="str">
        <f t="shared" si="200"/>
        <v>23.621</v>
      </c>
      <c r="AA104" s="164" t="str">
        <f t="shared" si="201"/>
        <v>2.58</v>
      </c>
      <c r="AB104" s="164">
        <v>94.85</v>
      </c>
      <c r="AC104" s="164" t="str">
        <f t="shared" si="202"/>
        <v>4.80</v>
      </c>
      <c r="AD104" s="165" t="str">
        <f t="shared" si="203"/>
        <v>80.00</v>
      </c>
      <c r="AE104" s="23"/>
      <c r="AF104" s="169" t="str">
        <f t="shared" si="204"/>
        <v>0</v>
      </c>
      <c r="AG104" s="163" t="str">
        <f t="shared" si="205"/>
        <v>65.50</v>
      </c>
      <c r="AH104" s="170" t="str">
        <f t="shared" si="206"/>
        <v>35.75%</v>
      </c>
      <c r="AI104" s="26"/>
      <c r="AJ104" s="171"/>
      <c r="AK104" s="172"/>
      <c r="AL104" s="173"/>
      <c r="AM104" s="174"/>
    </row>
    <row r="105" ht="12.75" customHeight="1">
      <c r="A105" s="26"/>
      <c r="B105" s="190" t="s">
        <v>233</v>
      </c>
      <c r="C105" s="192">
        <v>2.12889025E8</v>
      </c>
      <c r="D105" s="152" t="s">
        <v>232</v>
      </c>
      <c r="E105" s="53" t="s">
        <v>77</v>
      </c>
      <c r="F105" s="154">
        <v>1.0</v>
      </c>
      <c r="G105" s="53"/>
      <c r="H105" s="53" t="str">
        <f t="shared" si="190"/>
        <v>0.00069</v>
      </c>
      <c r="I105" s="53" t="str">
        <f t="shared" si="191"/>
        <v>89</v>
      </c>
      <c r="J105" s="53" t="str">
        <f>G105*H105*I105*F105</f>
        <v>0</v>
      </c>
      <c r="K105" s="155" t="str">
        <f>J105*$J$4</f>
        <v>0.00</v>
      </c>
      <c r="L105" s="156" t="str">
        <f>K105+J105</f>
        <v>0.00 </v>
      </c>
      <c r="M105" s="132">
        <v>90.0</v>
      </c>
      <c r="N105" s="157">
        <v>183.24</v>
      </c>
      <c r="O105" s="158">
        <v>1000.0</v>
      </c>
      <c r="P105" s="159" t="str">
        <f t="shared" si="212"/>
        <v>1,000.00</v>
      </c>
      <c r="Q105" s="160"/>
      <c r="R105" s="161">
        <v>0.26</v>
      </c>
      <c r="S105" s="162" t="str">
        <f t="shared" si="195"/>
        <v>740.00</v>
      </c>
      <c r="T105" s="163" t="str">
        <f t="shared" si="196"/>
        <v>60.00</v>
      </c>
      <c r="U105" s="164" t="str">
        <f t="shared" si="197"/>
        <v>55.33</v>
      </c>
      <c r="V105" s="165" t="str">
        <f t="shared" si="198"/>
        <v>0.00</v>
      </c>
      <c r="W105" s="166">
        <v>0.04</v>
      </c>
      <c r="X105" s="167" t="str">
        <f t="shared" si="217"/>
        <v>76</v>
      </c>
      <c r="Y105" s="168" t="str">
        <f t="shared" si="199"/>
        <v>325.000</v>
      </c>
      <c r="Z105" s="168" t="str">
        <f t="shared" si="200"/>
        <v>29.526</v>
      </c>
      <c r="AA105" s="164" t="str">
        <f t="shared" si="201"/>
        <v>4.26</v>
      </c>
      <c r="AB105" s="164">
        <v>91.49</v>
      </c>
      <c r="AC105" s="164" t="str">
        <f t="shared" si="202"/>
        <v>4.80</v>
      </c>
      <c r="AD105" s="165" t="str">
        <f t="shared" si="203"/>
        <v>100.00</v>
      </c>
      <c r="AE105" s="23"/>
      <c r="AF105" s="169" t="str">
        <f t="shared" si="204"/>
        <v>0</v>
      </c>
      <c r="AG105" s="163" t="str">
        <f t="shared" si="205"/>
        <v>161.85</v>
      </c>
      <c r="AH105" s="170" t="str">
        <f t="shared" si="206"/>
        <v>88.33%</v>
      </c>
      <c r="AI105" s="26"/>
      <c r="AJ105" s="171" t="str">
        <f>$AD$3</f>
        <v>0.00%</v>
      </c>
      <c r="AK105" s="172" t="str">
        <f>N105*AJ105</f>
        <v>0.00</v>
      </c>
      <c r="AL105" s="173" t="str">
        <f>(N105+T105+V105+X105+AA105+AC105+AF105+AK105)/(100%-($C$2+$C$8+$Y$6+$Y$7))</f>
        <v>721.37</v>
      </c>
      <c r="AM105" s="174" t="str">
        <f>AL105-(AL105*$AD$1)</f>
        <v>512.17</v>
      </c>
    </row>
    <row r="106" ht="12.75" customHeight="1">
      <c r="A106" s="26"/>
      <c r="B106" s="190"/>
      <c r="C106" s="199">
        <v>6.11744611E8</v>
      </c>
      <c r="D106" s="152" t="s">
        <v>234</v>
      </c>
      <c r="E106" s="53" t="s">
        <v>77</v>
      </c>
      <c r="F106" s="154">
        <v>1.0</v>
      </c>
      <c r="G106" s="53"/>
      <c r="H106" s="53"/>
      <c r="I106" s="53"/>
      <c r="J106" s="53"/>
      <c r="K106" s="155"/>
      <c r="L106" s="156"/>
      <c r="M106" s="132">
        <v>90.0</v>
      </c>
      <c r="N106" s="157">
        <v>183.24</v>
      </c>
      <c r="O106" s="158">
        <v>800.0</v>
      </c>
      <c r="P106" s="159" t="str">
        <f t="shared" si="212"/>
        <v>800.00</v>
      </c>
      <c r="Q106" s="160"/>
      <c r="R106" s="161">
        <v>0.26</v>
      </c>
      <c r="S106" s="162" t="str">
        <f t="shared" si="195"/>
        <v>592.00</v>
      </c>
      <c r="T106" s="163" t="str">
        <f t="shared" si="196"/>
        <v>60.00</v>
      </c>
      <c r="U106" s="164" t="str">
        <f t="shared" si="197"/>
        <v>44.26</v>
      </c>
      <c r="V106" s="165" t="str">
        <f t="shared" si="198"/>
        <v>0.00</v>
      </c>
      <c r="W106" s="166">
        <v>0.4</v>
      </c>
      <c r="X106" s="167" t="str">
        <f t="shared" si="217"/>
        <v>76</v>
      </c>
      <c r="Y106" s="168" t="str">
        <f t="shared" si="199"/>
        <v>260.000</v>
      </c>
      <c r="Z106" s="168" t="str">
        <f t="shared" si="200"/>
        <v>23.621</v>
      </c>
      <c r="AA106" s="164" t="str">
        <f t="shared" si="201"/>
        <v>2.58</v>
      </c>
      <c r="AB106" s="164">
        <v>94.85</v>
      </c>
      <c r="AC106" s="164" t="str">
        <f t="shared" si="202"/>
        <v>4.80</v>
      </c>
      <c r="AD106" s="165" t="str">
        <f t="shared" si="203"/>
        <v>80.00</v>
      </c>
      <c r="AE106" s="23"/>
      <c r="AF106" s="169" t="str">
        <f t="shared" si="204"/>
        <v>0</v>
      </c>
      <c r="AG106" s="163" t="str">
        <f t="shared" si="205"/>
        <v>65.50</v>
      </c>
      <c r="AH106" s="170" t="str">
        <f t="shared" si="206"/>
        <v>35.75%</v>
      </c>
      <c r="AI106" s="26"/>
      <c r="AJ106" s="171"/>
      <c r="AK106" s="172"/>
      <c r="AL106" s="173"/>
      <c r="AM106" s="174"/>
    </row>
    <row r="107" ht="12.75" customHeight="1">
      <c r="A107" s="26"/>
      <c r="B107" s="190" t="s">
        <v>235</v>
      </c>
      <c r="C107" s="192">
        <v>2.12889027E8</v>
      </c>
      <c r="D107" s="152" t="s">
        <v>234</v>
      </c>
      <c r="E107" s="53" t="s">
        <v>77</v>
      </c>
      <c r="F107" s="154">
        <v>1.0</v>
      </c>
      <c r="G107" s="53"/>
      <c r="H107" s="53" t="str">
        <f>$I$2</f>
        <v>0.00069</v>
      </c>
      <c r="I107" s="53" t="str">
        <f>$I$3</f>
        <v>89</v>
      </c>
      <c r="J107" s="53" t="str">
        <f>G107*H107*I107*F107</f>
        <v>0</v>
      </c>
      <c r="K107" s="155" t="str">
        <f>J107*$J$4</f>
        <v>0.00</v>
      </c>
      <c r="L107" s="156" t="str">
        <f>K107+J107</f>
        <v>0.00 </v>
      </c>
      <c r="M107" s="132">
        <v>90.0</v>
      </c>
      <c r="N107" s="157">
        <v>183.24</v>
      </c>
      <c r="O107" s="158">
        <v>1000.0</v>
      </c>
      <c r="P107" s="159" t="str">
        <f t="shared" si="212"/>
        <v>1,000.00</v>
      </c>
      <c r="Q107" s="160"/>
      <c r="R107" s="161">
        <v>0.26</v>
      </c>
      <c r="S107" s="162" t="str">
        <f t="shared" si="195"/>
        <v>740.00</v>
      </c>
      <c r="T107" s="163" t="str">
        <f t="shared" si="196"/>
        <v>60.00</v>
      </c>
      <c r="U107" s="164" t="str">
        <f t="shared" si="197"/>
        <v>55.33</v>
      </c>
      <c r="V107" s="165" t="str">
        <f t="shared" si="198"/>
        <v>0.00</v>
      </c>
      <c r="W107" s="166">
        <v>0.04</v>
      </c>
      <c r="X107" s="167" t="str">
        <f t="shared" si="217"/>
        <v>76</v>
      </c>
      <c r="Y107" s="168" t="str">
        <f t="shared" si="199"/>
        <v>325.000</v>
      </c>
      <c r="Z107" s="168" t="str">
        <f t="shared" si="200"/>
        <v>29.526</v>
      </c>
      <c r="AA107" s="164" t="str">
        <f t="shared" si="201"/>
        <v>10.00</v>
      </c>
      <c r="AB107" s="164">
        <v>80.0</v>
      </c>
      <c r="AC107" s="164" t="str">
        <f t="shared" si="202"/>
        <v>4.80</v>
      </c>
      <c r="AD107" s="165" t="str">
        <f t="shared" si="203"/>
        <v>100.00</v>
      </c>
      <c r="AE107" s="23"/>
      <c r="AF107" s="169" t="str">
        <f t="shared" si="204"/>
        <v>0</v>
      </c>
      <c r="AG107" s="163" t="str">
        <f t="shared" si="205"/>
        <v>156.11</v>
      </c>
      <c r="AH107" s="170" t="str">
        <f t="shared" si="206"/>
        <v>85.19%</v>
      </c>
      <c r="AI107" s="26"/>
      <c r="AJ107" s="171" t="str">
        <f>$AD$3</f>
        <v>0.00%</v>
      </c>
      <c r="AK107" s="172" t="str">
        <f>N107*AJ107</f>
        <v>0.00</v>
      </c>
      <c r="AL107" s="173" t="str">
        <f>(N107+T107+V107+X107+AA107+AC107+AF107+AK107)/(100%-($C$2+$C$8+$Y$6+$Y$7))</f>
        <v>733.99</v>
      </c>
      <c r="AM107" s="174" t="str">
        <f>AL107-(AL107*$AD$1)</f>
        <v>521.13</v>
      </c>
    </row>
    <row r="108" ht="12.75" customHeight="1">
      <c r="A108" s="26"/>
      <c r="B108" s="190"/>
      <c r="C108" s="199">
        <v>6.1174549E8</v>
      </c>
      <c r="D108" s="152" t="s">
        <v>236</v>
      </c>
      <c r="E108" s="53" t="s">
        <v>77</v>
      </c>
      <c r="F108" s="154">
        <v>1.0</v>
      </c>
      <c r="G108" s="53"/>
      <c r="H108" s="53"/>
      <c r="I108" s="53"/>
      <c r="J108" s="53"/>
      <c r="K108" s="155"/>
      <c r="L108" s="156"/>
      <c r="M108" s="132">
        <v>90.0</v>
      </c>
      <c r="N108" s="157">
        <v>183.24</v>
      </c>
      <c r="O108" s="158">
        <v>800.0</v>
      </c>
      <c r="P108" s="159" t="str">
        <f t="shared" si="212"/>
        <v>800.00</v>
      </c>
      <c r="Q108" s="160"/>
      <c r="R108" s="161">
        <v>0.26</v>
      </c>
      <c r="S108" s="162" t="str">
        <f t="shared" si="195"/>
        <v>592.00</v>
      </c>
      <c r="T108" s="163" t="str">
        <f t="shared" si="196"/>
        <v>60.00</v>
      </c>
      <c r="U108" s="164" t="str">
        <f t="shared" si="197"/>
        <v>44.26</v>
      </c>
      <c r="V108" s="165" t="str">
        <f t="shared" si="198"/>
        <v>0.00</v>
      </c>
      <c r="W108" s="166">
        <v>0.4</v>
      </c>
      <c r="X108" s="167" t="str">
        <f t="shared" si="217"/>
        <v>76</v>
      </c>
      <c r="Y108" s="168" t="str">
        <f t="shared" si="199"/>
        <v>260.000</v>
      </c>
      <c r="Z108" s="168" t="str">
        <f t="shared" si="200"/>
        <v>23.621</v>
      </c>
      <c r="AA108" s="164" t="str">
        <f t="shared" si="201"/>
        <v>2.58</v>
      </c>
      <c r="AB108" s="164">
        <v>94.85</v>
      </c>
      <c r="AC108" s="164" t="str">
        <f t="shared" si="202"/>
        <v>4.80</v>
      </c>
      <c r="AD108" s="165" t="str">
        <f t="shared" si="203"/>
        <v>80.00</v>
      </c>
      <c r="AE108" s="23"/>
      <c r="AF108" s="169" t="str">
        <f t="shared" si="204"/>
        <v>0</v>
      </c>
      <c r="AG108" s="163" t="str">
        <f t="shared" si="205"/>
        <v>65.50</v>
      </c>
      <c r="AH108" s="170" t="str">
        <f t="shared" si="206"/>
        <v>35.75%</v>
      </c>
      <c r="AI108" s="26"/>
      <c r="AJ108" s="171"/>
      <c r="AK108" s="172"/>
      <c r="AL108" s="173"/>
      <c r="AM108" s="174"/>
    </row>
    <row r="109" ht="12.75" customHeight="1">
      <c r="A109" s="26"/>
      <c r="B109" s="190" t="s">
        <v>237</v>
      </c>
      <c r="C109" s="192">
        <v>2.12889028E8</v>
      </c>
      <c r="D109" s="152" t="s">
        <v>236</v>
      </c>
      <c r="E109" s="53" t="s">
        <v>77</v>
      </c>
      <c r="F109" s="154">
        <v>1.0</v>
      </c>
      <c r="G109" s="53"/>
      <c r="H109" s="53" t="str">
        <f t="shared" ref="H109:H114" si="218">$I$2</f>
        <v>0.00069</v>
      </c>
      <c r="I109" s="53" t="str">
        <f t="shared" ref="I109:I114" si="219">$I$3</f>
        <v>89</v>
      </c>
      <c r="J109" s="53" t="str">
        <f t="shared" ref="J109:J114" si="220">G109*H109*I109*F109</f>
        <v>0</v>
      </c>
      <c r="K109" s="155" t="str">
        <f t="shared" ref="K109:K114" si="221">J109*$J$4</f>
        <v>0.00</v>
      </c>
      <c r="L109" s="156" t="str">
        <f t="shared" ref="L109:L114" si="222">K109+J109</f>
        <v>0.00 </v>
      </c>
      <c r="M109" s="132">
        <v>90.0</v>
      </c>
      <c r="N109" s="157">
        <v>183.24</v>
      </c>
      <c r="O109" s="158">
        <v>1000.0</v>
      </c>
      <c r="P109" s="159" t="str">
        <f t="shared" si="212"/>
        <v>1,000.00</v>
      </c>
      <c r="Q109" s="160"/>
      <c r="R109" s="161">
        <v>0.26</v>
      </c>
      <c r="S109" s="162" t="str">
        <f t="shared" si="195"/>
        <v>740.00</v>
      </c>
      <c r="T109" s="163" t="str">
        <f t="shared" si="196"/>
        <v>60.00</v>
      </c>
      <c r="U109" s="164" t="str">
        <f t="shared" si="197"/>
        <v>55.33</v>
      </c>
      <c r="V109" s="165" t="str">
        <f t="shared" si="198"/>
        <v>0.00</v>
      </c>
      <c r="W109" s="166">
        <v>0.04</v>
      </c>
      <c r="X109" s="167" t="str">
        <f t="shared" si="217"/>
        <v>76</v>
      </c>
      <c r="Y109" s="168" t="str">
        <f t="shared" si="199"/>
        <v>325.000</v>
      </c>
      <c r="Z109" s="168" t="str">
        <f t="shared" si="200"/>
        <v>29.526</v>
      </c>
      <c r="AA109" s="164" t="str">
        <f t="shared" si="201"/>
        <v>5.45</v>
      </c>
      <c r="AB109" s="164">
        <v>89.11</v>
      </c>
      <c r="AC109" s="164" t="str">
        <f t="shared" si="202"/>
        <v>4.80</v>
      </c>
      <c r="AD109" s="165" t="str">
        <f t="shared" si="203"/>
        <v>100.00</v>
      </c>
      <c r="AE109" s="23"/>
      <c r="AF109" s="169" t="str">
        <f t="shared" si="204"/>
        <v>0</v>
      </c>
      <c r="AG109" s="163" t="str">
        <f t="shared" si="205"/>
        <v>160.66</v>
      </c>
      <c r="AH109" s="170" t="str">
        <f t="shared" si="206"/>
        <v>87.68%</v>
      </c>
      <c r="AI109" s="26"/>
      <c r="AJ109" s="171" t="str">
        <f t="shared" ref="AJ109:AJ114" si="223">$AD$3</f>
        <v>0.00%</v>
      </c>
      <c r="AK109" s="172" t="str">
        <f t="shared" ref="AK109:AK114" si="224">N109*AJ109</f>
        <v>0.00</v>
      </c>
      <c r="AL109" s="173" t="str">
        <f t="shared" ref="AL109:AL114" si="225">(N109+T109+V109+X109+AA109+AC109+AF109+AK109)/(100%-($C$2+$C$8+$Y$6+$Y$7))</f>
        <v>723.98</v>
      </c>
      <c r="AM109" s="174" t="str">
        <f t="shared" ref="AM109:AM114" si="226">AL109-(AL109*$AD$1)</f>
        <v>514.03</v>
      </c>
    </row>
    <row r="110" ht="12.75" customHeight="1">
      <c r="A110" s="26"/>
      <c r="B110" s="190" t="s">
        <v>238</v>
      </c>
      <c r="C110" s="202">
        <v>1.6500227E8</v>
      </c>
      <c r="D110" s="152" t="s">
        <v>239</v>
      </c>
      <c r="E110" s="53" t="s">
        <v>77</v>
      </c>
      <c r="F110" s="154">
        <v>1.0</v>
      </c>
      <c r="G110" s="53"/>
      <c r="H110" s="53" t="str">
        <f t="shared" si="218"/>
        <v>0.00069</v>
      </c>
      <c r="I110" s="53" t="str">
        <f t="shared" si="219"/>
        <v>89</v>
      </c>
      <c r="J110" s="53" t="str">
        <f t="shared" si="220"/>
        <v>0</v>
      </c>
      <c r="K110" s="155" t="str">
        <f t="shared" si="221"/>
        <v>0.00</v>
      </c>
      <c r="L110" s="156" t="str">
        <f t="shared" si="222"/>
        <v>0.00 </v>
      </c>
      <c r="M110" s="132">
        <v>90.0</v>
      </c>
      <c r="N110" s="157">
        <v>0.0</v>
      </c>
      <c r="O110" s="158">
        <v>603.0</v>
      </c>
      <c r="P110" s="159" t="str">
        <f t="shared" si="212"/>
        <v>603.00</v>
      </c>
      <c r="Q110" s="160"/>
      <c r="R110" s="161">
        <v>0.26</v>
      </c>
      <c r="S110" s="162" t="str">
        <f t="shared" si="195"/>
        <v>446.22</v>
      </c>
      <c r="T110" s="163" t="str">
        <f t="shared" si="196"/>
        <v>60.00</v>
      </c>
      <c r="U110" s="164" t="str">
        <f t="shared" si="197"/>
        <v>33.36</v>
      </c>
      <c r="V110" s="165" t="str">
        <f t="shared" si="198"/>
        <v>0.00</v>
      </c>
      <c r="W110" s="166">
        <v>0.28</v>
      </c>
      <c r="X110" s="167" t="str">
        <f t="shared" si="217"/>
        <v>76</v>
      </c>
      <c r="Y110" s="168" t="str">
        <f t="shared" si="199"/>
        <v>195.975</v>
      </c>
      <c r="Z110" s="168" t="str">
        <f t="shared" si="200"/>
        <v>17.804</v>
      </c>
      <c r="AA110" s="164" t="str">
        <f t="shared" si="201"/>
        <v>1.35</v>
      </c>
      <c r="AB110" s="164">
        <v>97.3</v>
      </c>
      <c r="AC110" s="164" t="str">
        <f t="shared" si="202"/>
        <v>4.80</v>
      </c>
      <c r="AD110" s="165" t="str">
        <f t="shared" si="203"/>
        <v>60.30</v>
      </c>
      <c r="AE110" s="23"/>
      <c r="AF110" s="169" t="str">
        <f t="shared" si="204"/>
        <v>0</v>
      </c>
      <c r="AG110" s="163" t="str">
        <f t="shared" si="205"/>
        <v>153.41</v>
      </c>
      <c r="AH110" s="170" t="str">
        <f t="shared" si="206"/>
        <v>#DIV/0!</v>
      </c>
      <c r="AI110" s="26"/>
      <c r="AJ110" s="171" t="str">
        <f t="shared" si="223"/>
        <v>0.00%</v>
      </c>
      <c r="AK110" s="172" t="str">
        <f t="shared" si="224"/>
        <v>0.00</v>
      </c>
      <c r="AL110" s="173" t="str">
        <f t="shared" si="225"/>
        <v>312.35</v>
      </c>
      <c r="AM110" s="174" t="str">
        <f t="shared" si="226"/>
        <v>221.77</v>
      </c>
    </row>
    <row r="111" ht="12.75" customHeight="1">
      <c r="A111" s="26"/>
      <c r="B111" s="190" t="s">
        <v>240</v>
      </c>
      <c r="C111" s="202">
        <v>2.38358009E8</v>
      </c>
      <c r="D111" s="152" t="s">
        <v>241</v>
      </c>
      <c r="E111" s="53" t="s">
        <v>77</v>
      </c>
      <c r="F111" s="154">
        <v>1.0</v>
      </c>
      <c r="G111" s="53"/>
      <c r="H111" s="53" t="str">
        <f t="shared" si="218"/>
        <v>0.00069</v>
      </c>
      <c r="I111" s="53" t="str">
        <f t="shared" si="219"/>
        <v>89</v>
      </c>
      <c r="J111" s="53" t="str">
        <f t="shared" si="220"/>
        <v>0</v>
      </c>
      <c r="K111" s="155" t="str">
        <f t="shared" si="221"/>
        <v>0.00</v>
      </c>
      <c r="L111" s="156" t="str">
        <f t="shared" si="222"/>
        <v>0.00 </v>
      </c>
      <c r="M111" s="132">
        <v>90.0</v>
      </c>
      <c r="N111" s="157">
        <v>180.54</v>
      </c>
      <c r="O111" s="158">
        <v>601.0</v>
      </c>
      <c r="P111" s="159" t="str">
        <f t="shared" si="212"/>
        <v>601.00</v>
      </c>
      <c r="Q111" s="160"/>
      <c r="R111" s="161">
        <v>0.26</v>
      </c>
      <c r="S111" s="162" t="str">
        <f t="shared" si="195"/>
        <v>444.74</v>
      </c>
      <c r="T111" s="163" t="str">
        <f t="shared" si="196"/>
        <v>60.00</v>
      </c>
      <c r="U111" s="164" t="str">
        <f t="shared" si="197"/>
        <v>33.25</v>
      </c>
      <c r="V111" s="165" t="str">
        <f t="shared" si="198"/>
        <v>0.00</v>
      </c>
      <c r="W111" s="166">
        <v>0.28</v>
      </c>
      <c r="X111" s="167" t="str">
        <f t="shared" si="217"/>
        <v>76</v>
      </c>
      <c r="Y111" s="168" t="str">
        <f t="shared" si="199"/>
        <v>195.325</v>
      </c>
      <c r="Z111" s="168" t="str">
        <f t="shared" si="200"/>
        <v>17.745</v>
      </c>
      <c r="AA111" s="164" t="str">
        <f t="shared" si="201"/>
        <v>3.03</v>
      </c>
      <c r="AB111" s="164">
        <v>93.94</v>
      </c>
      <c r="AC111" s="164" t="str">
        <f t="shared" si="202"/>
        <v>4.80</v>
      </c>
      <c r="AD111" s="165" t="str">
        <f t="shared" si="203"/>
        <v>60.10</v>
      </c>
      <c r="AE111" s="23"/>
      <c r="AF111" s="169" t="str">
        <f t="shared" si="204"/>
        <v>0</v>
      </c>
      <c r="AG111" s="163" t="str">
        <f t="shared" si="205"/>
        <v>-29.79</v>
      </c>
      <c r="AH111" s="170" t="str">
        <f t="shared" si="206"/>
        <v>-16.50%</v>
      </c>
      <c r="AI111" s="26"/>
      <c r="AJ111" s="171" t="str">
        <f t="shared" si="223"/>
        <v>0.00%</v>
      </c>
      <c r="AK111" s="172" t="str">
        <f t="shared" si="224"/>
        <v>0.00</v>
      </c>
      <c r="AL111" s="173" t="str">
        <f t="shared" si="225"/>
        <v>712.74</v>
      </c>
      <c r="AM111" s="174" t="str">
        <f t="shared" si="226"/>
        <v>506.05</v>
      </c>
    </row>
    <row r="112" ht="12.75" customHeight="1">
      <c r="A112" s="26"/>
      <c r="B112" s="190"/>
      <c r="C112" s="202" t="s">
        <v>242</v>
      </c>
      <c r="D112" s="205" t="s">
        <v>243</v>
      </c>
      <c r="E112" s="53" t="s">
        <v>77</v>
      </c>
      <c r="F112" s="154">
        <v>1.0</v>
      </c>
      <c r="G112" s="53"/>
      <c r="H112" s="53" t="str">
        <f t="shared" si="218"/>
        <v>0.00069</v>
      </c>
      <c r="I112" s="53" t="str">
        <f t="shared" si="219"/>
        <v>89</v>
      </c>
      <c r="J112" s="53" t="str">
        <f t="shared" si="220"/>
        <v>0</v>
      </c>
      <c r="K112" s="155" t="str">
        <f t="shared" si="221"/>
        <v>0.00</v>
      </c>
      <c r="L112" s="156" t="str">
        <f t="shared" si="222"/>
        <v>0.00 </v>
      </c>
      <c r="M112" s="132">
        <v>90.0</v>
      </c>
      <c r="N112" s="157">
        <v>0.0</v>
      </c>
      <c r="O112" s="158"/>
      <c r="P112" s="159" t="str">
        <f t="shared" si="212"/>
        <v/>
      </c>
      <c r="Q112" s="160"/>
      <c r="R112" s="161"/>
      <c r="S112" s="162" t="str">
        <f t="shared" si="195"/>
        <v>0.00</v>
      </c>
      <c r="T112" s="163">
        <v>0.0</v>
      </c>
      <c r="U112" s="164" t="str">
        <f t="shared" si="197"/>
        <v>0.00</v>
      </c>
      <c r="V112" s="165" t="str">
        <f t="shared" si="198"/>
        <v>0.00</v>
      </c>
      <c r="W112" s="166"/>
      <c r="X112" s="206"/>
      <c r="Y112" s="168" t="str">
        <f t="shared" si="199"/>
        <v>0.000</v>
      </c>
      <c r="Z112" s="168" t="str">
        <f t="shared" si="200"/>
        <v>0.000</v>
      </c>
      <c r="AA112" s="164" t="str">
        <f t="shared" si="201"/>
        <v>50.00</v>
      </c>
      <c r="AB112" s="164"/>
      <c r="AC112" s="164" t="str">
        <f t="shared" si="202"/>
        <v>0.00</v>
      </c>
      <c r="AD112" s="165" t="str">
        <f t="shared" si="203"/>
        <v>0.00</v>
      </c>
      <c r="AE112" s="23"/>
      <c r="AF112" s="169" t="str">
        <f t="shared" si="204"/>
        <v>0</v>
      </c>
      <c r="AG112" s="163" t="str">
        <f>S112-T112-U112-V112-X112-Y112-Z112-AA112-AC112-AD112-N112</f>
        <v>-50.00</v>
      </c>
      <c r="AH112" s="170" t="str">
        <f t="shared" si="206"/>
        <v>#DIV/0!</v>
      </c>
      <c r="AI112" s="26"/>
      <c r="AJ112" s="171" t="str">
        <f t="shared" si="223"/>
        <v>0.00%</v>
      </c>
      <c r="AK112" s="172" t="str">
        <f t="shared" si="224"/>
        <v>0.00</v>
      </c>
      <c r="AL112" s="173" t="str">
        <f t="shared" si="225"/>
        <v>109.87</v>
      </c>
      <c r="AM112" s="174" t="str">
        <f t="shared" si="226"/>
        <v>78.00</v>
      </c>
    </row>
    <row r="113" ht="12.75" customHeight="1">
      <c r="A113" s="26"/>
      <c r="B113" s="190" t="s">
        <v>244</v>
      </c>
      <c r="C113" s="202">
        <v>1.69788725E8</v>
      </c>
      <c r="D113" s="152" t="s">
        <v>245</v>
      </c>
      <c r="E113" s="53" t="s">
        <v>77</v>
      </c>
      <c r="F113" s="154">
        <v>1.0</v>
      </c>
      <c r="G113" s="53"/>
      <c r="H113" s="53" t="str">
        <f t="shared" si="218"/>
        <v>0.00069</v>
      </c>
      <c r="I113" s="53" t="str">
        <f t="shared" si="219"/>
        <v>89</v>
      </c>
      <c r="J113" s="53" t="str">
        <f t="shared" si="220"/>
        <v>0</v>
      </c>
      <c r="K113" s="155" t="str">
        <f t="shared" si="221"/>
        <v>0.00</v>
      </c>
      <c r="L113" s="156" t="str">
        <f t="shared" si="222"/>
        <v>0.00 </v>
      </c>
      <c r="M113" s="132">
        <v>90.0</v>
      </c>
      <c r="N113" s="157">
        <v>0.0</v>
      </c>
      <c r="O113" s="158">
        <v>1095.9</v>
      </c>
      <c r="P113" s="159" t="str">
        <f t="shared" si="212"/>
        <v>1,095.90</v>
      </c>
      <c r="Q113" s="160"/>
      <c r="R113" s="161">
        <v>0.26</v>
      </c>
      <c r="S113" s="162" t="str">
        <f t="shared" si="195"/>
        <v>810.97</v>
      </c>
      <c r="T113" s="163" t="str">
        <f t="shared" ref="T113:T114" si="227">$C$1</f>
        <v>60.00</v>
      </c>
      <c r="U113" s="164" t="str">
        <f t="shared" si="197"/>
        <v>60.63</v>
      </c>
      <c r="V113" s="165" t="str">
        <f t="shared" si="198"/>
        <v>0.00</v>
      </c>
      <c r="W113" s="166">
        <v>0.59</v>
      </c>
      <c r="X113" s="167" t="str">
        <f t="shared" ref="X113:X114" si="228">((_xlfn.CEILING.MATH(W113)-1)*$C$5+$C$4)</f>
        <v>76</v>
      </c>
      <c r="Y113" s="168" t="str">
        <f t="shared" si="199"/>
        <v>356.168</v>
      </c>
      <c r="Z113" s="168" t="str">
        <f t="shared" si="200"/>
        <v>32.358</v>
      </c>
      <c r="AA113" s="164" t="str">
        <f t="shared" si="201"/>
        <v>1.14</v>
      </c>
      <c r="AB113" s="164">
        <v>97.73</v>
      </c>
      <c r="AC113" s="164" t="str">
        <f t="shared" si="202"/>
        <v>4.80</v>
      </c>
      <c r="AD113" s="165" t="str">
        <f t="shared" si="203"/>
        <v>109.59</v>
      </c>
      <c r="AE113" s="23"/>
      <c r="AF113" s="169" t="str">
        <f t="shared" si="204"/>
        <v>0</v>
      </c>
      <c r="AG113" s="163" t="str">
        <f t="shared" ref="AG113:AG114" si="229">O113-T113-U113-V113-X113-Y113-Z113-AA113-AC113-AD113-N113</f>
        <v>395.22</v>
      </c>
      <c r="AH113" s="170" t="str">
        <f t="shared" si="206"/>
        <v>#DIV/0!</v>
      </c>
      <c r="AI113" s="26"/>
      <c r="AJ113" s="171" t="str">
        <f t="shared" si="223"/>
        <v>0.00%</v>
      </c>
      <c r="AK113" s="172" t="str">
        <f t="shared" si="224"/>
        <v>0.00</v>
      </c>
      <c r="AL113" s="173" t="str">
        <f t="shared" si="225"/>
        <v>311.88</v>
      </c>
      <c r="AM113" s="174" t="str">
        <f t="shared" si="226"/>
        <v>221.43</v>
      </c>
    </row>
    <row r="114" ht="12.75" customHeight="1">
      <c r="A114" s="26"/>
      <c r="B114" s="190" t="s">
        <v>246</v>
      </c>
      <c r="C114" s="202">
        <v>1.69788801E8</v>
      </c>
      <c r="D114" s="152" t="s">
        <v>247</v>
      </c>
      <c r="E114" s="53" t="s">
        <v>77</v>
      </c>
      <c r="F114" s="154">
        <v>1.0</v>
      </c>
      <c r="G114" s="53"/>
      <c r="H114" s="53" t="str">
        <f t="shared" si="218"/>
        <v>0.00069</v>
      </c>
      <c r="I114" s="53" t="str">
        <f t="shared" si="219"/>
        <v>89</v>
      </c>
      <c r="J114" s="53" t="str">
        <f t="shared" si="220"/>
        <v>0</v>
      </c>
      <c r="K114" s="155" t="str">
        <f t="shared" si="221"/>
        <v>0.00</v>
      </c>
      <c r="L114" s="156" t="str">
        <f t="shared" si="222"/>
        <v>0.00 </v>
      </c>
      <c r="M114" s="132">
        <v>90.0</v>
      </c>
      <c r="N114" s="157">
        <v>0.0</v>
      </c>
      <c r="O114" s="158">
        <v>1095.9</v>
      </c>
      <c r="P114" s="159" t="str">
        <f t="shared" si="212"/>
        <v>1,095.90</v>
      </c>
      <c r="Q114" s="160"/>
      <c r="R114" s="161">
        <v>0.26</v>
      </c>
      <c r="S114" s="162" t="str">
        <f t="shared" si="195"/>
        <v>810.97</v>
      </c>
      <c r="T114" s="163" t="str">
        <f t="shared" si="227"/>
        <v>60.00</v>
      </c>
      <c r="U114" s="164" t="str">
        <f t="shared" si="197"/>
        <v>60.63</v>
      </c>
      <c r="V114" s="165" t="str">
        <f t="shared" si="198"/>
        <v>0.00</v>
      </c>
      <c r="W114" s="166">
        <v>0.59</v>
      </c>
      <c r="X114" s="167" t="str">
        <f t="shared" si="228"/>
        <v>76</v>
      </c>
      <c r="Y114" s="168" t="str">
        <f t="shared" si="199"/>
        <v>356.168</v>
      </c>
      <c r="Z114" s="168" t="str">
        <f t="shared" si="200"/>
        <v>32.358</v>
      </c>
      <c r="AA114" s="164" t="str">
        <f t="shared" si="201"/>
        <v>2.83</v>
      </c>
      <c r="AB114" s="164">
        <v>94.35</v>
      </c>
      <c r="AC114" s="164" t="str">
        <f t="shared" si="202"/>
        <v>4.80</v>
      </c>
      <c r="AD114" s="165" t="str">
        <f t="shared" si="203"/>
        <v>109.59</v>
      </c>
      <c r="AE114" s="23"/>
      <c r="AF114" s="169" t="str">
        <f t="shared" si="204"/>
        <v>0</v>
      </c>
      <c r="AG114" s="163" t="str">
        <f t="shared" si="229"/>
        <v>393.53</v>
      </c>
      <c r="AH114" s="170" t="str">
        <f t="shared" si="206"/>
        <v>#DIV/0!</v>
      </c>
      <c r="AI114" s="26"/>
      <c r="AJ114" s="171" t="str">
        <f t="shared" si="223"/>
        <v>0.00%</v>
      </c>
      <c r="AK114" s="172" t="str">
        <f t="shared" si="224"/>
        <v>0.00</v>
      </c>
      <c r="AL114" s="173" t="str">
        <f t="shared" si="225"/>
        <v>315.59</v>
      </c>
      <c r="AM114" s="174" t="str">
        <f t="shared" si="226"/>
        <v>224.07</v>
      </c>
    </row>
    <row r="115" ht="12.75" customHeight="1">
      <c r="A115" s="26"/>
      <c r="B115" s="125" t="s">
        <v>248</v>
      </c>
      <c r="C115" s="126"/>
      <c r="D115" s="127"/>
      <c r="E115" s="128"/>
      <c r="F115" s="128"/>
      <c r="G115" s="128"/>
      <c r="H115" s="197"/>
      <c r="I115" s="197"/>
      <c r="J115" s="128"/>
      <c r="K115" s="130"/>
      <c r="L115" s="131"/>
      <c r="M115" s="132"/>
      <c r="N115" s="176"/>
      <c r="O115" s="134"/>
      <c r="P115" s="135"/>
      <c r="Q115" s="135"/>
      <c r="R115" s="136"/>
      <c r="S115" s="137"/>
      <c r="T115" s="177"/>
      <c r="U115" s="178"/>
      <c r="V115" s="179"/>
      <c r="W115" s="180"/>
      <c r="X115" s="181"/>
      <c r="Y115" s="182"/>
      <c r="Z115" s="182"/>
      <c r="AA115" s="178"/>
      <c r="AB115" s="178"/>
      <c r="AC115" s="178"/>
      <c r="AD115" s="179"/>
      <c r="AE115" s="183"/>
      <c r="AF115" s="184"/>
      <c r="AG115" s="177"/>
      <c r="AH115" s="185"/>
      <c r="AI115" s="26"/>
      <c r="AJ115" s="186"/>
      <c r="AK115" s="187"/>
      <c r="AL115" s="188"/>
      <c r="AM115" s="189"/>
    </row>
    <row r="116" ht="12.75" customHeight="1">
      <c r="A116" s="26"/>
      <c r="B116" s="190" t="s">
        <v>249</v>
      </c>
      <c r="C116" s="199">
        <v>3.07073881E8</v>
      </c>
      <c r="D116" s="152" t="s">
        <v>250</v>
      </c>
      <c r="E116" s="53" t="s">
        <v>77</v>
      </c>
      <c r="F116" s="154">
        <v>1.0</v>
      </c>
      <c r="G116" s="53"/>
      <c r="H116" s="53" t="str">
        <f t="shared" ref="H116:H120" si="230">$I$2</f>
        <v>0.00069</v>
      </c>
      <c r="I116" s="53" t="str">
        <f t="shared" ref="I116:I120" si="231">$I$3</f>
        <v>89</v>
      </c>
      <c r="J116" s="53" t="str">
        <f t="shared" ref="J116:J120" si="232">G116*H116*I116*F116</f>
        <v>0</v>
      </c>
      <c r="K116" s="155" t="str">
        <f t="shared" ref="K116:K120" si="233">J116*$J$4</f>
        <v>0.00</v>
      </c>
      <c r="L116" s="156" t="str">
        <f t="shared" ref="L116:L120" si="234">K116+J116</f>
        <v>0.00 </v>
      </c>
      <c r="M116" s="132">
        <v>90.0</v>
      </c>
      <c r="N116" s="157">
        <v>292.89</v>
      </c>
      <c r="O116" s="158">
        <v>1050.0</v>
      </c>
      <c r="P116" s="159" t="str">
        <f t="shared" ref="P116:P117" si="235">O116</f>
        <v>1,050.00</v>
      </c>
      <c r="Q116" s="160">
        <v>832.0</v>
      </c>
      <c r="R116" s="161">
        <v>0.26</v>
      </c>
      <c r="S116" s="162" t="str">
        <f t="shared" ref="S116:S120" si="236">O116-(O116*R116)</f>
        <v>777.00</v>
      </c>
      <c r="T116" s="163" t="str">
        <f t="shared" ref="T116:T120" si="237">$C$1</f>
        <v>60.00</v>
      </c>
      <c r="U116" s="164" t="str">
        <f t="shared" ref="U116:U120" si="238">(S116*7/107)+((S116-(S116*7/107))*1%)</f>
        <v>58.09</v>
      </c>
      <c r="V116" s="165" t="str">
        <f t="shared" ref="V116:V120" si="239">N116*$C$3*(M116/30)</f>
        <v>0.00</v>
      </c>
      <c r="W116" s="166">
        <v>0.72</v>
      </c>
      <c r="X116" s="167">
        <v>100.0</v>
      </c>
      <c r="Y116" s="168" t="str">
        <f t="shared" ref="Y116:Y120" si="240">O116*$Y$6</f>
        <v>341.250</v>
      </c>
      <c r="Z116" s="168" t="str">
        <f t="shared" ref="Z116:Z120" si="241">S116*$Y$7</f>
        <v>31.002</v>
      </c>
      <c r="AA116" s="164" t="str">
        <f t="shared" ref="AA116:AA120" si="242">$Y$3*((100-AB116)/100)</f>
        <v>1.70</v>
      </c>
      <c r="AB116" s="164">
        <v>96.61</v>
      </c>
      <c r="AC116" s="164" t="str">
        <f t="shared" ref="AC116:AC120" si="243">$C$6*$C$7*_xlfn.CEILING.MATH(W116)</f>
        <v>4.80</v>
      </c>
      <c r="AD116" s="165" t="str">
        <f t="shared" ref="AD116:AD120" si="244">O116*$C$2</f>
        <v>105.00</v>
      </c>
      <c r="AE116" s="23"/>
      <c r="AF116" s="169" t="str">
        <f t="shared" ref="AF116:AF120" si="245">(_xlfn.CEILING.MATH(W116))*$Y$1*$AD$2</f>
        <v>0</v>
      </c>
      <c r="AG116" s="163" t="str">
        <f t="shared" ref="AG116:AG120" si="246">O116-T116-U116-V116-X116-Y116-Z116-AA116-AC116-AD116-N116</f>
        <v>55.27</v>
      </c>
      <c r="AH116" s="170" t="str">
        <f t="shared" ref="AH116:AH120" si="247">AG116/N116</f>
        <v>18.87%</v>
      </c>
      <c r="AI116" s="26"/>
      <c r="AJ116" s="171" t="str">
        <f t="shared" ref="AJ116:AJ120" si="248">$AD$3</f>
        <v>0.00%</v>
      </c>
      <c r="AK116" s="172" t="str">
        <f t="shared" ref="AK116:AK120" si="249">N116*AJ116</f>
        <v>0.00</v>
      </c>
      <c r="AL116" s="173" t="str">
        <f t="shared" ref="AL116:AL120" si="250">(N116+T116+V116+X116+AA116+AC116+AF116+AK116)/(100%-($C$2+$C$8+$Y$6+$Y$7))</f>
        <v>1,009.42</v>
      </c>
      <c r="AM116" s="174" t="str">
        <f t="shared" ref="AM116:AM120" si="251">AL116-(AL116*$AD$1)</f>
        <v>716.69</v>
      </c>
    </row>
    <row r="117" ht="12.75" customHeight="1">
      <c r="A117" s="26"/>
      <c r="B117" s="190" t="s">
        <v>251</v>
      </c>
      <c r="C117" s="199">
        <v>1.54159632E8</v>
      </c>
      <c r="D117" s="152" t="s">
        <v>252</v>
      </c>
      <c r="E117" s="53" t="s">
        <v>77</v>
      </c>
      <c r="F117" s="154">
        <v>1.0</v>
      </c>
      <c r="G117" s="53"/>
      <c r="H117" s="53" t="str">
        <f t="shared" si="230"/>
        <v>0.00069</v>
      </c>
      <c r="I117" s="53" t="str">
        <f t="shared" si="231"/>
        <v>89</v>
      </c>
      <c r="J117" s="53" t="str">
        <f t="shared" si="232"/>
        <v>0</v>
      </c>
      <c r="K117" s="155" t="str">
        <f t="shared" si="233"/>
        <v>0.00</v>
      </c>
      <c r="L117" s="156" t="str">
        <f t="shared" si="234"/>
        <v>0.00 </v>
      </c>
      <c r="M117" s="132">
        <v>90.0</v>
      </c>
      <c r="N117" s="157">
        <v>92.17</v>
      </c>
      <c r="O117" s="158">
        <v>601.0</v>
      </c>
      <c r="P117" s="159" t="str">
        <f t="shared" si="235"/>
        <v>601.00</v>
      </c>
      <c r="Q117" s="160">
        <v>329.0</v>
      </c>
      <c r="R117" s="161">
        <v>0.26</v>
      </c>
      <c r="S117" s="162" t="str">
        <f t="shared" si="236"/>
        <v>444.74</v>
      </c>
      <c r="T117" s="163" t="str">
        <f t="shared" si="237"/>
        <v>60.00</v>
      </c>
      <c r="U117" s="164" t="str">
        <f t="shared" si="238"/>
        <v>33.25</v>
      </c>
      <c r="V117" s="165" t="str">
        <f t="shared" si="239"/>
        <v>0.00</v>
      </c>
      <c r="W117" s="166">
        <v>0.35</v>
      </c>
      <c r="X117" s="167" t="str">
        <f>((_xlfn.CEILING.MATH(W117)-1)*$C$5+$C$4)</f>
        <v>76</v>
      </c>
      <c r="Y117" s="168" t="str">
        <f t="shared" si="240"/>
        <v>195.325</v>
      </c>
      <c r="Z117" s="168" t="str">
        <f t="shared" si="241"/>
        <v>17.745</v>
      </c>
      <c r="AA117" s="164" t="str">
        <f t="shared" si="242"/>
        <v>0.00</v>
      </c>
      <c r="AB117" s="164">
        <v>100.0</v>
      </c>
      <c r="AC117" s="164" t="str">
        <f t="shared" si="243"/>
        <v>4.80</v>
      </c>
      <c r="AD117" s="165" t="str">
        <f t="shared" si="244"/>
        <v>60.10</v>
      </c>
      <c r="AE117" s="23"/>
      <c r="AF117" s="169" t="str">
        <f t="shared" si="245"/>
        <v>0</v>
      </c>
      <c r="AG117" s="163" t="str">
        <f t="shared" si="246"/>
        <v>61.61</v>
      </c>
      <c r="AH117" s="170" t="str">
        <f t="shared" si="247"/>
        <v>66.84%</v>
      </c>
      <c r="AI117" s="26"/>
      <c r="AJ117" s="171" t="str">
        <f t="shared" si="248"/>
        <v>0.00%</v>
      </c>
      <c r="AK117" s="172" t="str">
        <f t="shared" si="249"/>
        <v>0.00</v>
      </c>
      <c r="AL117" s="173" t="str">
        <f t="shared" si="250"/>
        <v>511.91</v>
      </c>
      <c r="AM117" s="174" t="str">
        <f t="shared" si="251"/>
        <v>363.46</v>
      </c>
    </row>
    <row r="118" ht="12.75" customHeight="1">
      <c r="A118" s="26"/>
      <c r="B118" s="190" t="s">
        <v>253</v>
      </c>
      <c r="C118" s="199">
        <v>1.51313163E8</v>
      </c>
      <c r="D118" s="152" t="s">
        <v>254</v>
      </c>
      <c r="E118" s="53" t="s">
        <v>77</v>
      </c>
      <c r="F118" s="154">
        <v>1.0</v>
      </c>
      <c r="G118" s="53"/>
      <c r="H118" s="53" t="str">
        <f t="shared" si="230"/>
        <v>0.00069</v>
      </c>
      <c r="I118" s="53" t="str">
        <f t="shared" si="231"/>
        <v>89</v>
      </c>
      <c r="J118" s="53" t="str">
        <f t="shared" si="232"/>
        <v>0</v>
      </c>
      <c r="K118" s="155" t="str">
        <f t="shared" si="233"/>
        <v>0.00</v>
      </c>
      <c r="L118" s="156" t="str">
        <f t="shared" si="234"/>
        <v>0.00 </v>
      </c>
      <c r="M118" s="132">
        <v>90.0</v>
      </c>
      <c r="N118" s="175">
        <v>361.03</v>
      </c>
      <c r="O118" s="158">
        <v>1200.0</v>
      </c>
      <c r="P118" s="159">
        <v>850.0</v>
      </c>
      <c r="Q118" s="160">
        <v>838.0</v>
      </c>
      <c r="R118" s="161">
        <v>0.26</v>
      </c>
      <c r="S118" s="162" t="str">
        <f t="shared" si="236"/>
        <v>888.00</v>
      </c>
      <c r="T118" s="163" t="str">
        <f t="shared" si="237"/>
        <v>60.00</v>
      </c>
      <c r="U118" s="164" t="str">
        <f t="shared" si="238"/>
        <v>66.39</v>
      </c>
      <c r="V118" s="165" t="str">
        <f t="shared" si="239"/>
        <v>0.00</v>
      </c>
      <c r="W118" s="166">
        <v>0.56</v>
      </c>
      <c r="X118" s="167">
        <v>97.0</v>
      </c>
      <c r="Y118" s="168" t="str">
        <f t="shared" si="240"/>
        <v>390.000</v>
      </c>
      <c r="Z118" s="168" t="str">
        <f t="shared" si="241"/>
        <v>35.431</v>
      </c>
      <c r="AA118" s="164" t="str">
        <f t="shared" si="242"/>
        <v>2.85</v>
      </c>
      <c r="AB118" s="164">
        <v>94.3</v>
      </c>
      <c r="AC118" s="164" t="str">
        <f t="shared" si="243"/>
        <v>4.80</v>
      </c>
      <c r="AD118" s="165" t="str">
        <f t="shared" si="244"/>
        <v>120.00</v>
      </c>
      <c r="AE118" s="23"/>
      <c r="AF118" s="169" t="str">
        <f t="shared" si="245"/>
        <v>0</v>
      </c>
      <c r="AG118" s="163" t="str">
        <f t="shared" si="246"/>
        <v>62.50</v>
      </c>
      <c r="AH118" s="170" t="str">
        <f t="shared" si="247"/>
        <v>17.31%</v>
      </c>
      <c r="AI118" s="26"/>
      <c r="AJ118" s="171" t="str">
        <f t="shared" si="248"/>
        <v>0.00%</v>
      </c>
      <c r="AK118" s="172" t="str">
        <f t="shared" si="249"/>
        <v>0.00</v>
      </c>
      <c r="AL118" s="173" t="str">
        <f t="shared" si="250"/>
        <v>1,155.09</v>
      </c>
      <c r="AM118" s="174" t="str">
        <f t="shared" si="251"/>
        <v>820.11</v>
      </c>
    </row>
    <row r="119" ht="12.75" customHeight="1">
      <c r="A119" s="26"/>
      <c r="B119" s="190" t="s">
        <v>255</v>
      </c>
      <c r="C119" s="199">
        <v>1.54160085E8</v>
      </c>
      <c r="D119" s="152" t="s">
        <v>256</v>
      </c>
      <c r="E119" s="53" t="s">
        <v>77</v>
      </c>
      <c r="F119" s="154">
        <v>1.0</v>
      </c>
      <c r="G119" s="53"/>
      <c r="H119" s="53" t="str">
        <f t="shared" si="230"/>
        <v>0.00069</v>
      </c>
      <c r="I119" s="53" t="str">
        <f t="shared" si="231"/>
        <v>89</v>
      </c>
      <c r="J119" s="53" t="str">
        <f t="shared" si="232"/>
        <v>0</v>
      </c>
      <c r="K119" s="155" t="str">
        <f t="shared" si="233"/>
        <v>0.00</v>
      </c>
      <c r="L119" s="156" t="str">
        <f t="shared" si="234"/>
        <v>0.00 </v>
      </c>
      <c r="M119" s="132">
        <v>90.0</v>
      </c>
      <c r="N119" s="157">
        <v>389.99</v>
      </c>
      <c r="O119" s="158">
        <v>1400.0</v>
      </c>
      <c r="P119" s="159" t="str">
        <f t="shared" ref="P119:P120" si="252">O119</f>
        <v>1,400.00</v>
      </c>
      <c r="Q119" s="160">
        <v>1060.0</v>
      </c>
      <c r="R119" s="161">
        <v>0.26</v>
      </c>
      <c r="S119" s="162" t="str">
        <f t="shared" si="236"/>
        <v>1,036.00</v>
      </c>
      <c r="T119" s="163" t="str">
        <f t="shared" si="237"/>
        <v>60.00</v>
      </c>
      <c r="U119" s="164" t="str">
        <f t="shared" si="238"/>
        <v>77.46</v>
      </c>
      <c r="V119" s="165" t="str">
        <f t="shared" si="239"/>
        <v>0.00</v>
      </c>
      <c r="W119" s="166">
        <v>1.2</v>
      </c>
      <c r="X119" s="167">
        <v>132.0</v>
      </c>
      <c r="Y119" s="168" t="str">
        <f t="shared" si="240"/>
        <v>455.000</v>
      </c>
      <c r="Z119" s="168" t="str">
        <f t="shared" si="241"/>
        <v>41.336</v>
      </c>
      <c r="AA119" s="164" t="str">
        <f t="shared" si="242"/>
        <v>2.13</v>
      </c>
      <c r="AB119" s="164">
        <v>95.74</v>
      </c>
      <c r="AC119" s="164" t="str">
        <f t="shared" si="243"/>
        <v>9.60</v>
      </c>
      <c r="AD119" s="165" t="str">
        <f t="shared" si="244"/>
        <v>140.00</v>
      </c>
      <c r="AE119" s="23"/>
      <c r="AF119" s="169" t="str">
        <f t="shared" si="245"/>
        <v>0</v>
      </c>
      <c r="AG119" s="163" t="str">
        <f t="shared" si="246"/>
        <v>92.49</v>
      </c>
      <c r="AH119" s="170" t="str">
        <f t="shared" si="247"/>
        <v>23.71%</v>
      </c>
      <c r="AI119" s="26"/>
      <c r="AJ119" s="171" t="str">
        <f t="shared" si="248"/>
        <v>0.00%</v>
      </c>
      <c r="AK119" s="172" t="str">
        <f t="shared" si="249"/>
        <v>0.00</v>
      </c>
      <c r="AL119" s="173" t="str">
        <f t="shared" si="250"/>
        <v>1,304.59</v>
      </c>
      <c r="AM119" s="174" t="str">
        <f t="shared" si="251"/>
        <v>926.26</v>
      </c>
    </row>
    <row r="120" ht="12.75" customHeight="1">
      <c r="A120" s="26"/>
      <c r="B120" s="190" t="s">
        <v>257</v>
      </c>
      <c r="C120" s="199">
        <v>1.69198316E8</v>
      </c>
      <c r="D120" s="152" t="s">
        <v>258</v>
      </c>
      <c r="E120" s="53" t="s">
        <v>77</v>
      </c>
      <c r="F120" s="154">
        <v>1.0</v>
      </c>
      <c r="G120" s="53"/>
      <c r="H120" s="53" t="str">
        <f t="shared" si="230"/>
        <v>0.00069</v>
      </c>
      <c r="I120" s="53" t="str">
        <f t="shared" si="231"/>
        <v>89</v>
      </c>
      <c r="J120" s="53" t="str">
        <f t="shared" si="232"/>
        <v>0</v>
      </c>
      <c r="K120" s="155" t="str">
        <f t="shared" si="233"/>
        <v>0.00</v>
      </c>
      <c r="L120" s="156" t="str">
        <f t="shared" si="234"/>
        <v>0.00 </v>
      </c>
      <c r="M120" s="132">
        <v>90.0</v>
      </c>
      <c r="N120" s="157">
        <v>260.26</v>
      </c>
      <c r="O120" s="158">
        <v>1000.0</v>
      </c>
      <c r="P120" s="159" t="str">
        <f t="shared" si="252"/>
        <v>1,000.00</v>
      </c>
      <c r="Q120" s="160">
        <v>839.0</v>
      </c>
      <c r="R120" s="161">
        <v>0.26</v>
      </c>
      <c r="S120" s="162" t="str">
        <f t="shared" si="236"/>
        <v>740.00</v>
      </c>
      <c r="T120" s="163" t="str">
        <f t="shared" si="237"/>
        <v>60.00</v>
      </c>
      <c r="U120" s="164" t="str">
        <f t="shared" si="238"/>
        <v>55.33</v>
      </c>
      <c r="V120" s="165" t="str">
        <f t="shared" si="239"/>
        <v>0.00</v>
      </c>
      <c r="W120" s="166">
        <v>0.67</v>
      </c>
      <c r="X120" s="167" t="str">
        <f>((_xlfn.CEILING.MATH(W120)-1)*$C$5+$C$4)</f>
        <v>76</v>
      </c>
      <c r="Y120" s="168" t="str">
        <f t="shared" si="240"/>
        <v>325.000</v>
      </c>
      <c r="Z120" s="168" t="str">
        <f t="shared" si="241"/>
        <v>29.526</v>
      </c>
      <c r="AA120" s="164" t="str">
        <f t="shared" si="242"/>
        <v>2.04</v>
      </c>
      <c r="AB120" s="164">
        <v>95.92</v>
      </c>
      <c r="AC120" s="164" t="str">
        <f t="shared" si="243"/>
        <v>4.80</v>
      </c>
      <c r="AD120" s="165" t="str">
        <f t="shared" si="244"/>
        <v>100.00</v>
      </c>
      <c r="AE120" s="23"/>
      <c r="AF120" s="169" t="str">
        <f t="shared" si="245"/>
        <v>0</v>
      </c>
      <c r="AG120" s="163" t="str">
        <f t="shared" si="246"/>
        <v>87.05</v>
      </c>
      <c r="AH120" s="170" t="str">
        <f t="shared" si="247"/>
        <v>33.45%</v>
      </c>
      <c r="AI120" s="26"/>
      <c r="AJ120" s="171" t="str">
        <f t="shared" si="248"/>
        <v>0.00%</v>
      </c>
      <c r="AK120" s="172" t="str">
        <f t="shared" si="249"/>
        <v>0.00</v>
      </c>
      <c r="AL120" s="173" t="str">
        <f t="shared" si="250"/>
        <v>885.74</v>
      </c>
      <c r="AM120" s="174" t="str">
        <f t="shared" si="251"/>
        <v>628.87</v>
      </c>
    </row>
    <row r="121" ht="12.75" customHeight="1">
      <c r="A121" s="26"/>
      <c r="B121" s="125" t="s">
        <v>259</v>
      </c>
      <c r="C121" s="126"/>
      <c r="D121" s="127"/>
      <c r="E121" s="128"/>
      <c r="F121" s="128"/>
      <c r="G121" s="128"/>
      <c r="H121" s="197"/>
      <c r="I121" s="197"/>
      <c r="J121" s="128"/>
      <c r="K121" s="130"/>
      <c r="L121" s="131"/>
      <c r="M121" s="132"/>
      <c r="N121" s="176"/>
      <c r="O121" s="134"/>
      <c r="P121" s="135"/>
      <c r="Q121" s="135"/>
      <c r="R121" s="136"/>
      <c r="S121" s="137"/>
      <c r="T121" s="177"/>
      <c r="U121" s="178"/>
      <c r="V121" s="179"/>
      <c r="W121" s="180"/>
      <c r="X121" s="181"/>
      <c r="Y121" s="182"/>
      <c r="Z121" s="182"/>
      <c r="AA121" s="178"/>
      <c r="AB121" s="178"/>
      <c r="AC121" s="178"/>
      <c r="AD121" s="179"/>
      <c r="AE121" s="183"/>
      <c r="AF121" s="184"/>
      <c r="AG121" s="177"/>
      <c r="AH121" s="185"/>
      <c r="AI121" s="26"/>
      <c r="AJ121" s="186"/>
      <c r="AK121" s="187"/>
      <c r="AL121" s="188"/>
      <c r="AM121" s="189"/>
    </row>
    <row r="122" ht="12.75" customHeight="1">
      <c r="A122" s="26"/>
      <c r="B122" s="190" t="s">
        <v>260</v>
      </c>
      <c r="C122" s="199">
        <v>2.07472742E8</v>
      </c>
      <c r="D122" s="152" t="s">
        <v>261</v>
      </c>
      <c r="E122" s="53" t="s">
        <v>77</v>
      </c>
      <c r="F122" s="154">
        <v>1.0</v>
      </c>
      <c r="G122" s="53"/>
      <c r="H122" s="53" t="str">
        <f t="shared" ref="H122:H134" si="253">$I$2</f>
        <v>0.00069</v>
      </c>
      <c r="I122" s="53" t="str">
        <f t="shared" ref="I122:I134" si="254">$I$3</f>
        <v>89</v>
      </c>
      <c r="J122" s="53" t="str">
        <f t="shared" ref="J122:J134" si="255">G122*H122*I122*F122</f>
        <v>0</v>
      </c>
      <c r="K122" s="155" t="str">
        <f t="shared" ref="K122:K134" si="256">J122*$J$4</f>
        <v>0.00</v>
      </c>
      <c r="L122" s="156" t="str">
        <f t="shared" ref="L122:L134" si="257">K122+J122</f>
        <v>0.00 </v>
      </c>
      <c r="M122" s="132">
        <v>90.0</v>
      </c>
      <c r="N122" s="175">
        <v>396.72</v>
      </c>
      <c r="O122" s="158">
        <v>1410.0</v>
      </c>
      <c r="P122" s="159">
        <v>1325.0</v>
      </c>
      <c r="Q122" s="160">
        <v>784.0</v>
      </c>
      <c r="R122" s="161">
        <v>0.33</v>
      </c>
      <c r="S122" s="162" t="str">
        <f t="shared" ref="S122:S134" si="258">O122-(O122*R122)</f>
        <v>944.70</v>
      </c>
      <c r="T122" s="163" t="str">
        <f t="shared" ref="T122:T134" si="259">$C$1</f>
        <v>60.00</v>
      </c>
      <c r="U122" s="164" t="str">
        <f t="shared" ref="U122:U134" si="260">(S122*7/107)+((S122-(S122*7/107))*1%)</f>
        <v>70.63</v>
      </c>
      <c r="V122" s="165" t="str">
        <f t="shared" ref="V122:V134" si="261">N122*$C$3*(M122/30)</f>
        <v>0.00</v>
      </c>
      <c r="W122" s="166">
        <v>1.26</v>
      </c>
      <c r="X122" s="167">
        <v>100.0</v>
      </c>
      <c r="Y122" s="168" t="str">
        <f t="shared" ref="Y122:Y134" si="262">O122*$Y$6</f>
        <v>458.250</v>
      </c>
      <c r="Z122" s="168" t="str">
        <f t="shared" ref="Z122:Z134" si="263">S122*$Y$7</f>
        <v>37.694</v>
      </c>
      <c r="AA122" s="164" t="str">
        <f t="shared" ref="AA122:AA134" si="264">$Y$3*((100-AB122)/100)</f>
        <v>0.84</v>
      </c>
      <c r="AB122" s="164">
        <v>98.33</v>
      </c>
      <c r="AC122" s="164" t="str">
        <f t="shared" ref="AC122:AC134" si="265">$C$6*$C$7*_xlfn.CEILING.MATH(W122)</f>
        <v>9.60</v>
      </c>
      <c r="AD122" s="165" t="str">
        <f t="shared" ref="AD122:AD134" si="266">O122*$C$2</f>
        <v>141.00</v>
      </c>
      <c r="AE122" s="23"/>
      <c r="AF122" s="169" t="str">
        <f t="shared" ref="AF122:AF134" si="267">(_xlfn.CEILING.MATH(W122))*$Y$1*$AD$2</f>
        <v>0</v>
      </c>
      <c r="AG122" s="163" t="str">
        <f t="shared" ref="AG122:AG134" si="268">O122-T122-U122-V122-X122-Y122-Z122-AA122-AC122-AD122-N122</f>
        <v>135.27</v>
      </c>
      <c r="AH122" s="170" t="str">
        <f t="shared" ref="AH122:AH134" si="269">AG122/N122</f>
        <v>34.10%</v>
      </c>
      <c r="AI122" s="26"/>
      <c r="AJ122" s="171" t="str">
        <f t="shared" ref="AJ122:AJ134" si="270">$AD$3</f>
        <v>0.00%</v>
      </c>
      <c r="AK122" s="172" t="str">
        <f t="shared" ref="AK122:AK134" si="271">N122*AJ122</f>
        <v>0.00</v>
      </c>
      <c r="AL122" s="173" t="str">
        <f t="shared" ref="AL122:AL134" si="272">(N122+T122+V122+X122+AA122+AC122+AF122+AK122)/(100%-($C$2+$C$8+$Y$6+$Y$7))</f>
        <v>1,246.22</v>
      </c>
      <c r="AM122" s="174" t="str">
        <f t="shared" ref="AM122:AM134" si="273">AL122-(AL122*$AD$1)</f>
        <v>884.82</v>
      </c>
    </row>
    <row r="123" ht="12.75" customHeight="1">
      <c r="A123" s="26"/>
      <c r="B123" s="190" t="s">
        <v>262</v>
      </c>
      <c r="C123" s="199">
        <v>1.68956391E8</v>
      </c>
      <c r="D123" s="152" t="s">
        <v>263</v>
      </c>
      <c r="E123" s="53" t="s">
        <v>77</v>
      </c>
      <c r="F123" s="154">
        <v>1.0</v>
      </c>
      <c r="G123" s="53"/>
      <c r="H123" s="53" t="str">
        <f t="shared" si="253"/>
        <v>0.00069</v>
      </c>
      <c r="I123" s="53" t="str">
        <f t="shared" si="254"/>
        <v>89</v>
      </c>
      <c r="J123" s="53" t="str">
        <f t="shared" si="255"/>
        <v>0</v>
      </c>
      <c r="K123" s="155" t="str">
        <f t="shared" si="256"/>
        <v>0.00</v>
      </c>
      <c r="L123" s="156" t="str">
        <f t="shared" si="257"/>
        <v>0.00 </v>
      </c>
      <c r="M123" s="132">
        <v>90.0</v>
      </c>
      <c r="N123" s="157">
        <v>347.76</v>
      </c>
      <c r="O123" s="158">
        <v>1300.0</v>
      </c>
      <c r="P123" s="159" t="str">
        <f t="shared" ref="P123:P127" si="274">O123</f>
        <v>1,300.00</v>
      </c>
      <c r="Q123" s="160"/>
      <c r="R123" s="161">
        <v>0.26</v>
      </c>
      <c r="S123" s="162" t="str">
        <f t="shared" si="258"/>
        <v>962.00</v>
      </c>
      <c r="T123" s="163" t="str">
        <f t="shared" si="259"/>
        <v>60.00</v>
      </c>
      <c r="U123" s="164" t="str">
        <f t="shared" si="260"/>
        <v>71.93</v>
      </c>
      <c r="V123" s="165" t="str">
        <f t="shared" si="261"/>
        <v>0.00</v>
      </c>
      <c r="W123" s="166">
        <v>0.83</v>
      </c>
      <c r="X123" s="167">
        <v>86.0</v>
      </c>
      <c r="Y123" s="168" t="str">
        <f t="shared" si="262"/>
        <v>422.500</v>
      </c>
      <c r="Z123" s="168" t="str">
        <f t="shared" si="263"/>
        <v>38.384</v>
      </c>
      <c r="AA123" s="164" t="str">
        <f t="shared" si="264"/>
        <v>3.14</v>
      </c>
      <c r="AB123" s="164">
        <v>93.72</v>
      </c>
      <c r="AC123" s="164" t="str">
        <f t="shared" si="265"/>
        <v>4.80</v>
      </c>
      <c r="AD123" s="165" t="str">
        <f t="shared" si="266"/>
        <v>130.00</v>
      </c>
      <c r="AE123" s="23"/>
      <c r="AF123" s="169" t="str">
        <f t="shared" si="267"/>
        <v>0</v>
      </c>
      <c r="AG123" s="163" t="str">
        <f t="shared" si="268"/>
        <v>135.49</v>
      </c>
      <c r="AH123" s="170" t="str">
        <f t="shared" si="269"/>
        <v>38.96%</v>
      </c>
      <c r="AI123" s="26"/>
      <c r="AJ123" s="171" t="str">
        <f t="shared" si="270"/>
        <v>0.00%</v>
      </c>
      <c r="AK123" s="172" t="str">
        <f t="shared" si="271"/>
        <v>0.00</v>
      </c>
      <c r="AL123" s="173" t="str">
        <f t="shared" si="272"/>
        <v>1,102.40</v>
      </c>
      <c r="AM123" s="174" t="str">
        <f t="shared" si="273"/>
        <v>782.70</v>
      </c>
    </row>
    <row r="124" ht="12.75" customHeight="1">
      <c r="A124" s="26"/>
      <c r="B124" s="190"/>
      <c r="C124" s="199">
        <v>4.19630142E8</v>
      </c>
      <c r="D124" s="152" t="s">
        <v>264</v>
      </c>
      <c r="E124" s="53" t="s">
        <v>77</v>
      </c>
      <c r="F124" s="154">
        <v>1.0</v>
      </c>
      <c r="G124" s="53"/>
      <c r="H124" s="53" t="str">
        <f t="shared" si="253"/>
        <v>0.00069</v>
      </c>
      <c r="I124" s="53" t="str">
        <f t="shared" si="254"/>
        <v>89</v>
      </c>
      <c r="J124" s="53" t="str">
        <f t="shared" si="255"/>
        <v>0</v>
      </c>
      <c r="K124" s="155" t="str">
        <f t="shared" si="256"/>
        <v>0.00</v>
      </c>
      <c r="L124" s="156" t="str">
        <f t="shared" si="257"/>
        <v>0.00 </v>
      </c>
      <c r="M124" s="132">
        <v>90.0</v>
      </c>
      <c r="N124" s="175">
        <v>390.46</v>
      </c>
      <c r="O124" s="158">
        <v>1200.0</v>
      </c>
      <c r="P124" s="159" t="str">
        <f t="shared" si="274"/>
        <v>1,200.00</v>
      </c>
      <c r="Q124" s="160">
        <v>905.0</v>
      </c>
      <c r="R124" s="161">
        <v>0.26</v>
      </c>
      <c r="S124" s="162" t="str">
        <f t="shared" si="258"/>
        <v>888.00</v>
      </c>
      <c r="T124" s="163" t="str">
        <f t="shared" si="259"/>
        <v>60.00</v>
      </c>
      <c r="U124" s="164" t="str">
        <f t="shared" si="260"/>
        <v>66.39</v>
      </c>
      <c r="V124" s="165" t="str">
        <f t="shared" si="261"/>
        <v>0.00</v>
      </c>
      <c r="W124" s="166">
        <v>0.83</v>
      </c>
      <c r="X124" s="167">
        <v>86.0</v>
      </c>
      <c r="Y124" s="168" t="str">
        <f t="shared" si="262"/>
        <v>390.000</v>
      </c>
      <c r="Z124" s="168" t="str">
        <f t="shared" si="263"/>
        <v>35.431</v>
      </c>
      <c r="AA124" s="164" t="str">
        <f t="shared" si="264"/>
        <v>3.14</v>
      </c>
      <c r="AB124" s="164">
        <v>93.72</v>
      </c>
      <c r="AC124" s="164" t="str">
        <f t="shared" si="265"/>
        <v>4.80</v>
      </c>
      <c r="AD124" s="165" t="str">
        <f t="shared" si="266"/>
        <v>120.00</v>
      </c>
      <c r="AE124" s="23"/>
      <c r="AF124" s="169" t="str">
        <f t="shared" si="267"/>
        <v>0</v>
      </c>
      <c r="AG124" s="163" t="str">
        <f t="shared" si="268"/>
        <v>43.78</v>
      </c>
      <c r="AH124" s="170" t="str">
        <f t="shared" si="269"/>
        <v>11.21%</v>
      </c>
      <c r="AI124" s="26"/>
      <c r="AJ124" s="171" t="str">
        <f t="shared" si="270"/>
        <v>0.00%</v>
      </c>
      <c r="AK124" s="172" t="str">
        <f t="shared" si="271"/>
        <v>0.00</v>
      </c>
      <c r="AL124" s="173" t="str">
        <f t="shared" si="272"/>
        <v>1,196.22</v>
      </c>
      <c r="AM124" s="174" t="str">
        <f t="shared" si="273"/>
        <v>849.32</v>
      </c>
    </row>
    <row r="125" ht="12.75" customHeight="1">
      <c r="A125" s="26"/>
      <c r="B125" s="190" t="s">
        <v>265</v>
      </c>
      <c r="C125" s="199">
        <v>2.07476777E8</v>
      </c>
      <c r="D125" s="152" t="s">
        <v>266</v>
      </c>
      <c r="E125" s="53" t="s">
        <v>77</v>
      </c>
      <c r="F125" s="154">
        <v>1.0</v>
      </c>
      <c r="G125" s="53"/>
      <c r="H125" s="53" t="str">
        <f t="shared" si="253"/>
        <v>0.00069</v>
      </c>
      <c r="I125" s="53" t="str">
        <f t="shared" si="254"/>
        <v>89</v>
      </c>
      <c r="J125" s="53" t="str">
        <f t="shared" si="255"/>
        <v>0</v>
      </c>
      <c r="K125" s="155" t="str">
        <f t="shared" si="256"/>
        <v>0.00</v>
      </c>
      <c r="L125" s="156" t="str">
        <f t="shared" si="257"/>
        <v>0.00 </v>
      </c>
      <c r="M125" s="132">
        <v>90.0</v>
      </c>
      <c r="N125" s="157">
        <v>161.47</v>
      </c>
      <c r="O125" s="158">
        <v>700.0</v>
      </c>
      <c r="P125" s="159" t="str">
        <f t="shared" si="274"/>
        <v>700.00</v>
      </c>
      <c r="Q125" s="160">
        <v>503.0</v>
      </c>
      <c r="R125" s="161">
        <v>0.26</v>
      </c>
      <c r="S125" s="162" t="str">
        <f t="shared" si="258"/>
        <v>518.00</v>
      </c>
      <c r="T125" s="163" t="str">
        <f t="shared" si="259"/>
        <v>60.00</v>
      </c>
      <c r="U125" s="164" t="str">
        <f t="shared" si="260"/>
        <v>38.73</v>
      </c>
      <c r="V125" s="165" t="str">
        <f t="shared" si="261"/>
        <v>0.00</v>
      </c>
      <c r="W125" s="166">
        <v>0.57</v>
      </c>
      <c r="X125" s="167" t="str">
        <f t="shared" ref="X125:X127" si="275">((_xlfn.CEILING.MATH(W125)-1)*$C$5+$C$4)</f>
        <v>76</v>
      </c>
      <c r="Y125" s="168" t="str">
        <f t="shared" si="262"/>
        <v>227.500</v>
      </c>
      <c r="Z125" s="168" t="str">
        <f t="shared" si="263"/>
        <v>20.668</v>
      </c>
      <c r="AA125" s="164" t="str">
        <f t="shared" si="264"/>
        <v>0.98</v>
      </c>
      <c r="AB125" s="164">
        <v>98.04</v>
      </c>
      <c r="AC125" s="164" t="str">
        <f t="shared" si="265"/>
        <v>4.80</v>
      </c>
      <c r="AD125" s="165" t="str">
        <f t="shared" si="266"/>
        <v>70.00</v>
      </c>
      <c r="AE125" s="23"/>
      <c r="AF125" s="169" t="str">
        <f t="shared" si="267"/>
        <v>0</v>
      </c>
      <c r="AG125" s="163" t="str">
        <f t="shared" si="268"/>
        <v>39.85</v>
      </c>
      <c r="AH125" s="170" t="str">
        <f t="shared" si="269"/>
        <v>24.68%</v>
      </c>
      <c r="AI125" s="26"/>
      <c r="AJ125" s="171" t="str">
        <f t="shared" si="270"/>
        <v>0.00%</v>
      </c>
      <c r="AK125" s="172" t="str">
        <f t="shared" si="271"/>
        <v>0.00</v>
      </c>
      <c r="AL125" s="173" t="str">
        <f t="shared" si="272"/>
        <v>666.34</v>
      </c>
      <c r="AM125" s="174" t="str">
        <f t="shared" si="273"/>
        <v>473.10</v>
      </c>
    </row>
    <row r="126" ht="12.75" customHeight="1">
      <c r="A126" s="26"/>
      <c r="B126" s="190" t="s">
        <v>267</v>
      </c>
      <c r="C126" s="199">
        <v>2.07477077E8</v>
      </c>
      <c r="D126" s="152" t="s">
        <v>268</v>
      </c>
      <c r="E126" s="53" t="s">
        <v>77</v>
      </c>
      <c r="F126" s="154">
        <v>1.0</v>
      </c>
      <c r="G126" s="53"/>
      <c r="H126" s="53" t="str">
        <f t="shared" si="253"/>
        <v>0.00069</v>
      </c>
      <c r="I126" s="53" t="str">
        <f t="shared" si="254"/>
        <v>89</v>
      </c>
      <c r="J126" s="53" t="str">
        <f t="shared" si="255"/>
        <v>0</v>
      </c>
      <c r="K126" s="155" t="str">
        <f t="shared" si="256"/>
        <v>0.00</v>
      </c>
      <c r="L126" s="156" t="str">
        <f t="shared" si="257"/>
        <v>0.00 </v>
      </c>
      <c r="M126" s="132">
        <v>90.0</v>
      </c>
      <c r="N126" s="157">
        <v>484.42</v>
      </c>
      <c r="O126" s="158">
        <v>1500.0</v>
      </c>
      <c r="P126" s="159" t="str">
        <f t="shared" si="274"/>
        <v>1,500.00</v>
      </c>
      <c r="Q126" s="160">
        <v>391.0</v>
      </c>
      <c r="R126" s="161">
        <v>0.26</v>
      </c>
      <c r="S126" s="162" t="str">
        <f t="shared" si="258"/>
        <v>1,110.00</v>
      </c>
      <c r="T126" s="163" t="str">
        <f t="shared" si="259"/>
        <v>60.00</v>
      </c>
      <c r="U126" s="164" t="str">
        <f t="shared" si="260"/>
        <v>82.99</v>
      </c>
      <c r="V126" s="165" t="str">
        <f t="shared" si="261"/>
        <v>0.00</v>
      </c>
      <c r="W126" s="166">
        <v>0.57</v>
      </c>
      <c r="X126" s="167" t="str">
        <f t="shared" si="275"/>
        <v>76</v>
      </c>
      <c r="Y126" s="168" t="str">
        <f t="shared" si="262"/>
        <v>487.500</v>
      </c>
      <c r="Z126" s="168" t="str">
        <f t="shared" si="263"/>
        <v>44.289</v>
      </c>
      <c r="AA126" s="164" t="str">
        <f t="shared" si="264"/>
        <v>1.62</v>
      </c>
      <c r="AB126" s="164">
        <v>96.77</v>
      </c>
      <c r="AC126" s="164" t="str">
        <f t="shared" si="265"/>
        <v>4.80</v>
      </c>
      <c r="AD126" s="165" t="str">
        <f t="shared" si="266"/>
        <v>150.00</v>
      </c>
      <c r="AE126" s="23"/>
      <c r="AF126" s="169" t="str">
        <f t="shared" si="267"/>
        <v>0</v>
      </c>
      <c r="AG126" s="163" t="str">
        <f t="shared" si="268"/>
        <v>108.39</v>
      </c>
      <c r="AH126" s="170" t="str">
        <f t="shared" si="269"/>
        <v>22.37%</v>
      </c>
      <c r="AI126" s="26"/>
      <c r="AJ126" s="171" t="str">
        <f t="shared" si="270"/>
        <v>0.00%</v>
      </c>
      <c r="AK126" s="172" t="str">
        <f t="shared" si="271"/>
        <v>0.00</v>
      </c>
      <c r="AL126" s="173" t="str">
        <f t="shared" si="272"/>
        <v>1,377.36</v>
      </c>
      <c r="AM126" s="174" t="str">
        <f t="shared" si="273"/>
        <v>977.92</v>
      </c>
    </row>
    <row r="127" ht="12.75" customHeight="1">
      <c r="A127" s="26"/>
      <c r="B127" s="190" t="s">
        <v>269</v>
      </c>
      <c r="C127" s="199">
        <v>2.12885914E8</v>
      </c>
      <c r="D127" s="152" t="s">
        <v>270</v>
      </c>
      <c r="E127" s="53" t="s">
        <v>77</v>
      </c>
      <c r="F127" s="154">
        <v>1.0</v>
      </c>
      <c r="G127" s="53"/>
      <c r="H127" s="53" t="str">
        <f t="shared" si="253"/>
        <v>0.00069</v>
      </c>
      <c r="I127" s="53" t="str">
        <f t="shared" si="254"/>
        <v>89</v>
      </c>
      <c r="J127" s="53" t="str">
        <f t="shared" si="255"/>
        <v>0</v>
      </c>
      <c r="K127" s="155" t="str">
        <f t="shared" si="256"/>
        <v>0.00</v>
      </c>
      <c r="L127" s="156" t="str">
        <f t="shared" si="257"/>
        <v>0.00 </v>
      </c>
      <c r="M127" s="132">
        <v>90.0</v>
      </c>
      <c r="N127" s="157">
        <v>231.73</v>
      </c>
      <c r="O127" s="158">
        <v>900.0</v>
      </c>
      <c r="P127" s="159" t="str">
        <f t="shared" si="274"/>
        <v>900.00</v>
      </c>
      <c r="Q127" s="160">
        <v>712.0</v>
      </c>
      <c r="R127" s="161">
        <v>0.26</v>
      </c>
      <c r="S127" s="162" t="str">
        <f t="shared" si="258"/>
        <v>666.00</v>
      </c>
      <c r="T127" s="163" t="str">
        <f t="shared" si="259"/>
        <v>60.00</v>
      </c>
      <c r="U127" s="164" t="str">
        <f t="shared" si="260"/>
        <v>49.79</v>
      </c>
      <c r="V127" s="165" t="str">
        <f t="shared" si="261"/>
        <v>0.00</v>
      </c>
      <c r="W127" s="166">
        <v>0.22</v>
      </c>
      <c r="X127" s="167" t="str">
        <f t="shared" si="275"/>
        <v>76</v>
      </c>
      <c r="Y127" s="168" t="str">
        <f t="shared" si="262"/>
        <v>292.500</v>
      </c>
      <c r="Z127" s="168" t="str">
        <f t="shared" si="263"/>
        <v>26.573</v>
      </c>
      <c r="AA127" s="164" t="str">
        <f t="shared" si="264"/>
        <v>1.02</v>
      </c>
      <c r="AB127" s="164">
        <v>97.96</v>
      </c>
      <c r="AC127" s="164" t="str">
        <f t="shared" si="265"/>
        <v>4.80</v>
      </c>
      <c r="AD127" s="165" t="str">
        <f t="shared" si="266"/>
        <v>90.00</v>
      </c>
      <c r="AE127" s="23"/>
      <c r="AF127" s="169" t="str">
        <f t="shared" si="267"/>
        <v>0</v>
      </c>
      <c r="AG127" s="163" t="str">
        <f t="shared" si="268"/>
        <v>67.58</v>
      </c>
      <c r="AH127" s="170" t="str">
        <f t="shared" si="269"/>
        <v>29.16%</v>
      </c>
      <c r="AI127" s="26"/>
      <c r="AJ127" s="171" t="str">
        <f t="shared" si="270"/>
        <v>0.00%</v>
      </c>
      <c r="AK127" s="172" t="str">
        <f t="shared" si="271"/>
        <v>0.00</v>
      </c>
      <c r="AL127" s="173" t="str">
        <f t="shared" si="272"/>
        <v>820.81</v>
      </c>
      <c r="AM127" s="174" t="str">
        <f t="shared" si="273"/>
        <v>582.77</v>
      </c>
    </row>
    <row r="128" ht="12.75" customHeight="1">
      <c r="A128" s="26"/>
      <c r="B128" s="190" t="s">
        <v>271</v>
      </c>
      <c r="C128" s="199">
        <v>2.07475898E8</v>
      </c>
      <c r="D128" s="152" t="s">
        <v>272</v>
      </c>
      <c r="E128" s="53" t="s">
        <v>77</v>
      </c>
      <c r="F128" s="154">
        <v>1.0</v>
      </c>
      <c r="G128" s="53"/>
      <c r="H128" s="53" t="str">
        <f t="shared" si="253"/>
        <v>0.00069</v>
      </c>
      <c r="I128" s="53" t="str">
        <f t="shared" si="254"/>
        <v>89</v>
      </c>
      <c r="J128" s="53" t="str">
        <f t="shared" si="255"/>
        <v>0</v>
      </c>
      <c r="K128" s="155" t="str">
        <f t="shared" si="256"/>
        <v>0.00</v>
      </c>
      <c r="L128" s="156" t="str">
        <f t="shared" si="257"/>
        <v>0.00 </v>
      </c>
      <c r="M128" s="132">
        <v>90.0</v>
      </c>
      <c r="N128" s="175">
        <v>396.72</v>
      </c>
      <c r="O128" s="158">
        <v>1300.0</v>
      </c>
      <c r="P128" s="159">
        <v>810.0</v>
      </c>
      <c r="Q128" s="160">
        <v>670.0</v>
      </c>
      <c r="R128" s="161">
        <v>0.26</v>
      </c>
      <c r="S128" s="162" t="str">
        <f t="shared" si="258"/>
        <v>962.00</v>
      </c>
      <c r="T128" s="163" t="str">
        <f t="shared" si="259"/>
        <v>60.00</v>
      </c>
      <c r="U128" s="164" t="str">
        <f t="shared" si="260"/>
        <v>71.93</v>
      </c>
      <c r="V128" s="165" t="str">
        <f t="shared" si="261"/>
        <v>0.00</v>
      </c>
      <c r="W128" s="166">
        <v>1.26</v>
      </c>
      <c r="X128" s="167">
        <v>100.0</v>
      </c>
      <c r="Y128" s="168" t="str">
        <f t="shared" si="262"/>
        <v>422.500</v>
      </c>
      <c r="Z128" s="168" t="str">
        <f t="shared" si="263"/>
        <v>38.384</v>
      </c>
      <c r="AA128" s="164" t="str">
        <f t="shared" si="264"/>
        <v>0.00</v>
      </c>
      <c r="AB128" s="164">
        <v>100.0</v>
      </c>
      <c r="AC128" s="164" t="str">
        <f t="shared" si="265"/>
        <v>9.60</v>
      </c>
      <c r="AD128" s="165" t="str">
        <f t="shared" si="266"/>
        <v>130.00</v>
      </c>
      <c r="AE128" s="23"/>
      <c r="AF128" s="169" t="str">
        <f t="shared" si="267"/>
        <v>0</v>
      </c>
      <c r="AG128" s="163" t="str">
        <f t="shared" si="268"/>
        <v>70.87</v>
      </c>
      <c r="AH128" s="170" t="str">
        <f t="shared" si="269"/>
        <v>17.86%</v>
      </c>
      <c r="AI128" s="26"/>
      <c r="AJ128" s="171" t="str">
        <f t="shared" si="270"/>
        <v>0.00%</v>
      </c>
      <c r="AK128" s="172" t="str">
        <f t="shared" si="271"/>
        <v>0.00</v>
      </c>
      <c r="AL128" s="173" t="str">
        <f t="shared" si="272"/>
        <v>1,244.39</v>
      </c>
      <c r="AM128" s="174" t="str">
        <f t="shared" si="273"/>
        <v>883.51</v>
      </c>
    </row>
    <row r="129" ht="12.75" customHeight="1">
      <c r="A129" s="26"/>
      <c r="B129" s="190" t="s">
        <v>273</v>
      </c>
      <c r="C129" s="199">
        <v>1.6907615E8</v>
      </c>
      <c r="D129" s="152" t="s">
        <v>274</v>
      </c>
      <c r="E129" s="53" t="s">
        <v>77</v>
      </c>
      <c r="F129" s="154">
        <v>1.0</v>
      </c>
      <c r="G129" s="53"/>
      <c r="H129" s="53" t="str">
        <f t="shared" si="253"/>
        <v>0.00069</v>
      </c>
      <c r="I129" s="53" t="str">
        <f t="shared" si="254"/>
        <v>89</v>
      </c>
      <c r="J129" s="53" t="str">
        <f t="shared" si="255"/>
        <v>0</v>
      </c>
      <c r="K129" s="155" t="str">
        <f t="shared" si="256"/>
        <v>0.00</v>
      </c>
      <c r="L129" s="156" t="str">
        <f t="shared" si="257"/>
        <v>0.00 </v>
      </c>
      <c r="M129" s="132">
        <v>90.0</v>
      </c>
      <c r="N129" s="175">
        <v>313.84</v>
      </c>
      <c r="O129" s="158">
        <v>1012.1</v>
      </c>
      <c r="P129" s="159" t="str">
        <f>O129</f>
        <v>1,012.10</v>
      </c>
      <c r="Q129" s="160">
        <v>884.0</v>
      </c>
      <c r="R129" s="161">
        <v>0.26</v>
      </c>
      <c r="S129" s="162" t="str">
        <f t="shared" si="258"/>
        <v>748.95</v>
      </c>
      <c r="T129" s="163" t="str">
        <f t="shared" si="259"/>
        <v>60.00</v>
      </c>
      <c r="U129" s="164" t="str">
        <f t="shared" si="260"/>
        <v>56.00</v>
      </c>
      <c r="V129" s="165" t="str">
        <f t="shared" si="261"/>
        <v>0.00</v>
      </c>
      <c r="W129" s="166">
        <v>0.57</v>
      </c>
      <c r="X129" s="167">
        <v>79.0</v>
      </c>
      <c r="Y129" s="168" t="str">
        <f t="shared" si="262"/>
        <v>328.933</v>
      </c>
      <c r="Z129" s="168" t="str">
        <f t="shared" si="263"/>
        <v>29.883</v>
      </c>
      <c r="AA129" s="164" t="str">
        <f t="shared" si="264"/>
        <v>1.39</v>
      </c>
      <c r="AB129" s="164">
        <v>97.22</v>
      </c>
      <c r="AC129" s="164" t="str">
        <f t="shared" si="265"/>
        <v>4.80</v>
      </c>
      <c r="AD129" s="165" t="str">
        <f t="shared" si="266"/>
        <v>101.21</v>
      </c>
      <c r="AE129" s="23"/>
      <c r="AF129" s="169" t="str">
        <f t="shared" si="267"/>
        <v>0</v>
      </c>
      <c r="AG129" s="163" t="str">
        <f t="shared" si="268"/>
        <v>37.05</v>
      </c>
      <c r="AH129" s="170" t="str">
        <f t="shared" si="269"/>
        <v>11.80%</v>
      </c>
      <c r="AI129" s="26"/>
      <c r="AJ129" s="171" t="str">
        <f t="shared" si="270"/>
        <v>0.00%</v>
      </c>
      <c r="AK129" s="172" t="str">
        <f t="shared" si="271"/>
        <v>0.00</v>
      </c>
      <c r="AL129" s="173" t="str">
        <f t="shared" si="272"/>
        <v>1,008.64</v>
      </c>
      <c r="AM129" s="174" t="str">
        <f t="shared" si="273"/>
        <v>716.13</v>
      </c>
    </row>
    <row r="130" ht="12.75" customHeight="1">
      <c r="A130" s="26"/>
      <c r="B130" s="190" t="s">
        <v>275</v>
      </c>
      <c r="C130" s="199">
        <v>2.0746976E8</v>
      </c>
      <c r="D130" s="152" t="s">
        <v>276</v>
      </c>
      <c r="E130" s="53" t="s">
        <v>77</v>
      </c>
      <c r="F130" s="154">
        <v>1.0</v>
      </c>
      <c r="G130" s="53"/>
      <c r="H130" s="53" t="str">
        <f t="shared" si="253"/>
        <v>0.00069</v>
      </c>
      <c r="I130" s="53" t="str">
        <f t="shared" si="254"/>
        <v>89</v>
      </c>
      <c r="J130" s="53" t="str">
        <f t="shared" si="255"/>
        <v>0</v>
      </c>
      <c r="K130" s="155" t="str">
        <f t="shared" si="256"/>
        <v>0.00</v>
      </c>
      <c r="L130" s="156" t="str">
        <f t="shared" si="257"/>
        <v>0.00 </v>
      </c>
      <c r="M130" s="132">
        <v>90.0</v>
      </c>
      <c r="N130" s="175">
        <v>431.05</v>
      </c>
      <c r="O130" s="158">
        <v>1390.0</v>
      </c>
      <c r="P130" s="159">
        <v>1390.0</v>
      </c>
      <c r="Q130" s="160">
        <v>861.0</v>
      </c>
      <c r="R130" s="161">
        <v>0.26</v>
      </c>
      <c r="S130" s="162" t="str">
        <f t="shared" si="258"/>
        <v>1,028.60</v>
      </c>
      <c r="T130" s="163" t="str">
        <f t="shared" si="259"/>
        <v>60.00</v>
      </c>
      <c r="U130" s="164" t="str">
        <f t="shared" si="260"/>
        <v>76.90</v>
      </c>
      <c r="V130" s="165" t="str">
        <f t="shared" si="261"/>
        <v>0.00</v>
      </c>
      <c r="W130" s="166">
        <v>0.73</v>
      </c>
      <c r="X130" s="167">
        <v>87.0</v>
      </c>
      <c r="Y130" s="168" t="str">
        <f t="shared" si="262"/>
        <v>451.750</v>
      </c>
      <c r="Z130" s="168" t="str">
        <f t="shared" si="263"/>
        <v>41.041</v>
      </c>
      <c r="AA130" s="164" t="str">
        <f t="shared" si="264"/>
        <v>0.77</v>
      </c>
      <c r="AB130" s="164">
        <v>98.45</v>
      </c>
      <c r="AC130" s="164" t="str">
        <f t="shared" si="265"/>
        <v>4.80</v>
      </c>
      <c r="AD130" s="165" t="str">
        <f t="shared" si="266"/>
        <v>139.00</v>
      </c>
      <c r="AE130" s="23"/>
      <c r="AF130" s="169" t="str">
        <f t="shared" si="267"/>
        <v>0</v>
      </c>
      <c r="AG130" s="163" t="str">
        <f t="shared" si="268"/>
        <v>97.68</v>
      </c>
      <c r="AH130" s="170" t="str">
        <f t="shared" si="269"/>
        <v>22.66%</v>
      </c>
      <c r="AI130" s="26"/>
      <c r="AJ130" s="171" t="str">
        <f t="shared" si="270"/>
        <v>0.00%</v>
      </c>
      <c r="AK130" s="172" t="str">
        <f t="shared" si="271"/>
        <v>0.00</v>
      </c>
      <c r="AL130" s="173" t="str">
        <f t="shared" si="272"/>
        <v>1,282.41</v>
      </c>
      <c r="AM130" s="174" t="str">
        <f t="shared" si="273"/>
        <v>910.51</v>
      </c>
    </row>
    <row r="131" ht="12.75" customHeight="1">
      <c r="A131" s="26"/>
      <c r="B131" s="190" t="s">
        <v>277</v>
      </c>
      <c r="C131" s="192">
        <v>2.12886252E8</v>
      </c>
      <c r="D131" s="152" t="s">
        <v>278</v>
      </c>
      <c r="E131" s="53" t="s">
        <v>77</v>
      </c>
      <c r="F131" s="154">
        <v>1.0</v>
      </c>
      <c r="G131" s="53"/>
      <c r="H131" s="53" t="str">
        <f t="shared" si="253"/>
        <v>0.00069</v>
      </c>
      <c r="I131" s="53" t="str">
        <f t="shared" si="254"/>
        <v>89</v>
      </c>
      <c r="J131" s="53" t="str">
        <f t="shared" si="255"/>
        <v>0</v>
      </c>
      <c r="K131" s="155" t="str">
        <f t="shared" si="256"/>
        <v>0.00</v>
      </c>
      <c r="L131" s="156" t="str">
        <f t="shared" si="257"/>
        <v>0.00 </v>
      </c>
      <c r="M131" s="132">
        <v>90.0</v>
      </c>
      <c r="N131" s="157">
        <v>0.0</v>
      </c>
      <c r="O131" s="158">
        <v>839.7</v>
      </c>
      <c r="P131" s="159" t="str">
        <f t="shared" ref="P131:P132" si="276">AL131</f>
        <v>317.52</v>
      </c>
      <c r="Q131" s="160"/>
      <c r="R131" s="161">
        <v>0.26</v>
      </c>
      <c r="S131" s="162" t="str">
        <f t="shared" si="258"/>
        <v>621.38</v>
      </c>
      <c r="T131" s="163" t="str">
        <f t="shared" si="259"/>
        <v>60.00</v>
      </c>
      <c r="U131" s="164" t="str">
        <f t="shared" si="260"/>
        <v>46.46</v>
      </c>
      <c r="V131" s="165" t="str">
        <f t="shared" si="261"/>
        <v>0.00</v>
      </c>
      <c r="W131" s="166">
        <v>0.79</v>
      </c>
      <c r="X131" s="167" t="str">
        <f t="shared" ref="X131:X132" si="277">((_xlfn.CEILING.MATH(W131)-1)*$C$5+$C$4)</f>
        <v>76</v>
      </c>
      <c r="Y131" s="168" t="str">
        <f t="shared" si="262"/>
        <v>272.903</v>
      </c>
      <c r="Z131" s="168" t="str">
        <f t="shared" si="263"/>
        <v>24.793</v>
      </c>
      <c r="AA131" s="164" t="str">
        <f t="shared" si="264"/>
        <v>3.71</v>
      </c>
      <c r="AB131" s="164">
        <v>92.59</v>
      </c>
      <c r="AC131" s="164" t="str">
        <f t="shared" si="265"/>
        <v>4.80</v>
      </c>
      <c r="AD131" s="165" t="str">
        <f t="shared" si="266"/>
        <v>83.97</v>
      </c>
      <c r="AE131" s="23"/>
      <c r="AF131" s="169" t="str">
        <f t="shared" si="267"/>
        <v>0</v>
      </c>
      <c r="AG131" s="163" t="str">
        <f t="shared" si="268"/>
        <v>267.07</v>
      </c>
      <c r="AH131" s="170" t="str">
        <f t="shared" si="269"/>
        <v>#DIV/0!</v>
      </c>
      <c r="AI131" s="26"/>
      <c r="AJ131" s="171" t="str">
        <f t="shared" si="270"/>
        <v>0.00%</v>
      </c>
      <c r="AK131" s="172" t="str">
        <f t="shared" si="271"/>
        <v>0.00</v>
      </c>
      <c r="AL131" s="173" t="str">
        <f t="shared" si="272"/>
        <v>317.52</v>
      </c>
      <c r="AM131" s="174" t="str">
        <f t="shared" si="273"/>
        <v>225.44</v>
      </c>
    </row>
    <row r="132" ht="12.75" customHeight="1">
      <c r="A132" s="26"/>
      <c r="B132" s="190" t="s">
        <v>279</v>
      </c>
      <c r="C132" s="192">
        <v>1.65009038E8</v>
      </c>
      <c r="D132" s="152" t="s">
        <v>280</v>
      </c>
      <c r="E132" s="53" t="s">
        <v>77</v>
      </c>
      <c r="F132" s="154">
        <v>1.0</v>
      </c>
      <c r="G132" s="53"/>
      <c r="H132" s="53" t="str">
        <f t="shared" si="253"/>
        <v>0.00069</v>
      </c>
      <c r="I132" s="53" t="str">
        <f t="shared" si="254"/>
        <v>89</v>
      </c>
      <c r="J132" s="53" t="str">
        <f t="shared" si="255"/>
        <v>0</v>
      </c>
      <c r="K132" s="155" t="str">
        <f t="shared" si="256"/>
        <v>0.00</v>
      </c>
      <c r="L132" s="156" t="str">
        <f t="shared" si="257"/>
        <v>0.00 </v>
      </c>
      <c r="M132" s="132">
        <v>90.0</v>
      </c>
      <c r="N132" s="157">
        <v>0.0</v>
      </c>
      <c r="O132" s="158">
        <v>501.0</v>
      </c>
      <c r="P132" s="159" t="str">
        <f t="shared" si="276"/>
        <v>323.12</v>
      </c>
      <c r="Q132" s="160"/>
      <c r="R132" s="161">
        <v>0.26</v>
      </c>
      <c r="S132" s="162" t="str">
        <f t="shared" si="258"/>
        <v>370.74</v>
      </c>
      <c r="T132" s="163" t="str">
        <f t="shared" si="259"/>
        <v>60.00</v>
      </c>
      <c r="U132" s="164" t="str">
        <f t="shared" si="260"/>
        <v>27.72</v>
      </c>
      <c r="V132" s="165" t="str">
        <f t="shared" si="261"/>
        <v>0.00</v>
      </c>
      <c r="W132" s="166">
        <v>0.29</v>
      </c>
      <c r="X132" s="167" t="str">
        <f t="shared" si="277"/>
        <v>76</v>
      </c>
      <c r="Y132" s="168" t="str">
        <f t="shared" si="262"/>
        <v>162.825</v>
      </c>
      <c r="Z132" s="168" t="str">
        <f t="shared" si="263"/>
        <v>14.793</v>
      </c>
      <c r="AA132" s="164" t="str">
        <f t="shared" si="264"/>
        <v>6.25</v>
      </c>
      <c r="AB132" s="164">
        <v>87.5</v>
      </c>
      <c r="AC132" s="164" t="str">
        <f t="shared" si="265"/>
        <v>4.80</v>
      </c>
      <c r="AD132" s="165" t="str">
        <f t="shared" si="266"/>
        <v>50.10</v>
      </c>
      <c r="AE132" s="23"/>
      <c r="AF132" s="169" t="str">
        <f t="shared" si="267"/>
        <v>0</v>
      </c>
      <c r="AG132" s="163" t="str">
        <f t="shared" si="268"/>
        <v>98.51</v>
      </c>
      <c r="AH132" s="170" t="str">
        <f t="shared" si="269"/>
        <v>#DIV/0!</v>
      </c>
      <c r="AI132" s="26"/>
      <c r="AJ132" s="171" t="str">
        <f t="shared" si="270"/>
        <v>0.00%</v>
      </c>
      <c r="AK132" s="172" t="str">
        <f t="shared" si="271"/>
        <v>0.00</v>
      </c>
      <c r="AL132" s="173" t="str">
        <f t="shared" si="272"/>
        <v>323.12</v>
      </c>
      <c r="AM132" s="174" t="str">
        <f t="shared" si="273"/>
        <v>229.41</v>
      </c>
    </row>
    <row r="133" ht="12.75" customHeight="1">
      <c r="A133" s="26"/>
      <c r="B133" s="190" t="s">
        <v>281</v>
      </c>
      <c r="C133" s="199">
        <v>2.07476309E8</v>
      </c>
      <c r="D133" s="152" t="s">
        <v>282</v>
      </c>
      <c r="E133" s="53" t="s">
        <v>77</v>
      </c>
      <c r="F133" s="154">
        <v>1.0</v>
      </c>
      <c r="G133" s="53"/>
      <c r="H133" s="53" t="str">
        <f t="shared" si="253"/>
        <v>0.00069</v>
      </c>
      <c r="I133" s="53" t="str">
        <f t="shared" si="254"/>
        <v>89</v>
      </c>
      <c r="J133" s="53" t="str">
        <f t="shared" si="255"/>
        <v>0</v>
      </c>
      <c r="K133" s="155" t="str">
        <f t="shared" si="256"/>
        <v>0.00</v>
      </c>
      <c r="L133" s="156" t="str">
        <f t="shared" si="257"/>
        <v>0.00 </v>
      </c>
      <c r="M133" s="132">
        <v>90.0</v>
      </c>
      <c r="N133" s="175">
        <v>400.76</v>
      </c>
      <c r="O133" s="158">
        <v>1200.0</v>
      </c>
      <c r="P133" s="159">
        <v>1030.0</v>
      </c>
      <c r="Q133" s="160"/>
      <c r="R133" s="161">
        <v>0.26</v>
      </c>
      <c r="S133" s="162" t="str">
        <f t="shared" si="258"/>
        <v>888.00</v>
      </c>
      <c r="T133" s="163" t="str">
        <f t="shared" si="259"/>
        <v>60.00</v>
      </c>
      <c r="U133" s="164" t="str">
        <f t="shared" si="260"/>
        <v>66.39</v>
      </c>
      <c r="V133" s="165" t="str">
        <f t="shared" si="261"/>
        <v>0.00</v>
      </c>
      <c r="W133" s="166">
        <v>1.26</v>
      </c>
      <c r="X133" s="167">
        <v>100.0</v>
      </c>
      <c r="Y133" s="168" t="str">
        <f t="shared" si="262"/>
        <v>390.000</v>
      </c>
      <c r="Z133" s="168" t="str">
        <f t="shared" si="263"/>
        <v>35.431</v>
      </c>
      <c r="AA133" s="164" t="str">
        <f t="shared" si="264"/>
        <v>0.00</v>
      </c>
      <c r="AB133" s="164">
        <v>100.0</v>
      </c>
      <c r="AC133" s="164" t="str">
        <f t="shared" si="265"/>
        <v>9.60</v>
      </c>
      <c r="AD133" s="165" t="str">
        <f t="shared" si="266"/>
        <v>120.00</v>
      </c>
      <c r="AE133" s="23"/>
      <c r="AF133" s="169" t="str">
        <f t="shared" si="267"/>
        <v>0</v>
      </c>
      <c r="AG133" s="163" t="str">
        <f t="shared" si="268"/>
        <v>17.82</v>
      </c>
      <c r="AH133" s="170" t="str">
        <f t="shared" si="269"/>
        <v>4.45%</v>
      </c>
      <c r="AI133" s="26"/>
      <c r="AJ133" s="171" t="str">
        <f t="shared" si="270"/>
        <v>0.00%</v>
      </c>
      <c r="AK133" s="172" t="str">
        <f t="shared" si="271"/>
        <v>0.00</v>
      </c>
      <c r="AL133" s="173" t="str">
        <f t="shared" si="272"/>
        <v>1,253.26</v>
      </c>
      <c r="AM133" s="174" t="str">
        <f t="shared" si="273"/>
        <v>889.82</v>
      </c>
    </row>
    <row r="134" ht="12.75" customHeight="1">
      <c r="A134" s="26"/>
      <c r="B134" s="190" t="s">
        <v>283</v>
      </c>
      <c r="C134" s="192">
        <v>1.6500899E8</v>
      </c>
      <c r="D134" s="152" t="s">
        <v>284</v>
      </c>
      <c r="E134" s="53" t="s">
        <v>77</v>
      </c>
      <c r="F134" s="154">
        <v>1.0</v>
      </c>
      <c r="G134" s="53"/>
      <c r="H134" s="53" t="str">
        <f t="shared" si="253"/>
        <v>0.00069</v>
      </c>
      <c r="I134" s="53" t="str">
        <f t="shared" si="254"/>
        <v>89</v>
      </c>
      <c r="J134" s="53" t="str">
        <f t="shared" si="255"/>
        <v>0</v>
      </c>
      <c r="K134" s="155" t="str">
        <f t="shared" si="256"/>
        <v>0.00</v>
      </c>
      <c r="L134" s="156" t="str">
        <f t="shared" si="257"/>
        <v>0.00 </v>
      </c>
      <c r="M134" s="132">
        <v>90.0</v>
      </c>
      <c r="N134" s="157">
        <v>0.0</v>
      </c>
      <c r="O134" s="158">
        <v>546.6</v>
      </c>
      <c r="P134" s="159" t="str">
        <f>AL134</f>
        <v>309.38</v>
      </c>
      <c r="Q134" s="160"/>
      <c r="R134" s="161">
        <v>0.26</v>
      </c>
      <c r="S134" s="162" t="str">
        <f t="shared" si="258"/>
        <v>404.48</v>
      </c>
      <c r="T134" s="163" t="str">
        <f t="shared" si="259"/>
        <v>60.00</v>
      </c>
      <c r="U134" s="164" t="str">
        <f t="shared" si="260"/>
        <v>30.24</v>
      </c>
      <c r="V134" s="165" t="str">
        <f t="shared" si="261"/>
        <v>0.00</v>
      </c>
      <c r="W134" s="166">
        <v>0.29</v>
      </c>
      <c r="X134" s="167" t="str">
        <f>((_xlfn.CEILING.MATH(W134)-1)*$C$5+$C$4)</f>
        <v>76</v>
      </c>
      <c r="Y134" s="168" t="str">
        <f t="shared" si="262"/>
        <v>177.645</v>
      </c>
      <c r="Z134" s="168" t="str">
        <f t="shared" si="263"/>
        <v>16.139</v>
      </c>
      <c r="AA134" s="164" t="str">
        <f t="shared" si="264"/>
        <v>0.00</v>
      </c>
      <c r="AB134" s="164">
        <v>100.0</v>
      </c>
      <c r="AC134" s="164" t="str">
        <f t="shared" si="265"/>
        <v>4.80</v>
      </c>
      <c r="AD134" s="165" t="str">
        <f t="shared" si="266"/>
        <v>54.66</v>
      </c>
      <c r="AE134" s="23"/>
      <c r="AF134" s="169" t="str">
        <f t="shared" si="267"/>
        <v>0</v>
      </c>
      <c r="AG134" s="163" t="str">
        <f t="shared" si="268"/>
        <v>127.11</v>
      </c>
      <c r="AH134" s="170" t="str">
        <f t="shared" si="269"/>
        <v>#DIV/0!</v>
      </c>
      <c r="AI134" s="26"/>
      <c r="AJ134" s="171" t="str">
        <f t="shared" si="270"/>
        <v>0.00%</v>
      </c>
      <c r="AK134" s="172" t="str">
        <f t="shared" si="271"/>
        <v>0.00</v>
      </c>
      <c r="AL134" s="173" t="str">
        <f t="shared" si="272"/>
        <v>309.38</v>
      </c>
      <c r="AM134" s="174" t="str">
        <f t="shared" si="273"/>
        <v>219.66</v>
      </c>
    </row>
    <row r="135" ht="12.75" customHeight="1">
      <c r="A135" s="26"/>
      <c r="B135" s="125" t="s">
        <v>285</v>
      </c>
      <c r="C135" s="126"/>
      <c r="D135" s="127"/>
      <c r="E135" s="128"/>
      <c r="F135" s="128"/>
      <c r="G135" s="128"/>
      <c r="H135" s="197"/>
      <c r="I135" s="197"/>
      <c r="J135" s="128"/>
      <c r="K135" s="130"/>
      <c r="L135" s="131"/>
      <c r="M135" s="132"/>
      <c r="N135" s="176"/>
      <c r="O135" s="134"/>
      <c r="P135" s="135"/>
      <c r="Q135" s="135"/>
      <c r="R135" s="136"/>
      <c r="S135" s="137"/>
      <c r="T135" s="177"/>
      <c r="U135" s="178"/>
      <c r="V135" s="179"/>
      <c r="W135" s="180"/>
      <c r="X135" s="181"/>
      <c r="Y135" s="182"/>
      <c r="Z135" s="182"/>
      <c r="AA135" s="178"/>
      <c r="AB135" s="178"/>
      <c r="AC135" s="178"/>
      <c r="AD135" s="179"/>
      <c r="AE135" s="183"/>
      <c r="AF135" s="184"/>
      <c r="AG135" s="177"/>
      <c r="AH135" s="185"/>
      <c r="AI135" s="26"/>
      <c r="AJ135" s="186"/>
      <c r="AK135" s="187"/>
      <c r="AL135" s="188"/>
      <c r="AM135" s="189"/>
    </row>
    <row r="136" ht="12.75" customHeight="1">
      <c r="A136" s="26"/>
      <c r="B136" s="190" t="s">
        <v>286</v>
      </c>
      <c r="C136" s="191">
        <v>2.12752214E8</v>
      </c>
      <c r="D136" s="152" t="s">
        <v>287</v>
      </c>
      <c r="E136" s="53" t="s">
        <v>77</v>
      </c>
      <c r="F136" s="154">
        <v>1.0</v>
      </c>
      <c r="G136" s="53"/>
      <c r="H136" s="53" t="str">
        <f>$I$2</f>
        <v>0.00069</v>
      </c>
      <c r="I136" s="53" t="str">
        <f>$I$3</f>
        <v>89</v>
      </c>
      <c r="J136" s="53" t="str">
        <f>G136*H136*I136*F136</f>
        <v>0</v>
      </c>
      <c r="K136" s="155" t="str">
        <f>J136*$J$4</f>
        <v>0.00</v>
      </c>
      <c r="L136" s="156" t="str">
        <f>K136+J136</f>
        <v>0.00 </v>
      </c>
      <c r="M136" s="132">
        <v>90.0</v>
      </c>
      <c r="N136" s="157">
        <v>0.0</v>
      </c>
      <c r="O136" s="158">
        <v>558.0</v>
      </c>
      <c r="P136" s="159" t="str">
        <f>AL136</f>
        <v>316.33</v>
      </c>
      <c r="Q136" s="160"/>
      <c r="R136" s="161">
        <v>0.26</v>
      </c>
      <c r="S136" s="162" t="str">
        <f>O136-(O136*R136)</f>
        <v>412.92</v>
      </c>
      <c r="T136" s="163" t="str">
        <f>$C$1</f>
        <v>60.00</v>
      </c>
      <c r="U136" s="164" t="str">
        <f>(S136*7/107)+((S136-(S136*7/107))*1%)</f>
        <v>30.87</v>
      </c>
      <c r="V136" s="165" t="str">
        <f>N136*$C$3*(M136/30)</f>
        <v>0.00</v>
      </c>
      <c r="W136" s="166">
        <v>0.43</v>
      </c>
      <c r="X136" s="167" t="str">
        <f>((_xlfn.CEILING.MATH(W136)-1)*$C$5+$C$4)</f>
        <v>76</v>
      </c>
      <c r="Y136" s="168" t="str">
        <f>O136*$Y$6</f>
        <v>181.350</v>
      </c>
      <c r="Z136" s="168" t="str">
        <f>S136*$Y$7</f>
        <v>16.476</v>
      </c>
      <c r="AA136" s="164" t="str">
        <f>$Y$3*((100-AB136)/100)</f>
        <v>3.16</v>
      </c>
      <c r="AB136" s="164">
        <v>93.68</v>
      </c>
      <c r="AC136" s="164" t="str">
        <f>$C$6*$C$7*_xlfn.CEILING.MATH(W136)</f>
        <v>4.80</v>
      </c>
      <c r="AD136" s="165" t="str">
        <f>O136*$C$2</f>
        <v>55.80</v>
      </c>
      <c r="AE136" s="23"/>
      <c r="AF136" s="169" t="str">
        <f>(_xlfn.CEILING.MATH(W136))*$Y$1*$AD$2</f>
        <v>0</v>
      </c>
      <c r="AG136" s="163" t="str">
        <f>O136-T136-U136-V136-X136-Y136-Z136-AA136-AC136-AD136-N136</f>
        <v>129.54</v>
      </c>
      <c r="AH136" s="170" t="str">
        <f>AG136/N136</f>
        <v>#DIV/0!</v>
      </c>
      <c r="AI136" s="26"/>
      <c r="AJ136" s="171" t="str">
        <f>$AD$3</f>
        <v>0.00%</v>
      </c>
      <c r="AK136" s="172" t="str">
        <f>N136*AJ136</f>
        <v>0.00</v>
      </c>
      <c r="AL136" s="173" t="str">
        <f>(N136+T136+V136+X136+AA136+AC136+AF136+AK136)/(100%-($C$2+$C$8+$Y$6+$Y$7))</f>
        <v>316.33</v>
      </c>
      <c r="AM136" s="174" t="str">
        <f>AL136-(AL136*$AD$1)</f>
        <v>224.59</v>
      </c>
    </row>
    <row r="137" ht="12.75" customHeight="1">
      <c r="A137" s="26"/>
      <c r="B137" s="125" t="s">
        <v>288</v>
      </c>
      <c r="C137" s="126"/>
      <c r="D137" s="127"/>
      <c r="E137" s="128"/>
      <c r="F137" s="128"/>
      <c r="G137" s="128"/>
      <c r="H137" s="197"/>
      <c r="I137" s="197"/>
      <c r="J137" s="128"/>
      <c r="K137" s="130"/>
      <c r="L137" s="131"/>
      <c r="M137" s="132"/>
      <c r="N137" s="176"/>
      <c r="O137" s="134"/>
      <c r="P137" s="135"/>
      <c r="Q137" s="135"/>
      <c r="R137" s="136"/>
      <c r="S137" s="137"/>
      <c r="T137" s="177"/>
      <c r="U137" s="178"/>
      <c r="V137" s="179"/>
      <c r="W137" s="180"/>
      <c r="X137" s="181"/>
      <c r="Y137" s="182"/>
      <c r="Z137" s="182"/>
      <c r="AA137" s="178"/>
      <c r="AB137" s="178"/>
      <c r="AC137" s="178"/>
      <c r="AD137" s="179"/>
      <c r="AE137" s="183"/>
      <c r="AF137" s="184"/>
      <c r="AG137" s="177"/>
      <c r="AH137" s="185"/>
      <c r="AI137" s="26"/>
      <c r="AJ137" s="186"/>
      <c r="AK137" s="187"/>
      <c r="AL137" s="188"/>
      <c r="AM137" s="189"/>
    </row>
    <row r="138" ht="12.75" customHeight="1">
      <c r="A138" s="26"/>
      <c r="B138" s="190" t="s">
        <v>289</v>
      </c>
      <c r="C138" s="199">
        <v>2.07464799E8</v>
      </c>
      <c r="D138" s="152" t="s">
        <v>290</v>
      </c>
      <c r="E138" s="53" t="s">
        <v>77</v>
      </c>
      <c r="F138" s="154">
        <v>1.0</v>
      </c>
      <c r="G138" s="53"/>
      <c r="H138" s="53" t="str">
        <f t="shared" ref="H138:H145" si="278">$I$2</f>
        <v>0.00069</v>
      </c>
      <c r="I138" s="53" t="str">
        <f t="shared" ref="I138:I145" si="279">$I$3</f>
        <v>89</v>
      </c>
      <c r="J138" s="53" t="str">
        <f t="shared" ref="J138:J145" si="280">G138*H138*I138*F138</f>
        <v>0</v>
      </c>
      <c r="K138" s="155" t="str">
        <f t="shared" ref="K138:K145" si="281">J138*$J$4</f>
        <v>0.00</v>
      </c>
      <c r="L138" s="156" t="str">
        <f t="shared" ref="L138:L145" si="282">K138+J138</f>
        <v>0.00 </v>
      </c>
      <c r="M138" s="132">
        <v>90.0</v>
      </c>
      <c r="N138" s="157">
        <v>685.67</v>
      </c>
      <c r="O138" s="158">
        <v>1617.0</v>
      </c>
      <c r="P138" s="159" t="str">
        <f t="shared" ref="P138:P140" si="283">O138</f>
        <v>1,617.00</v>
      </c>
      <c r="Q138" s="160">
        <v>1625.0</v>
      </c>
      <c r="R138" s="161">
        <v>0.26</v>
      </c>
      <c r="S138" s="162" t="str">
        <f t="shared" ref="S138:S145" si="284">O138-(O138*R138)</f>
        <v>1,196.58</v>
      </c>
      <c r="T138" s="163" t="str">
        <f t="shared" ref="T138:T145" si="285">$C$1</f>
        <v>60.00</v>
      </c>
      <c r="U138" s="164" t="str">
        <f t="shared" ref="U138:U145" si="286">(S138*7/107)+((S138-(S138*7/107))*1%)</f>
        <v>89.46</v>
      </c>
      <c r="V138" s="165" t="str">
        <f t="shared" ref="V138:V145" si="287">N138*$C$3*(M138/30)</f>
        <v>0.00</v>
      </c>
      <c r="W138" s="166">
        <v>0.57</v>
      </c>
      <c r="X138" s="167">
        <v>84.0</v>
      </c>
      <c r="Y138" s="168" t="str">
        <f t="shared" ref="Y138:Y145" si="288">O138*$Y$6</f>
        <v>525.525</v>
      </c>
      <c r="Z138" s="168" t="str">
        <f t="shared" ref="Z138:Z145" si="289">S138*$Y$7</f>
        <v>47.744</v>
      </c>
      <c r="AA138" s="164" t="str">
        <f t="shared" ref="AA138:AA145" si="290">$Y$3*((100-AB138)/100)</f>
        <v>8.34</v>
      </c>
      <c r="AB138" s="164">
        <v>83.33</v>
      </c>
      <c r="AC138" s="164" t="str">
        <f t="shared" ref="AC138:AC145" si="291">$C$6*$C$7*_xlfn.CEILING.MATH(W138)</f>
        <v>4.80</v>
      </c>
      <c r="AD138" s="165" t="str">
        <f t="shared" ref="AD138:AD145" si="292">O138*$C$2</f>
        <v>161.70</v>
      </c>
      <c r="AE138" s="23"/>
      <c r="AF138" s="169" t="str">
        <f t="shared" ref="AF138:AF145" si="293">(_xlfn.CEILING.MATH(W138))*$Y$1*$AD$2</f>
        <v>0</v>
      </c>
      <c r="AG138" s="163" t="str">
        <f t="shared" ref="AG138:AG145" si="294">O138-T138-U138-V138-X138-Y138-Z138-AA138-AC138-AD138-N138</f>
        <v>-50.24</v>
      </c>
      <c r="AH138" s="170" t="str">
        <f t="shared" ref="AH138:AH145" si="295">AG138/N138</f>
        <v>-7.33%</v>
      </c>
      <c r="AI138" s="26"/>
      <c r="AJ138" s="171" t="str">
        <f t="shared" ref="AJ138:AJ145" si="296">$AD$3</f>
        <v>0.00%</v>
      </c>
      <c r="AK138" s="172" t="str">
        <f t="shared" ref="AK138:AK145" si="297">N138*AJ138</f>
        <v>0.00</v>
      </c>
      <c r="AL138" s="173" t="str">
        <f t="shared" ref="AL138:AL145" si="298">(N138+T138+V138+X138+AA138+AC138+AF138+AK138)/(100%-($C$2+$C$8+$Y$6+$Y$7))</f>
        <v>1,851.91</v>
      </c>
      <c r="AM138" s="174" t="str">
        <f t="shared" ref="AM138:AM145" si="299">AL138-(AL138*$AD$1)</f>
        <v>1,314.86</v>
      </c>
    </row>
    <row r="139" ht="12.75" customHeight="1">
      <c r="A139" s="26"/>
      <c r="B139" s="190" t="s">
        <v>291</v>
      </c>
      <c r="C139" s="199">
        <v>2.07465786E8</v>
      </c>
      <c r="D139" s="152" t="s">
        <v>292</v>
      </c>
      <c r="E139" s="53" t="s">
        <v>77</v>
      </c>
      <c r="F139" s="154">
        <v>1.0</v>
      </c>
      <c r="G139" s="53"/>
      <c r="H139" s="53" t="str">
        <f t="shared" si="278"/>
        <v>0.00069</v>
      </c>
      <c r="I139" s="53" t="str">
        <f t="shared" si="279"/>
        <v>89</v>
      </c>
      <c r="J139" s="53" t="str">
        <f t="shared" si="280"/>
        <v>0</v>
      </c>
      <c r="K139" s="155" t="str">
        <f t="shared" si="281"/>
        <v>0.00</v>
      </c>
      <c r="L139" s="156" t="str">
        <f t="shared" si="282"/>
        <v>0.00 </v>
      </c>
      <c r="M139" s="132">
        <v>90.0</v>
      </c>
      <c r="N139" s="157">
        <v>685.67</v>
      </c>
      <c r="O139" s="158">
        <v>1650.0</v>
      </c>
      <c r="P139" s="159" t="str">
        <f t="shared" si="283"/>
        <v>1,650.00</v>
      </c>
      <c r="Q139" s="160">
        <v>1560.0</v>
      </c>
      <c r="R139" s="161">
        <v>0.26</v>
      </c>
      <c r="S139" s="162" t="str">
        <f t="shared" si="284"/>
        <v>1,221.00</v>
      </c>
      <c r="T139" s="163" t="str">
        <f t="shared" si="285"/>
        <v>60.00</v>
      </c>
      <c r="U139" s="164" t="str">
        <f t="shared" si="286"/>
        <v>91.29</v>
      </c>
      <c r="V139" s="165" t="str">
        <f t="shared" si="287"/>
        <v>0.00</v>
      </c>
      <c r="W139" s="166">
        <v>0.57</v>
      </c>
      <c r="X139" s="167" t="str">
        <f t="shared" ref="X139:X145" si="300">((_xlfn.CEILING.MATH(W139)-1)*$C$5+$C$4)</f>
        <v>76</v>
      </c>
      <c r="Y139" s="168" t="str">
        <f t="shared" si="288"/>
        <v>536.250</v>
      </c>
      <c r="Z139" s="168" t="str">
        <f t="shared" si="289"/>
        <v>48.718</v>
      </c>
      <c r="AA139" s="164" t="str">
        <f t="shared" si="290"/>
        <v>2.67</v>
      </c>
      <c r="AB139" s="164">
        <v>94.66</v>
      </c>
      <c r="AC139" s="164" t="str">
        <f t="shared" si="291"/>
        <v>4.80</v>
      </c>
      <c r="AD139" s="165" t="str">
        <f t="shared" si="292"/>
        <v>165.00</v>
      </c>
      <c r="AE139" s="23"/>
      <c r="AF139" s="169" t="str">
        <f t="shared" si="293"/>
        <v>0</v>
      </c>
      <c r="AG139" s="163" t="str">
        <f t="shared" si="294"/>
        <v>-20.40</v>
      </c>
      <c r="AH139" s="170" t="str">
        <f t="shared" si="295"/>
        <v>-2.97%</v>
      </c>
      <c r="AI139" s="26"/>
      <c r="AJ139" s="171" t="str">
        <f t="shared" si="296"/>
        <v>0.00%</v>
      </c>
      <c r="AK139" s="172" t="str">
        <f t="shared" si="297"/>
        <v>0.00</v>
      </c>
      <c r="AL139" s="173" t="str">
        <f t="shared" si="298"/>
        <v>1,821.89</v>
      </c>
      <c r="AM139" s="174" t="str">
        <f t="shared" si="299"/>
        <v>1,293.54</v>
      </c>
    </row>
    <row r="140" ht="12.75" customHeight="1">
      <c r="A140" s="26"/>
      <c r="B140" s="190" t="s">
        <v>293</v>
      </c>
      <c r="C140" s="199">
        <v>2.07466866E8</v>
      </c>
      <c r="D140" s="152" t="s">
        <v>294</v>
      </c>
      <c r="E140" s="53" t="s">
        <v>77</v>
      </c>
      <c r="F140" s="154">
        <v>1.0</v>
      </c>
      <c r="G140" s="53"/>
      <c r="H140" s="53" t="str">
        <f t="shared" si="278"/>
        <v>0.00069</v>
      </c>
      <c r="I140" s="53" t="str">
        <f t="shared" si="279"/>
        <v>89</v>
      </c>
      <c r="J140" s="53" t="str">
        <f t="shared" si="280"/>
        <v>0</v>
      </c>
      <c r="K140" s="155" t="str">
        <f t="shared" si="281"/>
        <v>0.00</v>
      </c>
      <c r="L140" s="156" t="str">
        <f t="shared" si="282"/>
        <v>0.00 </v>
      </c>
      <c r="M140" s="132">
        <v>90.0</v>
      </c>
      <c r="N140" s="157">
        <v>770.48</v>
      </c>
      <c r="O140" s="158">
        <v>2250.0</v>
      </c>
      <c r="P140" s="159" t="str">
        <f t="shared" si="283"/>
        <v>2,250.00</v>
      </c>
      <c r="Q140" s="160">
        <v>1425.0</v>
      </c>
      <c r="R140" s="161">
        <v>0.26</v>
      </c>
      <c r="S140" s="162" t="str">
        <f t="shared" si="284"/>
        <v>1,665.00</v>
      </c>
      <c r="T140" s="163" t="str">
        <f t="shared" si="285"/>
        <v>60.00</v>
      </c>
      <c r="U140" s="164" t="str">
        <f t="shared" si="286"/>
        <v>124.49</v>
      </c>
      <c r="V140" s="165" t="str">
        <f t="shared" si="287"/>
        <v>0.00</v>
      </c>
      <c r="W140" s="166">
        <v>0.14</v>
      </c>
      <c r="X140" s="167" t="str">
        <f t="shared" si="300"/>
        <v>76</v>
      </c>
      <c r="Y140" s="168" t="str">
        <f t="shared" si="288"/>
        <v>731.250</v>
      </c>
      <c r="Z140" s="168" t="str">
        <f t="shared" si="289"/>
        <v>66.434</v>
      </c>
      <c r="AA140" s="164" t="str">
        <f t="shared" si="290"/>
        <v>4.55</v>
      </c>
      <c r="AB140" s="164">
        <v>90.91</v>
      </c>
      <c r="AC140" s="164" t="str">
        <f t="shared" si="291"/>
        <v>4.80</v>
      </c>
      <c r="AD140" s="165" t="str">
        <f t="shared" si="292"/>
        <v>225.00</v>
      </c>
      <c r="AE140" s="23"/>
      <c r="AF140" s="169" t="str">
        <f t="shared" si="293"/>
        <v>0</v>
      </c>
      <c r="AG140" s="163" t="str">
        <f t="shared" si="294"/>
        <v>187.01</v>
      </c>
      <c r="AH140" s="170" t="str">
        <f t="shared" si="295"/>
        <v>24.27%</v>
      </c>
      <c r="AI140" s="26"/>
      <c r="AJ140" s="171" t="str">
        <f t="shared" si="296"/>
        <v>0.00%</v>
      </c>
      <c r="AK140" s="172" t="str">
        <f t="shared" si="297"/>
        <v>0.00</v>
      </c>
      <c r="AL140" s="173" t="str">
        <f t="shared" si="298"/>
        <v>2,012.36</v>
      </c>
      <c r="AM140" s="174" t="str">
        <f t="shared" si="299"/>
        <v>1,428.78</v>
      </c>
    </row>
    <row r="141" ht="12.75" customHeight="1">
      <c r="A141" s="26"/>
      <c r="B141" s="190" t="s">
        <v>295</v>
      </c>
      <c r="C141" s="192">
        <v>2.07467958E8</v>
      </c>
      <c r="D141" s="190" t="s">
        <v>296</v>
      </c>
      <c r="E141" s="53" t="s">
        <v>77</v>
      </c>
      <c r="F141" s="154">
        <v>1.0</v>
      </c>
      <c r="G141" s="53"/>
      <c r="H141" s="53" t="str">
        <f t="shared" si="278"/>
        <v>0.00069</v>
      </c>
      <c r="I141" s="53" t="str">
        <f t="shared" si="279"/>
        <v>89</v>
      </c>
      <c r="J141" s="53" t="str">
        <f t="shared" si="280"/>
        <v>0</v>
      </c>
      <c r="K141" s="155" t="str">
        <f t="shared" si="281"/>
        <v>0.00</v>
      </c>
      <c r="L141" s="156" t="str">
        <f t="shared" si="282"/>
        <v>0.00 </v>
      </c>
      <c r="M141" s="132">
        <v>90.0</v>
      </c>
      <c r="N141" s="157">
        <v>0.0</v>
      </c>
      <c r="O141" s="158">
        <v>925.8</v>
      </c>
      <c r="P141" s="159" t="str">
        <f t="shared" ref="P141:P145" si="301">AL141</f>
        <v>313.94</v>
      </c>
      <c r="Q141" s="160"/>
      <c r="R141" s="161">
        <v>0.26</v>
      </c>
      <c r="S141" s="162" t="str">
        <f t="shared" si="284"/>
        <v>685.09</v>
      </c>
      <c r="T141" s="163" t="str">
        <f t="shared" si="285"/>
        <v>60.00</v>
      </c>
      <c r="U141" s="164" t="str">
        <f t="shared" si="286"/>
        <v>51.22</v>
      </c>
      <c r="V141" s="165" t="str">
        <f t="shared" si="287"/>
        <v>0.00</v>
      </c>
      <c r="W141" s="166">
        <v>0.51</v>
      </c>
      <c r="X141" s="167" t="str">
        <f t="shared" si="300"/>
        <v>76</v>
      </c>
      <c r="Y141" s="168" t="str">
        <f t="shared" si="288"/>
        <v>300.885</v>
      </c>
      <c r="Z141" s="168" t="str">
        <f t="shared" si="289"/>
        <v>27.335</v>
      </c>
      <c r="AA141" s="164" t="str">
        <f t="shared" si="290"/>
        <v>2.08</v>
      </c>
      <c r="AB141" s="164">
        <v>95.85</v>
      </c>
      <c r="AC141" s="164" t="str">
        <f t="shared" si="291"/>
        <v>4.80</v>
      </c>
      <c r="AD141" s="165" t="str">
        <f t="shared" si="292"/>
        <v>92.58</v>
      </c>
      <c r="AE141" s="23"/>
      <c r="AF141" s="169" t="str">
        <f t="shared" si="293"/>
        <v>0</v>
      </c>
      <c r="AG141" s="163" t="str">
        <f t="shared" si="294"/>
        <v>310.90</v>
      </c>
      <c r="AH141" s="170" t="str">
        <f t="shared" si="295"/>
        <v>#DIV/0!</v>
      </c>
      <c r="AI141" s="26"/>
      <c r="AJ141" s="171" t="str">
        <f t="shared" si="296"/>
        <v>0.00%</v>
      </c>
      <c r="AK141" s="172" t="str">
        <f t="shared" si="297"/>
        <v>0.00</v>
      </c>
      <c r="AL141" s="173" t="str">
        <f t="shared" si="298"/>
        <v>313.94</v>
      </c>
      <c r="AM141" s="174" t="str">
        <f t="shared" si="299"/>
        <v>222.90</v>
      </c>
    </row>
    <row r="142" ht="12.75" customHeight="1">
      <c r="A142" s="26"/>
      <c r="B142" s="190" t="s">
        <v>297</v>
      </c>
      <c r="C142" s="192">
        <v>2.07467709E8</v>
      </c>
      <c r="D142" s="152" t="s">
        <v>298</v>
      </c>
      <c r="E142" s="53" t="s">
        <v>77</v>
      </c>
      <c r="F142" s="154">
        <v>1.0</v>
      </c>
      <c r="G142" s="53"/>
      <c r="H142" s="53" t="str">
        <f t="shared" si="278"/>
        <v>0.00069</v>
      </c>
      <c r="I142" s="53" t="str">
        <f t="shared" si="279"/>
        <v>89</v>
      </c>
      <c r="J142" s="53" t="str">
        <f t="shared" si="280"/>
        <v>0</v>
      </c>
      <c r="K142" s="155" t="str">
        <f t="shared" si="281"/>
        <v>0.00</v>
      </c>
      <c r="L142" s="156" t="str">
        <f t="shared" si="282"/>
        <v>0.00 </v>
      </c>
      <c r="M142" s="132">
        <v>90.0</v>
      </c>
      <c r="N142" s="157">
        <v>0.0</v>
      </c>
      <c r="O142" s="158">
        <v>1599.3</v>
      </c>
      <c r="P142" s="159" t="str">
        <f t="shared" si="301"/>
        <v>312.13</v>
      </c>
      <c r="Q142" s="160"/>
      <c r="R142" s="161">
        <v>0.26</v>
      </c>
      <c r="S142" s="162" t="str">
        <f t="shared" si="284"/>
        <v>1,183.48</v>
      </c>
      <c r="T142" s="163" t="str">
        <f t="shared" si="285"/>
        <v>60.00</v>
      </c>
      <c r="U142" s="164" t="str">
        <f t="shared" si="286"/>
        <v>88.48</v>
      </c>
      <c r="V142" s="165" t="str">
        <f t="shared" si="287"/>
        <v>0.00</v>
      </c>
      <c r="W142" s="166">
        <v>0.38</v>
      </c>
      <c r="X142" s="167" t="str">
        <f t="shared" si="300"/>
        <v>76</v>
      </c>
      <c r="Y142" s="168" t="str">
        <f t="shared" si="288"/>
        <v>519.773</v>
      </c>
      <c r="Z142" s="168" t="str">
        <f t="shared" si="289"/>
        <v>47.221</v>
      </c>
      <c r="AA142" s="164" t="str">
        <f t="shared" si="290"/>
        <v>1.25</v>
      </c>
      <c r="AB142" s="164">
        <v>97.5</v>
      </c>
      <c r="AC142" s="164" t="str">
        <f t="shared" si="291"/>
        <v>4.80</v>
      </c>
      <c r="AD142" s="165" t="str">
        <f t="shared" si="292"/>
        <v>159.93</v>
      </c>
      <c r="AE142" s="23"/>
      <c r="AF142" s="169" t="str">
        <f t="shared" si="293"/>
        <v>0</v>
      </c>
      <c r="AG142" s="163" t="str">
        <f t="shared" si="294"/>
        <v>641.84</v>
      </c>
      <c r="AH142" s="170" t="str">
        <f t="shared" si="295"/>
        <v>#DIV/0!</v>
      </c>
      <c r="AI142" s="26"/>
      <c r="AJ142" s="171" t="str">
        <f t="shared" si="296"/>
        <v>0.00%</v>
      </c>
      <c r="AK142" s="172" t="str">
        <f t="shared" si="297"/>
        <v>0.00</v>
      </c>
      <c r="AL142" s="173" t="str">
        <f t="shared" si="298"/>
        <v>312.13</v>
      </c>
      <c r="AM142" s="174" t="str">
        <f t="shared" si="299"/>
        <v>221.61</v>
      </c>
    </row>
    <row r="143" ht="12.75" customHeight="1">
      <c r="A143" s="26"/>
      <c r="B143" s="190" t="s">
        <v>299</v>
      </c>
      <c r="C143" s="192">
        <v>2.07468578E8</v>
      </c>
      <c r="D143" s="190" t="s">
        <v>300</v>
      </c>
      <c r="E143" s="53" t="s">
        <v>77</v>
      </c>
      <c r="F143" s="154">
        <v>1.0</v>
      </c>
      <c r="G143" s="53"/>
      <c r="H143" s="53" t="str">
        <f t="shared" si="278"/>
        <v>0.00069</v>
      </c>
      <c r="I143" s="53" t="str">
        <f t="shared" si="279"/>
        <v>89</v>
      </c>
      <c r="J143" s="53" t="str">
        <f t="shared" si="280"/>
        <v>0</v>
      </c>
      <c r="K143" s="155" t="str">
        <f t="shared" si="281"/>
        <v>0.00</v>
      </c>
      <c r="L143" s="156" t="str">
        <f t="shared" si="282"/>
        <v>0.00 </v>
      </c>
      <c r="M143" s="132">
        <v>90.0</v>
      </c>
      <c r="N143" s="157">
        <v>0.0</v>
      </c>
      <c r="O143" s="158">
        <v>1874.7</v>
      </c>
      <c r="P143" s="159" t="str">
        <f t="shared" si="301"/>
        <v>314.74</v>
      </c>
      <c r="Q143" s="160"/>
      <c r="R143" s="161">
        <v>0.26</v>
      </c>
      <c r="S143" s="162" t="str">
        <f t="shared" si="284"/>
        <v>1,387.28</v>
      </c>
      <c r="T143" s="163" t="str">
        <f t="shared" si="285"/>
        <v>60.00</v>
      </c>
      <c r="U143" s="164" t="str">
        <f t="shared" si="286"/>
        <v>103.72</v>
      </c>
      <c r="V143" s="165" t="str">
        <f t="shared" si="287"/>
        <v>0.00</v>
      </c>
      <c r="W143" s="166">
        <v>0.38</v>
      </c>
      <c r="X143" s="167" t="str">
        <f t="shared" si="300"/>
        <v>76</v>
      </c>
      <c r="Y143" s="168" t="str">
        <f t="shared" si="288"/>
        <v>609.278</v>
      </c>
      <c r="Z143" s="168" t="str">
        <f t="shared" si="289"/>
        <v>55.352</v>
      </c>
      <c r="AA143" s="164" t="str">
        <f t="shared" si="290"/>
        <v>2.44</v>
      </c>
      <c r="AB143" s="164">
        <v>95.12</v>
      </c>
      <c r="AC143" s="164" t="str">
        <f t="shared" si="291"/>
        <v>4.80</v>
      </c>
      <c r="AD143" s="165" t="str">
        <f t="shared" si="292"/>
        <v>187.47</v>
      </c>
      <c r="AE143" s="23"/>
      <c r="AF143" s="169" t="str">
        <f t="shared" si="293"/>
        <v>0</v>
      </c>
      <c r="AG143" s="163" t="str">
        <f t="shared" si="294"/>
        <v>775.64</v>
      </c>
      <c r="AH143" s="170" t="str">
        <f t="shared" si="295"/>
        <v>#DIV/0!</v>
      </c>
      <c r="AI143" s="26"/>
      <c r="AJ143" s="171" t="str">
        <f t="shared" si="296"/>
        <v>0.00%</v>
      </c>
      <c r="AK143" s="172" t="str">
        <f t="shared" si="297"/>
        <v>0.00</v>
      </c>
      <c r="AL143" s="173" t="str">
        <f t="shared" si="298"/>
        <v>314.74</v>
      </c>
      <c r="AM143" s="174" t="str">
        <f t="shared" si="299"/>
        <v>223.47</v>
      </c>
    </row>
    <row r="144" ht="12.75" customHeight="1">
      <c r="A144" s="26"/>
      <c r="B144" s="190" t="s">
        <v>301</v>
      </c>
      <c r="C144" s="192">
        <v>2.07468348E8</v>
      </c>
      <c r="D144" s="152" t="s">
        <v>302</v>
      </c>
      <c r="E144" s="53" t="s">
        <v>77</v>
      </c>
      <c r="F144" s="154">
        <v>1.0</v>
      </c>
      <c r="G144" s="53"/>
      <c r="H144" s="53" t="str">
        <f t="shared" si="278"/>
        <v>0.00069</v>
      </c>
      <c r="I144" s="53" t="str">
        <f t="shared" si="279"/>
        <v>89</v>
      </c>
      <c r="J144" s="53" t="str">
        <f t="shared" si="280"/>
        <v>0</v>
      </c>
      <c r="K144" s="155" t="str">
        <f t="shared" si="281"/>
        <v>0.00</v>
      </c>
      <c r="L144" s="156" t="str">
        <f t="shared" si="282"/>
        <v>0.00 </v>
      </c>
      <c r="M144" s="132">
        <v>90.0</v>
      </c>
      <c r="N144" s="157">
        <v>0.0</v>
      </c>
      <c r="O144" s="158">
        <v>1036.2</v>
      </c>
      <c r="P144" s="159" t="str">
        <f t="shared" si="301"/>
        <v>311.92</v>
      </c>
      <c r="Q144" s="160"/>
      <c r="R144" s="161">
        <v>0.26</v>
      </c>
      <c r="S144" s="162" t="str">
        <f t="shared" si="284"/>
        <v>766.79</v>
      </c>
      <c r="T144" s="163" t="str">
        <f t="shared" si="285"/>
        <v>60.00</v>
      </c>
      <c r="U144" s="164" t="str">
        <f t="shared" si="286"/>
        <v>57.33</v>
      </c>
      <c r="V144" s="165" t="str">
        <f t="shared" si="287"/>
        <v>0.00</v>
      </c>
      <c r="W144" s="166">
        <v>0.61</v>
      </c>
      <c r="X144" s="167" t="str">
        <f t="shared" si="300"/>
        <v>76</v>
      </c>
      <c r="Y144" s="168" t="str">
        <f t="shared" si="288"/>
        <v>336.765</v>
      </c>
      <c r="Z144" s="168" t="str">
        <f t="shared" si="289"/>
        <v>30.595</v>
      </c>
      <c r="AA144" s="164" t="str">
        <f t="shared" si="290"/>
        <v>1.16</v>
      </c>
      <c r="AB144" s="164">
        <v>97.69</v>
      </c>
      <c r="AC144" s="164" t="str">
        <f t="shared" si="291"/>
        <v>4.80</v>
      </c>
      <c r="AD144" s="165" t="str">
        <f t="shared" si="292"/>
        <v>103.62</v>
      </c>
      <c r="AE144" s="23"/>
      <c r="AF144" s="169" t="str">
        <f t="shared" si="293"/>
        <v>0</v>
      </c>
      <c r="AG144" s="163" t="str">
        <f t="shared" si="294"/>
        <v>365.94</v>
      </c>
      <c r="AH144" s="170" t="str">
        <f t="shared" si="295"/>
        <v>#DIV/0!</v>
      </c>
      <c r="AI144" s="26"/>
      <c r="AJ144" s="171" t="str">
        <f t="shared" si="296"/>
        <v>0.00%</v>
      </c>
      <c r="AK144" s="172" t="str">
        <f t="shared" si="297"/>
        <v>0.00</v>
      </c>
      <c r="AL144" s="173" t="str">
        <f t="shared" si="298"/>
        <v>311.92</v>
      </c>
      <c r="AM144" s="174" t="str">
        <f t="shared" si="299"/>
        <v>221.46</v>
      </c>
    </row>
    <row r="145" ht="12.75" customHeight="1">
      <c r="A145" s="26"/>
      <c r="B145" s="190" t="s">
        <v>303</v>
      </c>
      <c r="C145" s="192">
        <v>2.07468972E8</v>
      </c>
      <c r="D145" s="152" t="s">
        <v>304</v>
      </c>
      <c r="E145" s="53" t="s">
        <v>77</v>
      </c>
      <c r="F145" s="154">
        <v>1.0</v>
      </c>
      <c r="G145" s="53"/>
      <c r="H145" s="53" t="str">
        <f t="shared" si="278"/>
        <v>0.00069</v>
      </c>
      <c r="I145" s="53" t="str">
        <f t="shared" si="279"/>
        <v>89</v>
      </c>
      <c r="J145" s="53" t="str">
        <f t="shared" si="280"/>
        <v>0</v>
      </c>
      <c r="K145" s="155" t="str">
        <f t="shared" si="281"/>
        <v>0.00</v>
      </c>
      <c r="L145" s="156" t="str">
        <f t="shared" si="282"/>
        <v>0.00 </v>
      </c>
      <c r="M145" s="132">
        <v>90.0</v>
      </c>
      <c r="N145" s="157">
        <v>0.0</v>
      </c>
      <c r="O145" s="158">
        <v>1478.4</v>
      </c>
      <c r="P145" s="159" t="str">
        <f t="shared" si="301"/>
        <v>312.13</v>
      </c>
      <c r="Q145" s="160"/>
      <c r="R145" s="161">
        <v>0.26</v>
      </c>
      <c r="S145" s="162" t="str">
        <f t="shared" si="284"/>
        <v>1,094.02</v>
      </c>
      <c r="T145" s="163" t="str">
        <f t="shared" si="285"/>
        <v>60.00</v>
      </c>
      <c r="U145" s="164" t="str">
        <f t="shared" si="286"/>
        <v>81.80</v>
      </c>
      <c r="V145" s="165" t="str">
        <f t="shared" si="287"/>
        <v>0.00</v>
      </c>
      <c r="W145" s="166">
        <v>0.4</v>
      </c>
      <c r="X145" s="167" t="str">
        <f t="shared" si="300"/>
        <v>76</v>
      </c>
      <c r="Y145" s="168" t="str">
        <f t="shared" si="288"/>
        <v>480.480</v>
      </c>
      <c r="Z145" s="168" t="str">
        <f t="shared" si="289"/>
        <v>43.651</v>
      </c>
      <c r="AA145" s="164" t="str">
        <f t="shared" si="290"/>
        <v>1.25</v>
      </c>
      <c r="AB145" s="164">
        <v>97.5</v>
      </c>
      <c r="AC145" s="164" t="str">
        <f t="shared" si="291"/>
        <v>4.80</v>
      </c>
      <c r="AD145" s="165" t="str">
        <f t="shared" si="292"/>
        <v>147.84</v>
      </c>
      <c r="AE145" s="23"/>
      <c r="AF145" s="169" t="str">
        <f t="shared" si="293"/>
        <v>0</v>
      </c>
      <c r="AG145" s="163" t="str">
        <f t="shared" si="294"/>
        <v>582.58</v>
      </c>
      <c r="AH145" s="170" t="str">
        <f t="shared" si="295"/>
        <v>#DIV/0!</v>
      </c>
      <c r="AI145" s="26"/>
      <c r="AJ145" s="171" t="str">
        <f t="shared" si="296"/>
        <v>0.00%</v>
      </c>
      <c r="AK145" s="172" t="str">
        <f t="shared" si="297"/>
        <v>0.00</v>
      </c>
      <c r="AL145" s="173" t="str">
        <f t="shared" si="298"/>
        <v>312.13</v>
      </c>
      <c r="AM145" s="174" t="str">
        <f t="shared" si="299"/>
        <v>221.61</v>
      </c>
    </row>
    <row r="146" ht="12.75" customHeight="1">
      <c r="A146" s="26"/>
      <c r="B146" s="125" t="s">
        <v>305</v>
      </c>
      <c r="C146" s="126"/>
      <c r="D146" s="127"/>
      <c r="E146" s="128"/>
      <c r="F146" s="128"/>
      <c r="G146" s="128"/>
      <c r="H146" s="197"/>
      <c r="I146" s="197"/>
      <c r="J146" s="128"/>
      <c r="K146" s="130"/>
      <c r="L146" s="131"/>
      <c r="M146" s="132"/>
      <c r="N146" s="176"/>
      <c r="O146" s="134"/>
      <c r="P146" s="135"/>
      <c r="Q146" s="135"/>
      <c r="R146" s="136"/>
      <c r="S146" s="137"/>
      <c r="T146" s="177"/>
      <c r="U146" s="178"/>
      <c r="V146" s="179"/>
      <c r="W146" s="180"/>
      <c r="X146" s="181"/>
      <c r="Y146" s="182"/>
      <c r="Z146" s="182"/>
      <c r="AA146" s="178"/>
      <c r="AB146" s="178"/>
      <c r="AC146" s="178"/>
      <c r="AD146" s="179"/>
      <c r="AE146" s="183"/>
      <c r="AF146" s="184"/>
      <c r="AG146" s="177"/>
      <c r="AH146" s="185"/>
      <c r="AI146" s="26"/>
      <c r="AJ146" s="186"/>
      <c r="AK146" s="187"/>
      <c r="AL146" s="188"/>
      <c r="AM146" s="189"/>
    </row>
    <row r="147" ht="12.75" customHeight="1">
      <c r="A147" s="26"/>
      <c r="B147" s="190" t="s">
        <v>306</v>
      </c>
      <c r="C147" s="199">
        <v>2.06122859E8</v>
      </c>
      <c r="D147" s="152" t="s">
        <v>307</v>
      </c>
      <c r="E147" s="53" t="s">
        <v>77</v>
      </c>
      <c r="F147" s="154">
        <v>1.0</v>
      </c>
      <c r="G147" s="53"/>
      <c r="H147" s="53" t="str">
        <f t="shared" ref="H147:H150" si="302">$I$2</f>
        <v>0.00069</v>
      </c>
      <c r="I147" s="53" t="str">
        <f t="shared" ref="I147:I150" si="303">$I$3</f>
        <v>89</v>
      </c>
      <c r="J147" s="53" t="str">
        <f t="shared" ref="J147:J150" si="304">G147*H147*I147*F147</f>
        <v>0</v>
      </c>
      <c r="K147" s="155" t="str">
        <f t="shared" ref="K147:K150" si="305">J147*$J$4</f>
        <v>0.00</v>
      </c>
      <c r="L147" s="156" t="str">
        <f t="shared" ref="L147:L150" si="306">K147+J147</f>
        <v>0.00 </v>
      </c>
      <c r="M147" s="132">
        <v>90.0</v>
      </c>
      <c r="N147" s="157">
        <v>573.21</v>
      </c>
      <c r="O147" s="158">
        <v>1500.0</v>
      </c>
      <c r="P147" s="159" t="str">
        <f t="shared" ref="P147:P149" si="307">O147</f>
        <v>1,500.00</v>
      </c>
      <c r="Q147" s="160">
        <v>1828.0</v>
      </c>
      <c r="R147" s="161">
        <v>0.26</v>
      </c>
      <c r="S147" s="162" t="str">
        <f t="shared" ref="S147:S150" si="308">O147-(O147*R147)</f>
        <v>1,110.00</v>
      </c>
      <c r="T147" s="163" t="str">
        <f t="shared" ref="T147:T150" si="309">$C$1</f>
        <v>60.00</v>
      </c>
      <c r="U147" s="164" t="str">
        <f t="shared" ref="U147:U150" si="310">(S147*7/107)+((S147-(S147*7/107))*1%)</f>
        <v>82.99</v>
      </c>
      <c r="V147" s="165" t="str">
        <f t="shared" ref="V147:V150" si="311">N147*$C$3*(M147/30)</f>
        <v>0.00</v>
      </c>
      <c r="W147" s="166">
        <v>0.29</v>
      </c>
      <c r="X147" s="167">
        <v>82.0</v>
      </c>
      <c r="Y147" s="168" t="str">
        <f t="shared" ref="Y147:Y150" si="312">O147*$Y$6</f>
        <v>487.500</v>
      </c>
      <c r="Z147" s="168" t="str">
        <f t="shared" ref="Z147:Z150" si="313">S147*$Y$7</f>
        <v>44.289</v>
      </c>
      <c r="AA147" s="164" t="str">
        <f t="shared" ref="AA147:AA150" si="314">$Y$3*((100-AB147)/100)</f>
        <v>7.41</v>
      </c>
      <c r="AB147" s="164">
        <v>85.19</v>
      </c>
      <c r="AC147" s="164" t="str">
        <f t="shared" ref="AC147:AC150" si="315">$C$6*$C$7*_xlfn.CEILING.MATH(W147)</f>
        <v>4.80</v>
      </c>
      <c r="AD147" s="165" t="str">
        <f t="shared" ref="AD147:AD150" si="316">O147*$C$2</f>
        <v>150.00</v>
      </c>
      <c r="AE147" s="23"/>
      <c r="AF147" s="169" t="str">
        <f t="shared" ref="AF147:AF150" si="317">(_xlfn.CEILING.MATH(W147))*$Y$1*$AD$2</f>
        <v>0</v>
      </c>
      <c r="AG147" s="163" t="str">
        <f t="shared" ref="AG147:AG150" si="318">O147-T147-U147-V147-X147-Y147-Z147-AA147-AC147-AD147-N147</f>
        <v>7.81</v>
      </c>
      <c r="AH147" s="170" t="str">
        <f t="shared" ref="AH147:AH150" si="319">AG147/N147</f>
        <v>1.36%</v>
      </c>
      <c r="AI147" s="26"/>
      <c r="AJ147" s="171" t="str">
        <f t="shared" ref="AJ147:AJ150" si="320">$AD$3</f>
        <v>0.00%</v>
      </c>
      <c r="AK147" s="172" t="str">
        <f t="shared" ref="AK147:AK150" si="321">N147*AJ147</f>
        <v>0.00</v>
      </c>
      <c r="AL147" s="173" t="str">
        <f t="shared" ref="AL147:AL150" si="322">(N147+T147+V147+X147+AA147+AC147+AF147+AK147)/(100%-($C$2+$C$8+$Y$6+$Y$7))</f>
        <v>1,598.36</v>
      </c>
      <c r="AM147" s="174" t="str">
        <f t="shared" ref="AM147:AM150" si="323">AL147-(AL147*$AD$1)</f>
        <v>1,134.84</v>
      </c>
    </row>
    <row r="148" ht="12.75" customHeight="1">
      <c r="A148" s="26"/>
      <c r="B148" s="190" t="s">
        <v>308</v>
      </c>
      <c r="C148" s="199">
        <v>2.06135397E8</v>
      </c>
      <c r="D148" s="152" t="s">
        <v>309</v>
      </c>
      <c r="E148" s="53" t="s">
        <v>77</v>
      </c>
      <c r="F148" s="154">
        <v>1.0</v>
      </c>
      <c r="G148" s="53"/>
      <c r="H148" s="53" t="str">
        <f t="shared" si="302"/>
        <v>0.00069</v>
      </c>
      <c r="I148" s="53" t="str">
        <f t="shared" si="303"/>
        <v>89</v>
      </c>
      <c r="J148" s="53" t="str">
        <f t="shared" si="304"/>
        <v>0</v>
      </c>
      <c r="K148" s="155" t="str">
        <f t="shared" si="305"/>
        <v>0.00</v>
      </c>
      <c r="L148" s="156" t="str">
        <f t="shared" si="306"/>
        <v>0.00 </v>
      </c>
      <c r="M148" s="132">
        <v>90.0</v>
      </c>
      <c r="N148" s="157">
        <v>616.08</v>
      </c>
      <c r="O148" s="158">
        <v>1500.0</v>
      </c>
      <c r="P148" s="159" t="str">
        <f t="shared" si="307"/>
        <v>1,500.00</v>
      </c>
      <c r="Q148" s="160">
        <v>1325.0</v>
      </c>
      <c r="R148" s="161">
        <v>0.26</v>
      </c>
      <c r="S148" s="162" t="str">
        <f t="shared" si="308"/>
        <v>1,110.00</v>
      </c>
      <c r="T148" s="163" t="str">
        <f t="shared" si="309"/>
        <v>60.00</v>
      </c>
      <c r="U148" s="164" t="str">
        <f t="shared" si="310"/>
        <v>82.99</v>
      </c>
      <c r="V148" s="165" t="str">
        <f t="shared" si="311"/>
        <v>0.00</v>
      </c>
      <c r="W148" s="166">
        <v>0.29</v>
      </c>
      <c r="X148" s="167">
        <v>82.0</v>
      </c>
      <c r="Y148" s="168" t="str">
        <f t="shared" si="312"/>
        <v>487.500</v>
      </c>
      <c r="Z148" s="168" t="str">
        <f t="shared" si="313"/>
        <v>44.289</v>
      </c>
      <c r="AA148" s="164" t="str">
        <f t="shared" si="314"/>
        <v>8.34</v>
      </c>
      <c r="AB148" s="164">
        <v>83.33</v>
      </c>
      <c r="AC148" s="164" t="str">
        <f t="shared" si="315"/>
        <v>4.80</v>
      </c>
      <c r="AD148" s="165" t="str">
        <f t="shared" si="316"/>
        <v>150.00</v>
      </c>
      <c r="AE148" s="23"/>
      <c r="AF148" s="169" t="str">
        <f t="shared" si="317"/>
        <v>0</v>
      </c>
      <c r="AG148" s="163" t="str">
        <f t="shared" si="318"/>
        <v>-35.99</v>
      </c>
      <c r="AH148" s="170" t="str">
        <f t="shared" si="319"/>
        <v>-5.84%</v>
      </c>
      <c r="AI148" s="26"/>
      <c r="AJ148" s="171" t="str">
        <f t="shared" si="320"/>
        <v>0.00%</v>
      </c>
      <c r="AK148" s="172" t="str">
        <f t="shared" si="321"/>
        <v>0.00</v>
      </c>
      <c r="AL148" s="173" t="str">
        <f t="shared" si="322"/>
        <v>1,694.61</v>
      </c>
      <c r="AM148" s="174" t="str">
        <f t="shared" si="323"/>
        <v>1,203.17</v>
      </c>
    </row>
    <row r="149" ht="12.75" customHeight="1">
      <c r="A149" s="26"/>
      <c r="B149" s="190" t="s">
        <v>310</v>
      </c>
      <c r="C149" s="199">
        <v>2.06125905E8</v>
      </c>
      <c r="D149" s="152" t="s">
        <v>311</v>
      </c>
      <c r="E149" s="53" t="s">
        <v>77</v>
      </c>
      <c r="F149" s="154">
        <v>1.0</v>
      </c>
      <c r="G149" s="53"/>
      <c r="H149" s="53" t="str">
        <f t="shared" si="302"/>
        <v>0.00069</v>
      </c>
      <c r="I149" s="53" t="str">
        <f t="shared" si="303"/>
        <v>89</v>
      </c>
      <c r="J149" s="53" t="str">
        <f t="shared" si="304"/>
        <v>0</v>
      </c>
      <c r="K149" s="155" t="str">
        <f t="shared" si="305"/>
        <v>0.00</v>
      </c>
      <c r="L149" s="156" t="str">
        <f t="shared" si="306"/>
        <v>0.00 </v>
      </c>
      <c r="M149" s="132">
        <v>90.0</v>
      </c>
      <c r="N149" s="157">
        <v>616.08</v>
      </c>
      <c r="O149" s="158">
        <v>1500.0</v>
      </c>
      <c r="P149" s="159" t="str">
        <f t="shared" si="307"/>
        <v>1,500.00</v>
      </c>
      <c r="Q149" s="160">
        <v>1812.0</v>
      </c>
      <c r="R149" s="161">
        <v>0.26</v>
      </c>
      <c r="S149" s="162" t="str">
        <f t="shared" si="308"/>
        <v>1,110.00</v>
      </c>
      <c r="T149" s="163" t="str">
        <f t="shared" si="309"/>
        <v>60.00</v>
      </c>
      <c r="U149" s="164" t="str">
        <f t="shared" si="310"/>
        <v>82.99</v>
      </c>
      <c r="V149" s="165" t="str">
        <f t="shared" si="311"/>
        <v>0.00</v>
      </c>
      <c r="W149" s="166">
        <v>0.29</v>
      </c>
      <c r="X149" s="167">
        <v>82.0</v>
      </c>
      <c r="Y149" s="168" t="str">
        <f t="shared" si="312"/>
        <v>487.500</v>
      </c>
      <c r="Z149" s="168" t="str">
        <f t="shared" si="313"/>
        <v>44.289</v>
      </c>
      <c r="AA149" s="164" t="str">
        <f t="shared" si="314"/>
        <v>1.17</v>
      </c>
      <c r="AB149" s="164">
        <v>97.67</v>
      </c>
      <c r="AC149" s="164" t="str">
        <f t="shared" si="315"/>
        <v>4.80</v>
      </c>
      <c r="AD149" s="165" t="str">
        <f t="shared" si="316"/>
        <v>150.00</v>
      </c>
      <c r="AE149" s="23"/>
      <c r="AF149" s="169" t="str">
        <f t="shared" si="317"/>
        <v>0</v>
      </c>
      <c r="AG149" s="163" t="str">
        <f t="shared" si="318"/>
        <v>-28.82</v>
      </c>
      <c r="AH149" s="170" t="str">
        <f t="shared" si="319"/>
        <v>-4.68%</v>
      </c>
      <c r="AI149" s="26"/>
      <c r="AJ149" s="171" t="str">
        <f t="shared" si="320"/>
        <v>0.00%</v>
      </c>
      <c r="AK149" s="172" t="str">
        <f t="shared" si="321"/>
        <v>0.00</v>
      </c>
      <c r="AL149" s="173" t="str">
        <f t="shared" si="322"/>
        <v>1,678.85</v>
      </c>
      <c r="AM149" s="174" t="str">
        <f t="shared" si="323"/>
        <v>1,191.98</v>
      </c>
    </row>
    <row r="150" ht="12.75" customHeight="1">
      <c r="A150" s="26"/>
      <c r="B150" s="190" t="s">
        <v>312</v>
      </c>
      <c r="C150" s="199">
        <v>2.06126372E8</v>
      </c>
      <c r="D150" s="152" t="s">
        <v>313</v>
      </c>
      <c r="E150" s="53" t="s">
        <v>77</v>
      </c>
      <c r="F150" s="154">
        <v>1.0</v>
      </c>
      <c r="G150" s="53"/>
      <c r="H150" s="53" t="str">
        <f t="shared" si="302"/>
        <v>0.00069</v>
      </c>
      <c r="I150" s="53" t="str">
        <f t="shared" si="303"/>
        <v>89</v>
      </c>
      <c r="J150" s="53" t="str">
        <f t="shared" si="304"/>
        <v>0</v>
      </c>
      <c r="K150" s="155" t="str">
        <f t="shared" si="305"/>
        <v>0.00</v>
      </c>
      <c r="L150" s="156" t="str">
        <f t="shared" si="306"/>
        <v>0.00 </v>
      </c>
      <c r="M150" s="132">
        <v>90.0</v>
      </c>
      <c r="N150" s="157">
        <v>573.21</v>
      </c>
      <c r="O150" s="158">
        <v>1500.0</v>
      </c>
      <c r="P150" s="159" t="str">
        <f>AL150</f>
        <v>1,582.09</v>
      </c>
      <c r="Q150" s="160">
        <v>1599.0</v>
      </c>
      <c r="R150" s="161">
        <v>0.26</v>
      </c>
      <c r="S150" s="162" t="str">
        <f t="shared" si="308"/>
        <v>1,110.00</v>
      </c>
      <c r="T150" s="163" t="str">
        <f t="shared" si="309"/>
        <v>60.00</v>
      </c>
      <c r="U150" s="164" t="str">
        <f t="shared" si="310"/>
        <v>82.99</v>
      </c>
      <c r="V150" s="165" t="str">
        <f t="shared" si="311"/>
        <v>0.00</v>
      </c>
      <c r="W150" s="166">
        <v>0.29</v>
      </c>
      <c r="X150" s="167">
        <v>82.0</v>
      </c>
      <c r="Y150" s="168" t="str">
        <f t="shared" si="312"/>
        <v>487.500</v>
      </c>
      <c r="Z150" s="168" t="str">
        <f t="shared" si="313"/>
        <v>44.289</v>
      </c>
      <c r="AA150" s="164" t="str">
        <f t="shared" si="314"/>
        <v>0.00</v>
      </c>
      <c r="AB150" s="164">
        <v>100.0</v>
      </c>
      <c r="AC150" s="164" t="str">
        <f t="shared" si="315"/>
        <v>4.80</v>
      </c>
      <c r="AD150" s="165" t="str">
        <f t="shared" si="316"/>
        <v>150.00</v>
      </c>
      <c r="AE150" s="23"/>
      <c r="AF150" s="169" t="str">
        <f t="shared" si="317"/>
        <v>0</v>
      </c>
      <c r="AG150" s="163" t="str">
        <f t="shared" si="318"/>
        <v>15.21</v>
      </c>
      <c r="AH150" s="170" t="str">
        <f t="shared" si="319"/>
        <v>2.65%</v>
      </c>
      <c r="AI150" s="26"/>
      <c r="AJ150" s="171" t="str">
        <f t="shared" si="320"/>
        <v>0.00%</v>
      </c>
      <c r="AK150" s="172" t="str">
        <f t="shared" si="321"/>
        <v>0.00</v>
      </c>
      <c r="AL150" s="173" t="str">
        <f t="shared" si="322"/>
        <v>1,582.09</v>
      </c>
      <c r="AM150" s="174" t="str">
        <f t="shared" si="323"/>
        <v>1,123.29</v>
      </c>
    </row>
    <row r="151" ht="12.75" customHeight="1">
      <c r="A151" s="26"/>
      <c r="B151" s="125" t="s">
        <v>314</v>
      </c>
      <c r="C151" s="126"/>
      <c r="D151" s="127"/>
      <c r="E151" s="128"/>
      <c r="F151" s="128"/>
      <c r="G151" s="128"/>
      <c r="H151" s="197"/>
      <c r="I151" s="197"/>
      <c r="J151" s="128"/>
      <c r="K151" s="130"/>
      <c r="L151" s="131"/>
      <c r="M151" s="132"/>
      <c r="N151" s="176"/>
      <c r="O151" s="134"/>
      <c r="P151" s="135"/>
      <c r="Q151" s="135"/>
      <c r="R151" s="136"/>
      <c r="S151" s="137"/>
      <c r="T151" s="177"/>
      <c r="U151" s="178"/>
      <c r="V151" s="179"/>
      <c r="W151" s="180"/>
      <c r="X151" s="181"/>
      <c r="Y151" s="182"/>
      <c r="Z151" s="182"/>
      <c r="AA151" s="178"/>
      <c r="AB151" s="178"/>
      <c r="AC151" s="178"/>
      <c r="AD151" s="179"/>
      <c r="AE151" s="183"/>
      <c r="AF151" s="184"/>
      <c r="AG151" s="177"/>
      <c r="AH151" s="185"/>
      <c r="AI151" s="26"/>
      <c r="AJ151" s="186"/>
      <c r="AK151" s="187"/>
      <c r="AL151" s="188"/>
      <c r="AM151" s="189"/>
    </row>
    <row r="152" ht="12.75" customHeight="1">
      <c r="A152" s="26"/>
      <c r="B152" s="190" t="s">
        <v>315</v>
      </c>
      <c r="C152" s="199">
        <v>2.07817787E8</v>
      </c>
      <c r="D152" s="152" t="s">
        <v>316</v>
      </c>
      <c r="E152" s="53" t="s">
        <v>77</v>
      </c>
      <c r="F152" s="154">
        <v>1.0</v>
      </c>
      <c r="G152" s="53"/>
      <c r="H152" s="53" t="str">
        <f t="shared" ref="H152:H158" si="324">$I$2</f>
        <v>0.00069</v>
      </c>
      <c r="I152" s="53" t="str">
        <f t="shared" ref="I152:I158" si="325">$I$3</f>
        <v>89</v>
      </c>
      <c r="J152" s="53" t="str">
        <f t="shared" ref="J152:J158" si="326">G152*H152*I152*F152</f>
        <v>0</v>
      </c>
      <c r="K152" s="155" t="str">
        <f t="shared" ref="K152:K158" si="327">J152*$J$4</f>
        <v>0.00</v>
      </c>
      <c r="L152" s="156" t="str">
        <f t="shared" ref="L152:L158" si="328">K152+J152</f>
        <v>0.00 </v>
      </c>
      <c r="M152" s="132">
        <v>90.0</v>
      </c>
      <c r="N152" s="157">
        <v>540.42</v>
      </c>
      <c r="O152" s="158">
        <v>1590.0</v>
      </c>
      <c r="P152" s="159" t="str">
        <f t="shared" ref="P152:P158" si="329">AL152</f>
        <v>1,496.86</v>
      </c>
      <c r="Q152" s="160"/>
      <c r="R152" s="161">
        <v>0.26</v>
      </c>
      <c r="S152" s="162" t="str">
        <f t="shared" ref="S152:S158" si="330">O152-(O152*R152)</f>
        <v>1,176.60</v>
      </c>
      <c r="T152" s="163" t="str">
        <f t="shared" ref="T152:T158" si="331">$C$1</f>
        <v>60.00</v>
      </c>
      <c r="U152" s="164" t="str">
        <f t="shared" ref="U152:U158" si="332">(S152*7/107)+((S152-(S152*7/107))*1%)</f>
        <v>87.97</v>
      </c>
      <c r="V152" s="165" t="str">
        <f t="shared" ref="V152:V158" si="333">N152*$C$3*(M152/30)</f>
        <v>0.00</v>
      </c>
      <c r="W152" s="166">
        <v>0.35</v>
      </c>
      <c r="X152" s="167" t="str">
        <f t="shared" ref="X152:X158" si="334">((_xlfn.CEILING.MATH(W152)-1)*$C$5+$C$4)</f>
        <v>76</v>
      </c>
      <c r="Y152" s="168" t="str">
        <f t="shared" ref="Y152:Y158" si="335">O152*$Y$6</f>
        <v>516.750</v>
      </c>
      <c r="Z152" s="168" t="str">
        <f t="shared" ref="Z152:Z158" si="336">S152*$Y$7</f>
        <v>46.946</v>
      </c>
      <c r="AA152" s="164" t="str">
        <f t="shared" ref="AA152:AA158" si="337">$Y$3*((100-AB152)/100)</f>
        <v>0.00</v>
      </c>
      <c r="AB152" s="164">
        <v>100.0</v>
      </c>
      <c r="AC152" s="164" t="str">
        <f t="shared" ref="AC152:AC158" si="338">$C$6*$C$7*_xlfn.CEILING.MATH(W152)</f>
        <v>4.80</v>
      </c>
      <c r="AD152" s="165" t="str">
        <f t="shared" ref="AD152:AD158" si="339">O152*$C$2</f>
        <v>159.00</v>
      </c>
      <c r="AE152" s="23"/>
      <c r="AF152" s="169" t="str">
        <f t="shared" ref="AF152:AF158" si="340">(_xlfn.CEILING.MATH(W152))*$Y$1*$AD$2</f>
        <v>0</v>
      </c>
      <c r="AG152" s="163" t="str">
        <f t="shared" ref="AG152:AG158" si="341">O152-T152-U152-V152-X152-Y152-Z152-AA152-AC152-AD152-N152</f>
        <v>98.11</v>
      </c>
      <c r="AH152" s="170" t="str">
        <f t="shared" ref="AH152:AH158" si="342">AG152/N152</f>
        <v>18.16%</v>
      </c>
      <c r="AI152" s="26"/>
      <c r="AJ152" s="171" t="str">
        <f t="shared" ref="AJ152:AJ158" si="343">$AD$3</f>
        <v>0.00%</v>
      </c>
      <c r="AK152" s="172" t="str">
        <f t="shared" ref="AK152:AK158" si="344">N152*AJ152</f>
        <v>0.00</v>
      </c>
      <c r="AL152" s="173" t="str">
        <f t="shared" ref="AL152:AL158" si="345">(N152+T152+V152+X152+AA152+AC152+AF152+AK152)/(100%-($C$2+$C$8+$Y$6+$Y$7))</f>
        <v>1,496.86</v>
      </c>
      <c r="AM152" s="174" t="str">
        <f t="shared" ref="AM152:AM158" si="346">AL152-(AL152*$AD$1)</f>
        <v>1,062.77</v>
      </c>
    </row>
    <row r="153" ht="12.75" customHeight="1">
      <c r="A153" s="26"/>
      <c r="B153" s="190" t="s">
        <v>317</v>
      </c>
      <c r="C153" s="199">
        <v>2.07818E8</v>
      </c>
      <c r="D153" s="152" t="s">
        <v>318</v>
      </c>
      <c r="E153" s="53" t="s">
        <v>77</v>
      </c>
      <c r="F153" s="154">
        <v>1.0</v>
      </c>
      <c r="G153" s="53"/>
      <c r="H153" s="53" t="str">
        <f t="shared" si="324"/>
        <v>0.00069</v>
      </c>
      <c r="I153" s="53" t="str">
        <f t="shared" si="325"/>
        <v>89</v>
      </c>
      <c r="J153" s="53" t="str">
        <f t="shared" si="326"/>
        <v>0</v>
      </c>
      <c r="K153" s="155" t="str">
        <f t="shared" si="327"/>
        <v>0.00</v>
      </c>
      <c r="L153" s="156" t="str">
        <f t="shared" si="328"/>
        <v>0.00 </v>
      </c>
      <c r="M153" s="132">
        <v>90.0</v>
      </c>
      <c r="N153" s="157">
        <v>99.08</v>
      </c>
      <c r="O153" s="158">
        <v>485.0</v>
      </c>
      <c r="P153" s="159" t="str">
        <f t="shared" si="329"/>
        <v>532.59</v>
      </c>
      <c r="Q153" s="160"/>
      <c r="R153" s="161">
        <v>0.26</v>
      </c>
      <c r="S153" s="162" t="str">
        <f t="shared" si="330"/>
        <v>358.90</v>
      </c>
      <c r="T153" s="163" t="str">
        <f t="shared" si="331"/>
        <v>60.00</v>
      </c>
      <c r="U153" s="164" t="str">
        <f t="shared" si="332"/>
        <v>26.83</v>
      </c>
      <c r="V153" s="165" t="str">
        <f t="shared" si="333"/>
        <v>0.00</v>
      </c>
      <c r="W153" s="166">
        <v>0.06</v>
      </c>
      <c r="X153" s="167" t="str">
        <f t="shared" si="334"/>
        <v>76</v>
      </c>
      <c r="Y153" s="168" t="str">
        <f t="shared" si="335"/>
        <v>157.625</v>
      </c>
      <c r="Z153" s="168" t="str">
        <f t="shared" si="336"/>
        <v>14.320</v>
      </c>
      <c r="AA153" s="164" t="str">
        <f t="shared" si="337"/>
        <v>2.50</v>
      </c>
      <c r="AB153" s="164">
        <v>95.0</v>
      </c>
      <c r="AC153" s="164" t="str">
        <f t="shared" si="338"/>
        <v>4.80</v>
      </c>
      <c r="AD153" s="165" t="str">
        <f t="shared" si="339"/>
        <v>48.50</v>
      </c>
      <c r="AE153" s="23"/>
      <c r="AF153" s="169" t="str">
        <f t="shared" si="340"/>
        <v>0</v>
      </c>
      <c r="AG153" s="163" t="str">
        <f t="shared" si="341"/>
        <v>-4.66</v>
      </c>
      <c r="AH153" s="170" t="str">
        <f t="shared" si="342"/>
        <v>-4.70%</v>
      </c>
      <c r="AI153" s="26"/>
      <c r="AJ153" s="171" t="str">
        <f t="shared" si="343"/>
        <v>0.00%</v>
      </c>
      <c r="AK153" s="172" t="str">
        <f t="shared" si="344"/>
        <v>0.00</v>
      </c>
      <c r="AL153" s="173" t="str">
        <f t="shared" si="345"/>
        <v>532.59</v>
      </c>
      <c r="AM153" s="174" t="str">
        <f t="shared" si="346"/>
        <v>378.14</v>
      </c>
    </row>
    <row r="154" ht="12.75" customHeight="1">
      <c r="A154" s="26"/>
      <c r="B154" s="190" t="s">
        <v>319</v>
      </c>
      <c r="C154" s="192">
        <v>2.07798999E8</v>
      </c>
      <c r="D154" s="152" t="s">
        <v>320</v>
      </c>
      <c r="E154" s="53" t="s">
        <v>77</v>
      </c>
      <c r="F154" s="154">
        <v>1.0</v>
      </c>
      <c r="G154" s="53"/>
      <c r="H154" s="53" t="str">
        <f t="shared" si="324"/>
        <v>0.00069</v>
      </c>
      <c r="I154" s="53" t="str">
        <f t="shared" si="325"/>
        <v>89</v>
      </c>
      <c r="J154" s="53" t="str">
        <f t="shared" si="326"/>
        <v>0</v>
      </c>
      <c r="K154" s="155" t="str">
        <f t="shared" si="327"/>
        <v>0.00</v>
      </c>
      <c r="L154" s="156" t="str">
        <f t="shared" si="328"/>
        <v>0.00 </v>
      </c>
      <c r="M154" s="132">
        <v>90.0</v>
      </c>
      <c r="N154" s="157">
        <v>0.0</v>
      </c>
      <c r="O154" s="158">
        <v>1536.3</v>
      </c>
      <c r="P154" s="159" t="str">
        <f t="shared" si="329"/>
        <v>322.30</v>
      </c>
      <c r="Q154" s="160"/>
      <c r="R154" s="161">
        <v>0.26</v>
      </c>
      <c r="S154" s="162" t="str">
        <f t="shared" si="330"/>
        <v>1,136.86</v>
      </c>
      <c r="T154" s="163" t="str">
        <f t="shared" si="331"/>
        <v>60.00</v>
      </c>
      <c r="U154" s="164" t="str">
        <f t="shared" si="332"/>
        <v>85.00</v>
      </c>
      <c r="V154" s="165" t="str">
        <f t="shared" si="333"/>
        <v>0.00</v>
      </c>
      <c r="W154" s="166">
        <v>0.4</v>
      </c>
      <c r="X154" s="167" t="str">
        <f t="shared" si="334"/>
        <v>76</v>
      </c>
      <c r="Y154" s="168" t="str">
        <f t="shared" si="335"/>
        <v>499.298</v>
      </c>
      <c r="Z154" s="168" t="str">
        <f t="shared" si="336"/>
        <v>45.361</v>
      </c>
      <c r="AA154" s="164" t="str">
        <f t="shared" si="337"/>
        <v>5.88</v>
      </c>
      <c r="AB154" s="164">
        <v>88.24</v>
      </c>
      <c r="AC154" s="164" t="str">
        <f t="shared" si="338"/>
        <v>4.80</v>
      </c>
      <c r="AD154" s="165" t="str">
        <f t="shared" si="339"/>
        <v>153.63</v>
      </c>
      <c r="AE154" s="23"/>
      <c r="AF154" s="169" t="str">
        <f t="shared" si="340"/>
        <v>0</v>
      </c>
      <c r="AG154" s="163" t="str">
        <f t="shared" si="341"/>
        <v>606.33</v>
      </c>
      <c r="AH154" s="170" t="str">
        <f t="shared" si="342"/>
        <v>#DIV/0!</v>
      </c>
      <c r="AI154" s="26"/>
      <c r="AJ154" s="171" t="str">
        <f t="shared" si="343"/>
        <v>0.00%</v>
      </c>
      <c r="AK154" s="172" t="str">
        <f t="shared" si="344"/>
        <v>0.00</v>
      </c>
      <c r="AL154" s="173" t="str">
        <f t="shared" si="345"/>
        <v>322.30</v>
      </c>
      <c r="AM154" s="174" t="str">
        <f t="shared" si="346"/>
        <v>228.83</v>
      </c>
    </row>
    <row r="155" ht="12.75" customHeight="1">
      <c r="A155" s="26"/>
      <c r="B155" s="190" t="s">
        <v>321</v>
      </c>
      <c r="C155" s="192">
        <v>2.07816823E8</v>
      </c>
      <c r="D155" s="152" t="s">
        <v>322</v>
      </c>
      <c r="E155" s="53" t="s">
        <v>77</v>
      </c>
      <c r="F155" s="154">
        <v>1.0</v>
      </c>
      <c r="G155" s="53"/>
      <c r="H155" s="53" t="str">
        <f t="shared" si="324"/>
        <v>0.00069</v>
      </c>
      <c r="I155" s="53" t="str">
        <f t="shared" si="325"/>
        <v>89</v>
      </c>
      <c r="J155" s="53" t="str">
        <f t="shared" si="326"/>
        <v>0</v>
      </c>
      <c r="K155" s="155" t="str">
        <f t="shared" si="327"/>
        <v>0.00</v>
      </c>
      <c r="L155" s="156" t="str">
        <f t="shared" si="328"/>
        <v>0.00 </v>
      </c>
      <c r="M155" s="132">
        <v>90.0</v>
      </c>
      <c r="N155" s="157">
        <v>0.0</v>
      </c>
      <c r="O155" s="158">
        <v>1536.3</v>
      </c>
      <c r="P155" s="159" t="str">
        <f t="shared" si="329"/>
        <v>315.14</v>
      </c>
      <c r="Q155" s="160"/>
      <c r="R155" s="161">
        <v>0.26</v>
      </c>
      <c r="S155" s="162" t="str">
        <f t="shared" si="330"/>
        <v>1,136.86</v>
      </c>
      <c r="T155" s="163" t="str">
        <f t="shared" si="331"/>
        <v>60.00</v>
      </c>
      <c r="U155" s="164" t="str">
        <f t="shared" si="332"/>
        <v>85.00</v>
      </c>
      <c r="V155" s="165" t="str">
        <f t="shared" si="333"/>
        <v>0.00</v>
      </c>
      <c r="W155" s="166">
        <v>0.4</v>
      </c>
      <c r="X155" s="167" t="str">
        <f t="shared" si="334"/>
        <v>76</v>
      </c>
      <c r="Y155" s="168" t="str">
        <f t="shared" si="335"/>
        <v>499.298</v>
      </c>
      <c r="Z155" s="168" t="str">
        <f t="shared" si="336"/>
        <v>45.361</v>
      </c>
      <c r="AA155" s="164" t="str">
        <f t="shared" si="337"/>
        <v>2.62</v>
      </c>
      <c r="AB155" s="164">
        <v>94.76</v>
      </c>
      <c r="AC155" s="164" t="str">
        <f t="shared" si="338"/>
        <v>4.80</v>
      </c>
      <c r="AD155" s="165" t="str">
        <f t="shared" si="339"/>
        <v>153.63</v>
      </c>
      <c r="AE155" s="23"/>
      <c r="AF155" s="169" t="str">
        <f t="shared" si="340"/>
        <v>0</v>
      </c>
      <c r="AG155" s="163" t="str">
        <f t="shared" si="341"/>
        <v>609.59</v>
      </c>
      <c r="AH155" s="170" t="str">
        <f t="shared" si="342"/>
        <v>#DIV/0!</v>
      </c>
      <c r="AI155" s="26"/>
      <c r="AJ155" s="171" t="str">
        <f t="shared" si="343"/>
        <v>0.00%</v>
      </c>
      <c r="AK155" s="172" t="str">
        <f t="shared" si="344"/>
        <v>0.00</v>
      </c>
      <c r="AL155" s="173" t="str">
        <f t="shared" si="345"/>
        <v>315.14</v>
      </c>
      <c r="AM155" s="174" t="str">
        <f t="shared" si="346"/>
        <v>223.75</v>
      </c>
    </row>
    <row r="156" ht="12.75" customHeight="1">
      <c r="A156" s="26"/>
      <c r="B156" s="190" t="s">
        <v>323</v>
      </c>
      <c r="C156" s="199">
        <v>2.12720615E8</v>
      </c>
      <c r="D156" s="152" t="s">
        <v>324</v>
      </c>
      <c r="E156" s="53" t="s">
        <v>77</v>
      </c>
      <c r="F156" s="154">
        <v>1.0</v>
      </c>
      <c r="G156" s="53"/>
      <c r="H156" s="53" t="str">
        <f t="shared" si="324"/>
        <v>0.00069</v>
      </c>
      <c r="I156" s="53" t="str">
        <f t="shared" si="325"/>
        <v>89</v>
      </c>
      <c r="J156" s="53" t="str">
        <f t="shared" si="326"/>
        <v>0</v>
      </c>
      <c r="K156" s="155" t="str">
        <f t="shared" si="327"/>
        <v>0.00</v>
      </c>
      <c r="L156" s="156" t="str">
        <f t="shared" si="328"/>
        <v>0.00 </v>
      </c>
      <c r="M156" s="132">
        <v>90.0</v>
      </c>
      <c r="N156" s="157">
        <v>1072.67</v>
      </c>
      <c r="O156" s="158">
        <v>2700.0</v>
      </c>
      <c r="P156" s="159" t="str">
        <f t="shared" si="329"/>
        <v>2,666.38</v>
      </c>
      <c r="Q156" s="160"/>
      <c r="R156" s="161">
        <v>0.26</v>
      </c>
      <c r="S156" s="162" t="str">
        <f t="shared" si="330"/>
        <v>1,998.00</v>
      </c>
      <c r="T156" s="163" t="str">
        <f t="shared" si="331"/>
        <v>60.00</v>
      </c>
      <c r="U156" s="164" t="str">
        <f t="shared" si="332"/>
        <v>149.38</v>
      </c>
      <c r="V156" s="165" t="str">
        <f t="shared" si="333"/>
        <v>0.00</v>
      </c>
      <c r="W156" s="166">
        <v>0.32</v>
      </c>
      <c r="X156" s="167" t="str">
        <f t="shared" si="334"/>
        <v>76</v>
      </c>
      <c r="Y156" s="168" t="str">
        <f t="shared" si="335"/>
        <v>877.500</v>
      </c>
      <c r="Z156" s="168" t="str">
        <f t="shared" si="336"/>
        <v>79.720</v>
      </c>
      <c r="AA156" s="164" t="str">
        <f t="shared" si="337"/>
        <v>0.00</v>
      </c>
      <c r="AB156" s="164">
        <v>100.0</v>
      </c>
      <c r="AC156" s="164" t="str">
        <f t="shared" si="338"/>
        <v>4.80</v>
      </c>
      <c r="AD156" s="165" t="str">
        <f t="shared" si="339"/>
        <v>270.00</v>
      </c>
      <c r="AE156" s="23"/>
      <c r="AF156" s="169" t="str">
        <f t="shared" si="340"/>
        <v>0</v>
      </c>
      <c r="AG156" s="163" t="str">
        <f t="shared" si="341"/>
        <v>109.93</v>
      </c>
      <c r="AH156" s="170" t="str">
        <f t="shared" si="342"/>
        <v>10.25%</v>
      </c>
      <c r="AI156" s="26"/>
      <c r="AJ156" s="171" t="str">
        <f t="shared" si="343"/>
        <v>0.00%</v>
      </c>
      <c r="AK156" s="172" t="str">
        <f t="shared" si="344"/>
        <v>0.00</v>
      </c>
      <c r="AL156" s="173" t="str">
        <f t="shared" si="345"/>
        <v>2,666.38</v>
      </c>
      <c r="AM156" s="174" t="str">
        <f t="shared" si="346"/>
        <v>1,893.13</v>
      </c>
    </row>
    <row r="157" ht="12.75" customHeight="1">
      <c r="A157" s="26"/>
      <c r="B157" s="190" t="s">
        <v>325</v>
      </c>
      <c r="C157" s="192">
        <v>2.07818167E8</v>
      </c>
      <c r="D157" s="152" t="s">
        <v>326</v>
      </c>
      <c r="E157" s="53" t="s">
        <v>77</v>
      </c>
      <c r="F157" s="154">
        <v>1.0</v>
      </c>
      <c r="G157" s="53"/>
      <c r="H157" s="53" t="str">
        <f t="shared" si="324"/>
        <v>0.00069</v>
      </c>
      <c r="I157" s="53" t="str">
        <f t="shared" si="325"/>
        <v>89</v>
      </c>
      <c r="J157" s="53" t="str">
        <f t="shared" si="326"/>
        <v>0</v>
      </c>
      <c r="K157" s="155" t="str">
        <f t="shared" si="327"/>
        <v>0.00</v>
      </c>
      <c r="L157" s="156" t="str">
        <f t="shared" si="328"/>
        <v>0.00 </v>
      </c>
      <c r="M157" s="132">
        <v>90.0</v>
      </c>
      <c r="N157" s="157">
        <v>0.0</v>
      </c>
      <c r="O157" s="158">
        <v>1758.9</v>
      </c>
      <c r="P157" s="159" t="str">
        <f t="shared" si="329"/>
        <v>309.38</v>
      </c>
      <c r="Q157" s="160"/>
      <c r="R157" s="161">
        <v>0.26</v>
      </c>
      <c r="S157" s="162" t="str">
        <f t="shared" si="330"/>
        <v>1,301.59</v>
      </c>
      <c r="T157" s="163" t="str">
        <f t="shared" si="331"/>
        <v>60.00</v>
      </c>
      <c r="U157" s="164" t="str">
        <f t="shared" si="332"/>
        <v>97.31</v>
      </c>
      <c r="V157" s="165" t="str">
        <f t="shared" si="333"/>
        <v>0.00</v>
      </c>
      <c r="W157" s="166">
        <v>0.3</v>
      </c>
      <c r="X157" s="167" t="str">
        <f t="shared" si="334"/>
        <v>76</v>
      </c>
      <c r="Y157" s="168" t="str">
        <f t="shared" si="335"/>
        <v>571.643</v>
      </c>
      <c r="Z157" s="168" t="str">
        <f t="shared" si="336"/>
        <v>51.933</v>
      </c>
      <c r="AA157" s="164" t="str">
        <f t="shared" si="337"/>
        <v>0.00</v>
      </c>
      <c r="AB157" s="164">
        <v>100.0</v>
      </c>
      <c r="AC157" s="164" t="str">
        <f t="shared" si="338"/>
        <v>4.80</v>
      </c>
      <c r="AD157" s="165" t="str">
        <f t="shared" si="339"/>
        <v>175.89</v>
      </c>
      <c r="AE157" s="23"/>
      <c r="AF157" s="169" t="str">
        <f t="shared" si="340"/>
        <v>0</v>
      </c>
      <c r="AG157" s="163" t="str">
        <f t="shared" si="341"/>
        <v>721.32</v>
      </c>
      <c r="AH157" s="170" t="str">
        <f t="shared" si="342"/>
        <v>#DIV/0!</v>
      </c>
      <c r="AI157" s="26"/>
      <c r="AJ157" s="171" t="str">
        <f t="shared" si="343"/>
        <v>0.00%</v>
      </c>
      <c r="AK157" s="172" t="str">
        <f t="shared" si="344"/>
        <v>0.00</v>
      </c>
      <c r="AL157" s="173" t="str">
        <f t="shared" si="345"/>
        <v>309.38</v>
      </c>
      <c r="AM157" s="174" t="str">
        <f t="shared" si="346"/>
        <v>219.66</v>
      </c>
    </row>
    <row r="158" ht="12.75" customHeight="1">
      <c r="A158" s="26"/>
      <c r="B158" s="190" t="s">
        <v>327</v>
      </c>
      <c r="C158" s="192">
        <v>2.07817635E8</v>
      </c>
      <c r="D158" s="152" t="s">
        <v>328</v>
      </c>
      <c r="E158" s="53" t="s">
        <v>77</v>
      </c>
      <c r="F158" s="154">
        <v>1.0</v>
      </c>
      <c r="G158" s="53"/>
      <c r="H158" s="53" t="str">
        <f t="shared" si="324"/>
        <v>0.00069</v>
      </c>
      <c r="I158" s="53" t="str">
        <f t="shared" si="325"/>
        <v>89</v>
      </c>
      <c r="J158" s="53" t="str">
        <f t="shared" si="326"/>
        <v>0</v>
      </c>
      <c r="K158" s="155" t="str">
        <f t="shared" si="327"/>
        <v>0.00</v>
      </c>
      <c r="L158" s="156" t="str">
        <f t="shared" si="328"/>
        <v>0.00 </v>
      </c>
      <c r="M158" s="132">
        <v>90.0</v>
      </c>
      <c r="N158" s="157">
        <v>0.0</v>
      </c>
      <c r="O158" s="158">
        <v>1332.6</v>
      </c>
      <c r="P158" s="159" t="str">
        <f t="shared" si="329"/>
        <v>309.38</v>
      </c>
      <c r="Q158" s="160"/>
      <c r="R158" s="161">
        <v>0.26</v>
      </c>
      <c r="S158" s="162" t="str">
        <f t="shared" si="330"/>
        <v>986.12</v>
      </c>
      <c r="T158" s="163" t="str">
        <f t="shared" si="331"/>
        <v>60.00</v>
      </c>
      <c r="U158" s="164" t="str">
        <f t="shared" si="332"/>
        <v>73.73</v>
      </c>
      <c r="V158" s="165" t="str">
        <f t="shared" si="333"/>
        <v>0.00</v>
      </c>
      <c r="W158" s="166">
        <v>0.14</v>
      </c>
      <c r="X158" s="167" t="str">
        <f t="shared" si="334"/>
        <v>76</v>
      </c>
      <c r="Y158" s="168" t="str">
        <f t="shared" si="335"/>
        <v>433.095</v>
      </c>
      <c r="Z158" s="168" t="str">
        <f t="shared" si="336"/>
        <v>39.346</v>
      </c>
      <c r="AA158" s="164" t="str">
        <f t="shared" si="337"/>
        <v>0.00</v>
      </c>
      <c r="AB158" s="164">
        <v>100.0</v>
      </c>
      <c r="AC158" s="164" t="str">
        <f t="shared" si="338"/>
        <v>4.80</v>
      </c>
      <c r="AD158" s="165" t="str">
        <f t="shared" si="339"/>
        <v>133.26</v>
      </c>
      <c r="AE158" s="23"/>
      <c r="AF158" s="169" t="str">
        <f t="shared" si="340"/>
        <v>0</v>
      </c>
      <c r="AG158" s="163" t="str">
        <f t="shared" si="341"/>
        <v>512.37</v>
      </c>
      <c r="AH158" s="170" t="str">
        <f t="shared" si="342"/>
        <v>#DIV/0!</v>
      </c>
      <c r="AI158" s="26"/>
      <c r="AJ158" s="171" t="str">
        <f t="shared" si="343"/>
        <v>0.00%</v>
      </c>
      <c r="AK158" s="172" t="str">
        <f t="shared" si="344"/>
        <v>0.00</v>
      </c>
      <c r="AL158" s="173" t="str">
        <f t="shared" si="345"/>
        <v>309.38</v>
      </c>
      <c r="AM158" s="174" t="str">
        <f t="shared" si="346"/>
        <v>219.66</v>
      </c>
    </row>
    <row r="159" ht="12.75" customHeight="1">
      <c r="A159" s="26"/>
      <c r="B159" s="125" t="s">
        <v>329</v>
      </c>
      <c r="C159" s="126"/>
      <c r="D159" s="127"/>
      <c r="E159" s="128"/>
      <c r="F159" s="128"/>
      <c r="G159" s="128"/>
      <c r="H159" s="197"/>
      <c r="I159" s="197"/>
      <c r="J159" s="128"/>
      <c r="K159" s="130"/>
      <c r="L159" s="131"/>
      <c r="M159" s="132"/>
      <c r="N159" s="176"/>
      <c r="O159" s="134"/>
      <c r="P159" s="135"/>
      <c r="Q159" s="135"/>
      <c r="R159" s="136"/>
      <c r="S159" s="137"/>
      <c r="T159" s="177"/>
      <c r="U159" s="178"/>
      <c r="V159" s="179"/>
      <c r="W159" s="180"/>
      <c r="X159" s="181"/>
      <c r="Y159" s="182"/>
      <c r="Z159" s="182"/>
      <c r="AA159" s="178"/>
      <c r="AB159" s="178"/>
      <c r="AC159" s="178"/>
      <c r="AD159" s="179"/>
      <c r="AE159" s="183"/>
      <c r="AF159" s="184"/>
      <c r="AG159" s="177"/>
      <c r="AH159" s="185"/>
      <c r="AI159" s="26"/>
      <c r="AJ159" s="186"/>
      <c r="AK159" s="187"/>
      <c r="AL159" s="188"/>
      <c r="AM159" s="189"/>
    </row>
    <row r="160" ht="12.75" customHeight="1">
      <c r="A160" s="26"/>
      <c r="B160" s="190" t="s">
        <v>330</v>
      </c>
      <c r="C160" s="199">
        <v>2.0748378E8</v>
      </c>
      <c r="D160" s="152" t="s">
        <v>331</v>
      </c>
      <c r="E160" s="53" t="s">
        <v>77</v>
      </c>
      <c r="F160" s="154">
        <v>1.0</v>
      </c>
      <c r="G160" s="53"/>
      <c r="H160" s="53" t="str">
        <f t="shared" ref="H160:H165" si="347">$I$2</f>
        <v>0.00069</v>
      </c>
      <c r="I160" s="53" t="str">
        <f t="shared" ref="I160:I165" si="348">$I$3</f>
        <v>89</v>
      </c>
      <c r="J160" s="53" t="str">
        <f t="shared" ref="J160:J165" si="349">G160*H160*I160*F160</f>
        <v>0</v>
      </c>
      <c r="K160" s="155" t="str">
        <f t="shared" ref="K160:K165" si="350">J160*$J$4</f>
        <v>0.00</v>
      </c>
      <c r="L160" s="156" t="str">
        <f t="shared" ref="L160:L165" si="351">K160+J160</f>
        <v>0.00 </v>
      </c>
      <c r="M160" s="132">
        <v>90.0</v>
      </c>
      <c r="N160" s="175">
        <v>202.27</v>
      </c>
      <c r="O160" s="158">
        <v>750.0</v>
      </c>
      <c r="P160" s="159" t="str">
        <f t="shared" ref="P160:P162" si="352">O160</f>
        <v>750.00</v>
      </c>
      <c r="Q160" s="160">
        <v>515.0</v>
      </c>
      <c r="R160" s="161">
        <v>0.26</v>
      </c>
      <c r="S160" s="162" t="str">
        <f t="shared" ref="S160:S165" si="353">O160-(O160*R160)</f>
        <v>555.00</v>
      </c>
      <c r="T160" s="163" t="str">
        <f t="shared" ref="T160:T165" si="354">$C$1</f>
        <v>60.00</v>
      </c>
      <c r="U160" s="164" t="str">
        <f t="shared" ref="U160:U165" si="355">(S160*7/107)+((S160-(S160*7/107))*1%)</f>
        <v>41.50</v>
      </c>
      <c r="V160" s="165" t="str">
        <f t="shared" ref="V160:V165" si="356">N160*$C$3*(M160/30)</f>
        <v>0.00</v>
      </c>
      <c r="W160" s="166">
        <v>0.29</v>
      </c>
      <c r="X160" s="167">
        <v>83.0</v>
      </c>
      <c r="Y160" s="168" t="str">
        <f t="shared" ref="Y160:Y165" si="357">O160*$Y$6</f>
        <v>243.750</v>
      </c>
      <c r="Z160" s="168" t="str">
        <f t="shared" ref="Z160:Z165" si="358">S160*$Y$7</f>
        <v>22.145</v>
      </c>
      <c r="AA160" s="164" t="str">
        <f t="shared" ref="AA160:AA165" si="359">$Y$3*((100-AB160)/100)</f>
        <v>1.26</v>
      </c>
      <c r="AB160" s="164">
        <v>97.48</v>
      </c>
      <c r="AC160" s="164" t="str">
        <f t="shared" ref="AC160:AC165" si="360">$C$6*$C$7*_xlfn.CEILING.MATH(W160)</f>
        <v>4.80</v>
      </c>
      <c r="AD160" s="165" t="str">
        <f t="shared" ref="AD160:AD165" si="361">O160*$C$2</f>
        <v>75.00</v>
      </c>
      <c r="AE160" s="23"/>
      <c r="AF160" s="169" t="str">
        <f t="shared" ref="AF160:AF165" si="362">(_xlfn.CEILING.MATH(W160))*$Y$1*$AD$2</f>
        <v>0</v>
      </c>
      <c r="AG160" s="163" t="str">
        <f t="shared" ref="AG160:AG165" si="363">O160-T160-U160-V160-X160-Y160-Z160-AA160-AC160-AD160-N160</f>
        <v>16.28</v>
      </c>
      <c r="AH160" s="170" t="str">
        <f t="shared" ref="AH160:AH165" si="364">AG160/N160</f>
        <v>8.05%</v>
      </c>
      <c r="AI160" s="26"/>
      <c r="AJ160" s="171" t="str">
        <f t="shared" ref="AJ160:AJ165" si="365">$AD$3</f>
        <v>0.00%</v>
      </c>
      <c r="AK160" s="172" t="str">
        <f t="shared" ref="AK160:AK165" si="366">N160*AJ160</f>
        <v>0.00</v>
      </c>
      <c r="AL160" s="173" t="str">
        <f t="shared" ref="AL160:AL165" si="367">(N160+T160+V160+X160+AA160+AC160+AF160+AK160)/(100%-($C$2+$C$8+$Y$6+$Y$7))</f>
        <v>771.98</v>
      </c>
      <c r="AM160" s="174" t="str">
        <f t="shared" ref="AM160:AM165" si="368">AL160-(AL160*$AD$1)</f>
        <v>548.11</v>
      </c>
    </row>
    <row r="161" ht="12.75" customHeight="1">
      <c r="A161" s="26"/>
      <c r="B161" s="190" t="s">
        <v>332</v>
      </c>
      <c r="C161" s="199">
        <v>2.07482718E8</v>
      </c>
      <c r="D161" s="152" t="s">
        <v>333</v>
      </c>
      <c r="E161" s="53" t="s">
        <v>77</v>
      </c>
      <c r="F161" s="154">
        <v>1.0</v>
      </c>
      <c r="G161" s="53"/>
      <c r="H161" s="53" t="str">
        <f t="shared" si="347"/>
        <v>0.00069</v>
      </c>
      <c r="I161" s="53" t="str">
        <f t="shared" si="348"/>
        <v>89</v>
      </c>
      <c r="J161" s="53" t="str">
        <f t="shared" si="349"/>
        <v>0</v>
      </c>
      <c r="K161" s="155" t="str">
        <f t="shared" si="350"/>
        <v>0.00</v>
      </c>
      <c r="L161" s="156" t="str">
        <f t="shared" si="351"/>
        <v>0.00 </v>
      </c>
      <c r="M161" s="132">
        <v>90.0</v>
      </c>
      <c r="N161" s="175">
        <v>202.27</v>
      </c>
      <c r="O161" s="158">
        <v>700.0</v>
      </c>
      <c r="P161" s="159" t="str">
        <f t="shared" si="352"/>
        <v>700.00</v>
      </c>
      <c r="Q161" s="160">
        <v>530.0</v>
      </c>
      <c r="R161" s="161">
        <v>0.26</v>
      </c>
      <c r="S161" s="162" t="str">
        <f t="shared" si="353"/>
        <v>518.00</v>
      </c>
      <c r="T161" s="163" t="str">
        <f t="shared" si="354"/>
        <v>60.00</v>
      </c>
      <c r="U161" s="164" t="str">
        <f t="shared" si="355"/>
        <v>38.73</v>
      </c>
      <c r="V161" s="165" t="str">
        <f t="shared" si="356"/>
        <v>0.00</v>
      </c>
      <c r="W161" s="166">
        <v>0.29</v>
      </c>
      <c r="X161" s="167">
        <v>83.0</v>
      </c>
      <c r="Y161" s="168" t="str">
        <f t="shared" si="357"/>
        <v>227.500</v>
      </c>
      <c r="Z161" s="168" t="str">
        <f t="shared" si="358"/>
        <v>20.668</v>
      </c>
      <c r="AA161" s="164" t="str">
        <f t="shared" si="359"/>
        <v>1.77</v>
      </c>
      <c r="AB161" s="164">
        <v>96.46</v>
      </c>
      <c r="AC161" s="164" t="str">
        <f t="shared" si="360"/>
        <v>4.80</v>
      </c>
      <c r="AD161" s="165" t="str">
        <f t="shared" si="361"/>
        <v>70.00</v>
      </c>
      <c r="AE161" s="23"/>
      <c r="AF161" s="169" t="str">
        <f t="shared" si="362"/>
        <v>0</v>
      </c>
      <c r="AG161" s="163" t="str">
        <f t="shared" si="363"/>
        <v>-8.74</v>
      </c>
      <c r="AH161" s="170" t="str">
        <f t="shared" si="364"/>
        <v>-4.32%</v>
      </c>
      <c r="AI161" s="26"/>
      <c r="AJ161" s="171" t="str">
        <f t="shared" si="365"/>
        <v>0.00%</v>
      </c>
      <c r="AK161" s="172" t="str">
        <f t="shared" si="366"/>
        <v>0.00</v>
      </c>
      <c r="AL161" s="173" t="str">
        <f t="shared" si="367"/>
        <v>773.10</v>
      </c>
      <c r="AM161" s="174" t="str">
        <f t="shared" si="368"/>
        <v>548.90</v>
      </c>
    </row>
    <row r="162" ht="12.75" customHeight="1">
      <c r="A162" s="26"/>
      <c r="B162" s="190" t="s">
        <v>334</v>
      </c>
      <c r="C162" s="199">
        <v>2.07483179E8</v>
      </c>
      <c r="D162" s="152" t="s">
        <v>335</v>
      </c>
      <c r="E162" s="53" t="s">
        <v>77</v>
      </c>
      <c r="F162" s="154">
        <v>1.0</v>
      </c>
      <c r="G162" s="53"/>
      <c r="H162" s="53" t="str">
        <f t="shared" si="347"/>
        <v>0.00069</v>
      </c>
      <c r="I162" s="53" t="str">
        <f t="shared" si="348"/>
        <v>89</v>
      </c>
      <c r="J162" s="53" t="str">
        <f t="shared" si="349"/>
        <v>0</v>
      </c>
      <c r="K162" s="155" t="str">
        <f t="shared" si="350"/>
        <v>0.00</v>
      </c>
      <c r="L162" s="156" t="str">
        <f t="shared" si="351"/>
        <v>0.00 </v>
      </c>
      <c r="M162" s="132">
        <v>90.0</v>
      </c>
      <c r="N162" s="175">
        <v>185.86</v>
      </c>
      <c r="O162" s="158">
        <v>700.0</v>
      </c>
      <c r="P162" s="159" t="str">
        <f t="shared" si="352"/>
        <v>700.00</v>
      </c>
      <c r="Q162" s="160">
        <v>600.0</v>
      </c>
      <c r="R162" s="161">
        <v>0.26</v>
      </c>
      <c r="S162" s="162" t="str">
        <f t="shared" si="353"/>
        <v>518.00</v>
      </c>
      <c r="T162" s="163" t="str">
        <f t="shared" si="354"/>
        <v>60.00</v>
      </c>
      <c r="U162" s="164" t="str">
        <f t="shared" si="355"/>
        <v>38.73</v>
      </c>
      <c r="V162" s="165" t="str">
        <f t="shared" si="356"/>
        <v>0.00</v>
      </c>
      <c r="W162" s="166">
        <v>0.45</v>
      </c>
      <c r="X162" s="167">
        <v>86.0</v>
      </c>
      <c r="Y162" s="168" t="str">
        <f t="shared" si="357"/>
        <v>227.500</v>
      </c>
      <c r="Z162" s="168" t="str">
        <f t="shared" si="358"/>
        <v>20.668</v>
      </c>
      <c r="AA162" s="164" t="str">
        <f t="shared" si="359"/>
        <v>2.03</v>
      </c>
      <c r="AB162" s="164">
        <v>95.94</v>
      </c>
      <c r="AC162" s="164" t="str">
        <f t="shared" si="360"/>
        <v>4.80</v>
      </c>
      <c r="AD162" s="165" t="str">
        <f t="shared" si="361"/>
        <v>70.00</v>
      </c>
      <c r="AE162" s="23"/>
      <c r="AF162" s="169" t="str">
        <f t="shared" si="362"/>
        <v>0</v>
      </c>
      <c r="AG162" s="163" t="str">
        <f t="shared" si="363"/>
        <v>4.41</v>
      </c>
      <c r="AH162" s="170" t="str">
        <f t="shared" si="364"/>
        <v>2.37%</v>
      </c>
      <c r="AI162" s="26"/>
      <c r="AJ162" s="171" t="str">
        <f t="shared" si="365"/>
        <v>0.00%</v>
      </c>
      <c r="AK162" s="172" t="str">
        <f t="shared" si="366"/>
        <v>0.00</v>
      </c>
      <c r="AL162" s="173" t="str">
        <f t="shared" si="367"/>
        <v>744.21</v>
      </c>
      <c r="AM162" s="174" t="str">
        <f t="shared" si="368"/>
        <v>528.39</v>
      </c>
    </row>
    <row r="163" ht="12.75" customHeight="1">
      <c r="A163" s="26"/>
      <c r="B163" s="190" t="s">
        <v>336</v>
      </c>
      <c r="C163" s="192">
        <v>2.12753217E8</v>
      </c>
      <c r="D163" s="190" t="s">
        <v>337</v>
      </c>
      <c r="E163" s="53" t="s">
        <v>77</v>
      </c>
      <c r="F163" s="154">
        <v>1.0</v>
      </c>
      <c r="G163" s="53"/>
      <c r="H163" s="53" t="str">
        <f t="shared" si="347"/>
        <v>0.00069</v>
      </c>
      <c r="I163" s="53" t="str">
        <f t="shared" si="348"/>
        <v>89</v>
      </c>
      <c r="J163" s="53" t="str">
        <f t="shared" si="349"/>
        <v>0</v>
      </c>
      <c r="K163" s="155" t="str">
        <f t="shared" si="350"/>
        <v>0.00</v>
      </c>
      <c r="L163" s="156" t="str">
        <f t="shared" si="351"/>
        <v>0.00 </v>
      </c>
      <c r="M163" s="132">
        <v>90.0</v>
      </c>
      <c r="N163" s="157">
        <v>175.42</v>
      </c>
      <c r="O163" s="158">
        <v>750.0</v>
      </c>
      <c r="P163" s="159" t="str">
        <f t="shared" ref="P163:P165" si="369">AL163</f>
        <v>720.01</v>
      </c>
      <c r="Q163" s="160"/>
      <c r="R163" s="161">
        <v>0.26</v>
      </c>
      <c r="S163" s="162" t="str">
        <f t="shared" si="353"/>
        <v>555.00</v>
      </c>
      <c r="T163" s="163" t="str">
        <f t="shared" si="354"/>
        <v>60.00</v>
      </c>
      <c r="U163" s="164" t="str">
        <f t="shared" si="355"/>
        <v>41.50</v>
      </c>
      <c r="V163" s="165" t="str">
        <f t="shared" si="356"/>
        <v>0.00</v>
      </c>
      <c r="W163" s="166">
        <v>0.65</v>
      </c>
      <c r="X163" s="167">
        <v>86.0</v>
      </c>
      <c r="Y163" s="168" t="str">
        <f t="shared" si="357"/>
        <v>243.750</v>
      </c>
      <c r="Z163" s="168" t="str">
        <f t="shared" si="358"/>
        <v>22.145</v>
      </c>
      <c r="AA163" s="164" t="str">
        <f t="shared" si="359"/>
        <v>1.46</v>
      </c>
      <c r="AB163" s="164">
        <v>97.09</v>
      </c>
      <c r="AC163" s="164" t="str">
        <f t="shared" si="360"/>
        <v>4.80</v>
      </c>
      <c r="AD163" s="165" t="str">
        <f t="shared" si="361"/>
        <v>75.00</v>
      </c>
      <c r="AE163" s="23"/>
      <c r="AF163" s="169" t="str">
        <f t="shared" si="362"/>
        <v>0</v>
      </c>
      <c r="AG163" s="163" t="str">
        <f t="shared" si="363"/>
        <v>39.94</v>
      </c>
      <c r="AH163" s="170" t="str">
        <f t="shared" si="364"/>
        <v>22.77%</v>
      </c>
      <c r="AI163" s="26"/>
      <c r="AJ163" s="171" t="str">
        <f t="shared" si="365"/>
        <v>0.00%</v>
      </c>
      <c r="AK163" s="172" t="str">
        <f t="shared" si="366"/>
        <v>0.00</v>
      </c>
      <c r="AL163" s="173" t="str">
        <f t="shared" si="367"/>
        <v>720.01</v>
      </c>
      <c r="AM163" s="174" t="str">
        <f t="shared" si="368"/>
        <v>511.20</v>
      </c>
    </row>
    <row r="164" ht="12.75" customHeight="1">
      <c r="A164" s="26"/>
      <c r="B164" s="190" t="s">
        <v>338</v>
      </c>
      <c r="C164" s="192">
        <v>2.12757955E8</v>
      </c>
      <c r="D164" s="152" t="s">
        <v>339</v>
      </c>
      <c r="E164" s="53" t="s">
        <v>77</v>
      </c>
      <c r="F164" s="154">
        <v>1.0</v>
      </c>
      <c r="G164" s="53"/>
      <c r="H164" s="53" t="str">
        <f t="shared" si="347"/>
        <v>0.00069</v>
      </c>
      <c r="I164" s="53" t="str">
        <f t="shared" si="348"/>
        <v>89</v>
      </c>
      <c r="J164" s="53" t="str">
        <f t="shared" si="349"/>
        <v>0</v>
      </c>
      <c r="K164" s="155" t="str">
        <f t="shared" si="350"/>
        <v>0.00</v>
      </c>
      <c r="L164" s="156" t="str">
        <f t="shared" si="351"/>
        <v>0.00 </v>
      </c>
      <c r="M164" s="132">
        <v>90.0</v>
      </c>
      <c r="N164" s="157">
        <v>0.0</v>
      </c>
      <c r="O164" s="158">
        <v>536.1</v>
      </c>
      <c r="P164" s="159" t="str">
        <f t="shared" si="369"/>
        <v>329.99</v>
      </c>
      <c r="Q164" s="160"/>
      <c r="R164" s="161">
        <v>0.26</v>
      </c>
      <c r="S164" s="162" t="str">
        <f t="shared" si="353"/>
        <v>396.71</v>
      </c>
      <c r="T164" s="163" t="str">
        <f t="shared" si="354"/>
        <v>60.00</v>
      </c>
      <c r="U164" s="164" t="str">
        <f t="shared" si="355"/>
        <v>29.66</v>
      </c>
      <c r="V164" s="165" t="str">
        <f t="shared" si="356"/>
        <v>0.00</v>
      </c>
      <c r="W164" s="166">
        <v>0.45</v>
      </c>
      <c r="X164" s="167">
        <v>83.0</v>
      </c>
      <c r="Y164" s="168" t="str">
        <f t="shared" si="357"/>
        <v>174.233</v>
      </c>
      <c r="Z164" s="168" t="str">
        <f t="shared" si="358"/>
        <v>15.829</v>
      </c>
      <c r="AA164" s="164" t="str">
        <f t="shared" si="359"/>
        <v>2.38</v>
      </c>
      <c r="AB164" s="164">
        <v>95.24</v>
      </c>
      <c r="AC164" s="164" t="str">
        <f t="shared" si="360"/>
        <v>4.80</v>
      </c>
      <c r="AD164" s="165" t="str">
        <f t="shared" si="361"/>
        <v>53.61</v>
      </c>
      <c r="AE164" s="23"/>
      <c r="AF164" s="169" t="str">
        <f t="shared" si="362"/>
        <v>0</v>
      </c>
      <c r="AG164" s="163" t="str">
        <f t="shared" si="363"/>
        <v>112.59</v>
      </c>
      <c r="AH164" s="170" t="str">
        <f t="shared" si="364"/>
        <v>#DIV/0!</v>
      </c>
      <c r="AI164" s="26"/>
      <c r="AJ164" s="171" t="str">
        <f t="shared" si="365"/>
        <v>0.00%</v>
      </c>
      <c r="AK164" s="172" t="str">
        <f t="shared" si="366"/>
        <v>0.00</v>
      </c>
      <c r="AL164" s="173" t="str">
        <f t="shared" si="367"/>
        <v>329.99</v>
      </c>
      <c r="AM164" s="174" t="str">
        <f t="shared" si="368"/>
        <v>234.30</v>
      </c>
    </row>
    <row r="165" ht="12.75" customHeight="1">
      <c r="A165" s="26"/>
      <c r="B165" s="190" t="s">
        <v>340</v>
      </c>
      <c r="C165" s="192">
        <v>2.12759865E8</v>
      </c>
      <c r="D165" s="152" t="s">
        <v>341</v>
      </c>
      <c r="E165" s="53" t="s">
        <v>77</v>
      </c>
      <c r="F165" s="154">
        <v>1.0</v>
      </c>
      <c r="G165" s="53"/>
      <c r="H165" s="53" t="str">
        <f t="shared" si="347"/>
        <v>0.00069</v>
      </c>
      <c r="I165" s="53" t="str">
        <f t="shared" si="348"/>
        <v>89</v>
      </c>
      <c r="J165" s="53" t="str">
        <f t="shared" si="349"/>
        <v>0</v>
      </c>
      <c r="K165" s="155" t="str">
        <f t="shared" si="350"/>
        <v>0.00</v>
      </c>
      <c r="L165" s="156" t="str">
        <f t="shared" si="351"/>
        <v>0.00 </v>
      </c>
      <c r="M165" s="132">
        <v>90.0</v>
      </c>
      <c r="N165" s="157">
        <v>0.0</v>
      </c>
      <c r="O165" s="158">
        <v>536.1</v>
      </c>
      <c r="P165" s="159" t="str">
        <f t="shared" si="369"/>
        <v>326.92</v>
      </c>
      <c r="Q165" s="160"/>
      <c r="R165" s="161">
        <v>0.26</v>
      </c>
      <c r="S165" s="162" t="str">
        <f t="shared" si="353"/>
        <v>396.71</v>
      </c>
      <c r="T165" s="163" t="str">
        <f t="shared" si="354"/>
        <v>60.00</v>
      </c>
      <c r="U165" s="164" t="str">
        <f t="shared" si="355"/>
        <v>29.66</v>
      </c>
      <c r="V165" s="165" t="str">
        <f t="shared" si="356"/>
        <v>0.00</v>
      </c>
      <c r="W165" s="166">
        <v>0.45</v>
      </c>
      <c r="X165" s="167">
        <v>83.0</v>
      </c>
      <c r="Y165" s="168" t="str">
        <f t="shared" si="357"/>
        <v>174.233</v>
      </c>
      <c r="Z165" s="168" t="str">
        <f t="shared" si="358"/>
        <v>15.829</v>
      </c>
      <c r="AA165" s="164" t="str">
        <f t="shared" si="359"/>
        <v>0.98</v>
      </c>
      <c r="AB165" s="164">
        <v>98.04</v>
      </c>
      <c r="AC165" s="164" t="str">
        <f t="shared" si="360"/>
        <v>4.80</v>
      </c>
      <c r="AD165" s="165" t="str">
        <f t="shared" si="361"/>
        <v>53.61</v>
      </c>
      <c r="AE165" s="23"/>
      <c r="AF165" s="169" t="str">
        <f t="shared" si="362"/>
        <v>0</v>
      </c>
      <c r="AG165" s="163" t="str">
        <f t="shared" si="363"/>
        <v>113.99</v>
      </c>
      <c r="AH165" s="170" t="str">
        <f t="shared" si="364"/>
        <v>#DIV/0!</v>
      </c>
      <c r="AI165" s="26"/>
      <c r="AJ165" s="171" t="str">
        <f t="shared" si="365"/>
        <v>0.00%</v>
      </c>
      <c r="AK165" s="172" t="str">
        <f t="shared" si="366"/>
        <v>0.00</v>
      </c>
      <c r="AL165" s="173" t="str">
        <f t="shared" si="367"/>
        <v>326.92</v>
      </c>
      <c r="AM165" s="174" t="str">
        <f t="shared" si="368"/>
        <v>232.11</v>
      </c>
    </row>
    <row r="166" ht="12.75" customHeight="1">
      <c r="A166" s="26"/>
      <c r="B166" s="125" t="s">
        <v>342</v>
      </c>
      <c r="C166" s="126"/>
      <c r="D166" s="127"/>
      <c r="E166" s="128"/>
      <c r="F166" s="128"/>
      <c r="G166" s="128"/>
      <c r="H166" s="197"/>
      <c r="I166" s="197"/>
      <c r="J166" s="128"/>
      <c r="K166" s="130"/>
      <c r="L166" s="131"/>
      <c r="M166" s="132"/>
      <c r="N166" s="176"/>
      <c r="O166" s="134"/>
      <c r="P166" s="135"/>
      <c r="Q166" s="135"/>
      <c r="R166" s="136"/>
      <c r="S166" s="137"/>
      <c r="T166" s="177"/>
      <c r="U166" s="178"/>
      <c r="V166" s="179"/>
      <c r="W166" s="180"/>
      <c r="X166" s="181"/>
      <c r="Y166" s="182"/>
      <c r="Z166" s="182"/>
      <c r="AA166" s="178"/>
      <c r="AB166" s="178"/>
      <c r="AC166" s="178"/>
      <c r="AD166" s="179"/>
      <c r="AE166" s="183"/>
      <c r="AF166" s="184"/>
      <c r="AG166" s="177"/>
      <c r="AH166" s="185"/>
      <c r="AI166" s="26"/>
      <c r="AJ166" s="186"/>
      <c r="AK166" s="187"/>
      <c r="AL166" s="188"/>
      <c r="AM166" s="189"/>
    </row>
    <row r="167" ht="18.0" customHeight="1">
      <c r="A167" s="26"/>
      <c r="B167" s="190" t="s">
        <v>343</v>
      </c>
      <c r="C167" s="199">
        <v>2.55574453E8</v>
      </c>
      <c r="D167" s="207" t="s">
        <v>344</v>
      </c>
      <c r="E167" s="53" t="s">
        <v>77</v>
      </c>
      <c r="F167" s="154">
        <v>1.0</v>
      </c>
      <c r="G167" s="53"/>
      <c r="H167" s="53" t="str">
        <f>$I$2</f>
        <v>0.00069</v>
      </c>
      <c r="I167" s="53" t="str">
        <f>$I$3</f>
        <v>89</v>
      </c>
      <c r="J167" s="53" t="str">
        <f>G167*H167*I167*F167</f>
        <v>0</v>
      </c>
      <c r="K167" s="155" t="str">
        <f>J167*$J$4</f>
        <v>0.00</v>
      </c>
      <c r="L167" s="156" t="str">
        <f>K167+J167</f>
        <v>0.00 </v>
      </c>
      <c r="M167" s="132">
        <v>90.0</v>
      </c>
      <c r="N167" s="175">
        <v>334.05</v>
      </c>
      <c r="O167" s="158">
        <v>1200.0</v>
      </c>
      <c r="P167" s="159" t="str">
        <f>O167</f>
        <v>1,200.00</v>
      </c>
      <c r="Q167" s="160">
        <v>1015.0</v>
      </c>
      <c r="R167" s="161">
        <v>0.26</v>
      </c>
      <c r="S167" s="162" t="str">
        <f>O167-(O167*R167)</f>
        <v>888.00</v>
      </c>
      <c r="T167" s="163" t="str">
        <f>$C$1</f>
        <v>60.00</v>
      </c>
      <c r="U167" s="164" t="str">
        <f>(S167*7/107)+((S167-(S167*7/107))*1%)</f>
        <v>66.39</v>
      </c>
      <c r="V167" s="165" t="str">
        <f>N167*$C$3*(M167/30)</f>
        <v>0.00</v>
      </c>
      <c r="W167" s="166">
        <v>1.19</v>
      </c>
      <c r="X167" s="167">
        <v>88.0</v>
      </c>
      <c r="Y167" s="168" t="str">
        <f>O167*$Y$6</f>
        <v>390.000</v>
      </c>
      <c r="Z167" s="168" t="str">
        <f>S167*$Y$7</f>
        <v>35.431</v>
      </c>
      <c r="AA167" s="164" t="str">
        <f>$Y$3*((100-AB167)/100)</f>
        <v>1.50</v>
      </c>
      <c r="AB167" s="164">
        <v>97.0</v>
      </c>
      <c r="AC167" s="164" t="str">
        <f>$C$6*$C$7*_xlfn.CEILING.MATH(W167)</f>
        <v>9.60</v>
      </c>
      <c r="AD167" s="165" t="str">
        <f>O167*$C$2</f>
        <v>120.00</v>
      </c>
      <c r="AE167" s="23"/>
      <c r="AF167" s="169" t="str">
        <f>(_xlfn.CEILING.MATH(W167))*$Y$1*$AD$2</f>
        <v>0</v>
      </c>
      <c r="AG167" s="163" t="str">
        <f>O167-T167-U167-V167-X167-Y167-Z167-AA167-AC167-AD167-N167</f>
        <v>95.03</v>
      </c>
      <c r="AH167" s="170" t="str">
        <f>AG167/N167</f>
        <v>28.45%</v>
      </c>
      <c r="AI167" s="26"/>
      <c r="AJ167" s="171" t="str">
        <f>$AD$3</f>
        <v>0.00%</v>
      </c>
      <c r="AK167" s="172" t="str">
        <f>N167*AJ167</f>
        <v>0.00</v>
      </c>
      <c r="AL167" s="173" t="str">
        <f>(N167+T167+V167+X167+AA167+AC167+AF167+AK167)/(100%-($C$2+$C$8+$Y$6+$Y$7))</f>
        <v>1,083.61</v>
      </c>
      <c r="AM167" s="174" t="str">
        <f>AL167-(AL167*$AD$1)</f>
        <v>769.36</v>
      </c>
    </row>
    <row r="168" ht="12.75" customHeight="1">
      <c r="A168" s="26"/>
      <c r="B168" s="125" t="s">
        <v>345</v>
      </c>
      <c r="C168" s="126"/>
      <c r="D168" s="127"/>
      <c r="E168" s="128"/>
      <c r="F168" s="128"/>
      <c r="G168" s="128"/>
      <c r="H168" s="197"/>
      <c r="I168" s="197"/>
      <c r="J168" s="128"/>
      <c r="K168" s="130"/>
      <c r="L168" s="131"/>
      <c r="M168" s="132"/>
      <c r="N168" s="176"/>
      <c r="O168" s="134"/>
      <c r="P168" s="135"/>
      <c r="Q168" s="135"/>
      <c r="R168" s="136"/>
      <c r="S168" s="137"/>
      <c r="T168" s="177"/>
      <c r="U168" s="178"/>
      <c r="V168" s="179"/>
      <c r="W168" s="180"/>
      <c r="X168" s="181"/>
      <c r="Y168" s="182"/>
      <c r="Z168" s="182"/>
      <c r="AA168" s="178"/>
      <c r="AB168" s="178"/>
      <c r="AC168" s="178"/>
      <c r="AD168" s="179"/>
      <c r="AE168" s="183"/>
      <c r="AF168" s="184"/>
      <c r="AG168" s="177"/>
      <c r="AH168" s="185"/>
      <c r="AI168" s="26"/>
      <c r="AJ168" s="186"/>
      <c r="AK168" s="187"/>
      <c r="AL168" s="188"/>
      <c r="AM168" s="189"/>
    </row>
    <row r="169" ht="12.75" customHeight="1">
      <c r="A169" s="26"/>
      <c r="B169" s="190" t="s">
        <v>346</v>
      </c>
      <c r="C169" s="199">
        <v>2.1288309E8</v>
      </c>
      <c r="D169" s="152" t="s">
        <v>347</v>
      </c>
      <c r="E169" s="53" t="s">
        <v>77</v>
      </c>
      <c r="F169" s="154">
        <v>1.0</v>
      </c>
      <c r="G169" s="53"/>
      <c r="H169" s="53" t="str">
        <f t="shared" ref="H169:H173" si="370">$I$2</f>
        <v>0.00069</v>
      </c>
      <c r="I169" s="53" t="str">
        <f t="shared" ref="I169:I173" si="371">$I$3</f>
        <v>89</v>
      </c>
      <c r="J169" s="53" t="str">
        <f t="shared" ref="J169:J173" si="372">G169*H169*I169*F169</f>
        <v>0</v>
      </c>
      <c r="K169" s="155" t="str">
        <f t="shared" ref="K169:K173" si="373">J169*$J$4</f>
        <v>0.00</v>
      </c>
      <c r="L169" s="156" t="str">
        <f t="shared" ref="L169:L173" si="374">K169+J169</f>
        <v>0.00 </v>
      </c>
      <c r="M169" s="132">
        <v>90.0</v>
      </c>
      <c r="N169" s="175">
        <v>265.36</v>
      </c>
      <c r="O169" s="158">
        <v>1050.0</v>
      </c>
      <c r="P169" s="159" t="str">
        <f t="shared" ref="P169:P172" si="375">O169</f>
        <v>1,050.00</v>
      </c>
      <c r="Q169" s="160">
        <v>700.0</v>
      </c>
      <c r="R169" s="161">
        <v>0.26</v>
      </c>
      <c r="S169" s="162" t="str">
        <f t="shared" ref="S169:S173" si="376">O169-(O169*R169)</f>
        <v>777.00</v>
      </c>
      <c r="T169" s="163" t="str">
        <f t="shared" ref="T169:T173" si="377">$C$1</f>
        <v>60.00</v>
      </c>
      <c r="U169" s="164" t="str">
        <f t="shared" ref="U169:U173" si="378">(S169*7/107)+((S169-(S169*7/107))*1%)</f>
        <v>58.09</v>
      </c>
      <c r="V169" s="165" t="str">
        <f t="shared" ref="V169:V173" si="379">N169*$C$3*(M169/30)</f>
        <v>0.00</v>
      </c>
      <c r="W169" s="166">
        <v>0.93</v>
      </c>
      <c r="X169" s="167" t="str">
        <f>((_xlfn.CEILING.MATH(W169)-1)*$C$5+$C$4)</f>
        <v>76</v>
      </c>
      <c r="Y169" s="168" t="str">
        <f t="shared" ref="Y169:Y173" si="380">O169*$Y$6</f>
        <v>341.250</v>
      </c>
      <c r="Z169" s="168" t="str">
        <f t="shared" ref="Z169:Z173" si="381">S169*$Y$7</f>
        <v>31.002</v>
      </c>
      <c r="AA169" s="164" t="str">
        <f t="shared" ref="AA169:AA173" si="382">$Y$3*((100-AB169)/100)</f>
        <v>0.00</v>
      </c>
      <c r="AB169" s="164">
        <v>100.0</v>
      </c>
      <c r="AC169" s="164" t="str">
        <f t="shared" ref="AC169:AC173" si="383">$C$6*$C$7*_xlfn.CEILING.MATH(W169)</f>
        <v>4.80</v>
      </c>
      <c r="AD169" s="165" t="str">
        <f t="shared" ref="AD169:AD173" si="384">O169*$C$2</f>
        <v>105.00</v>
      </c>
      <c r="AE169" s="23"/>
      <c r="AF169" s="169" t="str">
        <f t="shared" ref="AF169:AF173" si="385">(_xlfn.CEILING.MATH(W169))*$Y$1*$AD$2</f>
        <v>0</v>
      </c>
      <c r="AG169" s="163" t="str">
        <f t="shared" ref="AG169:AG173" si="386">O169-T169-U169-V169-X169-Y169-Z169-AA169-AC169-AD169-N169</f>
        <v>108.49</v>
      </c>
      <c r="AH169" s="170" t="str">
        <f t="shared" ref="AH169:AH173" si="387">AG169/N169</f>
        <v>40.89%</v>
      </c>
      <c r="AI169" s="26"/>
      <c r="AJ169" s="171" t="str">
        <f t="shared" ref="AJ169:AJ173" si="388">$AD$3</f>
        <v>0.00%</v>
      </c>
      <c r="AK169" s="172" t="str">
        <f t="shared" ref="AK169:AK173" si="389">N169*AJ169</f>
        <v>0.00</v>
      </c>
      <c r="AL169" s="173" t="str">
        <f t="shared" ref="AL169:AL173" si="390">(N169+T169+V169+X169+AA169+AC169+AF169+AK169)/(100%-($C$2+$C$8+$Y$6+$Y$7))</f>
        <v>892.46</v>
      </c>
      <c r="AM169" s="174" t="str">
        <f t="shared" ref="AM169:AM173" si="391">AL169-(AL169*$AD$1)</f>
        <v>633.65</v>
      </c>
    </row>
    <row r="170" ht="12.75" customHeight="1">
      <c r="A170" s="26"/>
      <c r="B170" s="190" t="s">
        <v>348</v>
      </c>
      <c r="C170" s="199">
        <v>2.12757456E8</v>
      </c>
      <c r="D170" s="152" t="s">
        <v>349</v>
      </c>
      <c r="E170" s="53" t="s">
        <v>77</v>
      </c>
      <c r="F170" s="154">
        <v>1.0</v>
      </c>
      <c r="G170" s="53"/>
      <c r="H170" s="53" t="str">
        <f t="shared" si="370"/>
        <v>0.00069</v>
      </c>
      <c r="I170" s="53" t="str">
        <f t="shared" si="371"/>
        <v>89</v>
      </c>
      <c r="J170" s="53" t="str">
        <f t="shared" si="372"/>
        <v>0</v>
      </c>
      <c r="K170" s="155" t="str">
        <f t="shared" si="373"/>
        <v>0.00</v>
      </c>
      <c r="L170" s="156" t="str">
        <f t="shared" si="374"/>
        <v>0.00 </v>
      </c>
      <c r="M170" s="132">
        <v>90.0</v>
      </c>
      <c r="N170" s="175">
        <v>265.36</v>
      </c>
      <c r="O170" s="158">
        <v>1050.0</v>
      </c>
      <c r="P170" s="159" t="str">
        <f t="shared" si="375"/>
        <v>1,050.00</v>
      </c>
      <c r="Q170" s="160">
        <v>623.0</v>
      </c>
      <c r="R170" s="161">
        <v>0.26</v>
      </c>
      <c r="S170" s="162" t="str">
        <f t="shared" si="376"/>
        <v>777.00</v>
      </c>
      <c r="T170" s="163" t="str">
        <f t="shared" si="377"/>
        <v>60.00</v>
      </c>
      <c r="U170" s="164" t="str">
        <f t="shared" si="378"/>
        <v>58.09</v>
      </c>
      <c r="V170" s="165" t="str">
        <f t="shared" si="379"/>
        <v>0.00</v>
      </c>
      <c r="W170" s="166">
        <v>0.93</v>
      </c>
      <c r="X170" s="167">
        <v>85.0</v>
      </c>
      <c r="Y170" s="168" t="str">
        <f t="shared" si="380"/>
        <v>341.250</v>
      </c>
      <c r="Z170" s="168" t="str">
        <f t="shared" si="381"/>
        <v>31.002</v>
      </c>
      <c r="AA170" s="164" t="str">
        <f t="shared" si="382"/>
        <v>1.90</v>
      </c>
      <c r="AB170" s="164">
        <v>96.21</v>
      </c>
      <c r="AC170" s="164" t="str">
        <f t="shared" si="383"/>
        <v>4.80</v>
      </c>
      <c r="AD170" s="165" t="str">
        <f t="shared" si="384"/>
        <v>105.00</v>
      </c>
      <c r="AE170" s="23"/>
      <c r="AF170" s="169" t="str">
        <f t="shared" si="385"/>
        <v>0</v>
      </c>
      <c r="AG170" s="163" t="str">
        <f t="shared" si="386"/>
        <v>97.60</v>
      </c>
      <c r="AH170" s="170" t="str">
        <f t="shared" si="387"/>
        <v>36.78%</v>
      </c>
      <c r="AI170" s="26"/>
      <c r="AJ170" s="171" t="str">
        <f t="shared" si="388"/>
        <v>0.00%</v>
      </c>
      <c r="AK170" s="172" t="str">
        <f t="shared" si="389"/>
        <v>0.00</v>
      </c>
      <c r="AL170" s="173" t="str">
        <f t="shared" si="390"/>
        <v>916.40</v>
      </c>
      <c r="AM170" s="174" t="str">
        <f t="shared" si="391"/>
        <v>650.65</v>
      </c>
    </row>
    <row r="171" ht="12.75" customHeight="1">
      <c r="A171" s="26"/>
      <c r="B171" s="190" t="s">
        <v>350</v>
      </c>
      <c r="C171" s="199">
        <v>2.12759698E8</v>
      </c>
      <c r="D171" s="152" t="s">
        <v>351</v>
      </c>
      <c r="E171" s="53" t="s">
        <v>77</v>
      </c>
      <c r="F171" s="154">
        <v>1.0</v>
      </c>
      <c r="G171" s="53"/>
      <c r="H171" s="53" t="str">
        <f t="shared" si="370"/>
        <v>0.00069</v>
      </c>
      <c r="I171" s="53" t="str">
        <f t="shared" si="371"/>
        <v>89</v>
      </c>
      <c r="J171" s="53" t="str">
        <f t="shared" si="372"/>
        <v>0</v>
      </c>
      <c r="K171" s="155" t="str">
        <f t="shared" si="373"/>
        <v>0.00</v>
      </c>
      <c r="L171" s="156" t="str">
        <f t="shared" si="374"/>
        <v>0.00 </v>
      </c>
      <c r="M171" s="132">
        <v>90.0</v>
      </c>
      <c r="N171" s="175">
        <v>265.36</v>
      </c>
      <c r="O171" s="158">
        <v>1050.0</v>
      </c>
      <c r="P171" s="159" t="str">
        <f t="shared" si="375"/>
        <v>1,050.00</v>
      </c>
      <c r="Q171" s="160">
        <v>678.0</v>
      </c>
      <c r="R171" s="161">
        <v>0.26</v>
      </c>
      <c r="S171" s="162" t="str">
        <f t="shared" si="376"/>
        <v>777.00</v>
      </c>
      <c r="T171" s="163" t="str">
        <f t="shared" si="377"/>
        <v>60.00</v>
      </c>
      <c r="U171" s="164" t="str">
        <f t="shared" si="378"/>
        <v>58.09</v>
      </c>
      <c r="V171" s="165" t="str">
        <f t="shared" si="379"/>
        <v>0.00</v>
      </c>
      <c r="W171" s="166">
        <v>0.93</v>
      </c>
      <c r="X171" s="167" t="str">
        <f t="shared" ref="X171:X173" si="392">((_xlfn.CEILING.MATH(W171)-1)*$C$5+$C$4)</f>
        <v>76</v>
      </c>
      <c r="Y171" s="168" t="str">
        <f t="shared" si="380"/>
        <v>341.250</v>
      </c>
      <c r="Z171" s="168" t="str">
        <f t="shared" si="381"/>
        <v>31.002</v>
      </c>
      <c r="AA171" s="164" t="str">
        <f t="shared" si="382"/>
        <v>2.71</v>
      </c>
      <c r="AB171" s="164">
        <v>94.59</v>
      </c>
      <c r="AC171" s="164" t="str">
        <f t="shared" si="383"/>
        <v>4.80</v>
      </c>
      <c r="AD171" s="165" t="str">
        <f t="shared" si="384"/>
        <v>105.00</v>
      </c>
      <c r="AE171" s="23"/>
      <c r="AF171" s="169" t="str">
        <f t="shared" si="385"/>
        <v>0</v>
      </c>
      <c r="AG171" s="163" t="str">
        <f t="shared" si="386"/>
        <v>105.79</v>
      </c>
      <c r="AH171" s="170" t="str">
        <f t="shared" si="387"/>
        <v>39.87%</v>
      </c>
      <c r="AI171" s="26"/>
      <c r="AJ171" s="171" t="str">
        <f t="shared" si="388"/>
        <v>0.00%</v>
      </c>
      <c r="AK171" s="172" t="str">
        <f t="shared" si="389"/>
        <v>0.00</v>
      </c>
      <c r="AL171" s="173" t="str">
        <f t="shared" si="390"/>
        <v>898.41</v>
      </c>
      <c r="AM171" s="174" t="str">
        <f t="shared" si="391"/>
        <v>637.87</v>
      </c>
    </row>
    <row r="172" ht="12.75" customHeight="1">
      <c r="A172" s="26"/>
      <c r="B172" s="190" t="s">
        <v>352</v>
      </c>
      <c r="C172" s="199">
        <v>2.12760119E8</v>
      </c>
      <c r="D172" s="152" t="s">
        <v>353</v>
      </c>
      <c r="E172" s="53" t="s">
        <v>77</v>
      </c>
      <c r="F172" s="154">
        <v>1.0</v>
      </c>
      <c r="G172" s="53"/>
      <c r="H172" s="53" t="str">
        <f t="shared" si="370"/>
        <v>0.00069</v>
      </c>
      <c r="I172" s="53" t="str">
        <f t="shared" si="371"/>
        <v>89</v>
      </c>
      <c r="J172" s="53" t="str">
        <f t="shared" si="372"/>
        <v>0</v>
      </c>
      <c r="K172" s="155" t="str">
        <f t="shared" si="373"/>
        <v>0.00</v>
      </c>
      <c r="L172" s="156" t="str">
        <f t="shared" si="374"/>
        <v>0.00 </v>
      </c>
      <c r="M172" s="132">
        <v>90.0</v>
      </c>
      <c r="N172" s="175">
        <v>265.36</v>
      </c>
      <c r="O172" s="158">
        <v>1050.0</v>
      </c>
      <c r="P172" s="159" t="str">
        <f t="shared" si="375"/>
        <v>1,050.00</v>
      </c>
      <c r="Q172" s="160">
        <v>615.0</v>
      </c>
      <c r="R172" s="161">
        <v>0.26</v>
      </c>
      <c r="S172" s="162" t="str">
        <f t="shared" si="376"/>
        <v>777.00</v>
      </c>
      <c r="T172" s="163" t="str">
        <f t="shared" si="377"/>
        <v>60.00</v>
      </c>
      <c r="U172" s="164" t="str">
        <f t="shared" si="378"/>
        <v>58.09</v>
      </c>
      <c r="V172" s="165" t="str">
        <f t="shared" si="379"/>
        <v>0.00</v>
      </c>
      <c r="W172" s="166">
        <v>0.93</v>
      </c>
      <c r="X172" s="167" t="str">
        <f t="shared" si="392"/>
        <v>76</v>
      </c>
      <c r="Y172" s="168" t="str">
        <f t="shared" si="380"/>
        <v>341.250</v>
      </c>
      <c r="Z172" s="168" t="str">
        <f t="shared" si="381"/>
        <v>31.002</v>
      </c>
      <c r="AA172" s="164" t="str">
        <f t="shared" si="382"/>
        <v>1.01</v>
      </c>
      <c r="AB172" s="164">
        <v>97.98</v>
      </c>
      <c r="AC172" s="164" t="str">
        <f t="shared" si="383"/>
        <v>4.80</v>
      </c>
      <c r="AD172" s="165" t="str">
        <f t="shared" si="384"/>
        <v>105.00</v>
      </c>
      <c r="AE172" s="23"/>
      <c r="AF172" s="169" t="str">
        <f t="shared" si="385"/>
        <v>0</v>
      </c>
      <c r="AG172" s="163" t="str">
        <f t="shared" si="386"/>
        <v>107.48</v>
      </c>
      <c r="AH172" s="170" t="str">
        <f t="shared" si="387"/>
        <v>40.51%</v>
      </c>
      <c r="AI172" s="26"/>
      <c r="AJ172" s="171" t="str">
        <f t="shared" si="388"/>
        <v>0.00%</v>
      </c>
      <c r="AK172" s="172" t="str">
        <f t="shared" si="389"/>
        <v>0.00</v>
      </c>
      <c r="AL172" s="173" t="str">
        <f t="shared" si="390"/>
        <v>894.68</v>
      </c>
      <c r="AM172" s="174" t="str">
        <f t="shared" si="391"/>
        <v>635.22</v>
      </c>
    </row>
    <row r="173" ht="12.75" customHeight="1">
      <c r="A173" s="26"/>
      <c r="B173" s="190" t="s">
        <v>354</v>
      </c>
      <c r="C173" s="208">
        <v>2.12759049E8</v>
      </c>
      <c r="D173" s="152" t="s">
        <v>355</v>
      </c>
      <c r="E173" s="53" t="s">
        <v>77</v>
      </c>
      <c r="F173" s="154">
        <v>1.0</v>
      </c>
      <c r="G173" s="53"/>
      <c r="H173" s="53" t="str">
        <f t="shared" si="370"/>
        <v>0.00069</v>
      </c>
      <c r="I173" s="53" t="str">
        <f t="shared" si="371"/>
        <v>89</v>
      </c>
      <c r="J173" s="53" t="str">
        <f t="shared" si="372"/>
        <v>0</v>
      </c>
      <c r="K173" s="155" t="str">
        <f t="shared" si="373"/>
        <v>0.00</v>
      </c>
      <c r="L173" s="156" t="str">
        <f t="shared" si="374"/>
        <v>0.00 </v>
      </c>
      <c r="M173" s="132">
        <v>90.0</v>
      </c>
      <c r="N173" s="157">
        <v>0.0</v>
      </c>
      <c r="O173" s="158">
        <v>555.6</v>
      </c>
      <c r="P173" s="159" t="str">
        <f>AL173</f>
        <v>314.47</v>
      </c>
      <c r="Q173" s="160"/>
      <c r="R173" s="161">
        <v>0.26</v>
      </c>
      <c r="S173" s="162" t="str">
        <f t="shared" si="376"/>
        <v>411.14</v>
      </c>
      <c r="T173" s="163" t="str">
        <f t="shared" si="377"/>
        <v>60.00</v>
      </c>
      <c r="U173" s="164" t="str">
        <f t="shared" si="378"/>
        <v>30.74</v>
      </c>
      <c r="V173" s="165" t="str">
        <f t="shared" si="379"/>
        <v>0.00</v>
      </c>
      <c r="W173" s="166">
        <v>0.93</v>
      </c>
      <c r="X173" s="167" t="str">
        <f t="shared" si="392"/>
        <v>76</v>
      </c>
      <c r="Y173" s="168" t="str">
        <f t="shared" si="380"/>
        <v>180.570</v>
      </c>
      <c r="Z173" s="168" t="str">
        <f t="shared" si="381"/>
        <v>16.405</v>
      </c>
      <c r="AA173" s="164" t="str">
        <f t="shared" si="382"/>
        <v>2.32</v>
      </c>
      <c r="AB173" s="164">
        <v>95.37</v>
      </c>
      <c r="AC173" s="164" t="str">
        <f t="shared" si="383"/>
        <v>4.80</v>
      </c>
      <c r="AD173" s="165" t="str">
        <f t="shared" si="384"/>
        <v>55.56</v>
      </c>
      <c r="AE173" s="23"/>
      <c r="AF173" s="169" t="str">
        <f t="shared" si="385"/>
        <v>0</v>
      </c>
      <c r="AG173" s="163" t="str">
        <f t="shared" si="386"/>
        <v>129.21</v>
      </c>
      <c r="AH173" s="170" t="str">
        <f t="shared" si="387"/>
        <v>#DIV/0!</v>
      </c>
      <c r="AI173" s="26"/>
      <c r="AJ173" s="171" t="str">
        <f t="shared" si="388"/>
        <v>0.00%</v>
      </c>
      <c r="AK173" s="172" t="str">
        <f t="shared" si="389"/>
        <v>0.00</v>
      </c>
      <c r="AL173" s="173" t="str">
        <f t="shared" si="390"/>
        <v>314.47</v>
      </c>
      <c r="AM173" s="174" t="str">
        <f t="shared" si="391"/>
        <v>223.27</v>
      </c>
    </row>
    <row r="174" ht="12.75" customHeight="1">
      <c r="A174" s="26"/>
      <c r="B174" s="125" t="s">
        <v>356</v>
      </c>
      <c r="C174" s="126"/>
      <c r="D174" s="127"/>
      <c r="E174" s="128"/>
      <c r="F174" s="128"/>
      <c r="G174" s="128"/>
      <c r="H174" s="197"/>
      <c r="I174" s="197"/>
      <c r="J174" s="128"/>
      <c r="K174" s="130"/>
      <c r="L174" s="131"/>
      <c r="M174" s="132"/>
      <c r="N174" s="176"/>
      <c r="O174" s="134"/>
      <c r="P174" s="135"/>
      <c r="Q174" s="135"/>
      <c r="R174" s="136"/>
      <c r="S174" s="137"/>
      <c r="T174" s="177"/>
      <c r="U174" s="178"/>
      <c r="V174" s="179"/>
      <c r="W174" s="180"/>
      <c r="X174" s="181"/>
      <c r="Y174" s="182"/>
      <c r="Z174" s="182"/>
      <c r="AA174" s="178"/>
      <c r="AB174" s="178"/>
      <c r="AC174" s="178"/>
      <c r="AD174" s="179"/>
      <c r="AE174" s="183"/>
      <c r="AF174" s="184"/>
      <c r="AG174" s="177"/>
      <c r="AH174" s="185"/>
      <c r="AI174" s="26"/>
      <c r="AJ174" s="186"/>
      <c r="AK174" s="187"/>
      <c r="AL174" s="188"/>
      <c r="AM174" s="189"/>
    </row>
    <row r="175" ht="12.75" customHeight="1">
      <c r="A175" s="26"/>
      <c r="B175" s="190" t="s">
        <v>357</v>
      </c>
      <c r="C175" s="199">
        <v>2.1271782E8</v>
      </c>
      <c r="D175" s="152" t="s">
        <v>358</v>
      </c>
      <c r="E175" s="53" t="s">
        <v>77</v>
      </c>
      <c r="F175" s="154">
        <v>1.0</v>
      </c>
      <c r="G175" s="53"/>
      <c r="H175" s="53" t="str">
        <f t="shared" ref="H175:H180" si="393">$I$2</f>
        <v>0.00069</v>
      </c>
      <c r="I175" s="53" t="str">
        <f t="shared" ref="I175:I180" si="394">$I$3</f>
        <v>89</v>
      </c>
      <c r="J175" s="53" t="str">
        <f t="shared" ref="J175:J180" si="395">G175*H175*I175*F175</f>
        <v>0</v>
      </c>
      <c r="K175" s="155" t="str">
        <f t="shared" ref="K175:K180" si="396">J175*$J$4</f>
        <v>0.00</v>
      </c>
      <c r="L175" s="156" t="str">
        <f t="shared" ref="L175:L180" si="397">K175+J175</f>
        <v>0.00 </v>
      </c>
      <c r="M175" s="132">
        <v>90.0</v>
      </c>
      <c r="N175" s="157">
        <v>427.75</v>
      </c>
      <c r="O175" s="158">
        <v>1311.0</v>
      </c>
      <c r="P175" s="159" t="str">
        <f t="shared" ref="P175:P177" si="398">O175</f>
        <v>1,311.00</v>
      </c>
      <c r="Q175" s="160">
        <v>1538.5</v>
      </c>
      <c r="R175" s="161">
        <v>0.26</v>
      </c>
      <c r="S175" s="162" t="str">
        <f t="shared" ref="S175:S180" si="399">O175-(O175*R175)</f>
        <v>970.14</v>
      </c>
      <c r="T175" s="163" t="str">
        <f t="shared" ref="T175:T180" si="400">$C$1</f>
        <v>60.00</v>
      </c>
      <c r="U175" s="164" t="str">
        <f t="shared" ref="U175:U180" si="401">(S175*7/107)+((S175-(S175*7/107))*1%)</f>
        <v>72.53</v>
      </c>
      <c r="V175" s="165" t="str">
        <f t="shared" ref="V175:V180" si="402">N175*$C$3*(M175/30)</f>
        <v>0.00</v>
      </c>
      <c r="W175" s="166">
        <v>0.23</v>
      </c>
      <c r="X175" s="167" t="str">
        <f t="shared" ref="X175:X180" si="403">((_xlfn.CEILING.MATH(W175)-1)*$C$5+$C$4)</f>
        <v>76</v>
      </c>
      <c r="Y175" s="168" t="str">
        <f t="shared" ref="Y175:Y180" si="404">O175*$Y$6</f>
        <v>426.075</v>
      </c>
      <c r="Z175" s="168" t="str">
        <f t="shared" ref="Z175:Z180" si="405">S175*$Y$7</f>
        <v>38.709</v>
      </c>
      <c r="AA175" s="164" t="str">
        <f t="shared" ref="AA175:AA180" si="406">$Y$3*((100-AB175)/100)</f>
        <v>3.71</v>
      </c>
      <c r="AB175" s="164">
        <v>92.59</v>
      </c>
      <c r="AC175" s="164" t="str">
        <f t="shared" ref="AC175:AC180" si="407">$C$6*$C$7*_xlfn.CEILING.MATH(W175)</f>
        <v>4.80</v>
      </c>
      <c r="AD175" s="165" t="str">
        <f t="shared" ref="AD175:AD180" si="408">O175*$C$2</f>
        <v>131.10</v>
      </c>
      <c r="AE175" s="23"/>
      <c r="AF175" s="169" t="str">
        <f t="shared" ref="AF175:AF180" si="409">(_xlfn.CEILING.MATH(W175))*$Y$1*$AD$2</f>
        <v>0</v>
      </c>
      <c r="AG175" s="163" t="str">
        <f t="shared" ref="AG175:AG180" si="410">O175-T175-U175-V175-X175-Y175-Z175-AA175-AC175-AD175-N175</f>
        <v>70.33</v>
      </c>
      <c r="AH175" s="170" t="str">
        <f t="shared" ref="AH175:AH180" si="411">AG175/N175</f>
        <v>16.44%</v>
      </c>
      <c r="AI175" s="26"/>
      <c r="AJ175" s="171" t="str">
        <f t="shared" ref="AJ175:AJ180" si="412">$AD$3</f>
        <v>0.00%</v>
      </c>
      <c r="AK175" s="172" t="str">
        <f t="shared" ref="AK175:AK180" si="413">N175*AJ175</f>
        <v>0.00</v>
      </c>
      <c r="AL175" s="173" t="str">
        <f t="shared" ref="AL175:AL180" si="414">(N175+T175+V175+X175+AA175+AC175+AF175+AK175)/(100%-($C$2+$C$8+$Y$6+$Y$7))</f>
        <v>1,257.43</v>
      </c>
      <c r="AM175" s="174" t="str">
        <f t="shared" ref="AM175:AM180" si="415">AL175-(AL175*$AD$1)</f>
        <v>892.77</v>
      </c>
    </row>
    <row r="176" ht="12.75" customHeight="1">
      <c r="A176" s="26"/>
      <c r="B176" s="190" t="s">
        <v>359</v>
      </c>
      <c r="C176" s="199">
        <v>2.12713617E8</v>
      </c>
      <c r="D176" s="152" t="s">
        <v>360</v>
      </c>
      <c r="E176" s="53" t="s">
        <v>77</v>
      </c>
      <c r="F176" s="154">
        <v>1.0</v>
      </c>
      <c r="G176" s="53"/>
      <c r="H176" s="53" t="str">
        <f t="shared" si="393"/>
        <v>0.00069</v>
      </c>
      <c r="I176" s="53" t="str">
        <f t="shared" si="394"/>
        <v>89</v>
      </c>
      <c r="J176" s="53" t="str">
        <f t="shared" si="395"/>
        <v>0</v>
      </c>
      <c r="K176" s="155" t="str">
        <f t="shared" si="396"/>
        <v>0.00</v>
      </c>
      <c r="L176" s="156" t="str">
        <f t="shared" si="397"/>
        <v>0.00 </v>
      </c>
      <c r="M176" s="132">
        <v>90.0</v>
      </c>
      <c r="N176" s="157">
        <v>376.24</v>
      </c>
      <c r="O176" s="158">
        <v>1177.5</v>
      </c>
      <c r="P176" s="159" t="str">
        <f t="shared" si="398"/>
        <v>1,177.50</v>
      </c>
      <c r="Q176" s="160">
        <v>1248.5</v>
      </c>
      <c r="R176" s="161">
        <v>0.26</v>
      </c>
      <c r="S176" s="162" t="str">
        <f t="shared" si="399"/>
        <v>871.35</v>
      </c>
      <c r="T176" s="163" t="str">
        <f t="shared" si="400"/>
        <v>60.00</v>
      </c>
      <c r="U176" s="164" t="str">
        <f t="shared" si="401"/>
        <v>65.15</v>
      </c>
      <c r="V176" s="165" t="str">
        <f t="shared" si="402"/>
        <v>0.00</v>
      </c>
      <c r="W176" s="166">
        <v>0.23</v>
      </c>
      <c r="X176" s="167" t="str">
        <f t="shared" si="403"/>
        <v>76</v>
      </c>
      <c r="Y176" s="168" t="str">
        <f t="shared" si="404"/>
        <v>382.688</v>
      </c>
      <c r="Z176" s="168" t="str">
        <f t="shared" si="405"/>
        <v>34.767</v>
      </c>
      <c r="AA176" s="164" t="str">
        <f t="shared" si="406"/>
        <v>0.96</v>
      </c>
      <c r="AB176" s="164">
        <v>98.08</v>
      </c>
      <c r="AC176" s="164" t="str">
        <f t="shared" si="407"/>
        <v>4.80</v>
      </c>
      <c r="AD176" s="165" t="str">
        <f t="shared" si="408"/>
        <v>117.75</v>
      </c>
      <c r="AE176" s="23"/>
      <c r="AF176" s="169" t="str">
        <f t="shared" si="409"/>
        <v>0</v>
      </c>
      <c r="AG176" s="163" t="str">
        <f t="shared" si="410"/>
        <v>59.15</v>
      </c>
      <c r="AH176" s="170" t="str">
        <f t="shared" si="411"/>
        <v>15.72%</v>
      </c>
      <c r="AI176" s="26"/>
      <c r="AJ176" s="171" t="str">
        <f t="shared" si="412"/>
        <v>0.00%</v>
      </c>
      <c r="AK176" s="172" t="str">
        <f t="shared" si="413"/>
        <v>0.00</v>
      </c>
      <c r="AL176" s="173" t="str">
        <f t="shared" si="414"/>
        <v>1,138.21</v>
      </c>
      <c r="AM176" s="174" t="str">
        <f t="shared" si="415"/>
        <v>808.13</v>
      </c>
    </row>
    <row r="177" ht="12.75" customHeight="1">
      <c r="A177" s="26"/>
      <c r="B177" s="190" t="s">
        <v>361</v>
      </c>
      <c r="C177" s="199">
        <v>2.12713941E8</v>
      </c>
      <c r="D177" s="152" t="s">
        <v>362</v>
      </c>
      <c r="E177" s="53" t="s">
        <v>77</v>
      </c>
      <c r="F177" s="154">
        <v>1.0</v>
      </c>
      <c r="G177" s="53"/>
      <c r="H177" s="53" t="str">
        <f t="shared" si="393"/>
        <v>0.00069</v>
      </c>
      <c r="I177" s="53" t="str">
        <f t="shared" si="394"/>
        <v>89</v>
      </c>
      <c r="J177" s="53" t="str">
        <f t="shared" si="395"/>
        <v>0</v>
      </c>
      <c r="K177" s="155" t="str">
        <f t="shared" si="396"/>
        <v>0.00</v>
      </c>
      <c r="L177" s="156" t="str">
        <f t="shared" si="397"/>
        <v>0.00 </v>
      </c>
      <c r="M177" s="132">
        <v>90.0</v>
      </c>
      <c r="N177" s="157">
        <v>376.24</v>
      </c>
      <c r="O177" s="158">
        <v>1179.0</v>
      </c>
      <c r="P177" s="159" t="str">
        <f t="shared" si="398"/>
        <v>1,179.00</v>
      </c>
      <c r="Q177" s="160">
        <v>1429.33</v>
      </c>
      <c r="R177" s="161">
        <v>0.26</v>
      </c>
      <c r="S177" s="162" t="str">
        <f t="shared" si="399"/>
        <v>872.46</v>
      </c>
      <c r="T177" s="163" t="str">
        <f t="shared" si="400"/>
        <v>60.00</v>
      </c>
      <c r="U177" s="164" t="str">
        <f t="shared" si="401"/>
        <v>65.23</v>
      </c>
      <c r="V177" s="165" t="str">
        <f t="shared" si="402"/>
        <v>0.00</v>
      </c>
      <c r="W177" s="166">
        <v>0.23</v>
      </c>
      <c r="X177" s="167" t="str">
        <f t="shared" si="403"/>
        <v>76</v>
      </c>
      <c r="Y177" s="168" t="str">
        <f t="shared" si="404"/>
        <v>383.175</v>
      </c>
      <c r="Z177" s="168" t="str">
        <f t="shared" si="405"/>
        <v>34.811</v>
      </c>
      <c r="AA177" s="164" t="str">
        <f t="shared" si="406"/>
        <v>2.18</v>
      </c>
      <c r="AB177" s="164">
        <v>95.65</v>
      </c>
      <c r="AC177" s="164" t="str">
        <f t="shared" si="407"/>
        <v>4.80</v>
      </c>
      <c r="AD177" s="165" t="str">
        <f t="shared" si="408"/>
        <v>117.90</v>
      </c>
      <c r="AE177" s="23"/>
      <c r="AF177" s="169" t="str">
        <f t="shared" si="409"/>
        <v>0</v>
      </c>
      <c r="AG177" s="163" t="str">
        <f t="shared" si="410"/>
        <v>58.67</v>
      </c>
      <c r="AH177" s="170" t="str">
        <f t="shared" si="411"/>
        <v>15.59%</v>
      </c>
      <c r="AI177" s="26"/>
      <c r="AJ177" s="171" t="str">
        <f t="shared" si="412"/>
        <v>0.00%</v>
      </c>
      <c r="AK177" s="172" t="str">
        <f t="shared" si="413"/>
        <v>0.00</v>
      </c>
      <c r="AL177" s="173" t="str">
        <f t="shared" si="414"/>
        <v>1,140.88</v>
      </c>
      <c r="AM177" s="174" t="str">
        <f t="shared" si="415"/>
        <v>810.03</v>
      </c>
    </row>
    <row r="178" ht="12.75" customHeight="1">
      <c r="A178" s="26"/>
      <c r="B178" s="190" t="s">
        <v>363</v>
      </c>
      <c r="C178" s="192">
        <v>2.12714292E8</v>
      </c>
      <c r="D178" s="152" t="s">
        <v>364</v>
      </c>
      <c r="E178" s="53" t="s">
        <v>77</v>
      </c>
      <c r="F178" s="154">
        <v>1.0</v>
      </c>
      <c r="G178" s="53"/>
      <c r="H178" s="53" t="str">
        <f t="shared" si="393"/>
        <v>0.00069</v>
      </c>
      <c r="I178" s="53" t="str">
        <f t="shared" si="394"/>
        <v>89</v>
      </c>
      <c r="J178" s="53" t="str">
        <f t="shared" si="395"/>
        <v>0</v>
      </c>
      <c r="K178" s="155" t="str">
        <f t="shared" si="396"/>
        <v>0.00</v>
      </c>
      <c r="L178" s="156" t="str">
        <f t="shared" si="397"/>
        <v>0.00 </v>
      </c>
      <c r="M178" s="132">
        <v>90.0</v>
      </c>
      <c r="N178" s="157">
        <v>0.0</v>
      </c>
      <c r="O178" s="158">
        <v>1052.1</v>
      </c>
      <c r="P178" s="159" t="str">
        <f t="shared" ref="P178:P180" si="416">AL178</f>
        <v>313.45</v>
      </c>
      <c r="Q178" s="160"/>
      <c r="R178" s="161">
        <v>0.26</v>
      </c>
      <c r="S178" s="162" t="str">
        <f t="shared" si="399"/>
        <v>778.55</v>
      </c>
      <c r="T178" s="163" t="str">
        <f t="shared" si="400"/>
        <v>60.00</v>
      </c>
      <c r="U178" s="164" t="str">
        <f t="shared" si="401"/>
        <v>58.21</v>
      </c>
      <c r="V178" s="165" t="str">
        <f t="shared" si="402"/>
        <v>0.00</v>
      </c>
      <c r="W178" s="166">
        <v>0.23</v>
      </c>
      <c r="X178" s="167" t="str">
        <f t="shared" si="403"/>
        <v>76</v>
      </c>
      <c r="Y178" s="168" t="str">
        <f t="shared" si="404"/>
        <v>341.933</v>
      </c>
      <c r="Z178" s="168" t="str">
        <f t="shared" si="405"/>
        <v>31.064</v>
      </c>
      <c r="AA178" s="164" t="str">
        <f t="shared" si="406"/>
        <v>1.85</v>
      </c>
      <c r="AB178" s="164">
        <v>96.3</v>
      </c>
      <c r="AC178" s="164" t="str">
        <f t="shared" si="407"/>
        <v>4.80</v>
      </c>
      <c r="AD178" s="165" t="str">
        <f t="shared" si="408"/>
        <v>105.21</v>
      </c>
      <c r="AE178" s="23"/>
      <c r="AF178" s="169" t="str">
        <f t="shared" si="409"/>
        <v>0</v>
      </c>
      <c r="AG178" s="163" t="str">
        <f t="shared" si="410"/>
        <v>373.03</v>
      </c>
      <c r="AH178" s="170" t="str">
        <f t="shared" si="411"/>
        <v>#DIV/0!</v>
      </c>
      <c r="AI178" s="26"/>
      <c r="AJ178" s="171" t="str">
        <f t="shared" si="412"/>
        <v>0.00%</v>
      </c>
      <c r="AK178" s="172" t="str">
        <f t="shared" si="413"/>
        <v>0.00</v>
      </c>
      <c r="AL178" s="173" t="str">
        <f t="shared" si="414"/>
        <v>313.45</v>
      </c>
      <c r="AM178" s="174" t="str">
        <f t="shared" si="415"/>
        <v>222.55</v>
      </c>
    </row>
    <row r="179" ht="12.75" customHeight="1">
      <c r="A179" s="26"/>
      <c r="B179" s="190" t="s">
        <v>365</v>
      </c>
      <c r="C179" s="192">
        <v>2.12715047E8</v>
      </c>
      <c r="D179" s="152" t="s">
        <v>366</v>
      </c>
      <c r="E179" s="53" t="s">
        <v>77</v>
      </c>
      <c r="F179" s="154">
        <v>1.0</v>
      </c>
      <c r="G179" s="53"/>
      <c r="H179" s="53" t="str">
        <f t="shared" si="393"/>
        <v>0.00069</v>
      </c>
      <c r="I179" s="53" t="str">
        <f t="shared" si="394"/>
        <v>89</v>
      </c>
      <c r="J179" s="53" t="str">
        <f t="shared" si="395"/>
        <v>0</v>
      </c>
      <c r="K179" s="155" t="str">
        <f t="shared" si="396"/>
        <v>0.00</v>
      </c>
      <c r="L179" s="156" t="str">
        <f t="shared" si="397"/>
        <v>0.00 </v>
      </c>
      <c r="M179" s="132">
        <v>90.0</v>
      </c>
      <c r="N179" s="157">
        <v>0.0</v>
      </c>
      <c r="O179" s="158">
        <v>1060.8</v>
      </c>
      <c r="P179" s="159" t="str">
        <f t="shared" si="416"/>
        <v>313.61</v>
      </c>
      <c r="Q179" s="160"/>
      <c r="R179" s="161">
        <v>0.26</v>
      </c>
      <c r="S179" s="162" t="str">
        <f t="shared" si="399"/>
        <v>784.99</v>
      </c>
      <c r="T179" s="163" t="str">
        <f t="shared" si="400"/>
        <v>60.00</v>
      </c>
      <c r="U179" s="164" t="str">
        <f t="shared" si="401"/>
        <v>58.69</v>
      </c>
      <c r="V179" s="165" t="str">
        <f t="shared" si="402"/>
        <v>0.00</v>
      </c>
      <c r="W179" s="166">
        <v>0.23</v>
      </c>
      <c r="X179" s="167" t="str">
        <f t="shared" si="403"/>
        <v>76</v>
      </c>
      <c r="Y179" s="168" t="str">
        <f t="shared" si="404"/>
        <v>344.760</v>
      </c>
      <c r="Z179" s="168" t="str">
        <f t="shared" si="405"/>
        <v>31.321</v>
      </c>
      <c r="AA179" s="164" t="str">
        <f t="shared" si="406"/>
        <v>1.93</v>
      </c>
      <c r="AB179" s="164">
        <v>96.15</v>
      </c>
      <c r="AC179" s="164" t="str">
        <f t="shared" si="407"/>
        <v>4.80</v>
      </c>
      <c r="AD179" s="165" t="str">
        <f t="shared" si="408"/>
        <v>106.08</v>
      </c>
      <c r="AE179" s="23"/>
      <c r="AF179" s="169" t="str">
        <f t="shared" si="409"/>
        <v>0</v>
      </c>
      <c r="AG179" s="163" t="str">
        <f t="shared" si="410"/>
        <v>377.22</v>
      </c>
      <c r="AH179" s="170" t="str">
        <f t="shared" si="411"/>
        <v>#DIV/0!</v>
      </c>
      <c r="AI179" s="26"/>
      <c r="AJ179" s="171" t="str">
        <f t="shared" si="412"/>
        <v>0.00%</v>
      </c>
      <c r="AK179" s="172" t="str">
        <f t="shared" si="413"/>
        <v>0.00</v>
      </c>
      <c r="AL179" s="173" t="str">
        <f t="shared" si="414"/>
        <v>313.61</v>
      </c>
      <c r="AM179" s="174" t="str">
        <f t="shared" si="415"/>
        <v>222.66</v>
      </c>
    </row>
    <row r="180" ht="12.75" customHeight="1">
      <c r="A180" s="26"/>
      <c r="B180" s="190" t="s">
        <v>367</v>
      </c>
      <c r="C180" s="192">
        <v>2.12718108E8</v>
      </c>
      <c r="D180" s="152" t="s">
        <v>368</v>
      </c>
      <c r="E180" s="53" t="s">
        <v>77</v>
      </c>
      <c r="F180" s="154">
        <v>1.0</v>
      </c>
      <c r="G180" s="53"/>
      <c r="H180" s="53" t="str">
        <f t="shared" si="393"/>
        <v>0.00069</v>
      </c>
      <c r="I180" s="53" t="str">
        <f t="shared" si="394"/>
        <v>89</v>
      </c>
      <c r="J180" s="53" t="str">
        <f t="shared" si="395"/>
        <v>0</v>
      </c>
      <c r="K180" s="155" t="str">
        <f t="shared" si="396"/>
        <v>0.00</v>
      </c>
      <c r="L180" s="156" t="str">
        <f t="shared" si="397"/>
        <v>0.00 </v>
      </c>
      <c r="M180" s="132">
        <v>90.0</v>
      </c>
      <c r="N180" s="157">
        <v>0.0</v>
      </c>
      <c r="O180" s="158">
        <v>1067.7</v>
      </c>
      <c r="P180" s="159" t="str">
        <f t="shared" si="416"/>
        <v>311.88</v>
      </c>
      <c r="Q180" s="160"/>
      <c r="R180" s="161">
        <v>0.26</v>
      </c>
      <c r="S180" s="162" t="str">
        <f t="shared" si="399"/>
        <v>790.10</v>
      </c>
      <c r="T180" s="163" t="str">
        <f t="shared" si="400"/>
        <v>60.00</v>
      </c>
      <c r="U180" s="164" t="str">
        <f t="shared" si="401"/>
        <v>59.07</v>
      </c>
      <c r="V180" s="165" t="str">
        <f t="shared" si="402"/>
        <v>0.00</v>
      </c>
      <c r="W180" s="166">
        <v>0.23</v>
      </c>
      <c r="X180" s="167" t="str">
        <f t="shared" si="403"/>
        <v>76</v>
      </c>
      <c r="Y180" s="168" t="str">
        <f t="shared" si="404"/>
        <v>347.003</v>
      </c>
      <c r="Z180" s="168" t="str">
        <f t="shared" si="405"/>
        <v>31.525</v>
      </c>
      <c r="AA180" s="164" t="str">
        <f t="shared" si="406"/>
        <v>1.14</v>
      </c>
      <c r="AB180" s="164">
        <v>97.73</v>
      </c>
      <c r="AC180" s="164" t="str">
        <f t="shared" si="407"/>
        <v>4.80</v>
      </c>
      <c r="AD180" s="165" t="str">
        <f t="shared" si="408"/>
        <v>106.77</v>
      </c>
      <c r="AE180" s="23"/>
      <c r="AF180" s="169" t="str">
        <f t="shared" si="409"/>
        <v>0</v>
      </c>
      <c r="AG180" s="163" t="str">
        <f t="shared" si="410"/>
        <v>381.39</v>
      </c>
      <c r="AH180" s="170" t="str">
        <f t="shared" si="411"/>
        <v>#DIV/0!</v>
      </c>
      <c r="AI180" s="26"/>
      <c r="AJ180" s="171" t="str">
        <f t="shared" si="412"/>
        <v>0.00%</v>
      </c>
      <c r="AK180" s="172" t="str">
        <f t="shared" si="413"/>
        <v>0.00</v>
      </c>
      <c r="AL180" s="173" t="str">
        <f t="shared" si="414"/>
        <v>311.88</v>
      </c>
      <c r="AM180" s="174" t="str">
        <f t="shared" si="415"/>
        <v>221.43</v>
      </c>
    </row>
    <row r="181" ht="12.75" customHeight="1">
      <c r="A181" s="26"/>
      <c r="B181" s="125" t="s">
        <v>369</v>
      </c>
      <c r="C181" s="126"/>
      <c r="D181" s="209"/>
      <c r="E181" s="128"/>
      <c r="F181" s="128"/>
      <c r="G181" s="128"/>
      <c r="H181" s="197"/>
      <c r="I181" s="197"/>
      <c r="J181" s="128"/>
      <c r="K181" s="130"/>
      <c r="L181" s="131"/>
      <c r="M181" s="132"/>
      <c r="N181" s="176"/>
      <c r="O181" s="134"/>
      <c r="P181" s="135"/>
      <c r="Q181" s="135"/>
      <c r="R181" s="136"/>
      <c r="S181" s="137"/>
      <c r="T181" s="177"/>
      <c r="U181" s="178"/>
      <c r="V181" s="179"/>
      <c r="W181" s="180"/>
      <c r="X181" s="181"/>
      <c r="Y181" s="182"/>
      <c r="Z181" s="182"/>
      <c r="AA181" s="178"/>
      <c r="AB181" s="178"/>
      <c r="AC181" s="178"/>
      <c r="AD181" s="179"/>
      <c r="AE181" s="183"/>
      <c r="AF181" s="184"/>
      <c r="AG181" s="177"/>
      <c r="AH181" s="185"/>
      <c r="AI181" s="26"/>
      <c r="AJ181" s="186"/>
      <c r="AK181" s="187"/>
      <c r="AL181" s="188"/>
      <c r="AM181" s="189"/>
    </row>
    <row r="182" ht="12.75" customHeight="1">
      <c r="A182" s="26"/>
      <c r="B182" s="190" t="s">
        <v>370</v>
      </c>
      <c r="C182" s="199">
        <v>2.14977901E8</v>
      </c>
      <c r="D182" s="210" t="s">
        <v>371</v>
      </c>
      <c r="E182" s="211" t="s">
        <v>372</v>
      </c>
      <c r="F182" s="154">
        <v>1.0</v>
      </c>
      <c r="G182" s="211"/>
      <c r="H182" s="53" t="str">
        <f t="shared" ref="H182:H184" si="417">$I$2</f>
        <v>0.00069</v>
      </c>
      <c r="I182" s="53" t="str">
        <f t="shared" ref="I182:I184" si="418">$I$3</f>
        <v>89</v>
      </c>
      <c r="J182" s="53" t="str">
        <f t="shared" ref="J182:J184" si="419">G182*H182*I182*F182</f>
        <v>0</v>
      </c>
      <c r="K182" s="155" t="str">
        <f t="shared" ref="K182:K184" si="420">J182*$J$4</f>
        <v>0.00</v>
      </c>
      <c r="L182" s="156" t="str">
        <f t="shared" ref="L182:L184" si="421">K182+J182</f>
        <v>0.00 </v>
      </c>
      <c r="M182" s="132">
        <v>90.0</v>
      </c>
      <c r="N182" s="175">
        <v>463.2</v>
      </c>
      <c r="O182" s="158">
        <v>1500.0</v>
      </c>
      <c r="P182" s="159" t="str">
        <f>O182</f>
        <v>1,500.00</v>
      </c>
      <c r="Q182" s="160">
        <v>1108.0</v>
      </c>
      <c r="R182" s="161">
        <v>0.26</v>
      </c>
      <c r="S182" s="162" t="str">
        <f t="shared" ref="S182:S184" si="422">O182-(O182*R182)</f>
        <v>1,110.00</v>
      </c>
      <c r="T182" s="163" t="str">
        <f t="shared" ref="T182:T184" si="423">$C$1</f>
        <v>60.00</v>
      </c>
      <c r="U182" s="164" t="str">
        <f t="shared" ref="U182:U184" si="424">(S182*7/107)+((S182-(S182*7/107))*1%)</f>
        <v>82.99</v>
      </c>
      <c r="V182" s="165" t="str">
        <f t="shared" ref="V182:V184" si="425">N182*$C$3*(M182/30)</f>
        <v>0.00</v>
      </c>
      <c r="W182" s="166">
        <v>1.43</v>
      </c>
      <c r="X182" s="167" t="str">
        <f t="shared" ref="X182:X184" si="426">((_xlfn.CEILING.MATH(W182)-1)*$C$5+$C$4)</f>
        <v>95</v>
      </c>
      <c r="Y182" s="168" t="str">
        <f t="shared" ref="Y182:Y184" si="427">O182*$Y$6</f>
        <v>487.500</v>
      </c>
      <c r="Z182" s="168" t="str">
        <f t="shared" ref="Z182:Z184" si="428">S182*$Y$7</f>
        <v>44.289</v>
      </c>
      <c r="AA182" s="164" t="str">
        <f t="shared" ref="AA182:AA184" si="429">$Y$3*((100-AB182)/100)</f>
        <v>2.36</v>
      </c>
      <c r="AB182" s="164">
        <v>95.28</v>
      </c>
      <c r="AC182" s="164" t="str">
        <f t="shared" ref="AC182:AC184" si="430">$C$6*$C$7*_xlfn.CEILING.MATH(W182)</f>
        <v>9.60</v>
      </c>
      <c r="AD182" s="165" t="str">
        <f t="shared" ref="AD182:AD184" si="431">O182*$C$2</f>
        <v>150.00</v>
      </c>
      <c r="AE182" s="23"/>
      <c r="AF182" s="169" t="str">
        <f t="shared" ref="AF182:AF184" si="432">(_xlfn.CEILING.MATH(W182))*$Y$1*$AD$2</f>
        <v>0</v>
      </c>
      <c r="AG182" s="163" t="str">
        <f t="shared" ref="AG182:AG184" si="433">O182-T182-U182-V182-X182-Y182-Z182-AA182-AC182-AD182-N182</f>
        <v>105.06</v>
      </c>
      <c r="AH182" s="170" t="str">
        <f t="shared" ref="AH182:AH184" si="434">AG182/N182</f>
        <v>22.68%</v>
      </c>
      <c r="AI182" s="26"/>
      <c r="AJ182" s="171" t="str">
        <f t="shared" ref="AJ182:AJ184" si="435">$AD$3</f>
        <v>0.00%</v>
      </c>
      <c r="AK182" s="172" t="str">
        <f t="shared" ref="AK182:AK184" si="436">N182*AJ182</f>
        <v>0.00</v>
      </c>
      <c r="AL182" s="173" t="str">
        <f t="shared" ref="AL182:AL184" si="437">(N182+T182+V182+X182+AA182+AC182+AF182+AK182)/(100%-($C$2+$C$8+$Y$6+$Y$7))</f>
        <v>1,384.66</v>
      </c>
      <c r="AM182" s="174" t="str">
        <f t="shared" ref="AM182:AM184" si="438">AL182-(AL182*$AD$1)</f>
        <v>983.11</v>
      </c>
    </row>
    <row r="183" ht="12.75" customHeight="1">
      <c r="A183" s="26"/>
      <c r="B183" s="190" t="s">
        <v>370</v>
      </c>
      <c r="C183" s="192">
        <v>2.76234188E8</v>
      </c>
      <c r="D183" s="210" t="s">
        <v>373</v>
      </c>
      <c r="E183" s="211" t="s">
        <v>372</v>
      </c>
      <c r="F183" s="154">
        <v>1.0</v>
      </c>
      <c r="G183" s="211"/>
      <c r="H183" s="53" t="str">
        <f t="shared" si="417"/>
        <v>0.00069</v>
      </c>
      <c r="I183" s="53" t="str">
        <f t="shared" si="418"/>
        <v>89</v>
      </c>
      <c r="J183" s="53" t="str">
        <f t="shared" si="419"/>
        <v>0</v>
      </c>
      <c r="K183" s="155" t="str">
        <f t="shared" si="420"/>
        <v>0.00</v>
      </c>
      <c r="L183" s="156" t="str">
        <f t="shared" si="421"/>
        <v>0.00 </v>
      </c>
      <c r="M183" s="132">
        <v>90.0</v>
      </c>
      <c r="N183" s="157">
        <v>0.0</v>
      </c>
      <c r="O183" s="158">
        <v>725.7</v>
      </c>
      <c r="P183" s="159" t="str">
        <f t="shared" ref="P183:P184" si="439">AL183</f>
        <v>313.96</v>
      </c>
      <c r="Q183" s="160"/>
      <c r="R183" s="161">
        <v>0.26</v>
      </c>
      <c r="S183" s="162" t="str">
        <f t="shared" si="422"/>
        <v>537.02</v>
      </c>
      <c r="T183" s="163" t="str">
        <f t="shared" si="423"/>
        <v>60.00</v>
      </c>
      <c r="U183" s="164" t="str">
        <f t="shared" si="424"/>
        <v>40.15</v>
      </c>
      <c r="V183" s="165" t="str">
        <f t="shared" si="425"/>
        <v>0.00</v>
      </c>
      <c r="W183" s="166">
        <v>0.99</v>
      </c>
      <c r="X183" s="167" t="str">
        <f t="shared" si="426"/>
        <v>76</v>
      </c>
      <c r="Y183" s="168" t="str">
        <f t="shared" si="427"/>
        <v>235.853</v>
      </c>
      <c r="Z183" s="168" t="str">
        <f t="shared" si="428"/>
        <v>21.427</v>
      </c>
      <c r="AA183" s="164" t="str">
        <f t="shared" si="429"/>
        <v>2.09</v>
      </c>
      <c r="AB183" s="164">
        <v>95.83</v>
      </c>
      <c r="AC183" s="164" t="str">
        <f t="shared" si="430"/>
        <v>4.80</v>
      </c>
      <c r="AD183" s="165" t="str">
        <f t="shared" si="431"/>
        <v>72.57</v>
      </c>
      <c r="AE183" s="23"/>
      <c r="AF183" s="169" t="str">
        <f t="shared" si="432"/>
        <v>0</v>
      </c>
      <c r="AG183" s="163" t="str">
        <f t="shared" si="433"/>
        <v>212.81</v>
      </c>
      <c r="AH183" s="170" t="str">
        <f t="shared" si="434"/>
        <v>#DIV/0!</v>
      </c>
      <c r="AI183" s="26"/>
      <c r="AJ183" s="171" t="str">
        <f t="shared" si="435"/>
        <v>0.00%</v>
      </c>
      <c r="AK183" s="172" t="str">
        <f t="shared" si="436"/>
        <v>0.00</v>
      </c>
      <c r="AL183" s="173" t="str">
        <f t="shared" si="437"/>
        <v>313.96</v>
      </c>
      <c r="AM183" s="174" t="str">
        <f t="shared" si="438"/>
        <v>222.91</v>
      </c>
    </row>
    <row r="184" ht="12.75" customHeight="1">
      <c r="A184" s="26"/>
      <c r="B184" s="190" t="s">
        <v>370</v>
      </c>
      <c r="C184" s="192">
        <v>2.76234187E8</v>
      </c>
      <c r="D184" s="210" t="s">
        <v>374</v>
      </c>
      <c r="E184" s="211" t="s">
        <v>372</v>
      </c>
      <c r="F184" s="154">
        <v>1.0</v>
      </c>
      <c r="G184" s="211"/>
      <c r="H184" s="53" t="str">
        <f t="shared" si="417"/>
        <v>0.00069</v>
      </c>
      <c r="I184" s="53" t="str">
        <f t="shared" si="418"/>
        <v>89</v>
      </c>
      <c r="J184" s="53" t="str">
        <f t="shared" si="419"/>
        <v>0</v>
      </c>
      <c r="K184" s="155" t="str">
        <f t="shared" si="420"/>
        <v>0.00</v>
      </c>
      <c r="L184" s="156" t="str">
        <f t="shared" si="421"/>
        <v>0.00 </v>
      </c>
      <c r="M184" s="132">
        <v>90.0</v>
      </c>
      <c r="N184" s="157">
        <v>0.0</v>
      </c>
      <c r="O184" s="158">
        <v>595.8</v>
      </c>
      <c r="P184" s="159" t="str">
        <f t="shared" si="439"/>
        <v>309.38</v>
      </c>
      <c r="Q184" s="160"/>
      <c r="R184" s="161">
        <v>0.26</v>
      </c>
      <c r="S184" s="162" t="str">
        <f t="shared" si="422"/>
        <v>440.89</v>
      </c>
      <c r="T184" s="163" t="str">
        <f t="shared" si="423"/>
        <v>60.00</v>
      </c>
      <c r="U184" s="164" t="str">
        <f t="shared" si="424"/>
        <v>32.96</v>
      </c>
      <c r="V184" s="165" t="str">
        <f t="shared" si="425"/>
        <v>0.00</v>
      </c>
      <c r="W184" s="166">
        <v>0.66</v>
      </c>
      <c r="X184" s="167" t="str">
        <f t="shared" si="426"/>
        <v>76</v>
      </c>
      <c r="Y184" s="168" t="str">
        <f t="shared" si="427"/>
        <v>193.635</v>
      </c>
      <c r="Z184" s="168" t="str">
        <f t="shared" si="428"/>
        <v>17.592</v>
      </c>
      <c r="AA184" s="164" t="str">
        <f t="shared" si="429"/>
        <v>0.00</v>
      </c>
      <c r="AB184" s="164">
        <v>100.0</v>
      </c>
      <c r="AC184" s="164" t="str">
        <f t="shared" si="430"/>
        <v>4.80</v>
      </c>
      <c r="AD184" s="165" t="str">
        <f t="shared" si="431"/>
        <v>59.58</v>
      </c>
      <c r="AE184" s="23"/>
      <c r="AF184" s="169" t="str">
        <f t="shared" si="432"/>
        <v>0</v>
      </c>
      <c r="AG184" s="163" t="str">
        <f t="shared" si="433"/>
        <v>151.23</v>
      </c>
      <c r="AH184" s="170" t="str">
        <f t="shared" si="434"/>
        <v>#DIV/0!</v>
      </c>
      <c r="AI184" s="26"/>
      <c r="AJ184" s="171" t="str">
        <f t="shared" si="435"/>
        <v>0.00%</v>
      </c>
      <c r="AK184" s="172" t="str">
        <f t="shared" si="436"/>
        <v>0.00</v>
      </c>
      <c r="AL184" s="173" t="str">
        <f t="shared" si="437"/>
        <v>309.38</v>
      </c>
      <c r="AM184" s="174" t="str">
        <f t="shared" si="438"/>
        <v>219.66</v>
      </c>
    </row>
    <row r="185" ht="12.75" customHeight="1">
      <c r="A185" s="26"/>
      <c r="B185" s="125" t="s">
        <v>375</v>
      </c>
      <c r="C185" s="126"/>
      <c r="D185" s="127"/>
      <c r="E185" s="128"/>
      <c r="F185" s="128"/>
      <c r="G185" s="128"/>
      <c r="H185" s="197"/>
      <c r="I185" s="197"/>
      <c r="J185" s="128"/>
      <c r="K185" s="130"/>
      <c r="L185" s="131"/>
      <c r="M185" s="132"/>
      <c r="N185" s="176"/>
      <c r="O185" s="134"/>
      <c r="P185" s="135"/>
      <c r="Q185" s="135"/>
      <c r="R185" s="136"/>
      <c r="S185" s="137"/>
      <c r="T185" s="177"/>
      <c r="U185" s="178"/>
      <c r="V185" s="179"/>
      <c r="W185" s="180"/>
      <c r="X185" s="181"/>
      <c r="Y185" s="182"/>
      <c r="Z185" s="182"/>
      <c r="AA185" s="178"/>
      <c r="AB185" s="178"/>
      <c r="AC185" s="178"/>
      <c r="AD185" s="179"/>
      <c r="AE185" s="183"/>
      <c r="AF185" s="184"/>
      <c r="AG185" s="177"/>
      <c r="AH185" s="185"/>
      <c r="AI185" s="26"/>
      <c r="AJ185" s="186"/>
      <c r="AK185" s="187"/>
      <c r="AL185" s="188"/>
      <c r="AM185" s="189"/>
    </row>
    <row r="186" ht="12.75" customHeight="1">
      <c r="A186" s="26"/>
      <c r="B186" s="190" t="s">
        <v>376</v>
      </c>
      <c r="C186" s="192">
        <v>2.14964091E8</v>
      </c>
      <c r="D186" s="212" t="s">
        <v>377</v>
      </c>
      <c r="E186" s="53" t="s">
        <v>372</v>
      </c>
      <c r="F186" s="154">
        <v>1.0</v>
      </c>
      <c r="G186" s="53"/>
      <c r="H186" s="53" t="str">
        <f>$I$2</f>
        <v>0.00069</v>
      </c>
      <c r="I186" s="53" t="str">
        <f>$I$3</f>
        <v>89</v>
      </c>
      <c r="J186" s="53" t="str">
        <f>G186*H186*I186*F186</f>
        <v>0</v>
      </c>
      <c r="K186" s="155" t="str">
        <f>J186*$J$4</f>
        <v>0.00</v>
      </c>
      <c r="L186" s="156" t="str">
        <f>K186+J186</f>
        <v>0.00 </v>
      </c>
      <c r="M186" s="132">
        <v>90.0</v>
      </c>
      <c r="N186" s="175">
        <v>463.2</v>
      </c>
      <c r="O186" s="158">
        <v>1700.0</v>
      </c>
      <c r="P186" s="159" t="str">
        <f>AL186</f>
        <v>1,389.96</v>
      </c>
      <c r="Q186" s="160"/>
      <c r="R186" s="161">
        <v>0.26</v>
      </c>
      <c r="S186" s="162" t="str">
        <f>O186-(O186*R186)</f>
        <v>1,258.00</v>
      </c>
      <c r="T186" s="163" t="str">
        <f>$C$1</f>
        <v>60.00</v>
      </c>
      <c r="U186" s="164" t="str">
        <f>(S186*7/107)+((S186-(S186*7/107))*1%)</f>
        <v>94.06</v>
      </c>
      <c r="V186" s="165" t="str">
        <f>N186*$C$3*(M186/30)</f>
        <v>0.00</v>
      </c>
      <c r="W186" s="166">
        <v>1.43</v>
      </c>
      <c r="X186" s="167" t="str">
        <f>((_xlfn.CEILING.MATH(W186)-1)*$C$5+$C$4)</f>
        <v>95</v>
      </c>
      <c r="Y186" s="168" t="str">
        <f>O186*$Y$6</f>
        <v>552.500</v>
      </c>
      <c r="Z186" s="168" t="str">
        <f>S186*$Y$7</f>
        <v>50.194</v>
      </c>
      <c r="AA186" s="164" t="str">
        <f>$Y$3*((100-AB186)/100)</f>
        <v>4.77</v>
      </c>
      <c r="AB186" s="164">
        <v>90.46</v>
      </c>
      <c r="AC186" s="164" t="str">
        <f>$C$6*$C$7*_xlfn.CEILING.MATH(W186)</f>
        <v>9.60</v>
      </c>
      <c r="AD186" s="165" t="str">
        <f>O186*$C$2</f>
        <v>170.00</v>
      </c>
      <c r="AE186" s="23"/>
      <c r="AF186" s="169" t="str">
        <f>(_xlfn.CEILING.MATH(W186))*$Y$1*$AD$2</f>
        <v>0</v>
      </c>
      <c r="AG186" s="163" t="str">
        <f>O186-T186-U186-V186-X186-Y186-Z186-AA186-AC186-AD186-N186</f>
        <v>200.68</v>
      </c>
      <c r="AH186" s="170" t="str">
        <f>AG186/N186</f>
        <v>43.32%</v>
      </c>
      <c r="AI186" s="26"/>
      <c r="AJ186" s="171" t="str">
        <f>$AD$3</f>
        <v>0.00%</v>
      </c>
      <c r="AK186" s="172" t="str">
        <f>N186*AJ186</f>
        <v>0.00</v>
      </c>
      <c r="AL186" s="173" t="str">
        <f>(N186+T186+V186+X186+AA186+AC186+AF186+AK186)/(100%-($C$2+$C$8+$Y$6+$Y$7))</f>
        <v>1,389.96</v>
      </c>
      <c r="AM186" s="174" t="str">
        <f>AL186-(AL186*$AD$1)</f>
        <v>986.87</v>
      </c>
    </row>
    <row r="187" ht="12.75" customHeight="1">
      <c r="A187" s="26"/>
      <c r="B187" s="125" t="s">
        <v>378</v>
      </c>
      <c r="C187" s="126"/>
      <c r="D187" s="127"/>
      <c r="E187" s="128"/>
      <c r="F187" s="154">
        <v>1.0</v>
      </c>
      <c r="G187" s="128"/>
      <c r="H187" s="197"/>
      <c r="I187" s="197"/>
      <c r="J187" s="128"/>
      <c r="K187" s="130"/>
      <c r="L187" s="131"/>
      <c r="M187" s="132"/>
      <c r="N187" s="176"/>
      <c r="O187" s="134"/>
      <c r="P187" s="135"/>
      <c r="Q187" s="135"/>
      <c r="R187" s="136"/>
      <c r="S187" s="137"/>
      <c r="T187" s="177"/>
      <c r="U187" s="178"/>
      <c r="V187" s="179"/>
      <c r="W187" s="180"/>
      <c r="X187" s="181"/>
      <c r="Y187" s="182"/>
      <c r="Z187" s="182"/>
      <c r="AA187" s="178"/>
      <c r="AB187" s="178"/>
      <c r="AC187" s="178"/>
      <c r="AD187" s="179"/>
      <c r="AE187" s="183"/>
      <c r="AF187" s="184"/>
      <c r="AG187" s="177"/>
      <c r="AH187" s="185"/>
      <c r="AI187" s="26"/>
      <c r="AJ187" s="186"/>
      <c r="AK187" s="187"/>
      <c r="AL187" s="188"/>
      <c r="AM187" s="189"/>
    </row>
    <row r="188" ht="12.75" customHeight="1">
      <c r="A188" s="26"/>
      <c r="B188" s="190" t="s">
        <v>379</v>
      </c>
      <c r="C188" s="199">
        <v>2.36822518E8</v>
      </c>
      <c r="D188" s="152" t="s">
        <v>380</v>
      </c>
      <c r="E188" s="53" t="s">
        <v>372</v>
      </c>
      <c r="F188" s="154">
        <v>1.0</v>
      </c>
      <c r="G188" s="53"/>
      <c r="H188" s="53" t="str">
        <f t="shared" ref="H188:H190" si="440">$I$2</f>
        <v>0.00069</v>
      </c>
      <c r="I188" s="53" t="str">
        <f t="shared" ref="I188:I190" si="441">$I$3</f>
        <v>89</v>
      </c>
      <c r="J188" s="53" t="str">
        <f t="shared" ref="J188:J190" si="442">G188*H188*I188*F188</f>
        <v>0</v>
      </c>
      <c r="K188" s="155" t="str">
        <f t="shared" ref="K188:K190" si="443">J188*$J$4</f>
        <v>0.00</v>
      </c>
      <c r="L188" s="156" t="str">
        <f t="shared" ref="L188:L190" si="444">K188+J188</f>
        <v>0.00 </v>
      </c>
      <c r="M188" s="132">
        <v>90.0</v>
      </c>
      <c r="N188" s="157">
        <v>354.38</v>
      </c>
      <c r="O188" s="158">
        <v>1037.0</v>
      </c>
      <c r="P188" s="159" t="str">
        <f t="shared" ref="P188:P189" si="445">O188</f>
        <v>1,037.00</v>
      </c>
      <c r="Q188" s="160" t="s">
        <v>78</v>
      </c>
      <c r="R188" s="161">
        <v>0.26</v>
      </c>
      <c r="S188" s="162" t="str">
        <f t="shared" ref="S188:S190" si="446">O188-(O188*R188)</f>
        <v>767.38</v>
      </c>
      <c r="T188" s="163" t="str">
        <f t="shared" ref="T188:T190" si="447">$C$1</f>
        <v>60.00</v>
      </c>
      <c r="U188" s="164" t="str">
        <f t="shared" ref="U188:U190" si="448">(S188*7/107)+((S188-(S188*7/107))*1%)</f>
        <v>57.37</v>
      </c>
      <c r="V188" s="165" t="str">
        <f t="shared" ref="V188:V190" si="449">N188*$C$3*(M188/30)</f>
        <v>0.00</v>
      </c>
      <c r="W188" s="166">
        <v>1.5</v>
      </c>
      <c r="X188" s="167" t="str">
        <f t="shared" ref="X188:X190" si="450">((_xlfn.CEILING.MATH(W188)-1)*$C$5+$C$4)</f>
        <v>95</v>
      </c>
      <c r="Y188" s="168" t="str">
        <f t="shared" ref="Y188:Y190" si="451">O188*$Y$6</f>
        <v>337.025</v>
      </c>
      <c r="Z188" s="168" t="str">
        <f t="shared" ref="Z188:Z190" si="452">S188*$Y$7</f>
        <v>30.618</v>
      </c>
      <c r="AA188" s="164" t="str">
        <f t="shared" ref="AA188:AA190" si="453">$Y$3*((100-AB188)/100)</f>
        <v>3.95</v>
      </c>
      <c r="AB188" s="164">
        <v>92.11</v>
      </c>
      <c r="AC188" s="164" t="str">
        <f t="shared" ref="AC188:AC190" si="454">$C$6*$C$7*_xlfn.CEILING.MATH(W188)</f>
        <v>9.60</v>
      </c>
      <c r="AD188" s="165" t="str">
        <f t="shared" ref="AD188:AD190" si="455">O188*$C$2</f>
        <v>103.70</v>
      </c>
      <c r="AE188" s="23"/>
      <c r="AF188" s="169" t="str">
        <f t="shared" ref="AF188:AF190" si="456">(_xlfn.CEILING.MATH(W188))*$Y$1*$AD$2</f>
        <v>0</v>
      </c>
      <c r="AG188" s="163" t="str">
        <f t="shared" ref="AG188:AG190" si="457">O188-T188-U188-V188-X188-Y188-Z188-AA188-AC188-AD188-N188</f>
        <v>-14.64</v>
      </c>
      <c r="AH188" s="170" t="str">
        <f t="shared" ref="AH188:AH190" si="458">AG188/N188</f>
        <v>-4.13%</v>
      </c>
      <c r="AI188" s="26"/>
      <c r="AJ188" s="171" t="str">
        <f t="shared" ref="AJ188:AJ190" si="459">$AD$3</f>
        <v>0.00%</v>
      </c>
      <c r="AK188" s="172" t="str">
        <f t="shared" ref="AK188:AK190" si="460">N188*AJ188</f>
        <v>0.00</v>
      </c>
      <c r="AL188" s="173" t="str">
        <f t="shared" ref="AL188:AL190" si="461">(N188+T188+V188+X188+AA188+AC188+AF188+AK188)/(100%-($C$2+$C$8+$Y$6+$Y$7))</f>
        <v>1,149.03</v>
      </c>
      <c r="AM188" s="174" t="str">
        <f t="shared" ref="AM188:AM190" si="462">AL188-(AL188*$AD$1)</f>
        <v>815.81</v>
      </c>
    </row>
    <row r="189" ht="12.75" customHeight="1">
      <c r="A189" s="26"/>
      <c r="B189" s="190" t="s">
        <v>381</v>
      </c>
      <c r="C189" s="199">
        <v>2.36825103E8</v>
      </c>
      <c r="D189" s="152" t="s">
        <v>382</v>
      </c>
      <c r="E189" s="53" t="s">
        <v>372</v>
      </c>
      <c r="F189" s="154">
        <v>1.0</v>
      </c>
      <c r="G189" s="53"/>
      <c r="H189" s="53" t="str">
        <f t="shared" si="440"/>
        <v>0.00069</v>
      </c>
      <c r="I189" s="53" t="str">
        <f t="shared" si="441"/>
        <v>89</v>
      </c>
      <c r="J189" s="53" t="str">
        <f t="shared" si="442"/>
        <v>0</v>
      </c>
      <c r="K189" s="155" t="str">
        <f t="shared" si="443"/>
        <v>0.00</v>
      </c>
      <c r="L189" s="156" t="str">
        <f t="shared" si="444"/>
        <v>0.00 </v>
      </c>
      <c r="M189" s="132">
        <v>90.0</v>
      </c>
      <c r="N189" s="157">
        <v>367.85</v>
      </c>
      <c r="O189" s="158">
        <v>1340.0</v>
      </c>
      <c r="P189" s="159" t="str">
        <f t="shared" si="445"/>
        <v>1,340.00</v>
      </c>
      <c r="Q189" s="160" t="s">
        <v>78</v>
      </c>
      <c r="R189" s="161">
        <v>0.26</v>
      </c>
      <c r="S189" s="162" t="str">
        <f t="shared" si="446"/>
        <v>991.60</v>
      </c>
      <c r="T189" s="163" t="str">
        <f t="shared" si="447"/>
        <v>60.00</v>
      </c>
      <c r="U189" s="164" t="str">
        <f t="shared" si="448"/>
        <v>74.14</v>
      </c>
      <c r="V189" s="165" t="str">
        <f t="shared" si="449"/>
        <v>0.00</v>
      </c>
      <c r="W189" s="166">
        <v>1.5</v>
      </c>
      <c r="X189" s="167" t="str">
        <f t="shared" si="450"/>
        <v>95</v>
      </c>
      <c r="Y189" s="168" t="str">
        <f t="shared" si="451"/>
        <v>435.500</v>
      </c>
      <c r="Z189" s="168" t="str">
        <f t="shared" si="452"/>
        <v>39.565</v>
      </c>
      <c r="AA189" s="164" t="str">
        <f t="shared" si="453"/>
        <v>1.67</v>
      </c>
      <c r="AB189" s="164">
        <v>96.67</v>
      </c>
      <c r="AC189" s="164" t="str">
        <f t="shared" si="454"/>
        <v>9.60</v>
      </c>
      <c r="AD189" s="165" t="str">
        <f t="shared" si="455"/>
        <v>134.00</v>
      </c>
      <c r="AE189" s="23"/>
      <c r="AF189" s="169" t="str">
        <f t="shared" si="456"/>
        <v>0</v>
      </c>
      <c r="AG189" s="163" t="str">
        <f t="shared" si="457"/>
        <v>122.68</v>
      </c>
      <c r="AH189" s="170" t="str">
        <f t="shared" si="458"/>
        <v>33.35%</v>
      </c>
      <c r="AI189" s="26"/>
      <c r="AJ189" s="171" t="str">
        <f t="shared" si="459"/>
        <v>0.00%</v>
      </c>
      <c r="AK189" s="172" t="str">
        <f t="shared" si="460"/>
        <v>0.00</v>
      </c>
      <c r="AL189" s="173" t="str">
        <f t="shared" si="461"/>
        <v>1,173.62</v>
      </c>
      <c r="AM189" s="174" t="str">
        <f t="shared" si="462"/>
        <v>833.27</v>
      </c>
    </row>
    <row r="190" ht="12.75" customHeight="1">
      <c r="A190" s="26"/>
      <c r="B190" s="190" t="s">
        <v>383</v>
      </c>
      <c r="C190" s="192">
        <v>2.36818852E8</v>
      </c>
      <c r="D190" s="152" t="s">
        <v>384</v>
      </c>
      <c r="E190" s="53" t="s">
        <v>372</v>
      </c>
      <c r="F190" s="154">
        <v>1.0</v>
      </c>
      <c r="G190" s="53"/>
      <c r="H190" s="53" t="str">
        <f t="shared" si="440"/>
        <v>0.00069</v>
      </c>
      <c r="I190" s="53" t="str">
        <f t="shared" si="441"/>
        <v>89</v>
      </c>
      <c r="J190" s="53" t="str">
        <f t="shared" si="442"/>
        <v>0</v>
      </c>
      <c r="K190" s="155" t="str">
        <f t="shared" si="443"/>
        <v>0.00</v>
      </c>
      <c r="L190" s="156" t="str">
        <f t="shared" si="444"/>
        <v>0.00 </v>
      </c>
      <c r="M190" s="132">
        <v>90.0</v>
      </c>
      <c r="N190" s="157">
        <v>0.0</v>
      </c>
      <c r="O190" s="158">
        <v>871.8</v>
      </c>
      <c r="P190" s="159" t="str">
        <f>AL190</f>
        <v>370.26</v>
      </c>
      <c r="Q190" s="160"/>
      <c r="R190" s="161">
        <v>0.26</v>
      </c>
      <c r="S190" s="162" t="str">
        <f t="shared" si="446"/>
        <v>645.13</v>
      </c>
      <c r="T190" s="163" t="str">
        <f t="shared" si="447"/>
        <v>60.00</v>
      </c>
      <c r="U190" s="164" t="str">
        <f t="shared" si="448"/>
        <v>48.23</v>
      </c>
      <c r="V190" s="165" t="str">
        <f t="shared" si="449"/>
        <v>0.00</v>
      </c>
      <c r="W190" s="166">
        <v>1.5</v>
      </c>
      <c r="X190" s="167" t="str">
        <f t="shared" si="450"/>
        <v>95</v>
      </c>
      <c r="Y190" s="168" t="str">
        <f t="shared" si="451"/>
        <v>283.335</v>
      </c>
      <c r="Z190" s="168" t="str">
        <f t="shared" si="452"/>
        <v>25.741</v>
      </c>
      <c r="AA190" s="164" t="str">
        <f t="shared" si="453"/>
        <v>3.91</v>
      </c>
      <c r="AB190" s="164">
        <v>92.19</v>
      </c>
      <c r="AC190" s="164" t="str">
        <f t="shared" si="454"/>
        <v>9.60</v>
      </c>
      <c r="AD190" s="165" t="str">
        <f t="shared" si="455"/>
        <v>87.18</v>
      </c>
      <c r="AE190" s="23"/>
      <c r="AF190" s="169" t="str">
        <f t="shared" si="456"/>
        <v>0</v>
      </c>
      <c r="AG190" s="163" t="str">
        <f t="shared" si="457"/>
        <v>258.81</v>
      </c>
      <c r="AH190" s="170" t="str">
        <f t="shared" si="458"/>
        <v>#DIV/0!</v>
      </c>
      <c r="AI190" s="26"/>
      <c r="AJ190" s="171" t="str">
        <f t="shared" si="459"/>
        <v>0.00%</v>
      </c>
      <c r="AK190" s="172" t="str">
        <f t="shared" si="460"/>
        <v>0.00</v>
      </c>
      <c r="AL190" s="173" t="str">
        <f t="shared" si="461"/>
        <v>370.26</v>
      </c>
      <c r="AM190" s="174" t="str">
        <f t="shared" si="462"/>
        <v>262.88</v>
      </c>
    </row>
    <row r="191" ht="12.75" customHeight="1">
      <c r="A191" s="26"/>
      <c r="B191" s="125" t="s">
        <v>385</v>
      </c>
      <c r="C191" s="126"/>
      <c r="D191" s="127"/>
      <c r="E191" s="128"/>
      <c r="F191" s="128"/>
      <c r="G191" s="128"/>
      <c r="H191" s="197"/>
      <c r="I191" s="197"/>
      <c r="J191" s="128"/>
      <c r="K191" s="130"/>
      <c r="L191" s="131"/>
      <c r="M191" s="132"/>
      <c r="N191" s="176"/>
      <c r="O191" s="134"/>
      <c r="P191" s="135"/>
      <c r="Q191" s="135"/>
      <c r="R191" s="136"/>
      <c r="S191" s="137"/>
      <c r="T191" s="177"/>
      <c r="U191" s="178"/>
      <c r="V191" s="179"/>
      <c r="W191" s="180"/>
      <c r="X191" s="181"/>
      <c r="Y191" s="182"/>
      <c r="Z191" s="182"/>
      <c r="AA191" s="178"/>
      <c r="AB191" s="178"/>
      <c r="AC191" s="178"/>
      <c r="AD191" s="179"/>
      <c r="AE191" s="183"/>
      <c r="AF191" s="184"/>
      <c r="AG191" s="177"/>
      <c r="AH191" s="185"/>
      <c r="AI191" s="26"/>
      <c r="AJ191" s="186"/>
      <c r="AK191" s="187"/>
      <c r="AL191" s="188"/>
      <c r="AM191" s="189"/>
    </row>
    <row r="192" ht="12.75" customHeight="1">
      <c r="A192" s="26"/>
      <c r="B192" s="190" t="s">
        <v>386</v>
      </c>
      <c r="C192" s="191">
        <v>2.12885318E8</v>
      </c>
      <c r="D192" s="152" t="s">
        <v>387</v>
      </c>
      <c r="E192" s="53" t="s">
        <v>77</v>
      </c>
      <c r="F192" s="154">
        <v>1.0</v>
      </c>
      <c r="G192" s="53"/>
      <c r="H192" s="53" t="str">
        <f t="shared" ref="H192:H199" si="463">$I$2</f>
        <v>0.00069</v>
      </c>
      <c r="I192" s="53" t="str">
        <f t="shared" ref="I192:I199" si="464">$I$3</f>
        <v>89</v>
      </c>
      <c r="J192" s="53" t="str">
        <f t="shared" ref="J192:J199" si="465">G192*H192*I192*F192</f>
        <v>0</v>
      </c>
      <c r="K192" s="155" t="str">
        <f t="shared" ref="K192:K199" si="466">J192*$J$4</f>
        <v>0.00</v>
      </c>
      <c r="L192" s="156" t="str">
        <f t="shared" ref="L192:L199" si="467">K192+J192</f>
        <v>0.00 </v>
      </c>
      <c r="M192" s="132">
        <v>90.0</v>
      </c>
      <c r="N192" s="157">
        <v>0.0</v>
      </c>
      <c r="O192" s="158">
        <v>1057.2</v>
      </c>
      <c r="P192" s="159" t="str">
        <f t="shared" ref="P192:P199" si="468">AL192</f>
        <v>365.06</v>
      </c>
      <c r="Q192" s="160"/>
      <c r="R192" s="161">
        <v>0.26</v>
      </c>
      <c r="S192" s="162" t="str">
        <f t="shared" ref="S192:S199" si="469">O192-(O192*R192)</f>
        <v>782.33</v>
      </c>
      <c r="T192" s="163" t="str">
        <f t="shared" ref="T192:T199" si="470">$C$1</f>
        <v>60.00</v>
      </c>
      <c r="U192" s="164" t="str">
        <f t="shared" ref="U192:U199" si="471">(S192*7/107)+((S192-(S192*7/107))*1%)</f>
        <v>58.49</v>
      </c>
      <c r="V192" s="165" t="str">
        <f t="shared" ref="V192:V199" si="472">N192*$C$3*(M192/30)</f>
        <v>0.00</v>
      </c>
      <c r="W192" s="166">
        <v>1.03</v>
      </c>
      <c r="X192" s="167" t="str">
        <f t="shared" ref="X192:X199" si="473">((_xlfn.CEILING.MATH(W192)-1)*$C$5+$C$4)</f>
        <v>95</v>
      </c>
      <c r="Y192" s="168" t="str">
        <f t="shared" ref="Y192:Y199" si="474">O192*$Y$6</f>
        <v>343.590</v>
      </c>
      <c r="Z192" s="168" t="str">
        <f t="shared" ref="Z192:Z199" si="475">S192*$Y$7</f>
        <v>31.215</v>
      </c>
      <c r="AA192" s="164" t="str">
        <f t="shared" ref="AA192:AA199" si="476">$Y$3*((100-AB192)/100)</f>
        <v>1.54</v>
      </c>
      <c r="AB192" s="164">
        <v>96.92</v>
      </c>
      <c r="AC192" s="164" t="str">
        <f t="shared" ref="AC192:AC199" si="477">$C$6*$C$7*_xlfn.CEILING.MATH(W192)</f>
        <v>9.60</v>
      </c>
      <c r="AD192" s="165" t="str">
        <f t="shared" ref="AD192:AD199" si="478">O192*$C$2</f>
        <v>105.72</v>
      </c>
      <c r="AE192" s="23"/>
      <c r="AF192" s="169" t="str">
        <f t="shared" ref="AF192:AF199" si="479">(_xlfn.CEILING.MATH(W192))*$Y$1*$AD$2</f>
        <v>0</v>
      </c>
      <c r="AG192" s="163" t="str">
        <f t="shared" ref="AG192:AG199" si="480">O192-T192-U192-V192-X192-Y192-Z192-AA192-AC192-AD192-N192</f>
        <v>352.04</v>
      </c>
      <c r="AH192" s="170" t="str">
        <f t="shared" ref="AH192:AH199" si="481">AG192/N192</f>
        <v>#DIV/0!</v>
      </c>
      <c r="AI192" s="26"/>
      <c r="AJ192" s="171" t="str">
        <f t="shared" ref="AJ192:AJ199" si="482">$AD$3</f>
        <v>0.00%</v>
      </c>
      <c r="AK192" s="172" t="str">
        <f t="shared" ref="AK192:AK199" si="483">N192*AJ192</f>
        <v>0.00</v>
      </c>
      <c r="AL192" s="173" t="str">
        <f t="shared" ref="AL192:AL199" si="484">(N192+T192+V192+X192+AA192+AC192+AF192+AK192)/(100%-($C$2+$C$8+$Y$6+$Y$7))</f>
        <v>365.06</v>
      </c>
      <c r="AM192" s="174" t="str">
        <f t="shared" ref="AM192:AM199" si="485">AL192-(AL192*$AD$1)</f>
        <v>259.19</v>
      </c>
    </row>
    <row r="193" ht="12.75" customHeight="1">
      <c r="A193" s="26"/>
      <c r="B193" s="190" t="s">
        <v>388</v>
      </c>
      <c r="C193" s="192">
        <v>2.14311702E8</v>
      </c>
      <c r="D193" s="152" t="s">
        <v>389</v>
      </c>
      <c r="E193" s="53" t="s">
        <v>77</v>
      </c>
      <c r="F193" s="154">
        <v>1.0</v>
      </c>
      <c r="G193" s="53"/>
      <c r="H193" s="53" t="str">
        <f t="shared" si="463"/>
        <v>0.00069</v>
      </c>
      <c r="I193" s="53" t="str">
        <f t="shared" si="464"/>
        <v>89</v>
      </c>
      <c r="J193" s="53" t="str">
        <f t="shared" si="465"/>
        <v>0</v>
      </c>
      <c r="K193" s="155" t="str">
        <f t="shared" si="466"/>
        <v>0.00</v>
      </c>
      <c r="L193" s="156" t="str">
        <f t="shared" si="467"/>
        <v>0.00 </v>
      </c>
      <c r="M193" s="132">
        <v>90.0</v>
      </c>
      <c r="N193" s="157">
        <v>0.0</v>
      </c>
      <c r="O193" s="158">
        <v>767.7</v>
      </c>
      <c r="P193" s="159" t="str">
        <f t="shared" si="468"/>
        <v>367.46</v>
      </c>
      <c r="Q193" s="160"/>
      <c r="R193" s="161">
        <v>0.26</v>
      </c>
      <c r="S193" s="162" t="str">
        <f t="shared" si="469"/>
        <v>568.10</v>
      </c>
      <c r="T193" s="163" t="str">
        <f t="shared" si="470"/>
        <v>60.00</v>
      </c>
      <c r="U193" s="164" t="str">
        <f t="shared" si="471"/>
        <v>42.47</v>
      </c>
      <c r="V193" s="165" t="str">
        <f t="shared" si="472"/>
        <v>0.00</v>
      </c>
      <c r="W193" s="166">
        <v>1.46</v>
      </c>
      <c r="X193" s="167" t="str">
        <f t="shared" si="473"/>
        <v>95</v>
      </c>
      <c r="Y193" s="168" t="str">
        <f t="shared" si="474"/>
        <v>249.503</v>
      </c>
      <c r="Z193" s="168" t="str">
        <f t="shared" si="475"/>
        <v>22.667</v>
      </c>
      <c r="AA193" s="164" t="str">
        <f t="shared" si="476"/>
        <v>2.63</v>
      </c>
      <c r="AB193" s="164">
        <v>94.74</v>
      </c>
      <c r="AC193" s="164" t="str">
        <f t="shared" si="477"/>
        <v>9.60</v>
      </c>
      <c r="AD193" s="165" t="str">
        <f t="shared" si="478"/>
        <v>76.77</v>
      </c>
      <c r="AE193" s="23"/>
      <c r="AF193" s="169" t="str">
        <f t="shared" si="479"/>
        <v>0</v>
      </c>
      <c r="AG193" s="163" t="str">
        <f t="shared" si="480"/>
        <v>209.06</v>
      </c>
      <c r="AH193" s="170" t="str">
        <f t="shared" si="481"/>
        <v>#DIV/0!</v>
      </c>
      <c r="AI193" s="26"/>
      <c r="AJ193" s="171" t="str">
        <f t="shared" si="482"/>
        <v>0.00%</v>
      </c>
      <c r="AK193" s="172" t="str">
        <f t="shared" si="483"/>
        <v>0.00</v>
      </c>
      <c r="AL193" s="173" t="str">
        <f t="shared" si="484"/>
        <v>367.46</v>
      </c>
      <c r="AM193" s="174" t="str">
        <f t="shared" si="485"/>
        <v>260.89</v>
      </c>
    </row>
    <row r="194" ht="12.75" customHeight="1">
      <c r="A194" s="26"/>
      <c r="B194" s="190" t="s">
        <v>390</v>
      </c>
      <c r="C194" s="192">
        <v>2.12885319E8</v>
      </c>
      <c r="D194" s="152" t="s">
        <v>391</v>
      </c>
      <c r="E194" s="53" t="s">
        <v>77</v>
      </c>
      <c r="F194" s="154">
        <v>1.0</v>
      </c>
      <c r="G194" s="53"/>
      <c r="H194" s="53" t="str">
        <f t="shared" si="463"/>
        <v>0.00069</v>
      </c>
      <c r="I194" s="53" t="str">
        <f t="shared" si="464"/>
        <v>89</v>
      </c>
      <c r="J194" s="53" t="str">
        <f t="shared" si="465"/>
        <v>0</v>
      </c>
      <c r="K194" s="155" t="str">
        <f t="shared" si="466"/>
        <v>0.00</v>
      </c>
      <c r="L194" s="156" t="str">
        <f t="shared" si="467"/>
        <v>0.00 </v>
      </c>
      <c r="M194" s="132">
        <v>90.0</v>
      </c>
      <c r="N194" s="157">
        <v>0.0</v>
      </c>
      <c r="O194" s="158">
        <v>1057.2</v>
      </c>
      <c r="P194" s="159" t="str">
        <f t="shared" si="468"/>
        <v>365.11</v>
      </c>
      <c r="Q194" s="160"/>
      <c r="R194" s="161">
        <v>0.26</v>
      </c>
      <c r="S194" s="162" t="str">
        <f t="shared" si="469"/>
        <v>782.33</v>
      </c>
      <c r="T194" s="163" t="str">
        <f t="shared" si="470"/>
        <v>60.00</v>
      </c>
      <c r="U194" s="164" t="str">
        <f t="shared" si="471"/>
        <v>58.49</v>
      </c>
      <c r="V194" s="165" t="str">
        <f t="shared" si="472"/>
        <v>0.00</v>
      </c>
      <c r="W194" s="166">
        <v>1.03</v>
      </c>
      <c r="X194" s="167" t="str">
        <f t="shared" si="473"/>
        <v>95</v>
      </c>
      <c r="Y194" s="168" t="str">
        <f t="shared" si="474"/>
        <v>343.590</v>
      </c>
      <c r="Z194" s="168" t="str">
        <f t="shared" si="475"/>
        <v>31.215</v>
      </c>
      <c r="AA194" s="164" t="str">
        <f t="shared" si="476"/>
        <v>1.56</v>
      </c>
      <c r="AB194" s="164">
        <v>96.88</v>
      </c>
      <c r="AC194" s="164" t="str">
        <f t="shared" si="477"/>
        <v>9.60</v>
      </c>
      <c r="AD194" s="165" t="str">
        <f t="shared" si="478"/>
        <v>105.72</v>
      </c>
      <c r="AE194" s="23"/>
      <c r="AF194" s="169" t="str">
        <f t="shared" si="479"/>
        <v>0</v>
      </c>
      <c r="AG194" s="163" t="str">
        <f t="shared" si="480"/>
        <v>352.02</v>
      </c>
      <c r="AH194" s="170" t="str">
        <f t="shared" si="481"/>
        <v>#DIV/0!</v>
      </c>
      <c r="AI194" s="26"/>
      <c r="AJ194" s="171" t="str">
        <f t="shared" si="482"/>
        <v>0.00%</v>
      </c>
      <c r="AK194" s="172" t="str">
        <f t="shared" si="483"/>
        <v>0.00</v>
      </c>
      <c r="AL194" s="173" t="str">
        <f t="shared" si="484"/>
        <v>365.11</v>
      </c>
      <c r="AM194" s="174" t="str">
        <f t="shared" si="485"/>
        <v>259.23</v>
      </c>
    </row>
    <row r="195" ht="12.75" customHeight="1">
      <c r="A195" s="26"/>
      <c r="B195" s="190" t="s">
        <v>392</v>
      </c>
      <c r="C195" s="192">
        <v>2.12885313E8</v>
      </c>
      <c r="D195" s="152" t="s">
        <v>393</v>
      </c>
      <c r="E195" s="53" t="s">
        <v>77</v>
      </c>
      <c r="F195" s="154">
        <v>1.0</v>
      </c>
      <c r="G195" s="53"/>
      <c r="H195" s="53" t="str">
        <f t="shared" si="463"/>
        <v>0.00069</v>
      </c>
      <c r="I195" s="53" t="str">
        <f t="shared" si="464"/>
        <v>89</v>
      </c>
      <c r="J195" s="53" t="str">
        <f t="shared" si="465"/>
        <v>0</v>
      </c>
      <c r="K195" s="155" t="str">
        <f t="shared" si="466"/>
        <v>0.00</v>
      </c>
      <c r="L195" s="156" t="str">
        <f t="shared" si="467"/>
        <v>0.00 </v>
      </c>
      <c r="M195" s="132">
        <v>90.0</v>
      </c>
      <c r="N195" s="157">
        <v>0.0</v>
      </c>
      <c r="O195" s="158">
        <v>1060.8</v>
      </c>
      <c r="P195" s="159" t="str">
        <f t="shared" si="468"/>
        <v>365.34</v>
      </c>
      <c r="Q195" s="160"/>
      <c r="R195" s="161">
        <v>0.26</v>
      </c>
      <c r="S195" s="162" t="str">
        <f t="shared" si="469"/>
        <v>784.99</v>
      </c>
      <c r="T195" s="163" t="str">
        <f t="shared" si="470"/>
        <v>60.00</v>
      </c>
      <c r="U195" s="164" t="str">
        <f t="shared" si="471"/>
        <v>58.69</v>
      </c>
      <c r="V195" s="165" t="str">
        <f t="shared" si="472"/>
        <v>0.00</v>
      </c>
      <c r="W195" s="166">
        <v>1.34</v>
      </c>
      <c r="X195" s="167" t="str">
        <f t="shared" si="473"/>
        <v>95</v>
      </c>
      <c r="Y195" s="168" t="str">
        <f t="shared" si="474"/>
        <v>344.760</v>
      </c>
      <c r="Z195" s="168" t="str">
        <f t="shared" si="475"/>
        <v>31.321</v>
      </c>
      <c r="AA195" s="164" t="str">
        <f t="shared" si="476"/>
        <v>1.67</v>
      </c>
      <c r="AB195" s="164">
        <v>96.67</v>
      </c>
      <c r="AC195" s="164" t="str">
        <f t="shared" si="477"/>
        <v>9.60</v>
      </c>
      <c r="AD195" s="165" t="str">
        <f t="shared" si="478"/>
        <v>106.08</v>
      </c>
      <c r="AE195" s="23"/>
      <c r="AF195" s="169" t="str">
        <f t="shared" si="479"/>
        <v>0</v>
      </c>
      <c r="AG195" s="163" t="str">
        <f t="shared" si="480"/>
        <v>353.68</v>
      </c>
      <c r="AH195" s="170" t="str">
        <f t="shared" si="481"/>
        <v>#DIV/0!</v>
      </c>
      <c r="AI195" s="26"/>
      <c r="AJ195" s="171" t="str">
        <f t="shared" si="482"/>
        <v>0.00%</v>
      </c>
      <c r="AK195" s="172" t="str">
        <f t="shared" si="483"/>
        <v>0.00</v>
      </c>
      <c r="AL195" s="173" t="str">
        <f t="shared" si="484"/>
        <v>365.34</v>
      </c>
      <c r="AM195" s="174" t="str">
        <f t="shared" si="485"/>
        <v>259.39</v>
      </c>
    </row>
    <row r="196" ht="12.75" customHeight="1">
      <c r="A196" s="26"/>
      <c r="B196" s="190" t="s">
        <v>394</v>
      </c>
      <c r="C196" s="192">
        <v>2.12885317E8</v>
      </c>
      <c r="D196" s="152" t="s">
        <v>395</v>
      </c>
      <c r="E196" s="53" t="s">
        <v>77</v>
      </c>
      <c r="F196" s="154">
        <v>1.0</v>
      </c>
      <c r="G196" s="53"/>
      <c r="H196" s="53" t="str">
        <f t="shared" si="463"/>
        <v>0.00069</v>
      </c>
      <c r="I196" s="53" t="str">
        <f t="shared" si="464"/>
        <v>89</v>
      </c>
      <c r="J196" s="53" t="str">
        <f t="shared" si="465"/>
        <v>0</v>
      </c>
      <c r="K196" s="155" t="str">
        <f t="shared" si="466"/>
        <v>0.00</v>
      </c>
      <c r="L196" s="156" t="str">
        <f t="shared" si="467"/>
        <v>0.00 </v>
      </c>
      <c r="M196" s="132">
        <v>90.0</v>
      </c>
      <c r="N196" s="157">
        <v>0.0</v>
      </c>
      <c r="O196" s="158">
        <v>1060.8</v>
      </c>
      <c r="P196" s="159" t="str">
        <f t="shared" si="468"/>
        <v>370.13</v>
      </c>
      <c r="Q196" s="160"/>
      <c r="R196" s="161">
        <v>0.26</v>
      </c>
      <c r="S196" s="162" t="str">
        <f t="shared" si="469"/>
        <v>784.99</v>
      </c>
      <c r="T196" s="163" t="str">
        <f t="shared" si="470"/>
        <v>60.00</v>
      </c>
      <c r="U196" s="164" t="str">
        <f t="shared" si="471"/>
        <v>58.69</v>
      </c>
      <c r="V196" s="165" t="str">
        <f t="shared" si="472"/>
        <v>0.00</v>
      </c>
      <c r="W196" s="166">
        <v>1.34</v>
      </c>
      <c r="X196" s="167" t="str">
        <f t="shared" si="473"/>
        <v>95</v>
      </c>
      <c r="Y196" s="168" t="str">
        <f t="shared" si="474"/>
        <v>344.760</v>
      </c>
      <c r="Z196" s="168" t="str">
        <f t="shared" si="475"/>
        <v>31.321</v>
      </c>
      <c r="AA196" s="164" t="str">
        <f t="shared" si="476"/>
        <v>3.85</v>
      </c>
      <c r="AB196" s="164">
        <v>92.31</v>
      </c>
      <c r="AC196" s="164" t="str">
        <f t="shared" si="477"/>
        <v>9.60</v>
      </c>
      <c r="AD196" s="165" t="str">
        <f t="shared" si="478"/>
        <v>106.08</v>
      </c>
      <c r="AE196" s="23"/>
      <c r="AF196" s="169" t="str">
        <f t="shared" si="479"/>
        <v>0</v>
      </c>
      <c r="AG196" s="163" t="str">
        <f t="shared" si="480"/>
        <v>351.50</v>
      </c>
      <c r="AH196" s="170" t="str">
        <f t="shared" si="481"/>
        <v>#DIV/0!</v>
      </c>
      <c r="AI196" s="26"/>
      <c r="AJ196" s="171" t="str">
        <f t="shared" si="482"/>
        <v>0.00%</v>
      </c>
      <c r="AK196" s="172" t="str">
        <f t="shared" si="483"/>
        <v>0.00</v>
      </c>
      <c r="AL196" s="173" t="str">
        <f t="shared" si="484"/>
        <v>370.13</v>
      </c>
      <c r="AM196" s="174" t="str">
        <f t="shared" si="485"/>
        <v>262.79</v>
      </c>
    </row>
    <row r="197" ht="12.75" customHeight="1">
      <c r="A197" s="26"/>
      <c r="B197" s="190" t="s">
        <v>396</v>
      </c>
      <c r="C197" s="192">
        <v>2.12885315E8</v>
      </c>
      <c r="D197" s="152" t="s">
        <v>397</v>
      </c>
      <c r="E197" s="53" t="s">
        <v>77</v>
      </c>
      <c r="F197" s="154">
        <v>1.0</v>
      </c>
      <c r="G197" s="53"/>
      <c r="H197" s="53" t="str">
        <f t="shared" si="463"/>
        <v>0.00069</v>
      </c>
      <c r="I197" s="53" t="str">
        <f t="shared" si="464"/>
        <v>89</v>
      </c>
      <c r="J197" s="53" t="str">
        <f t="shared" si="465"/>
        <v>0</v>
      </c>
      <c r="K197" s="155" t="str">
        <f t="shared" si="466"/>
        <v>0.00</v>
      </c>
      <c r="L197" s="156" t="str">
        <f t="shared" si="467"/>
        <v>0.00 </v>
      </c>
      <c r="M197" s="132">
        <v>90.0</v>
      </c>
      <c r="N197" s="157">
        <v>0.0</v>
      </c>
      <c r="O197" s="158">
        <v>1060.8</v>
      </c>
      <c r="P197" s="159" t="str">
        <f t="shared" si="468"/>
        <v>364.21</v>
      </c>
      <c r="Q197" s="160"/>
      <c r="R197" s="161">
        <v>0.26</v>
      </c>
      <c r="S197" s="162" t="str">
        <f t="shared" si="469"/>
        <v>784.99</v>
      </c>
      <c r="T197" s="163" t="str">
        <f t="shared" si="470"/>
        <v>60.00</v>
      </c>
      <c r="U197" s="164" t="str">
        <f t="shared" si="471"/>
        <v>58.69</v>
      </c>
      <c r="V197" s="165" t="str">
        <f t="shared" si="472"/>
        <v>0.00</v>
      </c>
      <c r="W197" s="166">
        <v>1.34</v>
      </c>
      <c r="X197" s="167" t="str">
        <f t="shared" si="473"/>
        <v>95</v>
      </c>
      <c r="Y197" s="168" t="str">
        <f t="shared" si="474"/>
        <v>344.760</v>
      </c>
      <c r="Z197" s="168" t="str">
        <f t="shared" si="475"/>
        <v>31.321</v>
      </c>
      <c r="AA197" s="164" t="str">
        <f t="shared" si="476"/>
        <v>1.15</v>
      </c>
      <c r="AB197" s="164">
        <v>97.7</v>
      </c>
      <c r="AC197" s="164" t="str">
        <f t="shared" si="477"/>
        <v>9.60</v>
      </c>
      <c r="AD197" s="165" t="str">
        <f t="shared" si="478"/>
        <v>106.08</v>
      </c>
      <c r="AE197" s="23"/>
      <c r="AF197" s="169" t="str">
        <f t="shared" si="479"/>
        <v>0</v>
      </c>
      <c r="AG197" s="163" t="str">
        <f t="shared" si="480"/>
        <v>354.20</v>
      </c>
      <c r="AH197" s="170" t="str">
        <f t="shared" si="481"/>
        <v>#DIV/0!</v>
      </c>
      <c r="AI197" s="26"/>
      <c r="AJ197" s="171" t="str">
        <f t="shared" si="482"/>
        <v>0.00%</v>
      </c>
      <c r="AK197" s="172" t="str">
        <f t="shared" si="483"/>
        <v>0.00</v>
      </c>
      <c r="AL197" s="173" t="str">
        <f t="shared" si="484"/>
        <v>364.21</v>
      </c>
      <c r="AM197" s="174" t="str">
        <f t="shared" si="485"/>
        <v>258.59</v>
      </c>
    </row>
    <row r="198" ht="12.75" customHeight="1">
      <c r="A198" s="26"/>
      <c r="B198" s="190" t="s">
        <v>398</v>
      </c>
      <c r="C198" s="192">
        <v>2.12885316E8</v>
      </c>
      <c r="D198" s="152" t="s">
        <v>399</v>
      </c>
      <c r="E198" s="53" t="s">
        <v>77</v>
      </c>
      <c r="F198" s="154">
        <v>1.0</v>
      </c>
      <c r="G198" s="53"/>
      <c r="H198" s="53" t="str">
        <f t="shared" si="463"/>
        <v>0.00069</v>
      </c>
      <c r="I198" s="53" t="str">
        <f t="shared" si="464"/>
        <v>89</v>
      </c>
      <c r="J198" s="53" t="str">
        <f t="shared" si="465"/>
        <v>0</v>
      </c>
      <c r="K198" s="155" t="str">
        <f t="shared" si="466"/>
        <v>0.00</v>
      </c>
      <c r="L198" s="156" t="str">
        <f t="shared" si="467"/>
        <v>0.00 </v>
      </c>
      <c r="M198" s="132">
        <v>90.0</v>
      </c>
      <c r="N198" s="157">
        <v>0.0</v>
      </c>
      <c r="O198" s="158">
        <v>1146.6</v>
      </c>
      <c r="P198" s="159" t="str">
        <f t="shared" si="468"/>
        <v>364.55</v>
      </c>
      <c r="Q198" s="160"/>
      <c r="R198" s="161">
        <v>0.26</v>
      </c>
      <c r="S198" s="162" t="str">
        <f t="shared" si="469"/>
        <v>848.48</v>
      </c>
      <c r="T198" s="163" t="str">
        <f t="shared" si="470"/>
        <v>60.00</v>
      </c>
      <c r="U198" s="164" t="str">
        <f t="shared" si="471"/>
        <v>63.44</v>
      </c>
      <c r="V198" s="165" t="str">
        <f t="shared" si="472"/>
        <v>0.00</v>
      </c>
      <c r="W198" s="166">
        <v>1.34</v>
      </c>
      <c r="X198" s="167" t="str">
        <f t="shared" si="473"/>
        <v>95</v>
      </c>
      <c r="Y198" s="168" t="str">
        <f t="shared" si="474"/>
        <v>372.645</v>
      </c>
      <c r="Z198" s="168" t="str">
        <f t="shared" si="475"/>
        <v>33.855</v>
      </c>
      <c r="AA198" s="164" t="str">
        <f t="shared" si="476"/>
        <v>1.31</v>
      </c>
      <c r="AB198" s="164">
        <v>97.39</v>
      </c>
      <c r="AC198" s="164" t="str">
        <f t="shared" si="477"/>
        <v>9.60</v>
      </c>
      <c r="AD198" s="165" t="str">
        <f t="shared" si="478"/>
        <v>114.66</v>
      </c>
      <c r="AE198" s="23"/>
      <c r="AF198" s="169" t="str">
        <f t="shared" si="479"/>
        <v>0</v>
      </c>
      <c r="AG198" s="163" t="str">
        <f t="shared" si="480"/>
        <v>396.10</v>
      </c>
      <c r="AH198" s="170" t="str">
        <f t="shared" si="481"/>
        <v>#DIV/0!</v>
      </c>
      <c r="AI198" s="26"/>
      <c r="AJ198" s="171" t="str">
        <f t="shared" si="482"/>
        <v>0.00%</v>
      </c>
      <c r="AK198" s="172" t="str">
        <f t="shared" si="483"/>
        <v>0.00</v>
      </c>
      <c r="AL198" s="173" t="str">
        <f t="shared" si="484"/>
        <v>364.55</v>
      </c>
      <c r="AM198" s="174" t="str">
        <f t="shared" si="485"/>
        <v>258.83</v>
      </c>
    </row>
    <row r="199" ht="12.75" customHeight="1">
      <c r="A199" s="26"/>
      <c r="B199" s="190" t="s">
        <v>400</v>
      </c>
      <c r="C199" s="192">
        <v>2.12885314E8</v>
      </c>
      <c r="D199" s="152" t="s">
        <v>401</v>
      </c>
      <c r="E199" s="53" t="s">
        <v>77</v>
      </c>
      <c r="F199" s="154">
        <v>1.0</v>
      </c>
      <c r="G199" s="53"/>
      <c r="H199" s="53" t="str">
        <f t="shared" si="463"/>
        <v>0.00069</v>
      </c>
      <c r="I199" s="53" t="str">
        <f t="shared" si="464"/>
        <v>89</v>
      </c>
      <c r="J199" s="53" t="str">
        <f t="shared" si="465"/>
        <v>0</v>
      </c>
      <c r="K199" s="155" t="str">
        <f t="shared" si="466"/>
        <v>0.00</v>
      </c>
      <c r="L199" s="156" t="str">
        <f t="shared" si="467"/>
        <v>0.00 </v>
      </c>
      <c r="M199" s="132">
        <v>90.0</v>
      </c>
      <c r="N199" s="157">
        <v>0.0</v>
      </c>
      <c r="O199" s="158">
        <v>1060.8</v>
      </c>
      <c r="P199" s="159" t="str">
        <f t="shared" si="468"/>
        <v>368.48</v>
      </c>
      <c r="Q199" s="160"/>
      <c r="R199" s="161">
        <v>0.26</v>
      </c>
      <c r="S199" s="162" t="str">
        <f t="shared" si="469"/>
        <v>784.99</v>
      </c>
      <c r="T199" s="163" t="str">
        <f t="shared" si="470"/>
        <v>60.00</v>
      </c>
      <c r="U199" s="164" t="str">
        <f t="shared" si="471"/>
        <v>58.69</v>
      </c>
      <c r="V199" s="165" t="str">
        <f t="shared" si="472"/>
        <v>0.00</v>
      </c>
      <c r="W199" s="166">
        <v>1.34</v>
      </c>
      <c r="X199" s="167" t="str">
        <f t="shared" si="473"/>
        <v>95</v>
      </c>
      <c r="Y199" s="168" t="str">
        <f t="shared" si="474"/>
        <v>344.760</v>
      </c>
      <c r="Z199" s="168" t="str">
        <f t="shared" si="475"/>
        <v>31.321</v>
      </c>
      <c r="AA199" s="164" t="str">
        <f t="shared" si="476"/>
        <v>3.10</v>
      </c>
      <c r="AB199" s="164">
        <v>93.81</v>
      </c>
      <c r="AC199" s="164" t="str">
        <f t="shared" si="477"/>
        <v>9.60</v>
      </c>
      <c r="AD199" s="165" t="str">
        <f t="shared" si="478"/>
        <v>106.08</v>
      </c>
      <c r="AE199" s="23"/>
      <c r="AF199" s="169" t="str">
        <f t="shared" si="479"/>
        <v>0</v>
      </c>
      <c r="AG199" s="163" t="str">
        <f t="shared" si="480"/>
        <v>352.25</v>
      </c>
      <c r="AH199" s="170" t="str">
        <f t="shared" si="481"/>
        <v>#DIV/0!</v>
      </c>
      <c r="AI199" s="26"/>
      <c r="AJ199" s="171" t="str">
        <f t="shared" si="482"/>
        <v>0.00%</v>
      </c>
      <c r="AK199" s="172" t="str">
        <f t="shared" si="483"/>
        <v>0.00</v>
      </c>
      <c r="AL199" s="173" t="str">
        <f t="shared" si="484"/>
        <v>368.48</v>
      </c>
      <c r="AM199" s="174" t="str">
        <f t="shared" si="485"/>
        <v>261.62</v>
      </c>
    </row>
    <row r="200" ht="12.75" customHeight="1">
      <c r="A200" s="26"/>
      <c r="B200" s="125" t="s">
        <v>402</v>
      </c>
      <c r="C200" s="126"/>
      <c r="D200" s="127"/>
      <c r="E200" s="128"/>
      <c r="F200" s="128"/>
      <c r="G200" s="128"/>
      <c r="H200" s="197"/>
      <c r="I200" s="197"/>
      <c r="J200" s="128"/>
      <c r="K200" s="130"/>
      <c r="L200" s="131"/>
      <c r="M200" s="132"/>
      <c r="N200" s="176"/>
      <c r="O200" s="134"/>
      <c r="P200" s="135"/>
      <c r="Q200" s="135"/>
      <c r="R200" s="136"/>
      <c r="S200" s="137"/>
      <c r="T200" s="177"/>
      <c r="U200" s="178"/>
      <c r="V200" s="179"/>
      <c r="W200" s="180"/>
      <c r="X200" s="181"/>
      <c r="Y200" s="182"/>
      <c r="Z200" s="182"/>
      <c r="AA200" s="178"/>
      <c r="AB200" s="178"/>
      <c r="AC200" s="178"/>
      <c r="AD200" s="179"/>
      <c r="AE200" s="183"/>
      <c r="AF200" s="184"/>
      <c r="AG200" s="177"/>
      <c r="AH200" s="185"/>
      <c r="AI200" s="26"/>
      <c r="AJ200" s="186"/>
      <c r="AK200" s="187"/>
      <c r="AL200" s="188"/>
      <c r="AM200" s="189"/>
    </row>
    <row r="201" ht="12.75" customHeight="1">
      <c r="A201" s="26"/>
      <c r="B201" s="190" t="s">
        <v>403</v>
      </c>
      <c r="C201" s="199">
        <v>1.80709801E8</v>
      </c>
      <c r="D201" s="152" t="s">
        <v>404</v>
      </c>
      <c r="E201" s="53" t="s">
        <v>77</v>
      </c>
      <c r="F201" s="154">
        <v>1.0</v>
      </c>
      <c r="G201" s="53"/>
      <c r="H201" s="53" t="str">
        <f t="shared" ref="H201:H203" si="486">$I$2</f>
        <v>0.00069</v>
      </c>
      <c r="I201" s="53" t="str">
        <f t="shared" ref="I201:I203" si="487">$I$3</f>
        <v>89</v>
      </c>
      <c r="J201" s="53" t="str">
        <f t="shared" ref="J201:J203" si="488">G201*H201*I201*F201</f>
        <v>0</v>
      </c>
      <c r="K201" s="155" t="str">
        <f t="shared" ref="K201:K203" si="489">J201*$J$4</f>
        <v>0.00</v>
      </c>
      <c r="L201" s="156" t="str">
        <f t="shared" ref="L201:L203" si="490">K201+J201</f>
        <v>0.00 </v>
      </c>
      <c r="M201" s="132">
        <v>90.0</v>
      </c>
      <c r="N201" s="157">
        <v>415.46</v>
      </c>
      <c r="O201" s="158">
        <v>1290.0</v>
      </c>
      <c r="P201" s="159" t="str">
        <f t="shared" ref="P201:P202" si="491">O201</f>
        <v>1,290.00</v>
      </c>
      <c r="Q201" s="160">
        <v>1290.0</v>
      </c>
      <c r="R201" s="161">
        <v>0.26</v>
      </c>
      <c r="S201" s="162" t="str">
        <f t="shared" ref="S201:S203" si="492">O201-(O201*R201)</f>
        <v>954.60</v>
      </c>
      <c r="T201" s="163" t="str">
        <f t="shared" ref="T201:T203" si="493">$C$1</f>
        <v>60.00</v>
      </c>
      <c r="U201" s="164" t="str">
        <f t="shared" ref="U201:U203" si="494">(S201*7/107)+((S201-(S201*7/107))*1%)</f>
        <v>71.37</v>
      </c>
      <c r="V201" s="165" t="str">
        <f t="shared" ref="V201:V203" si="495">N201*$C$3*(M201/30)</f>
        <v>0.00</v>
      </c>
      <c r="W201" s="166">
        <v>0.36</v>
      </c>
      <c r="X201" s="167" t="str">
        <f t="shared" ref="X201:X203" si="496">((_xlfn.CEILING.MATH(W201)-1)*$C$5+$C$4)</f>
        <v>76</v>
      </c>
      <c r="Y201" s="168" t="str">
        <f t="shared" ref="Y201:Y203" si="497">O201*$Y$6</f>
        <v>419.250</v>
      </c>
      <c r="Z201" s="168" t="str">
        <f t="shared" ref="Z201:Z203" si="498">S201*$Y$7</f>
        <v>38.089</v>
      </c>
      <c r="AA201" s="164" t="str">
        <f t="shared" ref="AA201:AA203" si="499">$Y$3*((100-AB201)/100)</f>
        <v>3.19</v>
      </c>
      <c r="AB201" s="164">
        <v>93.62</v>
      </c>
      <c r="AC201" s="164" t="str">
        <f t="shared" ref="AC201:AC203" si="500">$C$6*$C$7*_xlfn.CEILING.MATH(W201)</f>
        <v>4.80</v>
      </c>
      <c r="AD201" s="165" t="str">
        <f t="shared" ref="AD201:AD203" si="501">O201*$C$2</f>
        <v>129.00</v>
      </c>
      <c r="AE201" s="23"/>
      <c r="AF201" s="169" t="str">
        <f t="shared" ref="AF201:AF203" si="502">(_xlfn.CEILING.MATH(W201))*$Y$1*$AD$2</f>
        <v>0</v>
      </c>
      <c r="AG201" s="163" t="str">
        <f t="shared" ref="AG201:AG203" si="503">O201-T201-U201-V201-X201-Y201-Z201-AA201-AC201-AD201-N201</f>
        <v>72.84</v>
      </c>
      <c r="AH201" s="170" t="str">
        <f t="shared" ref="AH201:AH203" si="504">AG201/N201</f>
        <v>17.53%</v>
      </c>
      <c r="AI201" s="26"/>
      <c r="AJ201" s="171" t="str">
        <f t="shared" ref="AJ201:AJ203" si="505">$AD$3</f>
        <v>0.00%</v>
      </c>
      <c r="AK201" s="172" t="str">
        <f t="shared" ref="AK201:AK203" si="506">N201*AJ201</f>
        <v>0.00</v>
      </c>
      <c r="AL201" s="173" t="str">
        <f t="shared" ref="AL201:AL203" si="507">(N201+T201+V201+X201+AA201+AC201+AF201+AK201)/(100%-($C$2+$C$8+$Y$6+$Y$7))</f>
        <v>1,229.29</v>
      </c>
      <c r="AM201" s="174" t="str">
        <f t="shared" ref="AM201:AM203" si="508">AL201-(AL201*$AD$1)</f>
        <v>872.80</v>
      </c>
    </row>
    <row r="202" ht="12.75" customHeight="1">
      <c r="A202" s="26"/>
      <c r="B202" s="190" t="s">
        <v>405</v>
      </c>
      <c r="C202" s="199">
        <v>1.79611284E8</v>
      </c>
      <c r="D202" s="152" t="s">
        <v>406</v>
      </c>
      <c r="E202" s="53" t="s">
        <v>77</v>
      </c>
      <c r="F202" s="154">
        <v>1.0</v>
      </c>
      <c r="G202" s="53"/>
      <c r="H202" s="53" t="str">
        <f t="shared" si="486"/>
        <v>0.00069</v>
      </c>
      <c r="I202" s="53" t="str">
        <f t="shared" si="487"/>
        <v>89</v>
      </c>
      <c r="J202" s="53" t="str">
        <f t="shared" si="488"/>
        <v>0</v>
      </c>
      <c r="K202" s="155" t="str">
        <f t="shared" si="489"/>
        <v>0.00</v>
      </c>
      <c r="L202" s="156" t="str">
        <f t="shared" si="490"/>
        <v>0.00 </v>
      </c>
      <c r="M202" s="132">
        <v>90.0</v>
      </c>
      <c r="N202" s="157">
        <v>415.46</v>
      </c>
      <c r="O202" s="158">
        <v>1290.0</v>
      </c>
      <c r="P202" s="159" t="str">
        <f t="shared" si="491"/>
        <v>1,290.00</v>
      </c>
      <c r="Q202" s="160" t="s">
        <v>78</v>
      </c>
      <c r="R202" s="161">
        <v>0.26</v>
      </c>
      <c r="S202" s="162" t="str">
        <f t="shared" si="492"/>
        <v>954.60</v>
      </c>
      <c r="T202" s="163" t="str">
        <f t="shared" si="493"/>
        <v>60.00</v>
      </c>
      <c r="U202" s="164" t="str">
        <f t="shared" si="494"/>
        <v>71.37</v>
      </c>
      <c r="V202" s="165" t="str">
        <f t="shared" si="495"/>
        <v>0.00</v>
      </c>
      <c r="W202" s="166">
        <v>0.36</v>
      </c>
      <c r="X202" s="167" t="str">
        <f t="shared" si="496"/>
        <v>76</v>
      </c>
      <c r="Y202" s="168" t="str">
        <f t="shared" si="497"/>
        <v>419.250</v>
      </c>
      <c r="Z202" s="168" t="str">
        <f t="shared" si="498"/>
        <v>38.089</v>
      </c>
      <c r="AA202" s="164" t="str">
        <f t="shared" si="499"/>
        <v>4.00</v>
      </c>
      <c r="AB202" s="164">
        <v>92.0</v>
      </c>
      <c r="AC202" s="164" t="str">
        <f t="shared" si="500"/>
        <v>4.80</v>
      </c>
      <c r="AD202" s="165" t="str">
        <f t="shared" si="501"/>
        <v>129.00</v>
      </c>
      <c r="AE202" s="23"/>
      <c r="AF202" s="169" t="str">
        <f t="shared" si="502"/>
        <v>0</v>
      </c>
      <c r="AG202" s="163" t="str">
        <f t="shared" si="503"/>
        <v>72.03</v>
      </c>
      <c r="AH202" s="170" t="str">
        <f t="shared" si="504"/>
        <v>17.34%</v>
      </c>
      <c r="AI202" s="26"/>
      <c r="AJ202" s="171" t="str">
        <f t="shared" si="505"/>
        <v>0.00%</v>
      </c>
      <c r="AK202" s="172" t="str">
        <f t="shared" si="506"/>
        <v>0.00</v>
      </c>
      <c r="AL202" s="173" t="str">
        <f t="shared" si="507"/>
        <v>1,231.07</v>
      </c>
      <c r="AM202" s="174" t="str">
        <f t="shared" si="508"/>
        <v>874.06</v>
      </c>
    </row>
    <row r="203" ht="12.75" customHeight="1">
      <c r="A203" s="26"/>
      <c r="B203" s="190" t="s">
        <v>407</v>
      </c>
      <c r="C203" s="192">
        <v>1.79611266E8</v>
      </c>
      <c r="D203" s="152" t="s">
        <v>408</v>
      </c>
      <c r="E203" s="53" t="s">
        <v>77</v>
      </c>
      <c r="F203" s="154">
        <v>1.0</v>
      </c>
      <c r="G203" s="53"/>
      <c r="H203" s="53" t="str">
        <f t="shared" si="486"/>
        <v>0.00069</v>
      </c>
      <c r="I203" s="53" t="str">
        <f t="shared" si="487"/>
        <v>89</v>
      </c>
      <c r="J203" s="53" t="str">
        <f t="shared" si="488"/>
        <v>0</v>
      </c>
      <c r="K203" s="155" t="str">
        <f t="shared" si="489"/>
        <v>0.00</v>
      </c>
      <c r="L203" s="156" t="str">
        <f t="shared" si="490"/>
        <v>0.00 </v>
      </c>
      <c r="M203" s="132">
        <v>90.0</v>
      </c>
      <c r="N203" s="157">
        <v>0.0</v>
      </c>
      <c r="O203" s="158">
        <v>1116.9</v>
      </c>
      <c r="P203" s="159" t="str">
        <f>AL203</f>
        <v>319.37</v>
      </c>
      <c r="Q203" s="160"/>
      <c r="R203" s="161">
        <v>0.26</v>
      </c>
      <c r="S203" s="162" t="str">
        <f t="shared" si="492"/>
        <v>826.51</v>
      </c>
      <c r="T203" s="163" t="str">
        <f t="shared" si="493"/>
        <v>60.00</v>
      </c>
      <c r="U203" s="164" t="str">
        <f t="shared" si="494"/>
        <v>61.79</v>
      </c>
      <c r="V203" s="165" t="str">
        <f t="shared" si="495"/>
        <v>0.00</v>
      </c>
      <c r="W203" s="166">
        <v>0.36</v>
      </c>
      <c r="X203" s="167" t="str">
        <f t="shared" si="496"/>
        <v>76</v>
      </c>
      <c r="Y203" s="168" t="str">
        <f t="shared" si="497"/>
        <v>362.993</v>
      </c>
      <c r="Z203" s="168" t="str">
        <f t="shared" si="498"/>
        <v>32.978</v>
      </c>
      <c r="AA203" s="164" t="str">
        <f t="shared" si="499"/>
        <v>4.55</v>
      </c>
      <c r="AB203" s="164">
        <v>90.91</v>
      </c>
      <c r="AC203" s="164" t="str">
        <f t="shared" si="500"/>
        <v>4.80</v>
      </c>
      <c r="AD203" s="165" t="str">
        <f t="shared" si="501"/>
        <v>111.69</v>
      </c>
      <c r="AE203" s="23"/>
      <c r="AF203" s="169" t="str">
        <f t="shared" si="502"/>
        <v>0</v>
      </c>
      <c r="AG203" s="163" t="str">
        <f t="shared" si="503"/>
        <v>402.10</v>
      </c>
      <c r="AH203" s="170" t="str">
        <f t="shared" si="504"/>
        <v>#DIV/0!</v>
      </c>
      <c r="AI203" s="26"/>
      <c r="AJ203" s="171" t="str">
        <f t="shared" si="505"/>
        <v>0.00%</v>
      </c>
      <c r="AK203" s="172" t="str">
        <f t="shared" si="506"/>
        <v>0.00</v>
      </c>
      <c r="AL203" s="173" t="str">
        <f t="shared" si="507"/>
        <v>319.37</v>
      </c>
      <c r="AM203" s="174" t="str">
        <f t="shared" si="508"/>
        <v>226.75</v>
      </c>
    </row>
    <row r="204" ht="12.75" customHeight="1">
      <c r="A204" s="26"/>
      <c r="B204" s="125" t="s">
        <v>409</v>
      </c>
      <c r="C204" s="126"/>
      <c r="D204" s="127"/>
      <c r="E204" s="128"/>
      <c r="F204" s="128"/>
      <c r="G204" s="128"/>
      <c r="H204" s="197"/>
      <c r="I204" s="197"/>
      <c r="J204" s="128"/>
      <c r="K204" s="130"/>
      <c r="L204" s="131"/>
      <c r="M204" s="132"/>
      <c r="N204" s="176"/>
      <c r="O204" s="134"/>
      <c r="P204" s="135"/>
      <c r="Q204" s="135"/>
      <c r="R204" s="136"/>
      <c r="S204" s="137"/>
      <c r="T204" s="177"/>
      <c r="U204" s="178"/>
      <c r="V204" s="179"/>
      <c r="W204" s="180"/>
      <c r="X204" s="181"/>
      <c r="Y204" s="182"/>
      <c r="Z204" s="182"/>
      <c r="AA204" s="178"/>
      <c r="AB204" s="178"/>
      <c r="AC204" s="178"/>
      <c r="AD204" s="179"/>
      <c r="AE204" s="183"/>
      <c r="AF204" s="184"/>
      <c r="AG204" s="177"/>
      <c r="AH204" s="185"/>
      <c r="AI204" s="26"/>
      <c r="AJ204" s="186"/>
      <c r="AK204" s="187"/>
      <c r="AL204" s="188"/>
      <c r="AM204" s="189"/>
    </row>
    <row r="205" ht="12.75" customHeight="1">
      <c r="A205" s="26"/>
      <c r="B205" s="190" t="s">
        <v>410</v>
      </c>
      <c r="C205" s="199">
        <v>8.6876153E8</v>
      </c>
      <c r="D205" s="213" t="s">
        <v>411</v>
      </c>
      <c r="E205" s="53"/>
      <c r="F205" s="154">
        <v>1.0</v>
      </c>
      <c r="G205" s="53"/>
      <c r="H205" s="53" t="str">
        <f>$I$2</f>
        <v>0.00069</v>
      </c>
      <c r="I205" s="53" t="str">
        <f>$I$3</f>
        <v>89</v>
      </c>
      <c r="J205" s="53" t="str">
        <f>G205*H205*I205*F205</f>
        <v>0</v>
      </c>
      <c r="K205" s="155" t="str">
        <f>J205*$J$4</f>
        <v>0.00</v>
      </c>
      <c r="L205" s="156" t="str">
        <f>K205+J205</f>
        <v>0.00 </v>
      </c>
      <c r="M205" s="132">
        <v>90.0</v>
      </c>
      <c r="N205" s="157">
        <v>130.86</v>
      </c>
      <c r="O205" s="158">
        <v>645.0</v>
      </c>
      <c r="P205" s="159" t="str">
        <f>AL205</f>
        <v>654.49</v>
      </c>
      <c r="Q205" s="160"/>
      <c r="R205" s="161">
        <v>0.26</v>
      </c>
      <c r="S205" s="162" t="str">
        <f>O205-(O205*R205)</f>
        <v>477.30</v>
      </c>
      <c r="T205" s="163" t="str">
        <f>$C$1</f>
        <v>60.00</v>
      </c>
      <c r="U205" s="164" t="str">
        <f>(S205*7/107)+((S205-(S205*7/107))*1%)</f>
        <v>35.69</v>
      </c>
      <c r="V205" s="165" t="str">
        <f>N205*$C$3*(M205/30)</f>
        <v>0.00</v>
      </c>
      <c r="W205" s="166"/>
      <c r="X205" s="167" t="str">
        <f>((_xlfn.CEILING.MATH(W205)-1)*$C$5+$C$4)</f>
        <v>57</v>
      </c>
      <c r="Y205" s="168" t="str">
        <f>O205*$Y$6</f>
        <v>209.625</v>
      </c>
      <c r="Z205" s="168" t="str">
        <f>S205*$Y$7</f>
        <v>19.044</v>
      </c>
      <c r="AA205" s="164" t="str">
        <f>$Y$3*((100-AB205)/100)</f>
        <v>50.00</v>
      </c>
      <c r="AB205" s="164"/>
      <c r="AC205" s="164" t="str">
        <f>$C$6*$C$7*_xlfn.CEILING.MATH(W205)</f>
        <v>0.00</v>
      </c>
      <c r="AD205" s="165" t="str">
        <f>O205*$C$2</f>
        <v>64.50</v>
      </c>
      <c r="AE205" s="23"/>
      <c r="AF205" s="169" t="str">
        <f>(_xlfn.CEILING.MATH(W205))*$Y$1*$AD$2</f>
        <v>0</v>
      </c>
      <c r="AG205" s="163" t="str">
        <f>O205-T205-U205-V205-X205-Y205-Z205-AA205-AC205-AD205-N205</f>
        <v>18.28</v>
      </c>
      <c r="AH205" s="170" t="str">
        <f>AG205/N205</f>
        <v>13.97%</v>
      </c>
      <c r="AI205" s="26"/>
      <c r="AJ205" s="171" t="str">
        <f>$AD$3</f>
        <v>0.00%</v>
      </c>
      <c r="AK205" s="172" t="str">
        <f>N205*AJ205</f>
        <v>0.00</v>
      </c>
      <c r="AL205" s="173" t="str">
        <f>(N205+T205+V205+X205+AA205+AC205+AF205+AK205)/(100%-($C$2+$C$8+$Y$6+$Y$7))</f>
        <v>654.49</v>
      </c>
      <c r="AM205" s="174" t="str">
        <f>AL205-(AL205*$AD$1)</f>
        <v>464.69</v>
      </c>
    </row>
    <row r="206" ht="12.75" customHeight="1">
      <c r="A206" s="26"/>
      <c r="B206" s="125" t="s">
        <v>412</v>
      </c>
      <c r="C206" s="126"/>
      <c r="D206" s="127"/>
      <c r="E206" s="128"/>
      <c r="F206" s="128"/>
      <c r="G206" s="128"/>
      <c r="H206" s="197"/>
      <c r="I206" s="197"/>
      <c r="J206" s="128"/>
      <c r="K206" s="130"/>
      <c r="L206" s="131"/>
      <c r="M206" s="132"/>
      <c r="N206" s="176"/>
      <c r="O206" s="134"/>
      <c r="P206" s="135"/>
      <c r="Q206" s="135"/>
      <c r="R206" s="136"/>
      <c r="S206" s="137"/>
      <c r="T206" s="177"/>
      <c r="U206" s="178"/>
      <c r="V206" s="179"/>
      <c r="W206" s="180"/>
      <c r="X206" s="181"/>
      <c r="Y206" s="182"/>
      <c r="Z206" s="182"/>
      <c r="AA206" s="178"/>
      <c r="AB206" s="178"/>
      <c r="AC206" s="178"/>
      <c r="AD206" s="179"/>
      <c r="AE206" s="183"/>
      <c r="AF206" s="184"/>
      <c r="AG206" s="177"/>
      <c r="AH206" s="185"/>
      <c r="AI206" s="26"/>
      <c r="AJ206" s="186"/>
      <c r="AK206" s="187"/>
      <c r="AL206" s="188"/>
      <c r="AM206" s="189"/>
    </row>
    <row r="207" ht="12.75" customHeight="1">
      <c r="A207" s="26"/>
      <c r="B207" s="190" t="s">
        <v>413</v>
      </c>
      <c r="C207" s="199">
        <v>2.07818642E8</v>
      </c>
      <c r="D207" s="152" t="s">
        <v>414</v>
      </c>
      <c r="E207" s="53" t="s">
        <v>77</v>
      </c>
      <c r="F207" s="154">
        <v>1.0</v>
      </c>
      <c r="G207" s="53"/>
      <c r="H207" s="53" t="str">
        <f t="shared" ref="H207:H216" si="509">$I$2</f>
        <v>0.00069</v>
      </c>
      <c r="I207" s="53" t="str">
        <f t="shared" ref="I207:I216" si="510">$I$3</f>
        <v>89</v>
      </c>
      <c r="J207" s="53" t="str">
        <f t="shared" ref="J207:J216" si="511">G207*H207*I207*F207</f>
        <v>0</v>
      </c>
      <c r="K207" s="155" t="str">
        <f t="shared" ref="K207:K216" si="512">J207*$J$4</f>
        <v>0.00</v>
      </c>
      <c r="L207" s="156" t="str">
        <f t="shared" ref="L207:L216" si="513">K207+J207</f>
        <v>0.00 </v>
      </c>
      <c r="M207" s="132">
        <v>90.0</v>
      </c>
      <c r="N207" s="157">
        <v>108.15</v>
      </c>
      <c r="O207" s="158">
        <v>601.0</v>
      </c>
      <c r="P207" s="159" t="str">
        <f t="shared" ref="P207:P209" si="514">O207</f>
        <v>601.00</v>
      </c>
      <c r="Q207" s="160">
        <v>540.0</v>
      </c>
      <c r="R207" s="161">
        <v>0.26</v>
      </c>
      <c r="S207" s="162" t="str">
        <f t="shared" ref="S207:S216" si="515">O207-(O207*R207)</f>
        <v>444.74</v>
      </c>
      <c r="T207" s="163" t="str">
        <f t="shared" ref="T207:T216" si="516">$C$1</f>
        <v>60.00</v>
      </c>
      <c r="U207" s="164" t="str">
        <f t="shared" ref="U207:U216" si="517">(S207*7/107)+((S207-(S207*7/107))*1%)</f>
        <v>33.25</v>
      </c>
      <c r="V207" s="165" t="str">
        <f t="shared" ref="V207:V216" si="518">N207*$C$3*(M207/30)</f>
        <v>0.00</v>
      </c>
      <c r="W207" s="166">
        <v>0.27</v>
      </c>
      <c r="X207" s="167" t="str">
        <f t="shared" ref="X207:X216" si="519">((_xlfn.CEILING.MATH(W207)-1)*$C$5+$C$4)</f>
        <v>76</v>
      </c>
      <c r="Y207" s="168" t="str">
        <f t="shared" ref="Y207:Y216" si="520">O207*$Y$6</f>
        <v>195.325</v>
      </c>
      <c r="Z207" s="168" t="str">
        <f t="shared" ref="Z207:Z216" si="521">S207*$Y$7</f>
        <v>17.745</v>
      </c>
      <c r="AA207" s="164" t="str">
        <f t="shared" ref="AA207:AA216" si="522">$Y$3*((100-AB207)/100)</f>
        <v>0.00</v>
      </c>
      <c r="AB207" s="164">
        <v>100.0</v>
      </c>
      <c r="AC207" s="164" t="str">
        <f t="shared" ref="AC207:AC216" si="523">$C$6*$C$7*_xlfn.CEILING.MATH(W207)</f>
        <v>4.80</v>
      </c>
      <c r="AD207" s="165" t="str">
        <f t="shared" ref="AD207:AD216" si="524">O207*$C$2</f>
        <v>60.10</v>
      </c>
      <c r="AE207" s="23"/>
      <c r="AF207" s="169" t="str">
        <f t="shared" ref="AF207:AF216" si="525">(_xlfn.CEILING.MATH(W207))*$Y$1*$AD$2</f>
        <v>0</v>
      </c>
      <c r="AG207" s="163" t="str">
        <f t="shared" ref="AG207:AG216" si="526">O207-T207-U207-V207-X207-Y207-Z207-AA207-AC207-AD207-N207</f>
        <v>45.63</v>
      </c>
      <c r="AH207" s="170" t="str">
        <f t="shared" ref="AH207:AH216" si="527">AG207/N207</f>
        <v>42.19%</v>
      </c>
      <c r="AI207" s="26"/>
      <c r="AJ207" s="171" t="str">
        <f t="shared" ref="AJ207:AJ216" si="528">$AD$3</f>
        <v>0.00%</v>
      </c>
      <c r="AK207" s="172" t="str">
        <f t="shared" ref="AK207:AK216" si="529">N207*AJ207</f>
        <v>0.00</v>
      </c>
      <c r="AL207" s="173" t="str">
        <f t="shared" ref="AL207:AL216" si="530">(N207+T207+V207+X207+AA207+AC207+AF207+AK207)/(100%-($C$2+$C$8+$Y$6+$Y$7))</f>
        <v>547.02</v>
      </c>
      <c r="AM207" s="174" t="str">
        <f t="shared" ref="AM207:AM216" si="531">AL207-(AL207*$AD$1)</f>
        <v>388.39</v>
      </c>
    </row>
    <row r="208" ht="12.75" customHeight="1">
      <c r="A208" s="26"/>
      <c r="B208" s="190" t="s">
        <v>415</v>
      </c>
      <c r="C208" s="199">
        <v>2.10575566E8</v>
      </c>
      <c r="D208" s="152" t="s">
        <v>416</v>
      </c>
      <c r="E208" s="53" t="s">
        <v>77</v>
      </c>
      <c r="F208" s="154">
        <v>1.0</v>
      </c>
      <c r="G208" s="53"/>
      <c r="H208" s="53" t="str">
        <f t="shared" si="509"/>
        <v>0.00069</v>
      </c>
      <c r="I208" s="53" t="str">
        <f t="shared" si="510"/>
        <v>89</v>
      </c>
      <c r="J208" s="53" t="str">
        <f t="shared" si="511"/>
        <v>0</v>
      </c>
      <c r="K208" s="155" t="str">
        <f t="shared" si="512"/>
        <v>0.00</v>
      </c>
      <c r="L208" s="156" t="str">
        <f t="shared" si="513"/>
        <v>0.00 </v>
      </c>
      <c r="M208" s="132">
        <v>90.0</v>
      </c>
      <c r="N208" s="157">
        <v>108.15</v>
      </c>
      <c r="O208" s="158">
        <v>675.0</v>
      </c>
      <c r="P208" s="159" t="str">
        <f t="shared" si="514"/>
        <v>675.00</v>
      </c>
      <c r="Q208" s="160">
        <v>680.0</v>
      </c>
      <c r="R208" s="161">
        <v>0.26</v>
      </c>
      <c r="S208" s="162" t="str">
        <f t="shared" si="515"/>
        <v>499.50</v>
      </c>
      <c r="T208" s="163" t="str">
        <f t="shared" si="516"/>
        <v>60.00</v>
      </c>
      <c r="U208" s="164" t="str">
        <f t="shared" si="517"/>
        <v>37.35</v>
      </c>
      <c r="V208" s="165" t="str">
        <f t="shared" si="518"/>
        <v>0.00</v>
      </c>
      <c r="W208" s="166">
        <v>0.27</v>
      </c>
      <c r="X208" s="167" t="str">
        <f t="shared" si="519"/>
        <v>76</v>
      </c>
      <c r="Y208" s="168" t="str">
        <f t="shared" si="520"/>
        <v>219.375</v>
      </c>
      <c r="Z208" s="168" t="str">
        <f t="shared" si="521"/>
        <v>19.930</v>
      </c>
      <c r="AA208" s="164" t="str">
        <f t="shared" si="522"/>
        <v>0.58</v>
      </c>
      <c r="AB208" s="164">
        <v>98.85</v>
      </c>
      <c r="AC208" s="164" t="str">
        <f t="shared" si="523"/>
        <v>4.80</v>
      </c>
      <c r="AD208" s="165" t="str">
        <f t="shared" si="524"/>
        <v>67.50</v>
      </c>
      <c r="AE208" s="23"/>
      <c r="AF208" s="169" t="str">
        <f t="shared" si="525"/>
        <v>0</v>
      </c>
      <c r="AG208" s="163" t="str">
        <f t="shared" si="526"/>
        <v>81.32</v>
      </c>
      <c r="AH208" s="170" t="str">
        <f t="shared" si="527"/>
        <v>75.20%</v>
      </c>
      <c r="AI208" s="26"/>
      <c r="AJ208" s="171" t="str">
        <f t="shared" si="528"/>
        <v>0.00%</v>
      </c>
      <c r="AK208" s="172" t="str">
        <f t="shared" si="529"/>
        <v>0.00</v>
      </c>
      <c r="AL208" s="173" t="str">
        <f t="shared" si="530"/>
        <v>548.29</v>
      </c>
      <c r="AM208" s="174" t="str">
        <f t="shared" si="531"/>
        <v>389.28</v>
      </c>
    </row>
    <row r="209" ht="12.75" customHeight="1">
      <c r="A209" s="26"/>
      <c r="B209" s="190" t="s">
        <v>417</v>
      </c>
      <c r="C209" s="199">
        <v>2.10579932E8</v>
      </c>
      <c r="D209" s="152" t="s">
        <v>418</v>
      </c>
      <c r="E209" s="53" t="s">
        <v>77</v>
      </c>
      <c r="F209" s="154">
        <v>1.0</v>
      </c>
      <c r="G209" s="53"/>
      <c r="H209" s="53" t="str">
        <f t="shared" si="509"/>
        <v>0.00069</v>
      </c>
      <c r="I209" s="53" t="str">
        <f t="shared" si="510"/>
        <v>89</v>
      </c>
      <c r="J209" s="53" t="str">
        <f t="shared" si="511"/>
        <v>0</v>
      </c>
      <c r="K209" s="155" t="str">
        <f t="shared" si="512"/>
        <v>0.00</v>
      </c>
      <c r="L209" s="156" t="str">
        <f t="shared" si="513"/>
        <v>0.00 </v>
      </c>
      <c r="M209" s="132">
        <v>90.0</v>
      </c>
      <c r="N209" s="157">
        <v>108.15</v>
      </c>
      <c r="O209" s="158">
        <v>601.0</v>
      </c>
      <c r="P209" s="159" t="str">
        <f t="shared" si="514"/>
        <v>601.00</v>
      </c>
      <c r="Q209" s="160">
        <v>606.0</v>
      </c>
      <c r="R209" s="161">
        <v>0.26</v>
      </c>
      <c r="S209" s="162" t="str">
        <f t="shared" si="515"/>
        <v>444.74</v>
      </c>
      <c r="T209" s="163" t="str">
        <f t="shared" si="516"/>
        <v>60.00</v>
      </c>
      <c r="U209" s="164" t="str">
        <f t="shared" si="517"/>
        <v>33.25</v>
      </c>
      <c r="V209" s="165" t="str">
        <f t="shared" si="518"/>
        <v>0.00</v>
      </c>
      <c r="W209" s="166">
        <v>0.27</v>
      </c>
      <c r="X209" s="167" t="str">
        <f t="shared" si="519"/>
        <v>76</v>
      </c>
      <c r="Y209" s="168" t="str">
        <f t="shared" si="520"/>
        <v>195.325</v>
      </c>
      <c r="Z209" s="168" t="str">
        <f t="shared" si="521"/>
        <v>17.745</v>
      </c>
      <c r="AA209" s="164" t="str">
        <f t="shared" si="522"/>
        <v>1.14</v>
      </c>
      <c r="AB209" s="164">
        <v>97.73</v>
      </c>
      <c r="AC209" s="164" t="str">
        <f t="shared" si="523"/>
        <v>4.80</v>
      </c>
      <c r="AD209" s="165" t="str">
        <f t="shared" si="524"/>
        <v>60.10</v>
      </c>
      <c r="AE209" s="23"/>
      <c r="AF209" s="169" t="str">
        <f t="shared" si="525"/>
        <v>0</v>
      </c>
      <c r="AG209" s="163" t="str">
        <f t="shared" si="526"/>
        <v>44.49</v>
      </c>
      <c r="AH209" s="170" t="str">
        <f t="shared" si="527"/>
        <v>41.14%</v>
      </c>
      <c r="AI209" s="26"/>
      <c r="AJ209" s="171" t="str">
        <f t="shared" si="528"/>
        <v>0.00%</v>
      </c>
      <c r="AK209" s="172" t="str">
        <f t="shared" si="529"/>
        <v>0.00</v>
      </c>
      <c r="AL209" s="173" t="str">
        <f t="shared" si="530"/>
        <v>549.52</v>
      </c>
      <c r="AM209" s="174" t="str">
        <f t="shared" si="531"/>
        <v>390.16</v>
      </c>
    </row>
    <row r="210" ht="12.75" customHeight="1">
      <c r="A210" s="26"/>
      <c r="B210" s="190" t="s">
        <v>419</v>
      </c>
      <c r="C210" s="192">
        <v>2.10573611E8</v>
      </c>
      <c r="D210" s="152" t="s">
        <v>420</v>
      </c>
      <c r="E210" s="53" t="s">
        <v>77</v>
      </c>
      <c r="F210" s="154">
        <v>1.0</v>
      </c>
      <c r="G210" s="53"/>
      <c r="H210" s="53" t="str">
        <f t="shared" si="509"/>
        <v>0.00069</v>
      </c>
      <c r="I210" s="53" t="str">
        <f t="shared" si="510"/>
        <v>89</v>
      </c>
      <c r="J210" s="53" t="str">
        <f t="shared" si="511"/>
        <v>0</v>
      </c>
      <c r="K210" s="155" t="str">
        <f t="shared" si="512"/>
        <v>0.00</v>
      </c>
      <c r="L210" s="156" t="str">
        <f t="shared" si="513"/>
        <v>0.00 </v>
      </c>
      <c r="M210" s="132">
        <v>90.0</v>
      </c>
      <c r="N210" s="157">
        <v>0.0</v>
      </c>
      <c r="O210" s="158">
        <v>460.8</v>
      </c>
      <c r="P210" s="159" t="str">
        <f t="shared" ref="P210:P216" si="532">AL210</f>
        <v>315.84</v>
      </c>
      <c r="Q210" s="160"/>
      <c r="R210" s="161">
        <v>0.26</v>
      </c>
      <c r="S210" s="162" t="str">
        <f t="shared" si="515"/>
        <v>340.99</v>
      </c>
      <c r="T210" s="163" t="str">
        <f t="shared" si="516"/>
        <v>60.00</v>
      </c>
      <c r="U210" s="164" t="str">
        <f t="shared" si="517"/>
        <v>25.49</v>
      </c>
      <c r="V210" s="165" t="str">
        <f t="shared" si="518"/>
        <v>0.00</v>
      </c>
      <c r="W210" s="166">
        <v>0.27</v>
      </c>
      <c r="X210" s="167" t="str">
        <f t="shared" si="519"/>
        <v>76</v>
      </c>
      <c r="Y210" s="168" t="str">
        <f t="shared" si="520"/>
        <v>149.760</v>
      </c>
      <c r="Z210" s="168" t="str">
        <f t="shared" si="521"/>
        <v>13.606</v>
      </c>
      <c r="AA210" s="164" t="str">
        <f t="shared" si="522"/>
        <v>2.94</v>
      </c>
      <c r="AB210" s="164">
        <v>94.12</v>
      </c>
      <c r="AC210" s="164" t="str">
        <f t="shared" si="523"/>
        <v>4.80</v>
      </c>
      <c r="AD210" s="165" t="str">
        <f t="shared" si="524"/>
        <v>46.08</v>
      </c>
      <c r="AE210" s="23"/>
      <c r="AF210" s="169" t="str">
        <f t="shared" si="525"/>
        <v>0</v>
      </c>
      <c r="AG210" s="163" t="str">
        <f t="shared" si="526"/>
        <v>82.12</v>
      </c>
      <c r="AH210" s="170" t="str">
        <f t="shared" si="527"/>
        <v>#DIV/0!</v>
      </c>
      <c r="AI210" s="26"/>
      <c r="AJ210" s="171" t="str">
        <f t="shared" si="528"/>
        <v>0.00%</v>
      </c>
      <c r="AK210" s="172" t="str">
        <f t="shared" si="529"/>
        <v>0.00</v>
      </c>
      <c r="AL210" s="173" t="str">
        <f t="shared" si="530"/>
        <v>315.84</v>
      </c>
      <c r="AM210" s="174" t="str">
        <f t="shared" si="531"/>
        <v>224.25</v>
      </c>
    </row>
    <row r="211" ht="12.75" customHeight="1">
      <c r="A211" s="26"/>
      <c r="B211" s="190" t="s">
        <v>421</v>
      </c>
      <c r="C211" s="191">
        <v>2.0781902E8</v>
      </c>
      <c r="D211" s="152" t="s">
        <v>422</v>
      </c>
      <c r="E211" s="53" t="s">
        <v>77</v>
      </c>
      <c r="F211" s="154">
        <v>1.0</v>
      </c>
      <c r="G211" s="53"/>
      <c r="H211" s="53" t="str">
        <f t="shared" si="509"/>
        <v>0.00069</v>
      </c>
      <c r="I211" s="53" t="str">
        <f t="shared" si="510"/>
        <v>89</v>
      </c>
      <c r="J211" s="53" t="str">
        <f t="shared" si="511"/>
        <v>0</v>
      </c>
      <c r="K211" s="155" t="str">
        <f t="shared" si="512"/>
        <v>0.00</v>
      </c>
      <c r="L211" s="156" t="str">
        <f t="shared" si="513"/>
        <v>0.00 </v>
      </c>
      <c r="M211" s="132">
        <v>90.0</v>
      </c>
      <c r="N211" s="157">
        <v>0.0</v>
      </c>
      <c r="O211" s="158">
        <v>413.4</v>
      </c>
      <c r="P211" s="159" t="str">
        <f t="shared" si="532"/>
        <v>310.73</v>
      </c>
      <c r="Q211" s="160"/>
      <c r="R211" s="161">
        <v>0.26</v>
      </c>
      <c r="S211" s="162" t="str">
        <f t="shared" si="515"/>
        <v>305.92</v>
      </c>
      <c r="T211" s="163" t="str">
        <f t="shared" si="516"/>
        <v>60.00</v>
      </c>
      <c r="U211" s="164" t="str">
        <f t="shared" si="517"/>
        <v>22.87</v>
      </c>
      <c r="V211" s="165" t="str">
        <f t="shared" si="518"/>
        <v>0.00</v>
      </c>
      <c r="W211" s="166">
        <v>0.32</v>
      </c>
      <c r="X211" s="167" t="str">
        <f t="shared" si="519"/>
        <v>76</v>
      </c>
      <c r="Y211" s="168" t="str">
        <f t="shared" si="520"/>
        <v>134.355</v>
      </c>
      <c r="Z211" s="168" t="str">
        <f t="shared" si="521"/>
        <v>12.206</v>
      </c>
      <c r="AA211" s="164" t="str">
        <f t="shared" si="522"/>
        <v>0.62</v>
      </c>
      <c r="AB211" s="164">
        <v>98.77</v>
      </c>
      <c r="AC211" s="164" t="str">
        <f t="shared" si="523"/>
        <v>4.80</v>
      </c>
      <c r="AD211" s="165" t="str">
        <f t="shared" si="524"/>
        <v>41.34</v>
      </c>
      <c r="AE211" s="23"/>
      <c r="AF211" s="169" t="str">
        <f t="shared" si="525"/>
        <v>0</v>
      </c>
      <c r="AG211" s="163" t="str">
        <f t="shared" si="526"/>
        <v>61.21</v>
      </c>
      <c r="AH211" s="170" t="str">
        <f t="shared" si="527"/>
        <v>#DIV/0!</v>
      </c>
      <c r="AI211" s="26"/>
      <c r="AJ211" s="171" t="str">
        <f t="shared" si="528"/>
        <v>0.00%</v>
      </c>
      <c r="AK211" s="172" t="str">
        <f t="shared" si="529"/>
        <v>0.00</v>
      </c>
      <c r="AL211" s="173" t="str">
        <f t="shared" si="530"/>
        <v>310.73</v>
      </c>
      <c r="AM211" s="174" t="str">
        <f t="shared" si="531"/>
        <v>220.62</v>
      </c>
    </row>
    <row r="212" ht="12.75" customHeight="1">
      <c r="A212" s="26"/>
      <c r="B212" s="190" t="s">
        <v>423</v>
      </c>
      <c r="C212" s="192">
        <v>2.07818475E8</v>
      </c>
      <c r="D212" s="152" t="s">
        <v>424</v>
      </c>
      <c r="E212" s="53" t="s">
        <v>77</v>
      </c>
      <c r="F212" s="154">
        <v>1.0</v>
      </c>
      <c r="G212" s="53"/>
      <c r="H212" s="53" t="str">
        <f t="shared" si="509"/>
        <v>0.00069</v>
      </c>
      <c r="I212" s="53" t="str">
        <f t="shared" si="510"/>
        <v>89</v>
      </c>
      <c r="J212" s="53" t="str">
        <f t="shared" si="511"/>
        <v>0</v>
      </c>
      <c r="K212" s="155" t="str">
        <f t="shared" si="512"/>
        <v>0.00</v>
      </c>
      <c r="L212" s="156" t="str">
        <f t="shared" si="513"/>
        <v>0.00 </v>
      </c>
      <c r="M212" s="132">
        <v>90.0</v>
      </c>
      <c r="N212" s="157">
        <v>0.0</v>
      </c>
      <c r="O212" s="158">
        <v>413.4</v>
      </c>
      <c r="P212" s="159" t="str">
        <f t="shared" si="532"/>
        <v>314.00</v>
      </c>
      <c r="Q212" s="160"/>
      <c r="R212" s="161">
        <v>0.26</v>
      </c>
      <c r="S212" s="162" t="str">
        <f t="shared" si="515"/>
        <v>305.92</v>
      </c>
      <c r="T212" s="163" t="str">
        <f t="shared" si="516"/>
        <v>60.00</v>
      </c>
      <c r="U212" s="164" t="str">
        <f t="shared" si="517"/>
        <v>22.87</v>
      </c>
      <c r="V212" s="165" t="str">
        <f t="shared" si="518"/>
        <v>0.00</v>
      </c>
      <c r="W212" s="166">
        <v>0.32</v>
      </c>
      <c r="X212" s="167" t="str">
        <f t="shared" si="519"/>
        <v>76</v>
      </c>
      <c r="Y212" s="168" t="str">
        <f t="shared" si="520"/>
        <v>134.355</v>
      </c>
      <c r="Z212" s="168" t="str">
        <f t="shared" si="521"/>
        <v>12.206</v>
      </c>
      <c r="AA212" s="164" t="str">
        <f t="shared" si="522"/>
        <v>2.10</v>
      </c>
      <c r="AB212" s="164">
        <v>95.8</v>
      </c>
      <c r="AC212" s="164" t="str">
        <f t="shared" si="523"/>
        <v>4.80</v>
      </c>
      <c r="AD212" s="165" t="str">
        <f t="shared" si="524"/>
        <v>41.34</v>
      </c>
      <c r="AE212" s="23"/>
      <c r="AF212" s="169" t="str">
        <f t="shared" si="525"/>
        <v>0</v>
      </c>
      <c r="AG212" s="163" t="str">
        <f t="shared" si="526"/>
        <v>59.73</v>
      </c>
      <c r="AH212" s="170" t="str">
        <f t="shared" si="527"/>
        <v>#DIV/0!</v>
      </c>
      <c r="AI212" s="26"/>
      <c r="AJ212" s="171" t="str">
        <f t="shared" si="528"/>
        <v>0.00%</v>
      </c>
      <c r="AK212" s="172" t="str">
        <f t="shared" si="529"/>
        <v>0.00</v>
      </c>
      <c r="AL212" s="173" t="str">
        <f t="shared" si="530"/>
        <v>314.00</v>
      </c>
      <c r="AM212" s="174" t="str">
        <f t="shared" si="531"/>
        <v>222.94</v>
      </c>
    </row>
    <row r="213" ht="12.75" customHeight="1">
      <c r="A213" s="26"/>
      <c r="B213" s="190" t="s">
        <v>425</v>
      </c>
      <c r="C213" s="192">
        <v>2.07819733E8</v>
      </c>
      <c r="D213" s="152" t="s">
        <v>426</v>
      </c>
      <c r="E213" s="53" t="s">
        <v>77</v>
      </c>
      <c r="F213" s="154">
        <v>1.0</v>
      </c>
      <c r="G213" s="53"/>
      <c r="H213" s="53" t="str">
        <f t="shared" si="509"/>
        <v>0.00069</v>
      </c>
      <c r="I213" s="53" t="str">
        <f t="shared" si="510"/>
        <v>89</v>
      </c>
      <c r="J213" s="53" t="str">
        <f t="shared" si="511"/>
        <v>0</v>
      </c>
      <c r="K213" s="155" t="str">
        <f t="shared" si="512"/>
        <v>0.00</v>
      </c>
      <c r="L213" s="156" t="str">
        <f t="shared" si="513"/>
        <v>0.00 </v>
      </c>
      <c r="M213" s="132">
        <v>90.0</v>
      </c>
      <c r="N213" s="157">
        <v>0.0</v>
      </c>
      <c r="O213" s="158">
        <v>413.4</v>
      </c>
      <c r="P213" s="159" t="str">
        <f t="shared" si="532"/>
        <v>314.04</v>
      </c>
      <c r="Q213" s="160"/>
      <c r="R213" s="161">
        <v>0.26</v>
      </c>
      <c r="S213" s="162" t="str">
        <f t="shared" si="515"/>
        <v>305.92</v>
      </c>
      <c r="T213" s="163" t="str">
        <f t="shared" si="516"/>
        <v>60.00</v>
      </c>
      <c r="U213" s="164" t="str">
        <f t="shared" si="517"/>
        <v>22.87</v>
      </c>
      <c r="V213" s="165" t="str">
        <f t="shared" si="518"/>
        <v>0.00</v>
      </c>
      <c r="W213" s="166">
        <v>0.32</v>
      </c>
      <c r="X213" s="167" t="str">
        <f t="shared" si="519"/>
        <v>76</v>
      </c>
      <c r="Y213" s="168" t="str">
        <f t="shared" si="520"/>
        <v>134.355</v>
      </c>
      <c r="Z213" s="168" t="str">
        <f t="shared" si="521"/>
        <v>12.206</v>
      </c>
      <c r="AA213" s="164" t="str">
        <f t="shared" si="522"/>
        <v>2.12</v>
      </c>
      <c r="AB213" s="164">
        <v>95.76</v>
      </c>
      <c r="AC213" s="164" t="str">
        <f t="shared" si="523"/>
        <v>4.80</v>
      </c>
      <c r="AD213" s="165" t="str">
        <f t="shared" si="524"/>
        <v>41.34</v>
      </c>
      <c r="AE213" s="23"/>
      <c r="AF213" s="169" t="str">
        <f t="shared" si="525"/>
        <v>0</v>
      </c>
      <c r="AG213" s="163" t="str">
        <f t="shared" si="526"/>
        <v>59.71</v>
      </c>
      <c r="AH213" s="170" t="str">
        <f t="shared" si="527"/>
        <v>#DIV/0!</v>
      </c>
      <c r="AI213" s="26"/>
      <c r="AJ213" s="171" t="str">
        <f t="shared" si="528"/>
        <v>0.00%</v>
      </c>
      <c r="AK213" s="172" t="str">
        <f t="shared" si="529"/>
        <v>0.00</v>
      </c>
      <c r="AL213" s="173" t="str">
        <f t="shared" si="530"/>
        <v>314.04</v>
      </c>
      <c r="AM213" s="174" t="str">
        <f t="shared" si="531"/>
        <v>222.97</v>
      </c>
    </row>
    <row r="214" ht="12.75" customHeight="1">
      <c r="A214" s="26"/>
      <c r="B214" s="190" t="s">
        <v>427</v>
      </c>
      <c r="C214" s="214">
        <v>1.65008074E8</v>
      </c>
      <c r="D214" s="152" t="s">
        <v>428</v>
      </c>
      <c r="E214" s="53" t="s">
        <v>77</v>
      </c>
      <c r="F214" s="154">
        <v>1.0</v>
      </c>
      <c r="G214" s="53"/>
      <c r="H214" s="53" t="str">
        <f t="shared" si="509"/>
        <v>0.00069</v>
      </c>
      <c r="I214" s="53" t="str">
        <f t="shared" si="510"/>
        <v>89</v>
      </c>
      <c r="J214" s="53" t="str">
        <f t="shared" si="511"/>
        <v>0</v>
      </c>
      <c r="K214" s="155" t="str">
        <f t="shared" si="512"/>
        <v>0.00</v>
      </c>
      <c r="L214" s="156" t="str">
        <f t="shared" si="513"/>
        <v>0.00 </v>
      </c>
      <c r="M214" s="132">
        <v>90.0</v>
      </c>
      <c r="N214" s="157">
        <v>0.0</v>
      </c>
      <c r="O214" s="158">
        <v>462.6</v>
      </c>
      <c r="P214" s="159" t="str">
        <f t="shared" si="532"/>
        <v>320.37</v>
      </c>
      <c r="Q214" s="160"/>
      <c r="R214" s="161">
        <v>0.26</v>
      </c>
      <c r="S214" s="162" t="str">
        <f t="shared" si="515"/>
        <v>342.32</v>
      </c>
      <c r="T214" s="163" t="str">
        <f t="shared" si="516"/>
        <v>60.00</v>
      </c>
      <c r="U214" s="164" t="str">
        <f t="shared" si="517"/>
        <v>25.59</v>
      </c>
      <c r="V214" s="165" t="str">
        <f t="shared" si="518"/>
        <v>0.00</v>
      </c>
      <c r="W214" s="166">
        <v>0.16</v>
      </c>
      <c r="X214" s="167" t="str">
        <f t="shared" si="519"/>
        <v>76</v>
      </c>
      <c r="Y214" s="168" t="str">
        <f t="shared" si="520"/>
        <v>150.345</v>
      </c>
      <c r="Z214" s="168" t="str">
        <f t="shared" si="521"/>
        <v>13.659</v>
      </c>
      <c r="AA214" s="164" t="str">
        <f t="shared" si="522"/>
        <v>5.00</v>
      </c>
      <c r="AB214" s="164">
        <v>90.0</v>
      </c>
      <c r="AC214" s="164" t="str">
        <f t="shared" si="523"/>
        <v>4.80</v>
      </c>
      <c r="AD214" s="165" t="str">
        <f t="shared" si="524"/>
        <v>46.26</v>
      </c>
      <c r="AE214" s="23"/>
      <c r="AF214" s="169" t="str">
        <f t="shared" si="525"/>
        <v>0</v>
      </c>
      <c r="AG214" s="163" t="str">
        <f t="shared" si="526"/>
        <v>80.94</v>
      </c>
      <c r="AH214" s="170" t="str">
        <f t="shared" si="527"/>
        <v>#DIV/0!</v>
      </c>
      <c r="AI214" s="26"/>
      <c r="AJ214" s="171" t="str">
        <f t="shared" si="528"/>
        <v>0.00%</v>
      </c>
      <c r="AK214" s="172" t="str">
        <f t="shared" si="529"/>
        <v>0.00</v>
      </c>
      <c r="AL214" s="173" t="str">
        <f t="shared" si="530"/>
        <v>320.37</v>
      </c>
      <c r="AM214" s="174" t="str">
        <f t="shared" si="531"/>
        <v>227.46</v>
      </c>
    </row>
    <row r="215" ht="12.75" customHeight="1">
      <c r="A215" s="26"/>
      <c r="B215" s="190" t="s">
        <v>429</v>
      </c>
      <c r="C215" s="214">
        <v>1.65008162E8</v>
      </c>
      <c r="D215" s="152" t="s">
        <v>430</v>
      </c>
      <c r="E215" s="53" t="s">
        <v>77</v>
      </c>
      <c r="F215" s="154">
        <v>1.0</v>
      </c>
      <c r="G215" s="53"/>
      <c r="H215" s="53" t="str">
        <f t="shared" si="509"/>
        <v>0.00069</v>
      </c>
      <c r="I215" s="53" t="str">
        <f t="shared" si="510"/>
        <v>89</v>
      </c>
      <c r="J215" s="53" t="str">
        <f t="shared" si="511"/>
        <v>0</v>
      </c>
      <c r="K215" s="155" t="str">
        <f t="shared" si="512"/>
        <v>0.00</v>
      </c>
      <c r="L215" s="156" t="str">
        <f t="shared" si="513"/>
        <v>0.00 </v>
      </c>
      <c r="M215" s="132">
        <v>90.0</v>
      </c>
      <c r="N215" s="157">
        <v>0.0</v>
      </c>
      <c r="O215" s="158">
        <v>460.8</v>
      </c>
      <c r="P215" s="159" t="str">
        <f t="shared" si="532"/>
        <v>316.71</v>
      </c>
      <c r="Q215" s="160"/>
      <c r="R215" s="161">
        <v>0.26</v>
      </c>
      <c r="S215" s="162" t="str">
        <f t="shared" si="515"/>
        <v>340.99</v>
      </c>
      <c r="T215" s="163" t="str">
        <f t="shared" si="516"/>
        <v>60.00</v>
      </c>
      <c r="U215" s="164" t="str">
        <f t="shared" si="517"/>
        <v>25.49</v>
      </c>
      <c r="V215" s="165" t="str">
        <f t="shared" si="518"/>
        <v>0.00</v>
      </c>
      <c r="W215" s="166">
        <v>0.16</v>
      </c>
      <c r="X215" s="167" t="str">
        <f t="shared" si="519"/>
        <v>76</v>
      </c>
      <c r="Y215" s="168" t="str">
        <f t="shared" si="520"/>
        <v>149.760</v>
      </c>
      <c r="Z215" s="168" t="str">
        <f t="shared" si="521"/>
        <v>13.606</v>
      </c>
      <c r="AA215" s="164" t="str">
        <f t="shared" si="522"/>
        <v>3.34</v>
      </c>
      <c r="AB215" s="164">
        <v>93.33</v>
      </c>
      <c r="AC215" s="164" t="str">
        <f t="shared" si="523"/>
        <v>4.80</v>
      </c>
      <c r="AD215" s="165" t="str">
        <f t="shared" si="524"/>
        <v>46.08</v>
      </c>
      <c r="AE215" s="23"/>
      <c r="AF215" s="169" t="str">
        <f t="shared" si="525"/>
        <v>0</v>
      </c>
      <c r="AG215" s="163" t="str">
        <f t="shared" si="526"/>
        <v>81.72</v>
      </c>
      <c r="AH215" s="170" t="str">
        <f t="shared" si="527"/>
        <v>#DIV/0!</v>
      </c>
      <c r="AI215" s="26"/>
      <c r="AJ215" s="171" t="str">
        <f t="shared" si="528"/>
        <v>0.00%</v>
      </c>
      <c r="AK215" s="172" t="str">
        <f t="shared" si="529"/>
        <v>0.00</v>
      </c>
      <c r="AL215" s="173" t="str">
        <f t="shared" si="530"/>
        <v>316.71</v>
      </c>
      <c r="AM215" s="174" t="str">
        <f t="shared" si="531"/>
        <v>224.86</v>
      </c>
    </row>
    <row r="216" ht="12.75" customHeight="1">
      <c r="A216" s="26"/>
      <c r="B216" s="190" t="s">
        <v>431</v>
      </c>
      <c r="C216" s="191">
        <v>1.65007944E8</v>
      </c>
      <c r="D216" s="152" t="s">
        <v>432</v>
      </c>
      <c r="E216" s="53" t="s">
        <v>77</v>
      </c>
      <c r="F216" s="154">
        <v>1.0</v>
      </c>
      <c r="G216" s="53"/>
      <c r="H216" s="53" t="str">
        <f t="shared" si="509"/>
        <v>0.00069</v>
      </c>
      <c r="I216" s="53" t="str">
        <f t="shared" si="510"/>
        <v>89</v>
      </c>
      <c r="J216" s="53" t="str">
        <f t="shared" si="511"/>
        <v>0</v>
      </c>
      <c r="K216" s="155" t="str">
        <f t="shared" si="512"/>
        <v>0.00</v>
      </c>
      <c r="L216" s="156" t="str">
        <f t="shared" si="513"/>
        <v>0.00 </v>
      </c>
      <c r="M216" s="132">
        <v>90.0</v>
      </c>
      <c r="N216" s="157">
        <v>0.0</v>
      </c>
      <c r="O216" s="158">
        <v>462.6</v>
      </c>
      <c r="P216" s="159" t="str">
        <f t="shared" si="532"/>
        <v>320.95</v>
      </c>
      <c r="Q216" s="160"/>
      <c r="R216" s="161">
        <v>0.26</v>
      </c>
      <c r="S216" s="162" t="str">
        <f t="shared" si="515"/>
        <v>342.32</v>
      </c>
      <c r="T216" s="163" t="str">
        <f t="shared" si="516"/>
        <v>60.00</v>
      </c>
      <c r="U216" s="164" t="str">
        <f t="shared" si="517"/>
        <v>25.59</v>
      </c>
      <c r="V216" s="165" t="str">
        <f t="shared" si="518"/>
        <v>0.00</v>
      </c>
      <c r="W216" s="166">
        <v>0.16</v>
      </c>
      <c r="X216" s="167" t="str">
        <f t="shared" si="519"/>
        <v>76</v>
      </c>
      <c r="Y216" s="168" t="str">
        <f t="shared" si="520"/>
        <v>150.345</v>
      </c>
      <c r="Z216" s="168" t="str">
        <f t="shared" si="521"/>
        <v>13.659</v>
      </c>
      <c r="AA216" s="164" t="str">
        <f t="shared" si="522"/>
        <v>5.27</v>
      </c>
      <c r="AB216" s="164">
        <v>89.47</v>
      </c>
      <c r="AC216" s="164" t="str">
        <f t="shared" si="523"/>
        <v>4.80</v>
      </c>
      <c r="AD216" s="165" t="str">
        <f t="shared" si="524"/>
        <v>46.26</v>
      </c>
      <c r="AE216" s="23"/>
      <c r="AF216" s="169" t="str">
        <f t="shared" si="525"/>
        <v>0</v>
      </c>
      <c r="AG216" s="163" t="str">
        <f t="shared" si="526"/>
        <v>80.68</v>
      </c>
      <c r="AH216" s="170" t="str">
        <f t="shared" si="527"/>
        <v>#DIV/0!</v>
      </c>
      <c r="AI216" s="26"/>
      <c r="AJ216" s="171" t="str">
        <f t="shared" si="528"/>
        <v>0.00%</v>
      </c>
      <c r="AK216" s="172" t="str">
        <f t="shared" si="529"/>
        <v>0.00</v>
      </c>
      <c r="AL216" s="173" t="str">
        <f t="shared" si="530"/>
        <v>320.95</v>
      </c>
      <c r="AM216" s="174" t="str">
        <f t="shared" si="531"/>
        <v>227.88</v>
      </c>
    </row>
    <row r="217" ht="12.75" customHeight="1">
      <c r="A217" s="26"/>
      <c r="B217" s="125" t="s">
        <v>433</v>
      </c>
      <c r="C217" s="126"/>
      <c r="D217" s="127"/>
      <c r="E217" s="128"/>
      <c r="F217" s="128"/>
      <c r="G217" s="128"/>
      <c r="H217" s="197"/>
      <c r="I217" s="197"/>
      <c r="J217" s="128"/>
      <c r="K217" s="130"/>
      <c r="L217" s="131"/>
      <c r="M217" s="132"/>
      <c r="N217" s="176"/>
      <c r="O217" s="134"/>
      <c r="P217" s="135"/>
      <c r="Q217" s="135"/>
      <c r="R217" s="136"/>
      <c r="S217" s="137"/>
      <c r="T217" s="177"/>
      <c r="U217" s="178"/>
      <c r="V217" s="179"/>
      <c r="W217" s="180"/>
      <c r="X217" s="181"/>
      <c r="Y217" s="182"/>
      <c r="Z217" s="182"/>
      <c r="AA217" s="178"/>
      <c r="AB217" s="178"/>
      <c r="AC217" s="178"/>
      <c r="AD217" s="179"/>
      <c r="AE217" s="183"/>
      <c r="AF217" s="184"/>
      <c r="AG217" s="177"/>
      <c r="AH217" s="185"/>
      <c r="AI217" s="26"/>
      <c r="AJ217" s="186"/>
      <c r="AK217" s="187"/>
      <c r="AL217" s="188"/>
      <c r="AM217" s="189"/>
    </row>
    <row r="218" ht="12.75" customHeight="1">
      <c r="A218" s="26"/>
      <c r="B218" s="190" t="s">
        <v>434</v>
      </c>
      <c r="C218" s="199">
        <v>1.98143251E8</v>
      </c>
      <c r="D218" s="152" t="s">
        <v>435</v>
      </c>
      <c r="E218" s="53" t="s">
        <v>77</v>
      </c>
      <c r="F218" s="154">
        <v>1.0</v>
      </c>
      <c r="G218" s="53"/>
      <c r="H218" s="53" t="str">
        <f t="shared" ref="H218:H226" si="533">$I$2</f>
        <v>0.00069</v>
      </c>
      <c r="I218" s="53" t="str">
        <f t="shared" ref="I218:I226" si="534">$I$3</f>
        <v>89</v>
      </c>
      <c r="J218" s="53" t="str">
        <f t="shared" ref="J218:J226" si="535">G218*H218*I218*F218</f>
        <v>0</v>
      </c>
      <c r="K218" s="155" t="str">
        <f t="shared" ref="K218:K226" si="536">J218*$J$4</f>
        <v>0.00</v>
      </c>
      <c r="L218" s="156" t="str">
        <f t="shared" ref="L218:L226" si="537">K218+J218</f>
        <v>0.00 </v>
      </c>
      <c r="M218" s="132">
        <v>90.0</v>
      </c>
      <c r="N218" s="157">
        <v>735.34</v>
      </c>
      <c r="O218" s="158">
        <v>2100.0</v>
      </c>
      <c r="P218" s="159" t="str">
        <f t="shared" ref="P218:P219" si="538">O218</f>
        <v>2,100.00</v>
      </c>
      <c r="Q218" s="160"/>
      <c r="R218" s="161">
        <v>0.26</v>
      </c>
      <c r="S218" s="162" t="str">
        <f t="shared" ref="S218:S226" si="539">O218-(O218*R218)</f>
        <v>1,554.00</v>
      </c>
      <c r="T218" s="163" t="str">
        <f t="shared" ref="T218:T226" si="540">$C$1</f>
        <v>60.00</v>
      </c>
      <c r="U218" s="164" t="str">
        <f t="shared" ref="U218:U226" si="541">(S218*7/107)+((S218-(S218*7/107))*1%)</f>
        <v>116.19</v>
      </c>
      <c r="V218" s="165" t="str">
        <f t="shared" ref="V218:V226" si="542">N218*$C$3*(M218/30)</f>
        <v>0.00</v>
      </c>
      <c r="W218" s="166">
        <v>0.61</v>
      </c>
      <c r="X218" s="167" t="str">
        <f t="shared" ref="X218:X219" si="543">((_xlfn.CEILING.MATH(W218)-1)*$C$5+$C$4)</f>
        <v>76</v>
      </c>
      <c r="Y218" s="168" t="str">
        <f t="shared" ref="Y218:Y226" si="544">O218*$Y$6</f>
        <v>682.500</v>
      </c>
      <c r="Z218" s="168" t="str">
        <f t="shared" ref="Z218:Z226" si="545">S218*$Y$7</f>
        <v>62.005</v>
      </c>
      <c r="AA218" s="164" t="str">
        <f t="shared" ref="AA218:AA219" si="546">$Y$3*((100-AB218)/100)</f>
        <v>5.83</v>
      </c>
      <c r="AB218" s="164">
        <v>88.34</v>
      </c>
      <c r="AC218" s="164" t="str">
        <f t="shared" ref="AC218:AC226" si="547">$C$6*$C$7*_xlfn.CEILING.MATH(W218)</f>
        <v>4.80</v>
      </c>
      <c r="AD218" s="165" t="str">
        <f t="shared" ref="AD218:AD219" si="548">O218*$C$2</f>
        <v>210.00</v>
      </c>
      <c r="AE218" s="23"/>
      <c r="AF218" s="169" t="str">
        <f t="shared" ref="AF218:AF226" si="549">(_xlfn.CEILING.MATH(W218))*$Y$1*$AD$2</f>
        <v>0</v>
      </c>
      <c r="AG218" s="163" t="str">
        <f t="shared" ref="AG218:AG226" si="550">O218-T218-U218-V218-X218-Y218-Z218-AA218-AC218-AD218-N218</f>
        <v>147.34</v>
      </c>
      <c r="AH218" s="170" t="str">
        <f t="shared" ref="AH218:AH226" si="551">AG218/N218</f>
        <v>20.04%</v>
      </c>
      <c r="AI218" s="26"/>
      <c r="AJ218" s="171" t="str">
        <f t="shared" ref="AJ218:AJ226" si="552">$AD$3</f>
        <v>0.00%</v>
      </c>
      <c r="AK218" s="172" t="str">
        <f t="shared" ref="AK218:AK226" si="553">N218*AJ218</f>
        <v>0.00</v>
      </c>
      <c r="AL218" s="173" t="str">
        <f t="shared" ref="AL218:AL226" si="554">(N218+T218+V218+X218+AA218+AC218+AF218+AK218)/(100%-($C$2+$C$8+$Y$6+$Y$7))</f>
        <v>1,937.97</v>
      </c>
      <c r="AM218" s="174" t="str">
        <f t="shared" ref="AM218:AM226" si="555">AL218-(AL218*$AD$1)</f>
        <v>1,375.96</v>
      </c>
    </row>
    <row r="219" ht="12.75" customHeight="1">
      <c r="A219" s="26"/>
      <c r="B219" s="190" t="s">
        <v>436</v>
      </c>
      <c r="C219" s="199">
        <v>2.05054338E8</v>
      </c>
      <c r="D219" s="152" t="s">
        <v>437</v>
      </c>
      <c r="E219" s="53" t="s">
        <v>77</v>
      </c>
      <c r="F219" s="154">
        <v>1.0</v>
      </c>
      <c r="G219" s="53"/>
      <c r="H219" s="53" t="str">
        <f t="shared" si="533"/>
        <v>0.00069</v>
      </c>
      <c r="I219" s="53" t="str">
        <f t="shared" si="534"/>
        <v>89</v>
      </c>
      <c r="J219" s="53" t="str">
        <f t="shared" si="535"/>
        <v>0</v>
      </c>
      <c r="K219" s="155" t="str">
        <f t="shared" si="536"/>
        <v>0.00</v>
      </c>
      <c r="L219" s="156" t="str">
        <f t="shared" si="537"/>
        <v>0.00 </v>
      </c>
      <c r="M219" s="132">
        <v>90.0</v>
      </c>
      <c r="N219" s="157">
        <v>828.47</v>
      </c>
      <c r="O219" s="158">
        <v>2250.0</v>
      </c>
      <c r="P219" s="159" t="str">
        <f t="shared" si="538"/>
        <v>2,250.00</v>
      </c>
      <c r="Q219" s="160"/>
      <c r="R219" s="161">
        <v>0.26</v>
      </c>
      <c r="S219" s="162" t="str">
        <f t="shared" si="539"/>
        <v>1,665.00</v>
      </c>
      <c r="T219" s="163" t="str">
        <f t="shared" si="540"/>
        <v>60.00</v>
      </c>
      <c r="U219" s="164" t="str">
        <f t="shared" si="541"/>
        <v>124.49</v>
      </c>
      <c r="V219" s="165" t="str">
        <f t="shared" si="542"/>
        <v>0.00</v>
      </c>
      <c r="W219" s="166">
        <v>0.93</v>
      </c>
      <c r="X219" s="167" t="str">
        <f t="shared" si="543"/>
        <v>76</v>
      </c>
      <c r="Y219" s="168" t="str">
        <f t="shared" si="544"/>
        <v>731.250</v>
      </c>
      <c r="Z219" s="168" t="str">
        <f t="shared" si="545"/>
        <v>66.434</v>
      </c>
      <c r="AA219" s="164" t="str">
        <f t="shared" si="546"/>
        <v>2.79</v>
      </c>
      <c r="AB219" s="164">
        <v>94.43</v>
      </c>
      <c r="AC219" s="164" t="str">
        <f t="shared" si="547"/>
        <v>4.80</v>
      </c>
      <c r="AD219" s="165" t="str">
        <f t="shared" si="548"/>
        <v>225.00</v>
      </c>
      <c r="AE219" s="23"/>
      <c r="AF219" s="169" t="str">
        <f t="shared" si="549"/>
        <v>0</v>
      </c>
      <c r="AG219" s="163" t="str">
        <f t="shared" si="550"/>
        <v>130.78</v>
      </c>
      <c r="AH219" s="170" t="str">
        <f t="shared" si="551"/>
        <v>15.79%</v>
      </c>
      <c r="AI219" s="26"/>
      <c r="AJ219" s="171" t="str">
        <f t="shared" si="552"/>
        <v>0.00%</v>
      </c>
      <c r="AK219" s="172" t="str">
        <f t="shared" si="553"/>
        <v>0.00</v>
      </c>
      <c r="AL219" s="173" t="str">
        <f t="shared" si="554"/>
        <v>2,135.92</v>
      </c>
      <c r="AM219" s="174" t="str">
        <f t="shared" si="555"/>
        <v>1,516.50</v>
      </c>
    </row>
    <row r="220" ht="12.75" customHeight="1">
      <c r="A220" s="26"/>
      <c r="B220" s="190"/>
      <c r="C220" s="199">
        <v>8.68575374E8</v>
      </c>
      <c r="D220" s="152" t="s">
        <v>438</v>
      </c>
      <c r="E220" s="53"/>
      <c r="F220" s="154">
        <v>1.0</v>
      </c>
      <c r="G220" s="53"/>
      <c r="H220" s="53" t="str">
        <f t="shared" si="533"/>
        <v>0.00069</v>
      </c>
      <c r="I220" s="53" t="str">
        <f t="shared" si="534"/>
        <v>89</v>
      </c>
      <c r="J220" s="53" t="str">
        <f t="shared" si="535"/>
        <v>0</v>
      </c>
      <c r="K220" s="155" t="str">
        <f t="shared" si="536"/>
        <v>0.00</v>
      </c>
      <c r="L220" s="156" t="str">
        <f t="shared" si="537"/>
        <v>0.00 </v>
      </c>
      <c r="M220" s="132">
        <v>90.0</v>
      </c>
      <c r="N220" s="157">
        <v>739.91</v>
      </c>
      <c r="O220" s="158">
        <v>3000.0</v>
      </c>
      <c r="P220" s="159"/>
      <c r="Q220" s="160"/>
      <c r="R220" s="161">
        <v>0.26</v>
      </c>
      <c r="S220" s="162" t="str">
        <f t="shared" si="539"/>
        <v>2,220.00</v>
      </c>
      <c r="T220" s="163" t="str">
        <f t="shared" si="540"/>
        <v>60.00</v>
      </c>
      <c r="U220" s="164" t="str">
        <f t="shared" si="541"/>
        <v>165.98</v>
      </c>
      <c r="V220" s="165" t="str">
        <f t="shared" si="542"/>
        <v>0.00</v>
      </c>
      <c r="W220" s="166">
        <v>0.19</v>
      </c>
      <c r="X220" s="167">
        <v>100.0</v>
      </c>
      <c r="Y220" s="168" t="str">
        <f t="shared" si="544"/>
        <v>975.000</v>
      </c>
      <c r="Z220" s="168" t="str">
        <f t="shared" si="545"/>
        <v>88.578</v>
      </c>
      <c r="AA220" s="164">
        <v>2.79</v>
      </c>
      <c r="AB220" s="164">
        <v>94.43</v>
      </c>
      <c r="AC220" s="164" t="str">
        <f t="shared" si="547"/>
        <v>4.80</v>
      </c>
      <c r="AD220" s="165">
        <v>450.0</v>
      </c>
      <c r="AE220" s="23"/>
      <c r="AF220" s="169" t="str">
        <f t="shared" si="549"/>
        <v>0</v>
      </c>
      <c r="AG220" s="163" t="str">
        <f t="shared" si="550"/>
        <v>412.94</v>
      </c>
      <c r="AH220" s="170" t="str">
        <f t="shared" si="551"/>
        <v>55.81%</v>
      </c>
      <c r="AI220" s="26"/>
      <c r="AJ220" s="171" t="str">
        <f t="shared" si="552"/>
        <v>0.00%</v>
      </c>
      <c r="AK220" s="172" t="str">
        <f t="shared" si="553"/>
        <v>0.00</v>
      </c>
      <c r="AL220" s="173" t="str">
        <f t="shared" si="554"/>
        <v>1,994.07</v>
      </c>
      <c r="AM220" s="174" t="str">
        <f t="shared" si="555"/>
        <v>1,415.79</v>
      </c>
    </row>
    <row r="221" ht="12.75" customHeight="1">
      <c r="A221" s="26"/>
      <c r="B221" s="190"/>
      <c r="C221" s="199">
        <v>8.68700077E8</v>
      </c>
      <c r="D221" s="152" t="s">
        <v>439</v>
      </c>
      <c r="E221" s="53"/>
      <c r="F221" s="154">
        <v>1.0</v>
      </c>
      <c r="G221" s="53"/>
      <c r="H221" s="53" t="str">
        <f t="shared" si="533"/>
        <v>0.00069</v>
      </c>
      <c r="I221" s="53" t="str">
        <f t="shared" si="534"/>
        <v>89</v>
      </c>
      <c r="J221" s="53" t="str">
        <f t="shared" si="535"/>
        <v>0</v>
      </c>
      <c r="K221" s="155" t="str">
        <f t="shared" si="536"/>
        <v>0.00</v>
      </c>
      <c r="L221" s="156" t="str">
        <f t="shared" si="537"/>
        <v>0.00 </v>
      </c>
      <c r="M221" s="132">
        <v>90.0</v>
      </c>
      <c r="N221" s="157">
        <v>996.75</v>
      </c>
      <c r="O221" s="158">
        <v>4050.0</v>
      </c>
      <c r="P221" s="159"/>
      <c r="Q221" s="160"/>
      <c r="R221" s="161">
        <v>0.26</v>
      </c>
      <c r="S221" s="162" t="str">
        <f t="shared" si="539"/>
        <v>2,997.00</v>
      </c>
      <c r="T221" s="163" t="str">
        <f t="shared" si="540"/>
        <v>60.00</v>
      </c>
      <c r="U221" s="164" t="str">
        <f t="shared" si="541"/>
        <v>224.07</v>
      </c>
      <c r="V221" s="165" t="str">
        <f t="shared" si="542"/>
        <v>0.00</v>
      </c>
      <c r="W221" s="166">
        <v>0.19</v>
      </c>
      <c r="X221" s="167" t="str">
        <f t="shared" ref="X221:X226" si="556">((_xlfn.CEILING.MATH(W221)-1)*$C$5+$C$4)</f>
        <v>76</v>
      </c>
      <c r="Y221" s="168" t="str">
        <f t="shared" si="544"/>
        <v>1,316.250</v>
      </c>
      <c r="Z221" s="168" t="str">
        <f t="shared" si="545"/>
        <v>119.580</v>
      </c>
      <c r="AA221" s="164">
        <v>2.44</v>
      </c>
      <c r="AB221" s="164">
        <v>95.12</v>
      </c>
      <c r="AC221" s="164" t="str">
        <f t="shared" si="547"/>
        <v>4.80</v>
      </c>
      <c r="AD221" s="165">
        <v>600.0</v>
      </c>
      <c r="AE221" s="23"/>
      <c r="AF221" s="169" t="str">
        <f t="shared" si="549"/>
        <v>0</v>
      </c>
      <c r="AG221" s="163" t="str">
        <f t="shared" si="550"/>
        <v>650.10</v>
      </c>
      <c r="AH221" s="170" t="str">
        <f t="shared" si="551"/>
        <v>65.22%</v>
      </c>
      <c r="AI221" s="26"/>
      <c r="AJ221" s="171" t="str">
        <f t="shared" si="552"/>
        <v>0.00%</v>
      </c>
      <c r="AK221" s="172" t="str">
        <f t="shared" si="553"/>
        <v>0.00</v>
      </c>
      <c r="AL221" s="173" t="str">
        <f t="shared" si="554"/>
        <v>2,504.92</v>
      </c>
      <c r="AM221" s="174" t="str">
        <f t="shared" si="555"/>
        <v>1,778.49</v>
      </c>
    </row>
    <row r="222" ht="12.75" customHeight="1">
      <c r="A222" s="26"/>
      <c r="B222" s="190" t="s">
        <v>440</v>
      </c>
      <c r="C222" s="199">
        <v>1.98147185E8</v>
      </c>
      <c r="D222" s="152" t="s">
        <v>441</v>
      </c>
      <c r="E222" s="53" t="s">
        <v>77</v>
      </c>
      <c r="F222" s="154">
        <v>1.0</v>
      </c>
      <c r="G222" s="53"/>
      <c r="H222" s="53" t="str">
        <f t="shared" si="533"/>
        <v>0.00069</v>
      </c>
      <c r="I222" s="53" t="str">
        <f t="shared" si="534"/>
        <v>89</v>
      </c>
      <c r="J222" s="53" t="str">
        <f t="shared" si="535"/>
        <v>0</v>
      </c>
      <c r="K222" s="155" t="str">
        <f t="shared" si="536"/>
        <v>0.00</v>
      </c>
      <c r="L222" s="156" t="str">
        <f t="shared" si="537"/>
        <v>0.00 </v>
      </c>
      <c r="M222" s="132">
        <v>90.0</v>
      </c>
      <c r="N222" s="157">
        <v>899.78</v>
      </c>
      <c r="O222" s="158">
        <v>3504.0</v>
      </c>
      <c r="P222" s="159" t="str">
        <f t="shared" ref="P222:P226" si="557">O222</f>
        <v>3,504.00</v>
      </c>
      <c r="Q222" s="160"/>
      <c r="R222" s="161">
        <v>0.26</v>
      </c>
      <c r="S222" s="162" t="str">
        <f t="shared" si="539"/>
        <v>2,592.96</v>
      </c>
      <c r="T222" s="163" t="str">
        <f t="shared" si="540"/>
        <v>60.00</v>
      </c>
      <c r="U222" s="164" t="str">
        <f t="shared" si="541"/>
        <v>193.87</v>
      </c>
      <c r="V222" s="165" t="str">
        <f t="shared" si="542"/>
        <v>0.00</v>
      </c>
      <c r="W222" s="166">
        <v>0.3</v>
      </c>
      <c r="X222" s="167" t="str">
        <f t="shared" si="556"/>
        <v>76</v>
      </c>
      <c r="Y222" s="168" t="str">
        <f t="shared" si="544"/>
        <v>1,138.800</v>
      </c>
      <c r="Z222" s="168" t="str">
        <f t="shared" si="545"/>
        <v>103.459</v>
      </c>
      <c r="AA222" s="164" t="str">
        <f t="shared" ref="AA222:AA226" si="558">$Y$3*((100-AB222)/100)</f>
        <v>18.75</v>
      </c>
      <c r="AB222" s="164">
        <v>62.5</v>
      </c>
      <c r="AC222" s="164" t="str">
        <f t="shared" si="547"/>
        <v>4.80</v>
      </c>
      <c r="AD222" s="165" t="str">
        <f t="shared" ref="AD222:AD226" si="559">O222*$C$2</f>
        <v>350.40</v>
      </c>
      <c r="AE222" s="23"/>
      <c r="AF222" s="169" t="str">
        <f t="shared" si="549"/>
        <v>0</v>
      </c>
      <c r="AG222" s="163" t="str">
        <f t="shared" si="550"/>
        <v>658.14</v>
      </c>
      <c r="AH222" s="170" t="str">
        <f t="shared" si="551"/>
        <v>73.15%</v>
      </c>
      <c r="AI222" s="26"/>
      <c r="AJ222" s="171" t="str">
        <f t="shared" si="552"/>
        <v>0.00%</v>
      </c>
      <c r="AK222" s="172" t="str">
        <f t="shared" si="553"/>
        <v>0.00</v>
      </c>
      <c r="AL222" s="173" t="str">
        <f t="shared" si="554"/>
        <v>2,327.69</v>
      </c>
      <c r="AM222" s="174" t="str">
        <f t="shared" si="555"/>
        <v>1,652.66</v>
      </c>
    </row>
    <row r="223" ht="12.75" customHeight="1">
      <c r="A223" s="26"/>
      <c r="B223" s="190" t="s">
        <v>442</v>
      </c>
      <c r="C223" s="199">
        <v>1.98148122E8</v>
      </c>
      <c r="D223" s="152" t="s">
        <v>443</v>
      </c>
      <c r="E223" s="53" t="s">
        <v>77</v>
      </c>
      <c r="F223" s="154">
        <v>1.0</v>
      </c>
      <c r="G223" s="53"/>
      <c r="H223" s="53" t="str">
        <f t="shared" si="533"/>
        <v>0.00069</v>
      </c>
      <c r="I223" s="53" t="str">
        <f t="shared" si="534"/>
        <v>89</v>
      </c>
      <c r="J223" s="53" t="str">
        <f t="shared" si="535"/>
        <v>0</v>
      </c>
      <c r="K223" s="155" t="str">
        <f t="shared" si="536"/>
        <v>0.00</v>
      </c>
      <c r="L223" s="156" t="str">
        <f t="shared" si="537"/>
        <v>0.00 </v>
      </c>
      <c r="M223" s="132">
        <v>90.0</v>
      </c>
      <c r="N223" s="157">
        <v>1417.23</v>
      </c>
      <c r="O223" s="158">
        <v>3300.0</v>
      </c>
      <c r="P223" s="159" t="str">
        <f t="shared" si="557"/>
        <v>3,300.00</v>
      </c>
      <c r="Q223" s="160"/>
      <c r="R223" s="161">
        <v>0.26</v>
      </c>
      <c r="S223" s="162" t="str">
        <f t="shared" si="539"/>
        <v>2,442.00</v>
      </c>
      <c r="T223" s="163" t="str">
        <f t="shared" si="540"/>
        <v>60.00</v>
      </c>
      <c r="U223" s="164" t="str">
        <f t="shared" si="541"/>
        <v>182.58</v>
      </c>
      <c r="V223" s="165" t="str">
        <f t="shared" si="542"/>
        <v>0.00</v>
      </c>
      <c r="W223" s="166">
        <v>0.25</v>
      </c>
      <c r="X223" s="167" t="str">
        <f t="shared" si="556"/>
        <v>76</v>
      </c>
      <c r="Y223" s="168" t="str">
        <f t="shared" si="544"/>
        <v>1,072.500</v>
      </c>
      <c r="Z223" s="168" t="str">
        <f t="shared" si="545"/>
        <v>97.436</v>
      </c>
      <c r="AA223" s="164" t="str">
        <f t="shared" si="558"/>
        <v>2.44</v>
      </c>
      <c r="AB223" s="164">
        <v>95.12</v>
      </c>
      <c r="AC223" s="164" t="str">
        <f t="shared" si="547"/>
        <v>4.80</v>
      </c>
      <c r="AD223" s="165" t="str">
        <f t="shared" si="559"/>
        <v>330.00</v>
      </c>
      <c r="AE223" s="23"/>
      <c r="AF223" s="169" t="str">
        <f t="shared" si="549"/>
        <v>0</v>
      </c>
      <c r="AG223" s="163" t="str">
        <f t="shared" si="550"/>
        <v>57.01</v>
      </c>
      <c r="AH223" s="170" t="str">
        <f t="shared" si="551"/>
        <v>4.02%</v>
      </c>
      <c r="AI223" s="26"/>
      <c r="AJ223" s="171" t="str">
        <f t="shared" si="552"/>
        <v>0.00%</v>
      </c>
      <c r="AK223" s="172" t="str">
        <f t="shared" si="553"/>
        <v>0.00</v>
      </c>
      <c r="AL223" s="173" t="str">
        <f t="shared" si="554"/>
        <v>3,428.85</v>
      </c>
      <c r="AM223" s="174" t="str">
        <f t="shared" si="555"/>
        <v>2,434.48</v>
      </c>
    </row>
    <row r="224" ht="12.75" customHeight="1">
      <c r="A224" s="26"/>
      <c r="B224" s="190" t="s">
        <v>444</v>
      </c>
      <c r="C224" s="199">
        <v>1.98156472E8</v>
      </c>
      <c r="D224" s="152" t="s">
        <v>445</v>
      </c>
      <c r="E224" s="53" t="s">
        <v>77</v>
      </c>
      <c r="F224" s="154">
        <v>1.0</v>
      </c>
      <c r="G224" s="53"/>
      <c r="H224" s="53" t="str">
        <f t="shared" si="533"/>
        <v>0.00069</v>
      </c>
      <c r="I224" s="53" t="str">
        <f t="shared" si="534"/>
        <v>89</v>
      </c>
      <c r="J224" s="53" t="str">
        <f t="shared" si="535"/>
        <v>0</v>
      </c>
      <c r="K224" s="155" t="str">
        <f t="shared" si="536"/>
        <v>0.00</v>
      </c>
      <c r="L224" s="156" t="str">
        <f t="shared" si="537"/>
        <v>0.00 </v>
      </c>
      <c r="M224" s="132">
        <v>90.0</v>
      </c>
      <c r="N224" s="157">
        <v>646.83</v>
      </c>
      <c r="O224" s="158">
        <v>2050.0</v>
      </c>
      <c r="P224" s="159" t="str">
        <f t="shared" si="557"/>
        <v>2,050.00</v>
      </c>
      <c r="Q224" s="160"/>
      <c r="R224" s="161">
        <v>0.26</v>
      </c>
      <c r="S224" s="162" t="str">
        <f t="shared" si="539"/>
        <v>1,517.00</v>
      </c>
      <c r="T224" s="163" t="str">
        <f t="shared" si="540"/>
        <v>60.00</v>
      </c>
      <c r="U224" s="164" t="str">
        <f t="shared" si="541"/>
        <v>113.42</v>
      </c>
      <c r="V224" s="165" t="str">
        <f t="shared" si="542"/>
        <v>0.00</v>
      </c>
      <c r="W224" s="166">
        <v>0.19</v>
      </c>
      <c r="X224" s="167" t="str">
        <f t="shared" si="556"/>
        <v>76</v>
      </c>
      <c r="Y224" s="168" t="str">
        <f t="shared" si="544"/>
        <v>666.250</v>
      </c>
      <c r="Z224" s="168" t="str">
        <f t="shared" si="545"/>
        <v>60.528</v>
      </c>
      <c r="AA224" s="164" t="str">
        <f t="shared" si="558"/>
        <v>4.11</v>
      </c>
      <c r="AB224" s="164">
        <v>91.78</v>
      </c>
      <c r="AC224" s="164" t="str">
        <f t="shared" si="547"/>
        <v>4.80</v>
      </c>
      <c r="AD224" s="165" t="str">
        <f t="shared" si="559"/>
        <v>205.00</v>
      </c>
      <c r="AE224" s="23"/>
      <c r="AF224" s="169" t="str">
        <f t="shared" si="549"/>
        <v>0</v>
      </c>
      <c r="AG224" s="163" t="str">
        <f t="shared" si="550"/>
        <v>213.06</v>
      </c>
      <c r="AH224" s="170" t="str">
        <f t="shared" si="551"/>
        <v>32.94%</v>
      </c>
      <c r="AI224" s="26"/>
      <c r="AJ224" s="171" t="str">
        <f t="shared" si="552"/>
        <v>0.00%</v>
      </c>
      <c r="AK224" s="172" t="str">
        <f t="shared" si="553"/>
        <v>0.00</v>
      </c>
      <c r="AL224" s="173" t="str">
        <f t="shared" si="554"/>
        <v>1,739.71</v>
      </c>
      <c r="AM224" s="174" t="str">
        <f t="shared" si="555"/>
        <v>1,235.19</v>
      </c>
    </row>
    <row r="225" ht="12.75" customHeight="1">
      <c r="A225" s="26"/>
      <c r="B225" s="190" t="s">
        <v>446</v>
      </c>
      <c r="C225" s="199">
        <v>1.98156358E8</v>
      </c>
      <c r="D225" s="152" t="s">
        <v>447</v>
      </c>
      <c r="E225" s="53" t="s">
        <v>77</v>
      </c>
      <c r="F225" s="154">
        <v>1.0</v>
      </c>
      <c r="G225" s="53"/>
      <c r="H225" s="53" t="str">
        <f t="shared" si="533"/>
        <v>0.00069</v>
      </c>
      <c r="I225" s="53" t="str">
        <f t="shared" si="534"/>
        <v>89</v>
      </c>
      <c r="J225" s="53" t="str">
        <f t="shared" si="535"/>
        <v>0</v>
      </c>
      <c r="K225" s="155" t="str">
        <f t="shared" si="536"/>
        <v>0.00</v>
      </c>
      <c r="L225" s="156" t="str">
        <f t="shared" si="537"/>
        <v>0.00 </v>
      </c>
      <c r="M225" s="132">
        <v>90.0</v>
      </c>
      <c r="N225" s="157">
        <v>413.71</v>
      </c>
      <c r="O225" s="158">
        <v>1275.0</v>
      </c>
      <c r="P225" s="159" t="str">
        <f t="shared" si="557"/>
        <v>1,275.00</v>
      </c>
      <c r="Q225" s="160"/>
      <c r="R225" s="161">
        <v>0.26</v>
      </c>
      <c r="S225" s="162" t="str">
        <f t="shared" si="539"/>
        <v>943.50</v>
      </c>
      <c r="T225" s="163" t="str">
        <f t="shared" si="540"/>
        <v>60.00</v>
      </c>
      <c r="U225" s="164" t="str">
        <f t="shared" si="541"/>
        <v>70.54</v>
      </c>
      <c r="V225" s="165" t="str">
        <f t="shared" si="542"/>
        <v>0.00</v>
      </c>
      <c r="W225" s="166">
        <v>0.43</v>
      </c>
      <c r="X225" s="167" t="str">
        <f t="shared" si="556"/>
        <v>76</v>
      </c>
      <c r="Y225" s="168" t="str">
        <f t="shared" si="544"/>
        <v>414.375</v>
      </c>
      <c r="Z225" s="168" t="str">
        <f t="shared" si="545"/>
        <v>37.646</v>
      </c>
      <c r="AA225" s="164" t="str">
        <f t="shared" si="558"/>
        <v>3.19</v>
      </c>
      <c r="AB225" s="164">
        <v>93.63</v>
      </c>
      <c r="AC225" s="164" t="str">
        <f t="shared" si="547"/>
        <v>4.80</v>
      </c>
      <c r="AD225" s="165" t="str">
        <f t="shared" si="559"/>
        <v>127.50</v>
      </c>
      <c r="AE225" s="23"/>
      <c r="AF225" s="169" t="str">
        <f t="shared" si="549"/>
        <v>0</v>
      </c>
      <c r="AG225" s="163" t="str">
        <f t="shared" si="550"/>
        <v>67.24</v>
      </c>
      <c r="AH225" s="170" t="str">
        <f t="shared" si="551"/>
        <v>16.25%</v>
      </c>
      <c r="AI225" s="26"/>
      <c r="AJ225" s="171" t="str">
        <f t="shared" si="552"/>
        <v>0.00%</v>
      </c>
      <c r="AK225" s="172" t="str">
        <f t="shared" si="553"/>
        <v>0.00</v>
      </c>
      <c r="AL225" s="173" t="str">
        <f t="shared" si="554"/>
        <v>1,225.43</v>
      </c>
      <c r="AM225" s="174" t="str">
        <f t="shared" si="555"/>
        <v>870.06</v>
      </c>
    </row>
    <row r="226" ht="12.75" customHeight="1">
      <c r="A226" s="26"/>
      <c r="B226" s="190" t="s">
        <v>448</v>
      </c>
      <c r="C226" s="199">
        <v>1.98156698E8</v>
      </c>
      <c r="D226" s="152" t="s">
        <v>449</v>
      </c>
      <c r="E226" s="53" t="s">
        <v>77</v>
      </c>
      <c r="F226" s="154">
        <v>1.0</v>
      </c>
      <c r="G226" s="53"/>
      <c r="H226" s="53" t="str">
        <f t="shared" si="533"/>
        <v>0.00069</v>
      </c>
      <c r="I226" s="53" t="str">
        <f t="shared" si="534"/>
        <v>89</v>
      </c>
      <c r="J226" s="53" t="str">
        <f t="shared" si="535"/>
        <v>0</v>
      </c>
      <c r="K226" s="155" t="str">
        <f t="shared" si="536"/>
        <v>0.00</v>
      </c>
      <c r="L226" s="156" t="str">
        <f t="shared" si="537"/>
        <v>0.00 </v>
      </c>
      <c r="M226" s="132">
        <v>90.0</v>
      </c>
      <c r="N226" s="157">
        <v>853.0</v>
      </c>
      <c r="O226" s="158">
        <v>2999.0</v>
      </c>
      <c r="P226" s="159" t="str">
        <f t="shared" si="557"/>
        <v>2,999.00</v>
      </c>
      <c r="Q226" s="160"/>
      <c r="R226" s="161">
        <v>0.26</v>
      </c>
      <c r="S226" s="162" t="str">
        <f t="shared" si="539"/>
        <v>2,219.26</v>
      </c>
      <c r="T226" s="163" t="str">
        <f t="shared" si="540"/>
        <v>60.00</v>
      </c>
      <c r="U226" s="164" t="str">
        <f t="shared" si="541"/>
        <v>165.93</v>
      </c>
      <c r="V226" s="165" t="str">
        <f t="shared" si="542"/>
        <v>0.00</v>
      </c>
      <c r="W226" s="166">
        <v>0.5</v>
      </c>
      <c r="X226" s="167" t="str">
        <f t="shared" si="556"/>
        <v>76</v>
      </c>
      <c r="Y226" s="168" t="str">
        <f t="shared" si="544"/>
        <v>974.675</v>
      </c>
      <c r="Z226" s="168" t="str">
        <f t="shared" si="545"/>
        <v>88.548</v>
      </c>
      <c r="AA226" s="164" t="str">
        <f t="shared" si="558"/>
        <v>11.54</v>
      </c>
      <c r="AB226" s="164">
        <v>76.92</v>
      </c>
      <c r="AC226" s="164" t="str">
        <f t="shared" si="547"/>
        <v>4.80</v>
      </c>
      <c r="AD226" s="165" t="str">
        <f t="shared" si="559"/>
        <v>299.90</v>
      </c>
      <c r="AE226" s="23"/>
      <c r="AF226" s="169" t="str">
        <f t="shared" si="549"/>
        <v>0</v>
      </c>
      <c r="AG226" s="163" t="str">
        <f t="shared" si="550"/>
        <v>464.61</v>
      </c>
      <c r="AH226" s="170" t="str">
        <f t="shared" si="551"/>
        <v>54.47%</v>
      </c>
      <c r="AI226" s="26"/>
      <c r="AJ226" s="171" t="str">
        <f t="shared" si="552"/>
        <v>0.00%</v>
      </c>
      <c r="AK226" s="172" t="str">
        <f t="shared" si="553"/>
        <v>0.00</v>
      </c>
      <c r="AL226" s="173" t="str">
        <f t="shared" si="554"/>
        <v>2,209.05</v>
      </c>
      <c r="AM226" s="174" t="str">
        <f t="shared" si="555"/>
        <v>1,568.43</v>
      </c>
    </row>
    <row r="227" ht="12.75" customHeight="1">
      <c r="A227" s="26"/>
      <c r="B227" s="125" t="s">
        <v>450</v>
      </c>
      <c r="C227" s="126"/>
      <c r="D227" s="127"/>
      <c r="E227" s="128"/>
      <c r="F227" s="128"/>
      <c r="G227" s="128"/>
      <c r="H227" s="197"/>
      <c r="I227" s="197"/>
      <c r="J227" s="128"/>
      <c r="K227" s="130"/>
      <c r="L227" s="131"/>
      <c r="M227" s="132"/>
      <c r="N227" s="176"/>
      <c r="O227" s="134"/>
      <c r="P227" s="135"/>
      <c r="Q227" s="135"/>
      <c r="R227" s="136"/>
      <c r="S227" s="137"/>
      <c r="T227" s="177"/>
      <c r="U227" s="178"/>
      <c r="V227" s="179"/>
      <c r="W227" s="180"/>
      <c r="X227" s="181"/>
      <c r="Y227" s="182"/>
      <c r="Z227" s="182"/>
      <c r="AA227" s="178"/>
      <c r="AB227" s="178"/>
      <c r="AC227" s="178"/>
      <c r="AD227" s="179"/>
      <c r="AE227" s="183"/>
      <c r="AF227" s="184"/>
      <c r="AG227" s="177"/>
      <c r="AH227" s="185"/>
      <c r="AI227" s="26"/>
      <c r="AJ227" s="186"/>
      <c r="AK227" s="187"/>
      <c r="AL227" s="188"/>
      <c r="AM227" s="189"/>
    </row>
    <row r="228" ht="12.75" customHeight="1">
      <c r="A228" s="26"/>
      <c r="B228" s="190" t="s">
        <v>451</v>
      </c>
      <c r="C228" s="191">
        <v>1.68956857E8</v>
      </c>
      <c r="D228" s="152" t="s">
        <v>452</v>
      </c>
      <c r="E228" s="53" t="s">
        <v>77</v>
      </c>
      <c r="F228" s="154">
        <v>1.0</v>
      </c>
      <c r="G228" s="53"/>
      <c r="H228" s="53" t="str">
        <f t="shared" ref="H228:H256" si="560">$I$2</f>
        <v>0.00069</v>
      </c>
      <c r="I228" s="53" t="str">
        <f t="shared" ref="I228:I256" si="561">$I$3</f>
        <v>89</v>
      </c>
      <c r="J228" s="53" t="str">
        <f t="shared" ref="J228:J256" si="562">G228*H228*I228*F228</f>
        <v>0</v>
      </c>
      <c r="K228" s="155" t="str">
        <f t="shared" ref="K228:K256" si="563">J228*$J$4</f>
        <v>0.00</v>
      </c>
      <c r="L228" s="156" t="str">
        <f t="shared" ref="L228:L256" si="564">K228+J228</f>
        <v>0.00 </v>
      </c>
      <c r="M228" s="132">
        <v>90.0</v>
      </c>
      <c r="N228" s="157">
        <v>0.0</v>
      </c>
      <c r="O228" s="158">
        <v>1246.8</v>
      </c>
      <c r="P228" s="159" t="str">
        <f t="shared" ref="P228:P256" si="565">AL228</f>
        <v>367.13</v>
      </c>
      <c r="Q228" s="160"/>
      <c r="R228" s="161">
        <v>0.26</v>
      </c>
      <c r="S228" s="162" t="str">
        <f t="shared" ref="S228:S238" si="566">O228-(O228*R228)</f>
        <v>922.63</v>
      </c>
      <c r="T228" s="163" t="str">
        <f t="shared" ref="T228:T238" si="567">$C$1</f>
        <v>60.00</v>
      </c>
      <c r="U228" s="164" t="str">
        <f t="shared" ref="U228:U256" si="568">(S228*7/107)+((S228-(S228*7/107))*1%)</f>
        <v>68.98</v>
      </c>
      <c r="V228" s="165" t="str">
        <f t="shared" ref="V228:V238" si="569">N228*$C$3*(M228/30)</f>
        <v>0.00</v>
      </c>
      <c r="W228" s="166">
        <v>1.46</v>
      </c>
      <c r="X228" s="167" t="str">
        <f t="shared" ref="X228:X238" si="570">((_xlfn.CEILING.MATH(W228)-1)*$C$5+$C$4)</f>
        <v>95</v>
      </c>
      <c r="Y228" s="168" t="str">
        <f t="shared" ref="Y228:Y238" si="571">O228*$Y$6</f>
        <v>405.210</v>
      </c>
      <c r="Z228" s="168" t="str">
        <f t="shared" ref="Z228:Z238" si="572">S228*$Y$7</f>
        <v>36.813</v>
      </c>
      <c r="AA228" s="164" t="str">
        <f t="shared" ref="AA228:AA238" si="573">$Y$3*((100-AB228)/100)</f>
        <v>2.48</v>
      </c>
      <c r="AB228" s="164">
        <v>95.04</v>
      </c>
      <c r="AC228" s="164" t="str">
        <f t="shared" ref="AC228:AC238" si="574">$C$6*$C$7*_xlfn.CEILING.MATH(W228)</f>
        <v>9.60</v>
      </c>
      <c r="AD228" s="165" t="str">
        <f t="shared" ref="AD228:AD238" si="575">O228*$C$2</f>
        <v>124.68</v>
      </c>
      <c r="AE228" s="23"/>
      <c r="AF228" s="169" t="str">
        <f t="shared" ref="AF228:AF238" si="576">(_xlfn.CEILING.MATH(W228))*$Y$1*$AD$2</f>
        <v>0</v>
      </c>
      <c r="AG228" s="163" t="str">
        <f t="shared" ref="AG228:AG238" si="577">O228-T228-U228-V228-X228-Y228-Z228-AA228-AC228-AD228-N228</f>
        <v>444.04</v>
      </c>
      <c r="AH228" s="170" t="str">
        <f t="shared" ref="AH228:AH238" si="578">AG228/N228</f>
        <v>#DIV/0!</v>
      </c>
      <c r="AI228" s="26"/>
      <c r="AJ228" s="171" t="str">
        <f t="shared" ref="AJ228:AJ238" si="579">$AD$3</f>
        <v>0.00%</v>
      </c>
      <c r="AK228" s="172" t="str">
        <f t="shared" ref="AK228:AK238" si="580">N228*AJ228</f>
        <v>0.00</v>
      </c>
      <c r="AL228" s="173" t="str">
        <f t="shared" ref="AL228:AL238" si="581">(N228+T228+V228+X228+AA228+AC228+AF228+AK228)/(100%-($C$2+$C$8+$Y$6+$Y$7))</f>
        <v>367.13</v>
      </c>
      <c r="AM228" s="174" t="str">
        <f t="shared" ref="AM228:AM238" si="582">AL228-(AL228*$AD$1)</f>
        <v>260.66</v>
      </c>
    </row>
    <row r="229" ht="12.75" customHeight="1">
      <c r="A229" s="26"/>
      <c r="B229" s="190" t="s">
        <v>453</v>
      </c>
      <c r="C229" s="192">
        <v>1.88818E8</v>
      </c>
      <c r="D229" s="152" t="s">
        <v>454</v>
      </c>
      <c r="E229" s="53" t="s">
        <v>455</v>
      </c>
      <c r="F229" s="154">
        <v>1.0</v>
      </c>
      <c r="G229" s="53"/>
      <c r="H229" s="53" t="str">
        <f t="shared" si="560"/>
        <v>0.00069</v>
      </c>
      <c r="I229" s="53" t="str">
        <f t="shared" si="561"/>
        <v>89</v>
      </c>
      <c r="J229" s="53" t="str">
        <f t="shared" si="562"/>
        <v>0</v>
      </c>
      <c r="K229" s="155" t="str">
        <f t="shared" si="563"/>
        <v>0.00</v>
      </c>
      <c r="L229" s="156" t="str">
        <f t="shared" si="564"/>
        <v>0.00 </v>
      </c>
      <c r="M229" s="132">
        <v>90.0</v>
      </c>
      <c r="N229" s="157">
        <v>0.0</v>
      </c>
      <c r="O229" s="158">
        <v>816.0</v>
      </c>
      <c r="P229" s="159" t="str">
        <f t="shared" si="565"/>
        <v>322.75</v>
      </c>
      <c r="Q229" s="160"/>
      <c r="R229" s="161">
        <v>0.26</v>
      </c>
      <c r="S229" s="162" t="str">
        <f t="shared" si="566"/>
        <v>603.84</v>
      </c>
      <c r="T229" s="163" t="str">
        <f t="shared" si="567"/>
        <v>60.00</v>
      </c>
      <c r="U229" s="164" t="str">
        <f t="shared" si="568"/>
        <v>45.15</v>
      </c>
      <c r="V229" s="165" t="str">
        <f t="shared" si="569"/>
        <v>0.00</v>
      </c>
      <c r="W229" s="166">
        <v>0.61</v>
      </c>
      <c r="X229" s="167" t="str">
        <f t="shared" si="570"/>
        <v>76</v>
      </c>
      <c r="Y229" s="168" t="str">
        <f t="shared" si="571"/>
        <v>265.200</v>
      </c>
      <c r="Z229" s="168" t="str">
        <f t="shared" si="572"/>
        <v>24.093</v>
      </c>
      <c r="AA229" s="164" t="str">
        <f t="shared" si="573"/>
        <v>6.09</v>
      </c>
      <c r="AB229" s="164">
        <v>87.83</v>
      </c>
      <c r="AC229" s="164" t="str">
        <f t="shared" si="574"/>
        <v>4.80</v>
      </c>
      <c r="AD229" s="165" t="str">
        <f t="shared" si="575"/>
        <v>81.60</v>
      </c>
      <c r="AE229" s="23"/>
      <c r="AF229" s="169" t="str">
        <f t="shared" si="576"/>
        <v>0</v>
      </c>
      <c r="AG229" s="163" t="str">
        <f t="shared" si="577"/>
        <v>253.07</v>
      </c>
      <c r="AH229" s="170" t="str">
        <f t="shared" si="578"/>
        <v>#DIV/0!</v>
      </c>
      <c r="AI229" s="26"/>
      <c r="AJ229" s="171" t="str">
        <f t="shared" si="579"/>
        <v>0.00%</v>
      </c>
      <c r="AK229" s="172" t="str">
        <f t="shared" si="580"/>
        <v>0.00</v>
      </c>
      <c r="AL229" s="173" t="str">
        <f t="shared" si="581"/>
        <v>322.75</v>
      </c>
      <c r="AM229" s="174" t="str">
        <f t="shared" si="582"/>
        <v>229.15</v>
      </c>
    </row>
    <row r="230" ht="12.75" customHeight="1">
      <c r="A230" s="26"/>
      <c r="B230" s="190" t="s">
        <v>456</v>
      </c>
      <c r="C230" s="215">
        <v>1.88823064E8</v>
      </c>
      <c r="D230" s="152" t="s">
        <v>457</v>
      </c>
      <c r="E230" s="53" t="s">
        <v>77</v>
      </c>
      <c r="F230" s="154">
        <v>1.0</v>
      </c>
      <c r="G230" s="53"/>
      <c r="H230" s="53" t="str">
        <f t="shared" si="560"/>
        <v>0.00069</v>
      </c>
      <c r="I230" s="53" t="str">
        <f t="shared" si="561"/>
        <v>89</v>
      </c>
      <c r="J230" s="53" t="str">
        <f t="shared" si="562"/>
        <v>0</v>
      </c>
      <c r="K230" s="155" t="str">
        <f t="shared" si="563"/>
        <v>0.00</v>
      </c>
      <c r="L230" s="156" t="str">
        <f t="shared" si="564"/>
        <v>0.00 </v>
      </c>
      <c r="M230" s="132">
        <v>90.0</v>
      </c>
      <c r="N230" s="157">
        <v>0.0</v>
      </c>
      <c r="O230" s="158">
        <v>729.9</v>
      </c>
      <c r="P230" s="159" t="str">
        <f t="shared" si="565"/>
        <v>365.91</v>
      </c>
      <c r="Q230" s="160"/>
      <c r="R230" s="161">
        <v>0.26</v>
      </c>
      <c r="S230" s="162" t="str">
        <f t="shared" si="566"/>
        <v>540.13</v>
      </c>
      <c r="T230" s="163" t="str">
        <f t="shared" si="567"/>
        <v>60.00</v>
      </c>
      <c r="U230" s="164" t="str">
        <f t="shared" si="568"/>
        <v>40.38</v>
      </c>
      <c r="V230" s="165" t="str">
        <f t="shared" si="569"/>
        <v>0.00</v>
      </c>
      <c r="W230" s="166">
        <v>1.08</v>
      </c>
      <c r="X230" s="167" t="str">
        <f t="shared" si="570"/>
        <v>95</v>
      </c>
      <c r="Y230" s="168" t="str">
        <f t="shared" si="571"/>
        <v>237.218</v>
      </c>
      <c r="Z230" s="168" t="str">
        <f t="shared" si="572"/>
        <v>21.551</v>
      </c>
      <c r="AA230" s="164" t="str">
        <f t="shared" si="573"/>
        <v>1.93</v>
      </c>
      <c r="AB230" s="164">
        <v>96.15</v>
      </c>
      <c r="AC230" s="164" t="str">
        <f t="shared" si="574"/>
        <v>9.60</v>
      </c>
      <c r="AD230" s="165" t="str">
        <f t="shared" si="575"/>
        <v>72.99</v>
      </c>
      <c r="AE230" s="23"/>
      <c r="AF230" s="169" t="str">
        <f t="shared" si="576"/>
        <v>0</v>
      </c>
      <c r="AG230" s="163" t="str">
        <f t="shared" si="577"/>
        <v>191.23</v>
      </c>
      <c r="AH230" s="170" t="str">
        <f t="shared" si="578"/>
        <v>#DIV/0!</v>
      </c>
      <c r="AI230" s="26"/>
      <c r="AJ230" s="171" t="str">
        <f t="shared" si="579"/>
        <v>0.00%</v>
      </c>
      <c r="AK230" s="172" t="str">
        <f t="shared" si="580"/>
        <v>0.00</v>
      </c>
      <c r="AL230" s="173" t="str">
        <f t="shared" si="581"/>
        <v>365.91</v>
      </c>
      <c r="AM230" s="174" t="str">
        <f t="shared" si="582"/>
        <v>259.80</v>
      </c>
    </row>
    <row r="231" ht="12.75" customHeight="1">
      <c r="A231" s="26"/>
      <c r="B231" s="190" t="s">
        <v>458</v>
      </c>
      <c r="C231" s="191">
        <v>1.99544883E8</v>
      </c>
      <c r="D231" s="152" t="s">
        <v>459</v>
      </c>
      <c r="E231" s="53" t="s">
        <v>77</v>
      </c>
      <c r="F231" s="154">
        <v>1.0</v>
      </c>
      <c r="G231" s="53"/>
      <c r="H231" s="53" t="str">
        <f t="shared" si="560"/>
        <v>0.00069</v>
      </c>
      <c r="I231" s="53" t="str">
        <f t="shared" si="561"/>
        <v>89</v>
      </c>
      <c r="J231" s="53" t="str">
        <f t="shared" si="562"/>
        <v>0</v>
      </c>
      <c r="K231" s="155" t="str">
        <f t="shared" si="563"/>
        <v>0.00</v>
      </c>
      <c r="L231" s="156" t="str">
        <f t="shared" si="564"/>
        <v>0.00 </v>
      </c>
      <c r="M231" s="132">
        <v>90.0</v>
      </c>
      <c r="N231" s="157">
        <v>0.0</v>
      </c>
      <c r="O231" s="158">
        <v>1809.9</v>
      </c>
      <c r="P231" s="159" t="str">
        <f t="shared" si="565"/>
        <v>418.14</v>
      </c>
      <c r="Q231" s="160"/>
      <c r="R231" s="161">
        <v>0.26</v>
      </c>
      <c r="S231" s="162" t="str">
        <f t="shared" si="566"/>
        <v>1,339.33</v>
      </c>
      <c r="T231" s="163" t="str">
        <f t="shared" si="567"/>
        <v>60.00</v>
      </c>
      <c r="U231" s="164" t="str">
        <f t="shared" si="568"/>
        <v>100.14</v>
      </c>
      <c r="V231" s="165" t="str">
        <f t="shared" si="569"/>
        <v>0.00</v>
      </c>
      <c r="W231" s="166">
        <v>2.64</v>
      </c>
      <c r="X231" s="167" t="str">
        <f t="shared" si="570"/>
        <v>114</v>
      </c>
      <c r="Y231" s="168" t="str">
        <f t="shared" si="571"/>
        <v>588.218</v>
      </c>
      <c r="Z231" s="168" t="str">
        <f t="shared" si="572"/>
        <v>53.439</v>
      </c>
      <c r="AA231" s="164" t="str">
        <f t="shared" si="573"/>
        <v>1.90</v>
      </c>
      <c r="AB231" s="164">
        <v>96.21</v>
      </c>
      <c r="AC231" s="164" t="str">
        <f t="shared" si="574"/>
        <v>14.40</v>
      </c>
      <c r="AD231" s="165" t="str">
        <f t="shared" si="575"/>
        <v>180.99</v>
      </c>
      <c r="AE231" s="23"/>
      <c r="AF231" s="169" t="str">
        <f t="shared" si="576"/>
        <v>0</v>
      </c>
      <c r="AG231" s="163" t="str">
        <f t="shared" si="577"/>
        <v>696.82</v>
      </c>
      <c r="AH231" s="170" t="str">
        <f t="shared" si="578"/>
        <v>#DIV/0!</v>
      </c>
      <c r="AI231" s="26"/>
      <c r="AJ231" s="171" t="str">
        <f t="shared" si="579"/>
        <v>0.00%</v>
      </c>
      <c r="AK231" s="172" t="str">
        <f t="shared" si="580"/>
        <v>0.00</v>
      </c>
      <c r="AL231" s="173" t="str">
        <f t="shared" si="581"/>
        <v>418.14</v>
      </c>
      <c r="AM231" s="174" t="str">
        <f t="shared" si="582"/>
        <v>296.88</v>
      </c>
    </row>
    <row r="232" ht="12.75" customHeight="1">
      <c r="A232" s="26"/>
      <c r="B232" s="190" t="s">
        <v>460</v>
      </c>
      <c r="C232" s="192">
        <v>1.6895673E8</v>
      </c>
      <c r="D232" s="152" t="s">
        <v>461</v>
      </c>
      <c r="E232" s="53" t="s">
        <v>77</v>
      </c>
      <c r="F232" s="154">
        <v>1.0</v>
      </c>
      <c r="G232" s="53"/>
      <c r="H232" s="53" t="str">
        <f t="shared" si="560"/>
        <v>0.00069</v>
      </c>
      <c r="I232" s="53" t="str">
        <f t="shared" si="561"/>
        <v>89</v>
      </c>
      <c r="J232" s="53" t="str">
        <f t="shared" si="562"/>
        <v>0</v>
      </c>
      <c r="K232" s="155" t="str">
        <f t="shared" si="563"/>
        <v>0.00</v>
      </c>
      <c r="L232" s="156" t="str">
        <f t="shared" si="564"/>
        <v>0.00 </v>
      </c>
      <c r="M232" s="132">
        <v>90.0</v>
      </c>
      <c r="N232" s="157">
        <v>0.0</v>
      </c>
      <c r="O232" s="158">
        <v>880.2</v>
      </c>
      <c r="P232" s="159" t="str">
        <f t="shared" si="565"/>
        <v>311.59</v>
      </c>
      <c r="Q232" s="160"/>
      <c r="R232" s="161">
        <v>0.26</v>
      </c>
      <c r="S232" s="162" t="str">
        <f t="shared" si="566"/>
        <v>651.35</v>
      </c>
      <c r="T232" s="163" t="str">
        <f t="shared" si="567"/>
        <v>60.00</v>
      </c>
      <c r="U232" s="164" t="str">
        <f t="shared" si="568"/>
        <v>48.70</v>
      </c>
      <c r="V232" s="165" t="str">
        <f t="shared" si="569"/>
        <v>0.00</v>
      </c>
      <c r="W232" s="166">
        <v>0.69</v>
      </c>
      <c r="X232" s="167" t="str">
        <f t="shared" si="570"/>
        <v>76</v>
      </c>
      <c r="Y232" s="168" t="str">
        <f t="shared" si="571"/>
        <v>286.065</v>
      </c>
      <c r="Z232" s="168" t="str">
        <f t="shared" si="572"/>
        <v>25.989</v>
      </c>
      <c r="AA232" s="164" t="str">
        <f t="shared" si="573"/>
        <v>1.01</v>
      </c>
      <c r="AB232" s="164">
        <v>97.99</v>
      </c>
      <c r="AC232" s="164" t="str">
        <f t="shared" si="574"/>
        <v>4.80</v>
      </c>
      <c r="AD232" s="165" t="str">
        <f t="shared" si="575"/>
        <v>88.02</v>
      </c>
      <c r="AE232" s="23"/>
      <c r="AF232" s="169" t="str">
        <f t="shared" si="576"/>
        <v>0</v>
      </c>
      <c r="AG232" s="163" t="str">
        <f t="shared" si="577"/>
        <v>289.62</v>
      </c>
      <c r="AH232" s="170" t="str">
        <f t="shared" si="578"/>
        <v>#DIV/0!</v>
      </c>
      <c r="AI232" s="26"/>
      <c r="AJ232" s="171" t="str">
        <f t="shared" si="579"/>
        <v>0.00%</v>
      </c>
      <c r="AK232" s="172" t="str">
        <f t="shared" si="580"/>
        <v>0.00</v>
      </c>
      <c r="AL232" s="173" t="str">
        <f t="shared" si="581"/>
        <v>311.59</v>
      </c>
      <c r="AM232" s="174" t="str">
        <f t="shared" si="582"/>
        <v>221.23</v>
      </c>
    </row>
    <row r="233" ht="12.75" customHeight="1">
      <c r="A233" s="26"/>
      <c r="B233" s="190" t="s">
        <v>462</v>
      </c>
      <c r="C233" s="192">
        <v>1.90158095E8</v>
      </c>
      <c r="D233" s="152" t="s">
        <v>463</v>
      </c>
      <c r="E233" s="53" t="s">
        <v>77</v>
      </c>
      <c r="F233" s="154">
        <v>1.0</v>
      </c>
      <c r="G233" s="53"/>
      <c r="H233" s="53" t="str">
        <f t="shared" si="560"/>
        <v>0.00069</v>
      </c>
      <c r="I233" s="53" t="str">
        <f t="shared" si="561"/>
        <v>89</v>
      </c>
      <c r="J233" s="53" t="str">
        <f t="shared" si="562"/>
        <v>0</v>
      </c>
      <c r="K233" s="155" t="str">
        <f t="shared" si="563"/>
        <v>0.00</v>
      </c>
      <c r="L233" s="156" t="str">
        <f t="shared" si="564"/>
        <v>0.00 </v>
      </c>
      <c r="M233" s="132">
        <v>90.0</v>
      </c>
      <c r="N233" s="157">
        <v>0.0</v>
      </c>
      <c r="O233" s="158">
        <v>959.1</v>
      </c>
      <c r="P233" s="159" t="str">
        <f t="shared" si="565"/>
        <v>309.38</v>
      </c>
      <c r="Q233" s="160"/>
      <c r="R233" s="161">
        <v>0.26</v>
      </c>
      <c r="S233" s="162" t="str">
        <f t="shared" si="566"/>
        <v>709.73</v>
      </c>
      <c r="T233" s="163" t="str">
        <f t="shared" si="567"/>
        <v>60.00</v>
      </c>
      <c r="U233" s="164" t="str">
        <f t="shared" si="568"/>
        <v>53.06</v>
      </c>
      <c r="V233" s="165" t="str">
        <f t="shared" si="569"/>
        <v>0.00</v>
      </c>
      <c r="W233" s="166">
        <v>0.36</v>
      </c>
      <c r="X233" s="167" t="str">
        <f t="shared" si="570"/>
        <v>76</v>
      </c>
      <c r="Y233" s="168" t="str">
        <f t="shared" si="571"/>
        <v>311.708</v>
      </c>
      <c r="Z233" s="168" t="str">
        <f t="shared" si="572"/>
        <v>28.318</v>
      </c>
      <c r="AA233" s="164" t="str">
        <f t="shared" si="573"/>
        <v>0.00</v>
      </c>
      <c r="AB233" s="164">
        <v>100.0</v>
      </c>
      <c r="AC233" s="164" t="str">
        <f t="shared" si="574"/>
        <v>4.80</v>
      </c>
      <c r="AD233" s="165" t="str">
        <f t="shared" si="575"/>
        <v>95.91</v>
      </c>
      <c r="AE233" s="23"/>
      <c r="AF233" s="169" t="str">
        <f t="shared" si="576"/>
        <v>0</v>
      </c>
      <c r="AG233" s="163" t="str">
        <f t="shared" si="577"/>
        <v>329.30</v>
      </c>
      <c r="AH233" s="170" t="str">
        <f t="shared" si="578"/>
        <v>#DIV/0!</v>
      </c>
      <c r="AI233" s="26"/>
      <c r="AJ233" s="171" t="str">
        <f t="shared" si="579"/>
        <v>0.00%</v>
      </c>
      <c r="AK233" s="172" t="str">
        <f t="shared" si="580"/>
        <v>0.00</v>
      </c>
      <c r="AL233" s="173" t="str">
        <f t="shared" si="581"/>
        <v>309.38</v>
      </c>
      <c r="AM233" s="174" t="str">
        <f t="shared" si="582"/>
        <v>219.66</v>
      </c>
    </row>
    <row r="234" ht="12.75" customHeight="1">
      <c r="A234" s="26"/>
      <c r="B234" s="190" t="s">
        <v>464</v>
      </c>
      <c r="C234" s="191">
        <v>1.90158096E8</v>
      </c>
      <c r="D234" s="152" t="s">
        <v>465</v>
      </c>
      <c r="E234" s="53" t="s">
        <v>77</v>
      </c>
      <c r="F234" s="154">
        <v>1.0</v>
      </c>
      <c r="G234" s="53"/>
      <c r="H234" s="53" t="str">
        <f t="shared" si="560"/>
        <v>0.00069</v>
      </c>
      <c r="I234" s="53" t="str">
        <f t="shared" si="561"/>
        <v>89</v>
      </c>
      <c r="J234" s="53" t="str">
        <f t="shared" si="562"/>
        <v>0</v>
      </c>
      <c r="K234" s="155" t="str">
        <f t="shared" si="563"/>
        <v>0.00</v>
      </c>
      <c r="L234" s="156" t="str">
        <f t="shared" si="564"/>
        <v>0.00 </v>
      </c>
      <c r="M234" s="132">
        <v>90.0</v>
      </c>
      <c r="N234" s="157">
        <v>0.0</v>
      </c>
      <c r="O234" s="158">
        <v>959.1</v>
      </c>
      <c r="P234" s="159" t="str">
        <f t="shared" si="565"/>
        <v>313.30</v>
      </c>
      <c r="Q234" s="160"/>
      <c r="R234" s="161">
        <v>0.26</v>
      </c>
      <c r="S234" s="162" t="str">
        <f t="shared" si="566"/>
        <v>709.73</v>
      </c>
      <c r="T234" s="163" t="str">
        <f t="shared" si="567"/>
        <v>60.00</v>
      </c>
      <c r="U234" s="164" t="str">
        <f t="shared" si="568"/>
        <v>53.06</v>
      </c>
      <c r="V234" s="165" t="str">
        <f t="shared" si="569"/>
        <v>0.00</v>
      </c>
      <c r="W234" s="166">
        <v>0.36</v>
      </c>
      <c r="X234" s="167" t="str">
        <f t="shared" si="570"/>
        <v>76</v>
      </c>
      <c r="Y234" s="168" t="str">
        <f t="shared" si="571"/>
        <v>311.708</v>
      </c>
      <c r="Z234" s="168" t="str">
        <f t="shared" si="572"/>
        <v>28.318</v>
      </c>
      <c r="AA234" s="164" t="str">
        <f t="shared" si="573"/>
        <v>1.79</v>
      </c>
      <c r="AB234" s="164">
        <v>96.43</v>
      </c>
      <c r="AC234" s="164" t="str">
        <f t="shared" si="574"/>
        <v>4.80</v>
      </c>
      <c r="AD234" s="165" t="str">
        <f t="shared" si="575"/>
        <v>95.91</v>
      </c>
      <c r="AE234" s="23"/>
      <c r="AF234" s="169" t="str">
        <f t="shared" si="576"/>
        <v>0</v>
      </c>
      <c r="AG234" s="163" t="str">
        <f t="shared" si="577"/>
        <v>327.51</v>
      </c>
      <c r="AH234" s="170" t="str">
        <f t="shared" si="578"/>
        <v>#DIV/0!</v>
      </c>
      <c r="AI234" s="26"/>
      <c r="AJ234" s="171" t="str">
        <f t="shared" si="579"/>
        <v>0.00%</v>
      </c>
      <c r="AK234" s="172" t="str">
        <f t="shared" si="580"/>
        <v>0.00</v>
      </c>
      <c r="AL234" s="173" t="str">
        <f t="shared" si="581"/>
        <v>313.30</v>
      </c>
      <c r="AM234" s="174" t="str">
        <f t="shared" si="582"/>
        <v>222.45</v>
      </c>
    </row>
    <row r="235" ht="12.75" customHeight="1">
      <c r="A235" s="26"/>
      <c r="B235" s="190" t="s">
        <v>466</v>
      </c>
      <c r="C235" s="191">
        <v>1.90158094E8</v>
      </c>
      <c r="D235" s="152" t="s">
        <v>467</v>
      </c>
      <c r="E235" s="53" t="s">
        <v>77</v>
      </c>
      <c r="F235" s="154">
        <v>1.0</v>
      </c>
      <c r="G235" s="53"/>
      <c r="H235" s="53" t="str">
        <f t="shared" si="560"/>
        <v>0.00069</v>
      </c>
      <c r="I235" s="53" t="str">
        <f t="shared" si="561"/>
        <v>89</v>
      </c>
      <c r="J235" s="53" t="str">
        <f t="shared" si="562"/>
        <v>0</v>
      </c>
      <c r="K235" s="155" t="str">
        <f t="shared" si="563"/>
        <v>0.00</v>
      </c>
      <c r="L235" s="156" t="str">
        <f t="shared" si="564"/>
        <v>0.00 </v>
      </c>
      <c r="M235" s="132">
        <v>90.0</v>
      </c>
      <c r="N235" s="157">
        <v>0.0</v>
      </c>
      <c r="O235" s="158">
        <v>959.1</v>
      </c>
      <c r="P235" s="159" t="str">
        <f t="shared" si="565"/>
        <v>316.67</v>
      </c>
      <c r="Q235" s="160"/>
      <c r="R235" s="161">
        <v>0.26</v>
      </c>
      <c r="S235" s="162" t="str">
        <f t="shared" si="566"/>
        <v>709.73</v>
      </c>
      <c r="T235" s="163" t="str">
        <f t="shared" si="567"/>
        <v>60.00</v>
      </c>
      <c r="U235" s="164" t="str">
        <f t="shared" si="568"/>
        <v>53.06</v>
      </c>
      <c r="V235" s="165" t="str">
        <f t="shared" si="569"/>
        <v>0.00</v>
      </c>
      <c r="W235" s="166">
        <v>0.36</v>
      </c>
      <c r="X235" s="167" t="str">
        <f t="shared" si="570"/>
        <v>76</v>
      </c>
      <c r="Y235" s="168" t="str">
        <f t="shared" si="571"/>
        <v>311.708</v>
      </c>
      <c r="Z235" s="168" t="str">
        <f t="shared" si="572"/>
        <v>28.318</v>
      </c>
      <c r="AA235" s="164" t="str">
        <f t="shared" si="573"/>
        <v>3.32</v>
      </c>
      <c r="AB235" s="164">
        <v>93.37</v>
      </c>
      <c r="AC235" s="164" t="str">
        <f t="shared" si="574"/>
        <v>4.80</v>
      </c>
      <c r="AD235" s="165" t="str">
        <f t="shared" si="575"/>
        <v>95.91</v>
      </c>
      <c r="AE235" s="23"/>
      <c r="AF235" s="169" t="str">
        <f t="shared" si="576"/>
        <v>0</v>
      </c>
      <c r="AG235" s="163" t="str">
        <f t="shared" si="577"/>
        <v>325.98</v>
      </c>
      <c r="AH235" s="170" t="str">
        <f t="shared" si="578"/>
        <v>#DIV/0!</v>
      </c>
      <c r="AI235" s="26"/>
      <c r="AJ235" s="171" t="str">
        <f t="shared" si="579"/>
        <v>0.00%</v>
      </c>
      <c r="AK235" s="172" t="str">
        <f t="shared" si="580"/>
        <v>0.00</v>
      </c>
      <c r="AL235" s="173" t="str">
        <f t="shared" si="581"/>
        <v>316.67</v>
      </c>
      <c r="AM235" s="174" t="str">
        <f t="shared" si="582"/>
        <v>224.83</v>
      </c>
    </row>
    <row r="236" ht="12.75" customHeight="1">
      <c r="A236" s="26"/>
      <c r="B236" s="190" t="s">
        <v>468</v>
      </c>
      <c r="C236" s="191">
        <v>1.90158097E8</v>
      </c>
      <c r="D236" s="152" t="s">
        <v>469</v>
      </c>
      <c r="E236" s="53" t="s">
        <v>77</v>
      </c>
      <c r="F236" s="154">
        <v>1.0</v>
      </c>
      <c r="G236" s="53"/>
      <c r="H236" s="53" t="str">
        <f t="shared" si="560"/>
        <v>0.00069</v>
      </c>
      <c r="I236" s="53" t="str">
        <f t="shared" si="561"/>
        <v>89</v>
      </c>
      <c r="J236" s="53" t="str">
        <f t="shared" si="562"/>
        <v>0</v>
      </c>
      <c r="K236" s="155" t="str">
        <f t="shared" si="563"/>
        <v>0.00</v>
      </c>
      <c r="L236" s="156" t="str">
        <f t="shared" si="564"/>
        <v>0.00 </v>
      </c>
      <c r="M236" s="132">
        <v>90.0</v>
      </c>
      <c r="N236" s="157">
        <v>0.0</v>
      </c>
      <c r="O236" s="158">
        <v>959.1</v>
      </c>
      <c r="P236" s="159" t="str">
        <f t="shared" si="565"/>
        <v>310.99</v>
      </c>
      <c r="Q236" s="160"/>
      <c r="R236" s="161">
        <v>0.26</v>
      </c>
      <c r="S236" s="162" t="str">
        <f t="shared" si="566"/>
        <v>709.73</v>
      </c>
      <c r="T236" s="163" t="str">
        <f t="shared" si="567"/>
        <v>60.00</v>
      </c>
      <c r="U236" s="164" t="str">
        <f t="shared" si="568"/>
        <v>53.06</v>
      </c>
      <c r="V236" s="165" t="str">
        <f t="shared" si="569"/>
        <v>0.00</v>
      </c>
      <c r="W236" s="166">
        <v>0.36</v>
      </c>
      <c r="X236" s="167" t="str">
        <f t="shared" si="570"/>
        <v>76</v>
      </c>
      <c r="Y236" s="168" t="str">
        <f t="shared" si="571"/>
        <v>311.708</v>
      </c>
      <c r="Z236" s="168" t="str">
        <f t="shared" si="572"/>
        <v>28.318</v>
      </c>
      <c r="AA236" s="164" t="str">
        <f t="shared" si="573"/>
        <v>0.73</v>
      </c>
      <c r="AB236" s="164">
        <v>98.54</v>
      </c>
      <c r="AC236" s="164" t="str">
        <f t="shared" si="574"/>
        <v>4.80</v>
      </c>
      <c r="AD236" s="165" t="str">
        <f t="shared" si="575"/>
        <v>95.91</v>
      </c>
      <c r="AE236" s="23"/>
      <c r="AF236" s="169" t="str">
        <f t="shared" si="576"/>
        <v>0</v>
      </c>
      <c r="AG236" s="163" t="str">
        <f t="shared" si="577"/>
        <v>328.57</v>
      </c>
      <c r="AH236" s="170" t="str">
        <f t="shared" si="578"/>
        <v>#DIV/0!</v>
      </c>
      <c r="AI236" s="26"/>
      <c r="AJ236" s="171" t="str">
        <f t="shared" si="579"/>
        <v>0.00%</v>
      </c>
      <c r="AK236" s="172" t="str">
        <f t="shared" si="580"/>
        <v>0.00</v>
      </c>
      <c r="AL236" s="173" t="str">
        <f t="shared" si="581"/>
        <v>310.99</v>
      </c>
      <c r="AM236" s="174" t="str">
        <f t="shared" si="582"/>
        <v>220.80</v>
      </c>
    </row>
    <row r="237" ht="12.75" customHeight="1">
      <c r="A237" s="26"/>
      <c r="B237" s="190" t="s">
        <v>470</v>
      </c>
      <c r="C237" s="191">
        <v>1.90158093E8</v>
      </c>
      <c r="D237" s="152" t="s">
        <v>471</v>
      </c>
      <c r="E237" s="53" t="s">
        <v>77</v>
      </c>
      <c r="F237" s="154">
        <v>1.0</v>
      </c>
      <c r="G237" s="53"/>
      <c r="H237" s="53" t="str">
        <f t="shared" si="560"/>
        <v>0.00069</v>
      </c>
      <c r="I237" s="53" t="str">
        <f t="shared" si="561"/>
        <v>89</v>
      </c>
      <c r="J237" s="53" t="str">
        <f t="shared" si="562"/>
        <v>0</v>
      </c>
      <c r="K237" s="155" t="str">
        <f t="shared" si="563"/>
        <v>0.00</v>
      </c>
      <c r="L237" s="156" t="str">
        <f t="shared" si="564"/>
        <v>0.00 </v>
      </c>
      <c r="M237" s="132">
        <v>90.0</v>
      </c>
      <c r="N237" s="157">
        <v>0.0</v>
      </c>
      <c r="O237" s="158">
        <v>959.1</v>
      </c>
      <c r="P237" s="159" t="str">
        <f t="shared" si="565"/>
        <v>315.70</v>
      </c>
      <c r="Q237" s="160"/>
      <c r="R237" s="161">
        <v>0.26</v>
      </c>
      <c r="S237" s="162" t="str">
        <f t="shared" si="566"/>
        <v>709.73</v>
      </c>
      <c r="T237" s="163" t="str">
        <f t="shared" si="567"/>
        <v>60.00</v>
      </c>
      <c r="U237" s="164" t="str">
        <f t="shared" si="568"/>
        <v>53.06</v>
      </c>
      <c r="V237" s="165" t="str">
        <f t="shared" si="569"/>
        <v>0.00</v>
      </c>
      <c r="W237" s="166">
        <v>0.36</v>
      </c>
      <c r="X237" s="167" t="str">
        <f t="shared" si="570"/>
        <v>76</v>
      </c>
      <c r="Y237" s="168" t="str">
        <f t="shared" si="571"/>
        <v>311.708</v>
      </c>
      <c r="Z237" s="168" t="str">
        <f t="shared" si="572"/>
        <v>28.318</v>
      </c>
      <c r="AA237" s="164" t="str">
        <f t="shared" si="573"/>
        <v>2.88</v>
      </c>
      <c r="AB237" s="164">
        <v>94.25</v>
      </c>
      <c r="AC237" s="164" t="str">
        <f t="shared" si="574"/>
        <v>4.80</v>
      </c>
      <c r="AD237" s="165" t="str">
        <f t="shared" si="575"/>
        <v>95.91</v>
      </c>
      <c r="AE237" s="23"/>
      <c r="AF237" s="169" t="str">
        <f t="shared" si="576"/>
        <v>0</v>
      </c>
      <c r="AG237" s="163" t="str">
        <f t="shared" si="577"/>
        <v>326.42</v>
      </c>
      <c r="AH237" s="170" t="str">
        <f t="shared" si="578"/>
        <v>#DIV/0!</v>
      </c>
      <c r="AI237" s="26"/>
      <c r="AJ237" s="171" t="str">
        <f t="shared" si="579"/>
        <v>0.00%</v>
      </c>
      <c r="AK237" s="172" t="str">
        <f t="shared" si="580"/>
        <v>0.00</v>
      </c>
      <c r="AL237" s="173" t="str">
        <f t="shared" si="581"/>
        <v>315.70</v>
      </c>
      <c r="AM237" s="174" t="str">
        <f t="shared" si="582"/>
        <v>224.15</v>
      </c>
    </row>
    <row r="238" ht="12.75" customHeight="1">
      <c r="A238" s="26"/>
      <c r="B238" s="190" t="s">
        <v>472</v>
      </c>
      <c r="C238" s="191">
        <v>1.8302882E8</v>
      </c>
      <c r="D238" s="152" t="s">
        <v>473</v>
      </c>
      <c r="E238" s="53" t="s">
        <v>77</v>
      </c>
      <c r="F238" s="154">
        <v>1.0</v>
      </c>
      <c r="G238" s="53"/>
      <c r="H238" s="53" t="str">
        <f t="shared" si="560"/>
        <v>0.00069</v>
      </c>
      <c r="I238" s="53" t="str">
        <f t="shared" si="561"/>
        <v>89</v>
      </c>
      <c r="J238" s="53" t="str">
        <f t="shared" si="562"/>
        <v>0</v>
      </c>
      <c r="K238" s="155" t="str">
        <f t="shared" si="563"/>
        <v>0.00</v>
      </c>
      <c r="L238" s="156" t="str">
        <f t="shared" si="564"/>
        <v>0.00 </v>
      </c>
      <c r="M238" s="132">
        <v>90.0</v>
      </c>
      <c r="N238" s="157">
        <v>0.0</v>
      </c>
      <c r="O238" s="158">
        <v>1173.0</v>
      </c>
      <c r="P238" s="159" t="str">
        <f t="shared" si="565"/>
        <v>313.16</v>
      </c>
      <c r="Q238" s="160"/>
      <c r="R238" s="161">
        <v>0.26</v>
      </c>
      <c r="S238" s="162" t="str">
        <f t="shared" si="566"/>
        <v>868.02</v>
      </c>
      <c r="T238" s="163" t="str">
        <f t="shared" si="567"/>
        <v>60.00</v>
      </c>
      <c r="U238" s="164" t="str">
        <f t="shared" si="568"/>
        <v>64.90</v>
      </c>
      <c r="V238" s="165" t="str">
        <f t="shared" si="569"/>
        <v>0.00</v>
      </c>
      <c r="W238" s="166">
        <v>0.68</v>
      </c>
      <c r="X238" s="167" t="str">
        <f t="shared" si="570"/>
        <v>76</v>
      </c>
      <c r="Y238" s="168" t="str">
        <f t="shared" si="571"/>
        <v>381.225</v>
      </c>
      <c r="Z238" s="168" t="str">
        <f t="shared" si="572"/>
        <v>34.634</v>
      </c>
      <c r="AA238" s="164" t="str">
        <f t="shared" si="573"/>
        <v>1.72</v>
      </c>
      <c r="AB238" s="164">
        <v>96.56</v>
      </c>
      <c r="AC238" s="164" t="str">
        <f t="shared" si="574"/>
        <v>4.80</v>
      </c>
      <c r="AD238" s="165" t="str">
        <f t="shared" si="575"/>
        <v>117.30</v>
      </c>
      <c r="AE238" s="23"/>
      <c r="AF238" s="169" t="str">
        <f t="shared" si="576"/>
        <v>0</v>
      </c>
      <c r="AG238" s="163" t="str">
        <f t="shared" si="577"/>
        <v>432.42</v>
      </c>
      <c r="AH238" s="170" t="str">
        <f t="shared" si="578"/>
        <v>#DIV/0!</v>
      </c>
      <c r="AI238" s="26"/>
      <c r="AJ238" s="171" t="str">
        <f t="shared" si="579"/>
        <v>0.00%</v>
      </c>
      <c r="AK238" s="172" t="str">
        <f t="shared" si="580"/>
        <v>0.00</v>
      </c>
      <c r="AL238" s="173" t="str">
        <f t="shared" si="581"/>
        <v>313.16</v>
      </c>
      <c r="AM238" s="174" t="str">
        <f t="shared" si="582"/>
        <v>222.34</v>
      </c>
    </row>
    <row r="239" ht="12.75" customHeight="1">
      <c r="A239" s="26"/>
      <c r="B239" s="190" t="s">
        <v>474</v>
      </c>
      <c r="C239" s="216"/>
      <c r="D239" s="217" t="s">
        <v>475</v>
      </c>
      <c r="E239" s="53" t="s">
        <v>77</v>
      </c>
      <c r="F239" s="154">
        <v>1.0</v>
      </c>
      <c r="G239" s="53"/>
      <c r="H239" s="53" t="str">
        <f t="shared" si="560"/>
        <v>0.00069</v>
      </c>
      <c r="I239" s="53" t="str">
        <f t="shared" si="561"/>
        <v>89</v>
      </c>
      <c r="J239" s="53" t="str">
        <f t="shared" si="562"/>
        <v>0</v>
      </c>
      <c r="K239" s="155" t="str">
        <f t="shared" si="563"/>
        <v>0.00</v>
      </c>
      <c r="L239" s="156" t="str">
        <f t="shared" si="564"/>
        <v>0.00 </v>
      </c>
      <c r="M239" s="132">
        <v>90.0</v>
      </c>
      <c r="N239" s="157">
        <v>0.0</v>
      </c>
      <c r="O239" s="158"/>
      <c r="P239" s="159" t="str">
        <f t="shared" si="565"/>
        <v/>
      </c>
      <c r="Q239" s="160"/>
      <c r="R239" s="161"/>
      <c r="S239" s="162"/>
      <c r="T239" s="163"/>
      <c r="U239" s="164" t="str">
        <f t="shared" si="568"/>
        <v>0.00</v>
      </c>
      <c r="V239" s="165"/>
      <c r="W239" s="166"/>
      <c r="X239" s="167"/>
      <c r="Y239" s="168"/>
      <c r="Z239" s="168"/>
      <c r="AA239" s="164"/>
      <c r="AB239" s="164"/>
      <c r="AC239" s="164"/>
      <c r="AD239" s="165"/>
      <c r="AE239" s="23"/>
      <c r="AF239" s="218"/>
      <c r="AG239" s="163"/>
      <c r="AH239" s="170"/>
      <c r="AI239" s="26"/>
      <c r="AJ239" s="171"/>
      <c r="AK239" s="172"/>
      <c r="AL239" s="219"/>
      <c r="AM239" s="174"/>
    </row>
    <row r="240" ht="12.75" customHeight="1">
      <c r="A240" s="26"/>
      <c r="B240" s="190" t="s">
        <v>474</v>
      </c>
      <c r="C240" s="220"/>
      <c r="D240" s="221" t="s">
        <v>476</v>
      </c>
      <c r="E240" s="211" t="s">
        <v>77</v>
      </c>
      <c r="F240" s="154">
        <v>1.0</v>
      </c>
      <c r="G240" s="211"/>
      <c r="H240" s="53" t="str">
        <f t="shared" si="560"/>
        <v>0.00069</v>
      </c>
      <c r="I240" s="53" t="str">
        <f t="shared" si="561"/>
        <v>89</v>
      </c>
      <c r="J240" s="53" t="str">
        <f t="shared" si="562"/>
        <v>0</v>
      </c>
      <c r="K240" s="155" t="str">
        <f t="shared" si="563"/>
        <v>0.00</v>
      </c>
      <c r="L240" s="156" t="str">
        <f t="shared" si="564"/>
        <v>0.00 </v>
      </c>
      <c r="M240" s="132">
        <v>90.0</v>
      </c>
      <c r="N240" s="157">
        <v>0.0</v>
      </c>
      <c r="O240" s="158">
        <v>481.8</v>
      </c>
      <c r="P240" s="159" t="str">
        <f t="shared" si="565"/>
        <v>309.38</v>
      </c>
      <c r="Q240" s="160"/>
      <c r="R240" s="161">
        <v>0.26</v>
      </c>
      <c r="S240" s="162" t="str">
        <f t="shared" ref="S240:S244" si="583">O240-(O240*R240)</f>
        <v>356.53</v>
      </c>
      <c r="T240" s="163" t="str">
        <f t="shared" ref="T240:T244" si="584">$C$1</f>
        <v>60.00</v>
      </c>
      <c r="U240" s="164" t="str">
        <f t="shared" si="568"/>
        <v>26.66</v>
      </c>
      <c r="V240" s="165" t="str">
        <f t="shared" ref="V240:V244" si="585">N240*$C$3*(M240/30)</f>
        <v>0.00</v>
      </c>
      <c r="W240" s="166">
        <v>0.68</v>
      </c>
      <c r="X240" s="167" t="str">
        <f t="shared" ref="X240:X244" si="586">((_xlfn.CEILING.MATH(W240)-1)*$C$5+$C$4)</f>
        <v>76</v>
      </c>
      <c r="Y240" s="168" t="str">
        <f t="shared" ref="Y240:Y244" si="587">O240*$Y$6</f>
        <v>156.585</v>
      </c>
      <c r="Z240" s="168" t="str">
        <f t="shared" ref="Z240:Z244" si="588">S240*$Y$7</f>
        <v>14.226</v>
      </c>
      <c r="AA240" s="164" t="str">
        <f t="shared" ref="AA240:AA244" si="589">$Y$3*((100-AB240)/100)</f>
        <v>0.00</v>
      </c>
      <c r="AB240" s="164">
        <v>100.0</v>
      </c>
      <c r="AC240" s="164" t="str">
        <f t="shared" ref="AC240:AC244" si="590">$C$6*$C$7*_xlfn.CEILING.MATH(W240)</f>
        <v>4.80</v>
      </c>
      <c r="AD240" s="165" t="str">
        <f t="shared" ref="AD240:AD244" si="591">O240*$C$2</f>
        <v>48.18</v>
      </c>
      <c r="AE240" s="23"/>
      <c r="AF240" s="169" t="str">
        <f t="shared" ref="AF240:AF244" si="592">(_xlfn.CEILING.MATH(W240))*$Y$1*$AD$2</f>
        <v>0</v>
      </c>
      <c r="AG240" s="163" t="str">
        <f t="shared" ref="AG240:AG244" si="593">O240-T240-U240-V240-X240-Y240-Z240-AA240-AC240-AD240-N240</f>
        <v>95.35</v>
      </c>
      <c r="AH240" s="170" t="str">
        <f t="shared" ref="AH240:AH244" si="594">AG240/N240</f>
        <v>#DIV/0!</v>
      </c>
      <c r="AI240" s="26"/>
      <c r="AJ240" s="171" t="str">
        <f t="shared" ref="AJ240:AJ244" si="595">$AD$3</f>
        <v>0.00%</v>
      </c>
      <c r="AK240" s="172" t="str">
        <f t="shared" ref="AK240:AK244" si="596">N240*AJ240</f>
        <v>0.00</v>
      </c>
      <c r="AL240" s="173" t="str">
        <f t="shared" ref="AL240:AL244" si="597">(N240+T240+V240+X240+AA240+AC240+AF240+AK240)/(100%-($C$2+$C$8+$Y$6+$Y$7))</f>
        <v>309.38</v>
      </c>
      <c r="AM240" s="174" t="str">
        <f t="shared" ref="AM240:AM249" si="598">AL240-(AL240*$AD$1)</f>
        <v>219.66</v>
      </c>
    </row>
    <row r="241" ht="12.75" customHeight="1">
      <c r="A241" s="26"/>
      <c r="B241" s="190" t="s">
        <v>474</v>
      </c>
      <c r="C241" s="220"/>
      <c r="D241" s="221" t="s">
        <v>477</v>
      </c>
      <c r="E241" s="211" t="s">
        <v>77</v>
      </c>
      <c r="F241" s="154">
        <v>1.0</v>
      </c>
      <c r="G241" s="211"/>
      <c r="H241" s="53" t="str">
        <f t="shared" si="560"/>
        <v>0.00069</v>
      </c>
      <c r="I241" s="53" t="str">
        <f t="shared" si="561"/>
        <v>89</v>
      </c>
      <c r="J241" s="53" t="str">
        <f t="shared" si="562"/>
        <v>0</v>
      </c>
      <c r="K241" s="155" t="str">
        <f t="shared" si="563"/>
        <v>0.00</v>
      </c>
      <c r="L241" s="156" t="str">
        <f t="shared" si="564"/>
        <v>0.00 </v>
      </c>
      <c r="M241" s="132">
        <v>90.0</v>
      </c>
      <c r="N241" s="157">
        <v>0.0</v>
      </c>
      <c r="O241" s="158">
        <v>511.2</v>
      </c>
      <c r="P241" s="159" t="str">
        <f t="shared" si="565"/>
        <v>325.08</v>
      </c>
      <c r="Q241" s="160"/>
      <c r="R241" s="161">
        <v>0.26</v>
      </c>
      <c r="S241" s="162" t="str">
        <f t="shared" si="583"/>
        <v>378.29</v>
      </c>
      <c r="T241" s="163" t="str">
        <f t="shared" si="584"/>
        <v>60.00</v>
      </c>
      <c r="U241" s="164" t="str">
        <f t="shared" si="568"/>
        <v>28.28</v>
      </c>
      <c r="V241" s="165" t="str">
        <f t="shared" si="585"/>
        <v>0.00</v>
      </c>
      <c r="W241" s="166">
        <v>0.77</v>
      </c>
      <c r="X241" s="167" t="str">
        <f t="shared" si="586"/>
        <v>76</v>
      </c>
      <c r="Y241" s="168" t="str">
        <f t="shared" si="587"/>
        <v>166.140</v>
      </c>
      <c r="Z241" s="168" t="str">
        <f t="shared" si="588"/>
        <v>15.094</v>
      </c>
      <c r="AA241" s="164" t="str">
        <f t="shared" si="589"/>
        <v>7.15</v>
      </c>
      <c r="AB241" s="164">
        <v>85.71</v>
      </c>
      <c r="AC241" s="164" t="str">
        <f t="shared" si="590"/>
        <v>4.80</v>
      </c>
      <c r="AD241" s="165" t="str">
        <f t="shared" si="591"/>
        <v>51.12</v>
      </c>
      <c r="AE241" s="23"/>
      <c r="AF241" s="169" t="str">
        <f t="shared" si="592"/>
        <v>0</v>
      </c>
      <c r="AG241" s="163" t="str">
        <f t="shared" si="593"/>
        <v>102.62</v>
      </c>
      <c r="AH241" s="170" t="str">
        <f t="shared" si="594"/>
        <v>#DIV/0!</v>
      </c>
      <c r="AI241" s="26"/>
      <c r="AJ241" s="171" t="str">
        <f t="shared" si="595"/>
        <v>0.00%</v>
      </c>
      <c r="AK241" s="172" t="str">
        <f t="shared" si="596"/>
        <v>0.00</v>
      </c>
      <c r="AL241" s="173" t="str">
        <f t="shared" si="597"/>
        <v>325.08</v>
      </c>
      <c r="AM241" s="174" t="str">
        <f t="shared" si="598"/>
        <v>230.81</v>
      </c>
    </row>
    <row r="242" ht="12.75" customHeight="1">
      <c r="A242" s="26"/>
      <c r="B242" s="190" t="s">
        <v>474</v>
      </c>
      <c r="C242" s="220"/>
      <c r="D242" s="221" t="s">
        <v>478</v>
      </c>
      <c r="E242" s="211" t="s">
        <v>77</v>
      </c>
      <c r="F242" s="154">
        <v>1.0</v>
      </c>
      <c r="G242" s="211"/>
      <c r="H242" s="53" t="str">
        <f t="shared" si="560"/>
        <v>0.00069</v>
      </c>
      <c r="I242" s="53" t="str">
        <f t="shared" si="561"/>
        <v>89</v>
      </c>
      <c r="J242" s="53" t="str">
        <f t="shared" si="562"/>
        <v>0</v>
      </c>
      <c r="K242" s="155" t="str">
        <f t="shared" si="563"/>
        <v>0.00</v>
      </c>
      <c r="L242" s="156" t="str">
        <f t="shared" si="564"/>
        <v>0.00 </v>
      </c>
      <c r="M242" s="132">
        <v>90.0</v>
      </c>
      <c r="N242" s="157">
        <v>0.0</v>
      </c>
      <c r="O242" s="158">
        <v>900.0</v>
      </c>
      <c r="P242" s="159" t="str">
        <f t="shared" si="565"/>
        <v>313.67</v>
      </c>
      <c r="Q242" s="160"/>
      <c r="R242" s="161">
        <v>0.26</v>
      </c>
      <c r="S242" s="162" t="str">
        <f t="shared" si="583"/>
        <v>666.00</v>
      </c>
      <c r="T242" s="163" t="str">
        <f t="shared" si="584"/>
        <v>60.00</v>
      </c>
      <c r="U242" s="164" t="str">
        <f t="shared" si="568"/>
        <v>49.79</v>
      </c>
      <c r="V242" s="165" t="str">
        <f t="shared" si="585"/>
        <v>0.00</v>
      </c>
      <c r="W242" s="166">
        <v>0.68</v>
      </c>
      <c r="X242" s="167" t="str">
        <f t="shared" si="586"/>
        <v>76</v>
      </c>
      <c r="Y242" s="168" t="str">
        <f t="shared" si="587"/>
        <v>292.500</v>
      </c>
      <c r="Z242" s="168" t="str">
        <f t="shared" si="588"/>
        <v>26.573</v>
      </c>
      <c r="AA242" s="164" t="str">
        <f t="shared" si="589"/>
        <v>1.95</v>
      </c>
      <c r="AB242" s="164">
        <v>96.1</v>
      </c>
      <c r="AC242" s="164" t="str">
        <f t="shared" si="590"/>
        <v>4.80</v>
      </c>
      <c r="AD242" s="165" t="str">
        <f t="shared" si="591"/>
        <v>90.00</v>
      </c>
      <c r="AE242" s="23"/>
      <c r="AF242" s="169" t="str">
        <f t="shared" si="592"/>
        <v>0</v>
      </c>
      <c r="AG242" s="163" t="str">
        <f t="shared" si="593"/>
        <v>298.38</v>
      </c>
      <c r="AH242" s="170" t="str">
        <f t="shared" si="594"/>
        <v>#DIV/0!</v>
      </c>
      <c r="AI242" s="26"/>
      <c r="AJ242" s="171" t="str">
        <f t="shared" si="595"/>
        <v>0.00%</v>
      </c>
      <c r="AK242" s="172" t="str">
        <f t="shared" si="596"/>
        <v>0.00</v>
      </c>
      <c r="AL242" s="173" t="str">
        <f t="shared" si="597"/>
        <v>313.67</v>
      </c>
      <c r="AM242" s="174" t="str">
        <f t="shared" si="598"/>
        <v>222.70</v>
      </c>
    </row>
    <row r="243" ht="12.75" customHeight="1">
      <c r="A243" s="26"/>
      <c r="B243" s="190" t="s">
        <v>479</v>
      </c>
      <c r="C243" s="191">
        <v>1.65308892E8</v>
      </c>
      <c r="D243" s="222" t="s">
        <v>480</v>
      </c>
      <c r="E243" s="53" t="s">
        <v>77</v>
      </c>
      <c r="F243" s="154">
        <v>1.0</v>
      </c>
      <c r="G243" s="53"/>
      <c r="H243" s="53" t="str">
        <f t="shared" si="560"/>
        <v>0.00069</v>
      </c>
      <c r="I243" s="53" t="str">
        <f t="shared" si="561"/>
        <v>89</v>
      </c>
      <c r="J243" s="53" t="str">
        <f t="shared" si="562"/>
        <v>0</v>
      </c>
      <c r="K243" s="155" t="str">
        <f t="shared" si="563"/>
        <v>0.00</v>
      </c>
      <c r="L243" s="156" t="str">
        <f t="shared" si="564"/>
        <v>0.00 </v>
      </c>
      <c r="M243" s="132">
        <v>90.0</v>
      </c>
      <c r="N243" s="157">
        <v>0.0</v>
      </c>
      <c r="O243" s="158">
        <v>1302.9</v>
      </c>
      <c r="P243" s="159" t="str">
        <f t="shared" si="565"/>
        <v>315.61</v>
      </c>
      <c r="Q243" s="160"/>
      <c r="R243" s="161">
        <v>0.26</v>
      </c>
      <c r="S243" s="162" t="str">
        <f t="shared" si="583"/>
        <v>964.15</v>
      </c>
      <c r="T243" s="163" t="str">
        <f t="shared" si="584"/>
        <v>60.00</v>
      </c>
      <c r="U243" s="164" t="str">
        <f t="shared" si="568"/>
        <v>72.09</v>
      </c>
      <c r="V243" s="165" t="str">
        <f t="shared" si="585"/>
        <v>0.00</v>
      </c>
      <c r="W243" s="166">
        <v>0.43</v>
      </c>
      <c r="X243" s="167" t="str">
        <f t="shared" si="586"/>
        <v>76</v>
      </c>
      <c r="Y243" s="168" t="str">
        <f t="shared" si="587"/>
        <v>423.443</v>
      </c>
      <c r="Z243" s="168" t="str">
        <f t="shared" si="588"/>
        <v>38.469</v>
      </c>
      <c r="AA243" s="164" t="str">
        <f t="shared" si="589"/>
        <v>2.84</v>
      </c>
      <c r="AB243" s="164">
        <v>94.33</v>
      </c>
      <c r="AC243" s="164" t="str">
        <f t="shared" si="590"/>
        <v>4.80</v>
      </c>
      <c r="AD243" s="165" t="str">
        <f t="shared" si="591"/>
        <v>130.29</v>
      </c>
      <c r="AE243" s="23"/>
      <c r="AF243" s="169" t="str">
        <f t="shared" si="592"/>
        <v>0</v>
      </c>
      <c r="AG243" s="163" t="str">
        <f t="shared" si="593"/>
        <v>494.98</v>
      </c>
      <c r="AH243" s="170" t="str">
        <f t="shared" si="594"/>
        <v>#DIV/0!</v>
      </c>
      <c r="AI243" s="26"/>
      <c r="AJ243" s="171" t="str">
        <f t="shared" si="595"/>
        <v>0.00%</v>
      </c>
      <c r="AK243" s="172" t="str">
        <f t="shared" si="596"/>
        <v>0.00</v>
      </c>
      <c r="AL243" s="173" t="str">
        <f t="shared" si="597"/>
        <v>315.61</v>
      </c>
      <c r="AM243" s="174" t="str">
        <f t="shared" si="598"/>
        <v>224.08</v>
      </c>
    </row>
    <row r="244" ht="12.75" customHeight="1">
      <c r="A244" s="26"/>
      <c r="B244" s="190" t="s">
        <v>481</v>
      </c>
      <c r="C244" s="202">
        <v>1.8303083E8</v>
      </c>
      <c r="D244" s="152" t="s">
        <v>482</v>
      </c>
      <c r="E244" s="53" t="s">
        <v>77</v>
      </c>
      <c r="F244" s="154">
        <v>1.0</v>
      </c>
      <c r="G244" s="53"/>
      <c r="H244" s="53" t="str">
        <f t="shared" si="560"/>
        <v>0.00069</v>
      </c>
      <c r="I244" s="53" t="str">
        <f t="shared" si="561"/>
        <v>89</v>
      </c>
      <c r="J244" s="53" t="str">
        <f t="shared" si="562"/>
        <v>0</v>
      </c>
      <c r="K244" s="155" t="str">
        <f t="shared" si="563"/>
        <v>0.00</v>
      </c>
      <c r="L244" s="156" t="str">
        <f t="shared" si="564"/>
        <v>0.00 </v>
      </c>
      <c r="M244" s="132">
        <v>90.0</v>
      </c>
      <c r="N244" s="157">
        <v>0.0</v>
      </c>
      <c r="O244" s="158">
        <v>1398.38</v>
      </c>
      <c r="P244" s="159" t="str">
        <f t="shared" si="565"/>
        <v>423.13</v>
      </c>
      <c r="Q244" s="160"/>
      <c r="R244" s="161">
        <v>0.26</v>
      </c>
      <c r="S244" s="162" t="str">
        <f t="shared" si="583"/>
        <v>1,034.80</v>
      </c>
      <c r="T244" s="163" t="str">
        <f t="shared" si="584"/>
        <v>60.00</v>
      </c>
      <c r="U244" s="164" t="str">
        <f t="shared" si="568"/>
        <v>77.37</v>
      </c>
      <c r="V244" s="165" t="str">
        <f t="shared" si="585"/>
        <v>0.00</v>
      </c>
      <c r="W244" s="166">
        <v>2.11</v>
      </c>
      <c r="X244" s="167" t="str">
        <f t="shared" si="586"/>
        <v>114</v>
      </c>
      <c r="Y244" s="168" t="str">
        <f t="shared" si="587"/>
        <v>454.474</v>
      </c>
      <c r="Z244" s="168" t="str">
        <f t="shared" si="588"/>
        <v>41.289</v>
      </c>
      <c r="AA244" s="164" t="str">
        <f t="shared" si="589"/>
        <v>4.17</v>
      </c>
      <c r="AB244" s="164">
        <v>91.67</v>
      </c>
      <c r="AC244" s="164" t="str">
        <f t="shared" si="590"/>
        <v>14.40</v>
      </c>
      <c r="AD244" s="165" t="str">
        <f t="shared" si="591"/>
        <v>139.84</v>
      </c>
      <c r="AE244" s="23"/>
      <c r="AF244" s="169" t="str">
        <f t="shared" si="592"/>
        <v>0</v>
      </c>
      <c r="AG244" s="163" t="str">
        <f t="shared" si="593"/>
        <v>492.85</v>
      </c>
      <c r="AH244" s="170" t="str">
        <f t="shared" si="594"/>
        <v>#DIV/0!</v>
      </c>
      <c r="AI244" s="26"/>
      <c r="AJ244" s="171" t="str">
        <f t="shared" si="595"/>
        <v>0.00%</v>
      </c>
      <c r="AK244" s="172" t="str">
        <f t="shared" si="596"/>
        <v>0.00</v>
      </c>
      <c r="AL244" s="173" t="str">
        <f t="shared" si="597"/>
        <v>423.13</v>
      </c>
      <c r="AM244" s="174" t="str">
        <f t="shared" si="598"/>
        <v>300.42</v>
      </c>
    </row>
    <row r="245" ht="12.75" customHeight="1">
      <c r="A245" s="26"/>
      <c r="B245" s="190" t="s">
        <v>483</v>
      </c>
      <c r="C245" s="216"/>
      <c r="D245" s="217" t="s">
        <v>484</v>
      </c>
      <c r="E245" s="53" t="s">
        <v>77</v>
      </c>
      <c r="F245" s="154">
        <v>1.0</v>
      </c>
      <c r="G245" s="53"/>
      <c r="H245" s="53" t="str">
        <f t="shared" si="560"/>
        <v>0.00069</v>
      </c>
      <c r="I245" s="53" t="str">
        <f t="shared" si="561"/>
        <v>89</v>
      </c>
      <c r="J245" s="53" t="str">
        <f t="shared" si="562"/>
        <v>0</v>
      </c>
      <c r="K245" s="155" t="str">
        <f t="shared" si="563"/>
        <v>0.00</v>
      </c>
      <c r="L245" s="156" t="str">
        <f t="shared" si="564"/>
        <v>0.00 </v>
      </c>
      <c r="M245" s="132">
        <v>90.0</v>
      </c>
      <c r="N245" s="157">
        <v>0.0</v>
      </c>
      <c r="O245" s="158"/>
      <c r="P245" s="159" t="str">
        <f t="shared" si="565"/>
        <v/>
      </c>
      <c r="Q245" s="160"/>
      <c r="R245" s="161"/>
      <c r="S245" s="162"/>
      <c r="T245" s="163"/>
      <c r="U245" s="164" t="str">
        <f t="shared" si="568"/>
        <v>0.00</v>
      </c>
      <c r="V245" s="165"/>
      <c r="W245" s="166"/>
      <c r="X245" s="167"/>
      <c r="Y245" s="168"/>
      <c r="Z245" s="168"/>
      <c r="AA245" s="164"/>
      <c r="AB245" s="164"/>
      <c r="AC245" s="164"/>
      <c r="AD245" s="165"/>
      <c r="AE245" s="23"/>
      <c r="AF245" s="218"/>
      <c r="AG245" s="163"/>
      <c r="AH245" s="170"/>
      <c r="AI245" s="26"/>
      <c r="AJ245" s="171"/>
      <c r="AK245" s="172"/>
      <c r="AL245" s="219"/>
      <c r="AM245" s="174" t="str">
        <f t="shared" si="598"/>
        <v>0.00</v>
      </c>
    </row>
    <row r="246" ht="12.75" customHeight="1">
      <c r="A246" s="26"/>
      <c r="B246" s="190" t="s">
        <v>474</v>
      </c>
      <c r="C246" s="220"/>
      <c r="D246" s="223" t="s">
        <v>485</v>
      </c>
      <c r="E246" s="211" t="s">
        <v>77</v>
      </c>
      <c r="F246" s="154">
        <v>1.0</v>
      </c>
      <c r="G246" s="211"/>
      <c r="H246" s="53" t="str">
        <f t="shared" si="560"/>
        <v>0.00069</v>
      </c>
      <c r="I246" s="53" t="str">
        <f t="shared" si="561"/>
        <v>89</v>
      </c>
      <c r="J246" s="53" t="str">
        <f t="shared" si="562"/>
        <v>0</v>
      </c>
      <c r="K246" s="155" t="str">
        <f t="shared" si="563"/>
        <v>0.00</v>
      </c>
      <c r="L246" s="156" t="str">
        <f t="shared" si="564"/>
        <v>0.00 </v>
      </c>
      <c r="M246" s="132">
        <v>90.0</v>
      </c>
      <c r="N246" s="157">
        <v>0.0</v>
      </c>
      <c r="O246" s="158">
        <v>403.0</v>
      </c>
      <c r="P246" s="159" t="str">
        <f t="shared" si="565"/>
        <v>315.18</v>
      </c>
      <c r="Q246" s="160"/>
      <c r="R246" s="161">
        <v>0.26</v>
      </c>
      <c r="S246" s="162" t="str">
        <f t="shared" ref="S246:S249" si="599">O246-(O246*R246)</f>
        <v>298.22</v>
      </c>
      <c r="T246" s="163" t="str">
        <f t="shared" ref="T246:T249" si="600">$C$1</f>
        <v>60.00</v>
      </c>
      <c r="U246" s="164" t="str">
        <f t="shared" si="568"/>
        <v>22.30</v>
      </c>
      <c r="V246" s="165" t="str">
        <f t="shared" ref="V246:V249" si="601">N246*$C$3*(M246/30)</f>
        <v>0.00</v>
      </c>
      <c r="W246" s="166">
        <v>0.68</v>
      </c>
      <c r="X246" s="167" t="str">
        <f t="shared" ref="X246:X249" si="602">((_xlfn.CEILING.MATH(W246)-1)*$C$5+$C$4)</f>
        <v>76</v>
      </c>
      <c r="Y246" s="168" t="str">
        <f t="shared" ref="Y246:Y249" si="603">O246*$Y$6</f>
        <v>130.975</v>
      </c>
      <c r="Z246" s="168" t="str">
        <f t="shared" ref="Z246:Z249" si="604">S246*$Y$7</f>
        <v>11.899</v>
      </c>
      <c r="AA246" s="164" t="str">
        <f t="shared" ref="AA246:AA249" si="605">$Y$3*((100-AB246)/100)</f>
        <v>2.64</v>
      </c>
      <c r="AB246" s="164">
        <v>94.72</v>
      </c>
      <c r="AC246" s="164" t="str">
        <f t="shared" ref="AC246:AC249" si="606">$C$6*$C$7*_xlfn.CEILING.MATH(W246)</f>
        <v>4.80</v>
      </c>
      <c r="AD246" s="165" t="str">
        <f t="shared" ref="AD246:AD249" si="607">O246*$C$2</f>
        <v>40.30</v>
      </c>
      <c r="AE246" s="23"/>
      <c r="AF246" s="169" t="str">
        <f t="shared" ref="AF246:AF249" si="608">(_xlfn.CEILING.MATH(W246))*$Y$1*$AD$2</f>
        <v>0</v>
      </c>
      <c r="AG246" s="163" t="str">
        <f t="shared" ref="AG246:AG249" si="609">O246-T246-U246-V246-X246-Y246-Z246-AA246-AC246-AD246-N246</f>
        <v>54.09</v>
      </c>
      <c r="AH246" s="170" t="str">
        <f t="shared" ref="AH246:AH249" si="610">AG246/N246</f>
        <v>#DIV/0!</v>
      </c>
      <c r="AI246" s="26"/>
      <c r="AJ246" s="171" t="str">
        <f t="shared" ref="AJ246:AJ249" si="611">$AD$3</f>
        <v>0.00%</v>
      </c>
      <c r="AK246" s="172" t="str">
        <f t="shared" ref="AK246:AK249" si="612">N246*AJ246</f>
        <v>0.00</v>
      </c>
      <c r="AL246" s="173" t="str">
        <f t="shared" ref="AL246:AL249" si="613">(N246+T246+V246+X246+AA246+AC246+AF246+AK246)/(100%-($C$2+$C$8+$Y$6+$Y$7))</f>
        <v>315.18</v>
      </c>
      <c r="AM246" s="174" t="str">
        <f t="shared" si="598"/>
        <v>223.78</v>
      </c>
    </row>
    <row r="247" ht="12.75" customHeight="1">
      <c r="A247" s="26"/>
      <c r="B247" s="190" t="s">
        <v>474</v>
      </c>
      <c r="C247" s="220"/>
      <c r="D247" s="223" t="s">
        <v>486</v>
      </c>
      <c r="E247" s="211" t="s">
        <v>77</v>
      </c>
      <c r="F247" s="154">
        <v>1.0</v>
      </c>
      <c r="G247" s="211"/>
      <c r="H247" s="53" t="str">
        <f t="shared" si="560"/>
        <v>0.00069</v>
      </c>
      <c r="I247" s="53" t="str">
        <f t="shared" si="561"/>
        <v>89</v>
      </c>
      <c r="J247" s="53" t="str">
        <f t="shared" si="562"/>
        <v>0</v>
      </c>
      <c r="K247" s="155" t="str">
        <f t="shared" si="563"/>
        <v>0.00</v>
      </c>
      <c r="L247" s="156" t="str">
        <f t="shared" si="564"/>
        <v>0.00 </v>
      </c>
      <c r="M247" s="132">
        <v>90.0</v>
      </c>
      <c r="N247" s="157">
        <v>0.0</v>
      </c>
      <c r="O247" s="158">
        <v>528.5</v>
      </c>
      <c r="P247" s="159" t="str">
        <f t="shared" si="565"/>
        <v>316.13</v>
      </c>
      <c r="Q247" s="160"/>
      <c r="R247" s="161">
        <v>0.26</v>
      </c>
      <c r="S247" s="162" t="str">
        <f t="shared" si="599"/>
        <v>391.09</v>
      </c>
      <c r="T247" s="163" t="str">
        <f t="shared" si="600"/>
        <v>60.00</v>
      </c>
      <c r="U247" s="164" t="str">
        <f t="shared" si="568"/>
        <v>29.24</v>
      </c>
      <c r="V247" s="165" t="str">
        <f t="shared" si="601"/>
        <v>0.00</v>
      </c>
      <c r="W247" s="166">
        <v>0.77</v>
      </c>
      <c r="X247" s="167" t="str">
        <f t="shared" si="602"/>
        <v>76</v>
      </c>
      <c r="Y247" s="168" t="str">
        <f t="shared" si="603"/>
        <v>171.763</v>
      </c>
      <c r="Z247" s="168" t="str">
        <f t="shared" si="604"/>
        <v>15.604</v>
      </c>
      <c r="AA247" s="164" t="str">
        <f t="shared" si="605"/>
        <v>3.07</v>
      </c>
      <c r="AB247" s="164">
        <v>93.86</v>
      </c>
      <c r="AC247" s="164" t="str">
        <f t="shared" si="606"/>
        <v>4.80</v>
      </c>
      <c r="AD247" s="165" t="str">
        <f t="shared" si="607"/>
        <v>52.85</v>
      </c>
      <c r="AE247" s="23"/>
      <c r="AF247" s="169" t="str">
        <f t="shared" si="608"/>
        <v>0</v>
      </c>
      <c r="AG247" s="163" t="str">
        <f t="shared" si="609"/>
        <v>115.17</v>
      </c>
      <c r="AH247" s="170" t="str">
        <f t="shared" si="610"/>
        <v>#DIV/0!</v>
      </c>
      <c r="AI247" s="26"/>
      <c r="AJ247" s="171" t="str">
        <f t="shared" si="611"/>
        <v>0.00%</v>
      </c>
      <c r="AK247" s="172" t="str">
        <f t="shared" si="612"/>
        <v>0.00</v>
      </c>
      <c r="AL247" s="173" t="str">
        <f t="shared" si="613"/>
        <v>316.13</v>
      </c>
      <c r="AM247" s="174" t="str">
        <f t="shared" si="598"/>
        <v>224.45</v>
      </c>
    </row>
    <row r="248" ht="12.75" customHeight="1">
      <c r="A248" s="26"/>
      <c r="B248" s="190" t="s">
        <v>474</v>
      </c>
      <c r="C248" s="220"/>
      <c r="D248" s="223" t="s">
        <v>487</v>
      </c>
      <c r="E248" s="211" t="s">
        <v>77</v>
      </c>
      <c r="F248" s="154">
        <v>1.0</v>
      </c>
      <c r="G248" s="211"/>
      <c r="H248" s="53" t="str">
        <f t="shared" si="560"/>
        <v>0.00069</v>
      </c>
      <c r="I248" s="53" t="str">
        <f t="shared" si="561"/>
        <v>89</v>
      </c>
      <c r="J248" s="53" t="str">
        <f t="shared" si="562"/>
        <v>0</v>
      </c>
      <c r="K248" s="155" t="str">
        <f t="shared" si="563"/>
        <v>0.00</v>
      </c>
      <c r="L248" s="156" t="str">
        <f t="shared" si="564"/>
        <v>0.00 </v>
      </c>
      <c r="M248" s="132">
        <v>90.0</v>
      </c>
      <c r="N248" s="157">
        <v>0.0</v>
      </c>
      <c r="O248" s="158">
        <v>808.8</v>
      </c>
      <c r="P248" s="159" t="str">
        <f t="shared" si="565"/>
        <v>316.08</v>
      </c>
      <c r="Q248" s="160"/>
      <c r="R248" s="161">
        <v>0.26</v>
      </c>
      <c r="S248" s="162" t="str">
        <f t="shared" si="599"/>
        <v>598.51</v>
      </c>
      <c r="T248" s="163" t="str">
        <f t="shared" si="600"/>
        <v>60.00</v>
      </c>
      <c r="U248" s="164" t="str">
        <f t="shared" si="568"/>
        <v>44.75</v>
      </c>
      <c r="V248" s="165" t="str">
        <f t="shared" si="601"/>
        <v>0.00</v>
      </c>
      <c r="W248" s="166">
        <v>0.86</v>
      </c>
      <c r="X248" s="167" t="str">
        <f t="shared" si="602"/>
        <v>76</v>
      </c>
      <c r="Y248" s="168" t="str">
        <f t="shared" si="603"/>
        <v>262.860</v>
      </c>
      <c r="Z248" s="168" t="str">
        <f t="shared" si="604"/>
        <v>23.881</v>
      </c>
      <c r="AA248" s="164" t="str">
        <f t="shared" si="605"/>
        <v>3.05</v>
      </c>
      <c r="AB248" s="164">
        <v>93.9</v>
      </c>
      <c r="AC248" s="164" t="str">
        <f t="shared" si="606"/>
        <v>4.80</v>
      </c>
      <c r="AD248" s="165" t="str">
        <f t="shared" si="607"/>
        <v>80.88</v>
      </c>
      <c r="AE248" s="23"/>
      <c r="AF248" s="169" t="str">
        <f t="shared" si="608"/>
        <v>0</v>
      </c>
      <c r="AG248" s="163" t="str">
        <f t="shared" si="609"/>
        <v>252.58</v>
      </c>
      <c r="AH248" s="170" t="str">
        <f t="shared" si="610"/>
        <v>#DIV/0!</v>
      </c>
      <c r="AI248" s="26"/>
      <c r="AJ248" s="171" t="str">
        <f t="shared" si="611"/>
        <v>0.00%</v>
      </c>
      <c r="AK248" s="172" t="str">
        <f t="shared" si="612"/>
        <v>0.00</v>
      </c>
      <c r="AL248" s="173" t="str">
        <f t="shared" si="613"/>
        <v>316.08</v>
      </c>
      <c r="AM248" s="174" t="str">
        <f t="shared" si="598"/>
        <v>224.42</v>
      </c>
    </row>
    <row r="249" ht="12.75" customHeight="1">
      <c r="A249" s="26"/>
      <c r="B249" s="190" t="s">
        <v>488</v>
      </c>
      <c r="C249" s="191">
        <v>1.83127988E8</v>
      </c>
      <c r="D249" s="222" t="s">
        <v>489</v>
      </c>
      <c r="E249" s="53" t="s">
        <v>77</v>
      </c>
      <c r="F249" s="154">
        <v>1.0</v>
      </c>
      <c r="G249" s="53"/>
      <c r="H249" s="53" t="str">
        <f t="shared" si="560"/>
        <v>0.00069</v>
      </c>
      <c r="I249" s="53" t="str">
        <f t="shared" si="561"/>
        <v>89</v>
      </c>
      <c r="J249" s="53" t="str">
        <f t="shared" si="562"/>
        <v>0</v>
      </c>
      <c r="K249" s="155" t="str">
        <f t="shared" si="563"/>
        <v>0.00</v>
      </c>
      <c r="L249" s="156" t="str">
        <f t="shared" si="564"/>
        <v>0.00 </v>
      </c>
      <c r="M249" s="132">
        <v>90.0</v>
      </c>
      <c r="N249" s="157">
        <v>0.0</v>
      </c>
      <c r="O249" s="158">
        <v>1241.4</v>
      </c>
      <c r="P249" s="159" t="str">
        <f t="shared" si="565"/>
        <v>316.41</v>
      </c>
      <c r="Q249" s="160"/>
      <c r="R249" s="161">
        <v>0.26</v>
      </c>
      <c r="S249" s="162" t="str">
        <f t="shared" si="599"/>
        <v>918.64</v>
      </c>
      <c r="T249" s="163" t="str">
        <f t="shared" si="600"/>
        <v>60.00</v>
      </c>
      <c r="U249" s="164" t="str">
        <f t="shared" si="568"/>
        <v>68.68</v>
      </c>
      <c r="V249" s="165" t="str">
        <f t="shared" si="601"/>
        <v>0.00</v>
      </c>
      <c r="W249" s="166">
        <v>0.43</v>
      </c>
      <c r="X249" s="167" t="str">
        <f t="shared" si="602"/>
        <v>76</v>
      </c>
      <c r="Y249" s="168" t="str">
        <f t="shared" si="603"/>
        <v>403.455</v>
      </c>
      <c r="Z249" s="168" t="str">
        <f t="shared" si="604"/>
        <v>36.654</v>
      </c>
      <c r="AA249" s="164" t="str">
        <f t="shared" si="605"/>
        <v>3.20</v>
      </c>
      <c r="AB249" s="164">
        <v>93.6</v>
      </c>
      <c r="AC249" s="164" t="str">
        <f t="shared" si="606"/>
        <v>4.80</v>
      </c>
      <c r="AD249" s="165" t="str">
        <f t="shared" si="607"/>
        <v>124.14</v>
      </c>
      <c r="AE249" s="23"/>
      <c r="AF249" s="169" t="str">
        <f t="shared" si="608"/>
        <v>0</v>
      </c>
      <c r="AG249" s="163" t="str">
        <f t="shared" si="609"/>
        <v>464.47</v>
      </c>
      <c r="AH249" s="170" t="str">
        <f t="shared" si="610"/>
        <v>#DIV/0!</v>
      </c>
      <c r="AI249" s="26"/>
      <c r="AJ249" s="171" t="str">
        <f t="shared" si="611"/>
        <v>0.00%</v>
      </c>
      <c r="AK249" s="172" t="str">
        <f t="shared" si="612"/>
        <v>0.00</v>
      </c>
      <c r="AL249" s="173" t="str">
        <f t="shared" si="613"/>
        <v>316.41</v>
      </c>
      <c r="AM249" s="174" t="str">
        <f t="shared" si="598"/>
        <v>224.65</v>
      </c>
    </row>
    <row r="250" ht="12.75" customHeight="1">
      <c r="A250" s="26"/>
      <c r="B250" s="190" t="s">
        <v>490</v>
      </c>
      <c r="C250" s="216"/>
      <c r="D250" s="217" t="s">
        <v>491</v>
      </c>
      <c r="E250" s="53" t="s">
        <v>77</v>
      </c>
      <c r="F250" s="154">
        <v>1.0</v>
      </c>
      <c r="G250" s="53"/>
      <c r="H250" s="53" t="str">
        <f t="shared" si="560"/>
        <v>0.00069</v>
      </c>
      <c r="I250" s="53" t="str">
        <f t="shared" si="561"/>
        <v>89</v>
      </c>
      <c r="J250" s="53" t="str">
        <f t="shared" si="562"/>
        <v>0</v>
      </c>
      <c r="K250" s="155" t="str">
        <f t="shared" si="563"/>
        <v>0.00</v>
      </c>
      <c r="L250" s="156" t="str">
        <f t="shared" si="564"/>
        <v>0.00 </v>
      </c>
      <c r="M250" s="132">
        <v>90.0</v>
      </c>
      <c r="N250" s="157">
        <v>0.0</v>
      </c>
      <c r="O250" s="158"/>
      <c r="P250" s="159" t="str">
        <f t="shared" si="565"/>
        <v/>
      </c>
      <c r="Q250" s="160"/>
      <c r="R250" s="161"/>
      <c r="S250" s="162"/>
      <c r="T250" s="163"/>
      <c r="U250" s="164" t="str">
        <f t="shared" si="568"/>
        <v>0.00</v>
      </c>
      <c r="V250" s="165"/>
      <c r="W250" s="166"/>
      <c r="X250" s="167"/>
      <c r="Y250" s="168"/>
      <c r="Z250" s="168"/>
      <c r="AA250" s="164"/>
      <c r="AB250" s="164"/>
      <c r="AC250" s="164"/>
      <c r="AD250" s="165"/>
      <c r="AE250" s="23"/>
      <c r="AF250" s="218"/>
      <c r="AG250" s="163"/>
      <c r="AH250" s="170"/>
      <c r="AI250" s="26"/>
      <c r="AJ250" s="171"/>
      <c r="AK250" s="172"/>
      <c r="AL250" s="219"/>
      <c r="AM250" s="174"/>
    </row>
    <row r="251" ht="13.5" customHeight="1">
      <c r="A251" s="26"/>
      <c r="B251" s="190" t="s">
        <v>474</v>
      </c>
      <c r="C251" s="220"/>
      <c r="D251" s="221" t="s">
        <v>492</v>
      </c>
      <c r="E251" s="211" t="s">
        <v>77</v>
      </c>
      <c r="F251" s="154">
        <v>1.0</v>
      </c>
      <c r="G251" s="211"/>
      <c r="H251" s="53" t="str">
        <f t="shared" si="560"/>
        <v>0.00069</v>
      </c>
      <c r="I251" s="53" t="str">
        <f t="shared" si="561"/>
        <v>89</v>
      </c>
      <c r="J251" s="53" t="str">
        <f t="shared" si="562"/>
        <v>0</v>
      </c>
      <c r="K251" s="155" t="str">
        <f t="shared" si="563"/>
        <v>0.00</v>
      </c>
      <c r="L251" s="156" t="str">
        <f t="shared" si="564"/>
        <v>0.00 </v>
      </c>
      <c r="M251" s="132">
        <v>90.0</v>
      </c>
      <c r="N251" s="157">
        <v>0.0</v>
      </c>
      <c r="O251" s="158">
        <v>398.16</v>
      </c>
      <c r="P251" s="159" t="str">
        <f t="shared" si="565"/>
        <v>317.23</v>
      </c>
      <c r="Q251" s="160"/>
      <c r="R251" s="161">
        <v>0.26</v>
      </c>
      <c r="S251" s="162" t="str">
        <f t="shared" ref="S251:S256" si="614">O251-(O251*R251)</f>
        <v>294.64</v>
      </c>
      <c r="T251" s="163" t="str">
        <f t="shared" ref="T251:T256" si="615">$C$1</f>
        <v>60.00</v>
      </c>
      <c r="U251" s="164" t="str">
        <f t="shared" si="568"/>
        <v>22.03</v>
      </c>
      <c r="V251" s="165" t="str">
        <f t="shared" ref="V251:V256" si="616">N251*$C$3*(M251/30)</f>
        <v>0.00</v>
      </c>
      <c r="W251" s="166">
        <v>0.75</v>
      </c>
      <c r="X251" s="167" t="str">
        <f t="shared" ref="X251:X256" si="617">((_xlfn.CEILING.MATH(W251)-1)*$C$5+$C$4)</f>
        <v>76</v>
      </c>
      <c r="Y251" s="168" t="str">
        <f t="shared" ref="Y251:Y256" si="618">O251*$Y$6</f>
        <v>129.402</v>
      </c>
      <c r="Z251" s="168" t="str">
        <f t="shared" ref="Z251:Z256" si="619">S251*$Y$7</f>
        <v>11.756</v>
      </c>
      <c r="AA251" s="164" t="str">
        <f t="shared" ref="AA251:AA256" si="620">$Y$3*((100-AB251)/100)</f>
        <v>3.57</v>
      </c>
      <c r="AB251" s="164">
        <v>92.86</v>
      </c>
      <c r="AC251" s="164" t="str">
        <f t="shared" ref="AC251:AC256" si="621">$C$6*$C$7*_xlfn.CEILING.MATH(W251)</f>
        <v>4.80</v>
      </c>
      <c r="AD251" s="165" t="str">
        <f t="shared" ref="AD251:AD256" si="622">O251*$C$2</f>
        <v>39.82</v>
      </c>
      <c r="AE251" s="23"/>
      <c r="AF251" s="169" t="str">
        <f t="shared" ref="AF251:AF256" si="623">(_xlfn.CEILING.MATH(W251))*$Y$1*$AD$2</f>
        <v>0</v>
      </c>
      <c r="AG251" s="163" t="str">
        <f t="shared" ref="AG251:AG256" si="624">O251-T251-U251-V251-X251-Y251-Z251-AA251-AC251-AD251-N251</f>
        <v>50.79</v>
      </c>
      <c r="AH251" s="170" t="str">
        <f t="shared" ref="AH251:AH256" si="625">AG251/N251</f>
        <v>#DIV/0!</v>
      </c>
      <c r="AI251" s="26"/>
      <c r="AJ251" s="171" t="str">
        <f t="shared" ref="AJ251:AJ256" si="626">$AD$3</f>
        <v>0.00%</v>
      </c>
      <c r="AK251" s="172" t="str">
        <f t="shared" ref="AK251:AK256" si="627">N251*AJ251</f>
        <v>0.00</v>
      </c>
      <c r="AL251" s="173" t="str">
        <f t="shared" ref="AL251:AL256" si="628">(N251+T251+V251+X251+AA251+AC251+AF251+AK251)/(100%-($C$2+$C$8+$Y$6+$Y$7))</f>
        <v>317.23</v>
      </c>
      <c r="AM251" s="174" t="str">
        <f t="shared" ref="AM251:AM256" si="629">AL251-(AL251*$AD$1)</f>
        <v>225.23</v>
      </c>
    </row>
    <row r="252" ht="13.5" customHeight="1">
      <c r="A252" s="26"/>
      <c r="B252" s="190" t="s">
        <v>474</v>
      </c>
      <c r="C252" s="220"/>
      <c r="D252" s="221" t="s">
        <v>493</v>
      </c>
      <c r="E252" s="211" t="s">
        <v>77</v>
      </c>
      <c r="F252" s="154">
        <v>1.0</v>
      </c>
      <c r="G252" s="211"/>
      <c r="H252" s="53" t="str">
        <f t="shared" si="560"/>
        <v>0.00069</v>
      </c>
      <c r="I252" s="53" t="str">
        <f t="shared" si="561"/>
        <v>89</v>
      </c>
      <c r="J252" s="53" t="str">
        <f t="shared" si="562"/>
        <v>0</v>
      </c>
      <c r="K252" s="155" t="str">
        <f t="shared" si="563"/>
        <v>0.00</v>
      </c>
      <c r="L252" s="156" t="str">
        <f t="shared" si="564"/>
        <v>0.00 </v>
      </c>
      <c r="M252" s="132">
        <v>90.0</v>
      </c>
      <c r="N252" s="157">
        <v>0.0</v>
      </c>
      <c r="O252" s="158">
        <v>722.1</v>
      </c>
      <c r="P252" s="159" t="str">
        <f t="shared" si="565"/>
        <v>342.34</v>
      </c>
      <c r="Q252" s="160"/>
      <c r="R252" s="161">
        <v>0.26</v>
      </c>
      <c r="S252" s="162" t="str">
        <f t="shared" si="614"/>
        <v>534.35</v>
      </c>
      <c r="T252" s="163" t="str">
        <f t="shared" si="615"/>
        <v>60.00</v>
      </c>
      <c r="U252" s="164" t="str">
        <f t="shared" si="568"/>
        <v>39.95</v>
      </c>
      <c r="V252" s="165" t="str">
        <f t="shared" si="616"/>
        <v>0.00</v>
      </c>
      <c r="W252" s="166">
        <v>0.68</v>
      </c>
      <c r="X252" s="167" t="str">
        <f t="shared" si="617"/>
        <v>76</v>
      </c>
      <c r="Y252" s="168" t="str">
        <f t="shared" si="618"/>
        <v>234.683</v>
      </c>
      <c r="Z252" s="168" t="str">
        <f t="shared" si="619"/>
        <v>21.321</v>
      </c>
      <c r="AA252" s="164" t="str">
        <f t="shared" si="620"/>
        <v>15.00</v>
      </c>
      <c r="AB252" s="164">
        <v>70.0</v>
      </c>
      <c r="AC252" s="164" t="str">
        <f t="shared" si="621"/>
        <v>4.80</v>
      </c>
      <c r="AD252" s="165" t="str">
        <f t="shared" si="622"/>
        <v>72.21</v>
      </c>
      <c r="AE252" s="23"/>
      <c r="AF252" s="169" t="str">
        <f t="shared" si="623"/>
        <v>0</v>
      </c>
      <c r="AG252" s="163" t="str">
        <f t="shared" si="624"/>
        <v>198.14</v>
      </c>
      <c r="AH252" s="170" t="str">
        <f t="shared" si="625"/>
        <v>#DIV/0!</v>
      </c>
      <c r="AI252" s="26"/>
      <c r="AJ252" s="171" t="str">
        <f t="shared" si="626"/>
        <v>0.00%</v>
      </c>
      <c r="AK252" s="172" t="str">
        <f t="shared" si="627"/>
        <v>0.00</v>
      </c>
      <c r="AL252" s="173" t="str">
        <f t="shared" si="628"/>
        <v>342.34</v>
      </c>
      <c r="AM252" s="174" t="str">
        <f t="shared" si="629"/>
        <v>243.06</v>
      </c>
    </row>
    <row r="253" ht="13.5" customHeight="1">
      <c r="A253" s="26"/>
      <c r="B253" s="190" t="s">
        <v>474</v>
      </c>
      <c r="C253" s="220"/>
      <c r="D253" s="221" t="s">
        <v>494</v>
      </c>
      <c r="E253" s="211" t="s">
        <v>77</v>
      </c>
      <c r="F253" s="154">
        <v>1.0</v>
      </c>
      <c r="G253" s="211"/>
      <c r="H253" s="53" t="str">
        <f t="shared" si="560"/>
        <v>0.00069</v>
      </c>
      <c r="I253" s="53" t="str">
        <f t="shared" si="561"/>
        <v>89</v>
      </c>
      <c r="J253" s="53" t="str">
        <f t="shared" si="562"/>
        <v>0</v>
      </c>
      <c r="K253" s="155" t="str">
        <f t="shared" si="563"/>
        <v>0.00</v>
      </c>
      <c r="L253" s="156" t="str">
        <f t="shared" si="564"/>
        <v>0.00 </v>
      </c>
      <c r="M253" s="132">
        <v>90.0</v>
      </c>
      <c r="N253" s="157">
        <v>0.0</v>
      </c>
      <c r="O253" s="158">
        <v>1171.2</v>
      </c>
      <c r="P253" s="159" t="str">
        <f t="shared" si="565"/>
        <v>318.53</v>
      </c>
      <c r="Q253" s="160"/>
      <c r="R253" s="161">
        <v>0.26</v>
      </c>
      <c r="S253" s="162" t="str">
        <f t="shared" si="614"/>
        <v>866.69</v>
      </c>
      <c r="T253" s="163" t="str">
        <f t="shared" si="615"/>
        <v>60.00</v>
      </c>
      <c r="U253" s="164" t="str">
        <f t="shared" si="568"/>
        <v>64.80</v>
      </c>
      <c r="V253" s="165" t="str">
        <f t="shared" si="616"/>
        <v>0.00</v>
      </c>
      <c r="W253" s="166">
        <v>0.86</v>
      </c>
      <c r="X253" s="167" t="str">
        <f t="shared" si="617"/>
        <v>76</v>
      </c>
      <c r="Y253" s="168" t="str">
        <f t="shared" si="618"/>
        <v>380.640</v>
      </c>
      <c r="Z253" s="168" t="str">
        <f t="shared" si="619"/>
        <v>34.581</v>
      </c>
      <c r="AA253" s="164" t="str">
        <f t="shared" si="620"/>
        <v>4.17</v>
      </c>
      <c r="AB253" s="164">
        <v>91.67</v>
      </c>
      <c r="AC253" s="164" t="str">
        <f t="shared" si="621"/>
        <v>4.80</v>
      </c>
      <c r="AD253" s="165" t="str">
        <f t="shared" si="622"/>
        <v>117.12</v>
      </c>
      <c r="AE253" s="23"/>
      <c r="AF253" s="169" t="str">
        <f t="shared" si="623"/>
        <v>0</v>
      </c>
      <c r="AG253" s="163" t="str">
        <f t="shared" si="624"/>
        <v>429.10</v>
      </c>
      <c r="AH253" s="170" t="str">
        <f t="shared" si="625"/>
        <v>#DIV/0!</v>
      </c>
      <c r="AI253" s="26"/>
      <c r="AJ253" s="171" t="str">
        <f t="shared" si="626"/>
        <v>0.00%</v>
      </c>
      <c r="AK253" s="172" t="str">
        <f t="shared" si="627"/>
        <v>0.00</v>
      </c>
      <c r="AL253" s="173" t="str">
        <f t="shared" si="628"/>
        <v>318.53</v>
      </c>
      <c r="AM253" s="174" t="str">
        <f t="shared" si="629"/>
        <v>226.16</v>
      </c>
    </row>
    <row r="254" ht="12.75" customHeight="1">
      <c r="A254" s="26"/>
      <c r="B254" s="190" t="s">
        <v>495</v>
      </c>
      <c r="C254" s="191">
        <v>1.69074006E8</v>
      </c>
      <c r="D254" s="222" t="s">
        <v>496</v>
      </c>
      <c r="E254" s="53" t="s">
        <v>77</v>
      </c>
      <c r="F254" s="154">
        <v>1.0</v>
      </c>
      <c r="G254" s="53"/>
      <c r="H254" s="53" t="str">
        <f t="shared" si="560"/>
        <v>0.00069</v>
      </c>
      <c r="I254" s="53" t="str">
        <f t="shared" si="561"/>
        <v>89</v>
      </c>
      <c r="J254" s="53" t="str">
        <f t="shared" si="562"/>
        <v>0</v>
      </c>
      <c r="K254" s="155" t="str">
        <f t="shared" si="563"/>
        <v>0.00</v>
      </c>
      <c r="L254" s="156" t="str">
        <f t="shared" si="564"/>
        <v>0.00 </v>
      </c>
      <c r="M254" s="132">
        <v>90.0</v>
      </c>
      <c r="N254" s="157">
        <v>0.0</v>
      </c>
      <c r="O254" s="158">
        <v>1009.8</v>
      </c>
      <c r="P254" s="159" t="str">
        <f t="shared" si="565"/>
        <v>436.59</v>
      </c>
      <c r="Q254" s="160"/>
      <c r="R254" s="161">
        <v>0.26</v>
      </c>
      <c r="S254" s="162" t="str">
        <f t="shared" si="614"/>
        <v>747.25</v>
      </c>
      <c r="T254" s="163" t="str">
        <f t="shared" si="615"/>
        <v>60.00</v>
      </c>
      <c r="U254" s="164" t="str">
        <f t="shared" si="568"/>
        <v>55.87</v>
      </c>
      <c r="V254" s="165" t="str">
        <f t="shared" si="616"/>
        <v>0.00</v>
      </c>
      <c r="W254" s="166">
        <v>1.26</v>
      </c>
      <c r="X254" s="167" t="str">
        <f t="shared" si="617"/>
        <v>95</v>
      </c>
      <c r="Y254" s="168" t="str">
        <f t="shared" si="618"/>
        <v>328.185</v>
      </c>
      <c r="Z254" s="168" t="str">
        <f t="shared" si="619"/>
        <v>29.815</v>
      </c>
      <c r="AA254" s="164" t="str">
        <f t="shared" si="620"/>
        <v>34.09</v>
      </c>
      <c r="AB254" s="164">
        <v>31.82</v>
      </c>
      <c r="AC254" s="164" t="str">
        <f t="shared" si="621"/>
        <v>9.60</v>
      </c>
      <c r="AD254" s="165" t="str">
        <f t="shared" si="622"/>
        <v>100.98</v>
      </c>
      <c r="AE254" s="23"/>
      <c r="AF254" s="169" t="str">
        <f t="shared" si="623"/>
        <v>0</v>
      </c>
      <c r="AG254" s="163" t="str">
        <f t="shared" si="624"/>
        <v>296.26</v>
      </c>
      <c r="AH254" s="170" t="str">
        <f t="shared" si="625"/>
        <v>#DIV/0!</v>
      </c>
      <c r="AI254" s="26"/>
      <c r="AJ254" s="171" t="str">
        <f t="shared" si="626"/>
        <v>0.00%</v>
      </c>
      <c r="AK254" s="172" t="str">
        <f t="shared" si="627"/>
        <v>0.00</v>
      </c>
      <c r="AL254" s="173" t="str">
        <f t="shared" si="628"/>
        <v>436.59</v>
      </c>
      <c r="AM254" s="174" t="str">
        <f t="shared" si="629"/>
        <v>309.98</v>
      </c>
    </row>
    <row r="255" ht="12.75" customHeight="1">
      <c r="A255" s="26"/>
      <c r="B255" s="190" t="s">
        <v>497</v>
      </c>
      <c r="C255" s="192">
        <v>1.91033857E8</v>
      </c>
      <c r="D255" s="152" t="s">
        <v>498</v>
      </c>
      <c r="E255" s="53" t="s">
        <v>77</v>
      </c>
      <c r="F255" s="154">
        <v>1.0</v>
      </c>
      <c r="G255" s="53"/>
      <c r="H255" s="53" t="str">
        <f t="shared" si="560"/>
        <v>0.00069</v>
      </c>
      <c r="I255" s="53" t="str">
        <f t="shared" si="561"/>
        <v>89</v>
      </c>
      <c r="J255" s="53" t="str">
        <f t="shared" si="562"/>
        <v>0</v>
      </c>
      <c r="K255" s="155" t="str">
        <f t="shared" si="563"/>
        <v>0.00</v>
      </c>
      <c r="L255" s="156" t="str">
        <f t="shared" si="564"/>
        <v>0.00 </v>
      </c>
      <c r="M255" s="132">
        <v>90.0</v>
      </c>
      <c r="N255" s="157">
        <v>0.0</v>
      </c>
      <c r="O255" s="158">
        <v>476.4</v>
      </c>
      <c r="P255" s="159" t="str">
        <f t="shared" si="565"/>
        <v>317.46</v>
      </c>
      <c r="Q255" s="160"/>
      <c r="R255" s="161">
        <v>0.26</v>
      </c>
      <c r="S255" s="162" t="str">
        <f t="shared" si="614"/>
        <v>352.54</v>
      </c>
      <c r="T255" s="163" t="str">
        <f t="shared" si="615"/>
        <v>60.00</v>
      </c>
      <c r="U255" s="164" t="str">
        <f t="shared" si="568"/>
        <v>26.36</v>
      </c>
      <c r="V255" s="165" t="str">
        <f t="shared" si="616"/>
        <v>0.00</v>
      </c>
      <c r="W255" s="166">
        <v>0.09</v>
      </c>
      <c r="X255" s="167" t="str">
        <f t="shared" si="617"/>
        <v>76</v>
      </c>
      <c r="Y255" s="168" t="str">
        <f t="shared" si="618"/>
        <v>154.830</v>
      </c>
      <c r="Z255" s="168" t="str">
        <f t="shared" si="619"/>
        <v>14.066</v>
      </c>
      <c r="AA255" s="164" t="str">
        <f t="shared" si="620"/>
        <v>3.68</v>
      </c>
      <c r="AB255" s="164">
        <v>92.65</v>
      </c>
      <c r="AC255" s="164" t="str">
        <f t="shared" si="621"/>
        <v>4.80</v>
      </c>
      <c r="AD255" s="165" t="str">
        <f t="shared" si="622"/>
        <v>47.64</v>
      </c>
      <c r="AE255" s="23"/>
      <c r="AF255" s="169" t="str">
        <f t="shared" si="623"/>
        <v>0</v>
      </c>
      <c r="AG255" s="163" t="str">
        <f t="shared" si="624"/>
        <v>89.03</v>
      </c>
      <c r="AH255" s="170" t="str">
        <f t="shared" si="625"/>
        <v>#DIV/0!</v>
      </c>
      <c r="AI255" s="26"/>
      <c r="AJ255" s="171" t="str">
        <f t="shared" si="626"/>
        <v>0.00%</v>
      </c>
      <c r="AK255" s="172" t="str">
        <f t="shared" si="627"/>
        <v>0.00</v>
      </c>
      <c r="AL255" s="173" t="str">
        <f t="shared" si="628"/>
        <v>317.46</v>
      </c>
      <c r="AM255" s="174" t="str">
        <f t="shared" si="629"/>
        <v>225.39</v>
      </c>
    </row>
    <row r="256" ht="12.75" customHeight="1">
      <c r="A256" s="26"/>
      <c r="B256" s="190" t="s">
        <v>499</v>
      </c>
      <c r="C256" s="192">
        <v>1.95289584E8</v>
      </c>
      <c r="D256" s="152" t="s">
        <v>500</v>
      </c>
      <c r="E256" s="53" t="s">
        <v>77</v>
      </c>
      <c r="F256" s="154">
        <v>1.0</v>
      </c>
      <c r="G256" s="53"/>
      <c r="H256" s="53" t="str">
        <f t="shared" si="560"/>
        <v>0.00069</v>
      </c>
      <c r="I256" s="53" t="str">
        <f t="shared" si="561"/>
        <v>89</v>
      </c>
      <c r="J256" s="53" t="str">
        <f t="shared" si="562"/>
        <v>0</v>
      </c>
      <c r="K256" s="155" t="str">
        <f t="shared" si="563"/>
        <v>0.00</v>
      </c>
      <c r="L256" s="156" t="str">
        <f t="shared" si="564"/>
        <v>0.00 </v>
      </c>
      <c r="M256" s="132">
        <v>90.0</v>
      </c>
      <c r="N256" s="157">
        <v>0.0</v>
      </c>
      <c r="O256" s="158">
        <v>492.3</v>
      </c>
      <c r="P256" s="159" t="str">
        <f t="shared" si="565"/>
        <v>313.56</v>
      </c>
      <c r="Q256" s="160"/>
      <c r="R256" s="161">
        <v>0.26</v>
      </c>
      <c r="S256" s="162" t="str">
        <f t="shared" si="614"/>
        <v>364.30</v>
      </c>
      <c r="T256" s="163" t="str">
        <f t="shared" si="615"/>
        <v>60.00</v>
      </c>
      <c r="U256" s="164" t="str">
        <f t="shared" si="568"/>
        <v>27.24</v>
      </c>
      <c r="V256" s="165" t="str">
        <f t="shared" si="616"/>
        <v>0.00</v>
      </c>
      <c r="W256" s="166">
        <v>0.09</v>
      </c>
      <c r="X256" s="167" t="str">
        <f t="shared" si="617"/>
        <v>76</v>
      </c>
      <c r="Y256" s="168" t="str">
        <f t="shared" si="618"/>
        <v>159.998</v>
      </c>
      <c r="Z256" s="168" t="str">
        <f t="shared" si="619"/>
        <v>14.536</v>
      </c>
      <c r="AA256" s="164" t="str">
        <f t="shared" si="620"/>
        <v>1.90</v>
      </c>
      <c r="AB256" s="164">
        <v>96.2</v>
      </c>
      <c r="AC256" s="164" t="str">
        <f t="shared" si="621"/>
        <v>4.80</v>
      </c>
      <c r="AD256" s="165" t="str">
        <f t="shared" si="622"/>
        <v>49.23</v>
      </c>
      <c r="AE256" s="23"/>
      <c r="AF256" s="169" t="str">
        <f t="shared" si="623"/>
        <v>0</v>
      </c>
      <c r="AG256" s="163" t="str">
        <f t="shared" si="624"/>
        <v>98.60</v>
      </c>
      <c r="AH256" s="170" t="str">
        <f t="shared" si="625"/>
        <v>#DIV/0!</v>
      </c>
      <c r="AI256" s="26"/>
      <c r="AJ256" s="171" t="str">
        <f t="shared" si="626"/>
        <v>0.00%</v>
      </c>
      <c r="AK256" s="172" t="str">
        <f t="shared" si="627"/>
        <v>0.00</v>
      </c>
      <c r="AL256" s="173" t="str">
        <f t="shared" si="628"/>
        <v>313.56</v>
      </c>
      <c r="AM256" s="174" t="str">
        <f t="shared" si="629"/>
        <v>222.63</v>
      </c>
    </row>
    <row r="257" ht="12.75" customHeight="1">
      <c r="A257" s="26"/>
      <c r="B257" s="125" t="s">
        <v>501</v>
      </c>
      <c r="C257" s="126"/>
      <c r="D257" s="127"/>
      <c r="E257" s="128"/>
      <c r="F257" s="128"/>
      <c r="G257" s="128"/>
      <c r="H257" s="197"/>
      <c r="I257" s="197"/>
      <c r="J257" s="128"/>
      <c r="K257" s="130"/>
      <c r="L257" s="131"/>
      <c r="M257" s="132"/>
      <c r="N257" s="176"/>
      <c r="O257" s="134"/>
      <c r="P257" s="135"/>
      <c r="Q257" s="135"/>
      <c r="R257" s="136"/>
      <c r="S257" s="137"/>
      <c r="T257" s="177"/>
      <c r="U257" s="178"/>
      <c r="V257" s="179"/>
      <c r="W257" s="180"/>
      <c r="X257" s="181"/>
      <c r="Y257" s="182"/>
      <c r="Z257" s="182"/>
      <c r="AA257" s="178"/>
      <c r="AB257" s="178"/>
      <c r="AC257" s="178"/>
      <c r="AD257" s="179"/>
      <c r="AE257" s="183"/>
      <c r="AF257" s="184"/>
      <c r="AG257" s="177"/>
      <c r="AH257" s="185"/>
      <c r="AI257" s="26"/>
      <c r="AJ257" s="186"/>
      <c r="AK257" s="187"/>
      <c r="AL257" s="188"/>
      <c r="AM257" s="189"/>
    </row>
    <row r="258" ht="12.75" customHeight="1">
      <c r="A258" s="26"/>
      <c r="B258" s="190" t="s">
        <v>502</v>
      </c>
      <c r="C258" s="191">
        <v>2.12766743E8</v>
      </c>
      <c r="D258" s="152" t="s">
        <v>503</v>
      </c>
      <c r="E258" s="53" t="s">
        <v>77</v>
      </c>
      <c r="F258" s="154">
        <v>1.0</v>
      </c>
      <c r="G258" s="53"/>
      <c r="H258" s="53" t="str">
        <f t="shared" ref="H258:H265" si="630">$I$2</f>
        <v>0.00069</v>
      </c>
      <c r="I258" s="53" t="str">
        <f t="shared" ref="I258:I265" si="631">$I$3</f>
        <v>89</v>
      </c>
      <c r="J258" s="53" t="str">
        <f t="shared" ref="J258:J265" si="632">G258*H258*I258*F258</f>
        <v>0</v>
      </c>
      <c r="K258" s="155" t="str">
        <f t="shared" ref="K258:K265" si="633">J258*$J$4</f>
        <v>0.00</v>
      </c>
      <c r="L258" s="156" t="str">
        <f t="shared" ref="L258:L265" si="634">K258+J258</f>
        <v>0.00 </v>
      </c>
      <c r="M258" s="132">
        <v>90.0</v>
      </c>
      <c r="N258" s="157">
        <v>0.0</v>
      </c>
      <c r="O258" s="158">
        <v>1080.0</v>
      </c>
      <c r="P258" s="159" t="str">
        <f t="shared" ref="P258:P265" si="635">AL258</f>
        <v>316.80</v>
      </c>
      <c r="Q258" s="160"/>
      <c r="R258" s="161">
        <v>0.26</v>
      </c>
      <c r="S258" s="162" t="str">
        <f t="shared" ref="S258:S265" si="636">O258-(O258*R258)</f>
        <v>799.20</v>
      </c>
      <c r="T258" s="163" t="str">
        <f t="shared" ref="T258:T265" si="637">$C$1</f>
        <v>60.00</v>
      </c>
      <c r="U258" s="164" t="str">
        <f t="shared" ref="U258:U265" si="638">(S258*7/107)+((S258-(S258*7/107))*1%)</f>
        <v>59.75</v>
      </c>
      <c r="V258" s="165" t="str">
        <f t="shared" ref="V258:V265" si="639">N258*$C$3*(M258/30)</f>
        <v>0.00</v>
      </c>
      <c r="W258" s="166">
        <v>0.41</v>
      </c>
      <c r="X258" s="167" t="str">
        <f t="shared" ref="X258:X265" si="640">((_xlfn.CEILING.MATH(W258)-1)*$C$5+$C$4)</f>
        <v>76</v>
      </c>
      <c r="Y258" s="168" t="str">
        <f t="shared" ref="Y258:Y265" si="641">O258*$Y$6</f>
        <v>351.000</v>
      </c>
      <c r="Z258" s="168" t="str">
        <f t="shared" ref="Z258:Z265" si="642">S258*$Y$7</f>
        <v>31.888</v>
      </c>
      <c r="AA258" s="164" t="str">
        <f t="shared" ref="AA258:AA265" si="643">$Y$3*((100-AB258)/100)</f>
        <v>3.38</v>
      </c>
      <c r="AB258" s="164">
        <v>93.25</v>
      </c>
      <c r="AC258" s="164" t="str">
        <f t="shared" ref="AC258:AC265" si="644">$C$6*$C$7*_xlfn.CEILING.MATH(W258)</f>
        <v>4.80</v>
      </c>
      <c r="AD258" s="165" t="str">
        <f t="shared" ref="AD258:AD265" si="645">O258*$C$2</f>
        <v>108.00</v>
      </c>
      <c r="AE258" s="23"/>
      <c r="AF258" s="169" t="str">
        <f t="shared" ref="AF258:AF265" si="646">(_xlfn.CEILING.MATH(W258))*$Y$1*$AD$2</f>
        <v>0</v>
      </c>
      <c r="AG258" s="163" t="str">
        <f t="shared" ref="AG258:AG265" si="647">O258-T258-U258-V258-X258-Y258-Z258-AA258-AC258-AD258-N258</f>
        <v>385.18</v>
      </c>
      <c r="AH258" s="170" t="str">
        <f t="shared" ref="AH258:AH265" si="648">AG258/N258</f>
        <v>#DIV/0!</v>
      </c>
      <c r="AI258" s="26"/>
      <c r="AJ258" s="171" t="str">
        <f t="shared" ref="AJ258:AJ265" si="649">$AD$3</f>
        <v>0.00%</v>
      </c>
      <c r="AK258" s="172" t="str">
        <f t="shared" ref="AK258:AK265" si="650">N258*AJ258</f>
        <v>0.00</v>
      </c>
      <c r="AL258" s="173" t="str">
        <f t="shared" ref="AL258:AL265" si="651">(N258+T258+V258+X258+AA258+AC258+AF258+AK258)/(100%-($C$2+$C$8+$Y$6+$Y$7))</f>
        <v>316.80</v>
      </c>
      <c r="AM258" s="174" t="str">
        <f t="shared" ref="AM258:AM265" si="652">AL258-(AL258*$AD$1)</f>
        <v>224.93</v>
      </c>
    </row>
    <row r="259" ht="12.75" customHeight="1">
      <c r="A259" s="26"/>
      <c r="B259" s="190" t="s">
        <v>504</v>
      </c>
      <c r="C259" s="192">
        <v>2.12765655E8</v>
      </c>
      <c r="D259" s="152" t="s">
        <v>505</v>
      </c>
      <c r="E259" s="53" t="s">
        <v>77</v>
      </c>
      <c r="F259" s="154">
        <v>1.0</v>
      </c>
      <c r="G259" s="53"/>
      <c r="H259" s="53" t="str">
        <f t="shared" si="630"/>
        <v>0.00069</v>
      </c>
      <c r="I259" s="53" t="str">
        <f t="shared" si="631"/>
        <v>89</v>
      </c>
      <c r="J259" s="53" t="str">
        <f t="shared" si="632"/>
        <v>0</v>
      </c>
      <c r="K259" s="155" t="str">
        <f t="shared" si="633"/>
        <v>0.00</v>
      </c>
      <c r="L259" s="156" t="str">
        <f t="shared" si="634"/>
        <v>0.00 </v>
      </c>
      <c r="M259" s="132">
        <v>90.0</v>
      </c>
      <c r="N259" s="157">
        <v>0.0</v>
      </c>
      <c r="O259" s="158">
        <v>1080.0</v>
      </c>
      <c r="P259" s="159" t="str">
        <f t="shared" si="635"/>
        <v>314.16</v>
      </c>
      <c r="Q259" s="160"/>
      <c r="R259" s="161">
        <v>0.26</v>
      </c>
      <c r="S259" s="162" t="str">
        <f t="shared" si="636"/>
        <v>799.20</v>
      </c>
      <c r="T259" s="163" t="str">
        <f t="shared" si="637"/>
        <v>60.00</v>
      </c>
      <c r="U259" s="164" t="str">
        <f t="shared" si="638"/>
        <v>59.75</v>
      </c>
      <c r="V259" s="165" t="str">
        <f t="shared" si="639"/>
        <v>0.00</v>
      </c>
      <c r="W259" s="166">
        <v>0.32</v>
      </c>
      <c r="X259" s="167" t="str">
        <f t="shared" si="640"/>
        <v>76</v>
      </c>
      <c r="Y259" s="168" t="str">
        <f t="shared" si="641"/>
        <v>351.000</v>
      </c>
      <c r="Z259" s="168" t="str">
        <f t="shared" si="642"/>
        <v>31.888</v>
      </c>
      <c r="AA259" s="164" t="str">
        <f t="shared" si="643"/>
        <v>2.18</v>
      </c>
      <c r="AB259" s="164">
        <v>95.65</v>
      </c>
      <c r="AC259" s="164" t="str">
        <f t="shared" si="644"/>
        <v>4.80</v>
      </c>
      <c r="AD259" s="165" t="str">
        <f t="shared" si="645"/>
        <v>108.00</v>
      </c>
      <c r="AE259" s="23"/>
      <c r="AF259" s="169" t="str">
        <f t="shared" si="646"/>
        <v>0</v>
      </c>
      <c r="AG259" s="163" t="str">
        <f t="shared" si="647"/>
        <v>386.38</v>
      </c>
      <c r="AH259" s="170" t="str">
        <f t="shared" si="648"/>
        <v>#DIV/0!</v>
      </c>
      <c r="AI259" s="26"/>
      <c r="AJ259" s="171" t="str">
        <f t="shared" si="649"/>
        <v>0.00%</v>
      </c>
      <c r="AK259" s="172" t="str">
        <f t="shared" si="650"/>
        <v>0.00</v>
      </c>
      <c r="AL259" s="173" t="str">
        <f t="shared" si="651"/>
        <v>314.16</v>
      </c>
      <c r="AM259" s="174" t="str">
        <f t="shared" si="652"/>
        <v>223.05</v>
      </c>
    </row>
    <row r="260" ht="12.75" customHeight="1">
      <c r="A260" s="26"/>
      <c r="B260" s="190" t="s">
        <v>506</v>
      </c>
      <c r="C260" s="192">
        <v>2.12796158E8</v>
      </c>
      <c r="D260" s="152" t="s">
        <v>507</v>
      </c>
      <c r="E260" s="53" t="s">
        <v>77</v>
      </c>
      <c r="F260" s="154">
        <v>1.0</v>
      </c>
      <c r="G260" s="53"/>
      <c r="H260" s="53" t="str">
        <f t="shared" si="630"/>
        <v>0.00069</v>
      </c>
      <c r="I260" s="53" t="str">
        <f t="shared" si="631"/>
        <v>89</v>
      </c>
      <c r="J260" s="53" t="str">
        <f t="shared" si="632"/>
        <v>0</v>
      </c>
      <c r="K260" s="155" t="str">
        <f t="shared" si="633"/>
        <v>0.00</v>
      </c>
      <c r="L260" s="156" t="str">
        <f t="shared" si="634"/>
        <v>0.00 </v>
      </c>
      <c r="M260" s="132">
        <v>90.0</v>
      </c>
      <c r="N260" s="157">
        <v>0.0</v>
      </c>
      <c r="O260" s="158">
        <v>1137.9</v>
      </c>
      <c r="P260" s="159" t="str">
        <f t="shared" si="635"/>
        <v>311.92</v>
      </c>
      <c r="Q260" s="160"/>
      <c r="R260" s="161">
        <v>0.26</v>
      </c>
      <c r="S260" s="162" t="str">
        <f t="shared" si="636"/>
        <v>842.05</v>
      </c>
      <c r="T260" s="163" t="str">
        <f t="shared" si="637"/>
        <v>60.00</v>
      </c>
      <c r="U260" s="164" t="str">
        <f t="shared" si="638"/>
        <v>62.96</v>
      </c>
      <c r="V260" s="165" t="str">
        <f t="shared" si="639"/>
        <v>0.00</v>
      </c>
      <c r="W260" s="166">
        <v>0.4</v>
      </c>
      <c r="X260" s="167" t="str">
        <f t="shared" si="640"/>
        <v>76</v>
      </c>
      <c r="Y260" s="168" t="str">
        <f t="shared" si="641"/>
        <v>369.818</v>
      </c>
      <c r="Z260" s="168" t="str">
        <f t="shared" si="642"/>
        <v>33.598</v>
      </c>
      <c r="AA260" s="164" t="str">
        <f t="shared" si="643"/>
        <v>1.16</v>
      </c>
      <c r="AB260" s="164">
        <v>97.69</v>
      </c>
      <c r="AC260" s="164" t="str">
        <f t="shared" si="644"/>
        <v>4.80</v>
      </c>
      <c r="AD260" s="165" t="str">
        <f t="shared" si="645"/>
        <v>113.79</v>
      </c>
      <c r="AE260" s="23"/>
      <c r="AF260" s="169" t="str">
        <f t="shared" si="646"/>
        <v>0</v>
      </c>
      <c r="AG260" s="163" t="str">
        <f t="shared" si="647"/>
        <v>415.78</v>
      </c>
      <c r="AH260" s="170" t="str">
        <f t="shared" si="648"/>
        <v>#DIV/0!</v>
      </c>
      <c r="AI260" s="26"/>
      <c r="AJ260" s="171" t="str">
        <f t="shared" si="649"/>
        <v>0.00%</v>
      </c>
      <c r="AK260" s="172" t="str">
        <f t="shared" si="650"/>
        <v>0.00</v>
      </c>
      <c r="AL260" s="173" t="str">
        <f t="shared" si="651"/>
        <v>311.92</v>
      </c>
      <c r="AM260" s="174" t="str">
        <f t="shared" si="652"/>
        <v>221.46</v>
      </c>
    </row>
    <row r="261" ht="12.75" customHeight="1">
      <c r="A261" s="26"/>
      <c r="B261" s="190" t="s">
        <v>508</v>
      </c>
      <c r="C261" s="202">
        <v>2.12825852E8</v>
      </c>
      <c r="D261" s="152" t="s">
        <v>509</v>
      </c>
      <c r="E261" s="53" t="s">
        <v>77</v>
      </c>
      <c r="F261" s="154">
        <v>1.0</v>
      </c>
      <c r="G261" s="53"/>
      <c r="H261" s="53" t="str">
        <f t="shared" si="630"/>
        <v>0.00069</v>
      </c>
      <c r="I261" s="53" t="str">
        <f t="shared" si="631"/>
        <v>89</v>
      </c>
      <c r="J261" s="53" t="str">
        <f t="shared" si="632"/>
        <v>0</v>
      </c>
      <c r="K261" s="155" t="str">
        <f t="shared" si="633"/>
        <v>0.00</v>
      </c>
      <c r="L261" s="156" t="str">
        <f t="shared" si="634"/>
        <v>0.00 </v>
      </c>
      <c r="M261" s="132">
        <v>90.0</v>
      </c>
      <c r="N261" s="157">
        <v>0.0</v>
      </c>
      <c r="O261" s="158">
        <v>1137.9</v>
      </c>
      <c r="P261" s="159" t="str">
        <f t="shared" si="635"/>
        <v>313.13</v>
      </c>
      <c r="Q261" s="160"/>
      <c r="R261" s="161">
        <v>0.26</v>
      </c>
      <c r="S261" s="162" t="str">
        <f t="shared" si="636"/>
        <v>842.05</v>
      </c>
      <c r="T261" s="163" t="str">
        <f t="shared" si="637"/>
        <v>60.00</v>
      </c>
      <c r="U261" s="164" t="str">
        <f t="shared" si="638"/>
        <v>62.96</v>
      </c>
      <c r="V261" s="165" t="str">
        <f t="shared" si="639"/>
        <v>0.00</v>
      </c>
      <c r="W261" s="166">
        <v>0.58</v>
      </c>
      <c r="X261" s="167" t="str">
        <f t="shared" si="640"/>
        <v>76</v>
      </c>
      <c r="Y261" s="168" t="str">
        <f t="shared" si="641"/>
        <v>369.818</v>
      </c>
      <c r="Z261" s="168" t="str">
        <f t="shared" si="642"/>
        <v>33.598</v>
      </c>
      <c r="AA261" s="164" t="str">
        <f t="shared" si="643"/>
        <v>1.71</v>
      </c>
      <c r="AB261" s="164">
        <v>96.59</v>
      </c>
      <c r="AC261" s="164" t="str">
        <f t="shared" si="644"/>
        <v>4.80</v>
      </c>
      <c r="AD261" s="165" t="str">
        <f t="shared" si="645"/>
        <v>113.79</v>
      </c>
      <c r="AE261" s="23"/>
      <c r="AF261" s="169" t="str">
        <f t="shared" si="646"/>
        <v>0</v>
      </c>
      <c r="AG261" s="163" t="str">
        <f t="shared" si="647"/>
        <v>415.23</v>
      </c>
      <c r="AH261" s="170" t="str">
        <f t="shared" si="648"/>
        <v>#DIV/0!</v>
      </c>
      <c r="AI261" s="26"/>
      <c r="AJ261" s="171" t="str">
        <f t="shared" si="649"/>
        <v>0.00%</v>
      </c>
      <c r="AK261" s="172" t="str">
        <f t="shared" si="650"/>
        <v>0.00</v>
      </c>
      <c r="AL261" s="173" t="str">
        <f t="shared" si="651"/>
        <v>313.13</v>
      </c>
      <c r="AM261" s="174" t="str">
        <f t="shared" si="652"/>
        <v>222.32</v>
      </c>
    </row>
    <row r="262" ht="12.75" customHeight="1">
      <c r="A262" s="26"/>
      <c r="B262" s="190" t="s">
        <v>510</v>
      </c>
      <c r="C262" s="192">
        <v>2.12827062E8</v>
      </c>
      <c r="D262" s="152" t="s">
        <v>511</v>
      </c>
      <c r="E262" s="53" t="s">
        <v>77</v>
      </c>
      <c r="F262" s="154">
        <v>1.0</v>
      </c>
      <c r="G262" s="53"/>
      <c r="H262" s="53" t="str">
        <f t="shared" si="630"/>
        <v>0.00069</v>
      </c>
      <c r="I262" s="53" t="str">
        <f t="shared" si="631"/>
        <v>89</v>
      </c>
      <c r="J262" s="53" t="str">
        <f t="shared" si="632"/>
        <v>0</v>
      </c>
      <c r="K262" s="155" t="str">
        <f t="shared" si="633"/>
        <v>0.00</v>
      </c>
      <c r="L262" s="156" t="str">
        <f t="shared" si="634"/>
        <v>0.00 </v>
      </c>
      <c r="M262" s="132">
        <v>90.0</v>
      </c>
      <c r="N262" s="157">
        <v>0.0</v>
      </c>
      <c r="O262" s="158">
        <v>1137.9</v>
      </c>
      <c r="P262" s="159" t="str">
        <f t="shared" si="635"/>
        <v>311.54</v>
      </c>
      <c r="Q262" s="160"/>
      <c r="R262" s="161">
        <v>0.26</v>
      </c>
      <c r="S262" s="162" t="str">
        <f t="shared" si="636"/>
        <v>842.05</v>
      </c>
      <c r="T262" s="163" t="str">
        <f t="shared" si="637"/>
        <v>60.00</v>
      </c>
      <c r="U262" s="164" t="str">
        <f t="shared" si="638"/>
        <v>62.96</v>
      </c>
      <c r="V262" s="165" t="str">
        <f t="shared" si="639"/>
        <v>0.00</v>
      </c>
      <c r="W262" s="166">
        <v>0.58</v>
      </c>
      <c r="X262" s="167" t="str">
        <f t="shared" si="640"/>
        <v>76</v>
      </c>
      <c r="Y262" s="168" t="str">
        <f t="shared" si="641"/>
        <v>369.818</v>
      </c>
      <c r="Z262" s="168" t="str">
        <f t="shared" si="642"/>
        <v>33.598</v>
      </c>
      <c r="AA262" s="164" t="str">
        <f t="shared" si="643"/>
        <v>0.98</v>
      </c>
      <c r="AB262" s="164">
        <v>98.04</v>
      </c>
      <c r="AC262" s="164" t="str">
        <f t="shared" si="644"/>
        <v>4.80</v>
      </c>
      <c r="AD262" s="165" t="str">
        <f t="shared" si="645"/>
        <v>113.79</v>
      </c>
      <c r="AE262" s="23"/>
      <c r="AF262" s="169" t="str">
        <f t="shared" si="646"/>
        <v>0</v>
      </c>
      <c r="AG262" s="163" t="str">
        <f t="shared" si="647"/>
        <v>415.96</v>
      </c>
      <c r="AH262" s="170" t="str">
        <f t="shared" si="648"/>
        <v>#DIV/0!</v>
      </c>
      <c r="AI262" s="26"/>
      <c r="AJ262" s="171" t="str">
        <f t="shared" si="649"/>
        <v>0.00%</v>
      </c>
      <c r="AK262" s="172" t="str">
        <f t="shared" si="650"/>
        <v>0.00</v>
      </c>
      <c r="AL262" s="173" t="str">
        <f t="shared" si="651"/>
        <v>311.54</v>
      </c>
      <c r="AM262" s="174" t="str">
        <f t="shared" si="652"/>
        <v>221.19</v>
      </c>
    </row>
    <row r="263" ht="12.75" customHeight="1">
      <c r="A263" s="26"/>
      <c r="B263" s="190" t="s">
        <v>512</v>
      </c>
      <c r="C263" s="192">
        <v>2.14312934E8</v>
      </c>
      <c r="D263" s="152" t="s">
        <v>513</v>
      </c>
      <c r="E263" s="53" t="s">
        <v>77</v>
      </c>
      <c r="F263" s="154">
        <v>1.0</v>
      </c>
      <c r="G263" s="53"/>
      <c r="H263" s="53" t="str">
        <f t="shared" si="630"/>
        <v>0.00069</v>
      </c>
      <c r="I263" s="53" t="str">
        <f t="shared" si="631"/>
        <v>89</v>
      </c>
      <c r="J263" s="53" t="str">
        <f t="shared" si="632"/>
        <v>0</v>
      </c>
      <c r="K263" s="155" t="str">
        <f t="shared" si="633"/>
        <v>0.00</v>
      </c>
      <c r="L263" s="156" t="str">
        <f t="shared" si="634"/>
        <v>0.00 </v>
      </c>
      <c r="M263" s="132">
        <v>90.0</v>
      </c>
      <c r="N263" s="157">
        <v>0.0</v>
      </c>
      <c r="O263" s="158">
        <v>747.0</v>
      </c>
      <c r="P263" s="159" t="str">
        <f t="shared" si="635"/>
        <v>311.42</v>
      </c>
      <c r="Q263" s="160"/>
      <c r="R263" s="161">
        <v>0.26</v>
      </c>
      <c r="S263" s="162" t="str">
        <f t="shared" si="636"/>
        <v>552.78</v>
      </c>
      <c r="T263" s="163" t="str">
        <f t="shared" si="637"/>
        <v>60.00</v>
      </c>
      <c r="U263" s="164" t="str">
        <f t="shared" si="638"/>
        <v>41.33</v>
      </c>
      <c r="V263" s="165" t="str">
        <f t="shared" si="639"/>
        <v>0.00</v>
      </c>
      <c r="W263" s="166">
        <v>0.4</v>
      </c>
      <c r="X263" s="167" t="str">
        <f t="shared" si="640"/>
        <v>76</v>
      </c>
      <c r="Y263" s="168" t="str">
        <f t="shared" si="641"/>
        <v>242.775</v>
      </c>
      <c r="Z263" s="168" t="str">
        <f t="shared" si="642"/>
        <v>22.056</v>
      </c>
      <c r="AA263" s="164" t="str">
        <f t="shared" si="643"/>
        <v>0.92</v>
      </c>
      <c r="AB263" s="164">
        <v>98.15</v>
      </c>
      <c r="AC263" s="164" t="str">
        <f t="shared" si="644"/>
        <v>4.80</v>
      </c>
      <c r="AD263" s="165" t="str">
        <f t="shared" si="645"/>
        <v>74.70</v>
      </c>
      <c r="AE263" s="23"/>
      <c r="AF263" s="169" t="str">
        <f t="shared" si="646"/>
        <v>0</v>
      </c>
      <c r="AG263" s="163" t="str">
        <f t="shared" si="647"/>
        <v>224.41</v>
      </c>
      <c r="AH263" s="170" t="str">
        <f t="shared" si="648"/>
        <v>#DIV/0!</v>
      </c>
      <c r="AI263" s="26"/>
      <c r="AJ263" s="171" t="str">
        <f t="shared" si="649"/>
        <v>0.00%</v>
      </c>
      <c r="AK263" s="172" t="str">
        <f t="shared" si="650"/>
        <v>0.00</v>
      </c>
      <c r="AL263" s="173" t="str">
        <f t="shared" si="651"/>
        <v>311.42</v>
      </c>
      <c r="AM263" s="174" t="str">
        <f t="shared" si="652"/>
        <v>221.10</v>
      </c>
    </row>
    <row r="264" ht="12.75" customHeight="1">
      <c r="A264" s="26"/>
      <c r="B264" s="190" t="s">
        <v>514</v>
      </c>
      <c r="C264" s="192">
        <v>2.14312999E8</v>
      </c>
      <c r="D264" s="152" t="s">
        <v>515</v>
      </c>
      <c r="E264" s="53" t="s">
        <v>77</v>
      </c>
      <c r="F264" s="154">
        <v>1.0</v>
      </c>
      <c r="G264" s="53"/>
      <c r="H264" s="53" t="str">
        <f t="shared" si="630"/>
        <v>0.00069</v>
      </c>
      <c r="I264" s="53" t="str">
        <f t="shared" si="631"/>
        <v>89</v>
      </c>
      <c r="J264" s="53" t="str">
        <f t="shared" si="632"/>
        <v>0</v>
      </c>
      <c r="K264" s="155" t="str">
        <f t="shared" si="633"/>
        <v>0.00</v>
      </c>
      <c r="L264" s="156" t="str">
        <f t="shared" si="634"/>
        <v>0.00 </v>
      </c>
      <c r="M264" s="132">
        <v>90.0</v>
      </c>
      <c r="N264" s="157">
        <v>0.0</v>
      </c>
      <c r="O264" s="158">
        <v>747.0</v>
      </c>
      <c r="P264" s="159" t="str">
        <f t="shared" si="635"/>
        <v>336.85</v>
      </c>
      <c r="Q264" s="160"/>
      <c r="R264" s="161">
        <v>0.26</v>
      </c>
      <c r="S264" s="162" t="str">
        <f t="shared" si="636"/>
        <v>552.78</v>
      </c>
      <c r="T264" s="163" t="str">
        <f t="shared" si="637"/>
        <v>60.00</v>
      </c>
      <c r="U264" s="164" t="str">
        <f t="shared" si="638"/>
        <v>41.33</v>
      </c>
      <c r="V264" s="165" t="str">
        <f t="shared" si="639"/>
        <v>0.00</v>
      </c>
      <c r="W264" s="166">
        <v>0.4</v>
      </c>
      <c r="X264" s="167" t="str">
        <f t="shared" si="640"/>
        <v>76</v>
      </c>
      <c r="Y264" s="168" t="str">
        <f t="shared" si="641"/>
        <v>242.775</v>
      </c>
      <c r="Z264" s="168" t="str">
        <f t="shared" si="642"/>
        <v>22.056</v>
      </c>
      <c r="AA264" s="164" t="str">
        <f t="shared" si="643"/>
        <v>12.50</v>
      </c>
      <c r="AB264" s="164">
        <v>75.0</v>
      </c>
      <c r="AC264" s="164" t="str">
        <f t="shared" si="644"/>
        <v>4.80</v>
      </c>
      <c r="AD264" s="165" t="str">
        <f t="shared" si="645"/>
        <v>74.70</v>
      </c>
      <c r="AE264" s="23"/>
      <c r="AF264" s="169" t="str">
        <f t="shared" si="646"/>
        <v>0</v>
      </c>
      <c r="AG264" s="163" t="str">
        <f t="shared" si="647"/>
        <v>212.84</v>
      </c>
      <c r="AH264" s="170" t="str">
        <f t="shared" si="648"/>
        <v>#DIV/0!</v>
      </c>
      <c r="AI264" s="26"/>
      <c r="AJ264" s="171" t="str">
        <f t="shared" si="649"/>
        <v>0.00%</v>
      </c>
      <c r="AK264" s="172" t="str">
        <f t="shared" si="650"/>
        <v>0.00</v>
      </c>
      <c r="AL264" s="173" t="str">
        <f t="shared" si="651"/>
        <v>336.85</v>
      </c>
      <c r="AM264" s="174" t="str">
        <f t="shared" si="652"/>
        <v>239.16</v>
      </c>
    </row>
    <row r="265" ht="12.75" customHeight="1">
      <c r="A265" s="26"/>
      <c r="B265" s="190" t="s">
        <v>516</v>
      </c>
      <c r="C265" s="192">
        <v>2.14313051E8</v>
      </c>
      <c r="D265" s="152" t="s">
        <v>517</v>
      </c>
      <c r="E265" s="53" t="s">
        <v>77</v>
      </c>
      <c r="F265" s="154">
        <v>1.0</v>
      </c>
      <c r="G265" s="53"/>
      <c r="H265" s="53" t="str">
        <f t="shared" si="630"/>
        <v>0.00069</v>
      </c>
      <c r="I265" s="53" t="str">
        <f t="shared" si="631"/>
        <v>89</v>
      </c>
      <c r="J265" s="53" t="str">
        <f t="shared" si="632"/>
        <v>0</v>
      </c>
      <c r="K265" s="155" t="str">
        <f t="shared" si="633"/>
        <v>0.00</v>
      </c>
      <c r="L265" s="156" t="str">
        <f t="shared" si="634"/>
        <v>0.00 </v>
      </c>
      <c r="M265" s="132">
        <v>90.0</v>
      </c>
      <c r="N265" s="157">
        <v>0.0</v>
      </c>
      <c r="O265" s="158">
        <v>1118.7</v>
      </c>
      <c r="P265" s="159" t="str">
        <f t="shared" si="635"/>
        <v>317.42</v>
      </c>
      <c r="Q265" s="160"/>
      <c r="R265" s="161">
        <v>0.26</v>
      </c>
      <c r="S265" s="162" t="str">
        <f t="shared" si="636"/>
        <v>827.84</v>
      </c>
      <c r="T265" s="163" t="str">
        <f t="shared" si="637"/>
        <v>60.00</v>
      </c>
      <c r="U265" s="164" t="str">
        <f t="shared" si="638"/>
        <v>61.89</v>
      </c>
      <c r="V265" s="165" t="str">
        <f t="shared" si="639"/>
        <v>0.00</v>
      </c>
      <c r="W265" s="166">
        <v>0.46</v>
      </c>
      <c r="X265" s="167" t="str">
        <f t="shared" si="640"/>
        <v>76</v>
      </c>
      <c r="Y265" s="168" t="str">
        <f t="shared" si="641"/>
        <v>363.578</v>
      </c>
      <c r="Z265" s="168" t="str">
        <f t="shared" si="642"/>
        <v>33.031</v>
      </c>
      <c r="AA265" s="164" t="str">
        <f t="shared" si="643"/>
        <v>3.66</v>
      </c>
      <c r="AB265" s="164">
        <v>92.68</v>
      </c>
      <c r="AC265" s="164" t="str">
        <f t="shared" si="644"/>
        <v>4.80</v>
      </c>
      <c r="AD265" s="165" t="str">
        <f t="shared" si="645"/>
        <v>111.87</v>
      </c>
      <c r="AE265" s="23"/>
      <c r="AF265" s="169" t="str">
        <f t="shared" si="646"/>
        <v>0</v>
      </c>
      <c r="AG265" s="163" t="str">
        <f t="shared" si="647"/>
        <v>403.87</v>
      </c>
      <c r="AH265" s="170" t="str">
        <f t="shared" si="648"/>
        <v>#DIV/0!</v>
      </c>
      <c r="AI265" s="26"/>
      <c r="AJ265" s="171" t="str">
        <f t="shared" si="649"/>
        <v>0.00%</v>
      </c>
      <c r="AK265" s="172" t="str">
        <f t="shared" si="650"/>
        <v>0.00</v>
      </c>
      <c r="AL265" s="173" t="str">
        <f t="shared" si="651"/>
        <v>317.42</v>
      </c>
      <c r="AM265" s="174" t="str">
        <f t="shared" si="652"/>
        <v>225.37</v>
      </c>
    </row>
    <row r="266" ht="12.75" customHeight="1">
      <c r="A266" s="26"/>
      <c r="B266" s="125" t="s">
        <v>518</v>
      </c>
      <c r="C266" s="126"/>
      <c r="D266" s="127"/>
      <c r="E266" s="128"/>
      <c r="F266" s="128"/>
      <c r="G266" s="128"/>
      <c r="H266" s="197"/>
      <c r="I266" s="197"/>
      <c r="J266" s="128"/>
      <c r="K266" s="130"/>
      <c r="L266" s="131"/>
      <c r="M266" s="132"/>
      <c r="N266" s="176"/>
      <c r="O266" s="134"/>
      <c r="P266" s="135"/>
      <c r="Q266" s="135"/>
      <c r="R266" s="136"/>
      <c r="S266" s="137"/>
      <c r="T266" s="177"/>
      <c r="U266" s="178"/>
      <c r="V266" s="179"/>
      <c r="W266" s="180"/>
      <c r="X266" s="181"/>
      <c r="Y266" s="182"/>
      <c r="Z266" s="182"/>
      <c r="AA266" s="178"/>
      <c r="AB266" s="178"/>
      <c r="AC266" s="178"/>
      <c r="AD266" s="179"/>
      <c r="AE266" s="183"/>
      <c r="AF266" s="184"/>
      <c r="AG266" s="177"/>
      <c r="AH266" s="185"/>
      <c r="AI266" s="26"/>
      <c r="AJ266" s="186"/>
      <c r="AK266" s="187"/>
      <c r="AL266" s="188"/>
      <c r="AM266" s="189"/>
    </row>
    <row r="267" ht="12.75" customHeight="1">
      <c r="A267" s="26"/>
      <c r="B267" s="190" t="s">
        <v>519</v>
      </c>
      <c r="C267" s="199">
        <v>1.51175877E8</v>
      </c>
      <c r="D267" s="152" t="s">
        <v>520</v>
      </c>
      <c r="E267" s="53" t="s">
        <v>77</v>
      </c>
      <c r="F267" s="154">
        <v>1.0</v>
      </c>
      <c r="G267" s="53"/>
      <c r="H267" s="53" t="str">
        <f t="shared" ref="H267:H280" si="653">$I$2</f>
        <v>0.00069</v>
      </c>
      <c r="I267" s="53" t="str">
        <f t="shared" ref="I267:I280" si="654">$I$3</f>
        <v>89</v>
      </c>
      <c r="J267" s="53" t="str">
        <f t="shared" ref="J267:J280" si="655">G267*H267*I267*F267</f>
        <v>0</v>
      </c>
      <c r="K267" s="155" t="str">
        <f t="shared" ref="K267:K280" si="656">J267*$J$4</f>
        <v>0.00</v>
      </c>
      <c r="L267" s="156" t="str">
        <f t="shared" ref="L267:L280" si="657">K267+J267</f>
        <v>0.00 </v>
      </c>
      <c r="M267" s="132">
        <v>90.0</v>
      </c>
      <c r="N267" s="157">
        <v>415.46</v>
      </c>
      <c r="O267" s="158">
        <v>1200.0</v>
      </c>
      <c r="P267" s="159" t="str">
        <f t="shared" ref="P267:P278" si="658">O267</f>
        <v>1,200.00</v>
      </c>
      <c r="Q267" s="160">
        <v>1151.0</v>
      </c>
      <c r="R267" s="161">
        <v>0.26</v>
      </c>
      <c r="S267" s="162" t="str">
        <f t="shared" ref="S267:S280" si="659">O267-(O267*R267)</f>
        <v>888.00</v>
      </c>
      <c r="T267" s="163" t="str">
        <f t="shared" ref="T267:T278" si="660">$C$1</f>
        <v>60.00</v>
      </c>
      <c r="U267" s="164" t="str">
        <f t="shared" ref="U267:U280" si="661">(S267*7/107)+((S267-(S267*7/107))*1%)</f>
        <v>66.39</v>
      </c>
      <c r="V267" s="165" t="str">
        <f t="shared" ref="V267:V280" si="662">N267*$C$3*(M267/30)</f>
        <v>0.00</v>
      </c>
      <c r="W267" s="166">
        <v>0.41</v>
      </c>
      <c r="X267" s="167" t="str">
        <f t="shared" ref="X267:X278" si="663">((_xlfn.CEILING.MATH(W267)-1)*$C$5+$C$4)</f>
        <v>76</v>
      </c>
      <c r="Y267" s="168" t="str">
        <f t="shared" ref="Y267:Y280" si="664">O267*$Y$6</f>
        <v>390.000</v>
      </c>
      <c r="Z267" s="168" t="str">
        <f t="shared" ref="Z267:Z280" si="665">S267*$Y$7</f>
        <v>35.431</v>
      </c>
      <c r="AA267" s="164" t="str">
        <f t="shared" ref="AA267:AA280" si="666">$Y$3*((100-AB267)/100)</f>
        <v>1.85</v>
      </c>
      <c r="AB267" s="164">
        <v>96.31</v>
      </c>
      <c r="AC267" s="164" t="str">
        <f t="shared" ref="AC267:AC280" si="667">$C$6*$C$7*_xlfn.CEILING.MATH(W267)</f>
        <v>4.80</v>
      </c>
      <c r="AD267" s="165" t="str">
        <f t="shared" ref="AD267:AD280" si="668">O267*$C$2</f>
        <v>120.00</v>
      </c>
      <c r="AE267" s="23"/>
      <c r="AF267" s="169" t="str">
        <f t="shared" ref="AF267:AF280" si="669">(_xlfn.CEILING.MATH(W267))*$Y$1*$AD$2</f>
        <v>0</v>
      </c>
      <c r="AG267" s="163" t="str">
        <f t="shared" ref="AG267:AG280" si="670">O267-T267-U267-V267-X267-Y267-Z267-AA267-AC267-AD267-N267</f>
        <v>30.07</v>
      </c>
      <c r="AH267" s="170" t="str">
        <f t="shared" ref="AH267:AH280" si="671">AG267/N267</f>
        <v>7.24%</v>
      </c>
      <c r="AI267" s="26"/>
      <c r="AJ267" s="171" t="str">
        <f t="shared" ref="AJ267:AJ280" si="672">$AD$3</f>
        <v>0.00%</v>
      </c>
      <c r="AK267" s="172" t="str">
        <f t="shared" ref="AK267:AK280" si="673">N267*AJ267</f>
        <v>0.00</v>
      </c>
      <c r="AL267" s="173" t="str">
        <f t="shared" ref="AL267:AL280" si="674">(N267+T267+V267+X267+AA267+AC267+AF267+AK267)/(100%-($C$2+$C$8+$Y$6+$Y$7))</f>
        <v>1,226.33</v>
      </c>
      <c r="AM267" s="174" t="str">
        <f t="shared" ref="AM267:AM280" si="675">AL267-(AL267*$AD$1)</f>
        <v>870.70</v>
      </c>
    </row>
    <row r="268" ht="12.75" customHeight="1">
      <c r="A268" s="26"/>
      <c r="B268" s="190" t="s">
        <v>521</v>
      </c>
      <c r="C268" s="199">
        <v>1.79611278E8</v>
      </c>
      <c r="D268" s="152" t="s">
        <v>522</v>
      </c>
      <c r="E268" s="53" t="s">
        <v>77</v>
      </c>
      <c r="F268" s="154">
        <v>1.0</v>
      </c>
      <c r="G268" s="53"/>
      <c r="H268" s="53" t="str">
        <f t="shared" si="653"/>
        <v>0.00069</v>
      </c>
      <c r="I268" s="53" t="str">
        <f t="shared" si="654"/>
        <v>89</v>
      </c>
      <c r="J268" s="53" t="str">
        <f t="shared" si="655"/>
        <v>0</v>
      </c>
      <c r="K268" s="155" t="str">
        <f t="shared" si="656"/>
        <v>0.00</v>
      </c>
      <c r="L268" s="156" t="str">
        <f t="shared" si="657"/>
        <v>0.00 </v>
      </c>
      <c r="M268" s="132">
        <v>90.0</v>
      </c>
      <c r="N268" s="157">
        <v>415.46</v>
      </c>
      <c r="O268" s="158">
        <v>1215.0</v>
      </c>
      <c r="P268" s="159" t="str">
        <f t="shared" si="658"/>
        <v>1,215.00</v>
      </c>
      <c r="Q268" s="160">
        <v>1053.0</v>
      </c>
      <c r="R268" s="161">
        <v>0.26</v>
      </c>
      <c r="S268" s="162" t="str">
        <f t="shared" si="659"/>
        <v>899.10</v>
      </c>
      <c r="T268" s="163" t="str">
        <f t="shared" si="660"/>
        <v>60.00</v>
      </c>
      <c r="U268" s="164" t="str">
        <f t="shared" si="661"/>
        <v>67.22</v>
      </c>
      <c r="V268" s="165" t="str">
        <f t="shared" si="662"/>
        <v>0.00</v>
      </c>
      <c r="W268" s="166">
        <v>0.41</v>
      </c>
      <c r="X268" s="167" t="str">
        <f t="shared" si="663"/>
        <v>76</v>
      </c>
      <c r="Y268" s="168" t="str">
        <f t="shared" si="664"/>
        <v>394.875</v>
      </c>
      <c r="Z268" s="168" t="str">
        <f t="shared" si="665"/>
        <v>35.874</v>
      </c>
      <c r="AA268" s="164" t="str">
        <f t="shared" si="666"/>
        <v>1.84</v>
      </c>
      <c r="AB268" s="164">
        <v>96.32</v>
      </c>
      <c r="AC268" s="164" t="str">
        <f t="shared" si="667"/>
        <v>4.80</v>
      </c>
      <c r="AD268" s="165" t="str">
        <f t="shared" si="668"/>
        <v>121.50</v>
      </c>
      <c r="AE268" s="23"/>
      <c r="AF268" s="169" t="str">
        <f t="shared" si="669"/>
        <v>0</v>
      </c>
      <c r="AG268" s="163" t="str">
        <f t="shared" si="670"/>
        <v>37.43</v>
      </c>
      <c r="AH268" s="170" t="str">
        <f t="shared" si="671"/>
        <v>9.01%</v>
      </c>
      <c r="AI268" s="26"/>
      <c r="AJ268" s="171" t="str">
        <f t="shared" si="672"/>
        <v>0.00%</v>
      </c>
      <c r="AK268" s="172" t="str">
        <f t="shared" si="673"/>
        <v>0.00</v>
      </c>
      <c r="AL268" s="173" t="str">
        <f t="shared" si="674"/>
        <v>1,226.32</v>
      </c>
      <c r="AM268" s="174" t="str">
        <f t="shared" si="675"/>
        <v>870.69</v>
      </c>
    </row>
    <row r="269" ht="12.75" customHeight="1">
      <c r="A269" s="26"/>
      <c r="B269" s="190" t="s">
        <v>523</v>
      </c>
      <c r="C269" s="199">
        <v>1.80992464E8</v>
      </c>
      <c r="D269" s="152" t="s">
        <v>524</v>
      </c>
      <c r="E269" s="53" t="s">
        <v>77</v>
      </c>
      <c r="F269" s="154">
        <v>1.0</v>
      </c>
      <c r="G269" s="53"/>
      <c r="H269" s="53" t="str">
        <f t="shared" si="653"/>
        <v>0.00069</v>
      </c>
      <c r="I269" s="53" t="str">
        <f t="shared" si="654"/>
        <v>89</v>
      </c>
      <c r="J269" s="53" t="str">
        <f t="shared" si="655"/>
        <v>0</v>
      </c>
      <c r="K269" s="155" t="str">
        <f t="shared" si="656"/>
        <v>0.00</v>
      </c>
      <c r="L269" s="156" t="str">
        <f t="shared" si="657"/>
        <v>0.00 </v>
      </c>
      <c r="M269" s="132">
        <v>90.0</v>
      </c>
      <c r="N269" s="157">
        <v>591.29</v>
      </c>
      <c r="O269" s="158">
        <v>1740.0</v>
      </c>
      <c r="P269" s="159" t="str">
        <f t="shared" si="658"/>
        <v>1,740.00</v>
      </c>
      <c r="Q269" s="160">
        <v>1733.0</v>
      </c>
      <c r="R269" s="161">
        <v>0.26</v>
      </c>
      <c r="S269" s="162" t="str">
        <f t="shared" si="659"/>
        <v>1,287.60</v>
      </c>
      <c r="T269" s="163" t="str">
        <f t="shared" si="660"/>
        <v>60.00</v>
      </c>
      <c r="U269" s="164" t="str">
        <f t="shared" si="661"/>
        <v>96.27</v>
      </c>
      <c r="V269" s="165" t="str">
        <f t="shared" si="662"/>
        <v>0.00</v>
      </c>
      <c r="W269" s="166">
        <v>0.73</v>
      </c>
      <c r="X269" s="167" t="str">
        <f t="shared" si="663"/>
        <v>76</v>
      </c>
      <c r="Y269" s="168" t="str">
        <f t="shared" si="664"/>
        <v>565.500</v>
      </c>
      <c r="Z269" s="168" t="str">
        <f t="shared" si="665"/>
        <v>51.375</v>
      </c>
      <c r="AA269" s="164" t="str">
        <f t="shared" si="666"/>
        <v>4.38</v>
      </c>
      <c r="AB269" s="164">
        <v>91.25</v>
      </c>
      <c r="AC269" s="164" t="str">
        <f t="shared" si="667"/>
        <v>4.80</v>
      </c>
      <c r="AD269" s="165" t="str">
        <f t="shared" si="668"/>
        <v>174.00</v>
      </c>
      <c r="AE269" s="23"/>
      <c r="AF269" s="169" t="str">
        <f t="shared" si="669"/>
        <v>0</v>
      </c>
      <c r="AG269" s="163" t="str">
        <f t="shared" si="670"/>
        <v>116.39</v>
      </c>
      <c r="AH269" s="170" t="str">
        <f t="shared" si="671"/>
        <v>19.68%</v>
      </c>
      <c r="AI269" s="26"/>
      <c r="AJ269" s="171" t="str">
        <f t="shared" si="672"/>
        <v>0.00%</v>
      </c>
      <c r="AK269" s="172" t="str">
        <f t="shared" si="673"/>
        <v>0.00</v>
      </c>
      <c r="AL269" s="173" t="str">
        <f t="shared" si="674"/>
        <v>1,618.25</v>
      </c>
      <c r="AM269" s="174" t="str">
        <f t="shared" si="675"/>
        <v>1,148.96</v>
      </c>
    </row>
    <row r="270" ht="12.75" customHeight="1">
      <c r="A270" s="26"/>
      <c r="B270" s="190" t="s">
        <v>525</v>
      </c>
      <c r="C270" s="199">
        <v>1.80988755E8</v>
      </c>
      <c r="D270" s="152" t="s">
        <v>526</v>
      </c>
      <c r="E270" s="53" t="s">
        <v>77</v>
      </c>
      <c r="F270" s="154">
        <v>1.0</v>
      </c>
      <c r="G270" s="53"/>
      <c r="H270" s="53" t="str">
        <f t="shared" si="653"/>
        <v>0.00069</v>
      </c>
      <c r="I270" s="53" t="str">
        <f t="shared" si="654"/>
        <v>89</v>
      </c>
      <c r="J270" s="53" t="str">
        <f t="shared" si="655"/>
        <v>0</v>
      </c>
      <c r="K270" s="155" t="str">
        <f t="shared" si="656"/>
        <v>0.00</v>
      </c>
      <c r="L270" s="156" t="str">
        <f t="shared" si="657"/>
        <v>0.00 </v>
      </c>
      <c r="M270" s="132">
        <v>90.0</v>
      </c>
      <c r="N270" s="157">
        <v>486.69</v>
      </c>
      <c r="O270" s="158">
        <v>1440.0</v>
      </c>
      <c r="P270" s="159" t="str">
        <f t="shared" si="658"/>
        <v>1,440.00</v>
      </c>
      <c r="Q270" s="160">
        <v>1499.0</v>
      </c>
      <c r="R270" s="161">
        <v>0.26</v>
      </c>
      <c r="S270" s="162" t="str">
        <f t="shared" si="659"/>
        <v>1,065.60</v>
      </c>
      <c r="T270" s="163" t="str">
        <f t="shared" si="660"/>
        <v>60.00</v>
      </c>
      <c r="U270" s="164" t="str">
        <f t="shared" si="661"/>
        <v>79.67</v>
      </c>
      <c r="V270" s="165" t="str">
        <f t="shared" si="662"/>
        <v>0.00</v>
      </c>
      <c r="W270" s="166">
        <v>0.73</v>
      </c>
      <c r="X270" s="167" t="str">
        <f t="shared" si="663"/>
        <v>76</v>
      </c>
      <c r="Y270" s="168" t="str">
        <f t="shared" si="664"/>
        <v>468.000</v>
      </c>
      <c r="Z270" s="168" t="str">
        <f t="shared" si="665"/>
        <v>42.517</v>
      </c>
      <c r="AA270" s="164" t="str">
        <f t="shared" si="666"/>
        <v>2.78</v>
      </c>
      <c r="AB270" s="164">
        <v>94.44</v>
      </c>
      <c r="AC270" s="164" t="str">
        <f t="shared" si="667"/>
        <v>4.80</v>
      </c>
      <c r="AD270" s="165" t="str">
        <f t="shared" si="668"/>
        <v>144.00</v>
      </c>
      <c r="AE270" s="23"/>
      <c r="AF270" s="169" t="str">
        <f t="shared" si="669"/>
        <v>0</v>
      </c>
      <c r="AG270" s="163" t="str">
        <f t="shared" si="670"/>
        <v>75.54</v>
      </c>
      <c r="AH270" s="170" t="str">
        <f t="shared" si="671"/>
        <v>15.52%</v>
      </c>
      <c r="AI270" s="26"/>
      <c r="AJ270" s="171" t="str">
        <f t="shared" si="672"/>
        <v>0.00%</v>
      </c>
      <c r="AK270" s="172" t="str">
        <f t="shared" si="673"/>
        <v>0.00</v>
      </c>
      <c r="AL270" s="173" t="str">
        <f t="shared" si="674"/>
        <v>1,384.90</v>
      </c>
      <c r="AM270" s="174" t="str">
        <f t="shared" si="675"/>
        <v>983.28</v>
      </c>
    </row>
    <row r="271" ht="12.75" customHeight="1">
      <c r="A271" s="26"/>
      <c r="B271" s="190" t="s">
        <v>527</v>
      </c>
      <c r="C271" s="199">
        <v>1.5117588E8</v>
      </c>
      <c r="D271" s="152" t="s">
        <v>528</v>
      </c>
      <c r="E271" s="53" t="s">
        <v>77</v>
      </c>
      <c r="F271" s="154">
        <v>1.0</v>
      </c>
      <c r="G271" s="53"/>
      <c r="H271" s="53" t="str">
        <f t="shared" si="653"/>
        <v>0.00069</v>
      </c>
      <c r="I271" s="53" t="str">
        <f t="shared" si="654"/>
        <v>89</v>
      </c>
      <c r="J271" s="53" t="str">
        <f t="shared" si="655"/>
        <v>0</v>
      </c>
      <c r="K271" s="155" t="str">
        <f t="shared" si="656"/>
        <v>0.00</v>
      </c>
      <c r="L271" s="156" t="str">
        <f t="shared" si="657"/>
        <v>0.00 </v>
      </c>
      <c r="M271" s="132">
        <v>90.0</v>
      </c>
      <c r="N271" s="175">
        <v>387.67</v>
      </c>
      <c r="O271" s="158">
        <v>1140.0</v>
      </c>
      <c r="P271" s="159" t="str">
        <f t="shared" si="658"/>
        <v>1,140.00</v>
      </c>
      <c r="Q271" s="160">
        <v>1120.0</v>
      </c>
      <c r="R271" s="161">
        <v>0.26</v>
      </c>
      <c r="S271" s="162" t="str">
        <f t="shared" si="659"/>
        <v>843.60</v>
      </c>
      <c r="T271" s="163" t="str">
        <f t="shared" si="660"/>
        <v>60.00</v>
      </c>
      <c r="U271" s="164" t="str">
        <f t="shared" si="661"/>
        <v>63.07</v>
      </c>
      <c r="V271" s="165" t="str">
        <f t="shared" si="662"/>
        <v>0.00</v>
      </c>
      <c r="W271" s="166">
        <v>0.41</v>
      </c>
      <c r="X271" s="167" t="str">
        <f t="shared" si="663"/>
        <v>76</v>
      </c>
      <c r="Y271" s="168" t="str">
        <f t="shared" si="664"/>
        <v>370.500</v>
      </c>
      <c r="Z271" s="168" t="str">
        <f t="shared" si="665"/>
        <v>33.660</v>
      </c>
      <c r="AA271" s="164" t="str">
        <f t="shared" si="666"/>
        <v>1.47</v>
      </c>
      <c r="AB271" s="164">
        <v>97.06</v>
      </c>
      <c r="AC271" s="164" t="str">
        <f t="shared" si="667"/>
        <v>4.80</v>
      </c>
      <c r="AD271" s="165" t="str">
        <f t="shared" si="668"/>
        <v>114.00</v>
      </c>
      <c r="AE271" s="23"/>
      <c r="AF271" s="169" t="str">
        <f t="shared" si="669"/>
        <v>0</v>
      </c>
      <c r="AG271" s="163" t="str">
        <f t="shared" si="670"/>
        <v>28.83</v>
      </c>
      <c r="AH271" s="170" t="str">
        <f t="shared" si="671"/>
        <v>7.44%</v>
      </c>
      <c r="AI271" s="26"/>
      <c r="AJ271" s="171" t="str">
        <f t="shared" si="672"/>
        <v>0.00%</v>
      </c>
      <c r="AK271" s="172" t="str">
        <f t="shared" si="673"/>
        <v>0.00</v>
      </c>
      <c r="AL271" s="173" t="str">
        <f t="shared" si="674"/>
        <v>1,164.45</v>
      </c>
      <c r="AM271" s="174" t="str">
        <f t="shared" si="675"/>
        <v>826.76</v>
      </c>
    </row>
    <row r="272" ht="12.75" customHeight="1">
      <c r="A272" s="26"/>
      <c r="B272" s="190" t="s">
        <v>529</v>
      </c>
      <c r="C272" s="199">
        <v>1.79611304E8</v>
      </c>
      <c r="D272" s="152" t="s">
        <v>530</v>
      </c>
      <c r="E272" s="53" t="s">
        <v>77</v>
      </c>
      <c r="F272" s="154">
        <v>1.0</v>
      </c>
      <c r="G272" s="53"/>
      <c r="H272" s="53" t="str">
        <f t="shared" si="653"/>
        <v>0.00069</v>
      </c>
      <c r="I272" s="53" t="str">
        <f t="shared" si="654"/>
        <v>89</v>
      </c>
      <c r="J272" s="53" t="str">
        <f t="shared" si="655"/>
        <v>0</v>
      </c>
      <c r="K272" s="155" t="str">
        <f t="shared" si="656"/>
        <v>0.00</v>
      </c>
      <c r="L272" s="156" t="str">
        <f t="shared" si="657"/>
        <v>0.00 </v>
      </c>
      <c r="M272" s="132">
        <v>90.0</v>
      </c>
      <c r="N272" s="157">
        <v>415.46</v>
      </c>
      <c r="O272" s="158">
        <v>1350.0</v>
      </c>
      <c r="P272" s="159" t="str">
        <f t="shared" si="658"/>
        <v>1,350.00</v>
      </c>
      <c r="Q272" s="160">
        <v>1100.0</v>
      </c>
      <c r="R272" s="161">
        <v>0.26</v>
      </c>
      <c r="S272" s="162" t="str">
        <f t="shared" si="659"/>
        <v>999.00</v>
      </c>
      <c r="T272" s="163" t="str">
        <f t="shared" si="660"/>
        <v>60.00</v>
      </c>
      <c r="U272" s="164" t="str">
        <f t="shared" si="661"/>
        <v>74.69</v>
      </c>
      <c r="V272" s="165" t="str">
        <f t="shared" si="662"/>
        <v>0.00</v>
      </c>
      <c r="W272" s="166">
        <v>0.41</v>
      </c>
      <c r="X272" s="167" t="str">
        <f t="shared" si="663"/>
        <v>76</v>
      </c>
      <c r="Y272" s="168" t="str">
        <f t="shared" si="664"/>
        <v>438.750</v>
      </c>
      <c r="Z272" s="168" t="str">
        <f t="shared" si="665"/>
        <v>39.860</v>
      </c>
      <c r="AA272" s="164" t="str">
        <f t="shared" si="666"/>
        <v>1.53</v>
      </c>
      <c r="AB272" s="164">
        <v>96.95</v>
      </c>
      <c r="AC272" s="164" t="str">
        <f t="shared" si="667"/>
        <v>4.80</v>
      </c>
      <c r="AD272" s="165" t="str">
        <f t="shared" si="668"/>
        <v>135.00</v>
      </c>
      <c r="AE272" s="23"/>
      <c r="AF272" s="169" t="str">
        <f t="shared" si="669"/>
        <v>0</v>
      </c>
      <c r="AG272" s="163" t="str">
        <f t="shared" si="670"/>
        <v>103.91</v>
      </c>
      <c r="AH272" s="170" t="str">
        <f t="shared" si="671"/>
        <v>25.01%</v>
      </c>
      <c r="AI272" s="26"/>
      <c r="AJ272" s="171" t="str">
        <f t="shared" si="672"/>
        <v>0.00%</v>
      </c>
      <c r="AK272" s="172" t="str">
        <f t="shared" si="673"/>
        <v>0.00</v>
      </c>
      <c r="AL272" s="173" t="str">
        <f t="shared" si="674"/>
        <v>1,225.63</v>
      </c>
      <c r="AM272" s="174" t="str">
        <f t="shared" si="675"/>
        <v>870.20</v>
      </c>
    </row>
    <row r="273" ht="12.75" customHeight="1">
      <c r="A273" s="26"/>
      <c r="B273" s="190" t="s">
        <v>531</v>
      </c>
      <c r="C273" s="199">
        <v>1.79611318E8</v>
      </c>
      <c r="D273" s="152" t="s">
        <v>532</v>
      </c>
      <c r="E273" s="53" t="s">
        <v>77</v>
      </c>
      <c r="F273" s="154">
        <v>1.0</v>
      </c>
      <c r="G273" s="53"/>
      <c r="H273" s="53" t="str">
        <f t="shared" si="653"/>
        <v>0.00069</v>
      </c>
      <c r="I273" s="53" t="str">
        <f t="shared" si="654"/>
        <v>89</v>
      </c>
      <c r="J273" s="53" t="str">
        <f t="shared" si="655"/>
        <v>0</v>
      </c>
      <c r="K273" s="155" t="str">
        <f t="shared" si="656"/>
        <v>0.00</v>
      </c>
      <c r="L273" s="156" t="str">
        <f t="shared" si="657"/>
        <v>0.00 </v>
      </c>
      <c r="M273" s="132">
        <v>90.0</v>
      </c>
      <c r="N273" s="157">
        <v>415.46</v>
      </c>
      <c r="O273" s="158">
        <v>1350.0</v>
      </c>
      <c r="P273" s="159" t="str">
        <f t="shared" si="658"/>
        <v>1,350.00</v>
      </c>
      <c r="Q273" s="160">
        <v>1105.0</v>
      </c>
      <c r="R273" s="161">
        <v>0.26</v>
      </c>
      <c r="S273" s="162" t="str">
        <f t="shared" si="659"/>
        <v>999.00</v>
      </c>
      <c r="T273" s="163" t="str">
        <f t="shared" si="660"/>
        <v>60.00</v>
      </c>
      <c r="U273" s="164" t="str">
        <f t="shared" si="661"/>
        <v>74.69</v>
      </c>
      <c r="V273" s="165" t="str">
        <f t="shared" si="662"/>
        <v>0.00</v>
      </c>
      <c r="W273" s="166">
        <v>0.41</v>
      </c>
      <c r="X273" s="167" t="str">
        <f t="shared" si="663"/>
        <v>76</v>
      </c>
      <c r="Y273" s="168" t="str">
        <f t="shared" si="664"/>
        <v>438.750</v>
      </c>
      <c r="Z273" s="168" t="str">
        <f t="shared" si="665"/>
        <v>39.860</v>
      </c>
      <c r="AA273" s="164" t="str">
        <f t="shared" si="666"/>
        <v>1.52</v>
      </c>
      <c r="AB273" s="164">
        <v>96.97</v>
      </c>
      <c r="AC273" s="164" t="str">
        <f t="shared" si="667"/>
        <v>4.80</v>
      </c>
      <c r="AD273" s="165" t="str">
        <f t="shared" si="668"/>
        <v>135.00</v>
      </c>
      <c r="AE273" s="23"/>
      <c r="AF273" s="169" t="str">
        <f t="shared" si="669"/>
        <v>0</v>
      </c>
      <c r="AG273" s="163" t="str">
        <f t="shared" si="670"/>
        <v>103.92</v>
      </c>
      <c r="AH273" s="170" t="str">
        <f t="shared" si="671"/>
        <v>25.01%</v>
      </c>
      <c r="AI273" s="26"/>
      <c r="AJ273" s="171" t="str">
        <f t="shared" si="672"/>
        <v>0.00%</v>
      </c>
      <c r="AK273" s="172" t="str">
        <f t="shared" si="673"/>
        <v>0.00</v>
      </c>
      <c r="AL273" s="173" t="str">
        <f t="shared" si="674"/>
        <v>1,225.61</v>
      </c>
      <c r="AM273" s="174" t="str">
        <f t="shared" si="675"/>
        <v>870.18</v>
      </c>
    </row>
    <row r="274" ht="12.75" customHeight="1">
      <c r="A274" s="26"/>
      <c r="B274" s="190" t="s">
        <v>533</v>
      </c>
      <c r="C274" s="199">
        <v>1.79611231E8</v>
      </c>
      <c r="D274" s="152" t="s">
        <v>534</v>
      </c>
      <c r="E274" s="53" t="s">
        <v>77</v>
      </c>
      <c r="F274" s="154">
        <v>1.0</v>
      </c>
      <c r="G274" s="53"/>
      <c r="H274" s="53" t="str">
        <f t="shared" si="653"/>
        <v>0.00069</v>
      </c>
      <c r="I274" s="53" t="str">
        <f t="shared" si="654"/>
        <v>89</v>
      </c>
      <c r="J274" s="53" t="str">
        <f t="shared" si="655"/>
        <v>0</v>
      </c>
      <c r="K274" s="155" t="str">
        <f t="shared" si="656"/>
        <v>0.00</v>
      </c>
      <c r="L274" s="156" t="str">
        <f t="shared" si="657"/>
        <v>0.00 </v>
      </c>
      <c r="M274" s="132">
        <v>90.0</v>
      </c>
      <c r="N274" s="157">
        <v>385.05</v>
      </c>
      <c r="O274" s="158">
        <v>1275.0</v>
      </c>
      <c r="P274" s="159" t="str">
        <f t="shared" si="658"/>
        <v>1,275.00</v>
      </c>
      <c r="Q274" s="160">
        <v>1230.0</v>
      </c>
      <c r="R274" s="161">
        <v>0.26</v>
      </c>
      <c r="S274" s="162" t="str">
        <f t="shared" si="659"/>
        <v>943.50</v>
      </c>
      <c r="T274" s="163" t="str">
        <f t="shared" si="660"/>
        <v>60.00</v>
      </c>
      <c r="U274" s="164" t="str">
        <f t="shared" si="661"/>
        <v>70.54</v>
      </c>
      <c r="V274" s="165" t="str">
        <f t="shared" si="662"/>
        <v>0.00</v>
      </c>
      <c r="W274" s="166">
        <v>0.41</v>
      </c>
      <c r="X274" s="167" t="str">
        <f t="shared" si="663"/>
        <v>76</v>
      </c>
      <c r="Y274" s="168" t="str">
        <f t="shared" si="664"/>
        <v>414.375</v>
      </c>
      <c r="Z274" s="168" t="str">
        <f t="shared" si="665"/>
        <v>37.646</v>
      </c>
      <c r="AA274" s="164" t="str">
        <f t="shared" si="666"/>
        <v>2.18</v>
      </c>
      <c r="AB274" s="164">
        <v>95.65</v>
      </c>
      <c r="AC274" s="164" t="str">
        <f t="shared" si="667"/>
        <v>4.80</v>
      </c>
      <c r="AD274" s="165" t="str">
        <f t="shared" si="668"/>
        <v>127.50</v>
      </c>
      <c r="AE274" s="23"/>
      <c r="AF274" s="169" t="str">
        <f t="shared" si="669"/>
        <v>0</v>
      </c>
      <c r="AG274" s="163" t="str">
        <f t="shared" si="670"/>
        <v>96.91</v>
      </c>
      <c r="AH274" s="170" t="str">
        <f t="shared" si="671"/>
        <v>25.17%</v>
      </c>
      <c r="AI274" s="26"/>
      <c r="AJ274" s="171" t="str">
        <f t="shared" si="672"/>
        <v>0.00%</v>
      </c>
      <c r="AK274" s="172" t="str">
        <f t="shared" si="673"/>
        <v>0.00</v>
      </c>
      <c r="AL274" s="173" t="str">
        <f t="shared" si="674"/>
        <v>1,160.24</v>
      </c>
      <c r="AM274" s="174" t="str">
        <f t="shared" si="675"/>
        <v>823.77</v>
      </c>
    </row>
    <row r="275" ht="12.75" customHeight="1">
      <c r="A275" s="26"/>
      <c r="B275" s="190" t="s">
        <v>535</v>
      </c>
      <c r="C275" s="199">
        <v>1.80711041E8</v>
      </c>
      <c r="D275" s="152" t="s">
        <v>536</v>
      </c>
      <c r="E275" s="53"/>
      <c r="F275" s="154">
        <v>1.0</v>
      </c>
      <c r="G275" s="53"/>
      <c r="H275" s="53" t="str">
        <f t="shared" si="653"/>
        <v>0.00069</v>
      </c>
      <c r="I275" s="53" t="str">
        <f t="shared" si="654"/>
        <v>89</v>
      </c>
      <c r="J275" s="53" t="str">
        <f t="shared" si="655"/>
        <v>0</v>
      </c>
      <c r="K275" s="155" t="str">
        <f t="shared" si="656"/>
        <v>0.00</v>
      </c>
      <c r="L275" s="156" t="str">
        <f t="shared" si="657"/>
        <v>0.00 </v>
      </c>
      <c r="M275" s="132">
        <v>90.0</v>
      </c>
      <c r="N275" s="157">
        <v>385.05</v>
      </c>
      <c r="O275" s="158">
        <v>1350.0</v>
      </c>
      <c r="P275" s="159" t="str">
        <f t="shared" si="658"/>
        <v>1,350.00</v>
      </c>
      <c r="Q275" s="160">
        <v>1351.0</v>
      </c>
      <c r="R275" s="161">
        <v>0.26</v>
      </c>
      <c r="S275" s="162" t="str">
        <f t="shared" si="659"/>
        <v>999.00</v>
      </c>
      <c r="T275" s="163" t="str">
        <f t="shared" si="660"/>
        <v>60.00</v>
      </c>
      <c r="U275" s="164" t="str">
        <f t="shared" si="661"/>
        <v>74.69</v>
      </c>
      <c r="V275" s="165" t="str">
        <f t="shared" si="662"/>
        <v>0.00</v>
      </c>
      <c r="W275" s="166">
        <v>0.41</v>
      </c>
      <c r="X275" s="167" t="str">
        <f t="shared" si="663"/>
        <v>76</v>
      </c>
      <c r="Y275" s="168" t="str">
        <f t="shared" si="664"/>
        <v>438.750</v>
      </c>
      <c r="Z275" s="168" t="str">
        <f t="shared" si="665"/>
        <v>39.860</v>
      </c>
      <c r="AA275" s="164" t="str">
        <f t="shared" si="666"/>
        <v>1.32</v>
      </c>
      <c r="AB275" s="164">
        <v>97.37</v>
      </c>
      <c r="AC275" s="164" t="str">
        <f t="shared" si="667"/>
        <v>4.80</v>
      </c>
      <c r="AD275" s="165" t="str">
        <f t="shared" si="668"/>
        <v>135.00</v>
      </c>
      <c r="AE275" s="23"/>
      <c r="AF275" s="169" t="str">
        <f t="shared" si="669"/>
        <v>0</v>
      </c>
      <c r="AG275" s="163" t="str">
        <f t="shared" si="670"/>
        <v>134.53</v>
      </c>
      <c r="AH275" s="170" t="str">
        <f t="shared" si="671"/>
        <v>34.94%</v>
      </c>
      <c r="AI275" s="26"/>
      <c r="AJ275" s="171" t="str">
        <f t="shared" si="672"/>
        <v>0.00%</v>
      </c>
      <c r="AK275" s="172" t="str">
        <f t="shared" si="673"/>
        <v>0.00</v>
      </c>
      <c r="AL275" s="173" t="str">
        <f t="shared" si="674"/>
        <v>1,158.35</v>
      </c>
      <c r="AM275" s="174" t="str">
        <f t="shared" si="675"/>
        <v>822.43</v>
      </c>
    </row>
    <row r="276" ht="12.75" customHeight="1">
      <c r="A276" s="26"/>
      <c r="B276" s="190" t="s">
        <v>537</v>
      </c>
      <c r="C276" s="199">
        <v>1.80711104E8</v>
      </c>
      <c r="D276" s="152" t="s">
        <v>538</v>
      </c>
      <c r="E276" s="53" t="s">
        <v>77</v>
      </c>
      <c r="F276" s="154">
        <v>1.0</v>
      </c>
      <c r="G276" s="53"/>
      <c r="H276" s="53" t="str">
        <f t="shared" si="653"/>
        <v>0.00069</v>
      </c>
      <c r="I276" s="53" t="str">
        <f t="shared" si="654"/>
        <v>89</v>
      </c>
      <c r="J276" s="53" t="str">
        <f t="shared" si="655"/>
        <v>0</v>
      </c>
      <c r="K276" s="155" t="str">
        <f t="shared" si="656"/>
        <v>0.00</v>
      </c>
      <c r="L276" s="156" t="str">
        <f t="shared" si="657"/>
        <v>0.00 </v>
      </c>
      <c r="M276" s="132">
        <v>90.0</v>
      </c>
      <c r="N276" s="157">
        <v>415.46</v>
      </c>
      <c r="O276" s="158">
        <v>1350.0</v>
      </c>
      <c r="P276" s="159" t="str">
        <f t="shared" si="658"/>
        <v>1,350.00</v>
      </c>
      <c r="Q276" s="160">
        <v>1118.0</v>
      </c>
      <c r="R276" s="161">
        <v>0.26</v>
      </c>
      <c r="S276" s="162" t="str">
        <f t="shared" si="659"/>
        <v>999.00</v>
      </c>
      <c r="T276" s="163" t="str">
        <f t="shared" si="660"/>
        <v>60.00</v>
      </c>
      <c r="U276" s="164" t="str">
        <f t="shared" si="661"/>
        <v>74.69</v>
      </c>
      <c r="V276" s="165" t="str">
        <f t="shared" si="662"/>
        <v>0.00</v>
      </c>
      <c r="W276" s="166">
        <v>0.41</v>
      </c>
      <c r="X276" s="167" t="str">
        <f t="shared" si="663"/>
        <v>76</v>
      </c>
      <c r="Y276" s="168" t="str">
        <f t="shared" si="664"/>
        <v>438.750</v>
      </c>
      <c r="Z276" s="168" t="str">
        <f t="shared" si="665"/>
        <v>39.860</v>
      </c>
      <c r="AA276" s="164" t="str">
        <f t="shared" si="666"/>
        <v>1.82</v>
      </c>
      <c r="AB276" s="164">
        <v>96.36</v>
      </c>
      <c r="AC276" s="164" t="str">
        <f t="shared" si="667"/>
        <v>4.80</v>
      </c>
      <c r="AD276" s="165" t="str">
        <f t="shared" si="668"/>
        <v>135.00</v>
      </c>
      <c r="AE276" s="23"/>
      <c r="AF276" s="169" t="str">
        <f t="shared" si="669"/>
        <v>0</v>
      </c>
      <c r="AG276" s="163" t="str">
        <f t="shared" si="670"/>
        <v>103.62</v>
      </c>
      <c r="AH276" s="170" t="str">
        <f t="shared" si="671"/>
        <v>24.94%</v>
      </c>
      <c r="AI276" s="26"/>
      <c r="AJ276" s="171" t="str">
        <f t="shared" si="672"/>
        <v>0.00%</v>
      </c>
      <c r="AK276" s="172" t="str">
        <f t="shared" si="673"/>
        <v>0.00</v>
      </c>
      <c r="AL276" s="173" t="str">
        <f t="shared" si="674"/>
        <v>1,226.28</v>
      </c>
      <c r="AM276" s="174" t="str">
        <f t="shared" si="675"/>
        <v>870.66</v>
      </c>
    </row>
    <row r="277" ht="12.75" customHeight="1">
      <c r="A277" s="26"/>
      <c r="B277" s="190" t="s">
        <v>539</v>
      </c>
      <c r="C277" s="199">
        <v>1.79611207E8</v>
      </c>
      <c r="D277" s="152" t="s">
        <v>540</v>
      </c>
      <c r="E277" s="53" t="s">
        <v>77</v>
      </c>
      <c r="F277" s="154">
        <v>1.0</v>
      </c>
      <c r="G277" s="53"/>
      <c r="H277" s="53" t="str">
        <f t="shared" si="653"/>
        <v>0.00069</v>
      </c>
      <c r="I277" s="53" t="str">
        <f t="shared" si="654"/>
        <v>89</v>
      </c>
      <c r="J277" s="53" t="str">
        <f t="shared" si="655"/>
        <v>0</v>
      </c>
      <c r="K277" s="155" t="str">
        <f t="shared" si="656"/>
        <v>0.00</v>
      </c>
      <c r="L277" s="156" t="str">
        <f t="shared" si="657"/>
        <v>0.00 </v>
      </c>
      <c r="M277" s="132">
        <v>90.0</v>
      </c>
      <c r="N277" s="157">
        <v>415.46</v>
      </c>
      <c r="O277" s="158">
        <v>1350.0</v>
      </c>
      <c r="P277" s="159" t="str">
        <f t="shared" si="658"/>
        <v>1,350.00</v>
      </c>
      <c r="Q277" s="160">
        <v>1080.0</v>
      </c>
      <c r="R277" s="161">
        <v>0.26</v>
      </c>
      <c r="S277" s="162" t="str">
        <f t="shared" si="659"/>
        <v>999.00</v>
      </c>
      <c r="T277" s="163" t="str">
        <f t="shared" si="660"/>
        <v>60.00</v>
      </c>
      <c r="U277" s="164" t="str">
        <f t="shared" si="661"/>
        <v>74.69</v>
      </c>
      <c r="V277" s="165" t="str">
        <f t="shared" si="662"/>
        <v>0.00</v>
      </c>
      <c r="W277" s="166">
        <v>0.41</v>
      </c>
      <c r="X277" s="167" t="str">
        <f t="shared" si="663"/>
        <v>76</v>
      </c>
      <c r="Y277" s="168" t="str">
        <f t="shared" si="664"/>
        <v>438.750</v>
      </c>
      <c r="Z277" s="168" t="str">
        <f t="shared" si="665"/>
        <v>39.860</v>
      </c>
      <c r="AA277" s="164" t="str">
        <f t="shared" si="666"/>
        <v>1.22</v>
      </c>
      <c r="AB277" s="164">
        <v>97.56</v>
      </c>
      <c r="AC277" s="164" t="str">
        <f t="shared" si="667"/>
        <v>4.80</v>
      </c>
      <c r="AD277" s="165" t="str">
        <f t="shared" si="668"/>
        <v>135.00</v>
      </c>
      <c r="AE277" s="23"/>
      <c r="AF277" s="169" t="str">
        <f t="shared" si="669"/>
        <v>0</v>
      </c>
      <c r="AG277" s="163" t="str">
        <f t="shared" si="670"/>
        <v>104.22</v>
      </c>
      <c r="AH277" s="170" t="str">
        <f t="shared" si="671"/>
        <v>25.09%</v>
      </c>
      <c r="AI277" s="26"/>
      <c r="AJ277" s="171" t="str">
        <f t="shared" si="672"/>
        <v>0.00%</v>
      </c>
      <c r="AK277" s="172" t="str">
        <f t="shared" si="673"/>
        <v>0.00</v>
      </c>
      <c r="AL277" s="173" t="str">
        <f t="shared" si="674"/>
        <v>1,224.96</v>
      </c>
      <c r="AM277" s="174" t="str">
        <f t="shared" si="675"/>
        <v>869.72</v>
      </c>
    </row>
    <row r="278" ht="12.75" customHeight="1">
      <c r="A278" s="26"/>
      <c r="B278" s="190" t="s">
        <v>541</v>
      </c>
      <c r="C278" s="199">
        <v>1.80987509E8</v>
      </c>
      <c r="D278" s="152" t="s">
        <v>542</v>
      </c>
      <c r="E278" s="53" t="s">
        <v>77</v>
      </c>
      <c r="F278" s="154">
        <v>1.0</v>
      </c>
      <c r="G278" s="53"/>
      <c r="H278" s="53" t="str">
        <f t="shared" si="653"/>
        <v>0.00069</v>
      </c>
      <c r="I278" s="53" t="str">
        <f t="shared" si="654"/>
        <v>89</v>
      </c>
      <c r="J278" s="53" t="str">
        <f t="shared" si="655"/>
        <v>0</v>
      </c>
      <c r="K278" s="155" t="str">
        <f t="shared" si="656"/>
        <v>0.00</v>
      </c>
      <c r="L278" s="156" t="str">
        <f t="shared" si="657"/>
        <v>0.00 </v>
      </c>
      <c r="M278" s="132">
        <v>90.0</v>
      </c>
      <c r="N278" s="157">
        <v>486.69</v>
      </c>
      <c r="O278" s="158">
        <v>1500.0</v>
      </c>
      <c r="P278" s="159" t="str">
        <f t="shared" si="658"/>
        <v>1,500.00</v>
      </c>
      <c r="Q278" s="160">
        <v>1119.0</v>
      </c>
      <c r="R278" s="161">
        <v>0.26</v>
      </c>
      <c r="S278" s="162" t="str">
        <f t="shared" si="659"/>
        <v>1,110.00</v>
      </c>
      <c r="T278" s="163" t="str">
        <f t="shared" si="660"/>
        <v>60.00</v>
      </c>
      <c r="U278" s="164" t="str">
        <f t="shared" si="661"/>
        <v>82.99</v>
      </c>
      <c r="V278" s="165" t="str">
        <f t="shared" si="662"/>
        <v>0.00</v>
      </c>
      <c r="W278" s="166">
        <v>0.66</v>
      </c>
      <c r="X278" s="167" t="str">
        <f t="shared" si="663"/>
        <v>76</v>
      </c>
      <c r="Y278" s="168" t="str">
        <f t="shared" si="664"/>
        <v>487.500</v>
      </c>
      <c r="Z278" s="168" t="str">
        <f t="shared" si="665"/>
        <v>44.289</v>
      </c>
      <c r="AA278" s="164" t="str">
        <f t="shared" si="666"/>
        <v>1.37</v>
      </c>
      <c r="AB278" s="164">
        <v>97.26</v>
      </c>
      <c r="AC278" s="164" t="str">
        <f t="shared" si="667"/>
        <v>4.80</v>
      </c>
      <c r="AD278" s="165" t="str">
        <f t="shared" si="668"/>
        <v>150.00</v>
      </c>
      <c r="AE278" s="23"/>
      <c r="AF278" s="169" t="str">
        <f t="shared" si="669"/>
        <v>0</v>
      </c>
      <c r="AG278" s="163" t="str">
        <f t="shared" si="670"/>
        <v>106.36</v>
      </c>
      <c r="AH278" s="170" t="str">
        <f t="shared" si="671"/>
        <v>21.85%</v>
      </c>
      <c r="AI278" s="26"/>
      <c r="AJ278" s="171" t="str">
        <f t="shared" si="672"/>
        <v>0.00%</v>
      </c>
      <c r="AK278" s="172" t="str">
        <f t="shared" si="673"/>
        <v>0.00</v>
      </c>
      <c r="AL278" s="173" t="str">
        <f t="shared" si="674"/>
        <v>1,381.81</v>
      </c>
      <c r="AM278" s="174" t="str">
        <f t="shared" si="675"/>
        <v>981.08</v>
      </c>
    </row>
    <row r="279" ht="12.75" customHeight="1">
      <c r="A279" s="26"/>
      <c r="B279" s="190" t="s">
        <v>543</v>
      </c>
      <c r="C279" s="216"/>
      <c r="D279" s="152" t="s">
        <v>544</v>
      </c>
      <c r="E279" s="53" t="s">
        <v>77</v>
      </c>
      <c r="F279" s="154">
        <v>1.0</v>
      </c>
      <c r="G279" s="53"/>
      <c r="H279" s="53" t="str">
        <f t="shared" si="653"/>
        <v>0.00069</v>
      </c>
      <c r="I279" s="53" t="str">
        <f t="shared" si="654"/>
        <v>89</v>
      </c>
      <c r="J279" s="53" t="str">
        <f t="shared" si="655"/>
        <v>0</v>
      </c>
      <c r="K279" s="155" t="str">
        <f t="shared" si="656"/>
        <v>0.00</v>
      </c>
      <c r="L279" s="156" t="str">
        <f t="shared" si="657"/>
        <v>0.00 </v>
      </c>
      <c r="M279" s="132">
        <v>90.0</v>
      </c>
      <c r="N279" s="157">
        <v>0.0</v>
      </c>
      <c r="O279" s="158"/>
      <c r="P279" s="159" t="str">
        <f t="shared" ref="P279:P280" si="676">AL279</f>
        <v>0.00</v>
      </c>
      <c r="Q279" s="160"/>
      <c r="R279" s="161">
        <v>0.26</v>
      </c>
      <c r="S279" s="162" t="str">
        <f t="shared" si="659"/>
        <v>0.00</v>
      </c>
      <c r="T279" s="163">
        <v>0.0</v>
      </c>
      <c r="U279" s="164" t="str">
        <f t="shared" si="661"/>
        <v>0.00</v>
      </c>
      <c r="V279" s="165" t="str">
        <f t="shared" si="662"/>
        <v>0.00</v>
      </c>
      <c r="W279" s="166"/>
      <c r="X279" s="167"/>
      <c r="Y279" s="168" t="str">
        <f t="shared" si="664"/>
        <v>0.000</v>
      </c>
      <c r="Z279" s="168" t="str">
        <f t="shared" si="665"/>
        <v>0.000</v>
      </c>
      <c r="AA279" s="164" t="str">
        <f t="shared" si="666"/>
        <v>0.00</v>
      </c>
      <c r="AB279" s="164">
        <v>100.0</v>
      </c>
      <c r="AC279" s="164" t="str">
        <f t="shared" si="667"/>
        <v>0.00</v>
      </c>
      <c r="AD279" s="165" t="str">
        <f t="shared" si="668"/>
        <v>0.00</v>
      </c>
      <c r="AE279" s="23"/>
      <c r="AF279" s="169" t="str">
        <f t="shared" si="669"/>
        <v>0</v>
      </c>
      <c r="AG279" s="163" t="str">
        <f t="shared" si="670"/>
        <v>0.00</v>
      </c>
      <c r="AH279" s="170" t="str">
        <f t="shared" si="671"/>
        <v>#DIV/0!</v>
      </c>
      <c r="AI279" s="26"/>
      <c r="AJ279" s="171" t="str">
        <f t="shared" si="672"/>
        <v>0.00%</v>
      </c>
      <c r="AK279" s="172" t="str">
        <f t="shared" si="673"/>
        <v>0.00</v>
      </c>
      <c r="AL279" s="173" t="str">
        <f t="shared" si="674"/>
        <v>0.00</v>
      </c>
      <c r="AM279" s="174" t="str">
        <f t="shared" si="675"/>
        <v>0.00</v>
      </c>
    </row>
    <row r="280" ht="12.75" customHeight="1">
      <c r="A280" s="26"/>
      <c r="B280" s="190" t="s">
        <v>545</v>
      </c>
      <c r="C280" s="216"/>
      <c r="D280" s="152" t="s">
        <v>546</v>
      </c>
      <c r="E280" s="53" t="s">
        <v>77</v>
      </c>
      <c r="F280" s="154">
        <v>1.0</v>
      </c>
      <c r="G280" s="53"/>
      <c r="H280" s="53" t="str">
        <f t="shared" si="653"/>
        <v>0.00069</v>
      </c>
      <c r="I280" s="53" t="str">
        <f t="shared" si="654"/>
        <v>89</v>
      </c>
      <c r="J280" s="53" t="str">
        <f t="shared" si="655"/>
        <v>0</v>
      </c>
      <c r="K280" s="155" t="str">
        <f t="shared" si="656"/>
        <v>0.00</v>
      </c>
      <c r="L280" s="156" t="str">
        <f t="shared" si="657"/>
        <v>0.00 </v>
      </c>
      <c r="M280" s="132">
        <v>90.0</v>
      </c>
      <c r="N280" s="157">
        <v>0.0</v>
      </c>
      <c r="O280" s="158"/>
      <c r="P280" s="159" t="str">
        <f t="shared" si="676"/>
        <v>0.00</v>
      </c>
      <c r="Q280" s="160"/>
      <c r="R280" s="161">
        <v>0.26</v>
      </c>
      <c r="S280" s="162" t="str">
        <f t="shared" si="659"/>
        <v>0.00</v>
      </c>
      <c r="T280" s="163">
        <v>0.0</v>
      </c>
      <c r="U280" s="164" t="str">
        <f t="shared" si="661"/>
        <v>0.00</v>
      </c>
      <c r="V280" s="165" t="str">
        <f t="shared" si="662"/>
        <v>0.00</v>
      </c>
      <c r="W280" s="166"/>
      <c r="X280" s="167"/>
      <c r="Y280" s="168" t="str">
        <f t="shared" si="664"/>
        <v>0.000</v>
      </c>
      <c r="Z280" s="168" t="str">
        <f t="shared" si="665"/>
        <v>0.000</v>
      </c>
      <c r="AA280" s="164" t="str">
        <f t="shared" si="666"/>
        <v>0.00</v>
      </c>
      <c r="AB280" s="164">
        <v>100.0</v>
      </c>
      <c r="AC280" s="164" t="str">
        <f t="shared" si="667"/>
        <v>0.00</v>
      </c>
      <c r="AD280" s="165" t="str">
        <f t="shared" si="668"/>
        <v>0.00</v>
      </c>
      <c r="AE280" s="23"/>
      <c r="AF280" s="169" t="str">
        <f t="shared" si="669"/>
        <v>0</v>
      </c>
      <c r="AG280" s="163" t="str">
        <f t="shared" si="670"/>
        <v>0.00</v>
      </c>
      <c r="AH280" s="170" t="str">
        <f t="shared" si="671"/>
        <v>#DIV/0!</v>
      </c>
      <c r="AI280" s="26"/>
      <c r="AJ280" s="171" t="str">
        <f t="shared" si="672"/>
        <v>0.00%</v>
      </c>
      <c r="AK280" s="172" t="str">
        <f t="shared" si="673"/>
        <v>0.00</v>
      </c>
      <c r="AL280" s="173" t="str">
        <f t="shared" si="674"/>
        <v>0.00</v>
      </c>
      <c r="AM280" s="174" t="str">
        <f t="shared" si="675"/>
        <v>0.00</v>
      </c>
    </row>
    <row r="281" ht="12.75" customHeight="1">
      <c r="A281" s="26"/>
      <c r="B281" s="125" t="s">
        <v>547</v>
      </c>
      <c r="C281" s="126"/>
      <c r="D281" s="127"/>
      <c r="E281" s="128"/>
      <c r="F281" s="128"/>
      <c r="G281" s="128"/>
      <c r="H281" s="197"/>
      <c r="I281" s="197"/>
      <c r="J281" s="128"/>
      <c r="K281" s="130"/>
      <c r="L281" s="131"/>
      <c r="M281" s="132"/>
      <c r="N281" s="176"/>
      <c r="O281" s="134"/>
      <c r="P281" s="135"/>
      <c r="Q281" s="135"/>
      <c r="R281" s="136"/>
      <c r="S281" s="137"/>
      <c r="T281" s="177"/>
      <c r="U281" s="178"/>
      <c r="V281" s="179"/>
      <c r="W281" s="180"/>
      <c r="X281" s="181"/>
      <c r="Y281" s="182"/>
      <c r="Z281" s="182"/>
      <c r="AA281" s="178"/>
      <c r="AB281" s="178"/>
      <c r="AC281" s="178"/>
      <c r="AD281" s="179"/>
      <c r="AE281" s="183"/>
      <c r="AF281" s="184"/>
      <c r="AG281" s="177"/>
      <c r="AH281" s="185"/>
      <c r="AI281" s="26"/>
      <c r="AJ281" s="186"/>
      <c r="AK281" s="187"/>
      <c r="AL281" s="188"/>
      <c r="AM281" s="189"/>
    </row>
    <row r="282" ht="12.75" customHeight="1">
      <c r="A282" s="26"/>
      <c r="B282" s="190" t="s">
        <v>548</v>
      </c>
      <c r="C282" s="199">
        <v>2.26115324E8</v>
      </c>
      <c r="D282" s="152" t="s">
        <v>549</v>
      </c>
      <c r="E282" s="53" t="s">
        <v>372</v>
      </c>
      <c r="F282" s="154">
        <v>1.0</v>
      </c>
      <c r="G282" s="53"/>
      <c r="H282" s="53" t="str">
        <f t="shared" ref="H282:H289" si="677">$I$2</f>
        <v>0.00069</v>
      </c>
      <c r="I282" s="53" t="str">
        <f t="shared" ref="I282:I289" si="678">$I$3</f>
        <v>89</v>
      </c>
      <c r="J282" s="53" t="str">
        <f t="shared" ref="J282:J289" si="679">G282*H282*I282*F282</f>
        <v>0</v>
      </c>
      <c r="K282" s="155" t="str">
        <f t="shared" ref="K282:K289" si="680">J282*$J$4</f>
        <v>0.00</v>
      </c>
      <c r="L282" s="156" t="str">
        <f t="shared" ref="L282:L289" si="681">K282+J282</f>
        <v>0.00 </v>
      </c>
      <c r="M282" s="132">
        <v>90.0</v>
      </c>
      <c r="N282" s="175">
        <v>486.41</v>
      </c>
      <c r="O282" s="158">
        <v>1440.0</v>
      </c>
      <c r="P282" s="159" t="str">
        <f t="shared" ref="P282:P288" si="682">O282</f>
        <v>1,440.00</v>
      </c>
      <c r="Q282" s="160">
        <v>1406.0</v>
      </c>
      <c r="R282" s="161">
        <v>0.26</v>
      </c>
      <c r="S282" s="162" t="str">
        <f t="shared" ref="S282:S289" si="683">O282-(O282*R282)</f>
        <v>1,065.60</v>
      </c>
      <c r="T282" s="163" t="str">
        <f t="shared" ref="T282:T289" si="684">$C$1</f>
        <v>60.00</v>
      </c>
      <c r="U282" s="164" t="str">
        <f t="shared" ref="U282:U289" si="685">(S282*7/107)+((S282-(S282*7/107))*1%)</f>
        <v>79.67</v>
      </c>
      <c r="V282" s="165" t="str">
        <f t="shared" ref="V282:V289" si="686">N282*$C$3*(M282/30)</f>
        <v>0.00</v>
      </c>
      <c r="W282" s="166">
        <v>0.86</v>
      </c>
      <c r="X282" s="167" t="str">
        <f t="shared" ref="X282:X289" si="687">((_xlfn.CEILING.MATH(W282)-1)*$C$5+$C$4)</f>
        <v>76</v>
      </c>
      <c r="Y282" s="168" t="str">
        <f t="shared" ref="Y282:Y289" si="688">O282*$Y$6</f>
        <v>468.000</v>
      </c>
      <c r="Z282" s="168" t="str">
        <f t="shared" ref="Z282:Z289" si="689">S282*$Y$7</f>
        <v>42.517</v>
      </c>
      <c r="AA282" s="164" t="str">
        <f t="shared" ref="AA282:AA289" si="690">$Y$3*((100-AB282)/100)</f>
        <v>7.15</v>
      </c>
      <c r="AB282" s="164">
        <v>85.71</v>
      </c>
      <c r="AC282" s="164" t="str">
        <f t="shared" ref="AC282:AC289" si="691">$C$6*$C$7*_xlfn.CEILING.MATH(W282)</f>
        <v>4.80</v>
      </c>
      <c r="AD282" s="165" t="str">
        <f t="shared" ref="AD282:AD289" si="692">O282*$C$2</f>
        <v>144.00</v>
      </c>
      <c r="AE282" s="23"/>
      <c r="AF282" s="169" t="str">
        <f t="shared" ref="AF282:AF289" si="693">(_xlfn.CEILING.MATH(W282))*$Y$1*$AD$2</f>
        <v>0</v>
      </c>
      <c r="AG282" s="163" t="str">
        <f t="shared" ref="AG282:AG289" si="694">O282-T282-U282-V282-X282-Y282-Z282-AA282-AC282-AD282-N282</f>
        <v>71.46</v>
      </c>
      <c r="AH282" s="170" t="str">
        <f t="shared" ref="AH282:AH289" si="695">AG282/N282</f>
        <v>14.69%</v>
      </c>
      <c r="AI282" s="26"/>
      <c r="AJ282" s="171" t="str">
        <f t="shared" ref="AJ282:AJ289" si="696">$AD$3</f>
        <v>0.00%</v>
      </c>
      <c r="AK282" s="172" t="str">
        <f t="shared" ref="AK282:AK289" si="697">N282*AJ282</f>
        <v>0.00</v>
      </c>
      <c r="AL282" s="173" t="str">
        <f t="shared" ref="AL282:AL289" si="698">(N282+T282+V282+X282+AA282+AC282+AF282+AK282)/(100%-($C$2+$C$8+$Y$6+$Y$7))</f>
        <v>1,393.88</v>
      </c>
      <c r="AM282" s="174" t="str">
        <f t="shared" ref="AM282:AM289" si="699">AL282-(AL282*$AD$1)</f>
        <v>989.66</v>
      </c>
    </row>
    <row r="283" ht="12.75" customHeight="1">
      <c r="A283" s="26"/>
      <c r="B283" s="190" t="s">
        <v>550</v>
      </c>
      <c r="C283" s="199">
        <v>2.26114831E8</v>
      </c>
      <c r="D283" s="152" t="s">
        <v>551</v>
      </c>
      <c r="E283" s="53" t="s">
        <v>372</v>
      </c>
      <c r="F283" s="154">
        <v>1.0</v>
      </c>
      <c r="G283" s="53"/>
      <c r="H283" s="53" t="str">
        <f t="shared" si="677"/>
        <v>0.00069</v>
      </c>
      <c r="I283" s="53" t="str">
        <f t="shared" si="678"/>
        <v>89</v>
      </c>
      <c r="J283" s="53" t="str">
        <f t="shared" si="679"/>
        <v>0</v>
      </c>
      <c r="K283" s="155" t="str">
        <f t="shared" si="680"/>
        <v>0.00</v>
      </c>
      <c r="L283" s="156" t="str">
        <f t="shared" si="681"/>
        <v>0.00 </v>
      </c>
      <c r="M283" s="132">
        <v>90.0</v>
      </c>
      <c r="N283" s="175">
        <v>498.54</v>
      </c>
      <c r="O283" s="158">
        <v>1455.0</v>
      </c>
      <c r="P283" s="159" t="str">
        <f t="shared" si="682"/>
        <v>1,455.00</v>
      </c>
      <c r="Q283" s="160">
        <v>1425.0</v>
      </c>
      <c r="R283" s="161">
        <v>0.26</v>
      </c>
      <c r="S283" s="162" t="str">
        <f t="shared" si="683"/>
        <v>1,076.70</v>
      </c>
      <c r="T283" s="163" t="str">
        <f t="shared" si="684"/>
        <v>60.00</v>
      </c>
      <c r="U283" s="164" t="str">
        <f t="shared" si="685"/>
        <v>80.50</v>
      </c>
      <c r="V283" s="165" t="str">
        <f t="shared" si="686"/>
        <v>0.00</v>
      </c>
      <c r="W283" s="166">
        <v>0.86</v>
      </c>
      <c r="X283" s="167" t="str">
        <f t="shared" si="687"/>
        <v>76</v>
      </c>
      <c r="Y283" s="168" t="str">
        <f t="shared" si="688"/>
        <v>472.875</v>
      </c>
      <c r="Z283" s="168" t="str">
        <f t="shared" si="689"/>
        <v>42.960</v>
      </c>
      <c r="AA283" s="164" t="str">
        <f t="shared" si="690"/>
        <v>2.95</v>
      </c>
      <c r="AB283" s="164">
        <v>94.1</v>
      </c>
      <c r="AC283" s="164" t="str">
        <f t="shared" si="691"/>
        <v>4.80</v>
      </c>
      <c r="AD283" s="165" t="str">
        <f t="shared" si="692"/>
        <v>145.50</v>
      </c>
      <c r="AE283" s="23"/>
      <c r="AF283" s="169" t="str">
        <f t="shared" si="693"/>
        <v>0</v>
      </c>
      <c r="AG283" s="163" t="str">
        <f t="shared" si="694"/>
        <v>70.87</v>
      </c>
      <c r="AH283" s="170" t="str">
        <f t="shared" si="695"/>
        <v>14.22%</v>
      </c>
      <c r="AI283" s="26"/>
      <c r="AJ283" s="171" t="str">
        <f t="shared" si="696"/>
        <v>0.00%</v>
      </c>
      <c r="AK283" s="172" t="str">
        <f t="shared" si="697"/>
        <v>0.00</v>
      </c>
      <c r="AL283" s="173" t="str">
        <f t="shared" si="698"/>
        <v>1,411.32</v>
      </c>
      <c r="AM283" s="174" t="str">
        <f t="shared" si="699"/>
        <v>1,002.03</v>
      </c>
    </row>
    <row r="284" ht="12.75" customHeight="1">
      <c r="A284" s="26"/>
      <c r="B284" s="190" t="s">
        <v>552</v>
      </c>
      <c r="C284" s="199">
        <v>2.26115478E8</v>
      </c>
      <c r="D284" s="152" t="s">
        <v>553</v>
      </c>
      <c r="E284" s="53" t="s">
        <v>372</v>
      </c>
      <c r="F284" s="154">
        <v>1.0</v>
      </c>
      <c r="G284" s="53"/>
      <c r="H284" s="53" t="str">
        <f t="shared" si="677"/>
        <v>0.00069</v>
      </c>
      <c r="I284" s="53" t="str">
        <f t="shared" si="678"/>
        <v>89</v>
      </c>
      <c r="J284" s="53" t="str">
        <f t="shared" si="679"/>
        <v>0</v>
      </c>
      <c r="K284" s="155" t="str">
        <f t="shared" si="680"/>
        <v>0.00</v>
      </c>
      <c r="L284" s="156" t="str">
        <f t="shared" si="681"/>
        <v>0.00 </v>
      </c>
      <c r="M284" s="132">
        <v>90.0</v>
      </c>
      <c r="N284" s="175">
        <v>478.05</v>
      </c>
      <c r="O284" s="158">
        <v>1410.0</v>
      </c>
      <c r="P284" s="159" t="str">
        <f t="shared" si="682"/>
        <v>1,410.00</v>
      </c>
      <c r="Q284" s="160">
        <v>1400.0</v>
      </c>
      <c r="R284" s="161">
        <v>0.26</v>
      </c>
      <c r="S284" s="162" t="str">
        <f t="shared" si="683"/>
        <v>1,043.40</v>
      </c>
      <c r="T284" s="163" t="str">
        <f t="shared" si="684"/>
        <v>60.00</v>
      </c>
      <c r="U284" s="164" t="str">
        <f t="shared" si="685"/>
        <v>78.01</v>
      </c>
      <c r="V284" s="165" t="str">
        <f t="shared" si="686"/>
        <v>0.00</v>
      </c>
      <c r="W284" s="166">
        <v>0.86</v>
      </c>
      <c r="X284" s="167" t="str">
        <f t="shared" si="687"/>
        <v>76</v>
      </c>
      <c r="Y284" s="168" t="str">
        <f t="shared" si="688"/>
        <v>458.250</v>
      </c>
      <c r="Z284" s="168" t="str">
        <f t="shared" si="689"/>
        <v>41.632</v>
      </c>
      <c r="AA284" s="164" t="str">
        <f t="shared" si="690"/>
        <v>0.85</v>
      </c>
      <c r="AB284" s="164">
        <v>98.29</v>
      </c>
      <c r="AC284" s="164" t="str">
        <f t="shared" si="691"/>
        <v>4.80</v>
      </c>
      <c r="AD284" s="165" t="str">
        <f t="shared" si="692"/>
        <v>141.00</v>
      </c>
      <c r="AE284" s="23"/>
      <c r="AF284" s="169" t="str">
        <f t="shared" si="693"/>
        <v>0</v>
      </c>
      <c r="AG284" s="163" t="str">
        <f t="shared" si="694"/>
        <v>71.40</v>
      </c>
      <c r="AH284" s="170" t="str">
        <f t="shared" si="695"/>
        <v>14.94%</v>
      </c>
      <c r="AI284" s="26"/>
      <c r="AJ284" s="171" t="str">
        <f t="shared" si="696"/>
        <v>0.00%</v>
      </c>
      <c r="AK284" s="172" t="str">
        <f t="shared" si="697"/>
        <v>0.00</v>
      </c>
      <c r="AL284" s="173" t="str">
        <f t="shared" si="698"/>
        <v>1,361.69</v>
      </c>
      <c r="AM284" s="174" t="str">
        <f t="shared" si="699"/>
        <v>966.80</v>
      </c>
    </row>
    <row r="285" ht="12.75" customHeight="1">
      <c r="A285" s="26"/>
      <c r="B285" s="190" t="s">
        <v>554</v>
      </c>
      <c r="C285" s="199">
        <v>2.26115248E8</v>
      </c>
      <c r="D285" s="152" t="s">
        <v>555</v>
      </c>
      <c r="E285" s="53" t="s">
        <v>372</v>
      </c>
      <c r="F285" s="154">
        <v>1.0</v>
      </c>
      <c r="G285" s="53"/>
      <c r="H285" s="53" t="str">
        <f t="shared" si="677"/>
        <v>0.00069</v>
      </c>
      <c r="I285" s="53" t="str">
        <f t="shared" si="678"/>
        <v>89</v>
      </c>
      <c r="J285" s="53" t="str">
        <f t="shared" si="679"/>
        <v>0</v>
      </c>
      <c r="K285" s="155" t="str">
        <f t="shared" si="680"/>
        <v>0.00</v>
      </c>
      <c r="L285" s="156" t="str">
        <f t="shared" si="681"/>
        <v>0.00 </v>
      </c>
      <c r="M285" s="132">
        <v>90.0</v>
      </c>
      <c r="N285" s="175">
        <v>496.86</v>
      </c>
      <c r="O285" s="158">
        <v>1363.8</v>
      </c>
      <c r="P285" s="159" t="str">
        <f t="shared" si="682"/>
        <v>1,363.80</v>
      </c>
      <c r="Q285" s="160">
        <v>1346.0</v>
      </c>
      <c r="R285" s="161">
        <v>0.26</v>
      </c>
      <c r="S285" s="162" t="str">
        <f t="shared" si="683"/>
        <v>1,009.21</v>
      </c>
      <c r="T285" s="163" t="str">
        <f t="shared" si="684"/>
        <v>60.00</v>
      </c>
      <c r="U285" s="164" t="str">
        <f t="shared" si="685"/>
        <v>75.46</v>
      </c>
      <c r="V285" s="165" t="str">
        <f t="shared" si="686"/>
        <v>0.00</v>
      </c>
      <c r="W285" s="166">
        <v>0.86</v>
      </c>
      <c r="X285" s="167" t="str">
        <f t="shared" si="687"/>
        <v>76</v>
      </c>
      <c r="Y285" s="168" t="str">
        <f t="shared" si="688"/>
        <v>443.235</v>
      </c>
      <c r="Z285" s="168" t="str">
        <f t="shared" si="689"/>
        <v>40.268</v>
      </c>
      <c r="AA285" s="164" t="str">
        <f t="shared" si="690"/>
        <v>2.32</v>
      </c>
      <c r="AB285" s="164">
        <v>95.36</v>
      </c>
      <c r="AC285" s="164" t="str">
        <f t="shared" si="691"/>
        <v>4.80</v>
      </c>
      <c r="AD285" s="165" t="str">
        <f t="shared" si="692"/>
        <v>136.38</v>
      </c>
      <c r="AE285" s="23"/>
      <c r="AF285" s="169" t="str">
        <f t="shared" si="693"/>
        <v>0</v>
      </c>
      <c r="AG285" s="163" t="str">
        <f t="shared" si="694"/>
        <v>28.48</v>
      </c>
      <c r="AH285" s="170" t="str">
        <f t="shared" si="695"/>
        <v>5.73%</v>
      </c>
      <c r="AI285" s="26"/>
      <c r="AJ285" s="171" t="str">
        <f t="shared" si="696"/>
        <v>0.00%</v>
      </c>
      <c r="AK285" s="172" t="str">
        <f t="shared" si="697"/>
        <v>0.00</v>
      </c>
      <c r="AL285" s="173" t="str">
        <f t="shared" si="698"/>
        <v>1,406.24</v>
      </c>
      <c r="AM285" s="174" t="str">
        <f t="shared" si="699"/>
        <v>998.43</v>
      </c>
    </row>
    <row r="286" ht="12.75" customHeight="1">
      <c r="A286" s="26"/>
      <c r="B286" s="190" t="s">
        <v>556</v>
      </c>
      <c r="C286" s="199">
        <v>2.26117746E8</v>
      </c>
      <c r="D286" s="152" t="s">
        <v>557</v>
      </c>
      <c r="E286" s="53" t="s">
        <v>372</v>
      </c>
      <c r="F286" s="154">
        <v>1.0</v>
      </c>
      <c r="G286" s="53"/>
      <c r="H286" s="53" t="str">
        <f t="shared" si="677"/>
        <v>0.00069</v>
      </c>
      <c r="I286" s="53" t="str">
        <f t="shared" si="678"/>
        <v>89</v>
      </c>
      <c r="J286" s="53" t="str">
        <f t="shared" si="679"/>
        <v>0</v>
      </c>
      <c r="K286" s="155" t="str">
        <f t="shared" si="680"/>
        <v>0.00</v>
      </c>
      <c r="L286" s="156" t="str">
        <f t="shared" si="681"/>
        <v>0.00 </v>
      </c>
      <c r="M286" s="132">
        <v>90.0</v>
      </c>
      <c r="N286" s="175">
        <v>497.34</v>
      </c>
      <c r="O286" s="158">
        <v>1318.34</v>
      </c>
      <c r="P286" s="159" t="str">
        <f t="shared" si="682"/>
        <v>1,318.34</v>
      </c>
      <c r="Q286" s="160">
        <v>1283.0</v>
      </c>
      <c r="R286" s="161">
        <v>0.26</v>
      </c>
      <c r="S286" s="162" t="str">
        <f t="shared" si="683"/>
        <v>975.57</v>
      </c>
      <c r="T286" s="163" t="str">
        <f t="shared" si="684"/>
        <v>60.00</v>
      </c>
      <c r="U286" s="164" t="str">
        <f t="shared" si="685"/>
        <v>72.94</v>
      </c>
      <c r="V286" s="165" t="str">
        <f t="shared" si="686"/>
        <v>0.00</v>
      </c>
      <c r="W286" s="166">
        <v>0.86</v>
      </c>
      <c r="X286" s="167" t="str">
        <f t="shared" si="687"/>
        <v>76</v>
      </c>
      <c r="Y286" s="168" t="str">
        <f t="shared" si="688"/>
        <v>428.461</v>
      </c>
      <c r="Z286" s="168" t="str">
        <f t="shared" si="689"/>
        <v>38.925</v>
      </c>
      <c r="AA286" s="164" t="str">
        <f t="shared" si="690"/>
        <v>3.34</v>
      </c>
      <c r="AB286" s="164">
        <v>93.33</v>
      </c>
      <c r="AC286" s="164" t="str">
        <f t="shared" si="691"/>
        <v>4.80</v>
      </c>
      <c r="AD286" s="165" t="str">
        <f t="shared" si="692"/>
        <v>131.83</v>
      </c>
      <c r="AE286" s="23"/>
      <c r="AF286" s="169" t="str">
        <f t="shared" si="693"/>
        <v>0</v>
      </c>
      <c r="AG286" s="163" t="str">
        <f t="shared" si="694"/>
        <v>4.71</v>
      </c>
      <c r="AH286" s="170" t="str">
        <f t="shared" si="695"/>
        <v>0.95%</v>
      </c>
      <c r="AI286" s="26"/>
      <c r="AJ286" s="171" t="str">
        <f t="shared" si="696"/>
        <v>0.00%</v>
      </c>
      <c r="AK286" s="172" t="str">
        <f t="shared" si="697"/>
        <v>0.00</v>
      </c>
      <c r="AL286" s="173" t="str">
        <f t="shared" si="698"/>
        <v>1,409.53</v>
      </c>
      <c r="AM286" s="174" t="str">
        <f t="shared" si="699"/>
        <v>1,000.76</v>
      </c>
    </row>
    <row r="287" ht="12.75" customHeight="1">
      <c r="A287" s="26"/>
      <c r="B287" s="190" t="s">
        <v>558</v>
      </c>
      <c r="C287" s="199">
        <v>2.26114935E8</v>
      </c>
      <c r="D287" s="152" t="s">
        <v>559</v>
      </c>
      <c r="E287" s="53" t="s">
        <v>372</v>
      </c>
      <c r="F287" s="154">
        <v>1.0</v>
      </c>
      <c r="G287" s="53"/>
      <c r="H287" s="53" t="str">
        <f t="shared" si="677"/>
        <v>0.00069</v>
      </c>
      <c r="I287" s="53" t="str">
        <f t="shared" si="678"/>
        <v>89</v>
      </c>
      <c r="J287" s="53" t="str">
        <f t="shared" si="679"/>
        <v>0</v>
      </c>
      <c r="K287" s="155" t="str">
        <f t="shared" si="680"/>
        <v>0.00</v>
      </c>
      <c r="L287" s="156" t="str">
        <f t="shared" si="681"/>
        <v>0.00 </v>
      </c>
      <c r="M287" s="132">
        <v>90.0</v>
      </c>
      <c r="N287" s="157">
        <v>507.16</v>
      </c>
      <c r="O287" s="158">
        <v>1425.0</v>
      </c>
      <c r="P287" s="159" t="str">
        <f t="shared" si="682"/>
        <v>1,425.00</v>
      </c>
      <c r="Q287" s="160">
        <v>1407.0</v>
      </c>
      <c r="R287" s="161">
        <v>0.26</v>
      </c>
      <c r="S287" s="162" t="str">
        <f t="shared" si="683"/>
        <v>1,054.50</v>
      </c>
      <c r="T287" s="163" t="str">
        <f t="shared" si="684"/>
        <v>60.00</v>
      </c>
      <c r="U287" s="164" t="str">
        <f t="shared" si="685"/>
        <v>78.84</v>
      </c>
      <c r="V287" s="165" t="str">
        <f t="shared" si="686"/>
        <v>0.00</v>
      </c>
      <c r="W287" s="166">
        <v>0.86</v>
      </c>
      <c r="X287" s="167" t="str">
        <f t="shared" si="687"/>
        <v>76</v>
      </c>
      <c r="Y287" s="168" t="str">
        <f t="shared" si="688"/>
        <v>463.125</v>
      </c>
      <c r="Z287" s="168" t="str">
        <f t="shared" si="689"/>
        <v>42.075</v>
      </c>
      <c r="AA287" s="164" t="str">
        <f t="shared" si="690"/>
        <v>1.94</v>
      </c>
      <c r="AB287" s="164">
        <v>96.12</v>
      </c>
      <c r="AC287" s="164" t="str">
        <f t="shared" si="691"/>
        <v>4.80</v>
      </c>
      <c r="AD287" s="165" t="str">
        <f t="shared" si="692"/>
        <v>142.50</v>
      </c>
      <c r="AE287" s="23"/>
      <c r="AF287" s="169" t="str">
        <f t="shared" si="693"/>
        <v>0</v>
      </c>
      <c r="AG287" s="163" t="str">
        <f t="shared" si="694"/>
        <v>48.56</v>
      </c>
      <c r="AH287" s="170" t="str">
        <f t="shared" si="695"/>
        <v>9.57%</v>
      </c>
      <c r="AI287" s="26"/>
      <c r="AJ287" s="171" t="str">
        <f t="shared" si="696"/>
        <v>0.00%</v>
      </c>
      <c r="AK287" s="172" t="str">
        <f t="shared" si="697"/>
        <v>0.00</v>
      </c>
      <c r="AL287" s="173" t="str">
        <f t="shared" si="698"/>
        <v>1,428.04</v>
      </c>
      <c r="AM287" s="174" t="str">
        <f t="shared" si="699"/>
        <v>1,013.91</v>
      </c>
    </row>
    <row r="288" ht="12.75" customHeight="1">
      <c r="A288" s="26"/>
      <c r="B288" s="190" t="s">
        <v>560</v>
      </c>
      <c r="C288" s="199">
        <v>2.26115141E8</v>
      </c>
      <c r="D288" s="152" t="s">
        <v>561</v>
      </c>
      <c r="E288" s="53" t="s">
        <v>372</v>
      </c>
      <c r="F288" s="154">
        <v>1.0</v>
      </c>
      <c r="G288" s="53"/>
      <c r="H288" s="53" t="str">
        <f t="shared" si="677"/>
        <v>0.00069</v>
      </c>
      <c r="I288" s="53" t="str">
        <f t="shared" si="678"/>
        <v>89</v>
      </c>
      <c r="J288" s="53" t="str">
        <f t="shared" si="679"/>
        <v>0</v>
      </c>
      <c r="K288" s="155" t="str">
        <f t="shared" si="680"/>
        <v>0.00</v>
      </c>
      <c r="L288" s="156" t="str">
        <f t="shared" si="681"/>
        <v>0.00 </v>
      </c>
      <c r="M288" s="132">
        <v>90.0</v>
      </c>
      <c r="N288" s="175">
        <v>478.17</v>
      </c>
      <c r="O288" s="158">
        <v>1410.0</v>
      </c>
      <c r="P288" s="159" t="str">
        <f t="shared" si="682"/>
        <v>1,410.00</v>
      </c>
      <c r="Q288" s="160">
        <v>1450.0</v>
      </c>
      <c r="R288" s="161">
        <v>0.26</v>
      </c>
      <c r="S288" s="162" t="str">
        <f t="shared" si="683"/>
        <v>1,043.40</v>
      </c>
      <c r="T288" s="163" t="str">
        <f t="shared" si="684"/>
        <v>60.00</v>
      </c>
      <c r="U288" s="164" t="str">
        <f t="shared" si="685"/>
        <v>78.01</v>
      </c>
      <c r="V288" s="165" t="str">
        <f t="shared" si="686"/>
        <v>0.00</v>
      </c>
      <c r="W288" s="166">
        <v>0.86</v>
      </c>
      <c r="X288" s="167" t="str">
        <f t="shared" si="687"/>
        <v>76</v>
      </c>
      <c r="Y288" s="168" t="str">
        <f t="shared" si="688"/>
        <v>458.250</v>
      </c>
      <c r="Z288" s="168" t="str">
        <f t="shared" si="689"/>
        <v>41.632</v>
      </c>
      <c r="AA288" s="164" t="str">
        <f t="shared" si="690"/>
        <v>0.54</v>
      </c>
      <c r="AB288" s="164">
        <v>98.92</v>
      </c>
      <c r="AC288" s="164" t="str">
        <f t="shared" si="691"/>
        <v>4.80</v>
      </c>
      <c r="AD288" s="165" t="str">
        <f t="shared" si="692"/>
        <v>141.00</v>
      </c>
      <c r="AE288" s="23"/>
      <c r="AF288" s="169" t="str">
        <f t="shared" si="693"/>
        <v>0</v>
      </c>
      <c r="AG288" s="163" t="str">
        <f t="shared" si="694"/>
        <v>71.60</v>
      </c>
      <c r="AH288" s="170" t="str">
        <f t="shared" si="695"/>
        <v>14.97%</v>
      </c>
      <c r="AI288" s="26"/>
      <c r="AJ288" s="171" t="str">
        <f t="shared" si="696"/>
        <v>0.00%</v>
      </c>
      <c r="AK288" s="172" t="str">
        <f t="shared" si="697"/>
        <v>0.00</v>
      </c>
      <c r="AL288" s="173" t="str">
        <f t="shared" si="698"/>
        <v>1,361.26</v>
      </c>
      <c r="AM288" s="174" t="str">
        <f t="shared" si="699"/>
        <v>966.50</v>
      </c>
    </row>
    <row r="289" ht="12.75" customHeight="1">
      <c r="A289" s="26"/>
      <c r="B289" s="190" t="s">
        <v>548</v>
      </c>
      <c r="C289" s="224">
        <v>2.55574854E8</v>
      </c>
      <c r="D289" s="225" t="s">
        <v>562</v>
      </c>
      <c r="E289" s="53" t="s">
        <v>372</v>
      </c>
      <c r="F289" s="154">
        <v>1.0</v>
      </c>
      <c r="G289" s="53"/>
      <c r="H289" s="53" t="str">
        <f t="shared" si="677"/>
        <v>0.00069</v>
      </c>
      <c r="I289" s="53" t="str">
        <f t="shared" si="678"/>
        <v>89</v>
      </c>
      <c r="J289" s="53" t="str">
        <f t="shared" si="679"/>
        <v>0</v>
      </c>
      <c r="K289" s="155" t="str">
        <f t="shared" si="680"/>
        <v>0.00</v>
      </c>
      <c r="L289" s="156" t="str">
        <f t="shared" si="681"/>
        <v>0.00 </v>
      </c>
      <c r="M289" s="132">
        <v>90.0</v>
      </c>
      <c r="N289" s="157">
        <v>520.26</v>
      </c>
      <c r="O289" s="158">
        <v>1600.0</v>
      </c>
      <c r="P289" s="159" t="str">
        <f>AL289</f>
        <v>1,504.86</v>
      </c>
      <c r="Q289" s="160"/>
      <c r="R289" s="161">
        <v>0.33</v>
      </c>
      <c r="S289" s="162" t="str">
        <f t="shared" si="683"/>
        <v>1,072.00</v>
      </c>
      <c r="T289" s="163" t="str">
        <f t="shared" si="684"/>
        <v>60.00</v>
      </c>
      <c r="U289" s="164" t="str">
        <f t="shared" si="685"/>
        <v>80.15</v>
      </c>
      <c r="V289" s="165" t="str">
        <f t="shared" si="686"/>
        <v>0.00</v>
      </c>
      <c r="W289" s="166">
        <v>1.15</v>
      </c>
      <c r="X289" s="167" t="str">
        <f t="shared" si="687"/>
        <v>95</v>
      </c>
      <c r="Y289" s="168" t="str">
        <f t="shared" si="688"/>
        <v>520.000</v>
      </c>
      <c r="Z289" s="168" t="str">
        <f t="shared" si="689"/>
        <v>42.773</v>
      </c>
      <c r="AA289" s="164" t="str">
        <f t="shared" si="690"/>
        <v>0.00</v>
      </c>
      <c r="AB289" s="164">
        <v>100.0</v>
      </c>
      <c r="AC289" s="164" t="str">
        <f t="shared" si="691"/>
        <v>9.60</v>
      </c>
      <c r="AD289" s="165" t="str">
        <f t="shared" si="692"/>
        <v>160.00</v>
      </c>
      <c r="AE289" s="23"/>
      <c r="AF289" s="169" t="str">
        <f t="shared" si="693"/>
        <v>0</v>
      </c>
      <c r="AG289" s="163" t="str">
        <f t="shared" si="694"/>
        <v>112.22</v>
      </c>
      <c r="AH289" s="170" t="str">
        <f t="shared" si="695"/>
        <v>21.57%</v>
      </c>
      <c r="AI289" s="26"/>
      <c r="AJ289" s="171" t="str">
        <f t="shared" si="696"/>
        <v>0.00%</v>
      </c>
      <c r="AK289" s="172" t="str">
        <f t="shared" si="697"/>
        <v>0.00</v>
      </c>
      <c r="AL289" s="173" t="str">
        <f t="shared" si="698"/>
        <v>1,504.86</v>
      </c>
      <c r="AM289" s="174" t="str">
        <f t="shared" si="699"/>
        <v>1,068.45</v>
      </c>
    </row>
    <row r="290" ht="12.75" customHeight="1">
      <c r="A290" s="26"/>
      <c r="B290" s="125" t="s">
        <v>563</v>
      </c>
      <c r="C290" s="126"/>
      <c r="D290" s="127"/>
      <c r="E290" s="128"/>
      <c r="F290" s="128"/>
      <c r="G290" s="128"/>
      <c r="H290" s="197"/>
      <c r="I290" s="197"/>
      <c r="J290" s="128"/>
      <c r="K290" s="130"/>
      <c r="L290" s="131"/>
      <c r="M290" s="132"/>
      <c r="N290" s="176"/>
      <c r="O290" s="134"/>
      <c r="P290" s="135"/>
      <c r="Q290" s="135"/>
      <c r="R290" s="136"/>
      <c r="S290" s="137"/>
      <c r="T290" s="177"/>
      <c r="U290" s="178"/>
      <c r="V290" s="179"/>
      <c r="W290" s="180"/>
      <c r="X290" s="181"/>
      <c r="Y290" s="182"/>
      <c r="Z290" s="182"/>
      <c r="AA290" s="178"/>
      <c r="AB290" s="178"/>
      <c r="AC290" s="178"/>
      <c r="AD290" s="179"/>
      <c r="AE290" s="183"/>
      <c r="AF290" s="184"/>
      <c r="AG290" s="177"/>
      <c r="AH290" s="185"/>
      <c r="AI290" s="26"/>
      <c r="AJ290" s="186"/>
      <c r="AK290" s="187"/>
      <c r="AL290" s="188"/>
      <c r="AM290" s="189"/>
    </row>
    <row r="291" ht="12.75" customHeight="1">
      <c r="A291" s="26"/>
      <c r="B291" s="190"/>
      <c r="C291" s="199">
        <v>4.37154709E8</v>
      </c>
      <c r="D291" s="152" t="s">
        <v>564</v>
      </c>
      <c r="E291" s="53" t="s">
        <v>77</v>
      </c>
      <c r="F291" s="154">
        <v>1.0</v>
      </c>
      <c r="G291" s="53"/>
      <c r="H291" s="53" t="str">
        <f t="shared" ref="H291:H303" si="700">$I$2</f>
        <v>0.00069</v>
      </c>
      <c r="I291" s="53" t="str">
        <f t="shared" ref="I291:I301" si="701">$I$3</f>
        <v>89</v>
      </c>
      <c r="J291" s="53" t="str">
        <f t="shared" ref="J291:J301" si="702">G291*H291*I291*F291</f>
        <v>0</v>
      </c>
      <c r="K291" s="155" t="str">
        <f t="shared" ref="K291:K301" si="703">J291*$J$4</f>
        <v>0.00</v>
      </c>
      <c r="L291" s="156" t="str">
        <f t="shared" ref="L291:L301" si="704">K291+J291</f>
        <v>0.00 </v>
      </c>
      <c r="M291" s="132">
        <v>90.0</v>
      </c>
      <c r="N291" s="175">
        <v>463.19</v>
      </c>
      <c r="O291" s="158">
        <v>1500.0</v>
      </c>
      <c r="P291" s="159">
        <v>1485.0</v>
      </c>
      <c r="Q291" s="160">
        <v>1372.0</v>
      </c>
      <c r="R291" s="161">
        <v>0.26</v>
      </c>
      <c r="S291" s="162" t="str">
        <f t="shared" ref="S291:S301" si="705">O291-(O291*R291)</f>
        <v>1,110.00</v>
      </c>
      <c r="T291" s="163" t="str">
        <f t="shared" ref="T291:T301" si="706">$C$1</f>
        <v>60.00</v>
      </c>
      <c r="U291" s="164" t="str">
        <f t="shared" ref="U291:U301" si="707">(S291*7/107)+((S291-(S291*7/107))*1%)</f>
        <v>82.99</v>
      </c>
      <c r="V291" s="165" t="str">
        <f t="shared" ref="V291:V301" si="708">N291*$C$3*(M291/30)</f>
        <v>0.00</v>
      </c>
      <c r="W291" s="166">
        <v>0.73</v>
      </c>
      <c r="X291" s="167" t="str">
        <f>((_xlfn.CEILING.MATH(W291)-1)*$C$5+$C$4)</f>
        <v>76</v>
      </c>
      <c r="Y291" s="168" t="str">
        <f t="shared" ref="Y291:Y301" si="709">O291*$Y$6</f>
        <v>487.500</v>
      </c>
      <c r="Z291" s="168" t="str">
        <f t="shared" ref="Z291:Z301" si="710">S291*$Y$7</f>
        <v>44.289</v>
      </c>
      <c r="AA291" s="164" t="str">
        <f t="shared" ref="AA291:AA301" si="711">$Y$3*((100-AB291)/100)</f>
        <v>0.54</v>
      </c>
      <c r="AB291" s="164">
        <v>98.92</v>
      </c>
      <c r="AC291" s="164" t="str">
        <f t="shared" ref="AC291:AC301" si="712">$C$6*$C$7*_xlfn.CEILING.MATH(W291)</f>
        <v>4.80</v>
      </c>
      <c r="AD291" s="165" t="str">
        <f t="shared" ref="AD291:AD301" si="713">O291*$C$2</f>
        <v>150.00</v>
      </c>
      <c r="AE291" s="23"/>
      <c r="AF291" s="169" t="str">
        <f t="shared" ref="AF291:AF301" si="714">(_xlfn.CEILING.MATH(W291))*$Y$1*$AD$2</f>
        <v>0</v>
      </c>
      <c r="AG291" s="163" t="str">
        <f t="shared" ref="AG291:AG301" si="715">O291-T291-U291-V291-X291-Y291-Z291-AA291-AC291-AD291-N291</f>
        <v>130.69</v>
      </c>
      <c r="AH291" s="170" t="str">
        <f t="shared" ref="AH291:AH301" si="716">AG291/N291</f>
        <v>28.22%</v>
      </c>
      <c r="AI291" s="26"/>
      <c r="AJ291" s="171">
        <v>0.25</v>
      </c>
      <c r="AK291" s="172" t="str">
        <f t="shared" ref="AK291:AK301" si="717">N291*AJ291</f>
        <v>115.80</v>
      </c>
      <c r="AL291" s="173" t="str">
        <f t="shared" ref="AL291:AL301" si="718">(N291+T291+V291+X291+AA291+AC291+AF291+AK291)/(100%-($C$2+$C$8+$Y$6+$Y$7))</f>
        <v>1,582.79</v>
      </c>
      <c r="AM291" s="174" t="str">
        <f t="shared" ref="AM291:AM301" si="719">AL291-(AL291*$AD$1)</f>
        <v>1,123.78</v>
      </c>
    </row>
    <row r="292" ht="12.75" customHeight="1">
      <c r="A292" s="26"/>
      <c r="B292" s="190"/>
      <c r="C292" s="199">
        <v>4.37190353E8</v>
      </c>
      <c r="D292" s="152" t="s">
        <v>565</v>
      </c>
      <c r="E292" s="53" t="s">
        <v>77</v>
      </c>
      <c r="F292" s="154">
        <v>1.0</v>
      </c>
      <c r="G292" s="53"/>
      <c r="H292" s="53" t="str">
        <f t="shared" si="700"/>
        <v>0.00069</v>
      </c>
      <c r="I292" s="53" t="str">
        <f t="shared" si="701"/>
        <v>89</v>
      </c>
      <c r="J292" s="53" t="str">
        <f t="shared" si="702"/>
        <v>0</v>
      </c>
      <c r="K292" s="155" t="str">
        <f t="shared" si="703"/>
        <v>0.00</v>
      </c>
      <c r="L292" s="156" t="str">
        <f t="shared" si="704"/>
        <v>0.00 </v>
      </c>
      <c r="M292" s="132">
        <v>90.0</v>
      </c>
      <c r="N292" s="157">
        <v>1093.2</v>
      </c>
      <c r="O292" s="158">
        <v>2500.0</v>
      </c>
      <c r="P292" s="159">
        <v>2600.0</v>
      </c>
      <c r="Q292" s="160">
        <v>2458.0</v>
      </c>
      <c r="R292" s="161">
        <v>0.26</v>
      </c>
      <c r="S292" s="162" t="str">
        <f t="shared" si="705"/>
        <v>1,850.00</v>
      </c>
      <c r="T292" s="163" t="str">
        <f t="shared" si="706"/>
        <v>60.00</v>
      </c>
      <c r="U292" s="164" t="str">
        <f t="shared" si="707"/>
        <v>138.32</v>
      </c>
      <c r="V292" s="165" t="str">
        <f t="shared" si="708"/>
        <v>0.00</v>
      </c>
      <c r="W292" s="166">
        <v>0.73</v>
      </c>
      <c r="X292" s="167">
        <v>83.0</v>
      </c>
      <c r="Y292" s="168" t="str">
        <f t="shared" si="709"/>
        <v>812.500</v>
      </c>
      <c r="Z292" s="168" t="str">
        <f t="shared" si="710"/>
        <v>73.815</v>
      </c>
      <c r="AA292" s="164" t="str">
        <f t="shared" si="711"/>
        <v>0.54</v>
      </c>
      <c r="AB292" s="164">
        <v>98.92</v>
      </c>
      <c r="AC292" s="164" t="str">
        <f t="shared" si="712"/>
        <v>4.80</v>
      </c>
      <c r="AD292" s="165" t="str">
        <f t="shared" si="713"/>
        <v>250.00</v>
      </c>
      <c r="AE292" s="23"/>
      <c r="AF292" s="169" t="str">
        <f t="shared" si="714"/>
        <v>0</v>
      </c>
      <c r="AG292" s="163" t="str">
        <f t="shared" si="715"/>
        <v>-16.17</v>
      </c>
      <c r="AH292" s="170" t="str">
        <f t="shared" si="716"/>
        <v>-1.48%</v>
      </c>
      <c r="AI292" s="26"/>
      <c r="AJ292" s="171">
        <v>0.25</v>
      </c>
      <c r="AK292" s="172" t="str">
        <f t="shared" si="717"/>
        <v>273.30</v>
      </c>
      <c r="AL292" s="173" t="str">
        <f t="shared" si="718"/>
        <v>3,328.59</v>
      </c>
      <c r="AM292" s="174" t="str">
        <f t="shared" si="719"/>
        <v>2,363.30</v>
      </c>
    </row>
    <row r="293" ht="12.75" customHeight="1">
      <c r="A293" s="26"/>
      <c r="B293" s="190"/>
      <c r="C293" s="199">
        <v>4.37203627E8</v>
      </c>
      <c r="D293" s="152" t="s">
        <v>566</v>
      </c>
      <c r="E293" s="53" t="s">
        <v>77</v>
      </c>
      <c r="F293" s="154">
        <v>1.0</v>
      </c>
      <c r="G293" s="53"/>
      <c r="H293" s="53" t="str">
        <f t="shared" si="700"/>
        <v>0.00069</v>
      </c>
      <c r="I293" s="53" t="str">
        <f t="shared" si="701"/>
        <v>89</v>
      </c>
      <c r="J293" s="53" t="str">
        <f t="shared" si="702"/>
        <v>0</v>
      </c>
      <c r="K293" s="155" t="str">
        <f t="shared" si="703"/>
        <v>0.00</v>
      </c>
      <c r="L293" s="156" t="str">
        <f t="shared" si="704"/>
        <v>0.00 </v>
      </c>
      <c r="M293" s="132">
        <v>90.0</v>
      </c>
      <c r="N293" s="157">
        <v>512.44</v>
      </c>
      <c r="O293" s="158">
        <v>1549.0</v>
      </c>
      <c r="P293" s="159">
        <v>1750.0</v>
      </c>
      <c r="Q293" s="160">
        <v>1559.0</v>
      </c>
      <c r="R293" s="161">
        <v>0.26</v>
      </c>
      <c r="S293" s="162" t="str">
        <f t="shared" si="705"/>
        <v>1,146.26</v>
      </c>
      <c r="T293" s="163" t="str">
        <f t="shared" si="706"/>
        <v>60.00</v>
      </c>
      <c r="U293" s="164" t="str">
        <f t="shared" si="707"/>
        <v>85.70</v>
      </c>
      <c r="V293" s="165" t="str">
        <f t="shared" si="708"/>
        <v>0.00</v>
      </c>
      <c r="W293" s="166">
        <v>0.73</v>
      </c>
      <c r="X293" s="167" t="str">
        <f t="shared" ref="X293:X301" si="720">((_xlfn.CEILING.MATH(W293)-1)*$C$5+$C$4)</f>
        <v>76</v>
      </c>
      <c r="Y293" s="168" t="str">
        <f t="shared" si="709"/>
        <v>503.425</v>
      </c>
      <c r="Z293" s="168" t="str">
        <f t="shared" si="710"/>
        <v>45.736</v>
      </c>
      <c r="AA293" s="164" t="str">
        <f t="shared" si="711"/>
        <v>0.54</v>
      </c>
      <c r="AB293" s="164">
        <v>98.92</v>
      </c>
      <c r="AC293" s="164" t="str">
        <f t="shared" si="712"/>
        <v>4.80</v>
      </c>
      <c r="AD293" s="165" t="str">
        <f t="shared" si="713"/>
        <v>154.90</v>
      </c>
      <c r="AE293" s="23"/>
      <c r="AF293" s="169" t="str">
        <f t="shared" si="714"/>
        <v>0</v>
      </c>
      <c r="AG293" s="163" t="str">
        <f t="shared" si="715"/>
        <v>105.46</v>
      </c>
      <c r="AH293" s="170" t="str">
        <f t="shared" si="716"/>
        <v>20.58%</v>
      </c>
      <c r="AI293" s="26"/>
      <c r="AJ293" s="171">
        <v>0.25</v>
      </c>
      <c r="AK293" s="172" t="str">
        <f t="shared" si="717"/>
        <v>128.11</v>
      </c>
      <c r="AL293" s="173" t="str">
        <f t="shared" si="718"/>
        <v>1,718.06</v>
      </c>
      <c r="AM293" s="174" t="str">
        <f t="shared" si="719"/>
        <v>1,219.82</v>
      </c>
    </row>
    <row r="294" ht="12.75" customHeight="1">
      <c r="A294" s="26"/>
      <c r="B294" s="190"/>
      <c r="C294" s="199">
        <v>4.37231408E8</v>
      </c>
      <c r="D294" s="152" t="s">
        <v>567</v>
      </c>
      <c r="E294" s="53" t="s">
        <v>77</v>
      </c>
      <c r="F294" s="154">
        <v>1.0</v>
      </c>
      <c r="G294" s="53"/>
      <c r="H294" s="53" t="str">
        <f t="shared" si="700"/>
        <v>0.00069</v>
      </c>
      <c r="I294" s="53" t="str">
        <f t="shared" si="701"/>
        <v>89</v>
      </c>
      <c r="J294" s="53" t="str">
        <f t="shared" si="702"/>
        <v>0</v>
      </c>
      <c r="K294" s="155" t="str">
        <f t="shared" si="703"/>
        <v>0.00</v>
      </c>
      <c r="L294" s="156" t="str">
        <f t="shared" si="704"/>
        <v>0.00 </v>
      </c>
      <c r="M294" s="132">
        <v>90.0</v>
      </c>
      <c r="N294" s="157">
        <v>853.87</v>
      </c>
      <c r="O294" s="158">
        <v>1650.0</v>
      </c>
      <c r="P294" s="159">
        <v>1800.0</v>
      </c>
      <c r="Q294" s="160">
        <v>1287.0</v>
      </c>
      <c r="R294" s="161">
        <v>0.26</v>
      </c>
      <c r="S294" s="162" t="str">
        <f t="shared" si="705"/>
        <v>1,221.00</v>
      </c>
      <c r="T294" s="163" t="str">
        <f t="shared" si="706"/>
        <v>60.00</v>
      </c>
      <c r="U294" s="164" t="str">
        <f t="shared" si="707"/>
        <v>91.29</v>
      </c>
      <c r="V294" s="165" t="str">
        <f t="shared" si="708"/>
        <v>0.00</v>
      </c>
      <c r="W294" s="166">
        <v>0.73</v>
      </c>
      <c r="X294" s="167" t="str">
        <f t="shared" si="720"/>
        <v>76</v>
      </c>
      <c r="Y294" s="168" t="str">
        <f t="shared" si="709"/>
        <v>536.250</v>
      </c>
      <c r="Z294" s="168" t="str">
        <f t="shared" si="710"/>
        <v>48.718</v>
      </c>
      <c r="AA294" s="164" t="str">
        <f t="shared" si="711"/>
        <v>0.54</v>
      </c>
      <c r="AB294" s="164">
        <v>98.92</v>
      </c>
      <c r="AC294" s="164" t="str">
        <f t="shared" si="712"/>
        <v>4.80</v>
      </c>
      <c r="AD294" s="165" t="str">
        <f t="shared" si="713"/>
        <v>165.00</v>
      </c>
      <c r="AE294" s="23"/>
      <c r="AF294" s="169" t="str">
        <f t="shared" si="714"/>
        <v>0</v>
      </c>
      <c r="AG294" s="163" t="str">
        <f t="shared" si="715"/>
        <v>-186.47</v>
      </c>
      <c r="AH294" s="170" t="str">
        <f t="shared" si="716"/>
        <v>-21.84%</v>
      </c>
      <c r="AI294" s="26"/>
      <c r="AJ294" s="171">
        <v>0.25</v>
      </c>
      <c r="AK294" s="172" t="str">
        <f t="shared" si="717"/>
        <v>213.47</v>
      </c>
      <c r="AL294" s="173" t="str">
        <f t="shared" si="718"/>
        <v>2,655.85</v>
      </c>
      <c r="AM294" s="174" t="str">
        <f t="shared" si="719"/>
        <v>1,885.65</v>
      </c>
    </row>
    <row r="295" ht="12.75" customHeight="1">
      <c r="A295" s="26"/>
      <c r="B295" s="190"/>
      <c r="C295" s="199">
        <v>4.37238521E8</v>
      </c>
      <c r="D295" s="152" t="s">
        <v>568</v>
      </c>
      <c r="E295" s="53" t="s">
        <v>77</v>
      </c>
      <c r="F295" s="154">
        <v>1.0</v>
      </c>
      <c r="G295" s="53"/>
      <c r="H295" s="53" t="str">
        <f t="shared" si="700"/>
        <v>0.00069</v>
      </c>
      <c r="I295" s="53" t="str">
        <f t="shared" si="701"/>
        <v>89</v>
      </c>
      <c r="J295" s="53" t="str">
        <f t="shared" si="702"/>
        <v>0</v>
      </c>
      <c r="K295" s="155" t="str">
        <f t="shared" si="703"/>
        <v>0.00</v>
      </c>
      <c r="L295" s="156" t="str">
        <f t="shared" si="704"/>
        <v>0.00 </v>
      </c>
      <c r="M295" s="132">
        <v>90.0</v>
      </c>
      <c r="N295" s="157">
        <v>819.9</v>
      </c>
      <c r="O295" s="158">
        <v>2099.0</v>
      </c>
      <c r="P295" s="159">
        <v>2200.0</v>
      </c>
      <c r="Q295" s="160">
        <v>2119.0</v>
      </c>
      <c r="R295" s="161">
        <v>0.26</v>
      </c>
      <c r="S295" s="162" t="str">
        <f t="shared" si="705"/>
        <v>1,553.26</v>
      </c>
      <c r="T295" s="163" t="str">
        <f t="shared" si="706"/>
        <v>60.00</v>
      </c>
      <c r="U295" s="164" t="str">
        <f t="shared" si="707"/>
        <v>116.13</v>
      </c>
      <c r="V295" s="165" t="str">
        <f t="shared" si="708"/>
        <v>0.00</v>
      </c>
      <c r="W295" s="166">
        <v>0.73</v>
      </c>
      <c r="X295" s="167" t="str">
        <f t="shared" si="720"/>
        <v>76</v>
      </c>
      <c r="Y295" s="168" t="str">
        <f t="shared" si="709"/>
        <v>682.175</v>
      </c>
      <c r="Z295" s="168" t="str">
        <f t="shared" si="710"/>
        <v>61.975</v>
      </c>
      <c r="AA295" s="164" t="str">
        <f t="shared" si="711"/>
        <v>0.54</v>
      </c>
      <c r="AB295" s="164">
        <v>98.92</v>
      </c>
      <c r="AC295" s="164" t="str">
        <f t="shared" si="712"/>
        <v>4.80</v>
      </c>
      <c r="AD295" s="165" t="str">
        <f t="shared" si="713"/>
        <v>209.90</v>
      </c>
      <c r="AE295" s="23"/>
      <c r="AF295" s="169" t="str">
        <f t="shared" si="714"/>
        <v>0</v>
      </c>
      <c r="AG295" s="163" t="str">
        <f t="shared" si="715"/>
        <v>67.58</v>
      </c>
      <c r="AH295" s="170" t="str">
        <f t="shared" si="716"/>
        <v>8.24%</v>
      </c>
      <c r="AI295" s="26"/>
      <c r="AJ295" s="171">
        <v>0.25</v>
      </c>
      <c r="AK295" s="172" t="str">
        <f t="shared" si="717"/>
        <v>204.98</v>
      </c>
      <c r="AL295" s="173" t="str">
        <f t="shared" si="718"/>
        <v>2,562.55</v>
      </c>
      <c r="AM295" s="174" t="str">
        <f t="shared" si="719"/>
        <v>1,819.41</v>
      </c>
    </row>
    <row r="296" ht="12.75" customHeight="1">
      <c r="A296" s="26"/>
      <c r="B296" s="190"/>
      <c r="C296" s="199">
        <v>4.3724264E8</v>
      </c>
      <c r="D296" s="152" t="s">
        <v>569</v>
      </c>
      <c r="E296" s="53" t="s">
        <v>77</v>
      </c>
      <c r="F296" s="154">
        <v>1.0</v>
      </c>
      <c r="G296" s="53"/>
      <c r="H296" s="53" t="str">
        <f t="shared" si="700"/>
        <v>0.00069</v>
      </c>
      <c r="I296" s="53" t="str">
        <f t="shared" si="701"/>
        <v>89</v>
      </c>
      <c r="J296" s="53" t="str">
        <f t="shared" si="702"/>
        <v>0</v>
      </c>
      <c r="K296" s="155" t="str">
        <f t="shared" si="703"/>
        <v>0.00</v>
      </c>
      <c r="L296" s="156" t="str">
        <f t="shared" si="704"/>
        <v>0.00 </v>
      </c>
      <c r="M296" s="132">
        <v>90.0</v>
      </c>
      <c r="N296" s="157">
        <v>512.32</v>
      </c>
      <c r="O296" s="158">
        <v>1500.0</v>
      </c>
      <c r="P296" s="159">
        <v>1550.0</v>
      </c>
      <c r="Q296" s="160">
        <v>1549.0</v>
      </c>
      <c r="R296" s="161">
        <v>0.26</v>
      </c>
      <c r="S296" s="162" t="str">
        <f t="shared" si="705"/>
        <v>1,110.00</v>
      </c>
      <c r="T296" s="163" t="str">
        <f t="shared" si="706"/>
        <v>60.00</v>
      </c>
      <c r="U296" s="164" t="str">
        <f t="shared" si="707"/>
        <v>82.99</v>
      </c>
      <c r="V296" s="165" t="str">
        <f t="shared" si="708"/>
        <v>0.00</v>
      </c>
      <c r="W296" s="166">
        <v>0.73</v>
      </c>
      <c r="X296" s="167" t="str">
        <f t="shared" si="720"/>
        <v>76</v>
      </c>
      <c r="Y296" s="168" t="str">
        <f t="shared" si="709"/>
        <v>487.500</v>
      </c>
      <c r="Z296" s="168" t="str">
        <f t="shared" si="710"/>
        <v>44.289</v>
      </c>
      <c r="AA296" s="164" t="str">
        <f t="shared" si="711"/>
        <v>0.54</v>
      </c>
      <c r="AB296" s="164">
        <v>98.92</v>
      </c>
      <c r="AC296" s="164" t="str">
        <f t="shared" si="712"/>
        <v>4.80</v>
      </c>
      <c r="AD296" s="165" t="str">
        <f t="shared" si="713"/>
        <v>150.00</v>
      </c>
      <c r="AE296" s="23"/>
      <c r="AF296" s="169" t="str">
        <f t="shared" si="714"/>
        <v>0</v>
      </c>
      <c r="AG296" s="163" t="str">
        <f t="shared" si="715"/>
        <v>81.56</v>
      </c>
      <c r="AH296" s="170" t="str">
        <f t="shared" si="716"/>
        <v>15.92%</v>
      </c>
      <c r="AI296" s="26"/>
      <c r="AJ296" s="171">
        <v>0.25</v>
      </c>
      <c r="AK296" s="172" t="str">
        <f t="shared" si="717"/>
        <v>128.08</v>
      </c>
      <c r="AL296" s="173" t="str">
        <f t="shared" si="718"/>
        <v>1,717.73</v>
      </c>
      <c r="AM296" s="174" t="str">
        <f t="shared" si="719"/>
        <v>1,219.59</v>
      </c>
    </row>
    <row r="297" ht="12.75" customHeight="1">
      <c r="A297" s="26"/>
      <c r="B297" s="190"/>
      <c r="C297" s="199">
        <v>4.3724887E8</v>
      </c>
      <c r="D297" s="152" t="s">
        <v>570</v>
      </c>
      <c r="E297" s="53" t="s">
        <v>77</v>
      </c>
      <c r="F297" s="154">
        <v>1.0</v>
      </c>
      <c r="G297" s="53"/>
      <c r="H297" s="53" t="str">
        <f t="shared" si="700"/>
        <v>0.00069</v>
      </c>
      <c r="I297" s="53" t="str">
        <f t="shared" si="701"/>
        <v>89</v>
      </c>
      <c r="J297" s="53" t="str">
        <f t="shared" si="702"/>
        <v>0</v>
      </c>
      <c r="K297" s="155" t="str">
        <f t="shared" si="703"/>
        <v>0.00</v>
      </c>
      <c r="L297" s="156" t="str">
        <f t="shared" si="704"/>
        <v>0.00 </v>
      </c>
      <c r="M297" s="132">
        <v>90.0</v>
      </c>
      <c r="N297" s="157">
        <v>622.16</v>
      </c>
      <c r="O297" s="158">
        <v>1500.0</v>
      </c>
      <c r="P297" s="159">
        <v>1650.0</v>
      </c>
      <c r="Q297" s="160">
        <v>1220.0</v>
      </c>
      <c r="R297" s="161">
        <v>0.26</v>
      </c>
      <c r="S297" s="162" t="str">
        <f t="shared" si="705"/>
        <v>1,110.00</v>
      </c>
      <c r="T297" s="163" t="str">
        <f t="shared" si="706"/>
        <v>60.00</v>
      </c>
      <c r="U297" s="164" t="str">
        <f t="shared" si="707"/>
        <v>82.99</v>
      </c>
      <c r="V297" s="165" t="str">
        <f t="shared" si="708"/>
        <v>0.00</v>
      </c>
      <c r="W297" s="166">
        <v>0.73</v>
      </c>
      <c r="X297" s="167" t="str">
        <f t="shared" si="720"/>
        <v>76</v>
      </c>
      <c r="Y297" s="168" t="str">
        <f t="shared" si="709"/>
        <v>487.500</v>
      </c>
      <c r="Z297" s="168" t="str">
        <f t="shared" si="710"/>
        <v>44.289</v>
      </c>
      <c r="AA297" s="164" t="str">
        <f t="shared" si="711"/>
        <v>0.54</v>
      </c>
      <c r="AB297" s="164">
        <v>98.92</v>
      </c>
      <c r="AC297" s="164" t="str">
        <f t="shared" si="712"/>
        <v>4.80</v>
      </c>
      <c r="AD297" s="165" t="str">
        <f t="shared" si="713"/>
        <v>150.00</v>
      </c>
      <c r="AE297" s="23"/>
      <c r="AF297" s="169" t="str">
        <f t="shared" si="714"/>
        <v>0</v>
      </c>
      <c r="AG297" s="163" t="str">
        <f t="shared" si="715"/>
        <v>-28.28</v>
      </c>
      <c r="AH297" s="170" t="str">
        <f t="shared" si="716"/>
        <v>-4.55%</v>
      </c>
      <c r="AI297" s="26"/>
      <c r="AJ297" s="171">
        <v>0.25</v>
      </c>
      <c r="AK297" s="172" t="str">
        <f t="shared" si="717"/>
        <v>155.54</v>
      </c>
      <c r="AL297" s="173" t="str">
        <f t="shared" si="718"/>
        <v>2,019.42</v>
      </c>
      <c r="AM297" s="174" t="str">
        <f t="shared" si="719"/>
        <v>1,433.79</v>
      </c>
    </row>
    <row r="298" ht="12.75" customHeight="1">
      <c r="A298" s="26"/>
      <c r="B298" s="190"/>
      <c r="C298" s="199">
        <v>4.37254254E8</v>
      </c>
      <c r="D298" s="152" t="s">
        <v>571</v>
      </c>
      <c r="E298" s="53" t="s">
        <v>77</v>
      </c>
      <c r="F298" s="154">
        <v>1.0</v>
      </c>
      <c r="G298" s="53"/>
      <c r="H298" s="53" t="str">
        <f t="shared" si="700"/>
        <v>0.00069</v>
      </c>
      <c r="I298" s="53" t="str">
        <f t="shared" si="701"/>
        <v>89</v>
      </c>
      <c r="J298" s="53" t="str">
        <f t="shared" si="702"/>
        <v>0</v>
      </c>
      <c r="K298" s="155" t="str">
        <f t="shared" si="703"/>
        <v>0.00</v>
      </c>
      <c r="L298" s="156" t="str">
        <f t="shared" si="704"/>
        <v>0.00 </v>
      </c>
      <c r="M298" s="132">
        <v>90.0</v>
      </c>
      <c r="N298" s="157">
        <v>1161.41</v>
      </c>
      <c r="O298" s="158">
        <v>2449.0</v>
      </c>
      <c r="P298" s="159">
        <v>2650.0</v>
      </c>
      <c r="Q298" s="160">
        <v>2471.0</v>
      </c>
      <c r="R298" s="161">
        <v>0.26</v>
      </c>
      <c r="S298" s="162" t="str">
        <f t="shared" si="705"/>
        <v>1,812.26</v>
      </c>
      <c r="T298" s="163" t="str">
        <f t="shared" si="706"/>
        <v>60.00</v>
      </c>
      <c r="U298" s="164" t="str">
        <f t="shared" si="707"/>
        <v>135.50</v>
      </c>
      <c r="V298" s="165" t="str">
        <f t="shared" si="708"/>
        <v>0.00</v>
      </c>
      <c r="W298" s="166">
        <v>0.73</v>
      </c>
      <c r="X298" s="167" t="str">
        <f t="shared" si="720"/>
        <v>76</v>
      </c>
      <c r="Y298" s="168" t="str">
        <f t="shared" si="709"/>
        <v>795.925</v>
      </c>
      <c r="Z298" s="168" t="str">
        <f t="shared" si="710"/>
        <v>72.309</v>
      </c>
      <c r="AA298" s="164" t="str">
        <f t="shared" si="711"/>
        <v>0.54</v>
      </c>
      <c r="AB298" s="164">
        <v>98.92</v>
      </c>
      <c r="AC298" s="164" t="str">
        <f t="shared" si="712"/>
        <v>4.80</v>
      </c>
      <c r="AD298" s="165" t="str">
        <f t="shared" si="713"/>
        <v>244.90</v>
      </c>
      <c r="AE298" s="23"/>
      <c r="AF298" s="169" t="str">
        <f t="shared" si="714"/>
        <v>0</v>
      </c>
      <c r="AG298" s="163" t="str">
        <f t="shared" si="715"/>
        <v>-102.38</v>
      </c>
      <c r="AH298" s="170" t="str">
        <f t="shared" si="716"/>
        <v>-8.82%</v>
      </c>
      <c r="AI298" s="26"/>
      <c r="AJ298" s="171">
        <v>0.25</v>
      </c>
      <c r="AK298" s="172" t="str">
        <f t="shared" si="717"/>
        <v>290.35</v>
      </c>
      <c r="AL298" s="173" t="str">
        <f t="shared" si="718"/>
        <v>3,500.55</v>
      </c>
      <c r="AM298" s="174" t="str">
        <f t="shared" si="719"/>
        <v>2,485.39</v>
      </c>
    </row>
    <row r="299" ht="12.75" customHeight="1">
      <c r="A299" s="26"/>
      <c r="B299" s="190"/>
      <c r="C299" s="199">
        <v>4.37776835E8</v>
      </c>
      <c r="D299" s="152" t="s">
        <v>572</v>
      </c>
      <c r="E299" s="53" t="s">
        <v>77</v>
      </c>
      <c r="F299" s="154">
        <v>1.0</v>
      </c>
      <c r="G299" s="53"/>
      <c r="H299" s="53" t="str">
        <f t="shared" si="700"/>
        <v>0.00069</v>
      </c>
      <c r="I299" s="53" t="str">
        <f t="shared" si="701"/>
        <v>89</v>
      </c>
      <c r="J299" s="53" t="str">
        <f t="shared" si="702"/>
        <v>0</v>
      </c>
      <c r="K299" s="155" t="str">
        <f t="shared" si="703"/>
        <v>0.00</v>
      </c>
      <c r="L299" s="156" t="str">
        <f t="shared" si="704"/>
        <v>0.00 </v>
      </c>
      <c r="M299" s="132">
        <v>90.0</v>
      </c>
      <c r="N299" s="157">
        <v>819.72</v>
      </c>
      <c r="O299" s="158">
        <v>2100.0</v>
      </c>
      <c r="P299" s="159">
        <v>2260.0</v>
      </c>
      <c r="Q299" s="160">
        <v>2175.0</v>
      </c>
      <c r="R299" s="161">
        <v>0.26</v>
      </c>
      <c r="S299" s="162" t="str">
        <f t="shared" si="705"/>
        <v>1,554.00</v>
      </c>
      <c r="T299" s="163" t="str">
        <f t="shared" si="706"/>
        <v>60.00</v>
      </c>
      <c r="U299" s="164" t="str">
        <f t="shared" si="707"/>
        <v>116.19</v>
      </c>
      <c r="V299" s="165" t="str">
        <f t="shared" si="708"/>
        <v>0.00</v>
      </c>
      <c r="W299" s="166">
        <v>0.73</v>
      </c>
      <c r="X299" s="167" t="str">
        <f t="shared" si="720"/>
        <v>76</v>
      </c>
      <c r="Y299" s="168" t="str">
        <f t="shared" si="709"/>
        <v>682.500</v>
      </c>
      <c r="Z299" s="168" t="str">
        <f t="shared" si="710"/>
        <v>62.005</v>
      </c>
      <c r="AA299" s="164" t="str">
        <f t="shared" si="711"/>
        <v>0.54</v>
      </c>
      <c r="AB299" s="164">
        <v>98.92</v>
      </c>
      <c r="AC299" s="164" t="str">
        <f t="shared" si="712"/>
        <v>4.80</v>
      </c>
      <c r="AD299" s="165" t="str">
        <f t="shared" si="713"/>
        <v>210.00</v>
      </c>
      <c r="AE299" s="23"/>
      <c r="AF299" s="169" t="str">
        <f t="shared" si="714"/>
        <v>0</v>
      </c>
      <c r="AG299" s="163" t="str">
        <f t="shared" si="715"/>
        <v>68.25</v>
      </c>
      <c r="AH299" s="170" t="str">
        <f t="shared" si="716"/>
        <v>8.33%</v>
      </c>
      <c r="AI299" s="26"/>
      <c r="AJ299" s="171">
        <v>0.25</v>
      </c>
      <c r="AK299" s="172" t="str">
        <f t="shared" si="717"/>
        <v>204.93</v>
      </c>
      <c r="AL299" s="173" t="str">
        <f t="shared" si="718"/>
        <v>2,562.05</v>
      </c>
      <c r="AM299" s="174" t="str">
        <f t="shared" si="719"/>
        <v>1,819.06</v>
      </c>
    </row>
    <row r="300" ht="12.75" customHeight="1">
      <c r="A300" s="26"/>
      <c r="B300" s="190"/>
      <c r="C300" s="199">
        <v>4.37797551E8</v>
      </c>
      <c r="D300" s="152" t="s">
        <v>573</v>
      </c>
      <c r="E300" s="53" t="s">
        <v>77</v>
      </c>
      <c r="F300" s="154">
        <v>1.0</v>
      </c>
      <c r="G300" s="53"/>
      <c r="H300" s="53" t="str">
        <f t="shared" si="700"/>
        <v>0.00069</v>
      </c>
      <c r="I300" s="53" t="str">
        <f t="shared" si="701"/>
        <v>89</v>
      </c>
      <c r="J300" s="53" t="str">
        <f t="shared" si="702"/>
        <v>0</v>
      </c>
      <c r="K300" s="155" t="str">
        <f t="shared" si="703"/>
        <v>0.00</v>
      </c>
      <c r="L300" s="156" t="str">
        <f t="shared" si="704"/>
        <v>0.00 </v>
      </c>
      <c r="M300" s="132">
        <v>90.0</v>
      </c>
      <c r="N300" s="157">
        <v>956.62</v>
      </c>
      <c r="O300" s="158">
        <v>2010.0</v>
      </c>
      <c r="P300" s="159">
        <v>2250.0</v>
      </c>
      <c r="Q300" s="160">
        <v>2204.0</v>
      </c>
      <c r="R300" s="161">
        <v>0.4</v>
      </c>
      <c r="S300" s="162" t="str">
        <f t="shared" si="705"/>
        <v>1,206.00</v>
      </c>
      <c r="T300" s="163" t="str">
        <f t="shared" si="706"/>
        <v>60.00</v>
      </c>
      <c r="U300" s="164" t="str">
        <f t="shared" si="707"/>
        <v>90.17</v>
      </c>
      <c r="V300" s="165" t="str">
        <f t="shared" si="708"/>
        <v>0.00</v>
      </c>
      <c r="W300" s="166">
        <v>0.73</v>
      </c>
      <c r="X300" s="167" t="str">
        <f t="shared" si="720"/>
        <v>76</v>
      </c>
      <c r="Y300" s="168" t="str">
        <f t="shared" si="709"/>
        <v>653.250</v>
      </c>
      <c r="Z300" s="168" t="str">
        <f t="shared" si="710"/>
        <v>48.119</v>
      </c>
      <c r="AA300" s="164" t="str">
        <f t="shared" si="711"/>
        <v>0.54</v>
      </c>
      <c r="AB300" s="164">
        <v>98.92</v>
      </c>
      <c r="AC300" s="164" t="str">
        <f t="shared" si="712"/>
        <v>4.80</v>
      </c>
      <c r="AD300" s="165" t="str">
        <f t="shared" si="713"/>
        <v>201.00</v>
      </c>
      <c r="AE300" s="23"/>
      <c r="AF300" s="169" t="str">
        <f t="shared" si="714"/>
        <v>0</v>
      </c>
      <c r="AG300" s="163" t="str">
        <f t="shared" si="715"/>
        <v>-80.50</v>
      </c>
      <c r="AH300" s="170" t="str">
        <f t="shared" si="716"/>
        <v>-8.41%</v>
      </c>
      <c r="AI300" s="26"/>
      <c r="AJ300" s="171">
        <v>0.25</v>
      </c>
      <c r="AK300" s="172" t="str">
        <f t="shared" si="717"/>
        <v>239.16</v>
      </c>
      <c r="AL300" s="173" t="str">
        <f t="shared" si="718"/>
        <v>2,938.07</v>
      </c>
      <c r="AM300" s="174" t="str">
        <f t="shared" si="719"/>
        <v>2,086.03</v>
      </c>
    </row>
    <row r="301" ht="12.75" customHeight="1">
      <c r="A301" s="26"/>
      <c r="B301" s="190"/>
      <c r="C301" s="199">
        <v>4.37845041E8</v>
      </c>
      <c r="D301" s="152" t="s">
        <v>574</v>
      </c>
      <c r="E301" s="53" t="s">
        <v>77</v>
      </c>
      <c r="F301" s="154">
        <v>1.0</v>
      </c>
      <c r="G301" s="53"/>
      <c r="H301" s="53" t="str">
        <f t="shared" si="700"/>
        <v>0.00069</v>
      </c>
      <c r="I301" s="53" t="str">
        <f t="shared" si="701"/>
        <v>89</v>
      </c>
      <c r="J301" s="53" t="str">
        <f t="shared" si="702"/>
        <v>0</v>
      </c>
      <c r="K301" s="155" t="str">
        <f t="shared" si="703"/>
        <v>0.00</v>
      </c>
      <c r="L301" s="156" t="str">
        <f t="shared" si="704"/>
        <v>0.00 </v>
      </c>
      <c r="M301" s="132">
        <v>90.0</v>
      </c>
      <c r="N301" s="157">
        <v>1024.65</v>
      </c>
      <c r="O301" s="158">
        <v>2250.0</v>
      </c>
      <c r="P301" s="159">
        <v>2250.0</v>
      </c>
      <c r="Q301" s="160">
        <v>2290.0</v>
      </c>
      <c r="R301" s="161">
        <v>0.26</v>
      </c>
      <c r="S301" s="162" t="str">
        <f t="shared" si="705"/>
        <v>1,665.00</v>
      </c>
      <c r="T301" s="163" t="str">
        <f t="shared" si="706"/>
        <v>60.00</v>
      </c>
      <c r="U301" s="164" t="str">
        <f t="shared" si="707"/>
        <v>124.49</v>
      </c>
      <c r="V301" s="165" t="str">
        <f t="shared" si="708"/>
        <v>0.00</v>
      </c>
      <c r="W301" s="166">
        <v>0.73</v>
      </c>
      <c r="X301" s="167" t="str">
        <f t="shared" si="720"/>
        <v>76</v>
      </c>
      <c r="Y301" s="168" t="str">
        <f t="shared" si="709"/>
        <v>731.250</v>
      </c>
      <c r="Z301" s="168" t="str">
        <f t="shared" si="710"/>
        <v>66.434</v>
      </c>
      <c r="AA301" s="164" t="str">
        <f t="shared" si="711"/>
        <v>0.54</v>
      </c>
      <c r="AB301" s="164">
        <v>98.92</v>
      </c>
      <c r="AC301" s="164" t="str">
        <f t="shared" si="712"/>
        <v>4.80</v>
      </c>
      <c r="AD301" s="165" t="str">
        <f t="shared" si="713"/>
        <v>225.00</v>
      </c>
      <c r="AE301" s="23"/>
      <c r="AF301" s="169" t="str">
        <f t="shared" si="714"/>
        <v>0</v>
      </c>
      <c r="AG301" s="163" t="str">
        <f t="shared" si="715"/>
        <v>-63.16</v>
      </c>
      <c r="AH301" s="170" t="str">
        <f t="shared" si="716"/>
        <v>-6.16%</v>
      </c>
      <c r="AI301" s="26"/>
      <c r="AJ301" s="171">
        <v>0.25</v>
      </c>
      <c r="AK301" s="172" t="str">
        <f t="shared" si="717"/>
        <v>256.16</v>
      </c>
      <c r="AL301" s="173" t="str">
        <f t="shared" si="718"/>
        <v>3,124.92</v>
      </c>
      <c r="AM301" s="174" t="str">
        <f t="shared" si="719"/>
        <v>2,218.70</v>
      </c>
    </row>
    <row r="302" ht="12.75" customHeight="1">
      <c r="A302" s="26"/>
      <c r="B302" s="190"/>
      <c r="C302" s="199">
        <v>1.123574113E9</v>
      </c>
      <c r="D302" s="152" t="s">
        <v>575</v>
      </c>
      <c r="E302" s="53"/>
      <c r="F302" s="154"/>
      <c r="G302" s="53"/>
      <c r="H302" s="53" t="str">
        <f t="shared" si="700"/>
        <v>0.00069</v>
      </c>
      <c r="I302" s="53"/>
      <c r="J302" s="53"/>
      <c r="K302" s="155"/>
      <c r="L302" s="156"/>
      <c r="M302" s="132"/>
      <c r="N302" s="157">
        <v>484.93</v>
      </c>
      <c r="O302" s="158"/>
      <c r="P302" s="159"/>
      <c r="Q302" s="160"/>
      <c r="R302" s="161"/>
      <c r="S302" s="162"/>
      <c r="T302" s="163"/>
      <c r="U302" s="164"/>
      <c r="V302" s="165"/>
      <c r="W302" s="166"/>
      <c r="X302" s="167"/>
      <c r="Y302" s="168"/>
      <c r="Z302" s="168"/>
      <c r="AA302" s="164"/>
      <c r="AB302" s="164"/>
      <c r="AC302" s="164"/>
      <c r="AD302" s="165"/>
      <c r="AE302" s="23"/>
      <c r="AF302" s="169"/>
      <c r="AG302" s="163"/>
      <c r="AH302" s="170"/>
      <c r="AI302" s="26"/>
      <c r="AJ302" s="171"/>
      <c r="AK302" s="172"/>
      <c r="AL302" s="173"/>
      <c r="AM302" s="174"/>
    </row>
    <row r="303" ht="12.75" customHeight="1">
      <c r="A303" s="26"/>
      <c r="B303" s="190"/>
      <c r="C303" s="199">
        <v>4.37850261E8</v>
      </c>
      <c r="D303" s="152" t="s">
        <v>576</v>
      </c>
      <c r="E303" s="53" t="s">
        <v>77</v>
      </c>
      <c r="F303" s="154">
        <v>1.0</v>
      </c>
      <c r="G303" s="53"/>
      <c r="H303" s="53" t="str">
        <f t="shared" si="700"/>
        <v>0.00069</v>
      </c>
      <c r="I303" s="53" t="str">
        <f>$I$3</f>
        <v>89</v>
      </c>
      <c r="J303" s="53" t="str">
        <f>G303*H303*I303*F303</f>
        <v>0</v>
      </c>
      <c r="K303" s="155" t="str">
        <f>J303*$J$4</f>
        <v>0.00</v>
      </c>
      <c r="L303" s="156" t="str">
        <f>K303+J303</f>
        <v>0.00 </v>
      </c>
      <c r="M303" s="132">
        <v>90.0</v>
      </c>
      <c r="N303" s="157">
        <v>765.0</v>
      </c>
      <c r="O303" s="158">
        <v>2001.0</v>
      </c>
      <c r="P303" s="159">
        <v>2001.0</v>
      </c>
      <c r="Q303" s="160">
        <v>2044.0</v>
      </c>
      <c r="R303" s="161">
        <v>0.26</v>
      </c>
      <c r="S303" s="162" t="str">
        <f>O303-(O303*R303)</f>
        <v>1,480.74</v>
      </c>
      <c r="T303" s="163" t="str">
        <f>$C$1</f>
        <v>60.00</v>
      </c>
      <c r="U303" s="164" t="str">
        <f>(S303*7/107)+((S303-(S303*7/107))*1%)</f>
        <v>110.71</v>
      </c>
      <c r="V303" s="165" t="str">
        <f>N303*$C$3*(M303/30)</f>
        <v>0.00</v>
      </c>
      <c r="W303" s="166">
        <v>0.73</v>
      </c>
      <c r="X303" s="167" t="str">
        <f>((_xlfn.CEILING.MATH(W303)-1)*$C$5+$C$4)</f>
        <v>76</v>
      </c>
      <c r="Y303" s="168" t="str">
        <f>O303*$Y$6</f>
        <v>650.325</v>
      </c>
      <c r="Z303" s="168" t="str">
        <f>S303*$Y$7</f>
        <v>59.082</v>
      </c>
      <c r="AA303" s="164" t="str">
        <f>$Y$3*((100-AB303)/100)</f>
        <v>0.54</v>
      </c>
      <c r="AB303" s="164">
        <v>98.92</v>
      </c>
      <c r="AC303" s="164" t="str">
        <f>$C$6*$C$7*_xlfn.CEILING.MATH(W303)</f>
        <v>4.80</v>
      </c>
      <c r="AD303" s="165" t="str">
        <f>O303*$C$2</f>
        <v>200.10</v>
      </c>
      <c r="AE303" s="23"/>
      <c r="AF303" s="169" t="str">
        <f>(_xlfn.CEILING.MATH(W303))*$Y$1*$AD$2</f>
        <v>0</v>
      </c>
      <c r="AG303" s="163" t="str">
        <f>O303-T303-U303-V303-X303-Y303-Z303-AA303-AC303-AD303-N303</f>
        <v>74.44</v>
      </c>
      <c r="AH303" s="170" t="str">
        <f>AG303/N303</f>
        <v>9.73%</v>
      </c>
      <c r="AI303" s="26"/>
      <c r="AJ303" s="171">
        <v>0.25</v>
      </c>
      <c r="AK303" s="172" t="str">
        <f>N303*AJ303</f>
        <v>191.25</v>
      </c>
      <c r="AL303" s="173" t="str">
        <f>(N303+T303+V303+X303+AA303+AC303+AF303+AK303)/(100%-($C$2+$C$8+$Y$6+$Y$7))</f>
        <v>2,411.76</v>
      </c>
      <c r="AM303" s="174" t="str">
        <f>AL303-(AL303*$AD$1)</f>
        <v>1,712.35</v>
      </c>
    </row>
    <row r="304" ht="12.75" customHeight="1">
      <c r="A304" s="26"/>
      <c r="B304" s="125" t="s">
        <v>577</v>
      </c>
      <c r="C304" s="126"/>
      <c r="D304" s="127"/>
      <c r="E304" s="128"/>
      <c r="F304" s="128"/>
      <c r="G304" s="128"/>
      <c r="H304" s="197"/>
      <c r="I304" s="197"/>
      <c r="J304" s="128"/>
      <c r="K304" s="130"/>
      <c r="L304" s="131"/>
      <c r="M304" s="132"/>
      <c r="N304" s="176"/>
      <c r="O304" s="134"/>
      <c r="P304" s="135"/>
      <c r="Q304" s="135"/>
      <c r="R304" s="136"/>
      <c r="S304" s="137"/>
      <c r="T304" s="177"/>
      <c r="U304" s="178"/>
      <c r="V304" s="179"/>
      <c r="W304" s="180"/>
      <c r="X304" s="181"/>
      <c r="Y304" s="182"/>
      <c r="Z304" s="182"/>
      <c r="AA304" s="178"/>
      <c r="AB304" s="178"/>
      <c r="AC304" s="178"/>
      <c r="AD304" s="179"/>
      <c r="AE304" s="183"/>
      <c r="AF304" s="184"/>
      <c r="AG304" s="177"/>
      <c r="AH304" s="185"/>
      <c r="AI304" s="26"/>
      <c r="AJ304" s="186"/>
      <c r="AK304" s="187"/>
      <c r="AL304" s="188"/>
      <c r="AM304" s="189"/>
    </row>
    <row r="305" ht="12.75" customHeight="1">
      <c r="A305" s="26"/>
      <c r="B305" s="190" t="s">
        <v>578</v>
      </c>
      <c r="C305" s="199">
        <v>2.14312259E8</v>
      </c>
      <c r="D305" s="152" t="s">
        <v>579</v>
      </c>
      <c r="E305" s="53" t="s">
        <v>77</v>
      </c>
      <c r="F305" s="154">
        <v>1.0</v>
      </c>
      <c r="G305" s="53"/>
      <c r="H305" s="53" t="str">
        <f t="shared" ref="H305:H310" si="721">$I$2</f>
        <v>0.00069</v>
      </c>
      <c r="I305" s="53" t="str">
        <f t="shared" ref="I305:I310" si="722">$I$3</f>
        <v>89</v>
      </c>
      <c r="J305" s="53" t="str">
        <f t="shared" ref="J305:J310" si="723">G305*H305*I305*F305</f>
        <v>0</v>
      </c>
      <c r="K305" s="155" t="str">
        <f t="shared" ref="K305:K310" si="724">J305*$J$4</f>
        <v>0.00</v>
      </c>
      <c r="L305" s="156" t="str">
        <f t="shared" ref="L305:L310" si="725">K305+J305</f>
        <v>0.00 </v>
      </c>
      <c r="M305" s="132">
        <v>90.0</v>
      </c>
      <c r="N305" s="157">
        <v>472.75</v>
      </c>
      <c r="O305" s="158">
        <v>2019.0</v>
      </c>
      <c r="P305" s="159" t="str">
        <f t="shared" ref="P305:P307" si="726">O305</f>
        <v>2,019.00</v>
      </c>
      <c r="Q305" s="160" t="s">
        <v>78</v>
      </c>
      <c r="R305" s="161">
        <v>0.26</v>
      </c>
      <c r="S305" s="162" t="str">
        <f t="shared" ref="S305:S310" si="727">O305-(O305*R305)</f>
        <v>1,494.06</v>
      </c>
      <c r="T305" s="163" t="str">
        <f t="shared" ref="T305:T310" si="728">$C$1</f>
        <v>60.00</v>
      </c>
      <c r="U305" s="164" t="str">
        <f t="shared" ref="U305:U310" si="729">(S305*7/107)+((S305-(S305*7/107))*1%)</f>
        <v>111.71</v>
      </c>
      <c r="V305" s="165" t="str">
        <f t="shared" ref="V305:V310" si="730">N305*$C$3*(M305/30)</f>
        <v>0.00</v>
      </c>
      <c r="W305" s="166">
        <v>3.0</v>
      </c>
      <c r="X305" s="167" t="str">
        <f t="shared" ref="X305:X310" si="731">((_xlfn.CEILING.MATH(W305)-1)*$C$5+$C$4)</f>
        <v>114</v>
      </c>
      <c r="Y305" s="168" t="str">
        <f t="shared" ref="Y305:Y310" si="732">O305*$Y$6</f>
        <v>656.175</v>
      </c>
      <c r="Z305" s="168" t="str">
        <f t="shared" ref="Z305:Z310" si="733">S305*$Y$7</f>
        <v>59.613</v>
      </c>
      <c r="AA305" s="164" t="str">
        <f t="shared" ref="AA305:AA310" si="734">$Y$3*((100-AB305)/100)</f>
        <v>5.88</v>
      </c>
      <c r="AB305" s="164">
        <v>88.24</v>
      </c>
      <c r="AC305" s="164" t="str">
        <f t="shared" ref="AC305:AC310" si="735">$C$6*$C$7*_xlfn.CEILING.MATH(W305)</f>
        <v>14.40</v>
      </c>
      <c r="AD305" s="165" t="str">
        <f t="shared" ref="AD305:AD310" si="736">O305*$C$2</f>
        <v>201.90</v>
      </c>
      <c r="AE305" s="23"/>
      <c r="AF305" s="169" t="str">
        <f t="shared" ref="AF305:AF310" si="737">(_xlfn.CEILING.MATH(W305))*$Y$1*$AD$2</f>
        <v>0</v>
      </c>
      <c r="AG305" s="163" t="str">
        <f t="shared" ref="AG305:AG310" si="738">O305-T305-U305-V305-X305-Y305-Z305-AA305-AC305-AD305-N305</f>
        <v>322.58</v>
      </c>
      <c r="AH305" s="170" t="str">
        <f t="shared" ref="AH305:AH310" si="739">AG305/N305</f>
        <v>68.23%</v>
      </c>
      <c r="AI305" s="26"/>
      <c r="AJ305" s="171" t="str">
        <f t="shared" ref="AJ305:AJ310" si="740">$AD$3</f>
        <v>0.00%</v>
      </c>
      <c r="AK305" s="172" t="str">
        <f t="shared" ref="AK305:AK310" si="741">N305*AJ305</f>
        <v>0.00</v>
      </c>
      <c r="AL305" s="173" t="str">
        <f t="shared" ref="AL305:AL310" si="742">(N305+T305+V305+X305+AA305+AC305+AF305+AK305)/(100%-($C$2+$C$8+$Y$6+$Y$7))</f>
        <v>1,465.68</v>
      </c>
      <c r="AM305" s="174" t="str">
        <f t="shared" ref="AM305:AM310" si="743">AL305-(AL305*$AD$1)</f>
        <v>1,040.63</v>
      </c>
    </row>
    <row r="306" ht="12.75" customHeight="1">
      <c r="A306" s="26"/>
      <c r="B306" s="190" t="s">
        <v>580</v>
      </c>
      <c r="C306" s="199">
        <v>2.14312149E8</v>
      </c>
      <c r="D306" s="152" t="s">
        <v>581</v>
      </c>
      <c r="E306" s="53" t="s">
        <v>77</v>
      </c>
      <c r="F306" s="154">
        <v>1.0</v>
      </c>
      <c r="G306" s="53"/>
      <c r="H306" s="53" t="str">
        <f t="shared" si="721"/>
        <v>0.00069</v>
      </c>
      <c r="I306" s="53" t="str">
        <f t="shared" si="722"/>
        <v>89</v>
      </c>
      <c r="J306" s="53" t="str">
        <f t="shared" si="723"/>
        <v>0</v>
      </c>
      <c r="K306" s="155" t="str">
        <f t="shared" si="724"/>
        <v>0.00</v>
      </c>
      <c r="L306" s="156" t="str">
        <f t="shared" si="725"/>
        <v>0.00 </v>
      </c>
      <c r="M306" s="132">
        <v>90.0</v>
      </c>
      <c r="N306" s="157">
        <v>294.15</v>
      </c>
      <c r="O306" s="158">
        <v>1304.0</v>
      </c>
      <c r="P306" s="159" t="str">
        <f t="shared" si="726"/>
        <v>1,304.00</v>
      </c>
      <c r="Q306" s="160" t="s">
        <v>78</v>
      </c>
      <c r="R306" s="161">
        <v>0.26</v>
      </c>
      <c r="S306" s="162" t="str">
        <f t="shared" si="727"/>
        <v>964.96</v>
      </c>
      <c r="T306" s="163" t="str">
        <f t="shared" si="728"/>
        <v>60.00</v>
      </c>
      <c r="U306" s="164" t="str">
        <f t="shared" si="729"/>
        <v>72.15</v>
      </c>
      <c r="V306" s="165" t="str">
        <f t="shared" si="730"/>
        <v>0.00</v>
      </c>
      <c r="W306" s="166">
        <v>0.24</v>
      </c>
      <c r="X306" s="167" t="str">
        <f t="shared" si="731"/>
        <v>76</v>
      </c>
      <c r="Y306" s="168" t="str">
        <f t="shared" si="732"/>
        <v>423.800</v>
      </c>
      <c r="Z306" s="168" t="str">
        <f t="shared" si="733"/>
        <v>38.502</v>
      </c>
      <c r="AA306" s="164" t="str">
        <f t="shared" si="734"/>
        <v>7.15</v>
      </c>
      <c r="AB306" s="164">
        <v>85.71</v>
      </c>
      <c r="AC306" s="164" t="str">
        <f t="shared" si="735"/>
        <v>4.80</v>
      </c>
      <c r="AD306" s="165" t="str">
        <f t="shared" si="736"/>
        <v>130.40</v>
      </c>
      <c r="AE306" s="23"/>
      <c r="AF306" s="169" t="str">
        <f t="shared" si="737"/>
        <v>0</v>
      </c>
      <c r="AG306" s="163" t="str">
        <f t="shared" si="738"/>
        <v>197.06</v>
      </c>
      <c r="AH306" s="170" t="str">
        <f t="shared" si="739"/>
        <v>66.99%</v>
      </c>
      <c r="AI306" s="26"/>
      <c r="AJ306" s="171" t="str">
        <f t="shared" si="740"/>
        <v>0.00%</v>
      </c>
      <c r="AK306" s="172" t="str">
        <f t="shared" si="741"/>
        <v>0.00</v>
      </c>
      <c r="AL306" s="173" t="str">
        <f t="shared" si="742"/>
        <v>971.42</v>
      </c>
      <c r="AM306" s="174" t="str">
        <f t="shared" si="743"/>
        <v>689.71</v>
      </c>
    </row>
    <row r="307" ht="12.75" customHeight="1">
      <c r="A307" s="26"/>
      <c r="B307" s="190" t="s">
        <v>582</v>
      </c>
      <c r="C307" s="199">
        <v>2.14311963E8</v>
      </c>
      <c r="D307" s="152" t="s">
        <v>583</v>
      </c>
      <c r="E307" s="53" t="s">
        <v>77</v>
      </c>
      <c r="F307" s="154">
        <v>1.0</v>
      </c>
      <c r="G307" s="53"/>
      <c r="H307" s="53" t="str">
        <f t="shared" si="721"/>
        <v>0.00069</v>
      </c>
      <c r="I307" s="53" t="str">
        <f t="shared" si="722"/>
        <v>89</v>
      </c>
      <c r="J307" s="53" t="str">
        <f t="shared" si="723"/>
        <v>0</v>
      </c>
      <c r="K307" s="155" t="str">
        <f t="shared" si="724"/>
        <v>0.00</v>
      </c>
      <c r="L307" s="156" t="str">
        <f t="shared" si="725"/>
        <v>0.00 </v>
      </c>
      <c r="M307" s="132">
        <v>90.0</v>
      </c>
      <c r="N307" s="157">
        <v>367.89</v>
      </c>
      <c r="O307" s="158">
        <v>1850.0</v>
      </c>
      <c r="P307" s="159" t="str">
        <f t="shared" si="726"/>
        <v>1,850.00</v>
      </c>
      <c r="Q307" s="160">
        <v>1968.0</v>
      </c>
      <c r="R307" s="161">
        <v>0.26</v>
      </c>
      <c r="S307" s="162" t="str">
        <f t="shared" si="727"/>
        <v>1,369.00</v>
      </c>
      <c r="T307" s="163" t="str">
        <f t="shared" si="728"/>
        <v>60.00</v>
      </c>
      <c r="U307" s="164" t="str">
        <f t="shared" si="729"/>
        <v>102.36</v>
      </c>
      <c r="V307" s="165" t="str">
        <f t="shared" si="730"/>
        <v>0.00</v>
      </c>
      <c r="W307" s="166">
        <v>0.18</v>
      </c>
      <c r="X307" s="167" t="str">
        <f t="shared" si="731"/>
        <v>76</v>
      </c>
      <c r="Y307" s="168" t="str">
        <f t="shared" si="732"/>
        <v>601.250</v>
      </c>
      <c r="Z307" s="168" t="str">
        <f t="shared" si="733"/>
        <v>54.623</v>
      </c>
      <c r="AA307" s="164" t="str">
        <f t="shared" si="734"/>
        <v>3.71</v>
      </c>
      <c r="AB307" s="164">
        <v>92.59</v>
      </c>
      <c r="AC307" s="164" t="str">
        <f t="shared" si="735"/>
        <v>4.80</v>
      </c>
      <c r="AD307" s="165" t="str">
        <f t="shared" si="736"/>
        <v>185.00</v>
      </c>
      <c r="AE307" s="23"/>
      <c r="AF307" s="169" t="str">
        <f t="shared" si="737"/>
        <v>0</v>
      </c>
      <c r="AG307" s="163" t="str">
        <f t="shared" si="738"/>
        <v>394.38</v>
      </c>
      <c r="AH307" s="170" t="str">
        <f t="shared" si="739"/>
        <v>107.20%</v>
      </c>
      <c r="AI307" s="26"/>
      <c r="AJ307" s="171" t="str">
        <f t="shared" si="740"/>
        <v>0.00%</v>
      </c>
      <c r="AK307" s="172" t="str">
        <f t="shared" si="741"/>
        <v>0.00</v>
      </c>
      <c r="AL307" s="173" t="str">
        <f t="shared" si="742"/>
        <v>1,125.90</v>
      </c>
      <c r="AM307" s="174" t="str">
        <f t="shared" si="743"/>
        <v>799.39</v>
      </c>
    </row>
    <row r="308" ht="12.75" customHeight="1">
      <c r="A308" s="26"/>
      <c r="B308" s="190" t="s">
        <v>584</v>
      </c>
      <c r="C308" s="202">
        <v>2.14312065E8</v>
      </c>
      <c r="D308" s="152" t="s">
        <v>585</v>
      </c>
      <c r="E308" s="53" t="s">
        <v>77</v>
      </c>
      <c r="F308" s="154">
        <v>1.0</v>
      </c>
      <c r="G308" s="53"/>
      <c r="H308" s="53" t="str">
        <f t="shared" si="721"/>
        <v>0.00069</v>
      </c>
      <c r="I308" s="53" t="str">
        <f t="shared" si="722"/>
        <v>89</v>
      </c>
      <c r="J308" s="53" t="str">
        <f t="shared" si="723"/>
        <v>0</v>
      </c>
      <c r="K308" s="155" t="str">
        <f t="shared" si="724"/>
        <v>0.00</v>
      </c>
      <c r="L308" s="156" t="str">
        <f t="shared" si="725"/>
        <v>0.00 </v>
      </c>
      <c r="M308" s="132">
        <v>90.0</v>
      </c>
      <c r="N308" s="157">
        <v>0.0</v>
      </c>
      <c r="O308" s="158">
        <v>1259.1</v>
      </c>
      <c r="P308" s="159" t="str">
        <f t="shared" ref="P308:P310" si="744">AL308</f>
        <v>313.10</v>
      </c>
      <c r="Q308" s="160"/>
      <c r="R308" s="161">
        <v>0.26</v>
      </c>
      <c r="S308" s="162" t="str">
        <f t="shared" si="727"/>
        <v>931.73</v>
      </c>
      <c r="T308" s="163" t="str">
        <f t="shared" si="728"/>
        <v>60.00</v>
      </c>
      <c r="U308" s="164" t="str">
        <f t="shared" si="729"/>
        <v>69.66</v>
      </c>
      <c r="V308" s="165" t="str">
        <f t="shared" si="730"/>
        <v>0.00</v>
      </c>
      <c r="W308" s="166">
        <v>0.68</v>
      </c>
      <c r="X308" s="167" t="str">
        <f t="shared" si="731"/>
        <v>76</v>
      </c>
      <c r="Y308" s="168" t="str">
        <f t="shared" si="732"/>
        <v>409.208</v>
      </c>
      <c r="Z308" s="168" t="str">
        <f t="shared" si="733"/>
        <v>37.176</v>
      </c>
      <c r="AA308" s="164" t="str">
        <f t="shared" si="734"/>
        <v>1.69</v>
      </c>
      <c r="AB308" s="164">
        <v>96.62</v>
      </c>
      <c r="AC308" s="164" t="str">
        <f t="shared" si="735"/>
        <v>4.80</v>
      </c>
      <c r="AD308" s="165" t="str">
        <f t="shared" si="736"/>
        <v>125.91</v>
      </c>
      <c r="AE308" s="23"/>
      <c r="AF308" s="169" t="str">
        <f t="shared" si="737"/>
        <v>0</v>
      </c>
      <c r="AG308" s="163" t="str">
        <f t="shared" si="738"/>
        <v>474.65</v>
      </c>
      <c r="AH308" s="170" t="str">
        <f t="shared" si="739"/>
        <v>#DIV/0!</v>
      </c>
      <c r="AI308" s="26"/>
      <c r="AJ308" s="171" t="str">
        <f t="shared" si="740"/>
        <v>0.00%</v>
      </c>
      <c r="AK308" s="172" t="str">
        <f t="shared" si="741"/>
        <v>0.00</v>
      </c>
      <c r="AL308" s="173" t="str">
        <f t="shared" si="742"/>
        <v>313.10</v>
      </c>
      <c r="AM308" s="174" t="str">
        <f t="shared" si="743"/>
        <v>222.30</v>
      </c>
    </row>
    <row r="309" ht="12.75" customHeight="1">
      <c r="A309" s="26"/>
      <c r="B309" s="190" t="s">
        <v>586</v>
      </c>
      <c r="C309" s="202">
        <v>2.1431211E8</v>
      </c>
      <c r="D309" s="152" t="s">
        <v>587</v>
      </c>
      <c r="E309" s="53" t="s">
        <v>77</v>
      </c>
      <c r="F309" s="154">
        <v>1.0</v>
      </c>
      <c r="G309" s="53"/>
      <c r="H309" s="53" t="str">
        <f t="shared" si="721"/>
        <v>0.00069</v>
      </c>
      <c r="I309" s="53" t="str">
        <f t="shared" si="722"/>
        <v>89</v>
      </c>
      <c r="J309" s="53" t="str">
        <f t="shared" si="723"/>
        <v>0</v>
      </c>
      <c r="K309" s="155" t="str">
        <f t="shared" si="724"/>
        <v>0.00</v>
      </c>
      <c r="L309" s="156" t="str">
        <f t="shared" si="725"/>
        <v>0.00 </v>
      </c>
      <c r="M309" s="132">
        <v>90.0</v>
      </c>
      <c r="N309" s="157">
        <v>0.0</v>
      </c>
      <c r="O309" s="158">
        <v>1501.2</v>
      </c>
      <c r="P309" s="159" t="str">
        <f t="shared" si="744"/>
        <v>320.06</v>
      </c>
      <c r="Q309" s="160"/>
      <c r="R309" s="161">
        <v>0.26</v>
      </c>
      <c r="S309" s="162" t="str">
        <f t="shared" si="727"/>
        <v>1,110.89</v>
      </c>
      <c r="T309" s="163" t="str">
        <f t="shared" si="728"/>
        <v>60.00</v>
      </c>
      <c r="U309" s="164" t="str">
        <f t="shared" si="729"/>
        <v>83.06</v>
      </c>
      <c r="V309" s="165" t="str">
        <f t="shared" si="730"/>
        <v>0.00</v>
      </c>
      <c r="W309" s="166">
        <v>0.61</v>
      </c>
      <c r="X309" s="167" t="str">
        <f t="shared" si="731"/>
        <v>76</v>
      </c>
      <c r="Y309" s="168" t="str">
        <f t="shared" si="732"/>
        <v>487.890</v>
      </c>
      <c r="Z309" s="168" t="str">
        <f t="shared" si="733"/>
        <v>44.324</v>
      </c>
      <c r="AA309" s="164" t="str">
        <f t="shared" si="734"/>
        <v>4.86</v>
      </c>
      <c r="AB309" s="164">
        <v>90.28</v>
      </c>
      <c r="AC309" s="164" t="str">
        <f t="shared" si="735"/>
        <v>4.80</v>
      </c>
      <c r="AD309" s="165" t="str">
        <f t="shared" si="736"/>
        <v>150.12</v>
      </c>
      <c r="AE309" s="23"/>
      <c r="AF309" s="169" t="str">
        <f t="shared" si="737"/>
        <v>0</v>
      </c>
      <c r="AG309" s="163" t="str">
        <f t="shared" si="738"/>
        <v>590.15</v>
      </c>
      <c r="AH309" s="170" t="str">
        <f t="shared" si="739"/>
        <v>#DIV/0!</v>
      </c>
      <c r="AI309" s="26"/>
      <c r="AJ309" s="171" t="str">
        <f t="shared" si="740"/>
        <v>0.00%</v>
      </c>
      <c r="AK309" s="172" t="str">
        <f t="shared" si="741"/>
        <v>0.00</v>
      </c>
      <c r="AL309" s="173" t="str">
        <f t="shared" si="742"/>
        <v>320.06</v>
      </c>
      <c r="AM309" s="174" t="str">
        <f t="shared" si="743"/>
        <v>227.24</v>
      </c>
    </row>
    <row r="310" ht="12.75" customHeight="1">
      <c r="A310" s="26"/>
      <c r="B310" s="190" t="s">
        <v>588</v>
      </c>
      <c r="C310" s="202">
        <v>2.14319164E8</v>
      </c>
      <c r="D310" s="152" t="s">
        <v>589</v>
      </c>
      <c r="E310" s="53" t="s">
        <v>77</v>
      </c>
      <c r="F310" s="154">
        <v>1.0</v>
      </c>
      <c r="G310" s="53"/>
      <c r="H310" s="53" t="str">
        <f t="shared" si="721"/>
        <v>0.00069</v>
      </c>
      <c r="I310" s="53" t="str">
        <f t="shared" si="722"/>
        <v>89</v>
      </c>
      <c r="J310" s="53" t="str">
        <f t="shared" si="723"/>
        <v>0</v>
      </c>
      <c r="K310" s="155" t="str">
        <f t="shared" si="724"/>
        <v>0.00</v>
      </c>
      <c r="L310" s="156" t="str">
        <f t="shared" si="725"/>
        <v>0.00 </v>
      </c>
      <c r="M310" s="132">
        <v>90.0</v>
      </c>
      <c r="N310" s="157">
        <v>0.0</v>
      </c>
      <c r="O310" s="158">
        <v>2308.2</v>
      </c>
      <c r="P310" s="159" t="str">
        <f t="shared" si="744"/>
        <v>312.63</v>
      </c>
      <c r="Q310" s="160"/>
      <c r="R310" s="161">
        <v>0.26</v>
      </c>
      <c r="S310" s="162" t="str">
        <f t="shared" si="727"/>
        <v>1,708.07</v>
      </c>
      <c r="T310" s="163" t="str">
        <f t="shared" si="728"/>
        <v>60.00</v>
      </c>
      <c r="U310" s="164" t="str">
        <f t="shared" si="729"/>
        <v>127.71</v>
      </c>
      <c r="V310" s="165" t="str">
        <f t="shared" si="730"/>
        <v>0.00</v>
      </c>
      <c r="W310" s="166">
        <v>0.96</v>
      </c>
      <c r="X310" s="167" t="str">
        <f t="shared" si="731"/>
        <v>76</v>
      </c>
      <c r="Y310" s="168" t="str">
        <f t="shared" si="732"/>
        <v>750.165</v>
      </c>
      <c r="Z310" s="168" t="str">
        <f t="shared" si="733"/>
        <v>68.152</v>
      </c>
      <c r="AA310" s="164" t="str">
        <f t="shared" si="734"/>
        <v>1.48</v>
      </c>
      <c r="AB310" s="164">
        <v>97.04</v>
      </c>
      <c r="AC310" s="164" t="str">
        <f t="shared" si="735"/>
        <v>4.80</v>
      </c>
      <c r="AD310" s="165" t="str">
        <f t="shared" si="736"/>
        <v>230.82</v>
      </c>
      <c r="AE310" s="23"/>
      <c r="AF310" s="169" t="str">
        <f t="shared" si="737"/>
        <v>0</v>
      </c>
      <c r="AG310" s="163" t="str">
        <f t="shared" si="738"/>
        <v>989.08</v>
      </c>
      <c r="AH310" s="170" t="str">
        <f t="shared" si="739"/>
        <v>#DIV/0!</v>
      </c>
      <c r="AI310" s="26"/>
      <c r="AJ310" s="171" t="str">
        <f t="shared" si="740"/>
        <v>0.00%</v>
      </c>
      <c r="AK310" s="172" t="str">
        <f t="shared" si="741"/>
        <v>0.00</v>
      </c>
      <c r="AL310" s="173" t="str">
        <f t="shared" si="742"/>
        <v>312.63</v>
      </c>
      <c r="AM310" s="174" t="str">
        <f t="shared" si="743"/>
        <v>221.97</v>
      </c>
    </row>
    <row r="311" ht="12.75" customHeight="1">
      <c r="A311" s="26"/>
      <c r="B311" s="125" t="s">
        <v>590</v>
      </c>
      <c r="C311" s="126"/>
      <c r="D311" s="127"/>
      <c r="E311" s="128"/>
      <c r="F311" s="128"/>
      <c r="G311" s="128"/>
      <c r="H311" s="197"/>
      <c r="I311" s="197"/>
      <c r="J311" s="128"/>
      <c r="K311" s="130"/>
      <c r="L311" s="131"/>
      <c r="M311" s="132"/>
      <c r="N311" s="176"/>
      <c r="O311" s="134"/>
      <c r="P311" s="135"/>
      <c r="Q311" s="135"/>
      <c r="R311" s="136"/>
      <c r="S311" s="137"/>
      <c r="T311" s="177"/>
      <c r="U311" s="178"/>
      <c r="V311" s="179"/>
      <c r="W311" s="180"/>
      <c r="X311" s="181"/>
      <c r="Y311" s="182"/>
      <c r="Z311" s="182"/>
      <c r="AA311" s="178"/>
      <c r="AB311" s="178"/>
      <c r="AC311" s="178"/>
      <c r="AD311" s="179"/>
      <c r="AE311" s="183"/>
      <c r="AF311" s="184"/>
      <c r="AG311" s="177"/>
      <c r="AH311" s="185"/>
      <c r="AI311" s="26"/>
      <c r="AJ311" s="186"/>
      <c r="AK311" s="187"/>
      <c r="AL311" s="188"/>
      <c r="AM311" s="189"/>
    </row>
    <row r="312" ht="12.75" customHeight="1">
      <c r="A312" s="26"/>
      <c r="B312" s="190" t="s">
        <v>591</v>
      </c>
      <c r="C312" s="199">
        <v>2.48928555E8</v>
      </c>
      <c r="D312" s="152" t="s">
        <v>592</v>
      </c>
      <c r="E312" s="53" t="s">
        <v>77</v>
      </c>
      <c r="F312" s="154">
        <v>1.0</v>
      </c>
      <c r="G312" s="53"/>
      <c r="H312" s="53" t="str">
        <f t="shared" ref="H312:H319" si="745">$I$2</f>
        <v>0.00069</v>
      </c>
      <c r="I312" s="53" t="str">
        <f t="shared" ref="I312:I319" si="746">$I$3</f>
        <v>89</v>
      </c>
      <c r="J312" s="53" t="str">
        <f t="shared" ref="J312:J319" si="747">G312*H312*I312*F312</f>
        <v>0</v>
      </c>
      <c r="K312" s="155" t="str">
        <f t="shared" ref="K312:K319" si="748">J312*$J$4</f>
        <v>0.00</v>
      </c>
      <c r="L312" s="156" t="str">
        <f t="shared" ref="L312:L319" si="749">K312+J312</f>
        <v>0.00 </v>
      </c>
      <c r="M312" s="132">
        <v>90.0</v>
      </c>
      <c r="N312" s="157">
        <v>984.2</v>
      </c>
      <c r="O312" s="158">
        <v>2700.0</v>
      </c>
      <c r="P312" s="159" t="str">
        <f t="shared" ref="P312:P319" si="750">AL312</f>
        <v>2,529.77</v>
      </c>
      <c r="Q312" s="160"/>
      <c r="R312" s="161">
        <v>0.26</v>
      </c>
      <c r="S312" s="162" t="str">
        <f t="shared" ref="S312:S319" si="751">O312-(O312*R312)</f>
        <v>1,998.00</v>
      </c>
      <c r="T312" s="163" t="str">
        <f t="shared" ref="T312:T319" si="752">$C$1</f>
        <v>60.00</v>
      </c>
      <c r="U312" s="164" t="str">
        <f t="shared" ref="U312:U319" si="753">(S312*7/107)+((S312-(S312*7/107))*1%)</f>
        <v>149.38</v>
      </c>
      <c r="V312" s="165" t="str">
        <f t="shared" ref="V312:V319" si="754">N312*$C$3*(M312/30)</f>
        <v>0.00</v>
      </c>
      <c r="W312" s="166">
        <v>1.08</v>
      </c>
      <c r="X312" s="167" t="str">
        <f t="shared" ref="X312:X319" si="755">((_xlfn.CEILING.MATH(W312)-1)*$C$5+$C$4)</f>
        <v>95</v>
      </c>
      <c r="Y312" s="168" t="str">
        <f t="shared" ref="Y312:Y319" si="756">O312*$Y$6</f>
        <v>877.500</v>
      </c>
      <c r="Z312" s="168" t="str">
        <f t="shared" ref="Z312:Z319" si="757">S312*$Y$7</f>
        <v>79.720</v>
      </c>
      <c r="AA312" s="164" t="str">
        <f t="shared" ref="AA312:AA319" si="758">$Y$3*((100-AB312)/100)</f>
        <v>2.50</v>
      </c>
      <c r="AB312" s="164">
        <v>95.0</v>
      </c>
      <c r="AC312" s="164" t="str">
        <f t="shared" ref="AC312:AC319" si="759">$C$6*$C$7*_xlfn.CEILING.MATH(W312)</f>
        <v>9.60</v>
      </c>
      <c r="AD312" s="165" t="str">
        <f t="shared" ref="AD312:AD319" si="760">O312*$C$2</f>
        <v>270.00</v>
      </c>
      <c r="AE312" s="23"/>
      <c r="AF312" s="169" t="str">
        <f t="shared" ref="AF312:AF319" si="761">(_xlfn.CEILING.MATH(W312))*$Y$1*$AD$2</f>
        <v>0</v>
      </c>
      <c r="AG312" s="163" t="str">
        <f t="shared" ref="AG312:AG319" si="762">O312-T312-U312-V312-X312-Y312-Z312-AA312-AC312-AD312-N312</f>
        <v>172.10</v>
      </c>
      <c r="AH312" s="170" t="str">
        <f t="shared" ref="AH312:AH319" si="763">AG312/N312</f>
        <v>17.49%</v>
      </c>
      <c r="AI312" s="26"/>
      <c r="AJ312" s="171" t="str">
        <f t="shared" ref="AJ312:AJ319" si="764">$AD$3</f>
        <v>0.00%</v>
      </c>
      <c r="AK312" s="172" t="str">
        <f t="shared" ref="AK312:AK319" si="765">N312*AJ312</f>
        <v>0.00</v>
      </c>
      <c r="AL312" s="173" t="str">
        <f t="shared" ref="AL312:AL319" si="766">(N312+T312+V312+X312+AA312+AC312+AF312+AK312)/(100%-($C$2+$C$8+$Y$6+$Y$7))</f>
        <v>2,529.77</v>
      </c>
      <c r="AM312" s="174" t="str">
        <f t="shared" ref="AM312:AM319" si="767">AL312-(AL312*$AD$1)</f>
        <v>1,796.14</v>
      </c>
    </row>
    <row r="313" ht="12.75" customHeight="1">
      <c r="A313" s="26"/>
      <c r="B313" s="190" t="s">
        <v>593</v>
      </c>
      <c r="C313" s="192">
        <v>2.48920315E8</v>
      </c>
      <c r="D313" s="152" t="s">
        <v>594</v>
      </c>
      <c r="E313" s="53" t="s">
        <v>77</v>
      </c>
      <c r="F313" s="154">
        <v>1.0</v>
      </c>
      <c r="G313" s="53"/>
      <c r="H313" s="53" t="str">
        <f t="shared" si="745"/>
        <v>0.00069</v>
      </c>
      <c r="I313" s="53" t="str">
        <f t="shared" si="746"/>
        <v>89</v>
      </c>
      <c r="J313" s="53" t="str">
        <f t="shared" si="747"/>
        <v>0</v>
      </c>
      <c r="K313" s="155" t="str">
        <f t="shared" si="748"/>
        <v>0.00</v>
      </c>
      <c r="L313" s="156" t="str">
        <f t="shared" si="749"/>
        <v>0.00 </v>
      </c>
      <c r="M313" s="132">
        <v>90.0</v>
      </c>
      <c r="N313" s="157">
        <v>0.0</v>
      </c>
      <c r="O313" s="158">
        <v>1659.0</v>
      </c>
      <c r="P313" s="159" t="str">
        <f t="shared" si="750"/>
        <v>309.38</v>
      </c>
      <c r="Q313" s="160"/>
      <c r="R313" s="161">
        <v>0.26</v>
      </c>
      <c r="S313" s="162" t="str">
        <f t="shared" si="751"/>
        <v>1,227.66</v>
      </c>
      <c r="T313" s="163" t="str">
        <f t="shared" si="752"/>
        <v>60.00</v>
      </c>
      <c r="U313" s="164" t="str">
        <f t="shared" si="753"/>
        <v>91.79</v>
      </c>
      <c r="V313" s="165" t="str">
        <f t="shared" si="754"/>
        <v>0.00</v>
      </c>
      <c r="W313" s="166">
        <v>0.43</v>
      </c>
      <c r="X313" s="167" t="str">
        <f t="shared" si="755"/>
        <v>76</v>
      </c>
      <c r="Y313" s="168" t="str">
        <f t="shared" si="756"/>
        <v>539.175</v>
      </c>
      <c r="Z313" s="168" t="str">
        <f t="shared" si="757"/>
        <v>48.984</v>
      </c>
      <c r="AA313" s="164" t="str">
        <f t="shared" si="758"/>
        <v>0.00</v>
      </c>
      <c r="AB313" s="164">
        <v>100.0</v>
      </c>
      <c r="AC313" s="164" t="str">
        <f t="shared" si="759"/>
        <v>4.80</v>
      </c>
      <c r="AD313" s="165" t="str">
        <f t="shared" si="760"/>
        <v>165.90</v>
      </c>
      <c r="AE313" s="23"/>
      <c r="AF313" s="169" t="str">
        <f t="shared" si="761"/>
        <v>0</v>
      </c>
      <c r="AG313" s="163" t="str">
        <f t="shared" si="762"/>
        <v>672.35</v>
      </c>
      <c r="AH313" s="170" t="str">
        <f t="shared" si="763"/>
        <v>#DIV/0!</v>
      </c>
      <c r="AI313" s="26"/>
      <c r="AJ313" s="171" t="str">
        <f t="shared" si="764"/>
        <v>0.00%</v>
      </c>
      <c r="AK313" s="172" t="str">
        <f t="shared" si="765"/>
        <v>0.00</v>
      </c>
      <c r="AL313" s="173" t="str">
        <f t="shared" si="766"/>
        <v>309.38</v>
      </c>
      <c r="AM313" s="174" t="str">
        <f t="shared" si="767"/>
        <v>219.66</v>
      </c>
    </row>
    <row r="314" ht="12.75" customHeight="1">
      <c r="A314" s="26"/>
      <c r="B314" s="190" t="s">
        <v>595</v>
      </c>
      <c r="C314" s="199">
        <v>2.48928046E8</v>
      </c>
      <c r="D314" s="152" t="s">
        <v>596</v>
      </c>
      <c r="E314" s="53" t="s">
        <v>77</v>
      </c>
      <c r="F314" s="154">
        <v>1.0</v>
      </c>
      <c r="G314" s="53"/>
      <c r="H314" s="53" t="str">
        <f t="shared" si="745"/>
        <v>0.00069</v>
      </c>
      <c r="I314" s="53" t="str">
        <f t="shared" si="746"/>
        <v>89</v>
      </c>
      <c r="J314" s="53" t="str">
        <f t="shared" si="747"/>
        <v>0</v>
      </c>
      <c r="K314" s="155" t="str">
        <f t="shared" si="748"/>
        <v>0.00</v>
      </c>
      <c r="L314" s="156" t="str">
        <f t="shared" si="749"/>
        <v>0.00 </v>
      </c>
      <c r="M314" s="132">
        <v>90.0</v>
      </c>
      <c r="N314" s="157">
        <v>549.71</v>
      </c>
      <c r="O314" s="158">
        <v>1600.0</v>
      </c>
      <c r="P314" s="159" t="str">
        <f t="shared" si="750"/>
        <v>1,544.74</v>
      </c>
      <c r="Q314" s="160"/>
      <c r="R314" s="161">
        <v>0.26</v>
      </c>
      <c r="S314" s="162" t="str">
        <f t="shared" si="751"/>
        <v>1,184.00</v>
      </c>
      <c r="T314" s="163" t="str">
        <f t="shared" si="752"/>
        <v>60.00</v>
      </c>
      <c r="U314" s="164" t="str">
        <f t="shared" si="753"/>
        <v>88.52</v>
      </c>
      <c r="V314" s="165" t="str">
        <f t="shared" si="754"/>
        <v>0.00</v>
      </c>
      <c r="W314" s="166">
        <v>0.48</v>
      </c>
      <c r="X314" s="167" t="str">
        <f t="shared" si="755"/>
        <v>76</v>
      </c>
      <c r="Y314" s="168" t="str">
        <f t="shared" si="756"/>
        <v>520.000</v>
      </c>
      <c r="Z314" s="168" t="str">
        <f t="shared" si="757"/>
        <v>47.242</v>
      </c>
      <c r="AA314" s="164" t="str">
        <f t="shared" si="758"/>
        <v>12.50</v>
      </c>
      <c r="AB314" s="164">
        <v>75.0</v>
      </c>
      <c r="AC314" s="164" t="str">
        <f t="shared" si="759"/>
        <v>4.80</v>
      </c>
      <c r="AD314" s="165" t="str">
        <f t="shared" si="760"/>
        <v>160.00</v>
      </c>
      <c r="AE314" s="23"/>
      <c r="AF314" s="169" t="str">
        <f t="shared" si="761"/>
        <v>0</v>
      </c>
      <c r="AG314" s="163" t="str">
        <f t="shared" si="762"/>
        <v>81.23</v>
      </c>
      <c r="AH314" s="170" t="str">
        <f t="shared" si="763"/>
        <v>14.78%</v>
      </c>
      <c r="AI314" s="26"/>
      <c r="AJ314" s="171" t="str">
        <f t="shared" si="764"/>
        <v>0.00%</v>
      </c>
      <c r="AK314" s="172" t="str">
        <f t="shared" si="765"/>
        <v>0.00</v>
      </c>
      <c r="AL314" s="173" t="str">
        <f t="shared" si="766"/>
        <v>1,544.74</v>
      </c>
      <c r="AM314" s="174" t="str">
        <f t="shared" si="767"/>
        <v>1,096.76</v>
      </c>
    </row>
    <row r="315" ht="12.75" customHeight="1">
      <c r="A315" s="26"/>
      <c r="B315" s="190" t="s">
        <v>597</v>
      </c>
      <c r="C315" s="199">
        <v>2.48929125E8</v>
      </c>
      <c r="D315" s="152" t="s">
        <v>598</v>
      </c>
      <c r="E315" s="53" t="s">
        <v>77</v>
      </c>
      <c r="F315" s="154">
        <v>1.0</v>
      </c>
      <c r="G315" s="53"/>
      <c r="H315" s="53" t="str">
        <f t="shared" si="745"/>
        <v>0.00069</v>
      </c>
      <c r="I315" s="53" t="str">
        <f t="shared" si="746"/>
        <v>89</v>
      </c>
      <c r="J315" s="53" t="str">
        <f t="shared" si="747"/>
        <v>0</v>
      </c>
      <c r="K315" s="155" t="str">
        <f t="shared" si="748"/>
        <v>0.00</v>
      </c>
      <c r="L315" s="156" t="str">
        <f t="shared" si="749"/>
        <v>0.00 </v>
      </c>
      <c r="M315" s="132">
        <v>90.0</v>
      </c>
      <c r="N315" s="157">
        <v>1057.2</v>
      </c>
      <c r="O315" s="158">
        <v>2800.0</v>
      </c>
      <c r="P315" s="159" t="str">
        <f t="shared" si="750"/>
        <v>2,635.97</v>
      </c>
      <c r="Q315" s="160"/>
      <c r="R315" s="161">
        <v>0.26</v>
      </c>
      <c r="S315" s="162" t="str">
        <f t="shared" si="751"/>
        <v>2,072.00</v>
      </c>
      <c r="T315" s="163" t="str">
        <f t="shared" si="752"/>
        <v>60.00</v>
      </c>
      <c r="U315" s="164" t="str">
        <f t="shared" si="753"/>
        <v>154.92</v>
      </c>
      <c r="V315" s="165" t="str">
        <f t="shared" si="754"/>
        <v>0.00</v>
      </c>
      <c r="W315" s="166">
        <v>0.25</v>
      </c>
      <c r="X315" s="167" t="str">
        <f t="shared" si="755"/>
        <v>76</v>
      </c>
      <c r="Y315" s="168" t="str">
        <f t="shared" si="756"/>
        <v>910.000</v>
      </c>
      <c r="Z315" s="168" t="str">
        <f t="shared" si="757"/>
        <v>82.673</v>
      </c>
      <c r="AA315" s="164" t="str">
        <f t="shared" si="758"/>
        <v>1.63</v>
      </c>
      <c r="AB315" s="164">
        <v>96.74</v>
      </c>
      <c r="AC315" s="164" t="str">
        <f t="shared" si="759"/>
        <v>4.80</v>
      </c>
      <c r="AD315" s="165" t="str">
        <f t="shared" si="760"/>
        <v>280.00</v>
      </c>
      <c r="AE315" s="23"/>
      <c r="AF315" s="169" t="str">
        <f t="shared" si="761"/>
        <v>0</v>
      </c>
      <c r="AG315" s="163" t="str">
        <f t="shared" si="762"/>
        <v>172.78</v>
      </c>
      <c r="AH315" s="170" t="str">
        <f t="shared" si="763"/>
        <v>16.34%</v>
      </c>
      <c r="AI315" s="26"/>
      <c r="AJ315" s="171" t="str">
        <f t="shared" si="764"/>
        <v>0.00%</v>
      </c>
      <c r="AK315" s="172" t="str">
        <f t="shared" si="765"/>
        <v>0.00</v>
      </c>
      <c r="AL315" s="173" t="str">
        <f t="shared" si="766"/>
        <v>2,635.97</v>
      </c>
      <c r="AM315" s="174" t="str">
        <f t="shared" si="767"/>
        <v>1,871.54</v>
      </c>
    </row>
    <row r="316" ht="12.75" customHeight="1">
      <c r="A316" s="26"/>
      <c r="B316" s="190" t="s">
        <v>599</v>
      </c>
      <c r="C316" s="202">
        <v>2.48922407E8</v>
      </c>
      <c r="D316" s="152" t="s">
        <v>600</v>
      </c>
      <c r="E316" s="53" t="s">
        <v>77</v>
      </c>
      <c r="F316" s="154">
        <v>1.0</v>
      </c>
      <c r="G316" s="53"/>
      <c r="H316" s="53" t="str">
        <f t="shared" si="745"/>
        <v>0.00069</v>
      </c>
      <c r="I316" s="53" t="str">
        <f t="shared" si="746"/>
        <v>89</v>
      </c>
      <c r="J316" s="53" t="str">
        <f t="shared" si="747"/>
        <v>0</v>
      </c>
      <c r="K316" s="155" t="str">
        <f t="shared" si="748"/>
        <v>0.00</v>
      </c>
      <c r="L316" s="156" t="str">
        <f t="shared" si="749"/>
        <v>0.00 </v>
      </c>
      <c r="M316" s="132">
        <v>90.0</v>
      </c>
      <c r="N316" s="157">
        <v>0.0</v>
      </c>
      <c r="O316" s="158">
        <v>1829.1</v>
      </c>
      <c r="P316" s="159" t="str">
        <f t="shared" si="750"/>
        <v>313.04</v>
      </c>
      <c r="Q316" s="160"/>
      <c r="R316" s="161">
        <v>0.26</v>
      </c>
      <c r="S316" s="162" t="str">
        <f t="shared" si="751"/>
        <v>1,353.53</v>
      </c>
      <c r="T316" s="163" t="str">
        <f t="shared" si="752"/>
        <v>60.00</v>
      </c>
      <c r="U316" s="164" t="str">
        <f t="shared" si="753"/>
        <v>101.20</v>
      </c>
      <c r="V316" s="165" t="str">
        <f t="shared" si="754"/>
        <v>0.00</v>
      </c>
      <c r="W316" s="166">
        <v>0.21</v>
      </c>
      <c r="X316" s="167" t="str">
        <f t="shared" si="755"/>
        <v>76</v>
      </c>
      <c r="Y316" s="168" t="str">
        <f t="shared" si="756"/>
        <v>594.458</v>
      </c>
      <c r="Z316" s="168" t="str">
        <f t="shared" si="757"/>
        <v>54.006</v>
      </c>
      <c r="AA316" s="164" t="str">
        <f t="shared" si="758"/>
        <v>1.67</v>
      </c>
      <c r="AB316" s="164">
        <v>96.67</v>
      </c>
      <c r="AC316" s="164" t="str">
        <f t="shared" si="759"/>
        <v>4.80</v>
      </c>
      <c r="AD316" s="165" t="str">
        <f t="shared" si="760"/>
        <v>182.91</v>
      </c>
      <c r="AE316" s="23"/>
      <c r="AF316" s="169" t="str">
        <f t="shared" si="761"/>
        <v>0</v>
      </c>
      <c r="AG316" s="163" t="str">
        <f t="shared" si="762"/>
        <v>754.06</v>
      </c>
      <c r="AH316" s="170" t="str">
        <f t="shared" si="763"/>
        <v>#DIV/0!</v>
      </c>
      <c r="AI316" s="26"/>
      <c r="AJ316" s="171" t="str">
        <f t="shared" si="764"/>
        <v>0.00%</v>
      </c>
      <c r="AK316" s="172" t="str">
        <f t="shared" si="765"/>
        <v>0.00</v>
      </c>
      <c r="AL316" s="173" t="str">
        <f t="shared" si="766"/>
        <v>313.04</v>
      </c>
      <c r="AM316" s="174" t="str">
        <f t="shared" si="767"/>
        <v>222.26</v>
      </c>
    </row>
    <row r="317" ht="12.75" customHeight="1">
      <c r="A317" s="26"/>
      <c r="B317" s="190" t="s">
        <v>601</v>
      </c>
      <c r="C317" s="192">
        <v>2.48929483E8</v>
      </c>
      <c r="D317" s="152" t="s">
        <v>602</v>
      </c>
      <c r="E317" s="53" t="s">
        <v>77</v>
      </c>
      <c r="F317" s="154">
        <v>1.0</v>
      </c>
      <c r="G317" s="53"/>
      <c r="H317" s="53" t="str">
        <f t="shared" si="745"/>
        <v>0.00069</v>
      </c>
      <c r="I317" s="53" t="str">
        <f t="shared" si="746"/>
        <v>89</v>
      </c>
      <c r="J317" s="53" t="str">
        <f t="shared" si="747"/>
        <v>0</v>
      </c>
      <c r="K317" s="155" t="str">
        <f t="shared" si="748"/>
        <v>0.00</v>
      </c>
      <c r="L317" s="156" t="str">
        <f t="shared" si="749"/>
        <v>0.00 </v>
      </c>
      <c r="M317" s="132">
        <v>90.0</v>
      </c>
      <c r="N317" s="157">
        <v>0.0</v>
      </c>
      <c r="O317" s="158">
        <v>1967.7</v>
      </c>
      <c r="P317" s="159" t="str">
        <f t="shared" si="750"/>
        <v>319.07</v>
      </c>
      <c r="Q317" s="160"/>
      <c r="R317" s="161">
        <v>0.26</v>
      </c>
      <c r="S317" s="162" t="str">
        <f t="shared" si="751"/>
        <v>1,456.10</v>
      </c>
      <c r="T317" s="163" t="str">
        <f t="shared" si="752"/>
        <v>60.00</v>
      </c>
      <c r="U317" s="164" t="str">
        <f t="shared" si="753"/>
        <v>108.87</v>
      </c>
      <c r="V317" s="165" t="str">
        <f t="shared" si="754"/>
        <v>0.00</v>
      </c>
      <c r="W317" s="166">
        <v>0.4</v>
      </c>
      <c r="X317" s="167" t="str">
        <f t="shared" si="755"/>
        <v>76</v>
      </c>
      <c r="Y317" s="168" t="str">
        <f t="shared" si="756"/>
        <v>639.503</v>
      </c>
      <c r="Z317" s="168" t="str">
        <f t="shared" si="757"/>
        <v>58.098</v>
      </c>
      <c r="AA317" s="164" t="str">
        <f t="shared" si="758"/>
        <v>4.41</v>
      </c>
      <c r="AB317" s="164">
        <v>91.18</v>
      </c>
      <c r="AC317" s="164" t="str">
        <f t="shared" si="759"/>
        <v>4.80</v>
      </c>
      <c r="AD317" s="165" t="str">
        <f t="shared" si="760"/>
        <v>196.77</v>
      </c>
      <c r="AE317" s="23"/>
      <c r="AF317" s="169" t="str">
        <f t="shared" si="761"/>
        <v>0</v>
      </c>
      <c r="AG317" s="163" t="str">
        <f t="shared" si="762"/>
        <v>819.25</v>
      </c>
      <c r="AH317" s="170" t="str">
        <f t="shared" si="763"/>
        <v>#DIV/0!</v>
      </c>
      <c r="AI317" s="26"/>
      <c r="AJ317" s="171" t="str">
        <f t="shared" si="764"/>
        <v>0.00%</v>
      </c>
      <c r="AK317" s="172" t="str">
        <f t="shared" si="765"/>
        <v>0.00</v>
      </c>
      <c r="AL317" s="173" t="str">
        <f t="shared" si="766"/>
        <v>319.07</v>
      </c>
      <c r="AM317" s="174" t="str">
        <f t="shared" si="767"/>
        <v>226.54</v>
      </c>
    </row>
    <row r="318" ht="12.75" customHeight="1">
      <c r="A318" s="26"/>
      <c r="B318" s="190" t="s">
        <v>603</v>
      </c>
      <c r="C318" s="192">
        <v>2.48930918E8</v>
      </c>
      <c r="D318" s="152" t="s">
        <v>604</v>
      </c>
      <c r="E318" s="53" t="s">
        <v>77</v>
      </c>
      <c r="F318" s="154">
        <v>1.0</v>
      </c>
      <c r="G318" s="53"/>
      <c r="H318" s="53" t="str">
        <f t="shared" si="745"/>
        <v>0.00069</v>
      </c>
      <c r="I318" s="53" t="str">
        <f t="shared" si="746"/>
        <v>89</v>
      </c>
      <c r="J318" s="53" t="str">
        <f t="shared" si="747"/>
        <v>0</v>
      </c>
      <c r="K318" s="155" t="str">
        <f t="shared" si="748"/>
        <v>0.00</v>
      </c>
      <c r="L318" s="156" t="str">
        <f t="shared" si="749"/>
        <v>0.00 </v>
      </c>
      <c r="M318" s="132">
        <v>90.0</v>
      </c>
      <c r="N318" s="157">
        <v>0.0</v>
      </c>
      <c r="O318" s="158">
        <v>560.7</v>
      </c>
      <c r="P318" s="159" t="str">
        <f t="shared" si="750"/>
        <v>317.47</v>
      </c>
      <c r="Q318" s="160"/>
      <c r="R318" s="161">
        <v>0.26</v>
      </c>
      <c r="S318" s="162" t="str">
        <f t="shared" si="751"/>
        <v>414.92</v>
      </c>
      <c r="T318" s="163" t="str">
        <f t="shared" si="752"/>
        <v>60.00</v>
      </c>
      <c r="U318" s="164" t="str">
        <f t="shared" si="753"/>
        <v>31.02</v>
      </c>
      <c r="V318" s="165" t="str">
        <f t="shared" si="754"/>
        <v>0.00</v>
      </c>
      <c r="W318" s="166">
        <v>0.19</v>
      </c>
      <c r="X318" s="167" t="str">
        <f t="shared" si="755"/>
        <v>76</v>
      </c>
      <c r="Y318" s="168" t="str">
        <f t="shared" si="756"/>
        <v>182.228</v>
      </c>
      <c r="Z318" s="168" t="str">
        <f t="shared" si="757"/>
        <v>16.555</v>
      </c>
      <c r="AA318" s="164" t="str">
        <f t="shared" si="758"/>
        <v>3.68</v>
      </c>
      <c r="AB318" s="164">
        <v>92.64</v>
      </c>
      <c r="AC318" s="164" t="str">
        <f t="shared" si="759"/>
        <v>4.80</v>
      </c>
      <c r="AD318" s="165" t="str">
        <f t="shared" si="760"/>
        <v>56.07</v>
      </c>
      <c r="AE318" s="23"/>
      <c r="AF318" s="169" t="str">
        <f t="shared" si="761"/>
        <v>0</v>
      </c>
      <c r="AG318" s="163" t="str">
        <f t="shared" si="762"/>
        <v>130.35</v>
      </c>
      <c r="AH318" s="170" t="str">
        <f t="shared" si="763"/>
        <v>#DIV/0!</v>
      </c>
      <c r="AI318" s="26"/>
      <c r="AJ318" s="171" t="str">
        <f t="shared" si="764"/>
        <v>0.00%</v>
      </c>
      <c r="AK318" s="172" t="str">
        <f t="shared" si="765"/>
        <v>0.00</v>
      </c>
      <c r="AL318" s="173" t="str">
        <f t="shared" si="766"/>
        <v>317.47</v>
      </c>
      <c r="AM318" s="174" t="str">
        <f t="shared" si="767"/>
        <v>225.40</v>
      </c>
    </row>
    <row r="319" ht="12.75" customHeight="1">
      <c r="A319" s="26"/>
      <c r="B319" s="190" t="s">
        <v>605</v>
      </c>
      <c r="C319" s="192">
        <v>2.4893025E8</v>
      </c>
      <c r="D319" s="152" t="s">
        <v>606</v>
      </c>
      <c r="E319" s="53" t="s">
        <v>77</v>
      </c>
      <c r="F319" s="154">
        <v>1.0</v>
      </c>
      <c r="G319" s="53"/>
      <c r="H319" s="53" t="str">
        <f t="shared" si="745"/>
        <v>0.00069</v>
      </c>
      <c r="I319" s="53" t="str">
        <f t="shared" si="746"/>
        <v>89</v>
      </c>
      <c r="J319" s="53" t="str">
        <f t="shared" si="747"/>
        <v>0</v>
      </c>
      <c r="K319" s="155" t="str">
        <f t="shared" si="748"/>
        <v>0.00</v>
      </c>
      <c r="L319" s="156" t="str">
        <f t="shared" si="749"/>
        <v>0.00 </v>
      </c>
      <c r="M319" s="132">
        <v>90.0</v>
      </c>
      <c r="N319" s="157">
        <v>0.0</v>
      </c>
      <c r="O319" s="158">
        <v>1518.6</v>
      </c>
      <c r="P319" s="159" t="str">
        <f t="shared" si="750"/>
        <v>319.79</v>
      </c>
      <c r="Q319" s="160"/>
      <c r="R319" s="161">
        <v>0.26</v>
      </c>
      <c r="S319" s="162" t="str">
        <f t="shared" si="751"/>
        <v>1,123.76</v>
      </c>
      <c r="T319" s="163" t="str">
        <f t="shared" si="752"/>
        <v>60.00</v>
      </c>
      <c r="U319" s="164" t="str">
        <f t="shared" si="753"/>
        <v>84.02</v>
      </c>
      <c r="V319" s="165" t="str">
        <f t="shared" si="754"/>
        <v>0.00</v>
      </c>
      <c r="W319" s="166">
        <v>0.41</v>
      </c>
      <c r="X319" s="167" t="str">
        <f t="shared" si="755"/>
        <v>76</v>
      </c>
      <c r="Y319" s="168" t="str">
        <f t="shared" si="756"/>
        <v>493.545</v>
      </c>
      <c r="Z319" s="168" t="str">
        <f t="shared" si="757"/>
        <v>44.838</v>
      </c>
      <c r="AA319" s="164" t="str">
        <f t="shared" si="758"/>
        <v>4.74</v>
      </c>
      <c r="AB319" s="164">
        <v>90.53</v>
      </c>
      <c r="AC319" s="164" t="str">
        <f t="shared" si="759"/>
        <v>4.80</v>
      </c>
      <c r="AD319" s="165" t="str">
        <f t="shared" si="760"/>
        <v>151.86</v>
      </c>
      <c r="AE319" s="23"/>
      <c r="AF319" s="169" t="str">
        <f t="shared" si="761"/>
        <v>0</v>
      </c>
      <c r="AG319" s="163" t="str">
        <f t="shared" si="762"/>
        <v>598.80</v>
      </c>
      <c r="AH319" s="170" t="str">
        <f t="shared" si="763"/>
        <v>#DIV/0!</v>
      </c>
      <c r="AI319" s="26"/>
      <c r="AJ319" s="171" t="str">
        <f t="shared" si="764"/>
        <v>0.00%</v>
      </c>
      <c r="AK319" s="172" t="str">
        <f t="shared" si="765"/>
        <v>0.00</v>
      </c>
      <c r="AL319" s="173" t="str">
        <f t="shared" si="766"/>
        <v>319.79</v>
      </c>
      <c r="AM319" s="174" t="str">
        <f t="shared" si="767"/>
        <v>227.05</v>
      </c>
    </row>
    <row r="320" ht="12.75" customHeight="1">
      <c r="A320" s="26"/>
      <c r="B320" s="125" t="s">
        <v>607</v>
      </c>
      <c r="C320" s="126"/>
      <c r="D320" s="127"/>
      <c r="E320" s="128"/>
      <c r="F320" s="128"/>
      <c r="G320" s="128"/>
      <c r="H320" s="197"/>
      <c r="I320" s="197"/>
      <c r="J320" s="128"/>
      <c r="K320" s="130"/>
      <c r="L320" s="131"/>
      <c r="M320" s="132"/>
      <c r="N320" s="176"/>
      <c r="O320" s="134"/>
      <c r="P320" s="135"/>
      <c r="Q320" s="135"/>
      <c r="R320" s="136"/>
      <c r="S320" s="137"/>
      <c r="T320" s="177"/>
      <c r="U320" s="178"/>
      <c r="V320" s="179"/>
      <c r="W320" s="180"/>
      <c r="X320" s="181"/>
      <c r="Y320" s="182"/>
      <c r="Z320" s="182"/>
      <c r="AA320" s="178"/>
      <c r="AB320" s="178"/>
      <c r="AC320" s="178"/>
      <c r="AD320" s="179"/>
      <c r="AE320" s="183"/>
      <c r="AF320" s="184"/>
      <c r="AG320" s="177"/>
      <c r="AH320" s="185"/>
      <c r="AI320" s="26"/>
      <c r="AJ320" s="186"/>
      <c r="AK320" s="187"/>
      <c r="AL320" s="188"/>
      <c r="AM320" s="189"/>
    </row>
    <row r="321" ht="12.75" customHeight="1">
      <c r="A321" s="26"/>
      <c r="B321" s="190" t="s">
        <v>608</v>
      </c>
      <c r="C321" s="199">
        <v>2.14312385E8</v>
      </c>
      <c r="D321" s="152" t="s">
        <v>609</v>
      </c>
      <c r="E321" s="53" t="s">
        <v>77</v>
      </c>
      <c r="F321" s="154">
        <v>1.0</v>
      </c>
      <c r="G321" s="53"/>
      <c r="H321" s="53" t="str">
        <f t="shared" ref="H321:H322" si="768">$I$2</f>
        <v>0.00069</v>
      </c>
      <c r="I321" s="53" t="str">
        <f t="shared" ref="I321:I322" si="769">$I$3</f>
        <v>89</v>
      </c>
      <c r="J321" s="53" t="str">
        <f t="shared" ref="J321:J322" si="770">G321*H321*I321*F321</f>
        <v>0</v>
      </c>
      <c r="K321" s="155" t="str">
        <f t="shared" ref="K321:K322" si="771">J321*$J$4</f>
        <v>0.00</v>
      </c>
      <c r="L321" s="156" t="str">
        <f t="shared" ref="L321:L322" si="772">K321+J321</f>
        <v>0.00 </v>
      </c>
      <c r="M321" s="132">
        <v>90.0</v>
      </c>
      <c r="N321" s="157">
        <v>722.04</v>
      </c>
      <c r="O321" s="158">
        <v>1700.0</v>
      </c>
      <c r="P321" s="159" t="str">
        <f>AL321</f>
        <v>1,910.11</v>
      </c>
      <c r="Q321" s="160"/>
      <c r="R321" s="161">
        <v>0.37</v>
      </c>
      <c r="S321" s="162" t="str">
        <f t="shared" ref="S321:S322" si="773">O321-(O321*R321)</f>
        <v>1,071.00</v>
      </c>
      <c r="T321" s="163" t="str">
        <f t="shared" ref="T321:T322" si="774">$C$1</f>
        <v>60.00</v>
      </c>
      <c r="U321" s="164" t="str">
        <f t="shared" ref="U321:U322" si="775">(S321*7/107)+((S321-(S321*7/107))*1%)</f>
        <v>80.07</v>
      </c>
      <c r="V321" s="165" t="str">
        <f t="shared" ref="V321:V322" si="776">N321*$C$3*(M321/30)</f>
        <v>0.00</v>
      </c>
      <c r="W321" s="166">
        <v>0.26</v>
      </c>
      <c r="X321" s="167" t="str">
        <f t="shared" ref="X321:X322" si="777">((_xlfn.CEILING.MATH(W321)-1)*$C$5+$C$4)</f>
        <v>76</v>
      </c>
      <c r="Y321" s="168" t="str">
        <f t="shared" ref="Y321:Y322" si="778">O321*$Y$6</f>
        <v>552.500</v>
      </c>
      <c r="Z321" s="168" t="str">
        <f t="shared" ref="Z321:Z322" si="779">S321*$Y$7</f>
        <v>42.733</v>
      </c>
      <c r="AA321" s="164" t="str">
        <f t="shared" ref="AA321:AA322" si="780">$Y$3*((100-AB321)/100)</f>
        <v>6.45</v>
      </c>
      <c r="AB321" s="164">
        <v>87.1</v>
      </c>
      <c r="AC321" s="164" t="str">
        <f t="shared" ref="AC321:AC322" si="781">$C$6*$C$7*_xlfn.CEILING.MATH(W321)</f>
        <v>4.80</v>
      </c>
      <c r="AD321" s="165" t="str">
        <f t="shared" ref="AD321:AD322" si="782">O321*$C$2</f>
        <v>170.00</v>
      </c>
      <c r="AE321" s="23"/>
      <c r="AF321" s="169" t="str">
        <f t="shared" ref="AF321:AF322" si="783">(_xlfn.CEILING.MATH(W321))*$Y$1*$AD$2</f>
        <v>0</v>
      </c>
      <c r="AG321" s="163" t="str">
        <f t="shared" ref="AG321:AG322" si="784">O321-T321-U321-V321-X321-Y321-Z321-AA321-AC321-AD321-N321</f>
        <v>-14.60</v>
      </c>
      <c r="AH321" s="170" t="str">
        <f t="shared" ref="AH321:AH322" si="785">AG321/N321</f>
        <v>-2.02%</v>
      </c>
      <c r="AI321" s="26"/>
      <c r="AJ321" s="171" t="str">
        <f t="shared" ref="AJ321:AJ322" si="786">$AD$3</f>
        <v>0.00%</v>
      </c>
      <c r="AK321" s="172" t="str">
        <f t="shared" ref="AK321:AK322" si="787">N321*AJ321</f>
        <v>0.00</v>
      </c>
      <c r="AL321" s="173" t="str">
        <f t="shared" ref="AL321:AL322" si="788">(N321+T321+V321+X321+AA321+AC321+AF321+AK321)/(100%-($C$2+$C$8+$Y$6+$Y$7))</f>
        <v>1,910.11</v>
      </c>
      <c r="AM321" s="174" t="str">
        <f t="shared" ref="AM321:AM322" si="789">AL321-(AL321*$AD$1)</f>
        <v>1,356.18</v>
      </c>
    </row>
    <row r="322" ht="12.75" customHeight="1">
      <c r="A322" s="26"/>
      <c r="B322" s="190" t="s">
        <v>610</v>
      </c>
      <c r="C322" s="199">
        <v>2.47275092E8</v>
      </c>
      <c r="D322" s="152" t="s">
        <v>611</v>
      </c>
      <c r="E322" s="53" t="s">
        <v>77</v>
      </c>
      <c r="F322" s="154">
        <v>1.0</v>
      </c>
      <c r="G322" s="53"/>
      <c r="H322" s="53" t="str">
        <f t="shared" si="768"/>
        <v>0.00069</v>
      </c>
      <c r="I322" s="53" t="str">
        <f t="shared" si="769"/>
        <v>89</v>
      </c>
      <c r="J322" s="53" t="str">
        <f t="shared" si="770"/>
        <v>0</v>
      </c>
      <c r="K322" s="155" t="str">
        <f t="shared" si="771"/>
        <v>0.00</v>
      </c>
      <c r="L322" s="156" t="str">
        <f t="shared" si="772"/>
        <v>0.00 </v>
      </c>
      <c r="M322" s="132">
        <v>90.0</v>
      </c>
      <c r="N322" s="157">
        <v>845.49</v>
      </c>
      <c r="O322" s="158">
        <v>2550.0</v>
      </c>
      <c r="P322" s="159" t="str">
        <f>O322</f>
        <v>2,550.00</v>
      </c>
      <c r="Q322" s="160">
        <v>2603.0</v>
      </c>
      <c r="R322" s="161">
        <v>0.26</v>
      </c>
      <c r="S322" s="162" t="str">
        <f t="shared" si="773"/>
        <v>1,887.00</v>
      </c>
      <c r="T322" s="163" t="str">
        <f t="shared" si="774"/>
        <v>60.00</v>
      </c>
      <c r="U322" s="164" t="str">
        <f t="shared" si="775"/>
        <v>141.08</v>
      </c>
      <c r="V322" s="165" t="str">
        <f t="shared" si="776"/>
        <v>0.00</v>
      </c>
      <c r="W322" s="166">
        <v>0.78</v>
      </c>
      <c r="X322" s="167" t="str">
        <f t="shared" si="777"/>
        <v>76</v>
      </c>
      <c r="Y322" s="168" t="str">
        <f t="shared" si="778"/>
        <v>828.750</v>
      </c>
      <c r="Z322" s="168" t="str">
        <f t="shared" si="779"/>
        <v>75.291</v>
      </c>
      <c r="AA322" s="164" t="str">
        <f t="shared" si="780"/>
        <v>8.62</v>
      </c>
      <c r="AB322" s="164">
        <v>82.76</v>
      </c>
      <c r="AC322" s="164" t="str">
        <f t="shared" si="781"/>
        <v>4.80</v>
      </c>
      <c r="AD322" s="165" t="str">
        <f t="shared" si="782"/>
        <v>255.00</v>
      </c>
      <c r="AE322" s="23"/>
      <c r="AF322" s="169" t="str">
        <f t="shared" si="783"/>
        <v>0</v>
      </c>
      <c r="AG322" s="163" t="str">
        <f t="shared" si="784"/>
        <v>254.96</v>
      </c>
      <c r="AH322" s="170" t="str">
        <f t="shared" si="785"/>
        <v>30.16%</v>
      </c>
      <c r="AI322" s="26"/>
      <c r="AJ322" s="171" t="str">
        <f t="shared" si="786"/>
        <v>0.00%</v>
      </c>
      <c r="AK322" s="172" t="str">
        <f t="shared" si="787"/>
        <v>0.00</v>
      </c>
      <c r="AL322" s="173" t="str">
        <f t="shared" si="788"/>
        <v>2,186.13</v>
      </c>
      <c r="AM322" s="174" t="str">
        <f t="shared" si="789"/>
        <v>1,552.16</v>
      </c>
    </row>
    <row r="323" ht="12.75" customHeight="1">
      <c r="A323" s="26"/>
      <c r="B323" s="125" t="s">
        <v>612</v>
      </c>
      <c r="C323" s="126"/>
      <c r="D323" s="127"/>
      <c r="E323" s="128"/>
      <c r="F323" s="128"/>
      <c r="G323" s="128"/>
      <c r="H323" s="197"/>
      <c r="I323" s="197"/>
      <c r="J323" s="128"/>
      <c r="K323" s="130"/>
      <c r="L323" s="131"/>
      <c r="M323" s="132"/>
      <c r="N323" s="176"/>
      <c r="O323" s="134"/>
      <c r="P323" s="135"/>
      <c r="Q323" s="135"/>
      <c r="R323" s="136"/>
      <c r="S323" s="137"/>
      <c r="T323" s="177"/>
      <c r="U323" s="178"/>
      <c r="V323" s="179"/>
      <c r="W323" s="180"/>
      <c r="X323" s="181"/>
      <c r="Y323" s="182"/>
      <c r="Z323" s="182"/>
      <c r="AA323" s="178"/>
      <c r="AB323" s="178"/>
      <c r="AC323" s="178"/>
      <c r="AD323" s="179"/>
      <c r="AE323" s="183"/>
      <c r="AF323" s="184"/>
      <c r="AG323" s="177"/>
      <c r="AH323" s="185"/>
      <c r="AI323" s="26"/>
      <c r="AJ323" s="186"/>
      <c r="AK323" s="187"/>
      <c r="AL323" s="188"/>
      <c r="AM323" s="189"/>
    </row>
    <row r="324" ht="12.75" customHeight="1">
      <c r="A324" s="26"/>
      <c r="B324" s="190" t="s">
        <v>613</v>
      </c>
      <c r="C324" s="191">
        <v>2.12886638E8</v>
      </c>
      <c r="D324" s="152" t="s">
        <v>614</v>
      </c>
      <c r="E324" s="53" t="s">
        <v>77</v>
      </c>
      <c r="F324" s="154">
        <v>1.0</v>
      </c>
      <c r="G324" s="53"/>
      <c r="H324" s="53" t="str">
        <f t="shared" ref="H324:H335" si="790">$I$2</f>
        <v>0.00069</v>
      </c>
      <c r="I324" s="53" t="str">
        <f t="shared" ref="I324:I335" si="791">$I$3</f>
        <v>89</v>
      </c>
      <c r="J324" s="53" t="str">
        <f t="shared" ref="J324:J335" si="792">G324*H324*I324*F324</f>
        <v>0</v>
      </c>
      <c r="K324" s="155" t="str">
        <f t="shared" ref="K324:K335" si="793">J324*$J$4</f>
        <v>0.00</v>
      </c>
      <c r="L324" s="156" t="str">
        <f t="shared" ref="L324:L335" si="794">K324+J324</f>
        <v>0.00 </v>
      </c>
      <c r="M324" s="132">
        <v>90.0</v>
      </c>
      <c r="N324" s="157">
        <v>0.0</v>
      </c>
      <c r="O324" s="158">
        <v>1091.8</v>
      </c>
      <c r="P324" s="159" t="str">
        <f t="shared" ref="P324:P331" si="795">AL324</f>
        <v>313.58</v>
      </c>
      <c r="Q324" s="160"/>
      <c r="R324" s="161">
        <v>0.26</v>
      </c>
      <c r="S324" s="162" t="str">
        <f t="shared" ref="S324:S335" si="796">O324-(O324*R324)</f>
        <v>807.93</v>
      </c>
      <c r="T324" s="163" t="str">
        <f t="shared" ref="T324:T335" si="797">$C$1</f>
        <v>60.00</v>
      </c>
      <c r="U324" s="164" t="str">
        <f t="shared" ref="U324:U335" si="798">(S324*7/107)+((S324-(S324*7/107))*1%)</f>
        <v>60.41</v>
      </c>
      <c r="V324" s="165" t="str">
        <f t="shared" ref="V324:V335" si="799">N324*$C$3*(M324/30)</f>
        <v>0.00</v>
      </c>
      <c r="W324" s="166">
        <v>0.65</v>
      </c>
      <c r="X324" s="167" t="str">
        <f t="shared" ref="X324:X335" si="800">((_xlfn.CEILING.MATH(W324)-1)*$C$5+$C$4)</f>
        <v>76</v>
      </c>
      <c r="Y324" s="168" t="str">
        <f t="shared" ref="Y324:Y335" si="801">O324*$Y$6</f>
        <v>354.835</v>
      </c>
      <c r="Z324" s="168" t="str">
        <f t="shared" ref="Z324:Z335" si="802">S324*$Y$7</f>
        <v>32.236</v>
      </c>
      <c r="AA324" s="164" t="str">
        <f t="shared" ref="AA324:AA335" si="803">$Y$3*((100-AB324)/100)</f>
        <v>1.91</v>
      </c>
      <c r="AB324" s="164">
        <v>96.18</v>
      </c>
      <c r="AC324" s="164" t="str">
        <f t="shared" ref="AC324:AC335" si="804">$C$6*$C$7*_xlfn.CEILING.MATH(W324)</f>
        <v>4.80</v>
      </c>
      <c r="AD324" s="165" t="str">
        <f t="shared" ref="AD324:AD335" si="805">O324*$C$2</f>
        <v>109.18</v>
      </c>
      <c r="AE324" s="23"/>
      <c r="AF324" s="169" t="str">
        <f t="shared" ref="AF324:AF335" si="806">(_xlfn.CEILING.MATH(W324))*$Y$1*$AD$2</f>
        <v>0</v>
      </c>
      <c r="AG324" s="163" t="str">
        <f t="shared" ref="AG324:AG335" si="807">O324-T324-U324-V324-X324-Y324-Z324-AA324-AC324-AD324-N324</f>
        <v>392.43</v>
      </c>
      <c r="AH324" s="170" t="str">
        <f t="shared" ref="AH324:AH335" si="808">AG324/N324</f>
        <v>#DIV/0!</v>
      </c>
      <c r="AI324" s="26"/>
      <c r="AJ324" s="171" t="str">
        <f t="shared" ref="AJ324:AJ335" si="809">$AD$3</f>
        <v>0.00%</v>
      </c>
      <c r="AK324" s="172" t="str">
        <f t="shared" ref="AK324:AK335" si="810">N324*AJ324</f>
        <v>0.00</v>
      </c>
      <c r="AL324" s="173" t="str">
        <f t="shared" ref="AL324:AL335" si="811">(N324+T324+V324+X324+AA324+AC324+AF324+AK324)/(100%-($C$2+$C$8+$Y$6+$Y$7))</f>
        <v>313.58</v>
      </c>
      <c r="AM324" s="174" t="str">
        <f t="shared" ref="AM324:AM335" si="812">AL324-(AL324*$AD$1)</f>
        <v>222.64</v>
      </c>
    </row>
    <row r="325" ht="12.75" customHeight="1">
      <c r="A325" s="26"/>
      <c r="B325" s="190" t="s">
        <v>615</v>
      </c>
      <c r="C325" s="192">
        <v>2.14312703E8</v>
      </c>
      <c r="D325" s="152" t="s">
        <v>616</v>
      </c>
      <c r="E325" s="53" t="s">
        <v>77</v>
      </c>
      <c r="F325" s="154">
        <v>1.0</v>
      </c>
      <c r="G325" s="53"/>
      <c r="H325" s="53" t="str">
        <f t="shared" si="790"/>
        <v>0.00069</v>
      </c>
      <c r="I325" s="53" t="str">
        <f t="shared" si="791"/>
        <v>89</v>
      </c>
      <c r="J325" s="53" t="str">
        <f t="shared" si="792"/>
        <v>0</v>
      </c>
      <c r="K325" s="155" t="str">
        <f t="shared" si="793"/>
        <v>0.00</v>
      </c>
      <c r="L325" s="156" t="str">
        <f t="shared" si="794"/>
        <v>0.00 </v>
      </c>
      <c r="M325" s="132">
        <v>90.0</v>
      </c>
      <c r="N325" s="157">
        <v>0.0</v>
      </c>
      <c r="O325" s="158">
        <v>848.4</v>
      </c>
      <c r="P325" s="159" t="str">
        <f t="shared" si="795"/>
        <v>319.50</v>
      </c>
      <c r="Q325" s="160"/>
      <c r="R325" s="161">
        <v>0.26</v>
      </c>
      <c r="S325" s="162" t="str">
        <f t="shared" si="796"/>
        <v>627.82</v>
      </c>
      <c r="T325" s="163" t="str">
        <f t="shared" si="797"/>
        <v>60.00</v>
      </c>
      <c r="U325" s="164" t="str">
        <f t="shared" si="798"/>
        <v>46.94</v>
      </c>
      <c r="V325" s="165" t="str">
        <f t="shared" si="799"/>
        <v>0.00</v>
      </c>
      <c r="W325" s="166">
        <v>0.65</v>
      </c>
      <c r="X325" s="167" t="str">
        <f t="shared" si="800"/>
        <v>76</v>
      </c>
      <c r="Y325" s="168" t="str">
        <f t="shared" si="801"/>
        <v>275.730</v>
      </c>
      <c r="Z325" s="168" t="str">
        <f t="shared" si="802"/>
        <v>25.050</v>
      </c>
      <c r="AA325" s="164" t="str">
        <f t="shared" si="803"/>
        <v>4.61</v>
      </c>
      <c r="AB325" s="164">
        <v>90.79</v>
      </c>
      <c r="AC325" s="164" t="str">
        <f t="shared" si="804"/>
        <v>4.80</v>
      </c>
      <c r="AD325" s="165" t="str">
        <f t="shared" si="805"/>
        <v>84.84</v>
      </c>
      <c r="AE325" s="23"/>
      <c r="AF325" s="169" t="str">
        <f t="shared" si="806"/>
        <v>0</v>
      </c>
      <c r="AG325" s="163" t="str">
        <f t="shared" si="807"/>
        <v>270.44</v>
      </c>
      <c r="AH325" s="170" t="str">
        <f t="shared" si="808"/>
        <v>#DIV/0!</v>
      </c>
      <c r="AI325" s="26"/>
      <c r="AJ325" s="171" t="str">
        <f t="shared" si="809"/>
        <v>0.00%</v>
      </c>
      <c r="AK325" s="172" t="str">
        <f t="shared" si="810"/>
        <v>0.00</v>
      </c>
      <c r="AL325" s="173" t="str">
        <f t="shared" si="811"/>
        <v>319.50</v>
      </c>
      <c r="AM325" s="174" t="str">
        <f t="shared" si="812"/>
        <v>226.85</v>
      </c>
    </row>
    <row r="326" ht="12.75" customHeight="1">
      <c r="A326" s="26"/>
      <c r="B326" s="190" t="s">
        <v>617</v>
      </c>
      <c r="C326" s="192">
        <v>2.14312772E8</v>
      </c>
      <c r="D326" s="152" t="s">
        <v>618</v>
      </c>
      <c r="E326" s="53" t="s">
        <v>77</v>
      </c>
      <c r="F326" s="154">
        <v>1.0</v>
      </c>
      <c r="G326" s="53"/>
      <c r="H326" s="53" t="str">
        <f t="shared" si="790"/>
        <v>0.00069</v>
      </c>
      <c r="I326" s="53" t="str">
        <f t="shared" si="791"/>
        <v>89</v>
      </c>
      <c r="J326" s="53" t="str">
        <f t="shared" si="792"/>
        <v>0</v>
      </c>
      <c r="K326" s="155" t="str">
        <f t="shared" si="793"/>
        <v>0.00</v>
      </c>
      <c r="L326" s="156" t="str">
        <f t="shared" si="794"/>
        <v>0.00 </v>
      </c>
      <c r="M326" s="132">
        <v>90.0</v>
      </c>
      <c r="N326" s="157">
        <v>0.0</v>
      </c>
      <c r="O326" s="158">
        <v>1402.8</v>
      </c>
      <c r="P326" s="159" t="str">
        <f t="shared" si="795"/>
        <v>312.72</v>
      </c>
      <c r="Q326" s="160"/>
      <c r="R326" s="161">
        <v>0.26</v>
      </c>
      <c r="S326" s="162" t="str">
        <f t="shared" si="796"/>
        <v>1,038.07</v>
      </c>
      <c r="T326" s="163" t="str">
        <f t="shared" si="797"/>
        <v>60.00</v>
      </c>
      <c r="U326" s="164" t="str">
        <f t="shared" si="798"/>
        <v>77.61</v>
      </c>
      <c r="V326" s="165" t="str">
        <f t="shared" si="799"/>
        <v>0.00</v>
      </c>
      <c r="W326" s="166">
        <v>0.42</v>
      </c>
      <c r="X326" s="167" t="str">
        <f t="shared" si="800"/>
        <v>76</v>
      </c>
      <c r="Y326" s="168" t="str">
        <f t="shared" si="801"/>
        <v>455.910</v>
      </c>
      <c r="Z326" s="168" t="str">
        <f t="shared" si="802"/>
        <v>41.419</v>
      </c>
      <c r="AA326" s="164" t="str">
        <f t="shared" si="803"/>
        <v>1.52</v>
      </c>
      <c r="AB326" s="164">
        <v>96.96</v>
      </c>
      <c r="AC326" s="164" t="str">
        <f t="shared" si="804"/>
        <v>4.80</v>
      </c>
      <c r="AD326" s="165" t="str">
        <f t="shared" si="805"/>
        <v>140.28</v>
      </c>
      <c r="AE326" s="23"/>
      <c r="AF326" s="169" t="str">
        <f t="shared" si="806"/>
        <v>0</v>
      </c>
      <c r="AG326" s="163" t="str">
        <f t="shared" si="807"/>
        <v>545.26</v>
      </c>
      <c r="AH326" s="170" t="str">
        <f t="shared" si="808"/>
        <v>#DIV/0!</v>
      </c>
      <c r="AI326" s="26"/>
      <c r="AJ326" s="171" t="str">
        <f t="shared" si="809"/>
        <v>0.00%</v>
      </c>
      <c r="AK326" s="172" t="str">
        <f t="shared" si="810"/>
        <v>0.00</v>
      </c>
      <c r="AL326" s="173" t="str">
        <f t="shared" si="811"/>
        <v>312.72</v>
      </c>
      <c r="AM326" s="174" t="str">
        <f t="shared" si="812"/>
        <v>222.03</v>
      </c>
    </row>
    <row r="327" ht="12.75" customHeight="1">
      <c r="A327" s="26"/>
      <c r="B327" s="190" t="s">
        <v>619</v>
      </c>
      <c r="C327" s="192">
        <v>2.12889023E8</v>
      </c>
      <c r="D327" s="152" t="s">
        <v>620</v>
      </c>
      <c r="E327" s="53" t="s">
        <v>77</v>
      </c>
      <c r="F327" s="154">
        <v>1.0</v>
      </c>
      <c r="G327" s="53"/>
      <c r="H327" s="53" t="str">
        <f t="shared" si="790"/>
        <v>0.00069</v>
      </c>
      <c r="I327" s="53" t="str">
        <f t="shared" si="791"/>
        <v>89</v>
      </c>
      <c r="J327" s="53" t="str">
        <f t="shared" si="792"/>
        <v>0</v>
      </c>
      <c r="K327" s="155" t="str">
        <f t="shared" si="793"/>
        <v>0.00</v>
      </c>
      <c r="L327" s="156" t="str">
        <f t="shared" si="794"/>
        <v>0.00 </v>
      </c>
      <c r="M327" s="132">
        <v>90.0</v>
      </c>
      <c r="N327" s="157">
        <v>0.0</v>
      </c>
      <c r="O327" s="158">
        <v>643.2</v>
      </c>
      <c r="P327" s="159" t="str">
        <f t="shared" si="795"/>
        <v>346.00</v>
      </c>
      <c r="Q327" s="160"/>
      <c r="R327" s="161">
        <v>0.26</v>
      </c>
      <c r="S327" s="162" t="str">
        <f t="shared" si="796"/>
        <v>475.97</v>
      </c>
      <c r="T327" s="163" t="str">
        <f t="shared" si="797"/>
        <v>60.00</v>
      </c>
      <c r="U327" s="164" t="str">
        <f t="shared" si="798"/>
        <v>35.59</v>
      </c>
      <c r="V327" s="165" t="str">
        <f t="shared" si="799"/>
        <v>0.00</v>
      </c>
      <c r="W327" s="166">
        <v>0.04</v>
      </c>
      <c r="X327" s="167" t="str">
        <f t="shared" si="800"/>
        <v>76</v>
      </c>
      <c r="Y327" s="168" t="str">
        <f t="shared" si="801"/>
        <v>209.040</v>
      </c>
      <c r="Z327" s="168" t="str">
        <f t="shared" si="802"/>
        <v>18.991</v>
      </c>
      <c r="AA327" s="164" t="str">
        <f t="shared" si="803"/>
        <v>16.67</v>
      </c>
      <c r="AB327" s="164">
        <v>66.67</v>
      </c>
      <c r="AC327" s="164" t="str">
        <f t="shared" si="804"/>
        <v>4.80</v>
      </c>
      <c r="AD327" s="165" t="str">
        <f t="shared" si="805"/>
        <v>64.32</v>
      </c>
      <c r="AE327" s="23"/>
      <c r="AF327" s="169" t="str">
        <f t="shared" si="806"/>
        <v>0</v>
      </c>
      <c r="AG327" s="163" t="str">
        <f t="shared" si="807"/>
        <v>157.80</v>
      </c>
      <c r="AH327" s="170" t="str">
        <f t="shared" si="808"/>
        <v>#DIV/0!</v>
      </c>
      <c r="AI327" s="26"/>
      <c r="AJ327" s="171" t="str">
        <f t="shared" si="809"/>
        <v>0.00%</v>
      </c>
      <c r="AK327" s="172" t="str">
        <f t="shared" si="810"/>
        <v>0.00</v>
      </c>
      <c r="AL327" s="173" t="str">
        <f t="shared" si="811"/>
        <v>346.00</v>
      </c>
      <c r="AM327" s="174" t="str">
        <f t="shared" si="812"/>
        <v>245.66</v>
      </c>
    </row>
    <row r="328" ht="12.75" customHeight="1">
      <c r="A328" s="26"/>
      <c r="B328" s="190" t="s">
        <v>621</v>
      </c>
      <c r="C328" s="192">
        <v>2.12889026E8</v>
      </c>
      <c r="D328" s="152" t="s">
        <v>622</v>
      </c>
      <c r="E328" s="53" t="s">
        <v>77</v>
      </c>
      <c r="F328" s="154">
        <v>1.0</v>
      </c>
      <c r="G328" s="53"/>
      <c r="H328" s="53" t="str">
        <f t="shared" si="790"/>
        <v>0.00069</v>
      </c>
      <c r="I328" s="53" t="str">
        <f t="shared" si="791"/>
        <v>89</v>
      </c>
      <c r="J328" s="53" t="str">
        <f t="shared" si="792"/>
        <v>0</v>
      </c>
      <c r="K328" s="155" t="str">
        <f t="shared" si="793"/>
        <v>0.00</v>
      </c>
      <c r="L328" s="156" t="str">
        <f t="shared" si="794"/>
        <v>0.00 </v>
      </c>
      <c r="M328" s="132">
        <v>90.0</v>
      </c>
      <c r="N328" s="157">
        <v>0.0</v>
      </c>
      <c r="O328" s="158">
        <v>643.2</v>
      </c>
      <c r="P328" s="159" t="str">
        <f t="shared" si="795"/>
        <v>317.06</v>
      </c>
      <c r="Q328" s="160"/>
      <c r="R328" s="161">
        <v>0.26</v>
      </c>
      <c r="S328" s="162" t="str">
        <f t="shared" si="796"/>
        <v>475.97</v>
      </c>
      <c r="T328" s="163" t="str">
        <f t="shared" si="797"/>
        <v>60.00</v>
      </c>
      <c r="U328" s="164" t="str">
        <f t="shared" si="798"/>
        <v>35.59</v>
      </c>
      <c r="V328" s="165" t="str">
        <f t="shared" si="799"/>
        <v>0.00</v>
      </c>
      <c r="W328" s="166">
        <v>0.04</v>
      </c>
      <c r="X328" s="167" t="str">
        <f t="shared" si="800"/>
        <v>76</v>
      </c>
      <c r="Y328" s="168" t="str">
        <f t="shared" si="801"/>
        <v>209.040</v>
      </c>
      <c r="Z328" s="168" t="str">
        <f t="shared" si="802"/>
        <v>18.991</v>
      </c>
      <c r="AA328" s="164" t="str">
        <f t="shared" si="803"/>
        <v>3.50</v>
      </c>
      <c r="AB328" s="164">
        <v>93.01</v>
      </c>
      <c r="AC328" s="164" t="str">
        <f t="shared" si="804"/>
        <v>4.80</v>
      </c>
      <c r="AD328" s="165" t="str">
        <f t="shared" si="805"/>
        <v>64.32</v>
      </c>
      <c r="AE328" s="23"/>
      <c r="AF328" s="169" t="str">
        <f t="shared" si="806"/>
        <v>0</v>
      </c>
      <c r="AG328" s="163" t="str">
        <f t="shared" si="807"/>
        <v>170.97</v>
      </c>
      <c r="AH328" s="170" t="str">
        <f t="shared" si="808"/>
        <v>#DIV/0!</v>
      </c>
      <c r="AI328" s="26"/>
      <c r="AJ328" s="171" t="str">
        <f t="shared" si="809"/>
        <v>0.00%</v>
      </c>
      <c r="AK328" s="172" t="str">
        <f t="shared" si="810"/>
        <v>0.00</v>
      </c>
      <c r="AL328" s="173" t="str">
        <f t="shared" si="811"/>
        <v>317.06</v>
      </c>
      <c r="AM328" s="174" t="str">
        <f t="shared" si="812"/>
        <v>225.11</v>
      </c>
    </row>
    <row r="329" ht="12.75" customHeight="1">
      <c r="A329" s="26"/>
      <c r="B329" s="190" t="s">
        <v>623</v>
      </c>
      <c r="C329" s="192">
        <v>2.12889024E8</v>
      </c>
      <c r="D329" s="152" t="s">
        <v>624</v>
      </c>
      <c r="E329" s="53" t="s">
        <v>77</v>
      </c>
      <c r="F329" s="154">
        <v>1.0</v>
      </c>
      <c r="G329" s="53"/>
      <c r="H329" s="53" t="str">
        <f t="shared" si="790"/>
        <v>0.00069</v>
      </c>
      <c r="I329" s="53" t="str">
        <f t="shared" si="791"/>
        <v>89</v>
      </c>
      <c r="J329" s="53" t="str">
        <f t="shared" si="792"/>
        <v>0</v>
      </c>
      <c r="K329" s="155" t="str">
        <f t="shared" si="793"/>
        <v>0.00</v>
      </c>
      <c r="L329" s="156" t="str">
        <f t="shared" si="794"/>
        <v>0.00 </v>
      </c>
      <c r="M329" s="132">
        <v>90.0</v>
      </c>
      <c r="N329" s="157">
        <v>0.0</v>
      </c>
      <c r="O329" s="158">
        <v>643.2</v>
      </c>
      <c r="P329" s="159" t="str">
        <f t="shared" si="795"/>
        <v>324.23</v>
      </c>
      <c r="Q329" s="160"/>
      <c r="R329" s="161">
        <v>0.26</v>
      </c>
      <c r="S329" s="162" t="str">
        <f t="shared" si="796"/>
        <v>475.97</v>
      </c>
      <c r="T329" s="163" t="str">
        <f t="shared" si="797"/>
        <v>60.00</v>
      </c>
      <c r="U329" s="164" t="str">
        <f t="shared" si="798"/>
        <v>35.59</v>
      </c>
      <c r="V329" s="165" t="str">
        <f t="shared" si="799"/>
        <v>0.00</v>
      </c>
      <c r="W329" s="166">
        <v>0.04</v>
      </c>
      <c r="X329" s="167" t="str">
        <f t="shared" si="800"/>
        <v>76</v>
      </c>
      <c r="Y329" s="168" t="str">
        <f t="shared" si="801"/>
        <v>209.040</v>
      </c>
      <c r="Z329" s="168" t="str">
        <f t="shared" si="802"/>
        <v>18.991</v>
      </c>
      <c r="AA329" s="164" t="str">
        <f t="shared" si="803"/>
        <v>6.76</v>
      </c>
      <c r="AB329" s="164">
        <v>86.49</v>
      </c>
      <c r="AC329" s="164" t="str">
        <f t="shared" si="804"/>
        <v>4.80</v>
      </c>
      <c r="AD329" s="165" t="str">
        <f t="shared" si="805"/>
        <v>64.32</v>
      </c>
      <c r="AE329" s="23"/>
      <c r="AF329" s="169" t="str">
        <f t="shared" si="806"/>
        <v>0</v>
      </c>
      <c r="AG329" s="163" t="str">
        <f t="shared" si="807"/>
        <v>167.71</v>
      </c>
      <c r="AH329" s="170" t="str">
        <f t="shared" si="808"/>
        <v>#DIV/0!</v>
      </c>
      <c r="AI329" s="26"/>
      <c r="AJ329" s="171" t="str">
        <f t="shared" si="809"/>
        <v>0.00%</v>
      </c>
      <c r="AK329" s="172" t="str">
        <f t="shared" si="810"/>
        <v>0.00</v>
      </c>
      <c r="AL329" s="173" t="str">
        <f t="shared" si="811"/>
        <v>324.23</v>
      </c>
      <c r="AM329" s="174" t="str">
        <f t="shared" si="812"/>
        <v>230.20</v>
      </c>
    </row>
    <row r="330" ht="12.75" customHeight="1">
      <c r="A330" s="26"/>
      <c r="B330" s="190" t="s">
        <v>625</v>
      </c>
      <c r="C330" s="192">
        <v>2.12887146E8</v>
      </c>
      <c r="D330" s="152" t="s">
        <v>626</v>
      </c>
      <c r="E330" s="53" t="s">
        <v>77</v>
      </c>
      <c r="F330" s="154">
        <v>1.0</v>
      </c>
      <c r="G330" s="53"/>
      <c r="H330" s="53" t="str">
        <f t="shared" si="790"/>
        <v>0.00069</v>
      </c>
      <c r="I330" s="53" t="str">
        <f t="shared" si="791"/>
        <v>89</v>
      </c>
      <c r="J330" s="53" t="str">
        <f t="shared" si="792"/>
        <v>0</v>
      </c>
      <c r="K330" s="155" t="str">
        <f t="shared" si="793"/>
        <v>0.00</v>
      </c>
      <c r="L330" s="156" t="str">
        <f t="shared" si="794"/>
        <v>0.00 </v>
      </c>
      <c r="M330" s="132">
        <v>90.0</v>
      </c>
      <c r="N330" s="157">
        <v>0.0</v>
      </c>
      <c r="O330" s="158">
        <v>574.8</v>
      </c>
      <c r="P330" s="159" t="str">
        <f t="shared" si="795"/>
        <v>314.81</v>
      </c>
      <c r="Q330" s="160"/>
      <c r="R330" s="161">
        <v>0.26</v>
      </c>
      <c r="S330" s="162" t="str">
        <f t="shared" si="796"/>
        <v>425.35</v>
      </c>
      <c r="T330" s="163" t="str">
        <f t="shared" si="797"/>
        <v>60.00</v>
      </c>
      <c r="U330" s="164" t="str">
        <f t="shared" si="798"/>
        <v>31.80</v>
      </c>
      <c r="V330" s="165" t="str">
        <f t="shared" si="799"/>
        <v>0.00</v>
      </c>
      <c r="W330" s="166">
        <v>0.97</v>
      </c>
      <c r="X330" s="167" t="str">
        <f t="shared" si="800"/>
        <v>76</v>
      </c>
      <c r="Y330" s="168" t="str">
        <f t="shared" si="801"/>
        <v>186.810</v>
      </c>
      <c r="Z330" s="168" t="str">
        <f t="shared" si="802"/>
        <v>16.972</v>
      </c>
      <c r="AA330" s="164" t="str">
        <f t="shared" si="803"/>
        <v>2.47</v>
      </c>
      <c r="AB330" s="164">
        <v>95.06</v>
      </c>
      <c r="AC330" s="164" t="str">
        <f t="shared" si="804"/>
        <v>4.80</v>
      </c>
      <c r="AD330" s="165" t="str">
        <f t="shared" si="805"/>
        <v>57.48</v>
      </c>
      <c r="AE330" s="23"/>
      <c r="AF330" s="169" t="str">
        <f t="shared" si="806"/>
        <v>0</v>
      </c>
      <c r="AG330" s="163" t="str">
        <f t="shared" si="807"/>
        <v>138.47</v>
      </c>
      <c r="AH330" s="170" t="str">
        <f t="shared" si="808"/>
        <v>#DIV/0!</v>
      </c>
      <c r="AI330" s="26"/>
      <c r="AJ330" s="171" t="str">
        <f t="shared" si="809"/>
        <v>0.00%</v>
      </c>
      <c r="AK330" s="172" t="str">
        <f t="shared" si="810"/>
        <v>0.00</v>
      </c>
      <c r="AL330" s="173" t="str">
        <f t="shared" si="811"/>
        <v>314.81</v>
      </c>
      <c r="AM330" s="174" t="str">
        <f t="shared" si="812"/>
        <v>223.52</v>
      </c>
    </row>
    <row r="331" ht="12.75" customHeight="1">
      <c r="A331" s="26"/>
      <c r="B331" s="190" t="s">
        <v>627</v>
      </c>
      <c r="C331" s="192">
        <v>2.07484812E8</v>
      </c>
      <c r="D331" s="152" t="s">
        <v>628</v>
      </c>
      <c r="E331" s="53" t="s">
        <v>77</v>
      </c>
      <c r="F331" s="154">
        <v>1.0</v>
      </c>
      <c r="G331" s="53"/>
      <c r="H331" s="53" t="str">
        <f t="shared" si="790"/>
        <v>0.00069</v>
      </c>
      <c r="I331" s="53" t="str">
        <f t="shared" si="791"/>
        <v>89</v>
      </c>
      <c r="J331" s="53" t="str">
        <f t="shared" si="792"/>
        <v>0</v>
      </c>
      <c r="K331" s="155" t="str">
        <f t="shared" si="793"/>
        <v>0.00</v>
      </c>
      <c r="L331" s="156" t="str">
        <f t="shared" si="794"/>
        <v>0.00 </v>
      </c>
      <c r="M331" s="132">
        <v>90.0</v>
      </c>
      <c r="N331" s="157">
        <v>0.0</v>
      </c>
      <c r="O331" s="158">
        <v>744.9</v>
      </c>
      <c r="P331" s="159" t="str">
        <f t="shared" si="795"/>
        <v>311.60</v>
      </c>
      <c r="Q331" s="160"/>
      <c r="R331" s="161">
        <v>0.26</v>
      </c>
      <c r="S331" s="162" t="str">
        <f t="shared" si="796"/>
        <v>551.23</v>
      </c>
      <c r="T331" s="163" t="str">
        <f t="shared" si="797"/>
        <v>60.00</v>
      </c>
      <c r="U331" s="164" t="str">
        <f t="shared" si="798"/>
        <v>41.21</v>
      </c>
      <c r="V331" s="165" t="str">
        <f t="shared" si="799"/>
        <v>0.00</v>
      </c>
      <c r="W331" s="166">
        <v>0.6</v>
      </c>
      <c r="X331" s="167" t="str">
        <f t="shared" si="800"/>
        <v>76</v>
      </c>
      <c r="Y331" s="168" t="str">
        <f t="shared" si="801"/>
        <v>242.093</v>
      </c>
      <c r="Z331" s="168" t="str">
        <f t="shared" si="802"/>
        <v>21.994</v>
      </c>
      <c r="AA331" s="164" t="str">
        <f t="shared" si="803"/>
        <v>1.01</v>
      </c>
      <c r="AB331" s="164">
        <v>97.98</v>
      </c>
      <c r="AC331" s="164" t="str">
        <f t="shared" si="804"/>
        <v>4.80</v>
      </c>
      <c r="AD331" s="165" t="str">
        <f t="shared" si="805"/>
        <v>74.49</v>
      </c>
      <c r="AE331" s="23"/>
      <c r="AF331" s="169" t="str">
        <f t="shared" si="806"/>
        <v>0</v>
      </c>
      <c r="AG331" s="163" t="str">
        <f t="shared" si="807"/>
        <v>223.30</v>
      </c>
      <c r="AH331" s="170" t="str">
        <f t="shared" si="808"/>
        <v>#DIV/0!</v>
      </c>
      <c r="AI331" s="26"/>
      <c r="AJ331" s="171" t="str">
        <f t="shared" si="809"/>
        <v>0.00%</v>
      </c>
      <c r="AK331" s="172" t="str">
        <f t="shared" si="810"/>
        <v>0.00</v>
      </c>
      <c r="AL331" s="173" t="str">
        <f t="shared" si="811"/>
        <v>311.60</v>
      </c>
      <c r="AM331" s="174" t="str">
        <f t="shared" si="812"/>
        <v>221.24</v>
      </c>
    </row>
    <row r="332" ht="12.75" customHeight="1">
      <c r="A332" s="26"/>
      <c r="B332" s="190" t="s">
        <v>629</v>
      </c>
      <c r="C332" s="202">
        <v>2.14312837E8</v>
      </c>
      <c r="D332" s="152" t="s">
        <v>630</v>
      </c>
      <c r="E332" s="53" t="s">
        <v>77</v>
      </c>
      <c r="F332" s="154">
        <v>1.0</v>
      </c>
      <c r="G332" s="53"/>
      <c r="H332" s="53" t="str">
        <f t="shared" si="790"/>
        <v>0.00069</v>
      </c>
      <c r="I332" s="53" t="str">
        <f t="shared" si="791"/>
        <v>89</v>
      </c>
      <c r="J332" s="53" t="str">
        <f t="shared" si="792"/>
        <v>0</v>
      </c>
      <c r="K332" s="155" t="str">
        <f t="shared" si="793"/>
        <v>0.00</v>
      </c>
      <c r="L332" s="156" t="str">
        <f t="shared" si="794"/>
        <v>0.00 </v>
      </c>
      <c r="M332" s="132">
        <v>90.0</v>
      </c>
      <c r="N332" s="157">
        <v>179.09</v>
      </c>
      <c r="O332" s="158">
        <v>559.0</v>
      </c>
      <c r="P332" s="159">
        <v>559.0</v>
      </c>
      <c r="Q332" s="160"/>
      <c r="R332" s="161">
        <v>0.16</v>
      </c>
      <c r="S332" s="162" t="str">
        <f t="shared" si="796"/>
        <v>469.56</v>
      </c>
      <c r="T332" s="163" t="str">
        <f t="shared" si="797"/>
        <v>60.00</v>
      </c>
      <c r="U332" s="164" t="str">
        <f t="shared" si="798"/>
        <v>35.11</v>
      </c>
      <c r="V332" s="165" t="str">
        <f t="shared" si="799"/>
        <v>0.00</v>
      </c>
      <c r="W332" s="166">
        <v>0.01</v>
      </c>
      <c r="X332" s="167" t="str">
        <f t="shared" si="800"/>
        <v>76</v>
      </c>
      <c r="Y332" s="168" t="str">
        <f t="shared" si="801"/>
        <v>181.675</v>
      </c>
      <c r="Z332" s="168" t="str">
        <f t="shared" si="802"/>
        <v>18.735</v>
      </c>
      <c r="AA332" s="164" t="str">
        <f t="shared" si="803"/>
        <v>2.99</v>
      </c>
      <c r="AB332" s="164">
        <v>94.03</v>
      </c>
      <c r="AC332" s="164" t="str">
        <f t="shared" si="804"/>
        <v>4.80</v>
      </c>
      <c r="AD332" s="165" t="str">
        <f t="shared" si="805"/>
        <v>55.90</v>
      </c>
      <c r="AE332" s="23"/>
      <c r="AF332" s="169" t="str">
        <f t="shared" si="806"/>
        <v>0</v>
      </c>
      <c r="AG332" s="163" t="str">
        <f t="shared" si="807"/>
        <v>-55.29</v>
      </c>
      <c r="AH332" s="170" t="str">
        <f t="shared" si="808"/>
        <v>-30.87%</v>
      </c>
      <c r="AI332" s="26"/>
      <c r="AJ332" s="171" t="str">
        <f t="shared" si="809"/>
        <v>0.00%</v>
      </c>
      <c r="AK332" s="172" t="str">
        <f t="shared" si="810"/>
        <v>0.00</v>
      </c>
      <c r="AL332" s="173" t="str">
        <f t="shared" si="811"/>
        <v>709.46</v>
      </c>
      <c r="AM332" s="174" t="str">
        <f t="shared" si="812"/>
        <v>503.72</v>
      </c>
    </row>
    <row r="333" ht="12.75" customHeight="1">
      <c r="A333" s="26"/>
      <c r="B333" s="190" t="s">
        <v>631</v>
      </c>
      <c r="C333" s="192">
        <v>2.12890346E8</v>
      </c>
      <c r="D333" s="152" t="s">
        <v>632</v>
      </c>
      <c r="E333" s="53" t="s">
        <v>77</v>
      </c>
      <c r="F333" s="154">
        <v>1.0</v>
      </c>
      <c r="G333" s="53"/>
      <c r="H333" s="53" t="str">
        <f t="shared" si="790"/>
        <v>0.00069</v>
      </c>
      <c r="I333" s="53" t="str">
        <f t="shared" si="791"/>
        <v>89</v>
      </c>
      <c r="J333" s="53" t="str">
        <f t="shared" si="792"/>
        <v>0</v>
      </c>
      <c r="K333" s="155" t="str">
        <f t="shared" si="793"/>
        <v>0.00</v>
      </c>
      <c r="L333" s="156" t="str">
        <f t="shared" si="794"/>
        <v>0.00 </v>
      </c>
      <c r="M333" s="132">
        <v>90.0</v>
      </c>
      <c r="N333" s="157">
        <v>0.0</v>
      </c>
      <c r="O333" s="158">
        <v>811.5</v>
      </c>
      <c r="P333" s="159" t="str">
        <f t="shared" ref="P333:P335" si="813">AL333</f>
        <v>313.96</v>
      </c>
      <c r="Q333" s="160"/>
      <c r="R333" s="161">
        <v>0.26</v>
      </c>
      <c r="S333" s="162" t="str">
        <f t="shared" si="796"/>
        <v>600.51</v>
      </c>
      <c r="T333" s="163" t="str">
        <f t="shared" si="797"/>
        <v>60.00</v>
      </c>
      <c r="U333" s="164" t="str">
        <f t="shared" si="798"/>
        <v>44.90</v>
      </c>
      <c r="V333" s="165" t="str">
        <f t="shared" si="799"/>
        <v>0.00</v>
      </c>
      <c r="W333" s="166">
        <v>0.1</v>
      </c>
      <c r="X333" s="167" t="str">
        <f t="shared" si="800"/>
        <v>76</v>
      </c>
      <c r="Y333" s="168" t="str">
        <f t="shared" si="801"/>
        <v>263.738</v>
      </c>
      <c r="Z333" s="168" t="str">
        <f t="shared" si="802"/>
        <v>23.960</v>
      </c>
      <c r="AA333" s="164" t="str">
        <f t="shared" si="803"/>
        <v>2.09</v>
      </c>
      <c r="AB333" s="164">
        <v>95.83</v>
      </c>
      <c r="AC333" s="164" t="str">
        <f t="shared" si="804"/>
        <v>4.80</v>
      </c>
      <c r="AD333" s="165" t="str">
        <f t="shared" si="805"/>
        <v>81.15</v>
      </c>
      <c r="AE333" s="23"/>
      <c r="AF333" s="169" t="str">
        <f t="shared" si="806"/>
        <v>0</v>
      </c>
      <c r="AG333" s="163" t="str">
        <f t="shared" si="807"/>
        <v>254.87</v>
      </c>
      <c r="AH333" s="170" t="str">
        <f t="shared" si="808"/>
        <v>#DIV/0!</v>
      </c>
      <c r="AI333" s="26"/>
      <c r="AJ333" s="171" t="str">
        <f t="shared" si="809"/>
        <v>0.00%</v>
      </c>
      <c r="AK333" s="172" t="str">
        <f t="shared" si="810"/>
        <v>0.00</v>
      </c>
      <c r="AL333" s="173" t="str">
        <f t="shared" si="811"/>
        <v>313.96</v>
      </c>
      <c r="AM333" s="174" t="str">
        <f t="shared" si="812"/>
        <v>222.91</v>
      </c>
    </row>
    <row r="334" ht="12.75" customHeight="1">
      <c r="A334" s="26"/>
      <c r="B334" s="190" t="s">
        <v>633</v>
      </c>
      <c r="C334" s="192">
        <v>2.12890347E8</v>
      </c>
      <c r="D334" s="152" t="s">
        <v>634</v>
      </c>
      <c r="E334" s="53" t="s">
        <v>77</v>
      </c>
      <c r="F334" s="154">
        <v>1.0</v>
      </c>
      <c r="G334" s="53"/>
      <c r="H334" s="53" t="str">
        <f t="shared" si="790"/>
        <v>0.00069</v>
      </c>
      <c r="I334" s="53" t="str">
        <f t="shared" si="791"/>
        <v>89</v>
      </c>
      <c r="J334" s="53" t="str">
        <f t="shared" si="792"/>
        <v>0</v>
      </c>
      <c r="K334" s="155" t="str">
        <f t="shared" si="793"/>
        <v>0.00</v>
      </c>
      <c r="L334" s="156" t="str">
        <f t="shared" si="794"/>
        <v>0.00 </v>
      </c>
      <c r="M334" s="132">
        <v>90.0</v>
      </c>
      <c r="N334" s="157">
        <v>0.0</v>
      </c>
      <c r="O334" s="158">
        <v>880.2</v>
      </c>
      <c r="P334" s="159" t="str">
        <f t="shared" si="813"/>
        <v>316.03</v>
      </c>
      <c r="Q334" s="160"/>
      <c r="R334" s="161">
        <v>0.26</v>
      </c>
      <c r="S334" s="162" t="str">
        <f t="shared" si="796"/>
        <v>651.35</v>
      </c>
      <c r="T334" s="163" t="str">
        <f t="shared" si="797"/>
        <v>60.00</v>
      </c>
      <c r="U334" s="164" t="str">
        <f t="shared" si="798"/>
        <v>48.70</v>
      </c>
      <c r="V334" s="165" t="str">
        <f t="shared" si="799"/>
        <v>0.00</v>
      </c>
      <c r="W334" s="166">
        <v>0.19</v>
      </c>
      <c r="X334" s="167" t="str">
        <f t="shared" si="800"/>
        <v>76</v>
      </c>
      <c r="Y334" s="168" t="str">
        <f t="shared" si="801"/>
        <v>286.065</v>
      </c>
      <c r="Z334" s="168" t="str">
        <f t="shared" si="802"/>
        <v>25.989</v>
      </c>
      <c r="AA334" s="164" t="str">
        <f t="shared" si="803"/>
        <v>3.03</v>
      </c>
      <c r="AB334" s="164">
        <v>93.95</v>
      </c>
      <c r="AC334" s="164" t="str">
        <f t="shared" si="804"/>
        <v>4.80</v>
      </c>
      <c r="AD334" s="165" t="str">
        <f t="shared" si="805"/>
        <v>88.02</v>
      </c>
      <c r="AE334" s="23"/>
      <c r="AF334" s="169" t="str">
        <f t="shared" si="806"/>
        <v>0</v>
      </c>
      <c r="AG334" s="163" t="str">
        <f t="shared" si="807"/>
        <v>287.60</v>
      </c>
      <c r="AH334" s="170" t="str">
        <f t="shared" si="808"/>
        <v>#DIV/0!</v>
      </c>
      <c r="AI334" s="26"/>
      <c r="AJ334" s="171" t="str">
        <f t="shared" si="809"/>
        <v>0.00%</v>
      </c>
      <c r="AK334" s="172" t="str">
        <f t="shared" si="810"/>
        <v>0.00</v>
      </c>
      <c r="AL334" s="173" t="str">
        <f t="shared" si="811"/>
        <v>316.03</v>
      </c>
      <c r="AM334" s="174" t="str">
        <f t="shared" si="812"/>
        <v>224.38</v>
      </c>
    </row>
    <row r="335" ht="12.75" customHeight="1">
      <c r="A335" s="26"/>
      <c r="B335" s="190" t="s">
        <v>635</v>
      </c>
      <c r="C335" s="192">
        <v>2.12887E8</v>
      </c>
      <c r="D335" s="152" t="s">
        <v>636</v>
      </c>
      <c r="E335" s="53" t="s">
        <v>77</v>
      </c>
      <c r="F335" s="154">
        <v>1.0</v>
      </c>
      <c r="G335" s="53"/>
      <c r="H335" s="53" t="str">
        <f t="shared" si="790"/>
        <v>0.00069</v>
      </c>
      <c r="I335" s="53" t="str">
        <f t="shared" si="791"/>
        <v>89</v>
      </c>
      <c r="J335" s="53" t="str">
        <f t="shared" si="792"/>
        <v>0</v>
      </c>
      <c r="K335" s="155" t="str">
        <f t="shared" si="793"/>
        <v>0.00</v>
      </c>
      <c r="L335" s="156" t="str">
        <f t="shared" si="794"/>
        <v>0.00 </v>
      </c>
      <c r="M335" s="132">
        <v>90.0</v>
      </c>
      <c r="N335" s="157">
        <v>0.0</v>
      </c>
      <c r="O335" s="158">
        <v>676.5</v>
      </c>
      <c r="P335" s="159" t="str">
        <f t="shared" si="813"/>
        <v>309.38</v>
      </c>
      <c r="Q335" s="160"/>
      <c r="R335" s="161">
        <v>0.26</v>
      </c>
      <c r="S335" s="162" t="str">
        <f t="shared" si="796"/>
        <v>500.61</v>
      </c>
      <c r="T335" s="163" t="str">
        <f t="shared" si="797"/>
        <v>60.00</v>
      </c>
      <c r="U335" s="164" t="str">
        <f t="shared" si="798"/>
        <v>37.43</v>
      </c>
      <c r="V335" s="165" t="str">
        <f t="shared" si="799"/>
        <v>0.00</v>
      </c>
      <c r="W335" s="166">
        <v>0.73</v>
      </c>
      <c r="X335" s="167" t="str">
        <f t="shared" si="800"/>
        <v>76</v>
      </c>
      <c r="Y335" s="168" t="str">
        <f t="shared" si="801"/>
        <v>219.863</v>
      </c>
      <c r="Z335" s="168" t="str">
        <f t="shared" si="802"/>
        <v>19.974</v>
      </c>
      <c r="AA335" s="164" t="str">
        <f t="shared" si="803"/>
        <v>0.00</v>
      </c>
      <c r="AB335" s="164">
        <v>100.0</v>
      </c>
      <c r="AC335" s="164" t="str">
        <f t="shared" si="804"/>
        <v>4.80</v>
      </c>
      <c r="AD335" s="165" t="str">
        <f t="shared" si="805"/>
        <v>67.65</v>
      </c>
      <c r="AE335" s="23"/>
      <c r="AF335" s="169" t="str">
        <f t="shared" si="806"/>
        <v>0</v>
      </c>
      <c r="AG335" s="163" t="str">
        <f t="shared" si="807"/>
        <v>190.78</v>
      </c>
      <c r="AH335" s="170" t="str">
        <f t="shared" si="808"/>
        <v>#DIV/0!</v>
      </c>
      <c r="AI335" s="26"/>
      <c r="AJ335" s="171" t="str">
        <f t="shared" si="809"/>
        <v>0.00%</v>
      </c>
      <c r="AK335" s="172" t="str">
        <f t="shared" si="810"/>
        <v>0.00</v>
      </c>
      <c r="AL335" s="173" t="str">
        <f t="shared" si="811"/>
        <v>309.38</v>
      </c>
      <c r="AM335" s="174" t="str">
        <f t="shared" si="812"/>
        <v>219.66</v>
      </c>
    </row>
    <row r="336" ht="12.75" customHeight="1">
      <c r="A336" s="26"/>
      <c r="B336" s="125" t="s">
        <v>637</v>
      </c>
      <c r="C336" s="126"/>
      <c r="D336" s="127"/>
      <c r="E336" s="128"/>
      <c r="F336" s="128"/>
      <c r="G336" s="128"/>
      <c r="H336" s="197"/>
      <c r="I336" s="197"/>
      <c r="J336" s="128"/>
      <c r="K336" s="130"/>
      <c r="L336" s="131"/>
      <c r="M336" s="132"/>
      <c r="N336" s="176"/>
      <c r="O336" s="134"/>
      <c r="P336" s="135"/>
      <c r="Q336" s="135"/>
      <c r="R336" s="136"/>
      <c r="S336" s="137"/>
      <c r="T336" s="177"/>
      <c r="U336" s="178"/>
      <c r="V336" s="179"/>
      <c r="W336" s="180"/>
      <c r="X336" s="181"/>
      <c r="Y336" s="182"/>
      <c r="Z336" s="182"/>
      <c r="AA336" s="178"/>
      <c r="AB336" s="178"/>
      <c r="AC336" s="178"/>
      <c r="AD336" s="179"/>
      <c r="AE336" s="183"/>
      <c r="AF336" s="184"/>
      <c r="AG336" s="177"/>
      <c r="AH336" s="185"/>
      <c r="AI336" s="26"/>
      <c r="AJ336" s="186"/>
      <c r="AK336" s="187"/>
      <c r="AL336" s="188"/>
      <c r="AM336" s="189"/>
    </row>
    <row r="337" ht="12.75" customHeight="1">
      <c r="A337" s="26"/>
      <c r="B337" s="190" t="s">
        <v>638</v>
      </c>
      <c r="C337" s="191">
        <v>1.80596737E8</v>
      </c>
      <c r="D337" s="217" t="s">
        <v>639</v>
      </c>
      <c r="E337" s="226" t="s">
        <v>77</v>
      </c>
      <c r="F337" s="154">
        <v>1.0</v>
      </c>
      <c r="G337" s="227"/>
      <c r="H337" s="227" t="str">
        <f>$I$2</f>
        <v>0.00069</v>
      </c>
      <c r="I337" s="227" t="str">
        <f>$I$3</f>
        <v>89</v>
      </c>
      <c r="J337" s="53" t="str">
        <f>G337*H337*I337*F337</f>
        <v>0</v>
      </c>
      <c r="K337" s="155" t="str">
        <f>J337*$J$4</f>
        <v>0.00</v>
      </c>
      <c r="L337" s="156" t="str">
        <f>K337+J337</f>
        <v>0.00 </v>
      </c>
      <c r="M337" s="228">
        <v>90.0</v>
      </c>
      <c r="N337" s="157">
        <v>0.0</v>
      </c>
      <c r="O337" s="158">
        <v>917.4</v>
      </c>
      <c r="P337" s="159" t="str">
        <f>AL337</f>
        <v>312.89</v>
      </c>
      <c r="Q337" s="160"/>
      <c r="R337" s="161">
        <v>0.26</v>
      </c>
      <c r="S337" s="162" t="str">
        <f>O337-(O337*R337)</f>
        <v>678.88</v>
      </c>
      <c r="T337" s="229" t="str">
        <f>$C$1</f>
        <v>60.00</v>
      </c>
      <c r="U337" s="164" t="str">
        <f>(S337*7/107)+((S337-(S337*7/107))*1%)</f>
        <v>50.76</v>
      </c>
      <c r="V337" s="230" t="str">
        <f>N337*$C$3*(M337/30)</f>
        <v>0.00</v>
      </c>
      <c r="W337" s="166">
        <v>0.3</v>
      </c>
      <c r="X337" s="231" t="str">
        <f>((_xlfn.CEILING.MATH(W337)-1)*$C$5+$C$4)</f>
        <v>76</v>
      </c>
      <c r="Y337" s="232" t="str">
        <f>O337*$Y$6</f>
        <v>298.155</v>
      </c>
      <c r="Z337" s="232" t="str">
        <f>S337*$Y$7</f>
        <v>27.087</v>
      </c>
      <c r="AA337" s="233" t="str">
        <f>$Y$3*((100-AB337)/100)</f>
        <v>1.60</v>
      </c>
      <c r="AB337" s="233">
        <v>96.81</v>
      </c>
      <c r="AC337" s="233" t="str">
        <f>$C$6*$C$7*_xlfn.CEILING.MATH(W337)</f>
        <v>4.80</v>
      </c>
      <c r="AD337" s="230" t="str">
        <f>O337*$C$2</f>
        <v>91.74</v>
      </c>
      <c r="AE337" s="23"/>
      <c r="AF337" s="169" t="str">
        <f>(_xlfn.CEILING.MATH(W337))*$Y$1*$AD$2</f>
        <v>0</v>
      </c>
      <c r="AG337" s="229" t="str">
        <f>O337-T337-U337-V337-X337-Y337-Z337-AA337-AC337-AD337-N337</f>
        <v>307.27</v>
      </c>
      <c r="AH337" s="234" t="str">
        <f>AG337/N337</f>
        <v>#DIV/0!</v>
      </c>
      <c r="AI337" s="26"/>
      <c r="AJ337" s="235" t="str">
        <f>$AD$3</f>
        <v>0.00%</v>
      </c>
      <c r="AK337" s="236" t="str">
        <f>N337*AJ337</f>
        <v>0.00</v>
      </c>
      <c r="AL337" s="237" t="str">
        <f>(N337+T337+V337+X337+AA337+AC337+AF337+AK337)/(100%-($C$2+$C$8+$Y$6+$Y$7))</f>
        <v>312.89</v>
      </c>
      <c r="AM337" s="238" t="str">
        <f>AL337-(AL337*$AD$1)</f>
        <v>222.15</v>
      </c>
    </row>
    <row r="338" ht="12.75" customHeight="1">
      <c r="A338" s="26"/>
      <c r="B338" s="125" t="s">
        <v>637</v>
      </c>
      <c r="C338" s="126"/>
      <c r="D338" s="127"/>
      <c r="E338" s="128"/>
      <c r="F338" s="128"/>
      <c r="G338" s="128"/>
      <c r="H338" s="197"/>
      <c r="I338" s="197"/>
      <c r="J338" s="128"/>
      <c r="K338" s="130"/>
      <c r="L338" s="131"/>
      <c r="M338" s="132"/>
      <c r="N338" s="176"/>
      <c r="O338" s="134"/>
      <c r="P338" s="135"/>
      <c r="Q338" s="135"/>
      <c r="R338" s="136"/>
      <c r="S338" s="137"/>
      <c r="T338" s="177"/>
      <c r="U338" s="178"/>
      <c r="V338" s="179"/>
      <c r="W338" s="180"/>
      <c r="X338" s="181"/>
      <c r="Y338" s="182"/>
      <c r="Z338" s="182"/>
      <c r="AA338" s="178"/>
      <c r="AB338" s="178"/>
      <c r="AC338" s="178"/>
      <c r="AD338" s="179"/>
      <c r="AE338" s="183"/>
      <c r="AF338" s="184"/>
      <c r="AG338" s="177"/>
      <c r="AH338" s="185"/>
      <c r="AI338" s="26"/>
      <c r="AJ338" s="186"/>
      <c r="AK338" s="187"/>
      <c r="AL338" s="188"/>
      <c r="AM338" s="189"/>
    </row>
    <row r="339" ht="12.75" customHeight="1">
      <c r="A339" s="26"/>
      <c r="B339" s="12"/>
      <c r="C339" s="192">
        <v>5.51387355E8</v>
      </c>
      <c r="D339" s="239" t="s">
        <v>640</v>
      </c>
      <c r="E339" s="226" t="s">
        <v>77</v>
      </c>
      <c r="F339" s="154">
        <v>1.0</v>
      </c>
      <c r="G339" s="53"/>
      <c r="H339" s="53" t="str">
        <f t="shared" ref="H339:H352" si="814">$I$2</f>
        <v>0.00069</v>
      </c>
      <c r="I339" s="53" t="str">
        <f t="shared" ref="I339:I352" si="815">$I$3</f>
        <v>89</v>
      </c>
      <c r="J339" s="53" t="str">
        <f t="shared" ref="J339:J352" si="816">G339*H339*I339*F339</f>
        <v>0</v>
      </c>
      <c r="K339" s="155" t="str">
        <f t="shared" ref="K339:K352" si="817">J339*$J$4</f>
        <v>0.00</v>
      </c>
      <c r="L339" s="156" t="str">
        <f t="shared" ref="L339:L352" si="818">K339+J339</f>
        <v>0.00 </v>
      </c>
      <c r="M339" s="132">
        <v>90.0</v>
      </c>
      <c r="N339" s="175">
        <v>512.18</v>
      </c>
      <c r="O339" s="158">
        <v>1944.0</v>
      </c>
      <c r="P339" s="159" t="str">
        <f t="shared" ref="P339:P346" si="819">AL339</f>
        <v/>
      </c>
      <c r="Q339" s="160">
        <v>2068.0</v>
      </c>
      <c r="R339" s="161">
        <v>0.32</v>
      </c>
      <c r="S339" s="162" t="str">
        <f t="shared" ref="S339:S352" si="820">O339-(O339*R339)</f>
        <v>1,321.92</v>
      </c>
      <c r="T339" s="229" t="str">
        <f t="shared" ref="T339:T352" si="821">$C$1</f>
        <v>60.00</v>
      </c>
      <c r="U339" s="164" t="str">
        <f t="shared" ref="U339:U352" si="822">(S339*7/107)+((S339-(S339*7/107))*1%)</f>
        <v>98.84</v>
      </c>
      <c r="V339" s="230" t="str">
        <f t="shared" ref="V339:V352" si="823">N339*$C$3*(M339/30)</f>
        <v>0.00</v>
      </c>
      <c r="W339" s="166">
        <v>0.9</v>
      </c>
      <c r="X339" s="231">
        <v>91.0</v>
      </c>
      <c r="Y339" s="232" t="str">
        <f t="shared" ref="Y339:Y352" si="824">O339*$Y$6</f>
        <v>631.800</v>
      </c>
      <c r="Z339" s="232" t="str">
        <f t="shared" ref="Z339:Z352" si="825">S339*$Y$7</f>
        <v>52.745</v>
      </c>
      <c r="AA339" s="233" t="str">
        <f t="shared" ref="AA339:AA346" si="826">$Y$3*((100-AB339)/100)</f>
        <v>1.60</v>
      </c>
      <c r="AB339" s="233">
        <v>96.81</v>
      </c>
      <c r="AC339" s="233" t="str">
        <f t="shared" ref="AC339:AC352" si="827">$C$6*$C$7*_xlfn.CEILING.MATH(W339)</f>
        <v>4.80</v>
      </c>
      <c r="AD339" s="230" t="str">
        <f t="shared" ref="AD339:AD346" si="828">O339*$C$2</f>
        <v>194.40</v>
      </c>
      <c r="AE339" s="23"/>
      <c r="AF339" s="169" t="str">
        <f t="shared" ref="AF339:AF352" si="829">(_xlfn.CEILING.MATH(W339))*$Y$1*$AD$2</f>
        <v>0</v>
      </c>
      <c r="AG339" s="229" t="str">
        <f t="shared" ref="AG339:AG352" si="830">O339-T339-U339-V339-X339-Y339-Z339-AA339-AC339-AD339-N339</f>
        <v>296.65</v>
      </c>
      <c r="AH339" s="234" t="str">
        <f t="shared" ref="AH339:AH352" si="831">AG339/N339</f>
        <v>57.92%</v>
      </c>
      <c r="AI339" s="26"/>
      <c r="AJ339" s="26"/>
      <c r="AK339" s="27"/>
      <c r="AL339" s="28"/>
      <c r="AM339" s="29"/>
    </row>
    <row r="340" ht="12.75" customHeight="1">
      <c r="A340" s="26"/>
      <c r="B340" s="12"/>
      <c r="C340" s="192">
        <v>5.51392965E8</v>
      </c>
      <c r="D340" s="239" t="s">
        <v>641</v>
      </c>
      <c r="E340" s="226" t="s">
        <v>77</v>
      </c>
      <c r="F340" s="154">
        <v>1.0</v>
      </c>
      <c r="G340" s="53"/>
      <c r="H340" s="53" t="str">
        <f t="shared" si="814"/>
        <v>0.00069</v>
      </c>
      <c r="I340" s="53" t="str">
        <f t="shared" si="815"/>
        <v>89</v>
      </c>
      <c r="J340" s="53" t="str">
        <f t="shared" si="816"/>
        <v>0</v>
      </c>
      <c r="K340" s="155" t="str">
        <f t="shared" si="817"/>
        <v>0.00</v>
      </c>
      <c r="L340" s="156" t="str">
        <f t="shared" si="818"/>
        <v>0.00 </v>
      </c>
      <c r="M340" s="132">
        <v>90.0</v>
      </c>
      <c r="N340" s="157">
        <v>864.11</v>
      </c>
      <c r="O340" s="158">
        <v>2400.0</v>
      </c>
      <c r="P340" s="159" t="str">
        <f t="shared" si="819"/>
        <v/>
      </c>
      <c r="Q340" s="160">
        <v>2417.0</v>
      </c>
      <c r="R340" s="161">
        <v>0.32</v>
      </c>
      <c r="S340" s="162" t="str">
        <f t="shared" si="820"/>
        <v>1,632.00</v>
      </c>
      <c r="T340" s="229" t="str">
        <f t="shared" si="821"/>
        <v>60.00</v>
      </c>
      <c r="U340" s="164" t="str">
        <f t="shared" si="822"/>
        <v>122.02</v>
      </c>
      <c r="V340" s="230" t="str">
        <f t="shared" si="823"/>
        <v>0.00</v>
      </c>
      <c r="W340" s="166">
        <v>0.3</v>
      </c>
      <c r="X340" s="231">
        <v>91.0</v>
      </c>
      <c r="Y340" s="232" t="str">
        <f t="shared" si="824"/>
        <v>780.000</v>
      </c>
      <c r="Z340" s="232" t="str">
        <f t="shared" si="825"/>
        <v>65.117</v>
      </c>
      <c r="AA340" s="233" t="str">
        <f t="shared" si="826"/>
        <v>1.60</v>
      </c>
      <c r="AB340" s="233">
        <v>96.81</v>
      </c>
      <c r="AC340" s="233" t="str">
        <f t="shared" si="827"/>
        <v>4.80</v>
      </c>
      <c r="AD340" s="230" t="str">
        <f t="shared" si="828"/>
        <v>240.00</v>
      </c>
      <c r="AE340" s="23"/>
      <c r="AF340" s="169" t="str">
        <f t="shared" si="829"/>
        <v>0</v>
      </c>
      <c r="AG340" s="229" t="str">
        <f t="shared" si="830"/>
        <v>171.36</v>
      </c>
      <c r="AH340" s="234" t="str">
        <f t="shared" si="831"/>
        <v>19.83%</v>
      </c>
      <c r="AI340" s="26"/>
      <c r="AJ340" s="26"/>
      <c r="AK340" s="27"/>
      <c r="AL340" s="28"/>
      <c r="AM340" s="29"/>
    </row>
    <row r="341" ht="12.75" customHeight="1">
      <c r="A341" s="26"/>
      <c r="B341" s="12"/>
      <c r="C341" s="192">
        <v>5.51447345E8</v>
      </c>
      <c r="D341" s="239" t="s">
        <v>642</v>
      </c>
      <c r="E341" s="226" t="s">
        <v>77</v>
      </c>
      <c r="F341" s="154">
        <v>1.0</v>
      </c>
      <c r="G341" s="53"/>
      <c r="H341" s="53" t="str">
        <f t="shared" si="814"/>
        <v>0.00069</v>
      </c>
      <c r="I341" s="53" t="str">
        <f t="shared" si="815"/>
        <v>89</v>
      </c>
      <c r="J341" s="53" t="str">
        <f t="shared" si="816"/>
        <v>0</v>
      </c>
      <c r="K341" s="155" t="str">
        <f t="shared" si="817"/>
        <v>0.00</v>
      </c>
      <c r="L341" s="156" t="str">
        <f t="shared" si="818"/>
        <v>0.00 </v>
      </c>
      <c r="M341" s="132">
        <v>90.0</v>
      </c>
      <c r="N341" s="157">
        <v>623.43</v>
      </c>
      <c r="O341" s="158">
        <v>2370.0</v>
      </c>
      <c r="P341" s="159" t="str">
        <f t="shared" si="819"/>
        <v/>
      </c>
      <c r="Q341" s="160">
        <v>2396.0</v>
      </c>
      <c r="R341" s="161">
        <v>0.32</v>
      </c>
      <c r="S341" s="162" t="str">
        <f t="shared" si="820"/>
        <v>1,611.60</v>
      </c>
      <c r="T341" s="229" t="str">
        <f t="shared" si="821"/>
        <v>60.00</v>
      </c>
      <c r="U341" s="164" t="str">
        <f t="shared" si="822"/>
        <v>120.49</v>
      </c>
      <c r="V341" s="230" t="str">
        <f t="shared" si="823"/>
        <v>0.00</v>
      </c>
      <c r="W341" s="166">
        <v>0.3</v>
      </c>
      <c r="X341" s="231">
        <v>91.0</v>
      </c>
      <c r="Y341" s="232" t="str">
        <f t="shared" si="824"/>
        <v>770.250</v>
      </c>
      <c r="Z341" s="232" t="str">
        <f t="shared" si="825"/>
        <v>64.303</v>
      </c>
      <c r="AA341" s="233" t="str">
        <f t="shared" si="826"/>
        <v>1.60</v>
      </c>
      <c r="AB341" s="233">
        <v>96.81</v>
      </c>
      <c r="AC341" s="233" t="str">
        <f t="shared" si="827"/>
        <v>4.80</v>
      </c>
      <c r="AD341" s="230" t="str">
        <f t="shared" si="828"/>
        <v>237.00</v>
      </c>
      <c r="AE341" s="23"/>
      <c r="AF341" s="169" t="str">
        <f t="shared" si="829"/>
        <v>0</v>
      </c>
      <c r="AG341" s="229" t="str">
        <f t="shared" si="830"/>
        <v>397.13</v>
      </c>
      <c r="AH341" s="234" t="str">
        <f t="shared" si="831"/>
        <v>63.70%</v>
      </c>
      <c r="AI341" s="26"/>
      <c r="AJ341" s="26"/>
      <c r="AK341" s="27"/>
      <c r="AL341" s="28"/>
      <c r="AM341" s="29"/>
    </row>
    <row r="342" ht="12.75" customHeight="1">
      <c r="A342" s="26"/>
      <c r="B342" s="12"/>
      <c r="C342" s="192">
        <v>5.51465879E8</v>
      </c>
      <c r="D342" s="239" t="s">
        <v>643</v>
      </c>
      <c r="E342" s="226" t="s">
        <v>77</v>
      </c>
      <c r="F342" s="154">
        <v>1.0</v>
      </c>
      <c r="G342" s="53"/>
      <c r="H342" s="53" t="str">
        <f t="shared" si="814"/>
        <v>0.00069</v>
      </c>
      <c r="I342" s="53" t="str">
        <f t="shared" si="815"/>
        <v>89</v>
      </c>
      <c r="J342" s="53" t="str">
        <f t="shared" si="816"/>
        <v>0</v>
      </c>
      <c r="K342" s="155" t="str">
        <f t="shared" si="817"/>
        <v>0.00</v>
      </c>
      <c r="L342" s="156" t="str">
        <f t="shared" si="818"/>
        <v>0.00 </v>
      </c>
      <c r="M342" s="132">
        <v>90.0</v>
      </c>
      <c r="N342" s="175">
        <v>532.1</v>
      </c>
      <c r="O342" s="158">
        <v>1935.0</v>
      </c>
      <c r="P342" s="159" t="str">
        <f t="shared" si="819"/>
        <v/>
      </c>
      <c r="Q342" s="160">
        <v>2372.0</v>
      </c>
      <c r="R342" s="161">
        <v>0.32</v>
      </c>
      <c r="S342" s="162" t="str">
        <f t="shared" si="820"/>
        <v>1,315.80</v>
      </c>
      <c r="T342" s="229" t="str">
        <f t="shared" si="821"/>
        <v>60.00</v>
      </c>
      <c r="U342" s="164" t="str">
        <f t="shared" si="822"/>
        <v>98.38</v>
      </c>
      <c r="V342" s="230" t="str">
        <f t="shared" si="823"/>
        <v>0.00</v>
      </c>
      <c r="W342" s="166">
        <v>0.3</v>
      </c>
      <c r="X342" s="231">
        <v>91.0</v>
      </c>
      <c r="Y342" s="232" t="str">
        <f t="shared" si="824"/>
        <v>628.875</v>
      </c>
      <c r="Z342" s="232" t="str">
        <f t="shared" si="825"/>
        <v>52.500</v>
      </c>
      <c r="AA342" s="233" t="str">
        <f t="shared" si="826"/>
        <v>1.60</v>
      </c>
      <c r="AB342" s="233">
        <v>96.81</v>
      </c>
      <c r="AC342" s="233" t="str">
        <f t="shared" si="827"/>
        <v>4.80</v>
      </c>
      <c r="AD342" s="230" t="str">
        <f t="shared" si="828"/>
        <v>193.50</v>
      </c>
      <c r="AE342" s="23"/>
      <c r="AF342" s="169" t="str">
        <f t="shared" si="829"/>
        <v>0</v>
      </c>
      <c r="AG342" s="229" t="str">
        <f t="shared" si="830"/>
        <v>272.25</v>
      </c>
      <c r="AH342" s="234" t="str">
        <f t="shared" si="831"/>
        <v>51.17%</v>
      </c>
      <c r="AI342" s="26"/>
      <c r="AJ342" s="26"/>
      <c r="AK342" s="27"/>
      <c r="AL342" s="28"/>
      <c r="AM342" s="29"/>
    </row>
    <row r="343" ht="12.75" customHeight="1">
      <c r="A343" s="26"/>
      <c r="B343" s="12"/>
      <c r="C343" s="192">
        <v>5.51472457E8</v>
      </c>
      <c r="D343" s="239" t="s">
        <v>644</v>
      </c>
      <c r="E343" s="226" t="s">
        <v>77</v>
      </c>
      <c r="F343" s="154">
        <v>1.0</v>
      </c>
      <c r="G343" s="53"/>
      <c r="H343" s="53" t="str">
        <f t="shared" si="814"/>
        <v>0.00069</v>
      </c>
      <c r="I343" s="53" t="str">
        <f t="shared" si="815"/>
        <v>89</v>
      </c>
      <c r="J343" s="53" t="str">
        <f t="shared" si="816"/>
        <v>0</v>
      </c>
      <c r="K343" s="155" t="str">
        <f t="shared" si="817"/>
        <v>0.00</v>
      </c>
      <c r="L343" s="156" t="str">
        <f t="shared" si="818"/>
        <v>0.00 </v>
      </c>
      <c r="M343" s="132">
        <v>90.0</v>
      </c>
      <c r="N343" s="157">
        <v>763.83</v>
      </c>
      <c r="O343" s="158">
        <v>1980.0</v>
      </c>
      <c r="P343" s="159" t="str">
        <f t="shared" si="819"/>
        <v/>
      </c>
      <c r="Q343" s="160">
        <v>1995.0</v>
      </c>
      <c r="R343" s="161">
        <v>0.32</v>
      </c>
      <c r="S343" s="162" t="str">
        <f t="shared" si="820"/>
        <v>1,346.40</v>
      </c>
      <c r="T343" s="229" t="str">
        <f t="shared" si="821"/>
        <v>60.00</v>
      </c>
      <c r="U343" s="164" t="str">
        <f t="shared" si="822"/>
        <v>100.67</v>
      </c>
      <c r="V343" s="230" t="str">
        <f t="shared" si="823"/>
        <v>0.00</v>
      </c>
      <c r="W343" s="166">
        <v>0.3</v>
      </c>
      <c r="X343" s="231">
        <v>91.0</v>
      </c>
      <c r="Y343" s="232" t="str">
        <f t="shared" si="824"/>
        <v>643.500</v>
      </c>
      <c r="Z343" s="232" t="str">
        <f t="shared" si="825"/>
        <v>53.721</v>
      </c>
      <c r="AA343" s="233" t="str">
        <f t="shared" si="826"/>
        <v>1.60</v>
      </c>
      <c r="AB343" s="233">
        <v>96.81</v>
      </c>
      <c r="AC343" s="233" t="str">
        <f t="shared" si="827"/>
        <v>4.80</v>
      </c>
      <c r="AD343" s="230" t="str">
        <f t="shared" si="828"/>
        <v>198.00</v>
      </c>
      <c r="AE343" s="23"/>
      <c r="AF343" s="169" t="str">
        <f t="shared" si="829"/>
        <v>0</v>
      </c>
      <c r="AG343" s="229" t="str">
        <f t="shared" si="830"/>
        <v>62.89</v>
      </c>
      <c r="AH343" s="234" t="str">
        <f t="shared" si="831"/>
        <v>8.23%</v>
      </c>
      <c r="AI343" s="26"/>
      <c r="AJ343" s="26"/>
      <c r="AK343" s="27"/>
      <c r="AL343" s="28"/>
      <c r="AM343" s="29"/>
    </row>
    <row r="344" ht="12.75" customHeight="1">
      <c r="A344" s="26"/>
      <c r="B344" s="12"/>
      <c r="C344" s="192">
        <v>5.51482493E8</v>
      </c>
      <c r="D344" s="239" t="s">
        <v>645</v>
      </c>
      <c r="E344" s="226" t="s">
        <v>77</v>
      </c>
      <c r="F344" s="154">
        <v>1.0</v>
      </c>
      <c r="G344" s="53"/>
      <c r="H344" s="53" t="str">
        <f t="shared" si="814"/>
        <v>0.00069</v>
      </c>
      <c r="I344" s="53" t="str">
        <f t="shared" si="815"/>
        <v>89</v>
      </c>
      <c r="J344" s="53" t="str">
        <f t="shared" si="816"/>
        <v>0</v>
      </c>
      <c r="K344" s="155" t="str">
        <f t="shared" si="817"/>
        <v>0.00</v>
      </c>
      <c r="L344" s="156" t="str">
        <f t="shared" si="818"/>
        <v>0.00 </v>
      </c>
      <c r="M344" s="132">
        <v>90.0</v>
      </c>
      <c r="N344" s="157">
        <v>687.58</v>
      </c>
      <c r="O344" s="158">
        <v>2190.0</v>
      </c>
      <c r="P344" s="159" t="str">
        <f t="shared" si="819"/>
        <v/>
      </c>
      <c r="Q344" s="160">
        <v>2204.0</v>
      </c>
      <c r="R344" s="161">
        <v>0.32</v>
      </c>
      <c r="S344" s="162" t="str">
        <f t="shared" si="820"/>
        <v>1,489.20</v>
      </c>
      <c r="T344" s="229" t="str">
        <f t="shared" si="821"/>
        <v>60.00</v>
      </c>
      <c r="U344" s="164" t="str">
        <f t="shared" si="822"/>
        <v>111.34</v>
      </c>
      <c r="V344" s="230" t="str">
        <f t="shared" si="823"/>
        <v>0.00</v>
      </c>
      <c r="W344" s="166">
        <v>0.3</v>
      </c>
      <c r="X344" s="231">
        <v>91.0</v>
      </c>
      <c r="Y344" s="232" t="str">
        <f t="shared" si="824"/>
        <v>711.750</v>
      </c>
      <c r="Z344" s="232" t="str">
        <f t="shared" si="825"/>
        <v>59.419</v>
      </c>
      <c r="AA344" s="233" t="str">
        <f t="shared" si="826"/>
        <v>1.60</v>
      </c>
      <c r="AB344" s="233">
        <v>96.81</v>
      </c>
      <c r="AC344" s="233" t="str">
        <f t="shared" si="827"/>
        <v>4.80</v>
      </c>
      <c r="AD344" s="230" t="str">
        <f t="shared" si="828"/>
        <v>219.00</v>
      </c>
      <c r="AE344" s="23"/>
      <c r="AF344" s="169" t="str">
        <f t="shared" si="829"/>
        <v>0</v>
      </c>
      <c r="AG344" s="229" t="str">
        <f t="shared" si="830"/>
        <v>243.51</v>
      </c>
      <c r="AH344" s="234" t="str">
        <f t="shared" si="831"/>
        <v>35.42%</v>
      </c>
      <c r="AI344" s="26"/>
      <c r="AJ344" s="26"/>
      <c r="AK344" s="27"/>
      <c r="AL344" s="28"/>
      <c r="AM344" s="29"/>
    </row>
    <row r="345" ht="12.75" customHeight="1">
      <c r="A345" s="26"/>
      <c r="B345" s="12"/>
      <c r="C345" s="192">
        <v>5.51490295E8</v>
      </c>
      <c r="D345" s="239" t="s">
        <v>646</v>
      </c>
      <c r="E345" s="226" t="s">
        <v>77</v>
      </c>
      <c r="F345" s="154">
        <v>1.0</v>
      </c>
      <c r="G345" s="53"/>
      <c r="H345" s="53" t="str">
        <f t="shared" si="814"/>
        <v>0.00069</v>
      </c>
      <c r="I345" s="53" t="str">
        <f t="shared" si="815"/>
        <v>89</v>
      </c>
      <c r="J345" s="53" t="str">
        <f t="shared" si="816"/>
        <v>0</v>
      </c>
      <c r="K345" s="155" t="str">
        <f t="shared" si="817"/>
        <v>0.00</v>
      </c>
      <c r="L345" s="156" t="str">
        <f t="shared" si="818"/>
        <v>0.00 </v>
      </c>
      <c r="M345" s="132">
        <v>90.0</v>
      </c>
      <c r="N345" s="157">
        <v>272.44</v>
      </c>
      <c r="O345" s="158">
        <v>600.0</v>
      </c>
      <c r="P345" s="159" t="str">
        <f t="shared" si="819"/>
        <v/>
      </c>
      <c r="Q345" s="160">
        <v>615.0</v>
      </c>
      <c r="R345" s="161">
        <v>0.32</v>
      </c>
      <c r="S345" s="162" t="str">
        <f t="shared" si="820"/>
        <v>408.00</v>
      </c>
      <c r="T345" s="229" t="str">
        <f t="shared" si="821"/>
        <v>60.00</v>
      </c>
      <c r="U345" s="164" t="str">
        <f t="shared" si="822"/>
        <v>30.50</v>
      </c>
      <c r="V345" s="230" t="str">
        <f t="shared" si="823"/>
        <v>0.00</v>
      </c>
      <c r="W345" s="166">
        <v>0.3</v>
      </c>
      <c r="X345" s="231">
        <v>91.0</v>
      </c>
      <c r="Y345" s="232" t="str">
        <f t="shared" si="824"/>
        <v>195.000</v>
      </c>
      <c r="Z345" s="232" t="str">
        <f t="shared" si="825"/>
        <v>16.279</v>
      </c>
      <c r="AA345" s="233" t="str">
        <f t="shared" si="826"/>
        <v>1.60</v>
      </c>
      <c r="AB345" s="233">
        <v>96.81</v>
      </c>
      <c r="AC345" s="233" t="str">
        <f t="shared" si="827"/>
        <v>4.80</v>
      </c>
      <c r="AD345" s="230" t="str">
        <f t="shared" si="828"/>
        <v>60.00</v>
      </c>
      <c r="AE345" s="23"/>
      <c r="AF345" s="169" t="str">
        <f t="shared" si="829"/>
        <v>0</v>
      </c>
      <c r="AG345" s="229" t="str">
        <f t="shared" si="830"/>
        <v>-131.62</v>
      </c>
      <c r="AH345" s="234" t="str">
        <f t="shared" si="831"/>
        <v>-48.31%</v>
      </c>
      <c r="AI345" s="26"/>
      <c r="AJ345" s="26"/>
      <c r="AK345" s="27"/>
      <c r="AL345" s="28"/>
      <c r="AM345" s="29"/>
    </row>
    <row r="346" ht="12.75" customHeight="1">
      <c r="A346" s="26"/>
      <c r="B346" s="12"/>
      <c r="C346" s="192">
        <v>5.51518955E8</v>
      </c>
      <c r="D346" s="239" t="s">
        <v>647</v>
      </c>
      <c r="E346" s="226" t="s">
        <v>77</v>
      </c>
      <c r="F346" s="154">
        <v>1.0</v>
      </c>
      <c r="G346" s="53"/>
      <c r="H346" s="53" t="str">
        <f t="shared" si="814"/>
        <v>0.00069</v>
      </c>
      <c r="I346" s="53" t="str">
        <f t="shared" si="815"/>
        <v>89</v>
      </c>
      <c r="J346" s="53" t="str">
        <f t="shared" si="816"/>
        <v>0</v>
      </c>
      <c r="K346" s="155" t="str">
        <f t="shared" si="817"/>
        <v>0.00</v>
      </c>
      <c r="L346" s="156" t="str">
        <f t="shared" si="818"/>
        <v>0.00 </v>
      </c>
      <c r="M346" s="132">
        <v>90.0</v>
      </c>
      <c r="N346" s="157">
        <v>719.58</v>
      </c>
      <c r="O346" s="158">
        <v>2205.0</v>
      </c>
      <c r="P346" s="159" t="str">
        <f t="shared" si="819"/>
        <v/>
      </c>
      <c r="Q346" s="160">
        <v>2220.0</v>
      </c>
      <c r="R346" s="161">
        <v>0.32</v>
      </c>
      <c r="S346" s="162" t="str">
        <f t="shared" si="820"/>
        <v>1,499.40</v>
      </c>
      <c r="T346" s="229" t="str">
        <f t="shared" si="821"/>
        <v>60.00</v>
      </c>
      <c r="U346" s="164" t="str">
        <f t="shared" si="822"/>
        <v>112.10</v>
      </c>
      <c r="V346" s="230" t="str">
        <f t="shared" si="823"/>
        <v>0.00</v>
      </c>
      <c r="W346" s="166">
        <v>0.3</v>
      </c>
      <c r="X346" s="231">
        <v>91.0</v>
      </c>
      <c r="Y346" s="232" t="str">
        <f t="shared" si="824"/>
        <v>716.625</v>
      </c>
      <c r="Z346" s="232" t="str">
        <f t="shared" si="825"/>
        <v>59.826</v>
      </c>
      <c r="AA346" s="233" t="str">
        <f t="shared" si="826"/>
        <v>1.60</v>
      </c>
      <c r="AB346" s="233">
        <v>96.81</v>
      </c>
      <c r="AC346" s="233" t="str">
        <f t="shared" si="827"/>
        <v>4.80</v>
      </c>
      <c r="AD346" s="230" t="str">
        <f t="shared" si="828"/>
        <v>220.50</v>
      </c>
      <c r="AE346" s="23"/>
      <c r="AF346" s="169" t="str">
        <f t="shared" si="829"/>
        <v>0</v>
      </c>
      <c r="AG346" s="229" t="str">
        <f t="shared" si="830"/>
        <v>218.97</v>
      </c>
      <c r="AH346" s="234" t="str">
        <f t="shared" si="831"/>
        <v>30.43%</v>
      </c>
      <c r="AI346" s="26"/>
      <c r="AJ346" s="26"/>
      <c r="AK346" s="27"/>
      <c r="AL346" s="28"/>
      <c r="AM346" s="29"/>
    </row>
    <row r="347" ht="12.75" customHeight="1">
      <c r="A347" s="26"/>
      <c r="B347" s="12"/>
      <c r="C347" s="192">
        <v>8.68516027E8</v>
      </c>
      <c r="D347" s="239" t="s">
        <v>648</v>
      </c>
      <c r="E347" s="226" t="s">
        <v>77</v>
      </c>
      <c r="F347" s="154">
        <v>1.0</v>
      </c>
      <c r="G347" s="53"/>
      <c r="H347" s="53" t="str">
        <f t="shared" si="814"/>
        <v>0.00069</v>
      </c>
      <c r="I347" s="53" t="str">
        <f t="shared" si="815"/>
        <v>89</v>
      </c>
      <c r="J347" s="53" t="str">
        <f t="shared" si="816"/>
        <v>0</v>
      </c>
      <c r="K347" s="155" t="str">
        <f t="shared" si="817"/>
        <v>0.00</v>
      </c>
      <c r="L347" s="156" t="str">
        <f t="shared" si="818"/>
        <v>0.00 </v>
      </c>
      <c r="M347" s="132">
        <v>90.0</v>
      </c>
      <c r="N347" s="157">
        <v>663.86</v>
      </c>
      <c r="O347" s="158">
        <v>1740.0</v>
      </c>
      <c r="P347" s="159"/>
      <c r="Q347" s="160"/>
      <c r="R347" s="161">
        <v>0.4</v>
      </c>
      <c r="S347" s="162" t="str">
        <f t="shared" si="820"/>
        <v>1,044.00</v>
      </c>
      <c r="T347" s="229" t="str">
        <f t="shared" si="821"/>
        <v>60.00</v>
      </c>
      <c r="U347" s="164" t="str">
        <f t="shared" si="822"/>
        <v>78.06</v>
      </c>
      <c r="V347" s="230" t="str">
        <f t="shared" si="823"/>
        <v>0.00</v>
      </c>
      <c r="W347" s="166">
        <v>0.02</v>
      </c>
      <c r="X347" s="231">
        <v>63.0</v>
      </c>
      <c r="Y347" s="232" t="str">
        <f t="shared" si="824"/>
        <v>565.500</v>
      </c>
      <c r="Z347" s="232" t="str">
        <f t="shared" si="825"/>
        <v>41.656</v>
      </c>
      <c r="AA347" s="233">
        <v>1.6</v>
      </c>
      <c r="AB347" s="233">
        <v>96.81</v>
      </c>
      <c r="AC347" s="233" t="str">
        <f t="shared" si="827"/>
        <v>4.80</v>
      </c>
      <c r="AD347" s="230">
        <v>330.0</v>
      </c>
      <c r="AE347" s="23"/>
      <c r="AF347" s="169" t="str">
        <f t="shared" si="829"/>
        <v>0</v>
      </c>
      <c r="AG347" s="229" t="str">
        <f t="shared" si="830"/>
        <v>-68.47</v>
      </c>
      <c r="AH347" s="234" t="str">
        <f t="shared" si="831"/>
        <v>-10.31%</v>
      </c>
      <c r="AI347" s="26"/>
      <c r="AJ347" s="26"/>
      <c r="AK347" s="27"/>
      <c r="AL347" s="28"/>
      <c r="AM347" s="29"/>
    </row>
    <row r="348" ht="12.75" customHeight="1">
      <c r="A348" s="26"/>
      <c r="B348" s="12"/>
      <c r="C348" s="192">
        <v>5.51600265E8</v>
      </c>
      <c r="D348" s="239" t="s">
        <v>649</v>
      </c>
      <c r="E348" s="226" t="s">
        <v>77</v>
      </c>
      <c r="F348" s="154">
        <v>1.0</v>
      </c>
      <c r="G348" s="53"/>
      <c r="H348" s="53" t="str">
        <f t="shared" si="814"/>
        <v>0.00069</v>
      </c>
      <c r="I348" s="53" t="str">
        <f t="shared" si="815"/>
        <v>89</v>
      </c>
      <c r="J348" s="53" t="str">
        <f t="shared" si="816"/>
        <v>0</v>
      </c>
      <c r="K348" s="155" t="str">
        <f t="shared" si="817"/>
        <v>0.00</v>
      </c>
      <c r="L348" s="156" t="str">
        <f t="shared" si="818"/>
        <v>0.00 </v>
      </c>
      <c r="M348" s="132">
        <v>90.0</v>
      </c>
      <c r="N348" s="157">
        <v>96.94</v>
      </c>
      <c r="O348" s="158">
        <v>498.0</v>
      </c>
      <c r="P348" s="159" t="str">
        <f t="shared" ref="P348:P352" si="832">AL348</f>
        <v/>
      </c>
      <c r="Q348" s="160">
        <v>501.0</v>
      </c>
      <c r="R348" s="161">
        <v>0.32</v>
      </c>
      <c r="S348" s="162" t="str">
        <f t="shared" si="820"/>
        <v>338.64</v>
      </c>
      <c r="T348" s="229" t="str">
        <f t="shared" si="821"/>
        <v>60.00</v>
      </c>
      <c r="U348" s="164" t="str">
        <f t="shared" si="822"/>
        <v>25.32</v>
      </c>
      <c r="V348" s="230" t="str">
        <f t="shared" si="823"/>
        <v>0.00</v>
      </c>
      <c r="W348" s="166">
        <v>0.3</v>
      </c>
      <c r="X348" s="231">
        <v>91.0</v>
      </c>
      <c r="Y348" s="232" t="str">
        <f t="shared" si="824"/>
        <v>161.850</v>
      </c>
      <c r="Z348" s="232" t="str">
        <f t="shared" si="825"/>
        <v>13.512</v>
      </c>
      <c r="AA348" s="233" t="str">
        <f t="shared" ref="AA348:AA352" si="833">$Y$3*((100-AB348)/100)</f>
        <v>1.60</v>
      </c>
      <c r="AB348" s="233">
        <v>96.81</v>
      </c>
      <c r="AC348" s="233" t="str">
        <f t="shared" si="827"/>
        <v>4.80</v>
      </c>
      <c r="AD348" s="230" t="str">
        <f t="shared" ref="AD348:AD352" si="834">O348*$C$2</f>
        <v>49.80</v>
      </c>
      <c r="AE348" s="23"/>
      <c r="AF348" s="169" t="str">
        <f t="shared" si="829"/>
        <v>0</v>
      </c>
      <c r="AG348" s="229" t="str">
        <f t="shared" si="830"/>
        <v>-6.82</v>
      </c>
      <c r="AH348" s="234" t="str">
        <f t="shared" si="831"/>
        <v>-7.03%</v>
      </c>
      <c r="AI348" s="26"/>
      <c r="AJ348" s="26"/>
      <c r="AK348" s="27"/>
      <c r="AL348" s="28"/>
      <c r="AM348" s="29"/>
    </row>
    <row r="349" ht="12.75" customHeight="1">
      <c r="A349" s="26"/>
      <c r="B349" s="12"/>
      <c r="C349" s="192">
        <v>5.51540924E8</v>
      </c>
      <c r="D349" s="239" t="s">
        <v>650</v>
      </c>
      <c r="E349" s="226" t="s">
        <v>77</v>
      </c>
      <c r="F349" s="154">
        <v>1.0</v>
      </c>
      <c r="G349" s="53"/>
      <c r="H349" s="53" t="str">
        <f t="shared" si="814"/>
        <v>0.00069</v>
      </c>
      <c r="I349" s="53" t="str">
        <f t="shared" si="815"/>
        <v>89</v>
      </c>
      <c r="J349" s="53" t="str">
        <f t="shared" si="816"/>
        <v>0</v>
      </c>
      <c r="K349" s="155" t="str">
        <f t="shared" si="817"/>
        <v>0.00</v>
      </c>
      <c r="L349" s="156" t="str">
        <f t="shared" si="818"/>
        <v>0.00 </v>
      </c>
      <c r="M349" s="132">
        <v>90.0</v>
      </c>
      <c r="N349" s="157">
        <v>556.18</v>
      </c>
      <c r="O349" s="158">
        <v>1750.0</v>
      </c>
      <c r="P349" s="159" t="str">
        <f t="shared" si="832"/>
        <v/>
      </c>
      <c r="Q349" s="160">
        <v>1866.0</v>
      </c>
      <c r="R349" s="161">
        <v>0.32</v>
      </c>
      <c r="S349" s="162" t="str">
        <f t="shared" si="820"/>
        <v>1,190.00</v>
      </c>
      <c r="T349" s="229" t="str">
        <f t="shared" si="821"/>
        <v>60.00</v>
      </c>
      <c r="U349" s="164" t="str">
        <f t="shared" si="822"/>
        <v>88.97</v>
      </c>
      <c r="V349" s="230" t="str">
        <f t="shared" si="823"/>
        <v>0.00</v>
      </c>
      <c r="W349" s="166">
        <v>0.3</v>
      </c>
      <c r="X349" s="231">
        <v>91.0</v>
      </c>
      <c r="Y349" s="232" t="str">
        <f t="shared" si="824"/>
        <v>568.750</v>
      </c>
      <c r="Z349" s="232" t="str">
        <f t="shared" si="825"/>
        <v>47.481</v>
      </c>
      <c r="AA349" s="233" t="str">
        <f t="shared" si="833"/>
        <v>1.60</v>
      </c>
      <c r="AB349" s="233">
        <v>96.81</v>
      </c>
      <c r="AC349" s="233" t="str">
        <f t="shared" si="827"/>
        <v>4.80</v>
      </c>
      <c r="AD349" s="230" t="str">
        <f t="shared" si="834"/>
        <v>175.00</v>
      </c>
      <c r="AE349" s="23"/>
      <c r="AF349" s="169" t="str">
        <f t="shared" si="829"/>
        <v>0</v>
      </c>
      <c r="AG349" s="229" t="str">
        <f t="shared" si="830"/>
        <v>156.22</v>
      </c>
      <c r="AH349" s="234" t="str">
        <f t="shared" si="831"/>
        <v>28.09%</v>
      </c>
      <c r="AI349" s="26"/>
      <c r="AJ349" s="26"/>
      <c r="AK349" s="27"/>
      <c r="AL349" s="28"/>
      <c r="AM349" s="29"/>
    </row>
    <row r="350" ht="12.75" customHeight="1">
      <c r="A350" s="26"/>
      <c r="B350" s="12"/>
      <c r="C350" s="192">
        <v>5.51607905E8</v>
      </c>
      <c r="D350" s="239" t="s">
        <v>651</v>
      </c>
      <c r="E350" s="226" t="s">
        <v>77</v>
      </c>
      <c r="F350" s="154">
        <v>1.0</v>
      </c>
      <c r="G350" s="53"/>
      <c r="H350" s="53" t="str">
        <f t="shared" si="814"/>
        <v>0.00069</v>
      </c>
      <c r="I350" s="53" t="str">
        <f t="shared" si="815"/>
        <v>89</v>
      </c>
      <c r="J350" s="53" t="str">
        <f t="shared" si="816"/>
        <v>0</v>
      </c>
      <c r="K350" s="155" t="str">
        <f t="shared" si="817"/>
        <v>0.00</v>
      </c>
      <c r="L350" s="156" t="str">
        <f t="shared" si="818"/>
        <v>0.00 </v>
      </c>
      <c r="M350" s="132">
        <v>90.0</v>
      </c>
      <c r="N350" s="157">
        <v>707.88</v>
      </c>
      <c r="O350" s="158">
        <v>1960.0</v>
      </c>
      <c r="P350" s="159" t="str">
        <f t="shared" si="832"/>
        <v/>
      </c>
      <c r="Q350" s="160">
        <v>2119.0</v>
      </c>
      <c r="R350" s="161">
        <v>0.32</v>
      </c>
      <c r="S350" s="162" t="str">
        <f t="shared" si="820"/>
        <v>1,332.80</v>
      </c>
      <c r="T350" s="229" t="str">
        <f t="shared" si="821"/>
        <v>60.00</v>
      </c>
      <c r="U350" s="164" t="str">
        <f t="shared" si="822"/>
        <v>99.65</v>
      </c>
      <c r="V350" s="230" t="str">
        <f t="shared" si="823"/>
        <v>0.00</v>
      </c>
      <c r="W350" s="166">
        <v>0.3</v>
      </c>
      <c r="X350" s="231">
        <v>91.0</v>
      </c>
      <c r="Y350" s="232" t="str">
        <f t="shared" si="824"/>
        <v>637.000</v>
      </c>
      <c r="Z350" s="232" t="str">
        <f t="shared" si="825"/>
        <v>53.179</v>
      </c>
      <c r="AA350" s="233" t="str">
        <f t="shared" si="833"/>
        <v>1.60</v>
      </c>
      <c r="AB350" s="233">
        <v>96.81</v>
      </c>
      <c r="AC350" s="233" t="str">
        <f t="shared" si="827"/>
        <v>4.80</v>
      </c>
      <c r="AD350" s="230" t="str">
        <f t="shared" si="834"/>
        <v>196.00</v>
      </c>
      <c r="AE350" s="23"/>
      <c r="AF350" s="169" t="str">
        <f t="shared" si="829"/>
        <v>0</v>
      </c>
      <c r="AG350" s="229" t="str">
        <f t="shared" si="830"/>
        <v>108.90</v>
      </c>
      <c r="AH350" s="234" t="str">
        <f t="shared" si="831"/>
        <v>15.38%</v>
      </c>
      <c r="AI350" s="26"/>
      <c r="AJ350" s="26"/>
      <c r="AK350" s="27"/>
      <c r="AL350" s="28"/>
      <c r="AM350" s="29"/>
    </row>
    <row r="351" ht="12.75" customHeight="1">
      <c r="A351" s="26"/>
      <c r="B351" s="12"/>
      <c r="C351" s="192">
        <v>5.51616449E8</v>
      </c>
      <c r="D351" s="239" t="s">
        <v>652</v>
      </c>
      <c r="E351" s="226" t="s">
        <v>77</v>
      </c>
      <c r="F351" s="154">
        <v>1.0</v>
      </c>
      <c r="G351" s="53"/>
      <c r="H351" s="53" t="str">
        <f t="shared" si="814"/>
        <v>0.00069</v>
      </c>
      <c r="I351" s="53" t="str">
        <f t="shared" si="815"/>
        <v>89</v>
      </c>
      <c r="J351" s="53" t="str">
        <f t="shared" si="816"/>
        <v>0</v>
      </c>
      <c r="K351" s="155" t="str">
        <f t="shared" si="817"/>
        <v>0.00</v>
      </c>
      <c r="L351" s="156" t="str">
        <f t="shared" si="818"/>
        <v>0.00 </v>
      </c>
      <c r="M351" s="132">
        <v>90.0</v>
      </c>
      <c r="N351" s="157">
        <v>634.34</v>
      </c>
      <c r="O351" s="158">
        <v>1770.0</v>
      </c>
      <c r="P351" s="159" t="str">
        <f t="shared" si="832"/>
        <v/>
      </c>
      <c r="Q351" s="160">
        <v>1797.0</v>
      </c>
      <c r="R351" s="161">
        <v>0.32</v>
      </c>
      <c r="S351" s="162" t="str">
        <f t="shared" si="820"/>
        <v>1,203.60</v>
      </c>
      <c r="T351" s="229" t="str">
        <f t="shared" si="821"/>
        <v>60.00</v>
      </c>
      <c r="U351" s="164" t="str">
        <f t="shared" si="822"/>
        <v>89.99</v>
      </c>
      <c r="V351" s="230" t="str">
        <f t="shared" si="823"/>
        <v>0.00</v>
      </c>
      <c r="W351" s="166">
        <v>0.3</v>
      </c>
      <c r="X351" s="231">
        <v>91.0</v>
      </c>
      <c r="Y351" s="232" t="str">
        <f t="shared" si="824"/>
        <v>575.250</v>
      </c>
      <c r="Z351" s="232" t="str">
        <f t="shared" si="825"/>
        <v>48.024</v>
      </c>
      <c r="AA351" s="233" t="str">
        <f t="shared" si="833"/>
        <v>1.60</v>
      </c>
      <c r="AB351" s="233">
        <v>96.81</v>
      </c>
      <c r="AC351" s="233" t="str">
        <f t="shared" si="827"/>
        <v>4.80</v>
      </c>
      <c r="AD351" s="230" t="str">
        <f t="shared" si="834"/>
        <v>177.00</v>
      </c>
      <c r="AE351" s="23"/>
      <c r="AF351" s="169" t="str">
        <f t="shared" si="829"/>
        <v>0</v>
      </c>
      <c r="AG351" s="229" t="str">
        <f t="shared" si="830"/>
        <v>88.00</v>
      </c>
      <c r="AH351" s="234" t="str">
        <f t="shared" si="831"/>
        <v>13.87%</v>
      </c>
      <c r="AI351" s="26"/>
      <c r="AJ351" s="26"/>
      <c r="AK351" s="27"/>
      <c r="AL351" s="28"/>
      <c r="AM351" s="29"/>
    </row>
    <row r="352" ht="12.75" customHeight="1">
      <c r="A352" s="26"/>
      <c r="B352" s="12"/>
      <c r="C352" s="192">
        <v>5.51626041E8</v>
      </c>
      <c r="D352" s="239" t="s">
        <v>653</v>
      </c>
      <c r="E352" s="226" t="s">
        <v>77</v>
      </c>
      <c r="F352" s="154">
        <v>1.0</v>
      </c>
      <c r="G352" s="53"/>
      <c r="H352" s="53" t="str">
        <f t="shared" si="814"/>
        <v>0.00069</v>
      </c>
      <c r="I352" s="53" t="str">
        <f t="shared" si="815"/>
        <v>89</v>
      </c>
      <c r="J352" s="53" t="str">
        <f t="shared" si="816"/>
        <v>0</v>
      </c>
      <c r="K352" s="155" t="str">
        <f t="shared" si="817"/>
        <v>0.00</v>
      </c>
      <c r="L352" s="156" t="str">
        <f t="shared" si="818"/>
        <v>0.00 </v>
      </c>
      <c r="M352" s="132">
        <v>90.0</v>
      </c>
      <c r="N352" s="157">
        <v>484.71</v>
      </c>
      <c r="O352" s="158">
        <v>1320.0</v>
      </c>
      <c r="P352" s="159" t="str">
        <f t="shared" si="832"/>
        <v/>
      </c>
      <c r="Q352" s="160">
        <v>1332.0</v>
      </c>
      <c r="R352" s="161">
        <v>0.32</v>
      </c>
      <c r="S352" s="162" t="str">
        <f t="shared" si="820"/>
        <v>897.60</v>
      </c>
      <c r="T352" s="229" t="str">
        <f t="shared" si="821"/>
        <v>60.00</v>
      </c>
      <c r="U352" s="164" t="str">
        <f t="shared" si="822"/>
        <v>67.11</v>
      </c>
      <c r="V352" s="230" t="str">
        <f t="shared" si="823"/>
        <v>0.00</v>
      </c>
      <c r="W352" s="166">
        <v>0.3</v>
      </c>
      <c r="X352" s="231">
        <v>91.0</v>
      </c>
      <c r="Y352" s="232" t="str">
        <f t="shared" si="824"/>
        <v>429.000</v>
      </c>
      <c r="Z352" s="232" t="str">
        <f t="shared" si="825"/>
        <v>35.814</v>
      </c>
      <c r="AA352" s="233" t="str">
        <f t="shared" si="833"/>
        <v>1.60</v>
      </c>
      <c r="AB352" s="233">
        <v>96.81</v>
      </c>
      <c r="AC352" s="233" t="str">
        <f t="shared" si="827"/>
        <v>4.80</v>
      </c>
      <c r="AD352" s="230" t="str">
        <f t="shared" si="834"/>
        <v>132.00</v>
      </c>
      <c r="AE352" s="23"/>
      <c r="AF352" s="169" t="str">
        <f t="shared" si="829"/>
        <v>0</v>
      </c>
      <c r="AG352" s="229" t="str">
        <f t="shared" si="830"/>
        <v>13.97</v>
      </c>
      <c r="AH352" s="234" t="str">
        <f t="shared" si="831"/>
        <v>2.88%</v>
      </c>
      <c r="AI352" s="26"/>
      <c r="AJ352" s="26"/>
      <c r="AK352" s="27"/>
      <c r="AL352" s="28"/>
      <c r="AM352" s="29"/>
    </row>
    <row r="353" ht="12.75" customHeight="1">
      <c r="A353" s="26"/>
      <c r="B353" s="12"/>
      <c r="C353" s="240"/>
      <c r="D353" s="241"/>
      <c r="E353" s="5"/>
      <c r="F353" s="5"/>
      <c r="G353" s="5"/>
      <c r="H353" s="5"/>
      <c r="I353" s="5"/>
      <c r="J353" s="5"/>
      <c r="K353" s="8"/>
      <c r="L353" s="9"/>
      <c r="M353" s="10"/>
      <c r="N353" s="86"/>
      <c r="O353" s="242"/>
      <c r="P353" s="243"/>
      <c r="Q353" s="243"/>
      <c r="R353" s="14"/>
      <c r="S353" s="242"/>
      <c r="T353" s="15"/>
      <c r="U353" s="15"/>
      <c r="V353" s="15"/>
      <c r="W353" s="8"/>
      <c r="X353" s="8"/>
      <c r="Y353" s="56"/>
      <c r="Z353" s="56"/>
      <c r="AA353" s="15"/>
      <c r="AB353" s="15"/>
      <c r="AC353" s="15"/>
      <c r="AD353" s="15"/>
      <c r="AE353" s="57"/>
      <c r="AF353" s="57"/>
      <c r="AG353" s="15"/>
      <c r="AH353" s="25"/>
      <c r="AI353" s="26"/>
      <c r="AJ353" s="26"/>
      <c r="AK353" s="27"/>
      <c r="AL353" s="28"/>
      <c r="AM353" s="29"/>
    </row>
    <row r="354" ht="12.75" customHeight="1">
      <c r="A354" s="26"/>
      <c r="B354" s="12"/>
      <c r="C354" s="240"/>
      <c r="D354" s="241"/>
      <c r="E354" s="5"/>
      <c r="F354" s="5"/>
      <c r="G354" s="5"/>
      <c r="H354" s="5"/>
      <c r="I354" s="5"/>
      <c r="J354" s="5"/>
      <c r="K354" s="8"/>
      <c r="L354" s="9"/>
      <c r="M354" s="10"/>
      <c r="N354" s="86"/>
      <c r="O354" s="242"/>
      <c r="P354" s="243"/>
      <c r="Q354" s="243"/>
      <c r="R354" s="14"/>
      <c r="S354" s="242"/>
      <c r="T354" s="15"/>
      <c r="U354" s="15"/>
      <c r="V354" s="15"/>
      <c r="W354" s="8"/>
      <c r="X354" s="8"/>
      <c r="Y354" s="56"/>
      <c r="Z354" s="56"/>
      <c r="AA354" s="15"/>
      <c r="AB354" s="15"/>
      <c r="AC354" s="15"/>
      <c r="AD354" s="15"/>
      <c r="AE354" s="57"/>
      <c r="AF354" s="57"/>
      <c r="AG354" s="15"/>
      <c r="AH354" s="25"/>
      <c r="AI354" s="26"/>
      <c r="AJ354" s="26"/>
      <c r="AK354" s="27"/>
      <c r="AL354" s="28"/>
      <c r="AM354" s="29"/>
    </row>
    <row r="355" ht="12.75" customHeight="1">
      <c r="A355" s="26"/>
      <c r="B355" s="12"/>
      <c r="C355" s="240"/>
      <c r="D355" s="241"/>
      <c r="E355" s="5"/>
      <c r="F355" s="5"/>
      <c r="G355" s="5"/>
      <c r="H355" s="5"/>
      <c r="I355" s="5"/>
      <c r="J355" s="5"/>
      <c r="K355" s="8"/>
      <c r="L355" s="9"/>
      <c r="M355" s="10"/>
      <c r="N355" s="86"/>
      <c r="O355" s="242"/>
      <c r="P355" s="243"/>
      <c r="Q355" s="243"/>
      <c r="R355" s="14"/>
      <c r="S355" s="242"/>
      <c r="T355" s="15"/>
      <c r="U355" s="15"/>
      <c r="V355" s="15"/>
      <c r="W355" s="8"/>
      <c r="X355" s="8"/>
      <c r="Y355" s="56"/>
      <c r="Z355" s="56"/>
      <c r="AA355" s="15"/>
      <c r="AB355" s="15"/>
      <c r="AC355" s="15"/>
      <c r="AD355" s="15"/>
      <c r="AE355" s="57"/>
      <c r="AF355" s="57"/>
      <c r="AG355" s="15"/>
      <c r="AH355" s="25"/>
      <c r="AI355" s="26"/>
      <c r="AJ355" s="26"/>
      <c r="AK355" s="27"/>
      <c r="AL355" s="28"/>
      <c r="AM355" s="29"/>
    </row>
    <row r="356" ht="12.75" customHeight="1">
      <c r="A356" s="26"/>
      <c r="B356" s="12"/>
      <c r="C356" s="240"/>
      <c r="D356" s="241"/>
      <c r="E356" s="5"/>
      <c r="F356" s="5"/>
      <c r="G356" s="5"/>
      <c r="H356" s="5"/>
      <c r="I356" s="5"/>
      <c r="J356" s="5"/>
      <c r="K356" s="8"/>
      <c r="L356" s="9"/>
      <c r="M356" s="10"/>
      <c r="N356" s="86"/>
      <c r="O356" s="242"/>
      <c r="P356" s="243"/>
      <c r="Q356" s="243"/>
      <c r="R356" s="14"/>
      <c r="S356" s="242"/>
      <c r="T356" s="15"/>
      <c r="U356" s="15"/>
      <c r="V356" s="15"/>
      <c r="W356" s="8"/>
      <c r="X356" s="8"/>
      <c r="Y356" s="56"/>
      <c r="Z356" s="56"/>
      <c r="AA356" s="15"/>
      <c r="AB356" s="15"/>
      <c r="AC356" s="15"/>
      <c r="AD356" s="15"/>
      <c r="AE356" s="57"/>
      <c r="AF356" s="57"/>
      <c r="AG356" s="15"/>
      <c r="AH356" s="25"/>
      <c r="AI356" s="26"/>
      <c r="AJ356" s="26"/>
      <c r="AK356" s="27"/>
      <c r="AL356" s="28"/>
      <c r="AM356" s="29"/>
    </row>
    <row r="357" ht="12.75" customHeight="1">
      <c r="A357" s="26"/>
      <c r="B357" s="12"/>
      <c r="C357" s="240"/>
      <c r="D357" s="241"/>
      <c r="E357" s="5"/>
      <c r="F357" s="5"/>
      <c r="G357" s="5"/>
      <c r="H357" s="5"/>
      <c r="I357" s="5"/>
      <c r="J357" s="5"/>
      <c r="K357" s="8"/>
      <c r="L357" s="9"/>
      <c r="M357" s="10"/>
      <c r="N357" s="86"/>
      <c r="O357" s="242"/>
      <c r="P357" s="243"/>
      <c r="Q357" s="243"/>
      <c r="R357" s="14"/>
      <c r="S357" s="242"/>
      <c r="T357" s="15"/>
      <c r="U357" s="15"/>
      <c r="V357" s="15"/>
      <c r="W357" s="8"/>
      <c r="X357" s="8"/>
      <c r="Y357" s="56"/>
      <c r="Z357" s="56"/>
      <c r="AA357" s="15"/>
      <c r="AB357" s="15"/>
      <c r="AC357" s="15"/>
      <c r="AD357" s="15"/>
      <c r="AE357" s="57"/>
      <c r="AF357" s="57"/>
      <c r="AG357" s="15"/>
      <c r="AH357" s="25"/>
      <c r="AI357" s="26"/>
      <c r="AJ357" s="26"/>
      <c r="AK357" s="27"/>
      <c r="AL357" s="28"/>
      <c r="AM357" s="29"/>
    </row>
    <row r="358" ht="12.75" customHeight="1">
      <c r="A358" s="26"/>
      <c r="B358" s="12"/>
      <c r="C358" s="240"/>
      <c r="D358" s="241"/>
      <c r="E358" s="5"/>
      <c r="F358" s="5"/>
      <c r="G358" s="5"/>
      <c r="H358" s="5"/>
      <c r="I358" s="5"/>
      <c r="J358" s="5"/>
      <c r="K358" s="8"/>
      <c r="L358" s="9"/>
      <c r="M358" s="10"/>
      <c r="N358" s="86"/>
      <c r="O358" s="242"/>
      <c r="P358" s="243"/>
      <c r="Q358" s="243"/>
      <c r="R358" s="14"/>
      <c r="S358" s="242"/>
      <c r="T358" s="15"/>
      <c r="U358" s="15"/>
      <c r="V358" s="15"/>
      <c r="W358" s="8"/>
      <c r="X358" s="8"/>
      <c r="Y358" s="56"/>
      <c r="Z358" s="56"/>
      <c r="AA358" s="15"/>
      <c r="AB358" s="15"/>
      <c r="AC358" s="15"/>
      <c r="AD358" s="15"/>
      <c r="AE358" s="57"/>
      <c r="AF358" s="57"/>
      <c r="AG358" s="15"/>
      <c r="AH358" s="25"/>
      <c r="AI358" s="26"/>
      <c r="AJ358" s="26"/>
      <c r="AK358" s="27"/>
      <c r="AL358" s="28"/>
      <c r="AM358" s="29"/>
    </row>
    <row r="359" ht="12.75" customHeight="1">
      <c r="A359" s="26"/>
      <c r="B359" s="12"/>
      <c r="C359" s="240"/>
      <c r="D359" s="241"/>
      <c r="E359" s="5"/>
      <c r="F359" s="5"/>
      <c r="G359" s="5"/>
      <c r="H359" s="5"/>
      <c r="I359" s="5"/>
      <c r="J359" s="5"/>
      <c r="K359" s="8"/>
      <c r="L359" s="9"/>
      <c r="M359" s="10"/>
      <c r="N359" s="86"/>
      <c r="O359" s="242"/>
      <c r="P359" s="243"/>
      <c r="Q359" s="243"/>
      <c r="R359" s="14"/>
      <c r="S359" s="242"/>
      <c r="T359" s="15"/>
      <c r="U359" s="15"/>
      <c r="V359" s="15"/>
      <c r="W359" s="8"/>
      <c r="X359" s="8"/>
      <c r="Y359" s="56"/>
      <c r="Z359" s="56"/>
      <c r="AA359" s="15"/>
      <c r="AB359" s="15"/>
      <c r="AC359" s="15"/>
      <c r="AD359" s="15"/>
      <c r="AE359" s="57"/>
      <c r="AF359" s="57"/>
      <c r="AG359" s="15"/>
      <c r="AH359" s="25"/>
      <c r="AI359" s="26"/>
      <c r="AJ359" s="26"/>
      <c r="AK359" s="27"/>
      <c r="AL359" s="28"/>
      <c r="AM359" s="29"/>
    </row>
    <row r="360" ht="12.75" customHeight="1">
      <c r="A360" s="26"/>
      <c r="B360" s="12"/>
      <c r="C360" s="240"/>
      <c r="D360" s="241"/>
      <c r="E360" s="5"/>
      <c r="F360" s="5"/>
      <c r="G360" s="5"/>
      <c r="H360" s="5"/>
      <c r="I360" s="5"/>
      <c r="J360" s="5"/>
      <c r="K360" s="8"/>
      <c r="L360" s="9"/>
      <c r="M360" s="10"/>
      <c r="N360" s="86"/>
      <c r="O360" s="242"/>
      <c r="P360" s="243"/>
      <c r="Q360" s="243"/>
      <c r="R360" s="14"/>
      <c r="S360" s="242"/>
      <c r="T360" s="15"/>
      <c r="U360" s="15"/>
      <c r="V360" s="15"/>
      <c r="W360" s="8"/>
      <c r="X360" s="8"/>
      <c r="Y360" s="56"/>
      <c r="Z360" s="56"/>
      <c r="AA360" s="15"/>
      <c r="AB360" s="15"/>
      <c r="AC360" s="15"/>
      <c r="AD360" s="15"/>
      <c r="AE360" s="57"/>
      <c r="AF360" s="57"/>
      <c r="AG360" s="15"/>
      <c r="AH360" s="25"/>
      <c r="AI360" s="26"/>
      <c r="AJ360" s="26"/>
      <c r="AK360" s="27"/>
      <c r="AL360" s="28"/>
      <c r="AM360" s="29"/>
    </row>
    <row r="361" ht="12.75" customHeight="1">
      <c r="A361" s="26"/>
      <c r="B361" s="12"/>
      <c r="C361" s="240"/>
      <c r="D361" s="241"/>
      <c r="E361" s="5"/>
      <c r="F361" s="5"/>
      <c r="G361" s="5"/>
      <c r="H361" s="5"/>
      <c r="I361" s="5"/>
      <c r="J361" s="5"/>
      <c r="K361" s="8"/>
      <c r="L361" s="9"/>
      <c r="M361" s="10"/>
      <c r="N361" s="86"/>
      <c r="O361" s="242"/>
      <c r="P361" s="243"/>
      <c r="Q361" s="243"/>
      <c r="R361" s="14"/>
      <c r="S361" s="242"/>
      <c r="T361" s="15"/>
      <c r="U361" s="15"/>
      <c r="V361" s="15"/>
      <c r="W361" s="8"/>
      <c r="X361" s="8"/>
      <c r="Y361" s="56"/>
      <c r="Z361" s="56"/>
      <c r="AA361" s="15"/>
      <c r="AB361" s="15"/>
      <c r="AC361" s="15"/>
      <c r="AD361" s="15"/>
      <c r="AE361" s="57"/>
      <c r="AF361" s="57"/>
      <c r="AG361" s="15"/>
      <c r="AH361" s="25"/>
      <c r="AI361" s="26"/>
      <c r="AJ361" s="26"/>
      <c r="AK361" s="27"/>
      <c r="AL361" s="28"/>
      <c r="AM361" s="29"/>
    </row>
    <row r="362" ht="12.75" customHeight="1">
      <c r="A362" s="26"/>
      <c r="B362" s="12"/>
      <c r="C362" s="240"/>
      <c r="D362" s="241"/>
      <c r="E362" s="5"/>
      <c r="F362" s="5"/>
      <c r="G362" s="5"/>
      <c r="H362" s="5"/>
      <c r="I362" s="5"/>
      <c r="J362" s="5"/>
      <c r="K362" s="8"/>
      <c r="L362" s="9"/>
      <c r="M362" s="10"/>
      <c r="N362" s="86"/>
      <c r="O362" s="242"/>
      <c r="P362" s="243"/>
      <c r="Q362" s="243"/>
      <c r="R362" s="14"/>
      <c r="S362" s="242"/>
      <c r="T362" s="15"/>
      <c r="U362" s="15"/>
      <c r="V362" s="15"/>
      <c r="W362" s="8"/>
      <c r="X362" s="8"/>
      <c r="Y362" s="56"/>
      <c r="Z362" s="56"/>
      <c r="AA362" s="15"/>
      <c r="AB362" s="15"/>
      <c r="AC362" s="15"/>
      <c r="AD362" s="15"/>
      <c r="AE362" s="57"/>
      <c r="AF362" s="57"/>
      <c r="AG362" s="15"/>
      <c r="AH362" s="25"/>
      <c r="AI362" s="26"/>
      <c r="AJ362" s="26"/>
      <c r="AK362" s="27"/>
      <c r="AL362" s="28"/>
      <c r="AM362" s="29"/>
    </row>
    <row r="363" ht="12.75" customHeight="1">
      <c r="A363" s="26"/>
      <c r="B363" s="12"/>
      <c r="C363" s="240"/>
      <c r="D363" s="241"/>
      <c r="E363" s="5"/>
      <c r="F363" s="5"/>
      <c r="G363" s="5"/>
      <c r="H363" s="5"/>
      <c r="I363" s="5"/>
      <c r="J363" s="5"/>
      <c r="K363" s="8"/>
      <c r="L363" s="9"/>
      <c r="M363" s="10"/>
      <c r="N363" s="86"/>
      <c r="O363" s="242"/>
      <c r="P363" s="243"/>
      <c r="Q363" s="243"/>
      <c r="R363" s="14"/>
      <c r="S363" s="242"/>
      <c r="T363" s="15"/>
      <c r="U363" s="15"/>
      <c r="V363" s="15"/>
      <c r="W363" s="8"/>
      <c r="X363" s="8"/>
      <c r="Y363" s="56"/>
      <c r="Z363" s="56"/>
      <c r="AA363" s="15"/>
      <c r="AB363" s="15"/>
      <c r="AC363" s="15"/>
      <c r="AD363" s="15"/>
      <c r="AE363" s="57"/>
      <c r="AF363" s="57"/>
      <c r="AG363" s="15"/>
      <c r="AH363" s="25"/>
      <c r="AI363" s="26"/>
      <c r="AJ363" s="26"/>
      <c r="AK363" s="27"/>
      <c r="AL363" s="28"/>
      <c r="AM363" s="29"/>
    </row>
    <row r="364" ht="12.75" customHeight="1">
      <c r="A364" s="26"/>
      <c r="B364" s="12"/>
      <c r="C364" s="240"/>
      <c r="D364" s="241"/>
      <c r="E364" s="5"/>
      <c r="F364" s="5"/>
      <c r="G364" s="5"/>
      <c r="H364" s="5"/>
      <c r="I364" s="5"/>
      <c r="J364" s="5"/>
      <c r="K364" s="8"/>
      <c r="L364" s="9"/>
      <c r="M364" s="10"/>
      <c r="N364" s="86"/>
      <c r="O364" s="242"/>
      <c r="P364" s="243"/>
      <c r="Q364" s="243"/>
      <c r="R364" s="14"/>
      <c r="S364" s="242"/>
      <c r="T364" s="15"/>
      <c r="U364" s="15"/>
      <c r="V364" s="15"/>
      <c r="W364" s="8"/>
      <c r="X364" s="8"/>
      <c r="Y364" s="56"/>
      <c r="Z364" s="56"/>
      <c r="AA364" s="15"/>
      <c r="AB364" s="15"/>
      <c r="AC364" s="15"/>
      <c r="AD364" s="15"/>
      <c r="AE364" s="57"/>
      <c r="AF364" s="57"/>
      <c r="AG364" s="15"/>
      <c r="AH364" s="25"/>
      <c r="AI364" s="26"/>
      <c r="AJ364" s="26"/>
      <c r="AK364" s="27"/>
      <c r="AL364" s="28"/>
      <c r="AM364" s="29"/>
    </row>
    <row r="365" ht="12.75" customHeight="1">
      <c r="A365" s="26"/>
      <c r="B365" s="12"/>
      <c r="C365" s="240"/>
      <c r="D365" s="241"/>
      <c r="E365" s="5"/>
      <c r="F365" s="5"/>
      <c r="G365" s="5"/>
      <c r="H365" s="5"/>
      <c r="I365" s="5"/>
      <c r="J365" s="5"/>
      <c r="K365" s="8"/>
      <c r="L365" s="9"/>
      <c r="M365" s="10"/>
      <c r="N365" s="86"/>
      <c r="O365" s="242"/>
      <c r="P365" s="243"/>
      <c r="Q365" s="243"/>
      <c r="R365" s="14"/>
      <c r="S365" s="242"/>
      <c r="T365" s="15"/>
      <c r="U365" s="15"/>
      <c r="V365" s="15"/>
      <c r="W365" s="8"/>
      <c r="X365" s="8"/>
      <c r="Y365" s="56"/>
      <c r="Z365" s="56"/>
      <c r="AA365" s="15"/>
      <c r="AB365" s="15"/>
      <c r="AC365" s="15"/>
      <c r="AD365" s="15"/>
      <c r="AE365" s="57"/>
      <c r="AF365" s="57"/>
      <c r="AG365" s="15"/>
      <c r="AH365" s="25"/>
      <c r="AI365" s="26"/>
      <c r="AJ365" s="26"/>
      <c r="AK365" s="27"/>
      <c r="AL365" s="28"/>
      <c r="AM365" s="29"/>
    </row>
    <row r="366" ht="12.75" customHeight="1">
      <c r="A366" s="26"/>
      <c r="B366" s="12"/>
      <c r="C366" s="240"/>
      <c r="D366" s="241"/>
      <c r="E366" s="5"/>
      <c r="F366" s="5"/>
      <c r="G366" s="5"/>
      <c r="H366" s="5"/>
      <c r="I366" s="5"/>
      <c r="J366" s="5"/>
      <c r="K366" s="8"/>
      <c r="L366" s="9"/>
      <c r="M366" s="10"/>
      <c r="N366" s="86"/>
      <c r="O366" s="242"/>
      <c r="P366" s="243"/>
      <c r="Q366" s="243"/>
      <c r="R366" s="14"/>
      <c r="S366" s="242"/>
      <c r="T366" s="15"/>
      <c r="U366" s="15"/>
      <c r="V366" s="15"/>
      <c r="W366" s="8"/>
      <c r="X366" s="8"/>
      <c r="Y366" s="56"/>
      <c r="Z366" s="56"/>
      <c r="AA366" s="15"/>
      <c r="AB366" s="15"/>
      <c r="AC366" s="15"/>
      <c r="AD366" s="15"/>
      <c r="AE366" s="57"/>
      <c r="AF366" s="57"/>
      <c r="AG366" s="15"/>
      <c r="AH366" s="25"/>
      <c r="AI366" s="26"/>
      <c r="AJ366" s="26"/>
      <c r="AK366" s="27"/>
      <c r="AL366" s="28"/>
      <c r="AM366" s="29"/>
    </row>
    <row r="367" ht="12.75" customHeight="1">
      <c r="A367" s="26"/>
      <c r="B367" s="12"/>
      <c r="C367" s="240"/>
      <c r="D367" s="241"/>
      <c r="E367" s="5"/>
      <c r="F367" s="5"/>
      <c r="G367" s="5"/>
      <c r="H367" s="5"/>
      <c r="I367" s="5"/>
      <c r="J367" s="5"/>
      <c r="K367" s="8"/>
      <c r="L367" s="9"/>
      <c r="M367" s="10"/>
      <c r="N367" s="86"/>
      <c r="O367" s="242"/>
      <c r="P367" s="243"/>
      <c r="Q367" s="243"/>
      <c r="R367" s="14"/>
      <c r="S367" s="242"/>
      <c r="T367" s="15"/>
      <c r="U367" s="15"/>
      <c r="V367" s="15"/>
      <c r="W367" s="8"/>
      <c r="X367" s="8"/>
      <c r="Y367" s="56"/>
      <c r="Z367" s="56"/>
      <c r="AA367" s="15"/>
      <c r="AB367" s="15"/>
      <c r="AC367" s="15"/>
      <c r="AD367" s="15"/>
      <c r="AE367" s="57"/>
      <c r="AF367" s="57"/>
      <c r="AG367" s="15"/>
      <c r="AH367" s="25"/>
      <c r="AI367" s="26"/>
      <c r="AJ367" s="26"/>
      <c r="AK367" s="27"/>
      <c r="AL367" s="28"/>
      <c r="AM367" s="29"/>
    </row>
    <row r="368" ht="12.75" customHeight="1">
      <c r="A368" s="26"/>
      <c r="B368" s="12"/>
      <c r="C368" s="240"/>
      <c r="D368" s="241"/>
      <c r="E368" s="5"/>
      <c r="F368" s="5"/>
      <c r="G368" s="5"/>
      <c r="H368" s="5"/>
      <c r="I368" s="5"/>
      <c r="J368" s="5"/>
      <c r="K368" s="8"/>
      <c r="L368" s="9"/>
      <c r="M368" s="10"/>
      <c r="N368" s="86"/>
      <c r="O368" s="242"/>
      <c r="P368" s="243"/>
      <c r="Q368" s="243"/>
      <c r="R368" s="14"/>
      <c r="S368" s="242"/>
      <c r="T368" s="15"/>
      <c r="U368" s="15"/>
      <c r="V368" s="15"/>
      <c r="W368" s="8"/>
      <c r="X368" s="8"/>
      <c r="Y368" s="56"/>
      <c r="Z368" s="56"/>
      <c r="AA368" s="15"/>
      <c r="AB368" s="15"/>
      <c r="AC368" s="15"/>
      <c r="AD368" s="15"/>
      <c r="AE368" s="57"/>
      <c r="AF368" s="57"/>
      <c r="AG368" s="15"/>
      <c r="AH368" s="25"/>
      <c r="AI368" s="26"/>
      <c r="AJ368" s="26"/>
      <c r="AK368" s="27"/>
      <c r="AL368" s="28"/>
      <c r="AM368" s="29"/>
    </row>
    <row r="369" ht="12.75" customHeight="1">
      <c r="A369" s="26"/>
      <c r="B369" s="12"/>
      <c r="C369" s="240"/>
      <c r="D369" s="241"/>
      <c r="E369" s="5"/>
      <c r="F369" s="5"/>
      <c r="G369" s="5"/>
      <c r="H369" s="5"/>
      <c r="I369" s="5"/>
      <c r="J369" s="5"/>
      <c r="K369" s="8"/>
      <c r="L369" s="9"/>
      <c r="M369" s="10"/>
      <c r="N369" s="86"/>
      <c r="O369" s="242"/>
      <c r="P369" s="243"/>
      <c r="Q369" s="243"/>
      <c r="R369" s="14"/>
      <c r="S369" s="242"/>
      <c r="T369" s="15"/>
      <c r="U369" s="15"/>
      <c r="V369" s="15"/>
      <c r="W369" s="8"/>
      <c r="X369" s="8"/>
      <c r="Y369" s="56"/>
      <c r="Z369" s="56"/>
      <c r="AA369" s="15"/>
      <c r="AB369" s="15"/>
      <c r="AC369" s="15"/>
      <c r="AD369" s="15"/>
      <c r="AE369" s="57"/>
      <c r="AF369" s="57"/>
      <c r="AG369" s="15"/>
      <c r="AH369" s="25"/>
      <c r="AI369" s="26"/>
      <c r="AJ369" s="26"/>
      <c r="AK369" s="27"/>
      <c r="AL369" s="28"/>
      <c r="AM369" s="29"/>
    </row>
    <row r="370" ht="12.75" customHeight="1">
      <c r="A370" s="26"/>
      <c r="B370" s="12"/>
      <c r="C370" s="240"/>
      <c r="D370" s="241"/>
      <c r="E370" s="5"/>
      <c r="F370" s="5"/>
      <c r="G370" s="5"/>
      <c r="H370" s="5"/>
      <c r="I370" s="5"/>
      <c r="J370" s="5"/>
      <c r="K370" s="8"/>
      <c r="L370" s="9"/>
      <c r="M370" s="10"/>
      <c r="N370" s="86"/>
      <c r="O370" s="242"/>
      <c r="P370" s="243"/>
      <c r="Q370" s="243"/>
      <c r="R370" s="14"/>
      <c r="S370" s="242"/>
      <c r="T370" s="15"/>
      <c r="U370" s="15"/>
      <c r="V370" s="15"/>
      <c r="W370" s="8"/>
      <c r="X370" s="8"/>
      <c r="Y370" s="56"/>
      <c r="Z370" s="56"/>
      <c r="AA370" s="15"/>
      <c r="AB370" s="15"/>
      <c r="AC370" s="15"/>
      <c r="AD370" s="15"/>
      <c r="AE370" s="57"/>
      <c r="AF370" s="57"/>
      <c r="AG370" s="15"/>
      <c r="AH370" s="25"/>
      <c r="AI370" s="26"/>
      <c r="AJ370" s="26"/>
      <c r="AK370" s="27"/>
      <c r="AL370" s="28"/>
      <c r="AM370" s="29"/>
    </row>
    <row r="371" ht="12.75" customHeight="1">
      <c r="A371" s="26"/>
      <c r="B371" s="12"/>
      <c r="C371" s="240"/>
      <c r="D371" s="241"/>
      <c r="E371" s="5"/>
      <c r="F371" s="5"/>
      <c r="G371" s="5"/>
      <c r="H371" s="5"/>
      <c r="I371" s="5"/>
      <c r="J371" s="5"/>
      <c r="K371" s="8"/>
      <c r="L371" s="9"/>
      <c r="M371" s="10"/>
      <c r="N371" s="86"/>
      <c r="O371" s="242"/>
      <c r="P371" s="243"/>
      <c r="Q371" s="243"/>
      <c r="R371" s="14"/>
      <c r="S371" s="242"/>
      <c r="T371" s="15"/>
      <c r="U371" s="15"/>
      <c r="V371" s="15"/>
      <c r="W371" s="8"/>
      <c r="X371" s="8"/>
      <c r="Y371" s="56"/>
      <c r="Z371" s="56"/>
      <c r="AA371" s="15"/>
      <c r="AB371" s="15"/>
      <c r="AC371" s="15"/>
      <c r="AD371" s="15"/>
      <c r="AE371" s="57"/>
      <c r="AF371" s="57"/>
      <c r="AG371" s="15"/>
      <c r="AH371" s="25"/>
      <c r="AI371" s="26"/>
      <c r="AJ371" s="26"/>
      <c r="AK371" s="27"/>
      <c r="AL371" s="28"/>
      <c r="AM371" s="29"/>
    </row>
    <row r="372" ht="12.75" customHeight="1">
      <c r="A372" s="26"/>
      <c r="B372" s="12"/>
      <c r="C372" s="240"/>
      <c r="D372" s="241"/>
      <c r="E372" s="5"/>
      <c r="F372" s="5"/>
      <c r="G372" s="5"/>
      <c r="H372" s="5"/>
      <c r="I372" s="5"/>
      <c r="J372" s="5"/>
      <c r="K372" s="8"/>
      <c r="L372" s="9"/>
      <c r="M372" s="10"/>
      <c r="N372" s="86"/>
      <c r="O372" s="242"/>
      <c r="P372" s="243"/>
      <c r="Q372" s="243"/>
      <c r="R372" s="14"/>
      <c r="S372" s="242"/>
      <c r="T372" s="15"/>
      <c r="U372" s="15"/>
      <c r="V372" s="15"/>
      <c r="W372" s="8"/>
      <c r="X372" s="8"/>
      <c r="Y372" s="56"/>
      <c r="Z372" s="56"/>
      <c r="AA372" s="15"/>
      <c r="AB372" s="15"/>
      <c r="AC372" s="15"/>
      <c r="AD372" s="15"/>
      <c r="AE372" s="57"/>
      <c r="AF372" s="57"/>
      <c r="AG372" s="15"/>
      <c r="AH372" s="25"/>
      <c r="AI372" s="26"/>
      <c r="AJ372" s="26"/>
      <c r="AK372" s="27"/>
      <c r="AL372" s="28"/>
      <c r="AM372" s="29"/>
    </row>
    <row r="373" ht="12.75" customHeight="1">
      <c r="A373" s="26"/>
      <c r="B373" s="12"/>
      <c r="C373" s="240"/>
      <c r="D373" s="241"/>
      <c r="E373" s="5"/>
      <c r="F373" s="5"/>
      <c r="G373" s="5"/>
      <c r="H373" s="5"/>
      <c r="I373" s="5"/>
      <c r="J373" s="5"/>
      <c r="K373" s="8"/>
      <c r="L373" s="9"/>
      <c r="M373" s="10"/>
      <c r="N373" s="86"/>
      <c r="O373" s="242"/>
      <c r="P373" s="243"/>
      <c r="Q373" s="243"/>
      <c r="R373" s="14"/>
      <c r="S373" s="242"/>
      <c r="T373" s="15"/>
      <c r="U373" s="15"/>
      <c r="V373" s="15"/>
      <c r="W373" s="8"/>
      <c r="X373" s="8"/>
      <c r="Y373" s="56"/>
      <c r="Z373" s="56"/>
      <c r="AA373" s="15"/>
      <c r="AB373" s="15"/>
      <c r="AC373" s="15"/>
      <c r="AD373" s="15"/>
      <c r="AE373" s="57"/>
      <c r="AF373" s="57"/>
      <c r="AG373" s="15"/>
      <c r="AH373" s="25"/>
      <c r="AI373" s="26"/>
      <c r="AJ373" s="26"/>
      <c r="AK373" s="27"/>
      <c r="AL373" s="28"/>
      <c r="AM373" s="29"/>
    </row>
    <row r="374" ht="12.75" customHeight="1">
      <c r="A374" s="26"/>
      <c r="B374" s="12"/>
      <c r="C374" s="240"/>
      <c r="D374" s="241"/>
      <c r="E374" s="5"/>
      <c r="F374" s="5"/>
      <c r="G374" s="5"/>
      <c r="H374" s="5"/>
      <c r="I374" s="5"/>
      <c r="J374" s="5"/>
      <c r="K374" s="8"/>
      <c r="L374" s="9"/>
      <c r="M374" s="10"/>
      <c r="N374" s="86"/>
      <c r="O374" s="242"/>
      <c r="P374" s="243"/>
      <c r="Q374" s="243"/>
      <c r="R374" s="14"/>
      <c r="S374" s="242"/>
      <c r="T374" s="15"/>
      <c r="U374" s="15"/>
      <c r="V374" s="15"/>
      <c r="W374" s="8"/>
      <c r="X374" s="8"/>
      <c r="Y374" s="56"/>
      <c r="Z374" s="56"/>
      <c r="AA374" s="15"/>
      <c r="AB374" s="15"/>
      <c r="AC374" s="15"/>
      <c r="AD374" s="15"/>
      <c r="AE374" s="57"/>
      <c r="AF374" s="57"/>
      <c r="AG374" s="15"/>
      <c r="AH374" s="25"/>
      <c r="AI374" s="26"/>
      <c r="AJ374" s="26"/>
      <c r="AK374" s="27"/>
      <c r="AL374" s="28"/>
      <c r="AM374" s="29"/>
    </row>
    <row r="375" ht="12.75" customHeight="1">
      <c r="A375" s="26"/>
      <c r="B375" s="12"/>
      <c r="C375" s="240"/>
      <c r="D375" s="241"/>
      <c r="E375" s="5"/>
      <c r="F375" s="5"/>
      <c r="G375" s="5"/>
      <c r="H375" s="5"/>
      <c r="I375" s="5"/>
      <c r="J375" s="5"/>
      <c r="K375" s="8"/>
      <c r="L375" s="9"/>
      <c r="M375" s="10"/>
      <c r="N375" s="86"/>
      <c r="O375" s="242"/>
      <c r="P375" s="243"/>
      <c r="Q375" s="243"/>
      <c r="R375" s="14"/>
      <c r="S375" s="242"/>
      <c r="T375" s="15"/>
      <c r="U375" s="15"/>
      <c r="V375" s="15"/>
      <c r="W375" s="8"/>
      <c r="X375" s="8"/>
      <c r="Y375" s="56"/>
      <c r="Z375" s="56"/>
      <c r="AA375" s="15"/>
      <c r="AB375" s="15"/>
      <c r="AC375" s="15"/>
      <c r="AD375" s="15"/>
      <c r="AE375" s="57"/>
      <c r="AF375" s="57"/>
      <c r="AG375" s="15"/>
      <c r="AH375" s="25"/>
      <c r="AI375" s="26"/>
      <c r="AJ375" s="26"/>
      <c r="AK375" s="27"/>
      <c r="AL375" s="28"/>
      <c r="AM375" s="29"/>
    </row>
    <row r="376" ht="12.75" customHeight="1">
      <c r="A376" s="26"/>
      <c r="B376" s="12"/>
      <c r="C376" s="240"/>
      <c r="D376" s="241"/>
      <c r="E376" s="5"/>
      <c r="F376" s="5"/>
      <c r="G376" s="5"/>
      <c r="H376" s="5"/>
      <c r="I376" s="5"/>
      <c r="J376" s="5"/>
      <c r="K376" s="8"/>
      <c r="L376" s="9"/>
      <c r="M376" s="10"/>
      <c r="N376" s="86"/>
      <c r="O376" s="242"/>
      <c r="P376" s="243"/>
      <c r="Q376" s="243"/>
      <c r="R376" s="14"/>
      <c r="S376" s="242"/>
      <c r="T376" s="15"/>
      <c r="U376" s="15"/>
      <c r="V376" s="15"/>
      <c r="W376" s="8"/>
      <c r="X376" s="8"/>
      <c r="Y376" s="56"/>
      <c r="Z376" s="56"/>
      <c r="AA376" s="15"/>
      <c r="AB376" s="15"/>
      <c r="AC376" s="15"/>
      <c r="AD376" s="15"/>
      <c r="AE376" s="57"/>
      <c r="AF376" s="57"/>
      <c r="AG376" s="15"/>
      <c r="AH376" s="25"/>
      <c r="AI376" s="26"/>
      <c r="AJ376" s="26"/>
      <c r="AK376" s="27"/>
      <c r="AL376" s="28"/>
      <c r="AM376" s="29"/>
    </row>
    <row r="377" ht="12.75" customHeight="1">
      <c r="A377" s="26"/>
      <c r="B377" s="12"/>
      <c r="C377" s="240"/>
      <c r="D377" s="241"/>
      <c r="E377" s="5"/>
      <c r="F377" s="5"/>
      <c r="G377" s="5"/>
      <c r="H377" s="5"/>
      <c r="I377" s="5"/>
      <c r="J377" s="5"/>
      <c r="K377" s="8"/>
      <c r="L377" s="9"/>
      <c r="M377" s="10"/>
      <c r="N377" s="86"/>
      <c r="O377" s="242"/>
      <c r="P377" s="243"/>
      <c r="Q377" s="243"/>
      <c r="R377" s="14"/>
      <c r="S377" s="242"/>
      <c r="T377" s="15"/>
      <c r="U377" s="15"/>
      <c r="V377" s="15"/>
      <c r="W377" s="8"/>
      <c r="X377" s="8"/>
      <c r="Y377" s="56"/>
      <c r="Z377" s="56"/>
      <c r="AA377" s="15"/>
      <c r="AB377" s="15"/>
      <c r="AC377" s="15"/>
      <c r="AD377" s="15"/>
      <c r="AE377" s="57"/>
      <c r="AF377" s="57"/>
      <c r="AG377" s="15"/>
      <c r="AH377" s="25"/>
      <c r="AI377" s="26"/>
      <c r="AJ377" s="26"/>
      <c r="AK377" s="27"/>
      <c r="AL377" s="28"/>
      <c r="AM377" s="29"/>
    </row>
    <row r="378" ht="12.75" customHeight="1">
      <c r="A378" s="26"/>
      <c r="B378" s="12"/>
      <c r="C378" s="240"/>
      <c r="D378" s="241"/>
      <c r="E378" s="5"/>
      <c r="F378" s="5"/>
      <c r="G378" s="5"/>
      <c r="H378" s="5"/>
      <c r="I378" s="5"/>
      <c r="J378" s="5"/>
      <c r="K378" s="8"/>
      <c r="L378" s="9"/>
      <c r="M378" s="10"/>
      <c r="N378" s="86"/>
      <c r="O378" s="242"/>
      <c r="P378" s="243"/>
      <c r="Q378" s="243"/>
      <c r="R378" s="14"/>
      <c r="S378" s="242"/>
      <c r="T378" s="15"/>
      <c r="U378" s="15"/>
      <c r="V378" s="15"/>
      <c r="W378" s="8"/>
      <c r="X378" s="8"/>
      <c r="Y378" s="56"/>
      <c r="Z378" s="56"/>
      <c r="AA378" s="15"/>
      <c r="AB378" s="15"/>
      <c r="AC378" s="15"/>
      <c r="AD378" s="15"/>
      <c r="AE378" s="57"/>
      <c r="AF378" s="57"/>
      <c r="AG378" s="15"/>
      <c r="AH378" s="25"/>
      <c r="AI378" s="26"/>
      <c r="AJ378" s="26"/>
      <c r="AK378" s="27"/>
      <c r="AL378" s="28"/>
      <c r="AM378" s="29"/>
    </row>
    <row r="379" ht="12.75" customHeight="1">
      <c r="A379" s="26"/>
      <c r="B379" s="12"/>
      <c r="C379" s="240"/>
      <c r="D379" s="241"/>
      <c r="E379" s="5"/>
      <c r="F379" s="5"/>
      <c r="G379" s="5"/>
      <c r="H379" s="5"/>
      <c r="I379" s="5"/>
      <c r="J379" s="5"/>
      <c r="K379" s="8"/>
      <c r="L379" s="9"/>
      <c r="M379" s="10"/>
      <c r="N379" s="86"/>
      <c r="O379" s="242"/>
      <c r="P379" s="243"/>
      <c r="Q379" s="243"/>
      <c r="R379" s="14"/>
      <c r="S379" s="242"/>
      <c r="T379" s="15"/>
      <c r="U379" s="15"/>
      <c r="V379" s="15"/>
      <c r="W379" s="8"/>
      <c r="X379" s="8"/>
      <c r="Y379" s="56"/>
      <c r="Z379" s="56"/>
      <c r="AA379" s="15"/>
      <c r="AB379" s="15"/>
      <c r="AC379" s="15"/>
      <c r="AD379" s="15"/>
      <c r="AE379" s="57"/>
      <c r="AF379" s="57"/>
      <c r="AG379" s="15"/>
      <c r="AH379" s="25"/>
      <c r="AI379" s="26"/>
      <c r="AJ379" s="26"/>
      <c r="AK379" s="27"/>
      <c r="AL379" s="28"/>
      <c r="AM379" s="29"/>
    </row>
    <row r="380" ht="12.75" customHeight="1">
      <c r="A380" s="26"/>
      <c r="B380" s="12"/>
      <c r="C380" s="240"/>
      <c r="D380" s="241"/>
      <c r="E380" s="5"/>
      <c r="F380" s="5"/>
      <c r="G380" s="5"/>
      <c r="H380" s="5"/>
      <c r="I380" s="5"/>
      <c r="J380" s="5"/>
      <c r="K380" s="8"/>
      <c r="L380" s="9"/>
      <c r="M380" s="10"/>
      <c r="N380" s="86"/>
      <c r="O380" s="242"/>
      <c r="P380" s="243"/>
      <c r="Q380" s="243"/>
      <c r="R380" s="14"/>
      <c r="S380" s="242"/>
      <c r="T380" s="15"/>
      <c r="U380" s="15"/>
      <c r="V380" s="15"/>
      <c r="W380" s="8"/>
      <c r="X380" s="8"/>
      <c r="Y380" s="56"/>
      <c r="Z380" s="56"/>
      <c r="AA380" s="15"/>
      <c r="AB380" s="15"/>
      <c r="AC380" s="15"/>
      <c r="AD380" s="15"/>
      <c r="AE380" s="57"/>
      <c r="AF380" s="57"/>
      <c r="AG380" s="15"/>
      <c r="AH380" s="25"/>
      <c r="AI380" s="26"/>
      <c r="AJ380" s="26"/>
      <c r="AK380" s="27"/>
      <c r="AL380" s="28"/>
      <c r="AM380" s="29"/>
    </row>
    <row r="381" ht="12.75" customHeight="1">
      <c r="A381" s="26"/>
      <c r="B381" s="12"/>
      <c r="C381" s="240"/>
      <c r="D381" s="241"/>
      <c r="E381" s="5"/>
      <c r="F381" s="5"/>
      <c r="G381" s="5"/>
      <c r="H381" s="5"/>
      <c r="I381" s="5"/>
      <c r="J381" s="5"/>
      <c r="K381" s="8"/>
      <c r="L381" s="9"/>
      <c r="M381" s="10"/>
      <c r="N381" s="86"/>
      <c r="O381" s="242"/>
      <c r="P381" s="243"/>
      <c r="Q381" s="243"/>
      <c r="R381" s="14"/>
      <c r="S381" s="242"/>
      <c r="T381" s="15"/>
      <c r="U381" s="15"/>
      <c r="V381" s="15"/>
      <c r="W381" s="8"/>
      <c r="X381" s="8"/>
      <c r="Y381" s="56"/>
      <c r="Z381" s="56"/>
      <c r="AA381" s="15"/>
      <c r="AB381" s="15"/>
      <c r="AC381" s="15"/>
      <c r="AD381" s="15"/>
      <c r="AE381" s="57"/>
      <c r="AF381" s="57"/>
      <c r="AG381" s="15"/>
      <c r="AH381" s="25"/>
      <c r="AI381" s="26"/>
      <c r="AJ381" s="26"/>
      <c r="AK381" s="27"/>
      <c r="AL381" s="28"/>
      <c r="AM381" s="29"/>
    </row>
    <row r="382" ht="12.75" customHeight="1">
      <c r="A382" s="26"/>
      <c r="B382" s="12"/>
      <c r="C382" s="240"/>
      <c r="D382" s="241"/>
      <c r="E382" s="5"/>
      <c r="F382" s="5"/>
      <c r="G382" s="5"/>
      <c r="H382" s="5"/>
      <c r="I382" s="5"/>
      <c r="J382" s="5"/>
      <c r="K382" s="8"/>
      <c r="L382" s="9"/>
      <c r="M382" s="10"/>
      <c r="N382" s="86"/>
      <c r="O382" s="242"/>
      <c r="P382" s="243"/>
      <c r="Q382" s="243"/>
      <c r="R382" s="14"/>
      <c r="S382" s="242"/>
      <c r="T382" s="15"/>
      <c r="U382" s="15"/>
      <c r="V382" s="15"/>
      <c r="W382" s="8"/>
      <c r="X382" s="8"/>
      <c r="Y382" s="56"/>
      <c r="Z382" s="56"/>
      <c r="AA382" s="15"/>
      <c r="AB382" s="15"/>
      <c r="AC382" s="15"/>
      <c r="AD382" s="15"/>
      <c r="AE382" s="57"/>
      <c r="AF382" s="57"/>
      <c r="AG382" s="15"/>
      <c r="AH382" s="25"/>
      <c r="AI382" s="26"/>
      <c r="AJ382" s="26"/>
      <c r="AK382" s="27"/>
      <c r="AL382" s="28"/>
      <c r="AM382" s="29"/>
    </row>
    <row r="383" ht="12.75" customHeight="1">
      <c r="A383" s="26"/>
      <c r="B383" s="12"/>
      <c r="C383" s="240"/>
      <c r="D383" s="241"/>
      <c r="E383" s="5"/>
      <c r="F383" s="5"/>
      <c r="G383" s="5"/>
      <c r="H383" s="5"/>
      <c r="I383" s="5"/>
      <c r="J383" s="5"/>
      <c r="K383" s="8"/>
      <c r="L383" s="9"/>
      <c r="M383" s="10"/>
      <c r="N383" s="86"/>
      <c r="O383" s="242"/>
      <c r="P383" s="243"/>
      <c r="Q383" s="243"/>
      <c r="R383" s="14"/>
      <c r="S383" s="242"/>
      <c r="T383" s="15"/>
      <c r="U383" s="15"/>
      <c r="V383" s="15"/>
      <c r="W383" s="8"/>
      <c r="X383" s="8"/>
      <c r="Y383" s="56"/>
      <c r="Z383" s="56"/>
      <c r="AA383" s="15"/>
      <c r="AB383" s="15"/>
      <c r="AC383" s="15"/>
      <c r="AD383" s="15"/>
      <c r="AE383" s="57"/>
      <c r="AF383" s="57"/>
      <c r="AG383" s="15"/>
      <c r="AH383" s="25"/>
      <c r="AI383" s="26"/>
      <c r="AJ383" s="26"/>
      <c r="AK383" s="27"/>
      <c r="AL383" s="28"/>
      <c r="AM383" s="29"/>
    </row>
    <row r="384" ht="12.75" customHeight="1">
      <c r="A384" s="26"/>
      <c r="B384" s="12"/>
      <c r="C384" s="240"/>
      <c r="D384" s="241"/>
      <c r="E384" s="5"/>
      <c r="F384" s="5"/>
      <c r="G384" s="5"/>
      <c r="H384" s="5"/>
      <c r="I384" s="5"/>
      <c r="J384" s="5"/>
      <c r="K384" s="8"/>
      <c r="L384" s="9"/>
      <c r="M384" s="10"/>
      <c r="N384" s="86"/>
      <c r="O384" s="242"/>
      <c r="P384" s="243"/>
      <c r="Q384" s="243"/>
      <c r="R384" s="14"/>
      <c r="S384" s="242"/>
      <c r="T384" s="15"/>
      <c r="U384" s="15"/>
      <c r="V384" s="15"/>
      <c r="W384" s="8"/>
      <c r="X384" s="8"/>
      <c r="Y384" s="56"/>
      <c r="Z384" s="56"/>
      <c r="AA384" s="15"/>
      <c r="AB384" s="15"/>
      <c r="AC384" s="15"/>
      <c r="AD384" s="15"/>
      <c r="AE384" s="57"/>
      <c r="AF384" s="57"/>
      <c r="AG384" s="15"/>
      <c r="AH384" s="25"/>
      <c r="AI384" s="26"/>
      <c r="AJ384" s="26"/>
      <c r="AK384" s="27"/>
      <c r="AL384" s="28"/>
      <c r="AM384" s="29"/>
    </row>
    <row r="385" ht="12.75" customHeight="1">
      <c r="A385" s="26"/>
      <c r="B385" s="12"/>
      <c r="C385" s="240"/>
      <c r="D385" s="241"/>
      <c r="E385" s="5"/>
      <c r="F385" s="5"/>
      <c r="G385" s="5"/>
      <c r="H385" s="5"/>
      <c r="I385" s="5"/>
      <c r="J385" s="5"/>
      <c r="K385" s="8"/>
      <c r="L385" s="9"/>
      <c r="M385" s="10"/>
      <c r="N385" s="86"/>
      <c r="O385" s="242"/>
      <c r="P385" s="243"/>
      <c r="Q385" s="243"/>
      <c r="R385" s="14"/>
      <c r="S385" s="242"/>
      <c r="T385" s="15"/>
      <c r="U385" s="15"/>
      <c r="V385" s="15"/>
      <c r="W385" s="8"/>
      <c r="X385" s="8"/>
      <c r="Y385" s="56"/>
      <c r="Z385" s="56"/>
      <c r="AA385" s="15"/>
      <c r="AB385" s="15"/>
      <c r="AC385" s="15"/>
      <c r="AD385" s="15"/>
      <c r="AE385" s="57"/>
      <c r="AF385" s="57"/>
      <c r="AG385" s="15"/>
      <c r="AH385" s="25"/>
      <c r="AI385" s="26"/>
      <c r="AJ385" s="26"/>
      <c r="AK385" s="27"/>
      <c r="AL385" s="28"/>
      <c r="AM385" s="29"/>
    </row>
    <row r="386" ht="12.75" customHeight="1">
      <c r="A386" s="26"/>
      <c r="B386" s="12"/>
      <c r="C386" s="240"/>
      <c r="D386" s="241"/>
      <c r="E386" s="5"/>
      <c r="F386" s="5"/>
      <c r="G386" s="5"/>
      <c r="H386" s="5"/>
      <c r="I386" s="5"/>
      <c r="J386" s="5"/>
      <c r="K386" s="8"/>
      <c r="L386" s="9"/>
      <c r="M386" s="10"/>
      <c r="N386" s="86"/>
      <c r="O386" s="242"/>
      <c r="P386" s="243"/>
      <c r="Q386" s="243"/>
      <c r="R386" s="14"/>
      <c r="S386" s="242"/>
      <c r="T386" s="15"/>
      <c r="U386" s="15"/>
      <c r="V386" s="15"/>
      <c r="W386" s="8"/>
      <c r="X386" s="8"/>
      <c r="Y386" s="56"/>
      <c r="Z386" s="56"/>
      <c r="AA386" s="15"/>
      <c r="AB386" s="15"/>
      <c r="AC386" s="15"/>
      <c r="AD386" s="15"/>
      <c r="AE386" s="57"/>
      <c r="AF386" s="57"/>
      <c r="AG386" s="15"/>
      <c r="AH386" s="25"/>
      <c r="AI386" s="26"/>
      <c r="AJ386" s="26"/>
      <c r="AK386" s="27"/>
      <c r="AL386" s="28"/>
      <c r="AM386" s="29"/>
    </row>
    <row r="387" ht="12.75" customHeight="1">
      <c r="A387" s="26"/>
      <c r="B387" s="12"/>
      <c r="C387" s="240"/>
      <c r="D387" s="241"/>
      <c r="E387" s="5"/>
      <c r="F387" s="5"/>
      <c r="G387" s="5"/>
      <c r="H387" s="5"/>
      <c r="I387" s="5"/>
      <c r="J387" s="5"/>
      <c r="K387" s="8"/>
      <c r="L387" s="9"/>
      <c r="M387" s="10"/>
      <c r="N387" s="86"/>
      <c r="O387" s="242"/>
      <c r="P387" s="243"/>
      <c r="Q387" s="243"/>
      <c r="R387" s="14"/>
      <c r="S387" s="242"/>
      <c r="T387" s="15"/>
      <c r="U387" s="15"/>
      <c r="V387" s="15"/>
      <c r="W387" s="8"/>
      <c r="X387" s="8"/>
      <c r="Y387" s="56"/>
      <c r="Z387" s="56"/>
      <c r="AA387" s="15"/>
      <c r="AB387" s="15"/>
      <c r="AC387" s="15"/>
      <c r="AD387" s="15"/>
      <c r="AE387" s="57"/>
      <c r="AF387" s="57"/>
      <c r="AG387" s="15"/>
      <c r="AH387" s="25"/>
      <c r="AI387" s="26"/>
      <c r="AJ387" s="26"/>
      <c r="AK387" s="27"/>
      <c r="AL387" s="28"/>
      <c r="AM387" s="29"/>
    </row>
    <row r="388" ht="12.75" customHeight="1">
      <c r="A388" s="26"/>
      <c r="B388" s="12"/>
      <c r="C388" s="240"/>
      <c r="D388" s="241"/>
      <c r="E388" s="5"/>
      <c r="F388" s="5"/>
      <c r="G388" s="5"/>
      <c r="H388" s="5"/>
      <c r="I388" s="5"/>
      <c r="J388" s="5"/>
      <c r="K388" s="8"/>
      <c r="L388" s="9"/>
      <c r="M388" s="10"/>
      <c r="N388" s="86"/>
      <c r="O388" s="242"/>
      <c r="P388" s="243"/>
      <c r="Q388" s="243"/>
      <c r="R388" s="14"/>
      <c r="S388" s="242"/>
      <c r="T388" s="15"/>
      <c r="U388" s="15"/>
      <c r="V388" s="15"/>
      <c r="W388" s="8"/>
      <c r="X388" s="8"/>
      <c r="Y388" s="56"/>
      <c r="Z388" s="56"/>
      <c r="AA388" s="15"/>
      <c r="AB388" s="15"/>
      <c r="AC388" s="15"/>
      <c r="AD388" s="15"/>
      <c r="AE388" s="57"/>
      <c r="AF388" s="57"/>
      <c r="AG388" s="15"/>
      <c r="AH388" s="25"/>
      <c r="AI388" s="26"/>
      <c r="AJ388" s="26"/>
      <c r="AK388" s="27"/>
      <c r="AL388" s="28"/>
      <c r="AM388" s="29"/>
    </row>
    <row r="389" ht="12.75" customHeight="1">
      <c r="A389" s="26"/>
      <c r="B389" s="12"/>
      <c r="C389" s="240"/>
      <c r="D389" s="241"/>
      <c r="E389" s="5"/>
      <c r="F389" s="5"/>
      <c r="G389" s="5"/>
      <c r="H389" s="5"/>
      <c r="I389" s="5"/>
      <c r="J389" s="5"/>
      <c r="K389" s="8"/>
      <c r="L389" s="9"/>
      <c r="M389" s="10"/>
      <c r="N389" s="86"/>
      <c r="O389" s="242"/>
      <c r="P389" s="243"/>
      <c r="Q389" s="243"/>
      <c r="R389" s="14"/>
      <c r="S389" s="242"/>
      <c r="T389" s="15"/>
      <c r="U389" s="15"/>
      <c r="V389" s="15"/>
      <c r="W389" s="8"/>
      <c r="X389" s="8"/>
      <c r="Y389" s="56"/>
      <c r="Z389" s="56"/>
      <c r="AA389" s="15"/>
      <c r="AB389" s="15"/>
      <c r="AC389" s="15"/>
      <c r="AD389" s="15"/>
      <c r="AE389" s="57"/>
      <c r="AF389" s="57"/>
      <c r="AG389" s="15"/>
      <c r="AH389" s="25"/>
      <c r="AI389" s="26"/>
      <c r="AJ389" s="26"/>
      <c r="AK389" s="27"/>
      <c r="AL389" s="28"/>
      <c r="AM389" s="29"/>
    </row>
    <row r="390" ht="12.75" customHeight="1">
      <c r="A390" s="26"/>
      <c r="B390" s="12"/>
      <c r="C390" s="240"/>
      <c r="D390" s="241"/>
      <c r="E390" s="5"/>
      <c r="F390" s="5"/>
      <c r="G390" s="5"/>
      <c r="H390" s="5"/>
      <c r="I390" s="5"/>
      <c r="J390" s="5"/>
      <c r="K390" s="8"/>
      <c r="L390" s="9"/>
      <c r="M390" s="10"/>
      <c r="N390" s="86"/>
      <c r="O390" s="242"/>
      <c r="P390" s="243"/>
      <c r="Q390" s="243"/>
      <c r="R390" s="14"/>
      <c r="S390" s="242"/>
      <c r="T390" s="15"/>
      <c r="U390" s="15"/>
      <c r="V390" s="15"/>
      <c r="W390" s="8"/>
      <c r="X390" s="8"/>
      <c r="Y390" s="56"/>
      <c r="Z390" s="56"/>
      <c r="AA390" s="15"/>
      <c r="AB390" s="15"/>
      <c r="AC390" s="15"/>
      <c r="AD390" s="15"/>
      <c r="AE390" s="57"/>
      <c r="AF390" s="57"/>
      <c r="AG390" s="15"/>
      <c r="AH390" s="25"/>
      <c r="AI390" s="26"/>
      <c r="AJ390" s="26"/>
      <c r="AK390" s="27"/>
      <c r="AL390" s="28"/>
      <c r="AM390" s="29"/>
    </row>
    <row r="391" ht="12.75" customHeight="1">
      <c r="A391" s="26"/>
      <c r="B391" s="12"/>
      <c r="C391" s="240"/>
      <c r="D391" s="241"/>
      <c r="E391" s="5"/>
      <c r="F391" s="5"/>
      <c r="G391" s="5"/>
      <c r="H391" s="5"/>
      <c r="I391" s="5"/>
      <c r="J391" s="5"/>
      <c r="K391" s="8"/>
      <c r="L391" s="9"/>
      <c r="M391" s="10"/>
      <c r="N391" s="86"/>
      <c r="O391" s="242"/>
      <c r="P391" s="243"/>
      <c r="Q391" s="243"/>
      <c r="R391" s="14"/>
      <c r="S391" s="242"/>
      <c r="T391" s="15"/>
      <c r="U391" s="15"/>
      <c r="V391" s="15"/>
      <c r="W391" s="8"/>
      <c r="X391" s="8"/>
      <c r="Y391" s="56"/>
      <c r="Z391" s="56"/>
      <c r="AA391" s="15"/>
      <c r="AB391" s="15"/>
      <c r="AC391" s="15"/>
      <c r="AD391" s="15"/>
      <c r="AE391" s="57"/>
      <c r="AF391" s="57"/>
      <c r="AG391" s="15"/>
      <c r="AH391" s="25"/>
      <c r="AI391" s="26"/>
      <c r="AJ391" s="26"/>
      <c r="AK391" s="27"/>
      <c r="AL391" s="28"/>
      <c r="AM391" s="29"/>
    </row>
    <row r="392" ht="12.75" customHeight="1">
      <c r="A392" s="26"/>
      <c r="B392" s="12"/>
      <c r="C392" s="240"/>
      <c r="D392" s="241"/>
      <c r="E392" s="5"/>
      <c r="F392" s="5"/>
      <c r="G392" s="5"/>
      <c r="H392" s="5"/>
      <c r="I392" s="5"/>
      <c r="J392" s="5"/>
      <c r="K392" s="8"/>
      <c r="L392" s="9"/>
      <c r="M392" s="10"/>
      <c r="N392" s="86"/>
      <c r="O392" s="242"/>
      <c r="P392" s="243"/>
      <c r="Q392" s="243"/>
      <c r="R392" s="14"/>
      <c r="S392" s="242"/>
      <c r="T392" s="15"/>
      <c r="U392" s="15"/>
      <c r="V392" s="15"/>
      <c r="W392" s="8"/>
      <c r="X392" s="8"/>
      <c r="Y392" s="56"/>
      <c r="Z392" s="56"/>
      <c r="AA392" s="15"/>
      <c r="AB392" s="15"/>
      <c r="AC392" s="15"/>
      <c r="AD392" s="15"/>
      <c r="AE392" s="57"/>
      <c r="AF392" s="57"/>
      <c r="AG392" s="15"/>
      <c r="AH392" s="25"/>
      <c r="AI392" s="26"/>
      <c r="AJ392" s="26"/>
      <c r="AK392" s="27"/>
      <c r="AL392" s="28"/>
      <c r="AM392" s="29"/>
    </row>
    <row r="393" ht="12.75" customHeight="1">
      <c r="A393" s="26"/>
      <c r="B393" s="12"/>
      <c r="C393" s="240"/>
      <c r="D393" s="241"/>
      <c r="E393" s="5"/>
      <c r="F393" s="5"/>
      <c r="G393" s="5"/>
      <c r="H393" s="5"/>
      <c r="I393" s="5"/>
      <c r="J393" s="5"/>
      <c r="K393" s="8"/>
      <c r="L393" s="9"/>
      <c r="M393" s="10"/>
      <c r="N393" s="86"/>
      <c r="O393" s="242"/>
      <c r="P393" s="243"/>
      <c r="Q393" s="243"/>
      <c r="R393" s="14"/>
      <c r="S393" s="242"/>
      <c r="T393" s="15"/>
      <c r="U393" s="15"/>
      <c r="V393" s="15"/>
      <c r="W393" s="8"/>
      <c r="X393" s="8"/>
      <c r="Y393" s="56"/>
      <c r="Z393" s="56"/>
      <c r="AA393" s="15"/>
      <c r="AB393" s="15"/>
      <c r="AC393" s="15"/>
      <c r="AD393" s="15"/>
      <c r="AE393" s="57"/>
      <c r="AF393" s="57"/>
      <c r="AG393" s="15"/>
      <c r="AH393" s="25"/>
      <c r="AI393" s="26"/>
      <c r="AJ393" s="26"/>
      <c r="AK393" s="27"/>
      <c r="AL393" s="28"/>
      <c r="AM393" s="29"/>
    </row>
    <row r="394" ht="12.75" customHeight="1">
      <c r="A394" s="26"/>
      <c r="B394" s="12"/>
      <c r="C394" s="240"/>
      <c r="D394" s="241"/>
      <c r="E394" s="5"/>
      <c r="F394" s="5"/>
      <c r="G394" s="5"/>
      <c r="H394" s="5"/>
      <c r="I394" s="5"/>
      <c r="J394" s="5"/>
      <c r="K394" s="8"/>
      <c r="L394" s="9"/>
      <c r="M394" s="10"/>
      <c r="N394" s="86"/>
      <c r="O394" s="242"/>
      <c r="P394" s="243"/>
      <c r="Q394" s="243"/>
      <c r="R394" s="14"/>
      <c r="S394" s="242"/>
      <c r="T394" s="15"/>
      <c r="U394" s="15"/>
      <c r="V394" s="15"/>
      <c r="W394" s="8"/>
      <c r="X394" s="8"/>
      <c r="Y394" s="56"/>
      <c r="Z394" s="56"/>
      <c r="AA394" s="15"/>
      <c r="AB394" s="15"/>
      <c r="AC394" s="15"/>
      <c r="AD394" s="15"/>
      <c r="AE394" s="57"/>
      <c r="AF394" s="57"/>
      <c r="AG394" s="15"/>
      <c r="AH394" s="25"/>
      <c r="AI394" s="26"/>
      <c r="AJ394" s="26"/>
      <c r="AK394" s="27"/>
      <c r="AL394" s="28"/>
      <c r="AM394" s="29"/>
    </row>
    <row r="395" ht="12.75" customHeight="1">
      <c r="A395" s="26"/>
      <c r="B395" s="12"/>
      <c r="C395" s="240"/>
      <c r="D395" s="241"/>
      <c r="E395" s="5"/>
      <c r="F395" s="5"/>
      <c r="G395" s="5"/>
      <c r="H395" s="5"/>
      <c r="I395" s="5"/>
      <c r="J395" s="5"/>
      <c r="K395" s="8"/>
      <c r="L395" s="9"/>
      <c r="M395" s="10"/>
      <c r="N395" s="86"/>
      <c r="O395" s="242"/>
      <c r="P395" s="243"/>
      <c r="Q395" s="243"/>
      <c r="R395" s="14"/>
      <c r="S395" s="242"/>
      <c r="T395" s="15"/>
      <c r="U395" s="15"/>
      <c r="V395" s="15"/>
      <c r="W395" s="8"/>
      <c r="X395" s="8"/>
      <c r="Y395" s="56"/>
      <c r="Z395" s="56"/>
      <c r="AA395" s="15"/>
      <c r="AB395" s="15"/>
      <c r="AC395" s="15"/>
      <c r="AD395" s="15"/>
      <c r="AE395" s="57"/>
      <c r="AF395" s="57"/>
      <c r="AG395" s="15"/>
      <c r="AH395" s="25"/>
      <c r="AI395" s="26"/>
      <c r="AJ395" s="26"/>
      <c r="AK395" s="27"/>
      <c r="AL395" s="28"/>
      <c r="AM395" s="29"/>
    </row>
    <row r="396" ht="12.75" customHeight="1">
      <c r="A396" s="26"/>
      <c r="B396" s="12"/>
      <c r="C396" s="240"/>
      <c r="D396" s="241"/>
      <c r="E396" s="5"/>
      <c r="F396" s="5"/>
      <c r="G396" s="5"/>
      <c r="H396" s="5"/>
      <c r="I396" s="5"/>
      <c r="J396" s="5"/>
      <c r="K396" s="8"/>
      <c r="L396" s="9"/>
      <c r="M396" s="10"/>
      <c r="N396" s="86"/>
      <c r="O396" s="242"/>
      <c r="P396" s="243"/>
      <c r="Q396" s="243"/>
      <c r="R396" s="14"/>
      <c r="S396" s="242"/>
      <c r="T396" s="15"/>
      <c r="U396" s="15"/>
      <c r="V396" s="15"/>
      <c r="W396" s="8"/>
      <c r="X396" s="8"/>
      <c r="Y396" s="56"/>
      <c r="Z396" s="56"/>
      <c r="AA396" s="15"/>
      <c r="AB396" s="15"/>
      <c r="AC396" s="15"/>
      <c r="AD396" s="15"/>
      <c r="AE396" s="57"/>
      <c r="AF396" s="57"/>
      <c r="AG396" s="15"/>
      <c r="AH396" s="25"/>
      <c r="AI396" s="26"/>
      <c r="AJ396" s="26"/>
      <c r="AK396" s="27"/>
      <c r="AL396" s="28"/>
      <c r="AM396" s="29"/>
    </row>
    <row r="397" ht="12.75" customHeight="1">
      <c r="A397" s="26"/>
      <c r="B397" s="12"/>
      <c r="C397" s="240"/>
      <c r="D397" s="241"/>
      <c r="E397" s="5"/>
      <c r="F397" s="5"/>
      <c r="G397" s="5"/>
      <c r="H397" s="5"/>
      <c r="I397" s="5"/>
      <c r="J397" s="5"/>
      <c r="K397" s="8"/>
      <c r="L397" s="9"/>
      <c r="M397" s="10"/>
      <c r="N397" s="86"/>
      <c r="O397" s="242"/>
      <c r="P397" s="243"/>
      <c r="Q397" s="243"/>
      <c r="R397" s="14"/>
      <c r="S397" s="242"/>
      <c r="T397" s="15"/>
      <c r="U397" s="15"/>
      <c r="V397" s="15"/>
      <c r="W397" s="8"/>
      <c r="X397" s="8"/>
      <c r="Y397" s="56"/>
      <c r="Z397" s="56"/>
      <c r="AA397" s="15"/>
      <c r="AB397" s="15"/>
      <c r="AC397" s="15"/>
      <c r="AD397" s="15"/>
      <c r="AE397" s="57"/>
      <c r="AF397" s="57"/>
      <c r="AG397" s="15"/>
      <c r="AH397" s="25"/>
      <c r="AI397" s="26"/>
      <c r="AJ397" s="26"/>
      <c r="AK397" s="27"/>
      <c r="AL397" s="28"/>
      <c r="AM397" s="29"/>
    </row>
    <row r="398" ht="12.75" customHeight="1">
      <c r="A398" s="26"/>
      <c r="B398" s="12"/>
      <c r="C398" s="240"/>
      <c r="D398" s="241"/>
      <c r="E398" s="5"/>
      <c r="F398" s="5"/>
      <c r="G398" s="5"/>
      <c r="H398" s="5"/>
      <c r="I398" s="5"/>
      <c r="J398" s="5"/>
      <c r="K398" s="8"/>
      <c r="L398" s="9"/>
      <c r="M398" s="10"/>
      <c r="N398" s="86"/>
      <c r="O398" s="242"/>
      <c r="P398" s="243"/>
      <c r="Q398" s="243"/>
      <c r="R398" s="14"/>
      <c r="S398" s="242"/>
      <c r="T398" s="15"/>
      <c r="U398" s="15"/>
      <c r="V398" s="15"/>
      <c r="W398" s="8"/>
      <c r="X398" s="8"/>
      <c r="Y398" s="56"/>
      <c r="Z398" s="56"/>
      <c r="AA398" s="15"/>
      <c r="AB398" s="15"/>
      <c r="AC398" s="15"/>
      <c r="AD398" s="15"/>
      <c r="AE398" s="57"/>
      <c r="AF398" s="57"/>
      <c r="AG398" s="15"/>
      <c r="AH398" s="25"/>
      <c r="AI398" s="26"/>
      <c r="AJ398" s="26"/>
      <c r="AK398" s="27"/>
      <c r="AL398" s="28"/>
      <c r="AM398" s="29"/>
    </row>
    <row r="399" ht="12.75" customHeight="1">
      <c r="A399" s="26"/>
      <c r="B399" s="12"/>
      <c r="C399" s="240"/>
      <c r="D399" s="241"/>
      <c r="E399" s="5"/>
      <c r="F399" s="5"/>
      <c r="G399" s="5"/>
      <c r="H399" s="5"/>
      <c r="I399" s="5"/>
      <c r="J399" s="5"/>
      <c r="K399" s="8"/>
      <c r="L399" s="9"/>
      <c r="M399" s="10"/>
      <c r="N399" s="86"/>
      <c r="O399" s="242"/>
      <c r="P399" s="243"/>
      <c r="Q399" s="243"/>
      <c r="R399" s="14"/>
      <c r="S399" s="242"/>
      <c r="T399" s="15"/>
      <c r="U399" s="15"/>
      <c r="V399" s="15"/>
      <c r="W399" s="8"/>
      <c r="X399" s="8"/>
      <c r="Y399" s="56"/>
      <c r="Z399" s="56"/>
      <c r="AA399" s="15"/>
      <c r="AB399" s="15"/>
      <c r="AC399" s="15"/>
      <c r="AD399" s="15"/>
      <c r="AE399" s="57"/>
      <c r="AF399" s="57"/>
      <c r="AG399" s="15"/>
      <c r="AH399" s="25"/>
      <c r="AI399" s="26"/>
      <c r="AJ399" s="26"/>
      <c r="AK399" s="27"/>
      <c r="AL399" s="28"/>
      <c r="AM399" s="29"/>
    </row>
    <row r="400" ht="12.75" customHeight="1">
      <c r="A400" s="26"/>
      <c r="B400" s="12"/>
      <c r="C400" s="240"/>
      <c r="D400" s="241"/>
      <c r="E400" s="5"/>
      <c r="F400" s="5"/>
      <c r="G400" s="5"/>
      <c r="H400" s="5"/>
      <c r="I400" s="5"/>
      <c r="J400" s="5"/>
      <c r="K400" s="8"/>
      <c r="L400" s="9"/>
      <c r="M400" s="10"/>
      <c r="N400" s="86"/>
      <c r="O400" s="242"/>
      <c r="P400" s="243"/>
      <c r="Q400" s="243"/>
      <c r="R400" s="14"/>
      <c r="S400" s="242"/>
      <c r="T400" s="15"/>
      <c r="U400" s="15"/>
      <c r="V400" s="15"/>
      <c r="W400" s="8"/>
      <c r="X400" s="8"/>
      <c r="Y400" s="56"/>
      <c r="Z400" s="56"/>
      <c r="AA400" s="15"/>
      <c r="AB400" s="15"/>
      <c r="AC400" s="15"/>
      <c r="AD400" s="15"/>
      <c r="AE400" s="57"/>
      <c r="AF400" s="57"/>
      <c r="AG400" s="15"/>
      <c r="AH400" s="25"/>
      <c r="AI400" s="26"/>
      <c r="AJ400" s="26"/>
      <c r="AK400" s="27"/>
      <c r="AL400" s="28"/>
      <c r="AM400" s="29"/>
    </row>
    <row r="401" ht="12.75" customHeight="1">
      <c r="A401" s="26"/>
      <c r="B401" s="12"/>
      <c r="C401" s="240"/>
      <c r="D401" s="241"/>
      <c r="E401" s="5"/>
      <c r="F401" s="5"/>
      <c r="G401" s="5"/>
      <c r="H401" s="5"/>
      <c r="I401" s="5"/>
      <c r="J401" s="5"/>
      <c r="K401" s="8"/>
      <c r="L401" s="9"/>
      <c r="M401" s="10"/>
      <c r="N401" s="86"/>
      <c r="O401" s="242"/>
      <c r="P401" s="243"/>
      <c r="Q401" s="243"/>
      <c r="R401" s="14"/>
      <c r="S401" s="242"/>
      <c r="T401" s="15"/>
      <c r="U401" s="15"/>
      <c r="V401" s="15"/>
      <c r="W401" s="8"/>
      <c r="X401" s="8"/>
      <c r="Y401" s="56"/>
      <c r="Z401" s="56"/>
      <c r="AA401" s="15"/>
      <c r="AB401" s="15"/>
      <c r="AC401" s="15"/>
      <c r="AD401" s="15"/>
      <c r="AE401" s="57"/>
      <c r="AF401" s="57"/>
      <c r="AG401" s="15"/>
      <c r="AH401" s="25"/>
      <c r="AI401" s="26"/>
      <c r="AJ401" s="26"/>
      <c r="AK401" s="27"/>
      <c r="AL401" s="28"/>
      <c r="AM401" s="29"/>
    </row>
    <row r="402" ht="12.75" customHeight="1">
      <c r="A402" s="26"/>
      <c r="B402" s="12"/>
      <c r="C402" s="240"/>
      <c r="D402" s="241"/>
      <c r="E402" s="5"/>
      <c r="F402" s="5"/>
      <c r="G402" s="5"/>
      <c r="H402" s="5"/>
      <c r="I402" s="5"/>
      <c r="J402" s="5"/>
      <c r="K402" s="8"/>
      <c r="L402" s="9"/>
      <c r="M402" s="10"/>
      <c r="N402" s="86"/>
      <c r="O402" s="242"/>
      <c r="P402" s="243"/>
      <c r="Q402" s="243"/>
      <c r="R402" s="14"/>
      <c r="S402" s="242"/>
      <c r="T402" s="15"/>
      <c r="U402" s="15"/>
      <c r="V402" s="15"/>
      <c r="W402" s="8"/>
      <c r="X402" s="8"/>
      <c r="Y402" s="56"/>
      <c r="Z402" s="56"/>
      <c r="AA402" s="15"/>
      <c r="AB402" s="15"/>
      <c r="AC402" s="15"/>
      <c r="AD402" s="15"/>
      <c r="AE402" s="57"/>
      <c r="AF402" s="57"/>
      <c r="AG402" s="15"/>
      <c r="AH402" s="25"/>
      <c r="AI402" s="26"/>
      <c r="AJ402" s="26"/>
      <c r="AK402" s="27"/>
      <c r="AL402" s="28"/>
      <c r="AM402" s="29"/>
    </row>
    <row r="403" ht="12.75" customHeight="1">
      <c r="A403" s="26"/>
      <c r="B403" s="12"/>
      <c r="C403" s="240"/>
      <c r="D403" s="241"/>
      <c r="E403" s="5"/>
      <c r="F403" s="5"/>
      <c r="G403" s="5"/>
      <c r="H403" s="5"/>
      <c r="I403" s="5"/>
      <c r="J403" s="5"/>
      <c r="K403" s="8"/>
      <c r="L403" s="9"/>
      <c r="M403" s="10"/>
      <c r="N403" s="86"/>
      <c r="O403" s="242"/>
      <c r="P403" s="243"/>
      <c r="Q403" s="243"/>
      <c r="R403" s="14"/>
      <c r="S403" s="242"/>
      <c r="T403" s="15"/>
      <c r="U403" s="15"/>
      <c r="V403" s="15"/>
      <c r="W403" s="8"/>
      <c r="X403" s="8"/>
      <c r="Y403" s="56"/>
      <c r="Z403" s="56"/>
      <c r="AA403" s="15"/>
      <c r="AB403" s="15"/>
      <c r="AC403" s="15"/>
      <c r="AD403" s="15"/>
      <c r="AE403" s="57"/>
      <c r="AF403" s="57"/>
      <c r="AG403" s="15"/>
      <c r="AH403" s="25"/>
      <c r="AI403" s="26"/>
      <c r="AJ403" s="26"/>
      <c r="AK403" s="27"/>
      <c r="AL403" s="28"/>
      <c r="AM403" s="29"/>
    </row>
    <row r="404" ht="12.75" customHeight="1">
      <c r="A404" s="26"/>
      <c r="B404" s="12"/>
      <c r="C404" s="240"/>
      <c r="D404" s="241"/>
      <c r="E404" s="5"/>
      <c r="F404" s="5"/>
      <c r="G404" s="5"/>
      <c r="H404" s="5"/>
      <c r="I404" s="5"/>
      <c r="J404" s="5"/>
      <c r="K404" s="8"/>
      <c r="L404" s="9"/>
      <c r="M404" s="10"/>
      <c r="N404" s="86"/>
      <c r="O404" s="242"/>
      <c r="P404" s="243"/>
      <c r="Q404" s="243"/>
      <c r="R404" s="14"/>
      <c r="S404" s="242"/>
      <c r="T404" s="15"/>
      <c r="U404" s="15"/>
      <c r="V404" s="15"/>
      <c r="W404" s="8"/>
      <c r="X404" s="8"/>
      <c r="Y404" s="56"/>
      <c r="Z404" s="56"/>
      <c r="AA404" s="15"/>
      <c r="AB404" s="15"/>
      <c r="AC404" s="15"/>
      <c r="AD404" s="15"/>
      <c r="AE404" s="57"/>
      <c r="AF404" s="57"/>
      <c r="AG404" s="15"/>
      <c r="AH404" s="25"/>
      <c r="AI404" s="26"/>
      <c r="AJ404" s="26"/>
      <c r="AK404" s="27"/>
      <c r="AL404" s="28"/>
      <c r="AM404" s="29"/>
    </row>
    <row r="405" ht="12.75" customHeight="1">
      <c r="A405" s="26"/>
      <c r="B405" s="12"/>
      <c r="C405" s="240"/>
      <c r="D405" s="241"/>
      <c r="E405" s="5"/>
      <c r="F405" s="5"/>
      <c r="G405" s="5"/>
      <c r="H405" s="5"/>
      <c r="I405" s="5"/>
      <c r="J405" s="5"/>
      <c r="K405" s="8"/>
      <c r="L405" s="9"/>
      <c r="M405" s="10"/>
      <c r="N405" s="86"/>
      <c r="O405" s="242"/>
      <c r="P405" s="243"/>
      <c r="Q405" s="243"/>
      <c r="R405" s="14"/>
      <c r="S405" s="242"/>
      <c r="T405" s="15"/>
      <c r="U405" s="15"/>
      <c r="V405" s="15"/>
      <c r="W405" s="8"/>
      <c r="X405" s="8"/>
      <c r="Y405" s="56"/>
      <c r="Z405" s="56"/>
      <c r="AA405" s="15"/>
      <c r="AB405" s="15"/>
      <c r="AC405" s="15"/>
      <c r="AD405" s="15"/>
      <c r="AE405" s="57"/>
      <c r="AF405" s="57"/>
      <c r="AG405" s="15"/>
      <c r="AH405" s="25"/>
      <c r="AI405" s="26"/>
      <c r="AJ405" s="26"/>
      <c r="AK405" s="27"/>
      <c r="AL405" s="28"/>
      <c r="AM405" s="29"/>
    </row>
    <row r="406" ht="12.75" customHeight="1">
      <c r="A406" s="26"/>
      <c r="B406" s="12"/>
      <c r="C406" s="240"/>
      <c r="D406" s="241"/>
      <c r="E406" s="5"/>
      <c r="F406" s="5"/>
      <c r="G406" s="5"/>
      <c r="H406" s="5"/>
      <c r="I406" s="5"/>
      <c r="J406" s="5"/>
      <c r="K406" s="8"/>
      <c r="L406" s="9"/>
      <c r="M406" s="10"/>
      <c r="N406" s="86"/>
      <c r="O406" s="242"/>
      <c r="P406" s="243"/>
      <c r="Q406" s="243"/>
      <c r="R406" s="14"/>
      <c r="S406" s="242"/>
      <c r="T406" s="15"/>
      <c r="U406" s="15"/>
      <c r="V406" s="15"/>
      <c r="W406" s="8"/>
      <c r="X406" s="8"/>
      <c r="Y406" s="56"/>
      <c r="Z406" s="56"/>
      <c r="AA406" s="15"/>
      <c r="AB406" s="15"/>
      <c r="AC406" s="15"/>
      <c r="AD406" s="15"/>
      <c r="AE406" s="57"/>
      <c r="AF406" s="57"/>
      <c r="AG406" s="15"/>
      <c r="AH406" s="25"/>
      <c r="AI406" s="26"/>
      <c r="AJ406" s="26"/>
      <c r="AK406" s="27"/>
      <c r="AL406" s="28"/>
      <c r="AM406" s="29"/>
    </row>
    <row r="407" ht="12.75" customHeight="1">
      <c r="A407" s="26"/>
      <c r="B407" s="12"/>
      <c r="C407" s="240"/>
      <c r="D407" s="241"/>
      <c r="E407" s="5"/>
      <c r="F407" s="5"/>
      <c r="G407" s="5"/>
      <c r="H407" s="5"/>
      <c r="I407" s="5"/>
      <c r="J407" s="5"/>
      <c r="K407" s="8"/>
      <c r="L407" s="9"/>
      <c r="M407" s="10"/>
      <c r="N407" s="86"/>
      <c r="O407" s="242"/>
      <c r="P407" s="243"/>
      <c r="Q407" s="243"/>
      <c r="R407" s="14"/>
      <c r="S407" s="242"/>
      <c r="T407" s="15"/>
      <c r="U407" s="15"/>
      <c r="V407" s="15"/>
      <c r="W407" s="8"/>
      <c r="X407" s="8"/>
      <c r="Y407" s="56"/>
      <c r="Z407" s="56"/>
      <c r="AA407" s="15"/>
      <c r="AB407" s="15"/>
      <c r="AC407" s="15"/>
      <c r="AD407" s="15"/>
      <c r="AE407" s="57"/>
      <c r="AF407" s="57"/>
      <c r="AG407" s="15"/>
      <c r="AH407" s="25"/>
      <c r="AI407" s="26"/>
      <c r="AJ407" s="26"/>
      <c r="AK407" s="27"/>
      <c r="AL407" s="28"/>
      <c r="AM407" s="29"/>
    </row>
    <row r="408" ht="12.75" customHeight="1">
      <c r="A408" s="26"/>
      <c r="B408" s="12"/>
      <c r="C408" s="240"/>
      <c r="D408" s="241"/>
      <c r="E408" s="5"/>
      <c r="F408" s="5"/>
      <c r="G408" s="5"/>
      <c r="H408" s="5"/>
      <c r="I408" s="5"/>
      <c r="J408" s="5"/>
      <c r="K408" s="8"/>
      <c r="L408" s="9"/>
      <c r="M408" s="10"/>
      <c r="N408" s="86"/>
      <c r="O408" s="242"/>
      <c r="P408" s="243"/>
      <c r="Q408" s="243"/>
      <c r="R408" s="14"/>
      <c r="S408" s="242"/>
      <c r="T408" s="15"/>
      <c r="U408" s="15"/>
      <c r="V408" s="15"/>
      <c r="W408" s="8"/>
      <c r="X408" s="8"/>
      <c r="Y408" s="56"/>
      <c r="Z408" s="56"/>
      <c r="AA408" s="15"/>
      <c r="AB408" s="15"/>
      <c r="AC408" s="15"/>
      <c r="AD408" s="15"/>
      <c r="AE408" s="57"/>
      <c r="AF408" s="57"/>
      <c r="AG408" s="15"/>
      <c r="AH408" s="25"/>
      <c r="AI408" s="26"/>
      <c r="AJ408" s="26"/>
      <c r="AK408" s="27"/>
      <c r="AL408" s="28"/>
      <c r="AM408" s="29"/>
    </row>
    <row r="409" ht="12.75" customHeight="1">
      <c r="A409" s="26"/>
      <c r="B409" s="12"/>
      <c r="C409" s="240"/>
      <c r="D409" s="241"/>
      <c r="E409" s="5"/>
      <c r="F409" s="5"/>
      <c r="G409" s="5"/>
      <c r="H409" s="5"/>
      <c r="I409" s="5"/>
      <c r="J409" s="5"/>
      <c r="K409" s="8"/>
      <c r="L409" s="9"/>
      <c r="M409" s="10"/>
      <c r="N409" s="86"/>
      <c r="O409" s="242"/>
      <c r="P409" s="243"/>
      <c r="Q409" s="243"/>
      <c r="R409" s="14"/>
      <c r="S409" s="242"/>
      <c r="T409" s="15"/>
      <c r="U409" s="15"/>
      <c r="V409" s="15"/>
      <c r="W409" s="8"/>
      <c r="X409" s="8"/>
      <c r="Y409" s="56"/>
      <c r="Z409" s="56"/>
      <c r="AA409" s="15"/>
      <c r="AB409" s="15"/>
      <c r="AC409" s="15"/>
      <c r="AD409" s="15"/>
      <c r="AE409" s="57"/>
      <c r="AF409" s="57"/>
      <c r="AG409" s="15"/>
      <c r="AH409" s="25"/>
      <c r="AI409" s="26"/>
      <c r="AJ409" s="26"/>
      <c r="AK409" s="27"/>
      <c r="AL409" s="28"/>
      <c r="AM409" s="29"/>
    </row>
    <row r="410" ht="12.75" customHeight="1">
      <c r="A410" s="26"/>
      <c r="B410" s="12"/>
      <c r="C410" s="240"/>
      <c r="D410" s="241"/>
      <c r="E410" s="5"/>
      <c r="F410" s="5"/>
      <c r="G410" s="5"/>
      <c r="H410" s="5"/>
      <c r="I410" s="5"/>
      <c r="J410" s="5"/>
      <c r="K410" s="8"/>
      <c r="L410" s="9"/>
      <c r="M410" s="10"/>
      <c r="N410" s="86"/>
      <c r="O410" s="242"/>
      <c r="P410" s="243"/>
      <c r="Q410" s="243"/>
      <c r="R410" s="14"/>
      <c r="S410" s="242"/>
      <c r="T410" s="15"/>
      <c r="U410" s="15"/>
      <c r="V410" s="15"/>
      <c r="W410" s="8"/>
      <c r="X410" s="8"/>
      <c r="Y410" s="56"/>
      <c r="Z410" s="56"/>
      <c r="AA410" s="15"/>
      <c r="AB410" s="15"/>
      <c r="AC410" s="15"/>
      <c r="AD410" s="15"/>
      <c r="AE410" s="57"/>
      <c r="AF410" s="57"/>
      <c r="AG410" s="15"/>
      <c r="AH410" s="25"/>
      <c r="AI410" s="26"/>
      <c r="AJ410" s="26"/>
      <c r="AK410" s="27"/>
      <c r="AL410" s="28"/>
      <c r="AM410" s="29"/>
    </row>
    <row r="411" ht="12.75" customHeight="1">
      <c r="A411" s="26"/>
      <c r="B411" s="12"/>
      <c r="C411" s="240"/>
      <c r="D411" s="241"/>
      <c r="E411" s="5"/>
      <c r="F411" s="5"/>
      <c r="G411" s="5"/>
      <c r="H411" s="5"/>
      <c r="I411" s="5"/>
      <c r="J411" s="5"/>
      <c r="K411" s="8"/>
      <c r="L411" s="9"/>
      <c r="M411" s="10"/>
      <c r="N411" s="86"/>
      <c r="O411" s="242"/>
      <c r="P411" s="243"/>
      <c r="Q411" s="243"/>
      <c r="R411" s="14"/>
      <c r="S411" s="242"/>
      <c r="T411" s="15"/>
      <c r="U411" s="15"/>
      <c r="V411" s="15"/>
      <c r="W411" s="8"/>
      <c r="X411" s="8"/>
      <c r="Y411" s="56"/>
      <c r="Z411" s="56"/>
      <c r="AA411" s="15"/>
      <c r="AB411" s="15"/>
      <c r="AC411" s="15"/>
      <c r="AD411" s="15"/>
      <c r="AE411" s="57"/>
      <c r="AF411" s="57"/>
      <c r="AG411" s="15"/>
      <c r="AH411" s="25"/>
      <c r="AI411" s="26"/>
      <c r="AJ411" s="26"/>
      <c r="AK411" s="27"/>
      <c r="AL411" s="28"/>
      <c r="AM411" s="29"/>
    </row>
    <row r="412" ht="12.75" customHeight="1">
      <c r="A412" s="26"/>
      <c r="B412" s="12"/>
      <c r="C412" s="240"/>
      <c r="D412" s="241"/>
      <c r="E412" s="5"/>
      <c r="F412" s="5"/>
      <c r="G412" s="5"/>
      <c r="H412" s="5"/>
      <c r="I412" s="5"/>
      <c r="J412" s="5"/>
      <c r="K412" s="8"/>
      <c r="L412" s="9"/>
      <c r="M412" s="10"/>
      <c r="N412" s="86"/>
      <c r="O412" s="242"/>
      <c r="P412" s="243"/>
      <c r="Q412" s="243"/>
      <c r="R412" s="14"/>
      <c r="S412" s="242"/>
      <c r="T412" s="15"/>
      <c r="U412" s="15"/>
      <c r="V412" s="15"/>
      <c r="W412" s="8"/>
      <c r="X412" s="8"/>
      <c r="Y412" s="56"/>
      <c r="Z412" s="56"/>
      <c r="AA412" s="15"/>
      <c r="AB412" s="15"/>
      <c r="AC412" s="15"/>
      <c r="AD412" s="15"/>
      <c r="AE412" s="57"/>
      <c r="AF412" s="57"/>
      <c r="AG412" s="15"/>
      <c r="AH412" s="25"/>
      <c r="AI412" s="26"/>
      <c r="AJ412" s="26"/>
      <c r="AK412" s="27"/>
      <c r="AL412" s="28"/>
      <c r="AM412" s="29"/>
    </row>
    <row r="413" ht="12.75" customHeight="1">
      <c r="A413" s="26"/>
      <c r="B413" s="12"/>
      <c r="C413" s="240"/>
      <c r="D413" s="241"/>
      <c r="E413" s="5"/>
      <c r="F413" s="5"/>
      <c r="G413" s="5"/>
      <c r="H413" s="5"/>
      <c r="I413" s="5"/>
      <c r="J413" s="5"/>
      <c r="K413" s="8"/>
      <c r="L413" s="9"/>
      <c r="M413" s="10"/>
      <c r="N413" s="86"/>
      <c r="O413" s="242"/>
      <c r="P413" s="243"/>
      <c r="Q413" s="243"/>
      <c r="R413" s="14"/>
      <c r="S413" s="242"/>
      <c r="T413" s="15"/>
      <c r="U413" s="15"/>
      <c r="V413" s="15"/>
      <c r="W413" s="8"/>
      <c r="X413" s="8"/>
      <c r="Y413" s="56"/>
      <c r="Z413" s="56"/>
      <c r="AA413" s="15"/>
      <c r="AB413" s="15"/>
      <c r="AC413" s="15"/>
      <c r="AD413" s="15"/>
      <c r="AE413" s="57"/>
      <c r="AF413" s="57"/>
      <c r="AG413" s="15"/>
      <c r="AH413" s="25"/>
      <c r="AI413" s="26"/>
      <c r="AJ413" s="26"/>
      <c r="AK413" s="27"/>
      <c r="AL413" s="28"/>
      <c r="AM413" s="29"/>
    </row>
    <row r="414" ht="12.75" customHeight="1">
      <c r="A414" s="26"/>
      <c r="B414" s="12"/>
      <c r="C414" s="240"/>
      <c r="D414" s="241"/>
      <c r="E414" s="5"/>
      <c r="F414" s="5"/>
      <c r="G414" s="5"/>
      <c r="H414" s="5"/>
      <c r="I414" s="5"/>
      <c r="J414" s="5"/>
      <c r="K414" s="8"/>
      <c r="L414" s="9"/>
      <c r="M414" s="10"/>
      <c r="N414" s="86"/>
      <c r="O414" s="242"/>
      <c r="P414" s="243"/>
      <c r="Q414" s="243"/>
      <c r="R414" s="14"/>
      <c r="S414" s="242"/>
      <c r="T414" s="15"/>
      <c r="U414" s="15"/>
      <c r="V414" s="15"/>
      <c r="W414" s="8"/>
      <c r="X414" s="8"/>
      <c r="Y414" s="56"/>
      <c r="Z414" s="56"/>
      <c r="AA414" s="15"/>
      <c r="AB414" s="15"/>
      <c r="AC414" s="15"/>
      <c r="AD414" s="15"/>
      <c r="AE414" s="57"/>
      <c r="AF414" s="57"/>
      <c r="AG414" s="15"/>
      <c r="AH414" s="25"/>
      <c r="AI414" s="26"/>
      <c r="AJ414" s="26"/>
      <c r="AK414" s="27"/>
      <c r="AL414" s="28"/>
      <c r="AM414" s="29"/>
    </row>
    <row r="415" ht="12.75" customHeight="1">
      <c r="A415" s="26"/>
      <c r="B415" s="12"/>
      <c r="C415" s="240"/>
      <c r="D415" s="241"/>
      <c r="E415" s="5"/>
      <c r="F415" s="5"/>
      <c r="G415" s="5"/>
      <c r="H415" s="5"/>
      <c r="I415" s="5"/>
      <c r="J415" s="5"/>
      <c r="K415" s="8"/>
      <c r="L415" s="9"/>
      <c r="M415" s="10"/>
      <c r="N415" s="86"/>
      <c r="O415" s="242"/>
      <c r="P415" s="243"/>
      <c r="Q415" s="243"/>
      <c r="R415" s="14"/>
      <c r="S415" s="242"/>
      <c r="T415" s="15"/>
      <c r="U415" s="15"/>
      <c r="V415" s="15"/>
      <c r="W415" s="8"/>
      <c r="X415" s="8"/>
      <c r="Y415" s="56"/>
      <c r="Z415" s="56"/>
      <c r="AA415" s="15"/>
      <c r="AB415" s="15"/>
      <c r="AC415" s="15"/>
      <c r="AD415" s="15"/>
      <c r="AE415" s="57"/>
      <c r="AF415" s="57"/>
      <c r="AG415" s="15"/>
      <c r="AH415" s="25"/>
      <c r="AI415" s="26"/>
      <c r="AJ415" s="26"/>
      <c r="AK415" s="27"/>
      <c r="AL415" s="28"/>
      <c r="AM415" s="29"/>
    </row>
    <row r="416" ht="12.75" customHeight="1">
      <c r="A416" s="26"/>
      <c r="B416" s="12"/>
      <c r="C416" s="240"/>
      <c r="D416" s="241"/>
      <c r="E416" s="5"/>
      <c r="F416" s="5"/>
      <c r="G416" s="5"/>
      <c r="H416" s="5"/>
      <c r="I416" s="5"/>
      <c r="J416" s="5"/>
      <c r="K416" s="8"/>
      <c r="L416" s="9"/>
      <c r="M416" s="10"/>
      <c r="N416" s="86"/>
      <c r="O416" s="242"/>
      <c r="P416" s="243"/>
      <c r="Q416" s="243"/>
      <c r="R416" s="14"/>
      <c r="S416" s="242"/>
      <c r="T416" s="15"/>
      <c r="U416" s="15"/>
      <c r="V416" s="15"/>
      <c r="W416" s="8"/>
      <c r="X416" s="8"/>
      <c r="Y416" s="56"/>
      <c r="Z416" s="56"/>
      <c r="AA416" s="15"/>
      <c r="AB416" s="15"/>
      <c r="AC416" s="15"/>
      <c r="AD416" s="15"/>
      <c r="AE416" s="57"/>
      <c r="AF416" s="57"/>
      <c r="AG416" s="15"/>
      <c r="AH416" s="25"/>
      <c r="AI416" s="26"/>
      <c r="AJ416" s="26"/>
      <c r="AK416" s="27"/>
      <c r="AL416" s="28"/>
      <c r="AM416" s="29"/>
    </row>
    <row r="417" ht="12.75" customHeight="1">
      <c r="A417" s="26"/>
      <c r="B417" s="12"/>
      <c r="C417" s="240"/>
      <c r="D417" s="241"/>
      <c r="E417" s="5"/>
      <c r="F417" s="5"/>
      <c r="G417" s="5"/>
      <c r="H417" s="5"/>
      <c r="I417" s="5"/>
      <c r="J417" s="5"/>
      <c r="K417" s="8"/>
      <c r="L417" s="9"/>
      <c r="M417" s="10"/>
      <c r="N417" s="86"/>
      <c r="O417" s="242"/>
      <c r="P417" s="243"/>
      <c r="Q417" s="243"/>
      <c r="R417" s="14"/>
      <c r="S417" s="242"/>
      <c r="T417" s="15"/>
      <c r="U417" s="15"/>
      <c r="V417" s="15"/>
      <c r="W417" s="8"/>
      <c r="X417" s="8"/>
      <c r="Y417" s="56"/>
      <c r="Z417" s="56"/>
      <c r="AA417" s="15"/>
      <c r="AB417" s="15"/>
      <c r="AC417" s="15"/>
      <c r="AD417" s="15"/>
      <c r="AE417" s="57"/>
      <c r="AF417" s="57"/>
      <c r="AG417" s="15"/>
      <c r="AH417" s="25"/>
      <c r="AI417" s="26"/>
      <c r="AJ417" s="26"/>
      <c r="AK417" s="27"/>
      <c r="AL417" s="28"/>
      <c r="AM417" s="29"/>
    </row>
    <row r="418" ht="12.75" customHeight="1">
      <c r="A418" s="26"/>
      <c r="B418" s="12"/>
      <c r="C418" s="240"/>
      <c r="D418" s="241"/>
      <c r="E418" s="5"/>
      <c r="F418" s="5"/>
      <c r="G418" s="5"/>
      <c r="H418" s="5"/>
      <c r="I418" s="5"/>
      <c r="J418" s="5"/>
      <c r="K418" s="8"/>
      <c r="L418" s="9"/>
      <c r="M418" s="10"/>
      <c r="N418" s="86"/>
      <c r="O418" s="242"/>
      <c r="P418" s="243"/>
      <c r="Q418" s="243"/>
      <c r="R418" s="14"/>
      <c r="S418" s="242"/>
      <c r="T418" s="15"/>
      <c r="U418" s="15"/>
      <c r="V418" s="15"/>
      <c r="W418" s="8"/>
      <c r="X418" s="8"/>
      <c r="Y418" s="56"/>
      <c r="Z418" s="56"/>
      <c r="AA418" s="15"/>
      <c r="AB418" s="15"/>
      <c r="AC418" s="15"/>
      <c r="AD418" s="15"/>
      <c r="AE418" s="57"/>
      <c r="AF418" s="57"/>
      <c r="AG418" s="15"/>
      <c r="AH418" s="25"/>
      <c r="AI418" s="26"/>
      <c r="AJ418" s="26"/>
      <c r="AK418" s="27"/>
      <c r="AL418" s="28"/>
      <c r="AM418" s="29"/>
    </row>
    <row r="419" ht="12.75" customHeight="1">
      <c r="A419" s="26"/>
      <c r="B419" s="12"/>
      <c r="C419" s="240"/>
      <c r="D419" s="241"/>
      <c r="E419" s="5"/>
      <c r="F419" s="5"/>
      <c r="G419" s="5"/>
      <c r="H419" s="5"/>
      <c r="I419" s="5"/>
      <c r="J419" s="5"/>
      <c r="K419" s="8"/>
      <c r="L419" s="9"/>
      <c r="M419" s="10"/>
      <c r="N419" s="86"/>
      <c r="O419" s="242"/>
      <c r="P419" s="243"/>
      <c r="Q419" s="243"/>
      <c r="R419" s="14"/>
      <c r="S419" s="242"/>
      <c r="T419" s="15"/>
      <c r="U419" s="15"/>
      <c r="V419" s="15"/>
      <c r="W419" s="8"/>
      <c r="X419" s="8"/>
      <c r="Y419" s="56"/>
      <c r="Z419" s="56"/>
      <c r="AA419" s="15"/>
      <c r="AB419" s="15"/>
      <c r="AC419" s="15"/>
      <c r="AD419" s="15"/>
      <c r="AE419" s="57"/>
      <c r="AF419" s="57"/>
      <c r="AG419" s="15"/>
      <c r="AH419" s="25"/>
      <c r="AI419" s="26"/>
      <c r="AJ419" s="26"/>
      <c r="AK419" s="27"/>
      <c r="AL419" s="28"/>
      <c r="AM419" s="29"/>
    </row>
    <row r="420" ht="12.75" customHeight="1">
      <c r="A420" s="26"/>
      <c r="B420" s="12"/>
      <c r="C420" s="240"/>
      <c r="D420" s="241"/>
      <c r="E420" s="5"/>
      <c r="F420" s="5"/>
      <c r="G420" s="5"/>
      <c r="H420" s="5"/>
      <c r="I420" s="5"/>
      <c r="J420" s="5"/>
      <c r="K420" s="8"/>
      <c r="L420" s="9"/>
      <c r="M420" s="10"/>
      <c r="N420" s="86"/>
      <c r="O420" s="242"/>
      <c r="P420" s="243"/>
      <c r="Q420" s="243"/>
      <c r="R420" s="14"/>
      <c r="S420" s="242"/>
      <c r="T420" s="15"/>
      <c r="U420" s="15"/>
      <c r="V420" s="15"/>
      <c r="W420" s="8"/>
      <c r="X420" s="8"/>
      <c r="Y420" s="56"/>
      <c r="Z420" s="56"/>
      <c r="AA420" s="15"/>
      <c r="AB420" s="15"/>
      <c r="AC420" s="15"/>
      <c r="AD420" s="15"/>
      <c r="AE420" s="57"/>
      <c r="AF420" s="57"/>
      <c r="AG420" s="15"/>
      <c r="AH420" s="25"/>
      <c r="AI420" s="26"/>
      <c r="AJ420" s="26"/>
      <c r="AK420" s="27"/>
      <c r="AL420" s="28"/>
      <c r="AM420" s="29"/>
    </row>
    <row r="421" ht="12.75" customHeight="1">
      <c r="A421" s="26"/>
      <c r="B421" s="12"/>
      <c r="C421" s="240"/>
      <c r="D421" s="241"/>
      <c r="E421" s="5"/>
      <c r="F421" s="5"/>
      <c r="G421" s="5"/>
      <c r="H421" s="5"/>
      <c r="I421" s="5"/>
      <c r="J421" s="5"/>
      <c r="K421" s="8"/>
      <c r="L421" s="9"/>
      <c r="M421" s="10"/>
      <c r="N421" s="86"/>
      <c r="O421" s="242"/>
      <c r="P421" s="243"/>
      <c r="Q421" s="243"/>
      <c r="R421" s="14"/>
      <c r="S421" s="242"/>
      <c r="T421" s="15"/>
      <c r="U421" s="15"/>
      <c r="V421" s="15"/>
      <c r="W421" s="8"/>
      <c r="X421" s="8"/>
      <c r="Y421" s="56"/>
      <c r="Z421" s="56"/>
      <c r="AA421" s="15"/>
      <c r="AB421" s="15"/>
      <c r="AC421" s="15"/>
      <c r="AD421" s="15"/>
      <c r="AE421" s="57"/>
      <c r="AF421" s="57"/>
      <c r="AG421" s="15"/>
      <c r="AH421" s="25"/>
      <c r="AI421" s="26"/>
      <c r="AJ421" s="26"/>
      <c r="AK421" s="27"/>
      <c r="AL421" s="28"/>
      <c r="AM421" s="29"/>
    </row>
    <row r="422" ht="12.75" customHeight="1">
      <c r="A422" s="26"/>
      <c r="B422" s="12"/>
      <c r="C422" s="240"/>
      <c r="D422" s="241"/>
      <c r="E422" s="5"/>
      <c r="F422" s="5"/>
      <c r="G422" s="5"/>
      <c r="H422" s="5"/>
      <c r="I422" s="5"/>
      <c r="J422" s="5"/>
      <c r="K422" s="8"/>
      <c r="L422" s="9"/>
      <c r="M422" s="10"/>
      <c r="N422" s="86"/>
      <c r="O422" s="242"/>
      <c r="P422" s="243"/>
      <c r="Q422" s="243"/>
      <c r="R422" s="14"/>
      <c r="S422" s="242"/>
      <c r="T422" s="15"/>
      <c r="U422" s="15"/>
      <c r="V422" s="15"/>
      <c r="W422" s="8"/>
      <c r="X422" s="8"/>
      <c r="Y422" s="56"/>
      <c r="Z422" s="56"/>
      <c r="AA422" s="15"/>
      <c r="AB422" s="15"/>
      <c r="AC422" s="15"/>
      <c r="AD422" s="15"/>
      <c r="AE422" s="57"/>
      <c r="AF422" s="57"/>
      <c r="AG422" s="15"/>
      <c r="AH422" s="25"/>
      <c r="AI422" s="26"/>
      <c r="AJ422" s="26"/>
      <c r="AK422" s="27"/>
      <c r="AL422" s="28"/>
      <c r="AM422" s="29"/>
    </row>
    <row r="423" ht="12.75" customHeight="1">
      <c r="A423" s="26"/>
      <c r="B423" s="12"/>
      <c r="C423" s="240"/>
      <c r="D423" s="241"/>
      <c r="E423" s="5"/>
      <c r="F423" s="5"/>
      <c r="G423" s="5"/>
      <c r="H423" s="5"/>
      <c r="I423" s="5"/>
      <c r="J423" s="5"/>
      <c r="K423" s="8"/>
      <c r="L423" s="9"/>
      <c r="M423" s="10"/>
      <c r="N423" s="86"/>
      <c r="O423" s="242"/>
      <c r="P423" s="243"/>
      <c r="Q423" s="243"/>
      <c r="R423" s="14"/>
      <c r="S423" s="242"/>
      <c r="T423" s="15"/>
      <c r="U423" s="15"/>
      <c r="V423" s="15"/>
      <c r="W423" s="8"/>
      <c r="X423" s="8"/>
      <c r="Y423" s="56"/>
      <c r="Z423" s="56"/>
      <c r="AA423" s="15"/>
      <c r="AB423" s="15"/>
      <c r="AC423" s="15"/>
      <c r="AD423" s="15"/>
      <c r="AE423" s="57"/>
      <c r="AF423" s="57"/>
      <c r="AG423" s="15"/>
      <c r="AH423" s="25"/>
      <c r="AI423" s="26"/>
      <c r="AJ423" s="26"/>
      <c r="AK423" s="27"/>
      <c r="AL423" s="28"/>
      <c r="AM423" s="29"/>
    </row>
    <row r="424" ht="12.75" customHeight="1">
      <c r="A424" s="26"/>
      <c r="B424" s="12"/>
      <c r="C424" s="240"/>
      <c r="D424" s="241"/>
      <c r="E424" s="5"/>
      <c r="F424" s="5"/>
      <c r="G424" s="5"/>
      <c r="H424" s="5"/>
      <c r="I424" s="5"/>
      <c r="J424" s="5"/>
      <c r="K424" s="8"/>
      <c r="L424" s="9"/>
      <c r="M424" s="10"/>
      <c r="N424" s="86"/>
      <c r="O424" s="242"/>
      <c r="P424" s="243"/>
      <c r="Q424" s="243"/>
      <c r="R424" s="14"/>
      <c r="S424" s="242"/>
      <c r="T424" s="15"/>
      <c r="U424" s="15"/>
      <c r="V424" s="15"/>
      <c r="W424" s="8"/>
      <c r="X424" s="8"/>
      <c r="Y424" s="56"/>
      <c r="Z424" s="56"/>
      <c r="AA424" s="15"/>
      <c r="AB424" s="15"/>
      <c r="AC424" s="15"/>
      <c r="AD424" s="15"/>
      <c r="AE424" s="57"/>
      <c r="AF424" s="57"/>
      <c r="AG424" s="15"/>
      <c r="AH424" s="25"/>
      <c r="AI424" s="26"/>
      <c r="AJ424" s="26"/>
      <c r="AK424" s="27"/>
      <c r="AL424" s="28"/>
      <c r="AM424" s="29"/>
    </row>
    <row r="425" ht="12.75" customHeight="1">
      <c r="A425" s="26"/>
      <c r="B425" s="12"/>
      <c r="C425" s="240"/>
      <c r="D425" s="241"/>
      <c r="E425" s="5"/>
      <c r="F425" s="5"/>
      <c r="G425" s="5"/>
      <c r="H425" s="5"/>
      <c r="I425" s="5"/>
      <c r="J425" s="5"/>
      <c r="K425" s="8"/>
      <c r="L425" s="9"/>
      <c r="M425" s="10"/>
      <c r="N425" s="86"/>
      <c r="O425" s="242"/>
      <c r="P425" s="243"/>
      <c r="Q425" s="243"/>
      <c r="R425" s="14"/>
      <c r="S425" s="242"/>
      <c r="T425" s="15"/>
      <c r="U425" s="15"/>
      <c r="V425" s="15"/>
      <c r="W425" s="8"/>
      <c r="X425" s="8"/>
      <c r="Y425" s="56"/>
      <c r="Z425" s="56"/>
      <c r="AA425" s="15"/>
      <c r="AB425" s="15"/>
      <c r="AC425" s="15"/>
      <c r="AD425" s="15"/>
      <c r="AE425" s="57"/>
      <c r="AF425" s="57"/>
      <c r="AG425" s="15"/>
      <c r="AH425" s="25"/>
      <c r="AI425" s="26"/>
      <c r="AJ425" s="26"/>
      <c r="AK425" s="27"/>
      <c r="AL425" s="28"/>
      <c r="AM425" s="29"/>
    </row>
    <row r="426" ht="12.75" customHeight="1">
      <c r="A426" s="26"/>
      <c r="B426" s="12"/>
      <c r="C426" s="240"/>
      <c r="D426" s="241"/>
      <c r="E426" s="5"/>
      <c r="F426" s="5"/>
      <c r="G426" s="5"/>
      <c r="H426" s="5"/>
      <c r="I426" s="5"/>
      <c r="J426" s="5"/>
      <c r="K426" s="8"/>
      <c r="L426" s="9"/>
      <c r="M426" s="10"/>
      <c r="N426" s="86"/>
      <c r="O426" s="242"/>
      <c r="P426" s="243"/>
      <c r="Q426" s="243"/>
      <c r="R426" s="14"/>
      <c r="S426" s="242"/>
      <c r="T426" s="15"/>
      <c r="U426" s="15"/>
      <c r="V426" s="15"/>
      <c r="W426" s="8"/>
      <c r="X426" s="8"/>
      <c r="Y426" s="56"/>
      <c r="Z426" s="56"/>
      <c r="AA426" s="15"/>
      <c r="AB426" s="15"/>
      <c r="AC426" s="15"/>
      <c r="AD426" s="15"/>
      <c r="AE426" s="57"/>
      <c r="AF426" s="57"/>
      <c r="AG426" s="15"/>
      <c r="AH426" s="25"/>
      <c r="AI426" s="26"/>
      <c r="AJ426" s="26"/>
      <c r="AK426" s="27"/>
      <c r="AL426" s="28"/>
      <c r="AM426" s="29"/>
    </row>
    <row r="427" ht="12.75" customHeight="1">
      <c r="A427" s="26"/>
      <c r="B427" s="12"/>
      <c r="C427" s="240"/>
      <c r="D427" s="241"/>
      <c r="E427" s="5"/>
      <c r="F427" s="5"/>
      <c r="G427" s="5"/>
      <c r="H427" s="5"/>
      <c r="I427" s="5"/>
      <c r="J427" s="5"/>
      <c r="K427" s="8"/>
      <c r="L427" s="9"/>
      <c r="M427" s="10"/>
      <c r="N427" s="86"/>
      <c r="O427" s="242"/>
      <c r="P427" s="243"/>
      <c r="Q427" s="243"/>
      <c r="R427" s="14"/>
      <c r="S427" s="242"/>
      <c r="T427" s="15"/>
      <c r="U427" s="15"/>
      <c r="V427" s="15"/>
      <c r="W427" s="8"/>
      <c r="X427" s="8"/>
      <c r="Y427" s="56"/>
      <c r="Z427" s="56"/>
      <c r="AA427" s="15"/>
      <c r="AB427" s="15"/>
      <c r="AC427" s="15"/>
      <c r="AD427" s="15"/>
      <c r="AE427" s="57"/>
      <c r="AF427" s="57"/>
      <c r="AG427" s="15"/>
      <c r="AH427" s="25"/>
      <c r="AI427" s="26"/>
      <c r="AJ427" s="26"/>
      <c r="AK427" s="27"/>
      <c r="AL427" s="28"/>
      <c r="AM427" s="29"/>
    </row>
    <row r="428" ht="12.75" customHeight="1">
      <c r="A428" s="26"/>
      <c r="B428" s="12"/>
      <c r="C428" s="240"/>
      <c r="D428" s="241"/>
      <c r="E428" s="5"/>
      <c r="F428" s="5"/>
      <c r="G428" s="5"/>
      <c r="H428" s="5"/>
      <c r="I428" s="5"/>
      <c r="J428" s="5"/>
      <c r="K428" s="8"/>
      <c r="L428" s="9"/>
      <c r="M428" s="10"/>
      <c r="N428" s="86"/>
      <c r="O428" s="242"/>
      <c r="P428" s="243"/>
      <c r="Q428" s="243"/>
      <c r="R428" s="14"/>
      <c r="S428" s="242"/>
      <c r="T428" s="15"/>
      <c r="U428" s="15"/>
      <c r="V428" s="15"/>
      <c r="W428" s="8"/>
      <c r="X428" s="8"/>
      <c r="Y428" s="56"/>
      <c r="Z428" s="56"/>
      <c r="AA428" s="15"/>
      <c r="AB428" s="15"/>
      <c r="AC428" s="15"/>
      <c r="AD428" s="15"/>
      <c r="AE428" s="57"/>
      <c r="AF428" s="57"/>
      <c r="AG428" s="15"/>
      <c r="AH428" s="25"/>
      <c r="AI428" s="26"/>
      <c r="AJ428" s="26"/>
      <c r="AK428" s="27"/>
      <c r="AL428" s="28"/>
      <c r="AM428" s="29"/>
    </row>
    <row r="429" ht="12.75" customHeight="1">
      <c r="A429" s="26"/>
      <c r="B429" s="12"/>
      <c r="C429" s="240"/>
      <c r="D429" s="241"/>
      <c r="E429" s="5"/>
      <c r="F429" s="5"/>
      <c r="G429" s="5"/>
      <c r="H429" s="5"/>
      <c r="I429" s="5"/>
      <c r="J429" s="5"/>
      <c r="K429" s="8"/>
      <c r="L429" s="9"/>
      <c r="M429" s="10"/>
      <c r="N429" s="86"/>
      <c r="O429" s="242"/>
      <c r="P429" s="243"/>
      <c r="Q429" s="243"/>
      <c r="R429" s="14"/>
      <c r="S429" s="242"/>
      <c r="T429" s="15"/>
      <c r="U429" s="15"/>
      <c r="V429" s="15"/>
      <c r="W429" s="8"/>
      <c r="X429" s="8"/>
      <c r="Y429" s="56"/>
      <c r="Z429" s="56"/>
      <c r="AA429" s="15"/>
      <c r="AB429" s="15"/>
      <c r="AC429" s="15"/>
      <c r="AD429" s="15"/>
      <c r="AE429" s="57"/>
      <c r="AF429" s="57"/>
      <c r="AG429" s="15"/>
      <c r="AH429" s="25"/>
      <c r="AI429" s="26"/>
      <c r="AJ429" s="26"/>
      <c r="AK429" s="27"/>
      <c r="AL429" s="28"/>
      <c r="AM429" s="29"/>
    </row>
    <row r="430" ht="12.75" customHeight="1">
      <c r="A430" s="26"/>
      <c r="B430" s="12"/>
      <c r="C430" s="240"/>
      <c r="D430" s="241"/>
      <c r="E430" s="5"/>
      <c r="F430" s="5"/>
      <c r="G430" s="5"/>
      <c r="H430" s="5"/>
      <c r="I430" s="5"/>
      <c r="J430" s="5"/>
      <c r="K430" s="8"/>
      <c r="L430" s="9"/>
      <c r="M430" s="10"/>
      <c r="N430" s="86"/>
      <c r="O430" s="242"/>
      <c r="P430" s="243"/>
      <c r="Q430" s="243"/>
      <c r="R430" s="14"/>
      <c r="S430" s="242"/>
      <c r="T430" s="15"/>
      <c r="U430" s="15"/>
      <c r="V430" s="15"/>
      <c r="W430" s="8"/>
      <c r="X430" s="8"/>
      <c r="Y430" s="56"/>
      <c r="Z430" s="56"/>
      <c r="AA430" s="15"/>
      <c r="AB430" s="15"/>
      <c r="AC430" s="15"/>
      <c r="AD430" s="15"/>
      <c r="AE430" s="57"/>
      <c r="AF430" s="57"/>
      <c r="AG430" s="15"/>
      <c r="AH430" s="25"/>
      <c r="AI430" s="26"/>
      <c r="AJ430" s="26"/>
      <c r="AK430" s="27"/>
      <c r="AL430" s="28"/>
      <c r="AM430" s="29"/>
    </row>
    <row r="431" ht="12.75" customHeight="1">
      <c r="A431" s="26"/>
      <c r="B431" s="12"/>
      <c r="C431" s="240"/>
      <c r="D431" s="241"/>
      <c r="E431" s="5"/>
      <c r="F431" s="5"/>
      <c r="G431" s="5"/>
      <c r="H431" s="5"/>
      <c r="I431" s="5"/>
      <c r="J431" s="5"/>
      <c r="K431" s="8"/>
      <c r="L431" s="9"/>
      <c r="M431" s="10"/>
      <c r="N431" s="86"/>
      <c r="O431" s="242"/>
      <c r="P431" s="243"/>
      <c r="Q431" s="243"/>
      <c r="R431" s="14"/>
      <c r="S431" s="242"/>
      <c r="T431" s="15"/>
      <c r="U431" s="15"/>
      <c r="V431" s="15"/>
      <c r="W431" s="8"/>
      <c r="X431" s="8"/>
      <c r="Y431" s="56"/>
      <c r="Z431" s="56"/>
      <c r="AA431" s="15"/>
      <c r="AB431" s="15"/>
      <c r="AC431" s="15"/>
      <c r="AD431" s="15"/>
      <c r="AE431" s="57"/>
      <c r="AF431" s="57"/>
      <c r="AG431" s="15"/>
      <c r="AH431" s="25"/>
      <c r="AI431" s="26"/>
      <c r="AJ431" s="26"/>
      <c r="AK431" s="27"/>
      <c r="AL431" s="28"/>
      <c r="AM431" s="29"/>
    </row>
    <row r="432" ht="12.75" customHeight="1">
      <c r="A432" s="26"/>
      <c r="B432" s="12"/>
      <c r="C432" s="240"/>
      <c r="D432" s="241"/>
      <c r="E432" s="5"/>
      <c r="F432" s="5"/>
      <c r="G432" s="5"/>
      <c r="H432" s="5"/>
      <c r="I432" s="5"/>
      <c r="J432" s="5"/>
      <c r="K432" s="8"/>
      <c r="L432" s="9"/>
      <c r="M432" s="10"/>
      <c r="N432" s="86"/>
      <c r="O432" s="242"/>
      <c r="P432" s="243"/>
      <c r="Q432" s="243"/>
      <c r="R432" s="14"/>
      <c r="S432" s="242"/>
      <c r="T432" s="15"/>
      <c r="U432" s="15"/>
      <c r="V432" s="15"/>
      <c r="W432" s="8"/>
      <c r="X432" s="8"/>
      <c r="Y432" s="56"/>
      <c r="Z432" s="56"/>
      <c r="AA432" s="15"/>
      <c r="AB432" s="15"/>
      <c r="AC432" s="15"/>
      <c r="AD432" s="15"/>
      <c r="AE432" s="57"/>
      <c r="AF432" s="57"/>
      <c r="AG432" s="15"/>
      <c r="AH432" s="25"/>
      <c r="AI432" s="26"/>
      <c r="AJ432" s="26"/>
      <c r="AK432" s="27"/>
      <c r="AL432" s="28"/>
      <c r="AM432" s="29"/>
    </row>
    <row r="433" ht="12.75" customHeight="1">
      <c r="A433" s="26"/>
      <c r="B433" s="12"/>
      <c r="C433" s="240"/>
      <c r="D433" s="241"/>
      <c r="E433" s="5"/>
      <c r="F433" s="5"/>
      <c r="G433" s="5"/>
      <c r="H433" s="5"/>
      <c r="I433" s="5"/>
      <c r="J433" s="5"/>
      <c r="K433" s="8"/>
      <c r="L433" s="9"/>
      <c r="M433" s="10"/>
      <c r="N433" s="86"/>
      <c r="O433" s="242"/>
      <c r="P433" s="243"/>
      <c r="Q433" s="243"/>
      <c r="R433" s="14"/>
      <c r="S433" s="242"/>
      <c r="T433" s="15"/>
      <c r="U433" s="15"/>
      <c r="V433" s="15"/>
      <c r="W433" s="8"/>
      <c r="X433" s="8"/>
      <c r="Y433" s="56"/>
      <c r="Z433" s="56"/>
      <c r="AA433" s="15"/>
      <c r="AB433" s="15"/>
      <c r="AC433" s="15"/>
      <c r="AD433" s="15"/>
      <c r="AE433" s="57"/>
      <c r="AF433" s="57"/>
      <c r="AG433" s="15"/>
      <c r="AH433" s="25"/>
      <c r="AI433" s="26"/>
      <c r="AJ433" s="26"/>
      <c r="AK433" s="27"/>
      <c r="AL433" s="28"/>
      <c r="AM433" s="29"/>
    </row>
    <row r="434" ht="12.75" customHeight="1">
      <c r="A434" s="26"/>
      <c r="B434" s="12"/>
      <c r="C434" s="240"/>
      <c r="D434" s="241"/>
      <c r="E434" s="5"/>
      <c r="F434" s="5"/>
      <c r="G434" s="5"/>
      <c r="H434" s="5"/>
      <c r="I434" s="5"/>
      <c r="J434" s="5"/>
      <c r="K434" s="8"/>
      <c r="L434" s="9"/>
      <c r="M434" s="10"/>
      <c r="N434" s="86"/>
      <c r="O434" s="242"/>
      <c r="P434" s="243"/>
      <c r="Q434" s="243"/>
      <c r="R434" s="14"/>
      <c r="S434" s="242"/>
      <c r="T434" s="15"/>
      <c r="U434" s="15"/>
      <c r="V434" s="15"/>
      <c r="W434" s="8"/>
      <c r="X434" s="8"/>
      <c r="Y434" s="56"/>
      <c r="Z434" s="56"/>
      <c r="AA434" s="15"/>
      <c r="AB434" s="15"/>
      <c r="AC434" s="15"/>
      <c r="AD434" s="15"/>
      <c r="AE434" s="57"/>
      <c r="AF434" s="57"/>
      <c r="AG434" s="15"/>
      <c r="AH434" s="25"/>
      <c r="AI434" s="26"/>
      <c r="AJ434" s="26"/>
      <c r="AK434" s="27"/>
      <c r="AL434" s="28"/>
      <c r="AM434" s="29"/>
    </row>
    <row r="435" ht="12.75" customHeight="1">
      <c r="A435" s="26"/>
      <c r="B435" s="12"/>
      <c r="C435" s="240"/>
      <c r="D435" s="241"/>
      <c r="E435" s="5"/>
      <c r="F435" s="5"/>
      <c r="G435" s="5"/>
      <c r="H435" s="5"/>
      <c r="I435" s="5"/>
      <c r="J435" s="5"/>
      <c r="K435" s="8"/>
      <c r="L435" s="9"/>
      <c r="M435" s="10"/>
      <c r="N435" s="86"/>
      <c r="O435" s="242"/>
      <c r="P435" s="243"/>
      <c r="Q435" s="243"/>
      <c r="R435" s="14"/>
      <c r="S435" s="242"/>
      <c r="T435" s="15"/>
      <c r="U435" s="15"/>
      <c r="V435" s="15"/>
      <c r="W435" s="8"/>
      <c r="X435" s="8"/>
      <c r="Y435" s="56"/>
      <c r="Z435" s="56"/>
      <c r="AA435" s="15"/>
      <c r="AB435" s="15"/>
      <c r="AC435" s="15"/>
      <c r="AD435" s="15"/>
      <c r="AE435" s="57"/>
      <c r="AF435" s="57"/>
      <c r="AG435" s="15"/>
      <c r="AH435" s="25"/>
      <c r="AI435" s="26"/>
      <c r="AJ435" s="26"/>
      <c r="AK435" s="27"/>
      <c r="AL435" s="28"/>
      <c r="AM435" s="29"/>
    </row>
    <row r="436" ht="12.75" customHeight="1">
      <c r="A436" s="26"/>
      <c r="B436" s="12"/>
      <c r="C436" s="240"/>
      <c r="D436" s="241"/>
      <c r="E436" s="5"/>
      <c r="F436" s="5"/>
      <c r="G436" s="5"/>
      <c r="H436" s="5"/>
      <c r="I436" s="5"/>
      <c r="J436" s="5"/>
      <c r="K436" s="8"/>
      <c r="L436" s="9"/>
      <c r="M436" s="10"/>
      <c r="N436" s="86"/>
      <c r="O436" s="242"/>
      <c r="P436" s="243"/>
      <c r="Q436" s="243"/>
      <c r="R436" s="14"/>
      <c r="S436" s="242"/>
      <c r="T436" s="15"/>
      <c r="U436" s="15"/>
      <c r="V436" s="15"/>
      <c r="W436" s="8"/>
      <c r="X436" s="8"/>
      <c r="Y436" s="56"/>
      <c r="Z436" s="56"/>
      <c r="AA436" s="15"/>
      <c r="AB436" s="15"/>
      <c r="AC436" s="15"/>
      <c r="AD436" s="15"/>
      <c r="AE436" s="57"/>
      <c r="AF436" s="57"/>
      <c r="AG436" s="15"/>
      <c r="AH436" s="25"/>
      <c r="AI436" s="26"/>
      <c r="AJ436" s="26"/>
      <c r="AK436" s="27"/>
      <c r="AL436" s="28"/>
      <c r="AM436" s="29"/>
    </row>
    <row r="437" ht="12.75" customHeight="1">
      <c r="A437" s="26"/>
      <c r="B437" s="12"/>
      <c r="C437" s="240"/>
      <c r="D437" s="241"/>
      <c r="E437" s="5"/>
      <c r="F437" s="5"/>
      <c r="G437" s="5"/>
      <c r="H437" s="5"/>
      <c r="I437" s="5"/>
      <c r="J437" s="5"/>
      <c r="K437" s="8"/>
      <c r="L437" s="9"/>
      <c r="M437" s="10"/>
      <c r="N437" s="86"/>
      <c r="O437" s="242"/>
      <c r="P437" s="243"/>
      <c r="Q437" s="243"/>
      <c r="R437" s="14"/>
      <c r="S437" s="242"/>
      <c r="T437" s="15"/>
      <c r="U437" s="15"/>
      <c r="V437" s="15"/>
      <c r="W437" s="8"/>
      <c r="X437" s="8"/>
      <c r="Y437" s="56"/>
      <c r="Z437" s="56"/>
      <c r="AA437" s="15"/>
      <c r="AB437" s="15"/>
      <c r="AC437" s="15"/>
      <c r="AD437" s="15"/>
      <c r="AE437" s="57"/>
      <c r="AF437" s="57"/>
      <c r="AG437" s="15"/>
      <c r="AH437" s="25"/>
      <c r="AI437" s="26"/>
      <c r="AJ437" s="26"/>
      <c r="AK437" s="27"/>
      <c r="AL437" s="28"/>
      <c r="AM437" s="29"/>
    </row>
    <row r="438" ht="12.75" customHeight="1">
      <c r="A438" s="26"/>
      <c r="B438" s="12"/>
      <c r="C438" s="240"/>
      <c r="D438" s="241"/>
      <c r="E438" s="5"/>
      <c r="F438" s="5"/>
      <c r="G438" s="5"/>
      <c r="H438" s="5"/>
      <c r="I438" s="5"/>
      <c r="J438" s="5"/>
      <c r="K438" s="8"/>
      <c r="L438" s="9"/>
      <c r="M438" s="10"/>
      <c r="N438" s="86"/>
      <c r="O438" s="242"/>
      <c r="P438" s="243"/>
      <c r="Q438" s="243"/>
      <c r="R438" s="14"/>
      <c r="S438" s="242"/>
      <c r="T438" s="15"/>
      <c r="U438" s="15"/>
      <c r="V438" s="15"/>
      <c r="W438" s="8"/>
      <c r="X438" s="8"/>
      <c r="Y438" s="56"/>
      <c r="Z438" s="56"/>
      <c r="AA438" s="15"/>
      <c r="AB438" s="15"/>
      <c r="AC438" s="15"/>
      <c r="AD438" s="15"/>
      <c r="AE438" s="57"/>
      <c r="AF438" s="57"/>
      <c r="AG438" s="15"/>
      <c r="AH438" s="25"/>
      <c r="AI438" s="26"/>
      <c r="AJ438" s="26"/>
      <c r="AK438" s="27"/>
      <c r="AL438" s="28"/>
      <c r="AM438" s="29"/>
    </row>
    <row r="439" ht="12.75" customHeight="1">
      <c r="A439" s="26"/>
      <c r="B439" s="12"/>
      <c r="C439" s="240"/>
      <c r="D439" s="241"/>
      <c r="E439" s="5"/>
      <c r="F439" s="5"/>
      <c r="G439" s="5"/>
      <c r="H439" s="5"/>
      <c r="I439" s="5"/>
      <c r="J439" s="5"/>
      <c r="K439" s="8"/>
      <c r="L439" s="9"/>
      <c r="M439" s="10"/>
      <c r="N439" s="86"/>
      <c r="O439" s="242"/>
      <c r="P439" s="243"/>
      <c r="Q439" s="243"/>
      <c r="R439" s="14"/>
      <c r="S439" s="242"/>
      <c r="T439" s="15"/>
      <c r="U439" s="15"/>
      <c r="V439" s="15"/>
      <c r="W439" s="8"/>
      <c r="X439" s="8"/>
      <c r="Y439" s="56"/>
      <c r="Z439" s="56"/>
      <c r="AA439" s="15"/>
      <c r="AB439" s="15"/>
      <c r="AC439" s="15"/>
      <c r="AD439" s="15"/>
      <c r="AE439" s="57"/>
      <c r="AF439" s="57"/>
      <c r="AG439" s="15"/>
      <c r="AH439" s="25"/>
      <c r="AI439" s="26"/>
      <c r="AJ439" s="26"/>
      <c r="AK439" s="27"/>
      <c r="AL439" s="28"/>
      <c r="AM439" s="29"/>
    </row>
    <row r="440" ht="12.75" customHeight="1">
      <c r="A440" s="26"/>
      <c r="B440" s="12"/>
      <c r="C440" s="240"/>
      <c r="D440" s="241"/>
      <c r="E440" s="5"/>
      <c r="F440" s="5"/>
      <c r="G440" s="5"/>
      <c r="H440" s="5"/>
      <c r="I440" s="5"/>
      <c r="J440" s="5"/>
      <c r="K440" s="8"/>
      <c r="L440" s="9"/>
      <c r="M440" s="10"/>
      <c r="N440" s="86"/>
      <c r="O440" s="242"/>
      <c r="P440" s="243"/>
      <c r="Q440" s="243"/>
      <c r="R440" s="14"/>
      <c r="S440" s="242"/>
      <c r="T440" s="15"/>
      <c r="U440" s="15"/>
      <c r="V440" s="15"/>
      <c r="W440" s="8"/>
      <c r="X440" s="8"/>
      <c r="Y440" s="56"/>
      <c r="Z440" s="56"/>
      <c r="AA440" s="15"/>
      <c r="AB440" s="15"/>
      <c r="AC440" s="15"/>
      <c r="AD440" s="15"/>
      <c r="AE440" s="57"/>
      <c r="AF440" s="57"/>
      <c r="AG440" s="15"/>
      <c r="AH440" s="25"/>
      <c r="AI440" s="26"/>
      <c r="AJ440" s="26"/>
      <c r="AK440" s="27"/>
      <c r="AL440" s="28"/>
      <c r="AM440" s="29"/>
    </row>
    <row r="441" ht="12.75" customHeight="1">
      <c r="A441" s="26"/>
      <c r="B441" s="12"/>
      <c r="C441" s="240"/>
      <c r="D441" s="241"/>
      <c r="E441" s="5"/>
      <c r="F441" s="5"/>
      <c r="G441" s="5"/>
      <c r="H441" s="5"/>
      <c r="I441" s="5"/>
      <c r="J441" s="5"/>
      <c r="K441" s="8"/>
      <c r="L441" s="9"/>
      <c r="M441" s="10"/>
      <c r="N441" s="86"/>
      <c r="O441" s="242"/>
      <c r="P441" s="243"/>
      <c r="Q441" s="243"/>
      <c r="R441" s="14"/>
      <c r="S441" s="242"/>
      <c r="T441" s="15"/>
      <c r="U441" s="15"/>
      <c r="V441" s="15"/>
      <c r="W441" s="8"/>
      <c r="X441" s="8"/>
      <c r="Y441" s="56"/>
      <c r="Z441" s="56"/>
      <c r="AA441" s="15"/>
      <c r="AB441" s="15"/>
      <c r="AC441" s="15"/>
      <c r="AD441" s="15"/>
      <c r="AE441" s="57"/>
      <c r="AF441" s="57"/>
      <c r="AG441" s="15"/>
      <c r="AH441" s="25"/>
      <c r="AI441" s="26"/>
      <c r="AJ441" s="26"/>
      <c r="AK441" s="27"/>
      <c r="AL441" s="28"/>
      <c r="AM441" s="29"/>
    </row>
    <row r="442" ht="12.75" customHeight="1">
      <c r="A442" s="26"/>
      <c r="B442" s="12"/>
      <c r="C442" s="240"/>
      <c r="D442" s="241"/>
      <c r="E442" s="5"/>
      <c r="F442" s="5"/>
      <c r="G442" s="5"/>
      <c r="H442" s="5"/>
      <c r="I442" s="5"/>
      <c r="J442" s="5"/>
      <c r="K442" s="8"/>
      <c r="L442" s="9"/>
      <c r="M442" s="10"/>
      <c r="N442" s="86"/>
      <c r="O442" s="242"/>
      <c r="P442" s="243"/>
      <c r="Q442" s="243"/>
      <c r="R442" s="14"/>
      <c r="S442" s="242"/>
      <c r="T442" s="15"/>
      <c r="U442" s="15"/>
      <c r="V442" s="15"/>
      <c r="W442" s="8"/>
      <c r="X442" s="8"/>
      <c r="Y442" s="56"/>
      <c r="Z442" s="56"/>
      <c r="AA442" s="15"/>
      <c r="AB442" s="15"/>
      <c r="AC442" s="15"/>
      <c r="AD442" s="15"/>
      <c r="AE442" s="57"/>
      <c r="AF442" s="57"/>
      <c r="AG442" s="15"/>
      <c r="AH442" s="25"/>
      <c r="AI442" s="26"/>
      <c r="AJ442" s="26"/>
      <c r="AK442" s="27"/>
      <c r="AL442" s="28"/>
      <c r="AM442" s="29"/>
    </row>
    <row r="443" ht="12.75" customHeight="1">
      <c r="A443" s="26"/>
      <c r="B443" s="12"/>
      <c r="C443" s="240"/>
      <c r="D443" s="241"/>
      <c r="E443" s="5"/>
      <c r="F443" s="5"/>
      <c r="G443" s="5"/>
      <c r="H443" s="5"/>
      <c r="I443" s="5"/>
      <c r="J443" s="5"/>
      <c r="K443" s="8"/>
      <c r="L443" s="9"/>
      <c r="M443" s="10"/>
      <c r="N443" s="86"/>
      <c r="O443" s="242"/>
      <c r="P443" s="243"/>
      <c r="Q443" s="243"/>
      <c r="R443" s="14"/>
      <c r="S443" s="242"/>
      <c r="T443" s="15"/>
      <c r="U443" s="15"/>
      <c r="V443" s="15"/>
      <c r="W443" s="8"/>
      <c r="X443" s="8"/>
      <c r="Y443" s="56"/>
      <c r="Z443" s="56"/>
      <c r="AA443" s="15"/>
      <c r="AB443" s="15"/>
      <c r="AC443" s="15"/>
      <c r="AD443" s="15"/>
      <c r="AE443" s="57"/>
      <c r="AF443" s="57"/>
      <c r="AG443" s="15"/>
      <c r="AH443" s="25"/>
      <c r="AI443" s="26"/>
      <c r="AJ443" s="26"/>
      <c r="AK443" s="27"/>
      <c r="AL443" s="28"/>
      <c r="AM443" s="29"/>
    </row>
    <row r="444" ht="12.75" customHeight="1">
      <c r="A444" s="26"/>
      <c r="B444" s="12"/>
      <c r="C444" s="240"/>
      <c r="D444" s="241"/>
      <c r="E444" s="5"/>
      <c r="F444" s="5"/>
      <c r="G444" s="5"/>
      <c r="H444" s="5"/>
      <c r="I444" s="5"/>
      <c r="J444" s="5"/>
      <c r="K444" s="8"/>
      <c r="L444" s="9"/>
      <c r="M444" s="10"/>
      <c r="N444" s="86"/>
      <c r="O444" s="242"/>
      <c r="P444" s="243"/>
      <c r="Q444" s="243"/>
      <c r="R444" s="14"/>
      <c r="S444" s="242"/>
      <c r="T444" s="15"/>
      <c r="U444" s="15"/>
      <c r="V444" s="15"/>
      <c r="W444" s="8"/>
      <c r="X444" s="8"/>
      <c r="Y444" s="56"/>
      <c r="Z444" s="56"/>
      <c r="AA444" s="15"/>
      <c r="AB444" s="15"/>
      <c r="AC444" s="15"/>
      <c r="AD444" s="15"/>
      <c r="AE444" s="57"/>
      <c r="AF444" s="57"/>
      <c r="AG444" s="15"/>
      <c r="AH444" s="25"/>
      <c r="AI444" s="26"/>
      <c r="AJ444" s="26"/>
      <c r="AK444" s="27"/>
      <c r="AL444" s="28"/>
      <c r="AM444" s="29"/>
    </row>
    <row r="445" ht="12.75" customHeight="1">
      <c r="A445" s="26"/>
      <c r="B445" s="12"/>
      <c r="C445" s="240"/>
      <c r="D445" s="241"/>
      <c r="E445" s="5"/>
      <c r="F445" s="5"/>
      <c r="G445" s="5"/>
      <c r="H445" s="5"/>
      <c r="I445" s="5"/>
      <c r="J445" s="5"/>
      <c r="K445" s="8"/>
      <c r="L445" s="9"/>
      <c r="M445" s="10"/>
      <c r="N445" s="86"/>
      <c r="O445" s="242"/>
      <c r="P445" s="243"/>
      <c r="Q445" s="243"/>
      <c r="R445" s="14"/>
      <c r="S445" s="242"/>
      <c r="T445" s="15"/>
      <c r="U445" s="15"/>
      <c r="V445" s="15"/>
      <c r="W445" s="8"/>
      <c r="X445" s="8"/>
      <c r="Y445" s="56"/>
      <c r="Z445" s="56"/>
      <c r="AA445" s="15"/>
      <c r="AB445" s="15"/>
      <c r="AC445" s="15"/>
      <c r="AD445" s="15"/>
      <c r="AE445" s="57"/>
      <c r="AF445" s="57"/>
      <c r="AG445" s="15"/>
      <c r="AH445" s="25"/>
      <c r="AI445" s="26"/>
      <c r="AJ445" s="26"/>
      <c r="AK445" s="27"/>
      <c r="AL445" s="28"/>
      <c r="AM445" s="29"/>
    </row>
    <row r="446" ht="12.75" customHeight="1">
      <c r="A446" s="26"/>
      <c r="B446" s="12"/>
      <c r="C446" s="240"/>
      <c r="D446" s="241"/>
      <c r="E446" s="5"/>
      <c r="F446" s="5"/>
      <c r="G446" s="5"/>
      <c r="H446" s="5"/>
      <c r="I446" s="5"/>
      <c r="J446" s="5"/>
      <c r="K446" s="8"/>
      <c r="L446" s="9"/>
      <c r="M446" s="10"/>
      <c r="N446" s="86"/>
      <c r="O446" s="242"/>
      <c r="P446" s="243"/>
      <c r="Q446" s="243"/>
      <c r="R446" s="14"/>
      <c r="S446" s="242"/>
      <c r="T446" s="15"/>
      <c r="U446" s="15"/>
      <c r="V446" s="15"/>
      <c r="W446" s="8"/>
      <c r="X446" s="8"/>
      <c r="Y446" s="56"/>
      <c r="Z446" s="56"/>
      <c r="AA446" s="15"/>
      <c r="AB446" s="15"/>
      <c r="AC446" s="15"/>
      <c r="AD446" s="15"/>
      <c r="AE446" s="57"/>
      <c r="AF446" s="57"/>
      <c r="AG446" s="15"/>
      <c r="AH446" s="25"/>
      <c r="AI446" s="26"/>
      <c r="AJ446" s="26"/>
      <c r="AK446" s="27"/>
      <c r="AL446" s="28"/>
      <c r="AM446" s="29"/>
    </row>
    <row r="447" ht="12.75" customHeight="1">
      <c r="A447" s="26"/>
      <c r="B447" s="12"/>
      <c r="C447" s="240"/>
      <c r="D447" s="241"/>
      <c r="E447" s="5"/>
      <c r="F447" s="5"/>
      <c r="G447" s="5"/>
      <c r="H447" s="5"/>
      <c r="I447" s="5"/>
      <c r="J447" s="5"/>
      <c r="K447" s="8"/>
      <c r="L447" s="9"/>
      <c r="M447" s="10"/>
      <c r="N447" s="86"/>
      <c r="O447" s="242"/>
      <c r="P447" s="243"/>
      <c r="Q447" s="243"/>
      <c r="R447" s="14"/>
      <c r="S447" s="242"/>
      <c r="T447" s="15"/>
      <c r="U447" s="15"/>
      <c r="V447" s="15"/>
      <c r="W447" s="8"/>
      <c r="X447" s="8"/>
      <c r="Y447" s="56"/>
      <c r="Z447" s="56"/>
      <c r="AA447" s="15"/>
      <c r="AB447" s="15"/>
      <c r="AC447" s="15"/>
      <c r="AD447" s="15"/>
      <c r="AE447" s="57"/>
      <c r="AF447" s="57"/>
      <c r="AG447" s="15"/>
      <c r="AH447" s="25"/>
      <c r="AI447" s="26"/>
      <c r="AJ447" s="26"/>
      <c r="AK447" s="27"/>
      <c r="AL447" s="28"/>
      <c r="AM447" s="29"/>
    </row>
    <row r="448" ht="12.75" customHeight="1">
      <c r="A448" s="26"/>
      <c r="B448" s="12"/>
      <c r="C448" s="240"/>
      <c r="D448" s="241"/>
      <c r="E448" s="5"/>
      <c r="F448" s="5"/>
      <c r="G448" s="5"/>
      <c r="H448" s="5"/>
      <c r="I448" s="5"/>
      <c r="J448" s="5"/>
      <c r="K448" s="8"/>
      <c r="L448" s="9"/>
      <c r="M448" s="10"/>
      <c r="N448" s="86"/>
      <c r="O448" s="242"/>
      <c r="P448" s="243"/>
      <c r="Q448" s="243"/>
      <c r="R448" s="14"/>
      <c r="S448" s="242"/>
      <c r="T448" s="15"/>
      <c r="U448" s="15"/>
      <c r="V448" s="15"/>
      <c r="W448" s="8"/>
      <c r="X448" s="8"/>
      <c r="Y448" s="56"/>
      <c r="Z448" s="56"/>
      <c r="AA448" s="15"/>
      <c r="AB448" s="15"/>
      <c r="AC448" s="15"/>
      <c r="AD448" s="15"/>
      <c r="AE448" s="57"/>
      <c r="AF448" s="57"/>
      <c r="AG448" s="15"/>
      <c r="AH448" s="25"/>
      <c r="AI448" s="26"/>
      <c r="AJ448" s="26"/>
      <c r="AK448" s="27"/>
      <c r="AL448" s="28"/>
      <c r="AM448" s="29"/>
    </row>
    <row r="449" ht="12.75" customHeight="1">
      <c r="A449" s="26"/>
      <c r="B449" s="12"/>
      <c r="C449" s="240"/>
      <c r="D449" s="241"/>
      <c r="E449" s="5"/>
      <c r="F449" s="5"/>
      <c r="G449" s="5"/>
      <c r="H449" s="5"/>
      <c r="I449" s="5"/>
      <c r="J449" s="5"/>
      <c r="K449" s="8"/>
      <c r="L449" s="9"/>
      <c r="M449" s="10"/>
      <c r="N449" s="86"/>
      <c r="O449" s="242"/>
      <c r="P449" s="243"/>
      <c r="Q449" s="243"/>
      <c r="R449" s="14"/>
      <c r="S449" s="242"/>
      <c r="T449" s="15"/>
      <c r="U449" s="15"/>
      <c r="V449" s="15"/>
      <c r="W449" s="8"/>
      <c r="X449" s="8"/>
      <c r="Y449" s="56"/>
      <c r="Z449" s="56"/>
      <c r="AA449" s="15"/>
      <c r="AB449" s="15"/>
      <c r="AC449" s="15"/>
      <c r="AD449" s="15"/>
      <c r="AE449" s="57"/>
      <c r="AF449" s="57"/>
      <c r="AG449" s="15"/>
      <c r="AH449" s="25"/>
      <c r="AI449" s="26"/>
      <c r="AJ449" s="26"/>
      <c r="AK449" s="27"/>
      <c r="AL449" s="28"/>
      <c r="AM449" s="29"/>
    </row>
    <row r="450" ht="12.75" customHeight="1">
      <c r="A450" s="26"/>
      <c r="B450" s="12"/>
      <c r="C450" s="240"/>
      <c r="D450" s="241"/>
      <c r="E450" s="5"/>
      <c r="F450" s="5"/>
      <c r="G450" s="5"/>
      <c r="H450" s="5"/>
      <c r="I450" s="5"/>
      <c r="J450" s="5"/>
      <c r="K450" s="8"/>
      <c r="L450" s="9"/>
      <c r="M450" s="10"/>
      <c r="N450" s="86"/>
      <c r="O450" s="242"/>
      <c r="P450" s="243"/>
      <c r="Q450" s="243"/>
      <c r="R450" s="14"/>
      <c r="S450" s="242"/>
      <c r="T450" s="15"/>
      <c r="U450" s="15"/>
      <c r="V450" s="15"/>
      <c r="W450" s="8"/>
      <c r="X450" s="8"/>
      <c r="Y450" s="56"/>
      <c r="Z450" s="56"/>
      <c r="AA450" s="15"/>
      <c r="AB450" s="15"/>
      <c r="AC450" s="15"/>
      <c r="AD450" s="15"/>
      <c r="AE450" s="57"/>
      <c r="AF450" s="57"/>
      <c r="AG450" s="15"/>
      <c r="AH450" s="25"/>
      <c r="AI450" s="26"/>
      <c r="AJ450" s="26"/>
      <c r="AK450" s="27"/>
      <c r="AL450" s="28"/>
      <c r="AM450" s="29"/>
    </row>
    <row r="451" ht="12.75" customHeight="1">
      <c r="A451" s="26"/>
      <c r="B451" s="12"/>
      <c r="C451" s="240"/>
      <c r="D451" s="241"/>
      <c r="E451" s="5"/>
      <c r="F451" s="5"/>
      <c r="G451" s="5"/>
      <c r="H451" s="5"/>
      <c r="I451" s="5"/>
      <c r="J451" s="5"/>
      <c r="K451" s="8"/>
      <c r="L451" s="9"/>
      <c r="M451" s="10"/>
      <c r="N451" s="86"/>
      <c r="O451" s="242"/>
      <c r="P451" s="243"/>
      <c r="Q451" s="243"/>
      <c r="R451" s="14"/>
      <c r="S451" s="242"/>
      <c r="T451" s="15"/>
      <c r="U451" s="15"/>
      <c r="V451" s="15"/>
      <c r="W451" s="8"/>
      <c r="X451" s="8"/>
      <c r="Y451" s="56"/>
      <c r="Z451" s="56"/>
      <c r="AA451" s="15"/>
      <c r="AB451" s="15"/>
      <c r="AC451" s="15"/>
      <c r="AD451" s="15"/>
      <c r="AE451" s="57"/>
      <c r="AF451" s="57"/>
      <c r="AG451" s="15"/>
      <c r="AH451" s="25"/>
      <c r="AI451" s="26"/>
      <c r="AJ451" s="26"/>
      <c r="AK451" s="27"/>
      <c r="AL451" s="28"/>
      <c r="AM451" s="29"/>
    </row>
    <row r="452" ht="12.75" customHeight="1">
      <c r="A452" s="26"/>
      <c r="B452" s="12"/>
      <c r="C452" s="240"/>
      <c r="D452" s="241"/>
      <c r="E452" s="5"/>
      <c r="F452" s="5"/>
      <c r="G452" s="5"/>
      <c r="H452" s="5"/>
      <c r="I452" s="5"/>
      <c r="J452" s="5"/>
      <c r="K452" s="8"/>
      <c r="L452" s="9"/>
      <c r="M452" s="10"/>
      <c r="N452" s="86"/>
      <c r="O452" s="242"/>
      <c r="P452" s="243"/>
      <c r="Q452" s="243"/>
      <c r="R452" s="14"/>
      <c r="S452" s="242"/>
      <c r="T452" s="15"/>
      <c r="U452" s="15"/>
      <c r="V452" s="15"/>
      <c r="W452" s="8"/>
      <c r="X452" s="8"/>
      <c r="Y452" s="56"/>
      <c r="Z452" s="56"/>
      <c r="AA452" s="15"/>
      <c r="AB452" s="15"/>
      <c r="AC452" s="15"/>
      <c r="AD452" s="15"/>
      <c r="AE452" s="57"/>
      <c r="AF452" s="57"/>
      <c r="AG452" s="15"/>
      <c r="AH452" s="25"/>
      <c r="AI452" s="26"/>
      <c r="AJ452" s="26"/>
      <c r="AK452" s="27"/>
      <c r="AL452" s="28"/>
      <c r="AM452" s="29"/>
    </row>
    <row r="453" ht="12.75" customHeight="1">
      <c r="A453" s="26"/>
      <c r="B453" s="12"/>
      <c r="C453" s="240"/>
      <c r="D453" s="241"/>
      <c r="E453" s="5"/>
      <c r="F453" s="5"/>
      <c r="G453" s="5"/>
      <c r="H453" s="5"/>
      <c r="I453" s="5"/>
      <c r="J453" s="5"/>
      <c r="K453" s="8"/>
      <c r="L453" s="9"/>
      <c r="M453" s="10"/>
      <c r="N453" s="86"/>
      <c r="O453" s="242"/>
      <c r="P453" s="243"/>
      <c r="Q453" s="243"/>
      <c r="R453" s="14"/>
      <c r="S453" s="242"/>
      <c r="T453" s="15"/>
      <c r="U453" s="15"/>
      <c r="V453" s="15"/>
      <c r="W453" s="8"/>
      <c r="X453" s="8"/>
      <c r="Y453" s="56"/>
      <c r="Z453" s="56"/>
      <c r="AA453" s="15"/>
      <c r="AB453" s="15"/>
      <c r="AC453" s="15"/>
      <c r="AD453" s="15"/>
      <c r="AE453" s="57"/>
      <c r="AF453" s="57"/>
      <c r="AG453" s="15"/>
      <c r="AH453" s="25"/>
      <c r="AI453" s="26"/>
      <c r="AJ453" s="26"/>
      <c r="AK453" s="27"/>
      <c r="AL453" s="28"/>
      <c r="AM453" s="29"/>
    </row>
    <row r="454" ht="12.75" customHeight="1">
      <c r="A454" s="26"/>
      <c r="B454" s="12"/>
      <c r="C454" s="240"/>
      <c r="D454" s="241"/>
      <c r="E454" s="5"/>
      <c r="F454" s="5"/>
      <c r="G454" s="5"/>
      <c r="H454" s="5"/>
      <c r="I454" s="5"/>
      <c r="J454" s="5"/>
      <c r="K454" s="8"/>
      <c r="L454" s="9"/>
      <c r="M454" s="10"/>
      <c r="N454" s="86"/>
      <c r="O454" s="242"/>
      <c r="P454" s="243"/>
      <c r="Q454" s="243"/>
      <c r="R454" s="14"/>
      <c r="S454" s="242"/>
      <c r="T454" s="15"/>
      <c r="U454" s="15"/>
      <c r="V454" s="15"/>
      <c r="W454" s="8"/>
      <c r="X454" s="8"/>
      <c r="Y454" s="56"/>
      <c r="Z454" s="56"/>
      <c r="AA454" s="15"/>
      <c r="AB454" s="15"/>
      <c r="AC454" s="15"/>
      <c r="AD454" s="15"/>
      <c r="AE454" s="57"/>
      <c r="AF454" s="57"/>
      <c r="AG454" s="15"/>
      <c r="AH454" s="25"/>
      <c r="AI454" s="26"/>
      <c r="AJ454" s="26"/>
      <c r="AK454" s="27"/>
      <c r="AL454" s="28"/>
      <c r="AM454" s="29"/>
    </row>
    <row r="455" ht="12.75" customHeight="1">
      <c r="A455" s="26"/>
      <c r="B455" s="12"/>
      <c r="C455" s="240"/>
      <c r="D455" s="241"/>
      <c r="E455" s="5"/>
      <c r="F455" s="5"/>
      <c r="G455" s="5"/>
      <c r="H455" s="5"/>
      <c r="I455" s="5"/>
      <c r="J455" s="5"/>
      <c r="K455" s="8"/>
      <c r="L455" s="9"/>
      <c r="M455" s="10"/>
      <c r="N455" s="86"/>
      <c r="O455" s="242"/>
      <c r="P455" s="243"/>
      <c r="Q455" s="243"/>
      <c r="R455" s="14"/>
      <c r="S455" s="242"/>
      <c r="T455" s="15"/>
      <c r="U455" s="15"/>
      <c r="V455" s="15"/>
      <c r="W455" s="8"/>
      <c r="X455" s="8"/>
      <c r="Y455" s="56"/>
      <c r="Z455" s="56"/>
      <c r="AA455" s="15"/>
      <c r="AB455" s="15"/>
      <c r="AC455" s="15"/>
      <c r="AD455" s="15"/>
      <c r="AE455" s="57"/>
      <c r="AF455" s="57"/>
      <c r="AG455" s="15"/>
      <c r="AH455" s="25"/>
      <c r="AI455" s="26"/>
      <c r="AJ455" s="26"/>
      <c r="AK455" s="27"/>
      <c r="AL455" s="28"/>
      <c r="AM455" s="29"/>
    </row>
    <row r="456" ht="12.75" customHeight="1">
      <c r="A456" s="26"/>
      <c r="B456" s="12"/>
      <c r="C456" s="240"/>
      <c r="D456" s="241"/>
      <c r="E456" s="5"/>
      <c r="F456" s="5"/>
      <c r="G456" s="5"/>
      <c r="H456" s="5"/>
      <c r="I456" s="5"/>
      <c r="J456" s="5"/>
      <c r="K456" s="8"/>
      <c r="L456" s="9"/>
      <c r="M456" s="10"/>
      <c r="N456" s="86"/>
      <c r="O456" s="242"/>
      <c r="P456" s="243"/>
      <c r="Q456" s="243"/>
      <c r="R456" s="14"/>
      <c r="S456" s="242"/>
      <c r="T456" s="15"/>
      <c r="U456" s="15"/>
      <c r="V456" s="15"/>
      <c r="W456" s="8"/>
      <c r="X456" s="8"/>
      <c r="Y456" s="56"/>
      <c r="Z456" s="56"/>
      <c r="AA456" s="15"/>
      <c r="AB456" s="15"/>
      <c r="AC456" s="15"/>
      <c r="AD456" s="15"/>
      <c r="AE456" s="57"/>
      <c r="AF456" s="57"/>
      <c r="AG456" s="15"/>
      <c r="AH456" s="25"/>
      <c r="AI456" s="26"/>
      <c r="AJ456" s="26"/>
      <c r="AK456" s="27"/>
      <c r="AL456" s="28"/>
      <c r="AM456" s="29"/>
    </row>
    <row r="457" ht="12.75" customHeight="1">
      <c r="A457" s="26"/>
      <c r="B457" s="12"/>
      <c r="C457" s="240"/>
      <c r="D457" s="241"/>
      <c r="E457" s="5"/>
      <c r="F457" s="5"/>
      <c r="G457" s="5"/>
      <c r="H457" s="5"/>
      <c r="I457" s="5"/>
      <c r="J457" s="5"/>
      <c r="K457" s="8"/>
      <c r="L457" s="9"/>
      <c r="M457" s="10"/>
      <c r="N457" s="86"/>
      <c r="O457" s="242"/>
      <c r="P457" s="243"/>
      <c r="Q457" s="243"/>
      <c r="R457" s="14"/>
      <c r="S457" s="242"/>
      <c r="T457" s="15"/>
      <c r="U457" s="15"/>
      <c r="V457" s="15"/>
      <c r="W457" s="8"/>
      <c r="X457" s="8"/>
      <c r="Y457" s="56"/>
      <c r="Z457" s="56"/>
      <c r="AA457" s="15"/>
      <c r="AB457" s="15"/>
      <c r="AC457" s="15"/>
      <c r="AD457" s="15"/>
      <c r="AE457" s="57"/>
      <c r="AF457" s="57"/>
      <c r="AG457" s="15"/>
      <c r="AH457" s="25"/>
      <c r="AI457" s="26"/>
      <c r="AJ457" s="26"/>
      <c r="AK457" s="27"/>
      <c r="AL457" s="28"/>
      <c r="AM457" s="29"/>
    </row>
    <row r="458" ht="12.75" customHeight="1">
      <c r="A458" s="26"/>
      <c r="B458" s="12"/>
      <c r="C458" s="240"/>
      <c r="D458" s="241"/>
      <c r="E458" s="5"/>
      <c r="F458" s="5"/>
      <c r="G458" s="5"/>
      <c r="H458" s="5"/>
      <c r="I458" s="5"/>
      <c r="J458" s="5"/>
      <c r="K458" s="8"/>
      <c r="L458" s="9"/>
      <c r="M458" s="10"/>
      <c r="N458" s="86"/>
      <c r="O458" s="242"/>
      <c r="P458" s="243"/>
      <c r="Q458" s="243"/>
      <c r="R458" s="14"/>
      <c r="S458" s="242"/>
      <c r="T458" s="15"/>
      <c r="U458" s="15"/>
      <c r="V458" s="15"/>
      <c r="W458" s="8"/>
      <c r="X458" s="8"/>
      <c r="Y458" s="56"/>
      <c r="Z458" s="56"/>
      <c r="AA458" s="15"/>
      <c r="AB458" s="15"/>
      <c r="AC458" s="15"/>
      <c r="AD458" s="15"/>
      <c r="AE458" s="57"/>
      <c r="AF458" s="57"/>
      <c r="AG458" s="15"/>
      <c r="AH458" s="25"/>
      <c r="AI458" s="26"/>
      <c r="AJ458" s="26"/>
      <c r="AK458" s="27"/>
      <c r="AL458" s="28"/>
      <c r="AM458" s="29"/>
    </row>
    <row r="459" ht="12.75" customHeight="1">
      <c r="A459" s="26"/>
      <c r="B459" s="12"/>
      <c r="C459" s="240"/>
      <c r="D459" s="241"/>
      <c r="E459" s="5"/>
      <c r="F459" s="5"/>
      <c r="G459" s="5"/>
      <c r="H459" s="5"/>
      <c r="I459" s="5"/>
      <c r="J459" s="5"/>
      <c r="K459" s="8"/>
      <c r="L459" s="9"/>
      <c r="M459" s="10"/>
      <c r="N459" s="86"/>
      <c r="O459" s="242"/>
      <c r="P459" s="243"/>
      <c r="Q459" s="243"/>
      <c r="R459" s="14"/>
      <c r="S459" s="242"/>
      <c r="T459" s="15"/>
      <c r="U459" s="15"/>
      <c r="V459" s="15"/>
      <c r="W459" s="8"/>
      <c r="X459" s="8"/>
      <c r="Y459" s="56"/>
      <c r="Z459" s="56"/>
      <c r="AA459" s="15"/>
      <c r="AB459" s="15"/>
      <c r="AC459" s="15"/>
      <c r="AD459" s="15"/>
      <c r="AE459" s="57"/>
      <c r="AF459" s="57"/>
      <c r="AG459" s="15"/>
      <c r="AH459" s="25"/>
      <c r="AI459" s="26"/>
      <c r="AJ459" s="26"/>
      <c r="AK459" s="27"/>
      <c r="AL459" s="28"/>
      <c r="AM459" s="29"/>
    </row>
    <row r="460" ht="12.75" customHeight="1">
      <c r="A460" s="26"/>
      <c r="B460" s="12"/>
      <c r="C460" s="240"/>
      <c r="D460" s="241"/>
      <c r="E460" s="5"/>
      <c r="F460" s="5"/>
      <c r="G460" s="5"/>
      <c r="H460" s="5"/>
      <c r="I460" s="5"/>
      <c r="J460" s="5"/>
      <c r="K460" s="8"/>
      <c r="L460" s="9"/>
      <c r="M460" s="10"/>
      <c r="N460" s="86"/>
      <c r="O460" s="242"/>
      <c r="P460" s="243"/>
      <c r="Q460" s="243"/>
      <c r="R460" s="14"/>
      <c r="S460" s="242"/>
      <c r="T460" s="15"/>
      <c r="U460" s="15"/>
      <c r="V460" s="15"/>
      <c r="W460" s="8"/>
      <c r="X460" s="8"/>
      <c r="Y460" s="56"/>
      <c r="Z460" s="56"/>
      <c r="AA460" s="15"/>
      <c r="AB460" s="15"/>
      <c r="AC460" s="15"/>
      <c r="AD460" s="15"/>
      <c r="AE460" s="57"/>
      <c r="AF460" s="57"/>
      <c r="AG460" s="15"/>
      <c r="AH460" s="25"/>
      <c r="AI460" s="26"/>
      <c r="AJ460" s="26"/>
      <c r="AK460" s="27"/>
      <c r="AL460" s="28"/>
      <c r="AM460" s="29"/>
    </row>
    <row r="461" ht="12.75" customHeight="1">
      <c r="A461" s="26"/>
      <c r="B461" s="12"/>
      <c r="C461" s="240"/>
      <c r="D461" s="241"/>
      <c r="E461" s="5"/>
      <c r="F461" s="5"/>
      <c r="G461" s="5"/>
      <c r="H461" s="5"/>
      <c r="I461" s="5"/>
      <c r="J461" s="5"/>
      <c r="K461" s="8"/>
      <c r="L461" s="9"/>
      <c r="M461" s="10"/>
      <c r="N461" s="86"/>
      <c r="O461" s="242"/>
      <c r="P461" s="243"/>
      <c r="Q461" s="243"/>
      <c r="R461" s="14"/>
      <c r="S461" s="242"/>
      <c r="T461" s="15"/>
      <c r="U461" s="15"/>
      <c r="V461" s="15"/>
      <c r="W461" s="8"/>
      <c r="X461" s="8"/>
      <c r="Y461" s="56"/>
      <c r="Z461" s="56"/>
      <c r="AA461" s="15"/>
      <c r="AB461" s="15"/>
      <c r="AC461" s="15"/>
      <c r="AD461" s="15"/>
      <c r="AE461" s="57"/>
      <c r="AF461" s="57"/>
      <c r="AG461" s="15"/>
      <c r="AH461" s="25"/>
      <c r="AI461" s="26"/>
      <c r="AJ461" s="26"/>
      <c r="AK461" s="27"/>
      <c r="AL461" s="28"/>
      <c r="AM461" s="29"/>
    </row>
    <row r="462" ht="12.75" customHeight="1">
      <c r="A462" s="26"/>
      <c r="B462" s="12"/>
      <c r="C462" s="240"/>
      <c r="D462" s="241"/>
      <c r="E462" s="5"/>
      <c r="F462" s="5"/>
      <c r="G462" s="5"/>
      <c r="H462" s="5"/>
      <c r="I462" s="5"/>
      <c r="J462" s="5"/>
      <c r="K462" s="8"/>
      <c r="L462" s="9"/>
      <c r="M462" s="10"/>
      <c r="N462" s="86"/>
      <c r="O462" s="242"/>
      <c r="P462" s="243"/>
      <c r="Q462" s="243"/>
      <c r="R462" s="14"/>
      <c r="S462" s="242"/>
      <c r="T462" s="15"/>
      <c r="U462" s="15"/>
      <c r="V462" s="15"/>
      <c r="W462" s="8"/>
      <c r="X462" s="8"/>
      <c r="Y462" s="56"/>
      <c r="Z462" s="56"/>
      <c r="AA462" s="15"/>
      <c r="AB462" s="15"/>
      <c r="AC462" s="15"/>
      <c r="AD462" s="15"/>
      <c r="AE462" s="57"/>
      <c r="AF462" s="57"/>
      <c r="AG462" s="15"/>
      <c r="AH462" s="25"/>
      <c r="AI462" s="26"/>
      <c r="AJ462" s="26"/>
      <c r="AK462" s="27"/>
      <c r="AL462" s="28"/>
      <c r="AM462" s="29"/>
    </row>
    <row r="463" ht="12.75" customHeight="1">
      <c r="A463" s="26"/>
      <c r="B463" s="12"/>
      <c r="C463" s="240"/>
      <c r="D463" s="241"/>
      <c r="E463" s="5"/>
      <c r="F463" s="5"/>
      <c r="G463" s="5"/>
      <c r="H463" s="5"/>
      <c r="I463" s="5"/>
      <c r="J463" s="5"/>
      <c r="K463" s="8"/>
      <c r="L463" s="9"/>
      <c r="M463" s="10"/>
      <c r="N463" s="86"/>
      <c r="O463" s="242"/>
      <c r="P463" s="243"/>
      <c r="Q463" s="243"/>
      <c r="R463" s="14"/>
      <c r="S463" s="242"/>
      <c r="T463" s="15"/>
      <c r="U463" s="15"/>
      <c r="V463" s="15"/>
      <c r="W463" s="8"/>
      <c r="X463" s="8"/>
      <c r="Y463" s="56"/>
      <c r="Z463" s="56"/>
      <c r="AA463" s="15"/>
      <c r="AB463" s="15"/>
      <c r="AC463" s="15"/>
      <c r="AD463" s="15"/>
      <c r="AE463" s="57"/>
      <c r="AF463" s="57"/>
      <c r="AG463" s="15"/>
      <c r="AH463" s="25"/>
      <c r="AI463" s="26"/>
      <c r="AJ463" s="26"/>
      <c r="AK463" s="27"/>
      <c r="AL463" s="28"/>
      <c r="AM463" s="29"/>
    </row>
    <row r="464" ht="12.75" customHeight="1">
      <c r="A464" s="26"/>
      <c r="B464" s="12"/>
      <c r="C464" s="240"/>
      <c r="D464" s="241"/>
      <c r="E464" s="5"/>
      <c r="F464" s="5"/>
      <c r="G464" s="5"/>
      <c r="H464" s="5"/>
      <c r="I464" s="5"/>
      <c r="J464" s="5"/>
      <c r="K464" s="8"/>
      <c r="L464" s="9"/>
      <c r="M464" s="10"/>
      <c r="N464" s="86"/>
      <c r="O464" s="242"/>
      <c r="P464" s="243"/>
      <c r="Q464" s="243"/>
      <c r="R464" s="14"/>
      <c r="S464" s="242"/>
      <c r="T464" s="15"/>
      <c r="U464" s="15"/>
      <c r="V464" s="15"/>
      <c r="W464" s="8"/>
      <c r="X464" s="8"/>
      <c r="Y464" s="56"/>
      <c r="Z464" s="56"/>
      <c r="AA464" s="15"/>
      <c r="AB464" s="15"/>
      <c r="AC464" s="15"/>
      <c r="AD464" s="15"/>
      <c r="AE464" s="57"/>
      <c r="AF464" s="57"/>
      <c r="AG464" s="15"/>
      <c r="AH464" s="25"/>
      <c r="AI464" s="26"/>
      <c r="AJ464" s="26"/>
      <c r="AK464" s="27"/>
      <c r="AL464" s="28"/>
      <c r="AM464" s="29"/>
    </row>
    <row r="465" ht="12.75" customHeight="1">
      <c r="A465" s="26"/>
      <c r="B465" s="12"/>
      <c r="C465" s="240"/>
      <c r="D465" s="241"/>
      <c r="E465" s="5"/>
      <c r="F465" s="5"/>
      <c r="G465" s="5"/>
      <c r="H465" s="5"/>
      <c r="I465" s="5"/>
      <c r="J465" s="5"/>
      <c r="K465" s="8"/>
      <c r="L465" s="9"/>
      <c r="M465" s="10"/>
      <c r="N465" s="86"/>
      <c r="O465" s="242"/>
      <c r="P465" s="243"/>
      <c r="Q465" s="243"/>
      <c r="R465" s="14"/>
      <c r="S465" s="242"/>
      <c r="T465" s="15"/>
      <c r="U465" s="15"/>
      <c r="V465" s="15"/>
      <c r="W465" s="8"/>
      <c r="X465" s="8"/>
      <c r="Y465" s="56"/>
      <c r="Z465" s="56"/>
      <c r="AA465" s="15"/>
      <c r="AB465" s="15"/>
      <c r="AC465" s="15"/>
      <c r="AD465" s="15"/>
      <c r="AE465" s="57"/>
      <c r="AF465" s="57"/>
      <c r="AG465" s="15"/>
      <c r="AH465" s="25"/>
      <c r="AI465" s="26"/>
      <c r="AJ465" s="26"/>
      <c r="AK465" s="27"/>
      <c r="AL465" s="28"/>
      <c r="AM465" s="29"/>
    </row>
    <row r="466" ht="12.75" customHeight="1">
      <c r="A466" s="26"/>
      <c r="B466" s="12"/>
      <c r="C466" s="240"/>
      <c r="D466" s="241"/>
      <c r="E466" s="5"/>
      <c r="F466" s="5"/>
      <c r="G466" s="5"/>
      <c r="H466" s="5"/>
      <c r="I466" s="5"/>
      <c r="J466" s="5"/>
      <c r="K466" s="8"/>
      <c r="L466" s="9"/>
      <c r="M466" s="10"/>
      <c r="N466" s="86"/>
      <c r="O466" s="242"/>
      <c r="P466" s="243"/>
      <c r="Q466" s="243"/>
      <c r="R466" s="14"/>
      <c r="S466" s="242"/>
      <c r="T466" s="15"/>
      <c r="U466" s="15"/>
      <c r="V466" s="15"/>
      <c r="W466" s="8"/>
      <c r="X466" s="8"/>
      <c r="Y466" s="56"/>
      <c r="Z466" s="56"/>
      <c r="AA466" s="15"/>
      <c r="AB466" s="15"/>
      <c r="AC466" s="15"/>
      <c r="AD466" s="15"/>
      <c r="AE466" s="57"/>
      <c r="AF466" s="57"/>
      <c r="AG466" s="15"/>
      <c r="AH466" s="25"/>
      <c r="AI466" s="26"/>
      <c r="AJ466" s="26"/>
      <c r="AK466" s="27"/>
      <c r="AL466" s="28"/>
      <c r="AM466" s="29"/>
    </row>
    <row r="467" ht="12.75" customHeight="1">
      <c r="A467" s="26"/>
      <c r="B467" s="12"/>
      <c r="C467" s="240"/>
      <c r="D467" s="241"/>
      <c r="E467" s="5"/>
      <c r="F467" s="5"/>
      <c r="G467" s="5"/>
      <c r="H467" s="5"/>
      <c r="I467" s="5"/>
      <c r="J467" s="5"/>
      <c r="K467" s="8"/>
      <c r="L467" s="9"/>
      <c r="M467" s="10"/>
      <c r="N467" s="86"/>
      <c r="O467" s="242"/>
      <c r="P467" s="243"/>
      <c r="Q467" s="243"/>
      <c r="R467" s="14"/>
      <c r="S467" s="242"/>
      <c r="T467" s="15"/>
      <c r="U467" s="15"/>
      <c r="V467" s="15"/>
      <c r="W467" s="8"/>
      <c r="X467" s="8"/>
      <c r="Y467" s="56"/>
      <c r="Z467" s="56"/>
      <c r="AA467" s="15"/>
      <c r="AB467" s="15"/>
      <c r="AC467" s="15"/>
      <c r="AD467" s="15"/>
      <c r="AE467" s="57"/>
      <c r="AF467" s="57"/>
      <c r="AG467" s="15"/>
      <c r="AH467" s="25"/>
      <c r="AI467" s="26"/>
      <c r="AJ467" s="26"/>
      <c r="AK467" s="27"/>
      <c r="AL467" s="28"/>
      <c r="AM467" s="29"/>
    </row>
    <row r="468" ht="12.75" customHeight="1">
      <c r="A468" s="26"/>
      <c r="B468" s="12"/>
      <c r="C468" s="240"/>
      <c r="D468" s="241"/>
      <c r="E468" s="5"/>
      <c r="F468" s="5"/>
      <c r="G468" s="5"/>
      <c r="H468" s="5"/>
      <c r="I468" s="5"/>
      <c r="J468" s="5"/>
      <c r="K468" s="8"/>
      <c r="L468" s="9"/>
      <c r="M468" s="10"/>
      <c r="N468" s="86"/>
      <c r="O468" s="242"/>
      <c r="P468" s="243"/>
      <c r="Q468" s="243"/>
      <c r="R468" s="14"/>
      <c r="S468" s="242"/>
      <c r="T468" s="15"/>
      <c r="U468" s="15"/>
      <c r="V468" s="15"/>
      <c r="W468" s="8"/>
      <c r="X468" s="8"/>
      <c r="Y468" s="56"/>
      <c r="Z468" s="56"/>
      <c r="AA468" s="15"/>
      <c r="AB468" s="15"/>
      <c r="AC468" s="15"/>
      <c r="AD468" s="15"/>
      <c r="AE468" s="57"/>
      <c r="AF468" s="57"/>
      <c r="AG468" s="15"/>
      <c r="AH468" s="25"/>
      <c r="AI468" s="26"/>
      <c r="AJ468" s="26"/>
      <c r="AK468" s="27"/>
      <c r="AL468" s="28"/>
      <c r="AM468" s="29"/>
    </row>
    <row r="469" ht="12.75" customHeight="1">
      <c r="A469" s="26"/>
      <c r="B469" s="12"/>
      <c r="C469" s="240"/>
      <c r="D469" s="241"/>
      <c r="E469" s="5"/>
      <c r="F469" s="5"/>
      <c r="G469" s="5"/>
      <c r="H469" s="5"/>
      <c r="I469" s="5"/>
      <c r="J469" s="5"/>
      <c r="K469" s="8"/>
      <c r="L469" s="9"/>
      <c r="M469" s="10"/>
      <c r="N469" s="86"/>
      <c r="O469" s="242"/>
      <c r="P469" s="243"/>
      <c r="Q469" s="243"/>
      <c r="R469" s="14"/>
      <c r="S469" s="242"/>
      <c r="T469" s="15"/>
      <c r="U469" s="15"/>
      <c r="V469" s="15"/>
      <c r="W469" s="8"/>
      <c r="X469" s="8"/>
      <c r="Y469" s="56"/>
      <c r="Z469" s="56"/>
      <c r="AA469" s="15"/>
      <c r="AB469" s="15"/>
      <c r="AC469" s="15"/>
      <c r="AD469" s="15"/>
      <c r="AE469" s="57"/>
      <c r="AF469" s="57"/>
      <c r="AG469" s="15"/>
      <c r="AH469" s="25"/>
      <c r="AI469" s="26"/>
      <c r="AJ469" s="26"/>
      <c r="AK469" s="27"/>
      <c r="AL469" s="28"/>
      <c r="AM469" s="29"/>
    </row>
    <row r="470" ht="12.75" customHeight="1">
      <c r="A470" s="26"/>
      <c r="B470" s="12"/>
      <c r="C470" s="240"/>
      <c r="D470" s="241"/>
      <c r="E470" s="5"/>
      <c r="F470" s="5"/>
      <c r="G470" s="5"/>
      <c r="H470" s="5"/>
      <c r="I470" s="5"/>
      <c r="J470" s="5"/>
      <c r="K470" s="8"/>
      <c r="L470" s="9"/>
      <c r="M470" s="10"/>
      <c r="N470" s="86"/>
      <c r="O470" s="242"/>
      <c r="P470" s="243"/>
      <c r="Q470" s="243"/>
      <c r="R470" s="14"/>
      <c r="S470" s="242"/>
      <c r="T470" s="15"/>
      <c r="U470" s="15"/>
      <c r="V470" s="15"/>
      <c r="W470" s="8"/>
      <c r="X470" s="8"/>
      <c r="Y470" s="56"/>
      <c r="Z470" s="56"/>
      <c r="AA470" s="15"/>
      <c r="AB470" s="15"/>
      <c r="AC470" s="15"/>
      <c r="AD470" s="15"/>
      <c r="AE470" s="57"/>
      <c r="AF470" s="57"/>
      <c r="AG470" s="15"/>
      <c r="AH470" s="25"/>
      <c r="AI470" s="26"/>
      <c r="AJ470" s="26"/>
      <c r="AK470" s="27"/>
      <c r="AL470" s="28"/>
      <c r="AM470" s="29"/>
    </row>
    <row r="471" ht="12.75" customHeight="1">
      <c r="A471" s="26"/>
      <c r="B471" s="12"/>
      <c r="C471" s="240"/>
      <c r="D471" s="241"/>
      <c r="E471" s="5"/>
      <c r="F471" s="5"/>
      <c r="G471" s="5"/>
      <c r="H471" s="5"/>
      <c r="I471" s="5"/>
      <c r="J471" s="5"/>
      <c r="K471" s="8"/>
      <c r="L471" s="9"/>
      <c r="M471" s="10"/>
      <c r="N471" s="86"/>
      <c r="O471" s="242"/>
      <c r="P471" s="243"/>
      <c r="Q471" s="243"/>
      <c r="R471" s="14"/>
      <c r="S471" s="242"/>
      <c r="T471" s="15"/>
      <c r="U471" s="15"/>
      <c r="V471" s="15"/>
      <c r="W471" s="8"/>
      <c r="X471" s="8"/>
      <c r="Y471" s="56"/>
      <c r="Z471" s="56"/>
      <c r="AA471" s="15"/>
      <c r="AB471" s="15"/>
      <c r="AC471" s="15"/>
      <c r="AD471" s="15"/>
      <c r="AE471" s="57"/>
      <c r="AF471" s="57"/>
      <c r="AG471" s="15"/>
      <c r="AH471" s="25"/>
      <c r="AI471" s="26"/>
      <c r="AJ471" s="26"/>
      <c r="AK471" s="27"/>
      <c r="AL471" s="28"/>
      <c r="AM471" s="29"/>
    </row>
    <row r="472" ht="12.75" customHeight="1">
      <c r="A472" s="26"/>
      <c r="B472" s="12"/>
      <c r="C472" s="240"/>
      <c r="D472" s="241"/>
      <c r="E472" s="5"/>
      <c r="F472" s="5"/>
      <c r="G472" s="5"/>
      <c r="H472" s="5"/>
      <c r="I472" s="5"/>
      <c r="J472" s="5"/>
      <c r="K472" s="8"/>
      <c r="L472" s="9"/>
      <c r="M472" s="10"/>
      <c r="N472" s="86"/>
      <c r="O472" s="242"/>
      <c r="P472" s="243"/>
      <c r="Q472" s="243"/>
      <c r="R472" s="14"/>
      <c r="S472" s="242"/>
      <c r="T472" s="15"/>
      <c r="U472" s="15"/>
      <c r="V472" s="15"/>
      <c r="W472" s="8"/>
      <c r="X472" s="8"/>
      <c r="Y472" s="56"/>
      <c r="Z472" s="56"/>
      <c r="AA472" s="15"/>
      <c r="AB472" s="15"/>
      <c r="AC472" s="15"/>
      <c r="AD472" s="15"/>
      <c r="AE472" s="57"/>
      <c r="AF472" s="57"/>
      <c r="AG472" s="15"/>
      <c r="AH472" s="25"/>
      <c r="AI472" s="26"/>
      <c r="AJ472" s="26"/>
      <c r="AK472" s="27"/>
      <c r="AL472" s="28"/>
      <c r="AM472" s="29"/>
    </row>
    <row r="473" ht="12.75" customHeight="1">
      <c r="A473" s="26"/>
      <c r="B473" s="12"/>
      <c r="C473" s="240"/>
      <c r="D473" s="241"/>
      <c r="E473" s="5"/>
      <c r="F473" s="5"/>
      <c r="G473" s="5"/>
      <c r="H473" s="5"/>
      <c r="I473" s="5"/>
      <c r="J473" s="5"/>
      <c r="K473" s="8"/>
      <c r="L473" s="9"/>
      <c r="M473" s="10"/>
      <c r="N473" s="86"/>
      <c r="O473" s="242"/>
      <c r="P473" s="243"/>
      <c r="Q473" s="243"/>
      <c r="R473" s="14"/>
      <c r="S473" s="242"/>
      <c r="T473" s="15"/>
      <c r="U473" s="15"/>
      <c r="V473" s="15"/>
      <c r="W473" s="8"/>
      <c r="X473" s="8"/>
      <c r="Y473" s="56"/>
      <c r="Z473" s="56"/>
      <c r="AA473" s="15"/>
      <c r="AB473" s="15"/>
      <c r="AC473" s="15"/>
      <c r="AD473" s="15"/>
      <c r="AE473" s="57"/>
      <c r="AF473" s="57"/>
      <c r="AG473" s="15"/>
      <c r="AH473" s="25"/>
      <c r="AI473" s="26"/>
      <c r="AJ473" s="26"/>
      <c r="AK473" s="27"/>
      <c r="AL473" s="28"/>
      <c r="AM473" s="29"/>
    </row>
    <row r="474" ht="12.75" customHeight="1">
      <c r="A474" s="26"/>
      <c r="B474" s="12"/>
      <c r="C474" s="240"/>
      <c r="D474" s="241"/>
      <c r="E474" s="5"/>
      <c r="F474" s="5"/>
      <c r="G474" s="5"/>
      <c r="H474" s="5"/>
      <c r="I474" s="5"/>
      <c r="J474" s="5"/>
      <c r="K474" s="8"/>
      <c r="L474" s="9"/>
      <c r="M474" s="10"/>
      <c r="N474" s="86"/>
      <c r="O474" s="242"/>
      <c r="P474" s="243"/>
      <c r="Q474" s="243"/>
      <c r="R474" s="14"/>
      <c r="S474" s="242"/>
      <c r="T474" s="15"/>
      <c r="U474" s="15"/>
      <c r="V474" s="15"/>
      <c r="W474" s="8"/>
      <c r="X474" s="8"/>
      <c r="Y474" s="56"/>
      <c r="Z474" s="56"/>
      <c r="AA474" s="15"/>
      <c r="AB474" s="15"/>
      <c r="AC474" s="15"/>
      <c r="AD474" s="15"/>
      <c r="AE474" s="57"/>
      <c r="AF474" s="57"/>
      <c r="AG474" s="15"/>
      <c r="AH474" s="25"/>
      <c r="AI474" s="26"/>
      <c r="AJ474" s="26"/>
      <c r="AK474" s="27"/>
      <c r="AL474" s="28"/>
      <c r="AM474" s="29"/>
    </row>
    <row r="475" ht="12.75" customHeight="1">
      <c r="A475" s="26"/>
      <c r="B475" s="12"/>
      <c r="C475" s="240"/>
      <c r="D475" s="241"/>
      <c r="E475" s="5"/>
      <c r="F475" s="5"/>
      <c r="G475" s="5"/>
      <c r="H475" s="5"/>
      <c r="I475" s="5"/>
      <c r="J475" s="5"/>
      <c r="K475" s="8"/>
      <c r="L475" s="9"/>
      <c r="M475" s="10"/>
      <c r="N475" s="86"/>
      <c r="O475" s="242"/>
      <c r="P475" s="243"/>
      <c r="Q475" s="243"/>
      <c r="R475" s="14"/>
      <c r="S475" s="242"/>
      <c r="T475" s="15"/>
      <c r="U475" s="15"/>
      <c r="V475" s="15"/>
      <c r="W475" s="8"/>
      <c r="X475" s="8"/>
      <c r="Y475" s="56"/>
      <c r="Z475" s="56"/>
      <c r="AA475" s="15"/>
      <c r="AB475" s="15"/>
      <c r="AC475" s="15"/>
      <c r="AD475" s="15"/>
      <c r="AE475" s="57"/>
      <c r="AF475" s="57"/>
      <c r="AG475" s="15"/>
      <c r="AH475" s="25"/>
      <c r="AI475" s="26"/>
      <c r="AJ475" s="26"/>
      <c r="AK475" s="27"/>
      <c r="AL475" s="28"/>
      <c r="AM475" s="29"/>
    </row>
    <row r="476" ht="12.75" customHeight="1">
      <c r="A476" s="26"/>
      <c r="B476" s="12"/>
      <c r="C476" s="240"/>
      <c r="D476" s="241"/>
      <c r="E476" s="5"/>
      <c r="F476" s="5"/>
      <c r="G476" s="5"/>
      <c r="H476" s="5"/>
      <c r="I476" s="5"/>
      <c r="J476" s="5"/>
      <c r="K476" s="8"/>
      <c r="L476" s="9"/>
      <c r="M476" s="10"/>
      <c r="N476" s="86"/>
      <c r="O476" s="242"/>
      <c r="P476" s="243"/>
      <c r="Q476" s="243"/>
      <c r="R476" s="14"/>
      <c r="S476" s="242"/>
      <c r="T476" s="15"/>
      <c r="U476" s="15"/>
      <c r="V476" s="15"/>
      <c r="W476" s="8"/>
      <c r="X476" s="8"/>
      <c r="Y476" s="56"/>
      <c r="Z476" s="56"/>
      <c r="AA476" s="15"/>
      <c r="AB476" s="15"/>
      <c r="AC476" s="15"/>
      <c r="AD476" s="15"/>
      <c r="AE476" s="57"/>
      <c r="AF476" s="57"/>
      <c r="AG476" s="15"/>
      <c r="AH476" s="25"/>
      <c r="AI476" s="26"/>
      <c r="AJ476" s="26"/>
      <c r="AK476" s="27"/>
      <c r="AL476" s="28"/>
      <c r="AM476" s="29"/>
    </row>
    <row r="477" ht="12.75" customHeight="1">
      <c r="A477" s="26"/>
      <c r="B477" s="12"/>
      <c r="C477" s="240"/>
      <c r="D477" s="241"/>
      <c r="E477" s="5"/>
      <c r="F477" s="5"/>
      <c r="G477" s="5"/>
      <c r="H477" s="5"/>
      <c r="I477" s="5"/>
      <c r="J477" s="5"/>
      <c r="K477" s="8"/>
      <c r="L477" s="9"/>
      <c r="M477" s="10"/>
      <c r="N477" s="86"/>
      <c r="O477" s="242"/>
      <c r="P477" s="243"/>
      <c r="Q477" s="243"/>
      <c r="R477" s="14"/>
      <c r="S477" s="242"/>
      <c r="T477" s="15"/>
      <c r="U477" s="15"/>
      <c r="V477" s="15"/>
      <c r="W477" s="8"/>
      <c r="X477" s="8"/>
      <c r="Y477" s="56"/>
      <c r="Z477" s="56"/>
      <c r="AA477" s="15"/>
      <c r="AB477" s="15"/>
      <c r="AC477" s="15"/>
      <c r="AD477" s="15"/>
      <c r="AE477" s="57"/>
      <c r="AF477" s="57"/>
      <c r="AG477" s="15"/>
      <c r="AH477" s="25"/>
      <c r="AI477" s="26"/>
      <c r="AJ477" s="26"/>
      <c r="AK477" s="27"/>
      <c r="AL477" s="28"/>
      <c r="AM477" s="29"/>
    </row>
    <row r="478" ht="12.75" customHeight="1">
      <c r="A478" s="26"/>
      <c r="B478" s="12"/>
      <c r="C478" s="240"/>
      <c r="D478" s="241"/>
      <c r="E478" s="5"/>
      <c r="F478" s="5"/>
      <c r="G478" s="5"/>
      <c r="H478" s="5"/>
      <c r="I478" s="5"/>
      <c r="J478" s="5"/>
      <c r="K478" s="8"/>
      <c r="L478" s="9"/>
      <c r="M478" s="10"/>
      <c r="N478" s="86"/>
      <c r="O478" s="242"/>
      <c r="P478" s="243"/>
      <c r="Q478" s="243"/>
      <c r="R478" s="14"/>
      <c r="S478" s="242"/>
      <c r="T478" s="15"/>
      <c r="U478" s="15"/>
      <c r="V478" s="15"/>
      <c r="W478" s="8"/>
      <c r="X478" s="8"/>
      <c r="Y478" s="56"/>
      <c r="Z478" s="56"/>
      <c r="AA478" s="15"/>
      <c r="AB478" s="15"/>
      <c r="AC478" s="15"/>
      <c r="AD478" s="15"/>
      <c r="AE478" s="57"/>
      <c r="AF478" s="57"/>
      <c r="AG478" s="15"/>
      <c r="AH478" s="25"/>
      <c r="AI478" s="26"/>
      <c r="AJ478" s="26"/>
      <c r="AK478" s="27"/>
      <c r="AL478" s="28"/>
      <c r="AM478" s="29"/>
    </row>
    <row r="479" ht="12.75" customHeight="1">
      <c r="A479" s="26"/>
      <c r="B479" s="12"/>
      <c r="C479" s="240"/>
      <c r="D479" s="241"/>
      <c r="E479" s="5"/>
      <c r="F479" s="5"/>
      <c r="G479" s="5"/>
      <c r="H479" s="5"/>
      <c r="I479" s="5"/>
      <c r="J479" s="5"/>
      <c r="K479" s="8"/>
      <c r="L479" s="9"/>
      <c r="M479" s="10"/>
      <c r="N479" s="86"/>
      <c r="O479" s="242"/>
      <c r="P479" s="243"/>
      <c r="Q479" s="243"/>
      <c r="R479" s="14"/>
      <c r="S479" s="242"/>
      <c r="T479" s="15"/>
      <c r="U479" s="15"/>
      <c r="V479" s="15"/>
      <c r="W479" s="8"/>
      <c r="X479" s="8"/>
      <c r="Y479" s="56"/>
      <c r="Z479" s="56"/>
      <c r="AA479" s="15"/>
      <c r="AB479" s="15"/>
      <c r="AC479" s="15"/>
      <c r="AD479" s="15"/>
      <c r="AE479" s="57"/>
      <c r="AF479" s="57"/>
      <c r="AG479" s="15"/>
      <c r="AH479" s="25"/>
      <c r="AI479" s="26"/>
      <c r="AJ479" s="26"/>
      <c r="AK479" s="27"/>
      <c r="AL479" s="28"/>
      <c r="AM479" s="29"/>
    </row>
    <row r="480" ht="12.75" customHeight="1">
      <c r="A480" s="26"/>
      <c r="B480" s="12"/>
      <c r="C480" s="240"/>
      <c r="D480" s="241"/>
      <c r="E480" s="5"/>
      <c r="F480" s="5"/>
      <c r="G480" s="5"/>
      <c r="H480" s="5"/>
      <c r="I480" s="5"/>
      <c r="J480" s="5"/>
      <c r="K480" s="8"/>
      <c r="L480" s="9"/>
      <c r="M480" s="10"/>
      <c r="N480" s="86"/>
      <c r="O480" s="242"/>
      <c r="P480" s="243"/>
      <c r="Q480" s="243"/>
      <c r="R480" s="14"/>
      <c r="S480" s="242"/>
      <c r="T480" s="15"/>
      <c r="U480" s="15"/>
      <c r="V480" s="15"/>
      <c r="W480" s="8"/>
      <c r="X480" s="8"/>
      <c r="Y480" s="56"/>
      <c r="Z480" s="56"/>
      <c r="AA480" s="15"/>
      <c r="AB480" s="15"/>
      <c r="AC480" s="15"/>
      <c r="AD480" s="15"/>
      <c r="AE480" s="57"/>
      <c r="AF480" s="57"/>
      <c r="AG480" s="15"/>
      <c r="AH480" s="25"/>
      <c r="AI480" s="26"/>
      <c r="AJ480" s="26"/>
      <c r="AK480" s="27"/>
      <c r="AL480" s="28"/>
      <c r="AM480" s="29"/>
    </row>
    <row r="481" ht="12.75" customHeight="1">
      <c r="A481" s="26"/>
      <c r="B481" s="12"/>
      <c r="C481" s="240"/>
      <c r="D481" s="241"/>
      <c r="E481" s="5"/>
      <c r="F481" s="5"/>
      <c r="G481" s="5"/>
      <c r="H481" s="5"/>
      <c r="I481" s="5"/>
      <c r="J481" s="5"/>
      <c r="K481" s="8"/>
      <c r="L481" s="9"/>
      <c r="M481" s="10"/>
      <c r="N481" s="86"/>
      <c r="O481" s="242"/>
      <c r="P481" s="243"/>
      <c r="Q481" s="243"/>
      <c r="R481" s="14"/>
      <c r="S481" s="242"/>
      <c r="T481" s="15"/>
      <c r="U481" s="15"/>
      <c r="V481" s="15"/>
      <c r="W481" s="8"/>
      <c r="X481" s="8"/>
      <c r="Y481" s="56"/>
      <c r="Z481" s="56"/>
      <c r="AA481" s="15"/>
      <c r="AB481" s="15"/>
      <c r="AC481" s="15"/>
      <c r="AD481" s="15"/>
      <c r="AE481" s="57"/>
      <c r="AF481" s="57"/>
      <c r="AG481" s="15"/>
      <c r="AH481" s="25"/>
      <c r="AI481" s="26"/>
      <c r="AJ481" s="26"/>
      <c r="AK481" s="27"/>
      <c r="AL481" s="28"/>
      <c r="AM481" s="29"/>
    </row>
    <row r="482" ht="12.75" customHeight="1">
      <c r="A482" s="26"/>
      <c r="B482" s="12"/>
      <c r="C482" s="240"/>
      <c r="D482" s="241"/>
      <c r="E482" s="5"/>
      <c r="F482" s="5"/>
      <c r="G482" s="5"/>
      <c r="H482" s="5"/>
      <c r="I482" s="5"/>
      <c r="J482" s="5"/>
      <c r="K482" s="8"/>
      <c r="L482" s="9"/>
      <c r="M482" s="10"/>
      <c r="N482" s="86"/>
      <c r="O482" s="242"/>
      <c r="P482" s="243"/>
      <c r="Q482" s="243"/>
      <c r="R482" s="14"/>
      <c r="S482" s="242"/>
      <c r="T482" s="15"/>
      <c r="U482" s="15"/>
      <c r="V482" s="15"/>
      <c r="W482" s="8"/>
      <c r="X482" s="8"/>
      <c r="Y482" s="56"/>
      <c r="Z482" s="56"/>
      <c r="AA482" s="15"/>
      <c r="AB482" s="15"/>
      <c r="AC482" s="15"/>
      <c r="AD482" s="15"/>
      <c r="AE482" s="57"/>
      <c r="AF482" s="57"/>
      <c r="AG482" s="15"/>
      <c r="AH482" s="25"/>
      <c r="AI482" s="26"/>
      <c r="AJ482" s="26"/>
      <c r="AK482" s="27"/>
      <c r="AL482" s="28"/>
      <c r="AM482" s="29"/>
    </row>
    <row r="483" ht="12.75" customHeight="1">
      <c r="A483" s="26"/>
      <c r="B483" s="12"/>
      <c r="C483" s="240"/>
      <c r="D483" s="241"/>
      <c r="E483" s="5"/>
      <c r="F483" s="5"/>
      <c r="G483" s="5"/>
      <c r="H483" s="5"/>
      <c r="I483" s="5"/>
      <c r="J483" s="5"/>
      <c r="K483" s="8"/>
      <c r="L483" s="9"/>
      <c r="M483" s="10"/>
      <c r="N483" s="86"/>
      <c r="O483" s="242"/>
      <c r="P483" s="243"/>
      <c r="Q483" s="243"/>
      <c r="R483" s="14"/>
      <c r="S483" s="242"/>
      <c r="T483" s="15"/>
      <c r="U483" s="15"/>
      <c r="V483" s="15"/>
      <c r="W483" s="8"/>
      <c r="X483" s="8"/>
      <c r="Y483" s="56"/>
      <c r="Z483" s="56"/>
      <c r="AA483" s="15"/>
      <c r="AB483" s="15"/>
      <c r="AC483" s="15"/>
      <c r="AD483" s="15"/>
      <c r="AE483" s="57"/>
      <c r="AF483" s="57"/>
      <c r="AG483" s="15"/>
      <c r="AH483" s="25"/>
      <c r="AI483" s="26"/>
      <c r="AJ483" s="26"/>
      <c r="AK483" s="27"/>
      <c r="AL483" s="28"/>
      <c r="AM483" s="29"/>
    </row>
    <row r="484" ht="12.75" customHeight="1">
      <c r="A484" s="26"/>
      <c r="B484" s="12"/>
      <c r="C484" s="240"/>
      <c r="D484" s="241"/>
      <c r="E484" s="5"/>
      <c r="F484" s="5"/>
      <c r="G484" s="5"/>
      <c r="H484" s="5"/>
      <c r="I484" s="5"/>
      <c r="J484" s="5"/>
      <c r="K484" s="8"/>
      <c r="L484" s="9"/>
      <c r="M484" s="10"/>
      <c r="N484" s="86"/>
      <c r="O484" s="242"/>
      <c r="P484" s="243"/>
      <c r="Q484" s="243"/>
      <c r="R484" s="14"/>
      <c r="S484" s="242"/>
      <c r="T484" s="15"/>
      <c r="U484" s="15"/>
      <c r="V484" s="15"/>
      <c r="W484" s="8"/>
      <c r="X484" s="8"/>
      <c r="Y484" s="56"/>
      <c r="Z484" s="56"/>
      <c r="AA484" s="15"/>
      <c r="AB484" s="15"/>
      <c r="AC484" s="15"/>
      <c r="AD484" s="15"/>
      <c r="AE484" s="57"/>
      <c r="AF484" s="57"/>
      <c r="AG484" s="15"/>
      <c r="AH484" s="25"/>
      <c r="AI484" s="26"/>
      <c r="AJ484" s="26"/>
      <c r="AK484" s="27"/>
      <c r="AL484" s="28"/>
      <c r="AM484" s="29"/>
    </row>
    <row r="485" ht="12.75" customHeight="1">
      <c r="A485" s="26"/>
      <c r="B485" s="12"/>
      <c r="C485" s="240"/>
      <c r="D485" s="241"/>
      <c r="E485" s="5"/>
      <c r="F485" s="5"/>
      <c r="G485" s="5"/>
      <c r="H485" s="5"/>
      <c r="I485" s="5"/>
      <c r="J485" s="5"/>
      <c r="K485" s="8"/>
      <c r="L485" s="9"/>
      <c r="M485" s="10"/>
      <c r="N485" s="86"/>
      <c r="O485" s="242"/>
      <c r="P485" s="243"/>
      <c r="Q485" s="243"/>
      <c r="R485" s="14"/>
      <c r="S485" s="242"/>
      <c r="T485" s="15"/>
      <c r="U485" s="15"/>
      <c r="V485" s="15"/>
      <c r="W485" s="8"/>
      <c r="X485" s="8"/>
      <c r="Y485" s="56"/>
      <c r="Z485" s="56"/>
      <c r="AA485" s="15"/>
      <c r="AB485" s="15"/>
      <c r="AC485" s="15"/>
      <c r="AD485" s="15"/>
      <c r="AE485" s="57"/>
      <c r="AF485" s="57"/>
      <c r="AG485" s="15"/>
      <c r="AH485" s="25"/>
      <c r="AI485" s="26"/>
      <c r="AJ485" s="26"/>
      <c r="AK485" s="27"/>
      <c r="AL485" s="28"/>
      <c r="AM485" s="29"/>
    </row>
    <row r="486" ht="12.75" customHeight="1">
      <c r="A486" s="26"/>
      <c r="B486" s="12"/>
      <c r="C486" s="240"/>
      <c r="D486" s="241"/>
      <c r="E486" s="5"/>
      <c r="F486" s="5"/>
      <c r="G486" s="5"/>
      <c r="H486" s="5"/>
      <c r="I486" s="5"/>
      <c r="J486" s="5"/>
      <c r="K486" s="8"/>
      <c r="L486" s="9"/>
      <c r="M486" s="10"/>
      <c r="N486" s="86"/>
      <c r="O486" s="242"/>
      <c r="P486" s="243"/>
      <c r="Q486" s="243"/>
      <c r="R486" s="14"/>
      <c r="S486" s="242"/>
      <c r="T486" s="15"/>
      <c r="U486" s="15"/>
      <c r="V486" s="15"/>
      <c r="W486" s="8"/>
      <c r="X486" s="8"/>
      <c r="Y486" s="56"/>
      <c r="Z486" s="56"/>
      <c r="AA486" s="15"/>
      <c r="AB486" s="15"/>
      <c r="AC486" s="15"/>
      <c r="AD486" s="15"/>
      <c r="AE486" s="57"/>
      <c r="AF486" s="57"/>
      <c r="AG486" s="15"/>
      <c r="AH486" s="25"/>
      <c r="AI486" s="26"/>
      <c r="AJ486" s="26"/>
      <c r="AK486" s="27"/>
      <c r="AL486" s="28"/>
      <c r="AM486" s="29"/>
    </row>
    <row r="487" ht="12.75" customHeight="1">
      <c r="A487" s="26"/>
      <c r="B487" s="12"/>
      <c r="C487" s="240"/>
      <c r="D487" s="241"/>
      <c r="E487" s="5"/>
      <c r="F487" s="5"/>
      <c r="G487" s="5"/>
      <c r="H487" s="5"/>
      <c r="I487" s="5"/>
      <c r="J487" s="5"/>
      <c r="K487" s="8"/>
      <c r="L487" s="9"/>
      <c r="M487" s="10"/>
      <c r="N487" s="86"/>
      <c r="O487" s="242"/>
      <c r="P487" s="243"/>
      <c r="Q487" s="243"/>
      <c r="R487" s="14"/>
      <c r="S487" s="242"/>
      <c r="T487" s="15"/>
      <c r="U487" s="15"/>
      <c r="V487" s="15"/>
      <c r="W487" s="8"/>
      <c r="X487" s="8"/>
      <c r="Y487" s="56"/>
      <c r="Z487" s="56"/>
      <c r="AA487" s="15"/>
      <c r="AB487" s="15"/>
      <c r="AC487" s="15"/>
      <c r="AD487" s="15"/>
      <c r="AE487" s="57"/>
      <c r="AF487" s="57"/>
      <c r="AG487" s="15"/>
      <c r="AH487" s="25"/>
      <c r="AI487" s="26"/>
      <c r="AJ487" s="26"/>
      <c r="AK487" s="27"/>
      <c r="AL487" s="28"/>
      <c r="AM487" s="29"/>
    </row>
    <row r="488" ht="12.75" customHeight="1">
      <c r="A488" s="26"/>
      <c r="B488" s="12"/>
      <c r="C488" s="240"/>
      <c r="D488" s="241"/>
      <c r="E488" s="5"/>
      <c r="F488" s="5"/>
      <c r="G488" s="5"/>
      <c r="H488" s="5"/>
      <c r="I488" s="5"/>
      <c r="J488" s="5"/>
      <c r="K488" s="8"/>
      <c r="L488" s="9"/>
      <c r="M488" s="10"/>
      <c r="N488" s="86"/>
      <c r="O488" s="242"/>
      <c r="P488" s="243"/>
      <c r="Q488" s="243"/>
      <c r="R488" s="14"/>
      <c r="S488" s="242"/>
      <c r="T488" s="15"/>
      <c r="U488" s="15"/>
      <c r="V488" s="15"/>
      <c r="W488" s="8"/>
      <c r="X488" s="8"/>
      <c r="Y488" s="56"/>
      <c r="Z488" s="56"/>
      <c r="AA488" s="15"/>
      <c r="AB488" s="15"/>
      <c r="AC488" s="15"/>
      <c r="AD488" s="15"/>
      <c r="AE488" s="57"/>
      <c r="AF488" s="57"/>
      <c r="AG488" s="15"/>
      <c r="AH488" s="25"/>
      <c r="AI488" s="26"/>
      <c r="AJ488" s="26"/>
      <c r="AK488" s="27"/>
      <c r="AL488" s="28"/>
      <c r="AM488" s="29"/>
    </row>
    <row r="489" ht="12.75" customHeight="1">
      <c r="A489" s="26"/>
      <c r="B489" s="12"/>
      <c r="C489" s="240"/>
      <c r="D489" s="241"/>
      <c r="E489" s="5"/>
      <c r="F489" s="5"/>
      <c r="G489" s="5"/>
      <c r="H489" s="5"/>
      <c r="I489" s="5"/>
      <c r="J489" s="5"/>
      <c r="K489" s="8"/>
      <c r="L489" s="9"/>
      <c r="M489" s="10"/>
      <c r="N489" s="86"/>
      <c r="O489" s="242"/>
      <c r="P489" s="243"/>
      <c r="Q489" s="243"/>
      <c r="R489" s="14"/>
      <c r="S489" s="242"/>
      <c r="T489" s="15"/>
      <c r="U489" s="15"/>
      <c r="V489" s="15"/>
      <c r="W489" s="8"/>
      <c r="X489" s="8"/>
      <c r="Y489" s="56"/>
      <c r="Z489" s="56"/>
      <c r="AA489" s="15"/>
      <c r="AB489" s="15"/>
      <c r="AC489" s="15"/>
      <c r="AD489" s="15"/>
      <c r="AE489" s="57"/>
      <c r="AF489" s="57"/>
      <c r="AG489" s="15"/>
      <c r="AH489" s="25"/>
      <c r="AI489" s="26"/>
      <c r="AJ489" s="26"/>
      <c r="AK489" s="27"/>
      <c r="AL489" s="28"/>
      <c r="AM489" s="29"/>
    </row>
    <row r="490" ht="12.75" customHeight="1">
      <c r="A490" s="26"/>
      <c r="B490" s="12"/>
      <c r="C490" s="240"/>
      <c r="D490" s="241"/>
      <c r="E490" s="5"/>
      <c r="F490" s="5"/>
      <c r="G490" s="5"/>
      <c r="H490" s="5"/>
      <c r="I490" s="5"/>
      <c r="J490" s="5"/>
      <c r="K490" s="8"/>
      <c r="L490" s="9"/>
      <c r="M490" s="10"/>
      <c r="N490" s="86"/>
      <c r="O490" s="242"/>
      <c r="P490" s="243"/>
      <c r="Q490" s="243"/>
      <c r="R490" s="14"/>
      <c r="S490" s="242"/>
      <c r="T490" s="15"/>
      <c r="U490" s="15"/>
      <c r="V490" s="15"/>
      <c r="W490" s="8"/>
      <c r="X490" s="8"/>
      <c r="Y490" s="56"/>
      <c r="Z490" s="56"/>
      <c r="AA490" s="15"/>
      <c r="AB490" s="15"/>
      <c r="AC490" s="15"/>
      <c r="AD490" s="15"/>
      <c r="AE490" s="57"/>
      <c r="AF490" s="57"/>
      <c r="AG490" s="15"/>
      <c r="AH490" s="25"/>
      <c r="AI490" s="26"/>
      <c r="AJ490" s="26"/>
      <c r="AK490" s="27"/>
      <c r="AL490" s="28"/>
      <c r="AM490" s="29"/>
    </row>
    <row r="491" ht="12.75" customHeight="1">
      <c r="A491" s="26"/>
      <c r="B491" s="12"/>
      <c r="C491" s="240"/>
      <c r="D491" s="241"/>
      <c r="E491" s="5"/>
      <c r="F491" s="5"/>
      <c r="G491" s="5"/>
      <c r="H491" s="5"/>
      <c r="I491" s="5"/>
      <c r="J491" s="5"/>
      <c r="K491" s="8"/>
      <c r="L491" s="9"/>
      <c r="M491" s="10"/>
      <c r="N491" s="86"/>
      <c r="O491" s="242"/>
      <c r="P491" s="243"/>
      <c r="Q491" s="243"/>
      <c r="R491" s="14"/>
      <c r="S491" s="242"/>
      <c r="T491" s="15"/>
      <c r="U491" s="15"/>
      <c r="V491" s="15"/>
      <c r="W491" s="8"/>
      <c r="X491" s="8"/>
      <c r="Y491" s="56"/>
      <c r="Z491" s="56"/>
      <c r="AA491" s="15"/>
      <c r="AB491" s="15"/>
      <c r="AC491" s="15"/>
      <c r="AD491" s="15"/>
      <c r="AE491" s="57"/>
      <c r="AF491" s="57"/>
      <c r="AG491" s="15"/>
      <c r="AH491" s="25"/>
      <c r="AI491" s="26"/>
      <c r="AJ491" s="26"/>
      <c r="AK491" s="27"/>
      <c r="AL491" s="28"/>
      <c r="AM491" s="29"/>
    </row>
    <row r="492" ht="12.75" customHeight="1">
      <c r="A492" s="26"/>
      <c r="B492" s="12"/>
      <c r="C492" s="240"/>
      <c r="D492" s="241"/>
      <c r="E492" s="5"/>
      <c r="F492" s="5"/>
      <c r="G492" s="5"/>
      <c r="H492" s="5"/>
      <c r="I492" s="5"/>
      <c r="J492" s="5"/>
      <c r="K492" s="8"/>
      <c r="L492" s="9"/>
      <c r="M492" s="10"/>
      <c r="N492" s="86"/>
      <c r="O492" s="242"/>
      <c r="P492" s="243"/>
      <c r="Q492" s="243"/>
      <c r="R492" s="14"/>
      <c r="S492" s="242"/>
      <c r="T492" s="15"/>
      <c r="U492" s="15"/>
      <c r="V492" s="15"/>
      <c r="W492" s="8"/>
      <c r="X492" s="8"/>
      <c r="Y492" s="56"/>
      <c r="Z492" s="56"/>
      <c r="AA492" s="15"/>
      <c r="AB492" s="15"/>
      <c r="AC492" s="15"/>
      <c r="AD492" s="15"/>
      <c r="AE492" s="57"/>
      <c r="AF492" s="57"/>
      <c r="AG492" s="15"/>
      <c r="AH492" s="25"/>
      <c r="AI492" s="26"/>
      <c r="AJ492" s="26"/>
      <c r="AK492" s="27"/>
      <c r="AL492" s="28"/>
      <c r="AM492" s="29"/>
    </row>
    <row r="493" ht="12.75" customHeight="1">
      <c r="A493" s="26"/>
      <c r="B493" s="12"/>
      <c r="C493" s="240"/>
      <c r="D493" s="241"/>
      <c r="E493" s="5"/>
      <c r="F493" s="5"/>
      <c r="G493" s="5"/>
      <c r="H493" s="5"/>
      <c r="I493" s="5"/>
      <c r="J493" s="5"/>
      <c r="K493" s="8"/>
      <c r="L493" s="9"/>
      <c r="M493" s="10"/>
      <c r="N493" s="86"/>
      <c r="O493" s="242"/>
      <c r="P493" s="243"/>
      <c r="Q493" s="243"/>
      <c r="R493" s="14"/>
      <c r="S493" s="242"/>
      <c r="T493" s="15"/>
      <c r="U493" s="15"/>
      <c r="V493" s="15"/>
      <c r="W493" s="8"/>
      <c r="X493" s="8"/>
      <c r="Y493" s="56"/>
      <c r="Z493" s="56"/>
      <c r="AA493" s="15"/>
      <c r="AB493" s="15"/>
      <c r="AC493" s="15"/>
      <c r="AD493" s="15"/>
      <c r="AE493" s="57"/>
      <c r="AF493" s="57"/>
      <c r="AG493" s="15"/>
      <c r="AH493" s="25"/>
      <c r="AI493" s="26"/>
      <c r="AJ493" s="26"/>
      <c r="AK493" s="27"/>
      <c r="AL493" s="28"/>
      <c r="AM493" s="29"/>
    </row>
    <row r="494" ht="12.75" customHeight="1">
      <c r="A494" s="26"/>
      <c r="B494" s="12"/>
      <c r="C494" s="240"/>
      <c r="D494" s="241"/>
      <c r="E494" s="5"/>
      <c r="F494" s="5"/>
      <c r="G494" s="5"/>
      <c r="H494" s="5"/>
      <c r="I494" s="5"/>
      <c r="J494" s="5"/>
      <c r="K494" s="8"/>
      <c r="L494" s="9"/>
      <c r="M494" s="10"/>
      <c r="N494" s="86"/>
      <c r="O494" s="242"/>
      <c r="P494" s="243"/>
      <c r="Q494" s="243"/>
      <c r="R494" s="14"/>
      <c r="S494" s="242"/>
      <c r="T494" s="15"/>
      <c r="U494" s="15"/>
      <c r="V494" s="15"/>
      <c r="W494" s="8"/>
      <c r="X494" s="8"/>
      <c r="Y494" s="56"/>
      <c r="Z494" s="56"/>
      <c r="AA494" s="15"/>
      <c r="AB494" s="15"/>
      <c r="AC494" s="15"/>
      <c r="AD494" s="15"/>
      <c r="AE494" s="57"/>
      <c r="AF494" s="57"/>
      <c r="AG494" s="15"/>
      <c r="AH494" s="25"/>
      <c r="AI494" s="26"/>
      <c r="AJ494" s="26"/>
      <c r="AK494" s="27"/>
      <c r="AL494" s="28"/>
      <c r="AM494" s="29"/>
    </row>
    <row r="495" ht="12.75" customHeight="1">
      <c r="A495" s="26"/>
      <c r="B495" s="12"/>
      <c r="C495" s="240"/>
      <c r="D495" s="241"/>
      <c r="E495" s="5"/>
      <c r="F495" s="5"/>
      <c r="G495" s="5"/>
      <c r="H495" s="5"/>
      <c r="I495" s="5"/>
      <c r="J495" s="5"/>
      <c r="K495" s="8"/>
      <c r="L495" s="9"/>
      <c r="M495" s="10"/>
      <c r="N495" s="86"/>
      <c r="O495" s="242"/>
      <c r="P495" s="243"/>
      <c r="Q495" s="243"/>
      <c r="R495" s="14"/>
      <c r="S495" s="242"/>
      <c r="T495" s="15"/>
      <c r="U495" s="15"/>
      <c r="V495" s="15"/>
      <c r="W495" s="8"/>
      <c r="X495" s="8"/>
      <c r="Y495" s="56"/>
      <c r="Z495" s="56"/>
      <c r="AA495" s="15"/>
      <c r="AB495" s="15"/>
      <c r="AC495" s="15"/>
      <c r="AD495" s="15"/>
      <c r="AE495" s="57"/>
      <c r="AF495" s="57"/>
      <c r="AG495" s="15"/>
      <c r="AH495" s="25"/>
      <c r="AI495" s="26"/>
      <c r="AJ495" s="26"/>
      <c r="AK495" s="27"/>
      <c r="AL495" s="28"/>
      <c r="AM495" s="29"/>
    </row>
    <row r="496" ht="12.75" customHeight="1">
      <c r="A496" s="26"/>
      <c r="B496" s="12"/>
      <c r="C496" s="240"/>
      <c r="D496" s="241"/>
      <c r="E496" s="5"/>
      <c r="F496" s="5"/>
      <c r="G496" s="5"/>
      <c r="H496" s="5"/>
      <c r="I496" s="5"/>
      <c r="J496" s="5"/>
      <c r="K496" s="8"/>
      <c r="L496" s="9"/>
      <c r="M496" s="10"/>
      <c r="N496" s="86"/>
      <c r="O496" s="242"/>
      <c r="P496" s="243"/>
      <c r="Q496" s="243"/>
      <c r="R496" s="14"/>
      <c r="S496" s="242"/>
      <c r="T496" s="15"/>
      <c r="U496" s="15"/>
      <c r="V496" s="15"/>
      <c r="W496" s="8"/>
      <c r="X496" s="8"/>
      <c r="Y496" s="56"/>
      <c r="Z496" s="56"/>
      <c r="AA496" s="15"/>
      <c r="AB496" s="15"/>
      <c r="AC496" s="15"/>
      <c r="AD496" s="15"/>
      <c r="AE496" s="57"/>
      <c r="AF496" s="57"/>
      <c r="AG496" s="15"/>
      <c r="AH496" s="25"/>
      <c r="AI496" s="26"/>
      <c r="AJ496" s="26"/>
      <c r="AK496" s="27"/>
      <c r="AL496" s="28"/>
      <c r="AM496" s="29"/>
    </row>
    <row r="497" ht="12.75" customHeight="1">
      <c r="A497" s="26"/>
      <c r="B497" s="12"/>
      <c r="C497" s="240"/>
      <c r="D497" s="241"/>
      <c r="E497" s="5"/>
      <c r="F497" s="5"/>
      <c r="G497" s="5"/>
      <c r="H497" s="5"/>
      <c r="I497" s="5"/>
      <c r="J497" s="5"/>
      <c r="K497" s="8"/>
      <c r="L497" s="9"/>
      <c r="M497" s="10"/>
      <c r="N497" s="86"/>
      <c r="O497" s="242"/>
      <c r="P497" s="243"/>
      <c r="Q497" s="243"/>
      <c r="R497" s="14"/>
      <c r="S497" s="242"/>
      <c r="T497" s="15"/>
      <c r="U497" s="15"/>
      <c r="V497" s="15"/>
      <c r="W497" s="8"/>
      <c r="X497" s="8"/>
      <c r="Y497" s="56"/>
      <c r="Z497" s="56"/>
      <c r="AA497" s="15"/>
      <c r="AB497" s="15"/>
      <c r="AC497" s="15"/>
      <c r="AD497" s="15"/>
      <c r="AE497" s="57"/>
      <c r="AF497" s="57"/>
      <c r="AG497" s="15"/>
      <c r="AH497" s="25"/>
      <c r="AI497" s="26"/>
      <c r="AJ497" s="26"/>
      <c r="AK497" s="27"/>
      <c r="AL497" s="28"/>
      <c r="AM497" s="29"/>
    </row>
    <row r="498" ht="12.75" customHeight="1">
      <c r="A498" s="26"/>
      <c r="B498" s="12"/>
      <c r="C498" s="240"/>
      <c r="D498" s="241"/>
      <c r="E498" s="5"/>
      <c r="F498" s="5"/>
      <c r="G498" s="5"/>
      <c r="H498" s="5"/>
      <c r="I498" s="5"/>
      <c r="J498" s="5"/>
      <c r="K498" s="8"/>
      <c r="L498" s="9"/>
      <c r="M498" s="10"/>
      <c r="N498" s="86"/>
      <c r="O498" s="242"/>
      <c r="P498" s="243"/>
      <c r="Q498" s="243"/>
      <c r="R498" s="14"/>
      <c r="S498" s="242"/>
      <c r="T498" s="15"/>
      <c r="U498" s="15"/>
      <c r="V498" s="15"/>
      <c r="W498" s="8"/>
      <c r="X498" s="8"/>
      <c r="Y498" s="56"/>
      <c r="Z498" s="56"/>
      <c r="AA498" s="15"/>
      <c r="AB498" s="15"/>
      <c r="AC498" s="15"/>
      <c r="AD498" s="15"/>
      <c r="AE498" s="57"/>
      <c r="AF498" s="57"/>
      <c r="AG498" s="15"/>
      <c r="AH498" s="25"/>
      <c r="AI498" s="26"/>
      <c r="AJ498" s="26"/>
      <c r="AK498" s="27"/>
      <c r="AL498" s="28"/>
      <c r="AM498" s="29"/>
    </row>
    <row r="499" ht="12.75" customHeight="1">
      <c r="A499" s="26"/>
      <c r="B499" s="12"/>
      <c r="C499" s="240"/>
      <c r="D499" s="241"/>
      <c r="E499" s="5"/>
      <c r="F499" s="5"/>
      <c r="G499" s="5"/>
      <c r="H499" s="5"/>
      <c r="I499" s="5"/>
      <c r="J499" s="5"/>
      <c r="K499" s="8"/>
      <c r="L499" s="9"/>
      <c r="M499" s="10"/>
      <c r="N499" s="86"/>
      <c r="O499" s="242"/>
      <c r="P499" s="243"/>
      <c r="Q499" s="243"/>
      <c r="R499" s="14"/>
      <c r="S499" s="242"/>
      <c r="T499" s="15"/>
      <c r="U499" s="15"/>
      <c r="V499" s="15"/>
      <c r="W499" s="8"/>
      <c r="X499" s="8"/>
      <c r="Y499" s="56"/>
      <c r="Z499" s="56"/>
      <c r="AA499" s="15"/>
      <c r="AB499" s="15"/>
      <c r="AC499" s="15"/>
      <c r="AD499" s="15"/>
      <c r="AE499" s="57"/>
      <c r="AF499" s="57"/>
      <c r="AG499" s="15"/>
      <c r="AH499" s="25"/>
      <c r="AI499" s="26"/>
      <c r="AJ499" s="26"/>
      <c r="AK499" s="27"/>
      <c r="AL499" s="28"/>
      <c r="AM499" s="29"/>
    </row>
    <row r="500" ht="12.75" customHeight="1">
      <c r="A500" s="26"/>
      <c r="B500" s="12"/>
      <c r="C500" s="240"/>
      <c r="D500" s="241"/>
      <c r="E500" s="5"/>
      <c r="F500" s="5"/>
      <c r="G500" s="5"/>
      <c r="H500" s="5"/>
      <c r="I500" s="5"/>
      <c r="J500" s="5"/>
      <c r="K500" s="8"/>
      <c r="L500" s="9"/>
      <c r="M500" s="10"/>
      <c r="N500" s="86"/>
      <c r="O500" s="242"/>
      <c r="P500" s="243"/>
      <c r="Q500" s="243"/>
      <c r="R500" s="14"/>
      <c r="S500" s="242"/>
      <c r="T500" s="15"/>
      <c r="U500" s="15"/>
      <c r="V500" s="15"/>
      <c r="W500" s="8"/>
      <c r="X500" s="8"/>
      <c r="Y500" s="56"/>
      <c r="Z500" s="56"/>
      <c r="AA500" s="15"/>
      <c r="AB500" s="15"/>
      <c r="AC500" s="15"/>
      <c r="AD500" s="15"/>
      <c r="AE500" s="57"/>
      <c r="AF500" s="57"/>
      <c r="AG500" s="15"/>
      <c r="AH500" s="25"/>
      <c r="AI500" s="26"/>
      <c r="AJ500" s="26"/>
      <c r="AK500" s="27"/>
      <c r="AL500" s="28"/>
      <c r="AM500" s="29"/>
    </row>
    <row r="501" ht="12.75" customHeight="1">
      <c r="A501" s="26"/>
      <c r="B501" s="12"/>
      <c r="C501" s="240"/>
      <c r="D501" s="241"/>
      <c r="E501" s="5"/>
      <c r="F501" s="5"/>
      <c r="G501" s="5"/>
      <c r="H501" s="5"/>
      <c r="I501" s="5"/>
      <c r="J501" s="5"/>
      <c r="K501" s="8"/>
      <c r="L501" s="9"/>
      <c r="M501" s="10"/>
      <c r="N501" s="86"/>
      <c r="O501" s="242"/>
      <c r="P501" s="243"/>
      <c r="Q501" s="243"/>
      <c r="R501" s="14"/>
      <c r="S501" s="242"/>
      <c r="T501" s="15"/>
      <c r="U501" s="15"/>
      <c r="V501" s="15"/>
      <c r="W501" s="8"/>
      <c r="X501" s="8"/>
      <c r="Y501" s="56"/>
      <c r="Z501" s="56"/>
      <c r="AA501" s="15"/>
      <c r="AB501" s="15"/>
      <c r="AC501" s="15"/>
      <c r="AD501" s="15"/>
      <c r="AE501" s="57"/>
      <c r="AF501" s="57"/>
      <c r="AG501" s="15"/>
      <c r="AH501" s="25"/>
      <c r="AI501" s="26"/>
      <c r="AJ501" s="26"/>
      <c r="AK501" s="27"/>
      <c r="AL501" s="28"/>
      <c r="AM501" s="29"/>
    </row>
    <row r="502" ht="12.75" customHeight="1">
      <c r="A502" s="26"/>
      <c r="B502" s="12"/>
      <c r="C502" s="240"/>
      <c r="D502" s="241"/>
      <c r="E502" s="5"/>
      <c r="F502" s="5"/>
      <c r="G502" s="5"/>
      <c r="H502" s="5"/>
      <c r="I502" s="5"/>
      <c r="J502" s="5"/>
      <c r="K502" s="8"/>
      <c r="L502" s="9"/>
      <c r="M502" s="10"/>
      <c r="N502" s="86"/>
      <c r="O502" s="242"/>
      <c r="P502" s="243"/>
      <c r="Q502" s="243"/>
      <c r="R502" s="14"/>
      <c r="S502" s="242"/>
      <c r="T502" s="15"/>
      <c r="U502" s="15"/>
      <c r="V502" s="15"/>
      <c r="W502" s="8"/>
      <c r="X502" s="8"/>
      <c r="Y502" s="56"/>
      <c r="Z502" s="56"/>
      <c r="AA502" s="15"/>
      <c r="AB502" s="15"/>
      <c r="AC502" s="15"/>
      <c r="AD502" s="15"/>
      <c r="AE502" s="57"/>
      <c r="AF502" s="57"/>
      <c r="AG502" s="15"/>
      <c r="AH502" s="25"/>
      <c r="AI502" s="26"/>
      <c r="AJ502" s="26"/>
      <c r="AK502" s="27"/>
      <c r="AL502" s="28"/>
      <c r="AM502" s="29"/>
    </row>
    <row r="503" ht="12.75" customHeight="1">
      <c r="A503" s="26"/>
      <c r="B503" s="12"/>
      <c r="C503" s="240"/>
      <c r="D503" s="241"/>
      <c r="E503" s="5"/>
      <c r="F503" s="5"/>
      <c r="G503" s="5"/>
      <c r="H503" s="5"/>
      <c r="I503" s="5"/>
      <c r="J503" s="5"/>
      <c r="K503" s="8"/>
      <c r="L503" s="9"/>
      <c r="M503" s="10"/>
      <c r="N503" s="86"/>
      <c r="O503" s="242"/>
      <c r="P503" s="243"/>
      <c r="Q503" s="243"/>
      <c r="R503" s="14"/>
      <c r="S503" s="242"/>
      <c r="T503" s="15"/>
      <c r="U503" s="15"/>
      <c r="V503" s="15"/>
      <c r="W503" s="8"/>
      <c r="X503" s="8"/>
      <c r="Y503" s="56"/>
      <c r="Z503" s="56"/>
      <c r="AA503" s="15"/>
      <c r="AB503" s="15"/>
      <c r="AC503" s="15"/>
      <c r="AD503" s="15"/>
      <c r="AE503" s="57"/>
      <c r="AF503" s="57"/>
      <c r="AG503" s="15"/>
      <c r="AH503" s="25"/>
      <c r="AI503" s="26"/>
      <c r="AJ503" s="26"/>
      <c r="AK503" s="27"/>
      <c r="AL503" s="28"/>
      <c r="AM503" s="29"/>
    </row>
    <row r="504" ht="12.75" customHeight="1">
      <c r="A504" s="26"/>
      <c r="B504" s="12"/>
      <c r="C504" s="240"/>
      <c r="D504" s="241"/>
      <c r="E504" s="5"/>
      <c r="F504" s="5"/>
      <c r="G504" s="5"/>
      <c r="H504" s="5"/>
      <c r="I504" s="5"/>
      <c r="J504" s="5"/>
      <c r="K504" s="8"/>
      <c r="L504" s="9"/>
      <c r="M504" s="10"/>
      <c r="N504" s="86"/>
      <c r="O504" s="242"/>
      <c r="P504" s="243"/>
      <c r="Q504" s="243"/>
      <c r="R504" s="14"/>
      <c r="S504" s="242"/>
      <c r="T504" s="15"/>
      <c r="U504" s="15"/>
      <c r="V504" s="15"/>
      <c r="W504" s="8"/>
      <c r="X504" s="8"/>
      <c r="Y504" s="56"/>
      <c r="Z504" s="56"/>
      <c r="AA504" s="15"/>
      <c r="AB504" s="15"/>
      <c r="AC504" s="15"/>
      <c r="AD504" s="15"/>
      <c r="AE504" s="57"/>
      <c r="AF504" s="57"/>
      <c r="AG504" s="15"/>
      <c r="AH504" s="25"/>
      <c r="AI504" s="26"/>
      <c r="AJ504" s="26"/>
      <c r="AK504" s="27"/>
      <c r="AL504" s="28"/>
      <c r="AM504" s="29"/>
    </row>
    <row r="505" ht="12.75" customHeight="1">
      <c r="A505" s="26"/>
      <c r="B505" s="12"/>
      <c r="C505" s="240"/>
      <c r="D505" s="241"/>
      <c r="E505" s="5"/>
      <c r="F505" s="5"/>
      <c r="G505" s="5"/>
      <c r="H505" s="5"/>
      <c r="I505" s="5"/>
      <c r="J505" s="5"/>
      <c r="K505" s="8"/>
      <c r="L505" s="9"/>
      <c r="M505" s="10"/>
      <c r="N505" s="86"/>
      <c r="O505" s="242"/>
      <c r="P505" s="243"/>
      <c r="Q505" s="243"/>
      <c r="R505" s="14"/>
      <c r="S505" s="242"/>
      <c r="T505" s="15"/>
      <c r="U505" s="15"/>
      <c r="V505" s="15"/>
      <c r="W505" s="8"/>
      <c r="X505" s="8"/>
      <c r="Y505" s="56"/>
      <c r="Z505" s="56"/>
      <c r="AA505" s="15"/>
      <c r="AB505" s="15"/>
      <c r="AC505" s="15"/>
      <c r="AD505" s="15"/>
      <c r="AE505" s="57"/>
      <c r="AF505" s="57"/>
      <c r="AG505" s="15"/>
      <c r="AH505" s="25"/>
      <c r="AI505" s="26"/>
      <c r="AJ505" s="26"/>
      <c r="AK505" s="27"/>
      <c r="AL505" s="28"/>
      <c r="AM505" s="29"/>
    </row>
    <row r="506" ht="12.75" customHeight="1">
      <c r="A506" s="26"/>
      <c r="B506" s="12"/>
      <c r="C506" s="240"/>
      <c r="D506" s="241"/>
      <c r="E506" s="5"/>
      <c r="F506" s="5"/>
      <c r="G506" s="5"/>
      <c r="H506" s="5"/>
      <c r="I506" s="5"/>
      <c r="J506" s="5"/>
      <c r="K506" s="8"/>
      <c r="L506" s="9"/>
      <c r="M506" s="10"/>
      <c r="N506" s="86"/>
      <c r="O506" s="242"/>
      <c r="P506" s="243"/>
      <c r="Q506" s="243"/>
      <c r="R506" s="14"/>
      <c r="S506" s="242"/>
      <c r="T506" s="15"/>
      <c r="U506" s="15"/>
      <c r="V506" s="15"/>
      <c r="W506" s="8"/>
      <c r="X506" s="8"/>
      <c r="Y506" s="56"/>
      <c r="Z506" s="56"/>
      <c r="AA506" s="15"/>
      <c r="AB506" s="15"/>
      <c r="AC506" s="15"/>
      <c r="AD506" s="15"/>
      <c r="AE506" s="57"/>
      <c r="AF506" s="57"/>
      <c r="AG506" s="15"/>
      <c r="AH506" s="25"/>
      <c r="AI506" s="26"/>
      <c r="AJ506" s="26"/>
      <c r="AK506" s="27"/>
      <c r="AL506" s="28"/>
      <c r="AM506" s="29"/>
    </row>
    <row r="507" ht="12.75" customHeight="1">
      <c r="A507" s="26"/>
      <c r="B507" s="12"/>
      <c r="C507" s="240"/>
      <c r="D507" s="241"/>
      <c r="E507" s="5"/>
      <c r="F507" s="5"/>
      <c r="G507" s="5"/>
      <c r="H507" s="5"/>
      <c r="I507" s="5"/>
      <c r="J507" s="5"/>
      <c r="K507" s="8"/>
      <c r="L507" s="9"/>
      <c r="M507" s="10"/>
      <c r="N507" s="86"/>
      <c r="O507" s="242"/>
      <c r="P507" s="243"/>
      <c r="Q507" s="243"/>
      <c r="R507" s="14"/>
      <c r="S507" s="242"/>
      <c r="T507" s="15"/>
      <c r="U507" s="15"/>
      <c r="V507" s="15"/>
      <c r="W507" s="8"/>
      <c r="X507" s="8"/>
      <c r="Y507" s="56"/>
      <c r="Z507" s="56"/>
      <c r="AA507" s="15"/>
      <c r="AB507" s="15"/>
      <c r="AC507" s="15"/>
      <c r="AD507" s="15"/>
      <c r="AE507" s="57"/>
      <c r="AF507" s="57"/>
      <c r="AG507" s="15"/>
      <c r="AH507" s="25"/>
      <c r="AI507" s="26"/>
      <c r="AJ507" s="26"/>
      <c r="AK507" s="27"/>
      <c r="AL507" s="28"/>
      <c r="AM507" s="29"/>
    </row>
    <row r="508" ht="12.75" customHeight="1">
      <c r="A508" s="26"/>
      <c r="B508" s="12"/>
      <c r="C508" s="240"/>
      <c r="D508" s="241"/>
      <c r="E508" s="5"/>
      <c r="F508" s="5"/>
      <c r="G508" s="5"/>
      <c r="H508" s="5"/>
      <c r="I508" s="5"/>
      <c r="J508" s="5"/>
      <c r="K508" s="8"/>
      <c r="L508" s="9"/>
      <c r="M508" s="10"/>
      <c r="N508" s="86"/>
      <c r="O508" s="242"/>
      <c r="P508" s="243"/>
      <c r="Q508" s="243"/>
      <c r="R508" s="14"/>
      <c r="S508" s="242"/>
      <c r="T508" s="15"/>
      <c r="U508" s="15"/>
      <c r="V508" s="15"/>
      <c r="W508" s="8"/>
      <c r="X508" s="8"/>
      <c r="Y508" s="56"/>
      <c r="Z508" s="56"/>
      <c r="AA508" s="15"/>
      <c r="AB508" s="15"/>
      <c r="AC508" s="15"/>
      <c r="AD508" s="15"/>
      <c r="AE508" s="57"/>
      <c r="AF508" s="57"/>
      <c r="AG508" s="15"/>
      <c r="AH508" s="25"/>
      <c r="AI508" s="26"/>
      <c r="AJ508" s="26"/>
      <c r="AK508" s="27"/>
      <c r="AL508" s="28"/>
      <c r="AM508" s="29"/>
    </row>
    <row r="509" ht="12.75" customHeight="1">
      <c r="A509" s="26"/>
      <c r="B509" s="12"/>
      <c r="C509" s="240"/>
      <c r="D509" s="241"/>
      <c r="E509" s="5"/>
      <c r="F509" s="5"/>
      <c r="G509" s="5"/>
      <c r="H509" s="5"/>
      <c r="I509" s="5"/>
      <c r="J509" s="5"/>
      <c r="K509" s="8"/>
      <c r="L509" s="9"/>
      <c r="M509" s="10"/>
      <c r="N509" s="86"/>
      <c r="O509" s="242"/>
      <c r="P509" s="243"/>
      <c r="Q509" s="243"/>
      <c r="R509" s="14"/>
      <c r="S509" s="242"/>
      <c r="T509" s="15"/>
      <c r="U509" s="15"/>
      <c r="V509" s="15"/>
      <c r="W509" s="8"/>
      <c r="X509" s="8"/>
      <c r="Y509" s="56"/>
      <c r="Z509" s="56"/>
      <c r="AA509" s="15"/>
      <c r="AB509" s="15"/>
      <c r="AC509" s="15"/>
      <c r="AD509" s="15"/>
      <c r="AE509" s="57"/>
      <c r="AF509" s="57"/>
      <c r="AG509" s="15"/>
      <c r="AH509" s="25"/>
      <c r="AI509" s="26"/>
      <c r="AJ509" s="26"/>
      <c r="AK509" s="27"/>
      <c r="AL509" s="28"/>
      <c r="AM509" s="29"/>
    </row>
    <row r="510" ht="12.75" customHeight="1">
      <c r="A510" s="26"/>
      <c r="B510" s="12"/>
      <c r="C510" s="240"/>
      <c r="D510" s="241"/>
      <c r="E510" s="5"/>
      <c r="F510" s="5"/>
      <c r="G510" s="5"/>
      <c r="H510" s="5"/>
      <c r="I510" s="5"/>
      <c r="J510" s="5"/>
      <c r="K510" s="8"/>
      <c r="L510" s="9"/>
      <c r="M510" s="10"/>
      <c r="N510" s="86"/>
      <c r="O510" s="242"/>
      <c r="P510" s="243"/>
      <c r="Q510" s="243"/>
      <c r="R510" s="14"/>
      <c r="S510" s="242"/>
      <c r="T510" s="15"/>
      <c r="U510" s="15"/>
      <c r="V510" s="15"/>
      <c r="W510" s="8"/>
      <c r="X510" s="8"/>
      <c r="Y510" s="56"/>
      <c r="Z510" s="56"/>
      <c r="AA510" s="15"/>
      <c r="AB510" s="15"/>
      <c r="AC510" s="15"/>
      <c r="AD510" s="15"/>
      <c r="AE510" s="57"/>
      <c r="AF510" s="57"/>
      <c r="AG510" s="15"/>
      <c r="AH510" s="25"/>
      <c r="AI510" s="26"/>
      <c r="AJ510" s="26"/>
      <c r="AK510" s="27"/>
      <c r="AL510" s="28"/>
      <c r="AM510" s="29"/>
    </row>
    <row r="511" ht="12.75" customHeight="1">
      <c r="A511" s="26"/>
      <c r="B511" s="12"/>
      <c r="C511" s="240"/>
      <c r="D511" s="241"/>
      <c r="E511" s="5"/>
      <c r="F511" s="5"/>
      <c r="G511" s="5"/>
      <c r="H511" s="5"/>
      <c r="I511" s="5"/>
      <c r="J511" s="5"/>
      <c r="K511" s="8"/>
      <c r="L511" s="9"/>
      <c r="M511" s="10"/>
      <c r="N511" s="86"/>
      <c r="O511" s="242"/>
      <c r="P511" s="243"/>
      <c r="Q511" s="243"/>
      <c r="R511" s="14"/>
      <c r="S511" s="242"/>
      <c r="T511" s="15"/>
      <c r="U511" s="15"/>
      <c r="V511" s="15"/>
      <c r="W511" s="8"/>
      <c r="X511" s="8"/>
      <c r="Y511" s="56"/>
      <c r="Z511" s="56"/>
      <c r="AA511" s="15"/>
      <c r="AB511" s="15"/>
      <c r="AC511" s="15"/>
      <c r="AD511" s="15"/>
      <c r="AE511" s="57"/>
      <c r="AF511" s="57"/>
      <c r="AG511" s="15"/>
      <c r="AH511" s="25"/>
      <c r="AI511" s="26"/>
      <c r="AJ511" s="26"/>
      <c r="AK511" s="27"/>
      <c r="AL511" s="28"/>
      <c r="AM511" s="29"/>
    </row>
    <row r="512" ht="12.75" customHeight="1">
      <c r="A512" s="26"/>
      <c r="B512" s="12"/>
      <c r="C512" s="240"/>
      <c r="D512" s="241"/>
      <c r="E512" s="5"/>
      <c r="F512" s="5"/>
      <c r="G512" s="5"/>
      <c r="H512" s="5"/>
      <c r="I512" s="5"/>
      <c r="J512" s="5"/>
      <c r="K512" s="8"/>
      <c r="L512" s="9"/>
      <c r="M512" s="10"/>
      <c r="N512" s="86"/>
      <c r="O512" s="242"/>
      <c r="P512" s="243"/>
      <c r="Q512" s="243"/>
      <c r="R512" s="14"/>
      <c r="S512" s="242"/>
      <c r="T512" s="15"/>
      <c r="U512" s="15"/>
      <c r="V512" s="15"/>
      <c r="W512" s="8"/>
      <c r="X512" s="8"/>
      <c r="Y512" s="56"/>
      <c r="Z512" s="56"/>
      <c r="AA512" s="15"/>
      <c r="AB512" s="15"/>
      <c r="AC512" s="15"/>
      <c r="AD512" s="15"/>
      <c r="AE512" s="57"/>
      <c r="AF512" s="57"/>
      <c r="AG512" s="15"/>
      <c r="AH512" s="25"/>
      <c r="AI512" s="26"/>
      <c r="AJ512" s="26"/>
      <c r="AK512" s="27"/>
      <c r="AL512" s="28"/>
      <c r="AM512" s="29"/>
    </row>
    <row r="513" ht="12.75" customHeight="1">
      <c r="A513" s="26"/>
      <c r="B513" s="12"/>
      <c r="C513" s="240"/>
      <c r="D513" s="241"/>
      <c r="E513" s="5"/>
      <c r="F513" s="5"/>
      <c r="G513" s="5"/>
      <c r="H513" s="5"/>
      <c r="I513" s="5"/>
      <c r="J513" s="5"/>
      <c r="K513" s="8"/>
      <c r="L513" s="9"/>
      <c r="M513" s="10"/>
      <c r="N513" s="86"/>
      <c r="O513" s="242"/>
      <c r="P513" s="243"/>
      <c r="Q513" s="243"/>
      <c r="R513" s="14"/>
      <c r="S513" s="242"/>
      <c r="T513" s="15"/>
      <c r="U513" s="15"/>
      <c r="V513" s="15"/>
      <c r="W513" s="8"/>
      <c r="X513" s="8"/>
      <c r="Y513" s="56"/>
      <c r="Z513" s="56"/>
      <c r="AA513" s="15"/>
      <c r="AB513" s="15"/>
      <c r="AC513" s="15"/>
      <c r="AD513" s="15"/>
      <c r="AE513" s="57"/>
      <c r="AF513" s="57"/>
      <c r="AG513" s="15"/>
      <c r="AH513" s="25"/>
      <c r="AI513" s="26"/>
      <c r="AJ513" s="26"/>
      <c r="AK513" s="27"/>
      <c r="AL513" s="28"/>
      <c r="AM513" s="29"/>
    </row>
    <row r="514" ht="12.75" customHeight="1">
      <c r="A514" s="26"/>
      <c r="B514" s="12"/>
      <c r="C514" s="240"/>
      <c r="D514" s="241"/>
      <c r="E514" s="5"/>
      <c r="F514" s="5"/>
      <c r="G514" s="5"/>
      <c r="H514" s="5"/>
      <c r="I514" s="5"/>
      <c r="J514" s="5"/>
      <c r="K514" s="8"/>
      <c r="L514" s="9"/>
      <c r="M514" s="10"/>
      <c r="N514" s="86"/>
      <c r="O514" s="242"/>
      <c r="P514" s="243"/>
      <c r="Q514" s="243"/>
      <c r="R514" s="14"/>
      <c r="S514" s="242"/>
      <c r="T514" s="15"/>
      <c r="U514" s="15"/>
      <c r="V514" s="15"/>
      <c r="W514" s="8"/>
      <c r="X514" s="8"/>
      <c r="Y514" s="56"/>
      <c r="Z514" s="56"/>
      <c r="AA514" s="15"/>
      <c r="AB514" s="15"/>
      <c r="AC514" s="15"/>
      <c r="AD514" s="15"/>
      <c r="AE514" s="57"/>
      <c r="AF514" s="57"/>
      <c r="AG514" s="15"/>
      <c r="AH514" s="25"/>
      <c r="AI514" s="26"/>
      <c r="AJ514" s="26"/>
      <c r="AK514" s="27"/>
      <c r="AL514" s="28"/>
      <c r="AM514" s="29"/>
    </row>
    <row r="515" ht="12.75" customHeight="1">
      <c r="A515" s="26"/>
      <c r="B515" s="12"/>
      <c r="C515" s="240"/>
      <c r="D515" s="241"/>
      <c r="E515" s="5"/>
      <c r="F515" s="5"/>
      <c r="G515" s="5"/>
      <c r="H515" s="5"/>
      <c r="I515" s="5"/>
      <c r="J515" s="5"/>
      <c r="K515" s="8"/>
      <c r="L515" s="9"/>
      <c r="M515" s="10"/>
      <c r="N515" s="86"/>
      <c r="O515" s="242"/>
      <c r="P515" s="243"/>
      <c r="Q515" s="243"/>
      <c r="R515" s="14"/>
      <c r="S515" s="242"/>
      <c r="T515" s="15"/>
      <c r="U515" s="15"/>
      <c r="V515" s="15"/>
      <c r="W515" s="8"/>
      <c r="X515" s="8"/>
      <c r="Y515" s="56"/>
      <c r="Z515" s="56"/>
      <c r="AA515" s="15"/>
      <c r="AB515" s="15"/>
      <c r="AC515" s="15"/>
      <c r="AD515" s="15"/>
      <c r="AE515" s="57"/>
      <c r="AF515" s="57"/>
      <c r="AG515" s="15"/>
      <c r="AH515" s="25"/>
      <c r="AI515" s="26"/>
      <c r="AJ515" s="26"/>
      <c r="AK515" s="27"/>
      <c r="AL515" s="28"/>
      <c r="AM515" s="29"/>
    </row>
    <row r="516" ht="12.75" customHeight="1">
      <c r="A516" s="26"/>
      <c r="B516" s="12"/>
      <c r="C516" s="240"/>
      <c r="D516" s="241"/>
      <c r="E516" s="5"/>
      <c r="F516" s="5"/>
      <c r="G516" s="5"/>
      <c r="H516" s="5"/>
      <c r="I516" s="5"/>
      <c r="J516" s="5"/>
      <c r="K516" s="8"/>
      <c r="L516" s="9"/>
      <c r="M516" s="10"/>
      <c r="N516" s="86"/>
      <c r="O516" s="242"/>
      <c r="P516" s="243"/>
      <c r="Q516" s="243"/>
      <c r="R516" s="14"/>
      <c r="S516" s="242"/>
      <c r="T516" s="15"/>
      <c r="U516" s="15"/>
      <c r="V516" s="15"/>
      <c r="W516" s="8"/>
      <c r="X516" s="8"/>
      <c r="Y516" s="56"/>
      <c r="Z516" s="56"/>
      <c r="AA516" s="15"/>
      <c r="AB516" s="15"/>
      <c r="AC516" s="15"/>
      <c r="AD516" s="15"/>
      <c r="AE516" s="57"/>
      <c r="AF516" s="57"/>
      <c r="AG516" s="15"/>
      <c r="AH516" s="25"/>
      <c r="AI516" s="26"/>
      <c r="AJ516" s="26"/>
      <c r="AK516" s="27"/>
      <c r="AL516" s="28"/>
      <c r="AM516" s="29"/>
    </row>
    <row r="517" ht="12.75" customHeight="1">
      <c r="A517" s="26"/>
      <c r="B517" s="12"/>
      <c r="C517" s="240"/>
      <c r="D517" s="241"/>
      <c r="E517" s="5"/>
      <c r="F517" s="5"/>
      <c r="G517" s="5"/>
      <c r="H517" s="5"/>
      <c r="I517" s="5"/>
      <c r="J517" s="5"/>
      <c r="K517" s="8"/>
      <c r="L517" s="9"/>
      <c r="M517" s="10"/>
      <c r="N517" s="86"/>
      <c r="O517" s="242"/>
      <c r="P517" s="243"/>
      <c r="Q517" s="243"/>
      <c r="R517" s="14"/>
      <c r="S517" s="242"/>
      <c r="T517" s="15"/>
      <c r="U517" s="15"/>
      <c r="V517" s="15"/>
      <c r="W517" s="8"/>
      <c r="X517" s="8"/>
      <c r="Y517" s="56"/>
      <c r="Z517" s="56"/>
      <c r="AA517" s="15"/>
      <c r="AB517" s="15"/>
      <c r="AC517" s="15"/>
      <c r="AD517" s="15"/>
      <c r="AE517" s="57"/>
      <c r="AF517" s="57"/>
      <c r="AG517" s="15"/>
      <c r="AH517" s="25"/>
      <c r="AI517" s="26"/>
      <c r="AJ517" s="26"/>
      <c r="AK517" s="27"/>
      <c r="AL517" s="28"/>
      <c r="AM517" s="29"/>
    </row>
    <row r="518" ht="12.75" customHeight="1">
      <c r="A518" s="26"/>
      <c r="B518" s="12"/>
      <c r="C518" s="240"/>
      <c r="D518" s="241"/>
      <c r="E518" s="5"/>
      <c r="F518" s="5"/>
      <c r="G518" s="5"/>
      <c r="H518" s="5"/>
      <c r="I518" s="5"/>
      <c r="J518" s="5"/>
      <c r="K518" s="8"/>
      <c r="L518" s="9"/>
      <c r="M518" s="10"/>
      <c r="N518" s="86"/>
      <c r="O518" s="242"/>
      <c r="P518" s="243"/>
      <c r="Q518" s="243"/>
      <c r="R518" s="14"/>
      <c r="S518" s="242"/>
      <c r="T518" s="15"/>
      <c r="U518" s="15"/>
      <c r="V518" s="15"/>
      <c r="W518" s="8"/>
      <c r="X518" s="8"/>
      <c r="Y518" s="56"/>
      <c r="Z518" s="56"/>
      <c r="AA518" s="15"/>
      <c r="AB518" s="15"/>
      <c r="AC518" s="15"/>
      <c r="AD518" s="15"/>
      <c r="AE518" s="57"/>
      <c r="AF518" s="57"/>
      <c r="AG518" s="15"/>
      <c r="AH518" s="25"/>
      <c r="AI518" s="26"/>
      <c r="AJ518" s="26"/>
      <c r="AK518" s="27"/>
      <c r="AL518" s="28"/>
      <c r="AM518" s="29"/>
    </row>
    <row r="519" ht="12.75" customHeight="1">
      <c r="A519" s="26"/>
      <c r="B519" s="12"/>
      <c r="C519" s="240"/>
      <c r="D519" s="241"/>
      <c r="E519" s="5"/>
      <c r="F519" s="5"/>
      <c r="G519" s="5"/>
      <c r="H519" s="5"/>
      <c r="I519" s="5"/>
      <c r="J519" s="5"/>
      <c r="K519" s="8"/>
      <c r="L519" s="9"/>
      <c r="M519" s="10"/>
      <c r="N519" s="86"/>
      <c r="O519" s="242"/>
      <c r="P519" s="243"/>
      <c r="Q519" s="243"/>
      <c r="R519" s="14"/>
      <c r="S519" s="242"/>
      <c r="T519" s="15"/>
      <c r="U519" s="15"/>
      <c r="V519" s="15"/>
      <c r="W519" s="8"/>
      <c r="X519" s="8"/>
      <c r="Y519" s="56"/>
      <c r="Z519" s="56"/>
      <c r="AA519" s="15"/>
      <c r="AB519" s="15"/>
      <c r="AC519" s="15"/>
      <c r="AD519" s="15"/>
      <c r="AE519" s="57"/>
      <c r="AF519" s="57"/>
      <c r="AG519" s="15"/>
      <c r="AH519" s="25"/>
      <c r="AI519" s="26"/>
      <c r="AJ519" s="26"/>
      <c r="AK519" s="27"/>
      <c r="AL519" s="28"/>
      <c r="AM519" s="29"/>
    </row>
    <row r="520" ht="12.75" customHeight="1">
      <c r="A520" s="26"/>
      <c r="B520" s="12"/>
      <c r="C520" s="240"/>
      <c r="D520" s="241"/>
      <c r="E520" s="5"/>
      <c r="F520" s="5"/>
      <c r="G520" s="5"/>
      <c r="H520" s="5"/>
      <c r="I520" s="5"/>
      <c r="J520" s="5"/>
      <c r="K520" s="8"/>
      <c r="L520" s="9"/>
      <c r="M520" s="10"/>
      <c r="N520" s="86"/>
      <c r="O520" s="242"/>
      <c r="P520" s="243"/>
      <c r="Q520" s="243"/>
      <c r="R520" s="14"/>
      <c r="S520" s="242"/>
      <c r="T520" s="15"/>
      <c r="U520" s="15"/>
      <c r="V520" s="15"/>
      <c r="W520" s="8"/>
      <c r="X520" s="8"/>
      <c r="Y520" s="56"/>
      <c r="Z520" s="56"/>
      <c r="AA520" s="15"/>
      <c r="AB520" s="15"/>
      <c r="AC520" s="15"/>
      <c r="AD520" s="15"/>
      <c r="AE520" s="57"/>
      <c r="AF520" s="57"/>
      <c r="AG520" s="15"/>
      <c r="AH520" s="25"/>
      <c r="AI520" s="26"/>
      <c r="AJ520" s="26"/>
      <c r="AK520" s="27"/>
      <c r="AL520" s="28"/>
      <c r="AM520" s="29"/>
    </row>
    <row r="521" ht="12.75" customHeight="1">
      <c r="A521" s="26"/>
      <c r="B521" s="12"/>
      <c r="C521" s="240"/>
      <c r="D521" s="241"/>
      <c r="E521" s="5"/>
      <c r="F521" s="5"/>
      <c r="G521" s="5"/>
      <c r="H521" s="5"/>
      <c r="I521" s="5"/>
      <c r="J521" s="5"/>
      <c r="K521" s="8"/>
      <c r="L521" s="9"/>
      <c r="M521" s="10"/>
      <c r="N521" s="86"/>
      <c r="O521" s="242"/>
      <c r="P521" s="243"/>
      <c r="Q521" s="243"/>
      <c r="R521" s="14"/>
      <c r="S521" s="242"/>
      <c r="T521" s="15"/>
      <c r="U521" s="15"/>
      <c r="V521" s="15"/>
      <c r="W521" s="8"/>
      <c r="X521" s="8"/>
      <c r="Y521" s="56"/>
      <c r="Z521" s="56"/>
      <c r="AA521" s="15"/>
      <c r="AB521" s="15"/>
      <c r="AC521" s="15"/>
      <c r="AD521" s="15"/>
      <c r="AE521" s="57"/>
      <c r="AF521" s="57"/>
      <c r="AG521" s="15"/>
      <c r="AH521" s="25"/>
      <c r="AI521" s="26"/>
      <c r="AJ521" s="26"/>
      <c r="AK521" s="27"/>
      <c r="AL521" s="28"/>
      <c r="AM521" s="29"/>
    </row>
    <row r="522" ht="12.75" customHeight="1">
      <c r="A522" s="26"/>
      <c r="B522" s="12"/>
      <c r="C522" s="240"/>
      <c r="D522" s="241"/>
      <c r="E522" s="5"/>
      <c r="F522" s="5"/>
      <c r="G522" s="5"/>
      <c r="H522" s="5"/>
      <c r="I522" s="5"/>
      <c r="J522" s="5"/>
      <c r="K522" s="8"/>
      <c r="L522" s="9"/>
      <c r="M522" s="10"/>
      <c r="N522" s="86"/>
      <c r="O522" s="242"/>
      <c r="P522" s="243"/>
      <c r="Q522" s="243"/>
      <c r="R522" s="14"/>
      <c r="S522" s="242"/>
      <c r="T522" s="15"/>
      <c r="U522" s="15"/>
      <c r="V522" s="15"/>
      <c r="W522" s="8"/>
      <c r="X522" s="8"/>
      <c r="Y522" s="56"/>
      <c r="Z522" s="56"/>
      <c r="AA522" s="15"/>
      <c r="AB522" s="15"/>
      <c r="AC522" s="15"/>
      <c r="AD522" s="15"/>
      <c r="AE522" s="57"/>
      <c r="AF522" s="57"/>
      <c r="AG522" s="15"/>
      <c r="AH522" s="25"/>
      <c r="AI522" s="26"/>
      <c r="AJ522" s="26"/>
      <c r="AK522" s="27"/>
      <c r="AL522" s="28"/>
      <c r="AM522" s="29"/>
    </row>
    <row r="523" ht="12.75" customHeight="1">
      <c r="A523" s="26"/>
      <c r="B523" s="12"/>
      <c r="C523" s="240"/>
      <c r="D523" s="241"/>
      <c r="E523" s="5"/>
      <c r="F523" s="5"/>
      <c r="G523" s="5"/>
      <c r="H523" s="5"/>
      <c r="I523" s="5"/>
      <c r="J523" s="5"/>
      <c r="K523" s="8"/>
      <c r="L523" s="9"/>
      <c r="M523" s="10"/>
      <c r="N523" s="86"/>
      <c r="O523" s="242"/>
      <c r="P523" s="243"/>
      <c r="Q523" s="243"/>
      <c r="R523" s="14"/>
      <c r="S523" s="242"/>
      <c r="T523" s="15"/>
      <c r="U523" s="15"/>
      <c r="V523" s="15"/>
      <c r="W523" s="8"/>
      <c r="X523" s="8"/>
      <c r="Y523" s="56"/>
      <c r="Z523" s="56"/>
      <c r="AA523" s="15"/>
      <c r="AB523" s="15"/>
      <c r="AC523" s="15"/>
      <c r="AD523" s="15"/>
      <c r="AE523" s="57"/>
      <c r="AF523" s="57"/>
      <c r="AG523" s="15"/>
      <c r="AH523" s="25"/>
      <c r="AI523" s="26"/>
      <c r="AJ523" s="26"/>
      <c r="AK523" s="27"/>
      <c r="AL523" s="28"/>
      <c r="AM523" s="29"/>
    </row>
    <row r="524" ht="12.75" customHeight="1">
      <c r="A524" s="26"/>
      <c r="B524" s="12"/>
      <c r="C524" s="240"/>
      <c r="D524" s="241"/>
      <c r="E524" s="5"/>
      <c r="F524" s="5"/>
      <c r="G524" s="5"/>
      <c r="H524" s="5"/>
      <c r="I524" s="5"/>
      <c r="J524" s="5"/>
      <c r="K524" s="8"/>
      <c r="L524" s="9"/>
      <c r="M524" s="10"/>
      <c r="N524" s="86"/>
      <c r="O524" s="242"/>
      <c r="P524" s="243"/>
      <c r="Q524" s="243"/>
      <c r="R524" s="14"/>
      <c r="S524" s="242"/>
      <c r="T524" s="15"/>
      <c r="U524" s="15"/>
      <c r="V524" s="15"/>
      <c r="W524" s="8"/>
      <c r="X524" s="8"/>
      <c r="Y524" s="56"/>
      <c r="Z524" s="56"/>
      <c r="AA524" s="15"/>
      <c r="AB524" s="15"/>
      <c r="AC524" s="15"/>
      <c r="AD524" s="15"/>
      <c r="AE524" s="57"/>
      <c r="AF524" s="57"/>
      <c r="AG524" s="15"/>
      <c r="AH524" s="25"/>
      <c r="AI524" s="26"/>
      <c r="AJ524" s="26"/>
      <c r="AK524" s="27"/>
      <c r="AL524" s="28"/>
      <c r="AM524" s="29"/>
    </row>
    <row r="525" ht="12.75" customHeight="1">
      <c r="A525" s="26"/>
      <c r="B525" s="12"/>
      <c r="C525" s="240"/>
      <c r="D525" s="241"/>
      <c r="E525" s="5"/>
      <c r="F525" s="5"/>
      <c r="G525" s="5"/>
      <c r="H525" s="5"/>
      <c r="I525" s="5"/>
      <c r="J525" s="5"/>
      <c r="K525" s="8"/>
      <c r="L525" s="9"/>
      <c r="M525" s="10"/>
      <c r="N525" s="86"/>
      <c r="O525" s="242"/>
      <c r="P525" s="243"/>
      <c r="Q525" s="243"/>
      <c r="R525" s="14"/>
      <c r="S525" s="242"/>
      <c r="T525" s="15"/>
      <c r="U525" s="15"/>
      <c r="V525" s="15"/>
      <c r="W525" s="8"/>
      <c r="X525" s="8"/>
      <c r="Y525" s="56"/>
      <c r="Z525" s="56"/>
      <c r="AA525" s="15"/>
      <c r="AB525" s="15"/>
      <c r="AC525" s="15"/>
      <c r="AD525" s="15"/>
      <c r="AE525" s="57"/>
      <c r="AF525" s="57"/>
      <c r="AG525" s="15"/>
      <c r="AH525" s="25"/>
      <c r="AI525" s="26"/>
      <c r="AJ525" s="26"/>
      <c r="AK525" s="27"/>
      <c r="AL525" s="28"/>
      <c r="AM525" s="29"/>
    </row>
    <row r="526" ht="12.75" customHeight="1">
      <c r="A526" s="26"/>
      <c r="B526" s="12"/>
      <c r="C526" s="240"/>
      <c r="D526" s="241"/>
      <c r="E526" s="5"/>
      <c r="F526" s="5"/>
      <c r="G526" s="5"/>
      <c r="H526" s="5"/>
      <c r="I526" s="5"/>
      <c r="J526" s="5"/>
      <c r="K526" s="8"/>
      <c r="L526" s="9"/>
      <c r="M526" s="10"/>
      <c r="N526" s="86"/>
      <c r="O526" s="242"/>
      <c r="P526" s="243"/>
      <c r="Q526" s="243"/>
      <c r="R526" s="14"/>
      <c r="S526" s="242"/>
      <c r="T526" s="15"/>
      <c r="U526" s="15"/>
      <c r="V526" s="15"/>
      <c r="W526" s="8"/>
      <c r="X526" s="8"/>
      <c r="Y526" s="56"/>
      <c r="Z526" s="56"/>
      <c r="AA526" s="15"/>
      <c r="AB526" s="15"/>
      <c r="AC526" s="15"/>
      <c r="AD526" s="15"/>
      <c r="AE526" s="57"/>
      <c r="AF526" s="57"/>
      <c r="AG526" s="15"/>
      <c r="AH526" s="25"/>
      <c r="AI526" s="26"/>
      <c r="AJ526" s="26"/>
      <c r="AK526" s="27"/>
      <c r="AL526" s="28"/>
      <c r="AM526" s="29"/>
    </row>
    <row r="527" ht="12.75" customHeight="1">
      <c r="A527" s="26"/>
      <c r="B527" s="12"/>
      <c r="C527" s="240"/>
      <c r="D527" s="241"/>
      <c r="E527" s="5"/>
      <c r="F527" s="5"/>
      <c r="G527" s="5"/>
      <c r="H527" s="5"/>
      <c r="I527" s="5"/>
      <c r="J527" s="5"/>
      <c r="K527" s="8"/>
      <c r="L527" s="9"/>
      <c r="M527" s="10"/>
      <c r="N527" s="86"/>
      <c r="O527" s="242"/>
      <c r="P527" s="243"/>
      <c r="Q527" s="243"/>
      <c r="R527" s="14"/>
      <c r="S527" s="242"/>
      <c r="T527" s="15"/>
      <c r="U527" s="15"/>
      <c r="V527" s="15"/>
      <c r="W527" s="8"/>
      <c r="X527" s="8"/>
      <c r="Y527" s="56"/>
      <c r="Z527" s="56"/>
      <c r="AA527" s="15"/>
      <c r="AB527" s="15"/>
      <c r="AC527" s="15"/>
      <c r="AD527" s="15"/>
      <c r="AE527" s="57"/>
      <c r="AF527" s="57"/>
      <c r="AG527" s="15"/>
      <c r="AH527" s="25"/>
      <c r="AI527" s="26"/>
      <c r="AJ527" s="26"/>
      <c r="AK527" s="27"/>
      <c r="AL527" s="28"/>
      <c r="AM527" s="29"/>
    </row>
    <row r="528" ht="12.75" customHeight="1">
      <c r="A528" s="26"/>
      <c r="B528" s="12"/>
      <c r="C528" s="240"/>
      <c r="D528" s="241"/>
      <c r="E528" s="5"/>
      <c r="F528" s="5"/>
      <c r="G528" s="5"/>
      <c r="H528" s="5"/>
      <c r="I528" s="5"/>
      <c r="J528" s="5"/>
      <c r="K528" s="8"/>
      <c r="L528" s="9"/>
      <c r="M528" s="10"/>
      <c r="N528" s="86"/>
      <c r="O528" s="242"/>
      <c r="P528" s="243"/>
      <c r="Q528" s="243"/>
      <c r="R528" s="14"/>
      <c r="S528" s="242"/>
      <c r="T528" s="15"/>
      <c r="U528" s="15"/>
      <c r="V528" s="15"/>
      <c r="W528" s="8"/>
      <c r="X528" s="8"/>
      <c r="Y528" s="56"/>
      <c r="Z528" s="56"/>
      <c r="AA528" s="15"/>
      <c r="AB528" s="15"/>
      <c r="AC528" s="15"/>
      <c r="AD528" s="15"/>
      <c r="AE528" s="57"/>
      <c r="AF528" s="57"/>
      <c r="AG528" s="15"/>
      <c r="AH528" s="25"/>
      <c r="AI528" s="26"/>
      <c r="AJ528" s="26"/>
      <c r="AK528" s="27"/>
      <c r="AL528" s="28"/>
      <c r="AM528" s="29"/>
    </row>
    <row r="529" ht="12.75" customHeight="1">
      <c r="A529" s="26"/>
      <c r="B529" s="12"/>
      <c r="C529" s="240"/>
      <c r="D529" s="241"/>
      <c r="E529" s="5"/>
      <c r="F529" s="5"/>
      <c r="G529" s="5"/>
      <c r="H529" s="5"/>
      <c r="I529" s="5"/>
      <c r="J529" s="5"/>
      <c r="K529" s="8"/>
      <c r="L529" s="9"/>
      <c r="M529" s="10"/>
      <c r="N529" s="86"/>
      <c r="O529" s="242"/>
      <c r="P529" s="243"/>
      <c r="Q529" s="243"/>
      <c r="R529" s="14"/>
      <c r="S529" s="242"/>
      <c r="T529" s="15"/>
      <c r="U529" s="15"/>
      <c r="V529" s="15"/>
      <c r="W529" s="8"/>
      <c r="X529" s="8"/>
      <c r="Y529" s="56"/>
      <c r="Z529" s="56"/>
      <c r="AA529" s="15"/>
      <c r="AB529" s="15"/>
      <c r="AC529" s="15"/>
      <c r="AD529" s="15"/>
      <c r="AE529" s="57"/>
      <c r="AF529" s="57"/>
      <c r="AG529" s="15"/>
      <c r="AH529" s="25"/>
      <c r="AI529" s="26"/>
      <c r="AJ529" s="26"/>
      <c r="AK529" s="27"/>
      <c r="AL529" s="28"/>
      <c r="AM529" s="29"/>
    </row>
    <row r="530" ht="12.75" customHeight="1">
      <c r="A530" s="26"/>
      <c r="B530" s="12"/>
      <c r="C530" s="240"/>
      <c r="D530" s="241"/>
      <c r="E530" s="5"/>
      <c r="F530" s="5"/>
      <c r="G530" s="5"/>
      <c r="H530" s="5"/>
      <c r="I530" s="5"/>
      <c r="J530" s="5"/>
      <c r="K530" s="8"/>
      <c r="L530" s="9"/>
      <c r="M530" s="10"/>
      <c r="N530" s="86"/>
      <c r="O530" s="242"/>
      <c r="P530" s="243"/>
      <c r="Q530" s="243"/>
      <c r="R530" s="14"/>
      <c r="S530" s="242"/>
      <c r="T530" s="15"/>
      <c r="U530" s="15"/>
      <c r="V530" s="15"/>
      <c r="W530" s="8"/>
      <c r="X530" s="8"/>
      <c r="Y530" s="56"/>
      <c r="Z530" s="56"/>
      <c r="AA530" s="15"/>
      <c r="AB530" s="15"/>
      <c r="AC530" s="15"/>
      <c r="AD530" s="15"/>
      <c r="AE530" s="57"/>
      <c r="AF530" s="57"/>
      <c r="AG530" s="15"/>
      <c r="AH530" s="25"/>
      <c r="AI530" s="26"/>
      <c r="AJ530" s="26"/>
      <c r="AK530" s="27"/>
      <c r="AL530" s="28"/>
      <c r="AM530" s="29"/>
    </row>
    <row r="531" ht="12.75" customHeight="1">
      <c r="A531" s="26"/>
      <c r="B531" s="12"/>
      <c r="C531" s="240"/>
      <c r="D531" s="241"/>
      <c r="E531" s="5"/>
      <c r="F531" s="5"/>
      <c r="G531" s="5"/>
      <c r="H531" s="5"/>
      <c r="I531" s="5"/>
      <c r="J531" s="5"/>
      <c r="K531" s="8"/>
      <c r="L531" s="9"/>
      <c r="M531" s="10"/>
      <c r="N531" s="86"/>
      <c r="O531" s="242"/>
      <c r="P531" s="243"/>
      <c r="Q531" s="243"/>
      <c r="R531" s="14"/>
      <c r="S531" s="242"/>
      <c r="T531" s="15"/>
      <c r="U531" s="15"/>
      <c r="V531" s="15"/>
      <c r="W531" s="8"/>
      <c r="X531" s="8"/>
      <c r="Y531" s="56"/>
      <c r="Z531" s="56"/>
      <c r="AA531" s="15"/>
      <c r="AB531" s="15"/>
      <c r="AC531" s="15"/>
      <c r="AD531" s="15"/>
      <c r="AE531" s="57"/>
      <c r="AF531" s="57"/>
      <c r="AG531" s="15"/>
      <c r="AH531" s="25"/>
      <c r="AI531" s="26"/>
      <c r="AJ531" s="26"/>
      <c r="AK531" s="27"/>
      <c r="AL531" s="28"/>
      <c r="AM531" s="29"/>
    </row>
    <row r="532" ht="12.75" customHeight="1">
      <c r="A532" s="26"/>
      <c r="B532" s="12"/>
      <c r="C532" s="240"/>
      <c r="D532" s="241"/>
      <c r="E532" s="5"/>
      <c r="F532" s="5"/>
      <c r="G532" s="5"/>
      <c r="H532" s="5"/>
      <c r="I532" s="5"/>
      <c r="J532" s="5"/>
      <c r="K532" s="8"/>
      <c r="L532" s="9"/>
      <c r="M532" s="10"/>
      <c r="N532" s="86"/>
      <c r="O532" s="242"/>
      <c r="P532" s="243"/>
      <c r="Q532" s="243"/>
      <c r="R532" s="14"/>
      <c r="S532" s="242"/>
      <c r="T532" s="15"/>
      <c r="U532" s="15"/>
      <c r="V532" s="15"/>
      <c r="W532" s="8"/>
      <c r="X532" s="8"/>
      <c r="Y532" s="56"/>
      <c r="Z532" s="56"/>
      <c r="AA532" s="15"/>
      <c r="AB532" s="15"/>
      <c r="AC532" s="15"/>
      <c r="AD532" s="15"/>
      <c r="AE532" s="57"/>
      <c r="AF532" s="57"/>
      <c r="AG532" s="15"/>
      <c r="AH532" s="25"/>
      <c r="AI532" s="26"/>
      <c r="AJ532" s="26"/>
      <c r="AK532" s="27"/>
      <c r="AL532" s="28"/>
      <c r="AM532" s="29"/>
    </row>
    <row r="533" ht="12.75" customHeight="1">
      <c r="A533" s="26"/>
      <c r="B533" s="12"/>
      <c r="C533" s="240"/>
      <c r="D533" s="241"/>
      <c r="E533" s="5"/>
      <c r="F533" s="5"/>
      <c r="G533" s="5"/>
      <c r="H533" s="5"/>
      <c r="I533" s="5"/>
      <c r="J533" s="5"/>
      <c r="K533" s="8"/>
      <c r="L533" s="9"/>
      <c r="M533" s="10"/>
      <c r="N533" s="86"/>
      <c r="O533" s="242"/>
      <c r="P533" s="243"/>
      <c r="Q533" s="243"/>
      <c r="R533" s="14"/>
      <c r="S533" s="242"/>
      <c r="T533" s="15"/>
      <c r="U533" s="15"/>
      <c r="V533" s="15"/>
      <c r="W533" s="8"/>
      <c r="X533" s="8"/>
      <c r="Y533" s="56"/>
      <c r="Z533" s="56"/>
      <c r="AA533" s="15"/>
      <c r="AB533" s="15"/>
      <c r="AC533" s="15"/>
      <c r="AD533" s="15"/>
      <c r="AE533" s="57"/>
      <c r="AF533" s="57"/>
      <c r="AG533" s="15"/>
      <c r="AH533" s="25"/>
      <c r="AI533" s="26"/>
      <c r="AJ533" s="26"/>
      <c r="AK533" s="27"/>
      <c r="AL533" s="28"/>
      <c r="AM533" s="29"/>
    </row>
    <row r="534" ht="12.75" customHeight="1">
      <c r="A534" s="26"/>
      <c r="B534" s="12"/>
      <c r="C534" s="240"/>
      <c r="D534" s="241"/>
      <c r="E534" s="5"/>
      <c r="F534" s="5"/>
      <c r="G534" s="5"/>
      <c r="H534" s="5"/>
      <c r="I534" s="5"/>
      <c r="J534" s="5"/>
      <c r="K534" s="8"/>
      <c r="L534" s="9"/>
      <c r="M534" s="10"/>
      <c r="N534" s="86"/>
      <c r="O534" s="242"/>
      <c r="P534" s="243"/>
      <c r="Q534" s="243"/>
      <c r="R534" s="14"/>
      <c r="S534" s="242"/>
      <c r="T534" s="15"/>
      <c r="U534" s="15"/>
      <c r="V534" s="15"/>
      <c r="W534" s="8"/>
      <c r="X534" s="8"/>
      <c r="Y534" s="56"/>
      <c r="Z534" s="56"/>
      <c r="AA534" s="15"/>
      <c r="AB534" s="15"/>
      <c r="AC534" s="15"/>
      <c r="AD534" s="15"/>
      <c r="AE534" s="57"/>
      <c r="AF534" s="57"/>
      <c r="AG534" s="15"/>
      <c r="AH534" s="25"/>
      <c r="AI534" s="26"/>
      <c r="AJ534" s="26"/>
      <c r="AK534" s="27"/>
      <c r="AL534" s="28"/>
      <c r="AM534" s="29"/>
    </row>
    <row r="535" ht="12.75" customHeight="1">
      <c r="A535" s="26"/>
      <c r="B535" s="12"/>
      <c r="C535" s="240"/>
      <c r="D535" s="241"/>
      <c r="E535" s="5"/>
      <c r="F535" s="5"/>
      <c r="G535" s="5"/>
      <c r="H535" s="5"/>
      <c r="I535" s="5"/>
      <c r="J535" s="5"/>
      <c r="K535" s="8"/>
      <c r="L535" s="9"/>
      <c r="M535" s="10"/>
      <c r="N535" s="86"/>
      <c r="O535" s="242"/>
      <c r="P535" s="243"/>
      <c r="Q535" s="243"/>
      <c r="R535" s="14"/>
      <c r="S535" s="242"/>
      <c r="T535" s="15"/>
      <c r="U535" s="15"/>
      <c r="V535" s="15"/>
      <c r="W535" s="8"/>
      <c r="X535" s="8"/>
      <c r="Y535" s="56"/>
      <c r="Z535" s="56"/>
      <c r="AA535" s="15"/>
      <c r="AB535" s="15"/>
      <c r="AC535" s="15"/>
      <c r="AD535" s="15"/>
      <c r="AE535" s="57"/>
      <c r="AF535" s="57"/>
      <c r="AG535" s="15"/>
      <c r="AH535" s="25"/>
      <c r="AI535" s="26"/>
      <c r="AJ535" s="26"/>
      <c r="AK535" s="27"/>
      <c r="AL535" s="28"/>
      <c r="AM535" s="29"/>
    </row>
    <row r="536" ht="12.75" customHeight="1">
      <c r="A536" s="26"/>
      <c r="B536" s="12"/>
      <c r="C536" s="240"/>
      <c r="D536" s="241"/>
      <c r="E536" s="5"/>
      <c r="F536" s="5"/>
      <c r="G536" s="5"/>
      <c r="H536" s="5"/>
      <c r="I536" s="5"/>
      <c r="J536" s="5"/>
      <c r="K536" s="8"/>
      <c r="L536" s="9"/>
      <c r="M536" s="10"/>
      <c r="N536" s="86"/>
      <c r="O536" s="242"/>
      <c r="P536" s="243"/>
      <c r="Q536" s="243"/>
      <c r="R536" s="14"/>
      <c r="S536" s="242"/>
      <c r="T536" s="15"/>
      <c r="U536" s="15"/>
      <c r="V536" s="15"/>
      <c r="W536" s="8"/>
      <c r="X536" s="8"/>
      <c r="Y536" s="56"/>
      <c r="Z536" s="56"/>
      <c r="AA536" s="15"/>
      <c r="AB536" s="15"/>
      <c r="AC536" s="15"/>
      <c r="AD536" s="15"/>
      <c r="AE536" s="57"/>
      <c r="AF536" s="57"/>
      <c r="AG536" s="15"/>
      <c r="AH536" s="25"/>
      <c r="AI536" s="26"/>
      <c r="AJ536" s="26"/>
      <c r="AK536" s="27"/>
      <c r="AL536" s="28"/>
      <c r="AM536" s="29"/>
    </row>
    <row r="537" ht="12.75" customHeight="1">
      <c r="A537" s="26"/>
      <c r="B537" s="12"/>
      <c r="C537" s="240"/>
      <c r="D537" s="241"/>
      <c r="E537" s="5"/>
      <c r="F537" s="5"/>
      <c r="G537" s="5"/>
      <c r="H537" s="5"/>
      <c r="I537" s="5"/>
      <c r="J537" s="5"/>
      <c r="K537" s="8"/>
      <c r="L537" s="9"/>
      <c r="M537" s="10"/>
      <c r="N537" s="86"/>
      <c r="O537" s="242"/>
      <c r="P537" s="243"/>
      <c r="Q537" s="243"/>
      <c r="R537" s="14"/>
      <c r="S537" s="242"/>
      <c r="T537" s="15"/>
      <c r="U537" s="15"/>
      <c r="V537" s="15"/>
      <c r="W537" s="8"/>
      <c r="X537" s="8"/>
      <c r="Y537" s="56"/>
      <c r="Z537" s="56"/>
      <c r="AA537" s="15"/>
      <c r="AB537" s="15"/>
      <c r="AC537" s="15"/>
      <c r="AD537" s="15"/>
      <c r="AE537" s="57"/>
      <c r="AF537" s="57"/>
      <c r="AG537" s="15"/>
      <c r="AH537" s="25"/>
      <c r="AI537" s="26"/>
      <c r="AJ537" s="26"/>
      <c r="AK537" s="27"/>
      <c r="AL537" s="28"/>
      <c r="AM537" s="29"/>
    </row>
    <row r="538" ht="12.75" customHeight="1">
      <c r="A538" s="26"/>
      <c r="B538" s="12"/>
      <c r="C538" s="240"/>
      <c r="D538" s="241"/>
      <c r="E538" s="5"/>
      <c r="F538" s="5"/>
      <c r="G538" s="5"/>
      <c r="H538" s="5"/>
      <c r="I538" s="5"/>
      <c r="J538" s="5"/>
      <c r="K538" s="8"/>
      <c r="L538" s="9"/>
      <c r="M538" s="10"/>
      <c r="N538" s="86"/>
      <c r="O538" s="242"/>
      <c r="P538" s="243"/>
      <c r="Q538" s="243"/>
      <c r="R538" s="14"/>
      <c r="S538" s="242"/>
      <c r="T538" s="15"/>
      <c r="U538" s="15"/>
      <c r="V538" s="15"/>
      <c r="W538" s="8"/>
      <c r="X538" s="8"/>
      <c r="Y538" s="56"/>
      <c r="Z538" s="56"/>
      <c r="AA538" s="15"/>
      <c r="AB538" s="15"/>
      <c r="AC538" s="15"/>
      <c r="AD538" s="15"/>
      <c r="AE538" s="57"/>
      <c r="AF538" s="57"/>
      <c r="AG538" s="15"/>
      <c r="AH538" s="25"/>
      <c r="AI538" s="26"/>
      <c r="AJ538" s="26"/>
      <c r="AK538" s="27"/>
      <c r="AL538" s="28"/>
      <c r="AM538" s="29"/>
    </row>
    <row r="539" ht="12.75" customHeight="1">
      <c r="A539" s="26"/>
      <c r="B539" s="12"/>
      <c r="C539" s="240"/>
      <c r="D539" s="241"/>
      <c r="E539" s="5"/>
      <c r="F539" s="5"/>
      <c r="G539" s="5"/>
      <c r="H539" s="5"/>
      <c r="I539" s="5"/>
      <c r="J539" s="5"/>
      <c r="K539" s="8"/>
      <c r="L539" s="9"/>
      <c r="M539" s="10"/>
      <c r="N539" s="86"/>
      <c r="O539" s="242"/>
      <c r="P539" s="243"/>
      <c r="Q539" s="243"/>
      <c r="R539" s="14"/>
      <c r="S539" s="242"/>
      <c r="T539" s="15"/>
      <c r="U539" s="15"/>
      <c r="V539" s="15"/>
      <c r="W539" s="8"/>
      <c r="X539" s="8"/>
      <c r="Y539" s="56"/>
      <c r="Z539" s="56"/>
      <c r="AA539" s="15"/>
      <c r="AB539" s="15"/>
      <c r="AC539" s="15"/>
      <c r="AD539" s="15"/>
      <c r="AE539" s="57"/>
      <c r="AF539" s="57"/>
      <c r="AG539" s="15"/>
      <c r="AH539" s="25"/>
      <c r="AI539" s="26"/>
      <c r="AJ539" s="26"/>
      <c r="AK539" s="27"/>
      <c r="AL539" s="28"/>
      <c r="AM539" s="29"/>
    </row>
    <row r="540" ht="12.75" customHeight="1">
      <c r="A540" s="26"/>
      <c r="B540" s="12"/>
      <c r="C540" s="240"/>
      <c r="D540" s="241"/>
      <c r="E540" s="5"/>
      <c r="F540" s="5"/>
      <c r="G540" s="5"/>
      <c r="H540" s="5"/>
      <c r="I540" s="5"/>
      <c r="J540" s="5"/>
      <c r="K540" s="8"/>
      <c r="L540" s="9"/>
      <c r="M540" s="10"/>
      <c r="N540" s="86"/>
      <c r="O540" s="242"/>
      <c r="P540" s="243"/>
      <c r="Q540" s="243"/>
      <c r="R540" s="14"/>
      <c r="S540" s="242"/>
      <c r="T540" s="15"/>
      <c r="U540" s="15"/>
      <c r="V540" s="15"/>
      <c r="W540" s="8"/>
      <c r="X540" s="8"/>
      <c r="Y540" s="56"/>
      <c r="Z540" s="56"/>
      <c r="AA540" s="15"/>
      <c r="AB540" s="15"/>
      <c r="AC540" s="15"/>
      <c r="AD540" s="15"/>
      <c r="AE540" s="57"/>
      <c r="AF540" s="57"/>
      <c r="AG540" s="15"/>
      <c r="AH540" s="25"/>
      <c r="AI540" s="26"/>
      <c r="AJ540" s="26"/>
      <c r="AK540" s="27"/>
      <c r="AL540" s="28"/>
      <c r="AM540" s="29"/>
    </row>
    <row r="541" ht="12.75" customHeight="1">
      <c r="A541" s="26"/>
      <c r="B541" s="12"/>
      <c r="C541" s="240"/>
      <c r="D541" s="241"/>
      <c r="E541" s="5"/>
      <c r="F541" s="5"/>
      <c r="G541" s="5"/>
      <c r="H541" s="5"/>
      <c r="I541" s="5"/>
      <c r="J541" s="5"/>
      <c r="K541" s="8"/>
      <c r="L541" s="9"/>
      <c r="M541" s="10"/>
      <c r="N541" s="86"/>
      <c r="O541" s="242"/>
      <c r="P541" s="243"/>
      <c r="Q541" s="243"/>
      <c r="R541" s="14"/>
      <c r="S541" s="242"/>
      <c r="T541" s="15"/>
      <c r="U541" s="15"/>
      <c r="V541" s="15"/>
      <c r="W541" s="8"/>
      <c r="X541" s="8"/>
      <c r="Y541" s="56"/>
      <c r="Z541" s="56"/>
      <c r="AA541" s="15"/>
      <c r="AB541" s="15"/>
      <c r="AC541" s="15"/>
      <c r="AD541" s="15"/>
      <c r="AE541" s="57"/>
      <c r="AF541" s="57"/>
      <c r="AG541" s="15"/>
      <c r="AH541" s="25"/>
      <c r="AI541" s="26"/>
      <c r="AJ541" s="26"/>
      <c r="AK541" s="27"/>
      <c r="AL541" s="28"/>
      <c r="AM541" s="29"/>
    </row>
    <row r="542" ht="12.75" customHeight="1">
      <c r="A542" s="26"/>
      <c r="B542" s="12"/>
      <c r="C542" s="240"/>
      <c r="D542" s="241"/>
      <c r="E542" s="5"/>
      <c r="F542" s="5"/>
      <c r="G542" s="5"/>
      <c r="H542" s="5"/>
      <c r="I542" s="5"/>
      <c r="J542" s="5"/>
      <c r="K542" s="8"/>
      <c r="L542" s="9"/>
      <c r="M542" s="10"/>
      <c r="N542" s="86"/>
      <c r="O542" s="242"/>
      <c r="P542" s="243"/>
      <c r="Q542" s="243"/>
      <c r="R542" s="14"/>
      <c r="S542" s="242"/>
      <c r="T542" s="15"/>
      <c r="U542" s="15"/>
      <c r="V542" s="15"/>
      <c r="W542" s="8"/>
      <c r="X542" s="8"/>
      <c r="Y542" s="56"/>
      <c r="Z542" s="56"/>
      <c r="AA542" s="15"/>
      <c r="AB542" s="15"/>
      <c r="AC542" s="15"/>
      <c r="AD542" s="15"/>
      <c r="AE542" s="57"/>
      <c r="AF542" s="57"/>
      <c r="AG542" s="15"/>
      <c r="AH542" s="25"/>
      <c r="AI542" s="26"/>
      <c r="AJ542" s="26"/>
      <c r="AK542" s="27"/>
      <c r="AL542" s="28"/>
      <c r="AM542" s="29"/>
    </row>
    <row r="543" ht="12.75" customHeight="1">
      <c r="A543" s="26"/>
      <c r="B543" s="12"/>
      <c r="C543" s="240"/>
      <c r="D543" s="241"/>
      <c r="E543" s="5"/>
      <c r="F543" s="5"/>
      <c r="G543" s="5"/>
      <c r="H543" s="5"/>
      <c r="I543" s="5"/>
      <c r="J543" s="5"/>
      <c r="K543" s="8"/>
      <c r="L543" s="9"/>
      <c r="M543" s="10"/>
      <c r="N543" s="86"/>
      <c r="O543" s="242"/>
      <c r="P543" s="243"/>
      <c r="Q543" s="243"/>
      <c r="R543" s="14"/>
      <c r="S543" s="242"/>
      <c r="T543" s="15"/>
      <c r="U543" s="15"/>
      <c r="V543" s="15"/>
      <c r="W543" s="8"/>
      <c r="X543" s="8"/>
      <c r="Y543" s="56"/>
      <c r="Z543" s="56"/>
      <c r="AA543" s="15"/>
      <c r="AB543" s="15"/>
      <c r="AC543" s="15"/>
      <c r="AD543" s="15"/>
      <c r="AE543" s="57"/>
      <c r="AF543" s="57"/>
      <c r="AG543" s="15"/>
      <c r="AH543" s="25"/>
      <c r="AI543" s="26"/>
      <c r="AJ543" s="26"/>
      <c r="AK543" s="27"/>
      <c r="AL543" s="28"/>
      <c r="AM543" s="29"/>
    </row>
    <row r="544" ht="12.75" customHeight="1">
      <c r="A544" s="26"/>
      <c r="B544" s="12"/>
      <c r="C544" s="240"/>
      <c r="D544" s="241"/>
      <c r="E544" s="5"/>
      <c r="F544" s="5"/>
      <c r="G544" s="5"/>
      <c r="H544" s="5"/>
      <c r="I544" s="5"/>
      <c r="J544" s="5"/>
      <c r="K544" s="8"/>
      <c r="L544" s="9"/>
      <c r="M544" s="10"/>
      <c r="N544" s="86"/>
      <c r="O544" s="242"/>
      <c r="P544" s="243"/>
      <c r="Q544" s="243"/>
      <c r="R544" s="14"/>
      <c r="S544" s="242"/>
      <c r="T544" s="15"/>
      <c r="U544" s="15"/>
      <c r="V544" s="15"/>
      <c r="W544" s="8"/>
      <c r="X544" s="8"/>
      <c r="Y544" s="56"/>
      <c r="Z544" s="56"/>
      <c r="AA544" s="15"/>
      <c r="AB544" s="15"/>
      <c r="AC544" s="15"/>
      <c r="AD544" s="15"/>
      <c r="AE544" s="57"/>
      <c r="AF544" s="57"/>
      <c r="AG544" s="15"/>
      <c r="AH544" s="25"/>
      <c r="AI544" s="26"/>
      <c r="AJ544" s="26"/>
      <c r="AK544" s="27"/>
      <c r="AL544" s="28"/>
      <c r="AM544" s="29"/>
    </row>
    <row r="545" ht="12.75" customHeight="1">
      <c r="A545" s="26"/>
      <c r="B545" s="12"/>
      <c r="C545" s="240"/>
      <c r="D545" s="241"/>
      <c r="E545" s="5"/>
      <c r="F545" s="5"/>
      <c r="G545" s="5"/>
      <c r="H545" s="5"/>
      <c r="I545" s="5"/>
      <c r="J545" s="5"/>
      <c r="K545" s="8"/>
      <c r="L545" s="9"/>
      <c r="M545" s="10"/>
      <c r="N545" s="86"/>
      <c r="O545" s="242"/>
      <c r="P545" s="243"/>
      <c r="Q545" s="243"/>
      <c r="R545" s="14"/>
      <c r="S545" s="242"/>
      <c r="T545" s="15"/>
      <c r="U545" s="15"/>
      <c r="V545" s="15"/>
      <c r="W545" s="8"/>
      <c r="X545" s="8"/>
      <c r="Y545" s="56"/>
      <c r="Z545" s="56"/>
      <c r="AA545" s="15"/>
      <c r="AB545" s="15"/>
      <c r="AC545" s="15"/>
      <c r="AD545" s="15"/>
      <c r="AE545" s="57"/>
      <c r="AF545" s="57"/>
      <c r="AG545" s="15"/>
      <c r="AH545" s="25"/>
      <c r="AI545" s="26"/>
      <c r="AJ545" s="26"/>
      <c r="AK545" s="27"/>
      <c r="AL545" s="28"/>
      <c r="AM545" s="29"/>
    </row>
    <row r="546" ht="12.75" customHeight="1">
      <c r="A546" s="26"/>
      <c r="B546" s="12"/>
      <c r="C546" s="240"/>
      <c r="D546" s="241"/>
      <c r="E546" s="5"/>
      <c r="F546" s="5"/>
      <c r="G546" s="5"/>
      <c r="H546" s="5"/>
      <c r="I546" s="5"/>
      <c r="J546" s="5"/>
      <c r="K546" s="8"/>
      <c r="L546" s="9"/>
      <c r="M546" s="10"/>
      <c r="N546" s="86"/>
      <c r="O546" s="242"/>
      <c r="P546" s="243"/>
      <c r="Q546" s="243"/>
      <c r="R546" s="14"/>
      <c r="S546" s="242"/>
      <c r="T546" s="15"/>
      <c r="U546" s="15"/>
      <c r="V546" s="15"/>
      <c r="W546" s="8"/>
      <c r="X546" s="8"/>
      <c r="Y546" s="56"/>
      <c r="Z546" s="56"/>
      <c r="AA546" s="15"/>
      <c r="AB546" s="15"/>
      <c r="AC546" s="15"/>
      <c r="AD546" s="15"/>
      <c r="AE546" s="57"/>
      <c r="AF546" s="57"/>
      <c r="AG546" s="15"/>
      <c r="AH546" s="25"/>
      <c r="AI546" s="26"/>
      <c r="AJ546" s="26"/>
      <c r="AK546" s="27"/>
      <c r="AL546" s="28"/>
      <c r="AM546" s="29"/>
    </row>
    <row r="547" ht="12.75" customHeight="1">
      <c r="A547" s="26"/>
      <c r="B547" s="12"/>
      <c r="C547" s="240"/>
      <c r="D547" s="241"/>
      <c r="E547" s="5"/>
      <c r="F547" s="5"/>
      <c r="G547" s="5"/>
      <c r="H547" s="5"/>
      <c r="I547" s="5"/>
      <c r="J547" s="5"/>
      <c r="K547" s="8"/>
      <c r="L547" s="9"/>
      <c r="M547" s="10"/>
      <c r="N547" s="86"/>
      <c r="O547" s="242"/>
      <c r="P547" s="243"/>
      <c r="Q547" s="243"/>
      <c r="R547" s="14"/>
      <c r="S547" s="242"/>
      <c r="T547" s="15"/>
      <c r="U547" s="15"/>
      <c r="V547" s="15"/>
      <c r="W547" s="8"/>
      <c r="X547" s="8"/>
      <c r="Y547" s="56"/>
      <c r="Z547" s="56"/>
      <c r="AA547" s="15"/>
      <c r="AB547" s="15"/>
      <c r="AC547" s="15"/>
      <c r="AD547" s="15"/>
      <c r="AE547" s="57"/>
      <c r="AF547" s="57"/>
      <c r="AG547" s="15"/>
      <c r="AH547" s="25"/>
      <c r="AI547" s="26"/>
      <c r="AJ547" s="26"/>
      <c r="AK547" s="27"/>
      <c r="AL547" s="28"/>
      <c r="AM547" s="29"/>
    </row>
    <row r="548" ht="12.75" customHeight="1">
      <c r="A548" s="26"/>
      <c r="B548" s="12"/>
      <c r="C548" s="240"/>
      <c r="D548" s="241"/>
      <c r="E548" s="5"/>
      <c r="F548" s="5"/>
      <c r="G548" s="5"/>
      <c r="H548" s="5"/>
      <c r="I548" s="5"/>
      <c r="J548" s="5"/>
      <c r="K548" s="8"/>
      <c r="L548" s="9"/>
      <c r="M548" s="10"/>
      <c r="N548" s="86"/>
      <c r="O548" s="242"/>
      <c r="P548" s="243"/>
      <c r="Q548" s="243"/>
      <c r="R548" s="14"/>
      <c r="S548" s="242"/>
      <c r="T548" s="15"/>
      <c r="U548" s="15"/>
      <c r="V548" s="15"/>
      <c r="W548" s="8"/>
      <c r="X548" s="8"/>
      <c r="Y548" s="56"/>
      <c r="Z548" s="56"/>
      <c r="AA548" s="15"/>
      <c r="AB548" s="15"/>
      <c r="AC548" s="15"/>
      <c r="AD548" s="15"/>
      <c r="AE548" s="57"/>
      <c r="AF548" s="57"/>
      <c r="AG548" s="15"/>
      <c r="AH548" s="25"/>
      <c r="AI548" s="26"/>
      <c r="AJ548" s="26"/>
      <c r="AK548" s="27"/>
      <c r="AL548" s="28"/>
      <c r="AM548" s="29"/>
    </row>
    <row r="549" ht="12.75" customHeight="1">
      <c r="A549" s="26"/>
      <c r="B549" s="12"/>
      <c r="C549" s="240"/>
      <c r="D549" s="241"/>
      <c r="E549" s="5"/>
      <c r="F549" s="5"/>
      <c r="G549" s="5"/>
      <c r="H549" s="5"/>
      <c r="I549" s="5"/>
      <c r="J549" s="5"/>
      <c r="K549" s="8"/>
      <c r="L549" s="9"/>
      <c r="M549" s="10"/>
      <c r="N549" s="86"/>
      <c r="O549" s="242"/>
      <c r="P549" s="243"/>
      <c r="Q549" s="243"/>
      <c r="R549" s="14"/>
      <c r="S549" s="242"/>
      <c r="T549" s="15"/>
      <c r="U549" s="15"/>
      <c r="V549" s="15"/>
      <c r="W549" s="8"/>
      <c r="X549" s="8"/>
      <c r="Y549" s="56"/>
      <c r="Z549" s="56"/>
      <c r="AA549" s="15"/>
      <c r="AB549" s="15"/>
      <c r="AC549" s="15"/>
      <c r="AD549" s="15"/>
      <c r="AE549" s="57"/>
      <c r="AF549" s="57"/>
      <c r="AG549" s="15"/>
      <c r="AH549" s="25"/>
      <c r="AI549" s="26"/>
      <c r="AJ549" s="26"/>
      <c r="AK549" s="27"/>
      <c r="AL549" s="28"/>
      <c r="AM549" s="29"/>
    </row>
    <row r="550" ht="12.75" customHeight="1">
      <c r="A550" s="26"/>
      <c r="B550" s="12"/>
      <c r="C550" s="240"/>
      <c r="D550" s="241"/>
      <c r="E550" s="5"/>
      <c r="F550" s="5"/>
      <c r="G550" s="5"/>
      <c r="H550" s="5"/>
      <c r="I550" s="5"/>
      <c r="J550" s="5"/>
      <c r="K550" s="8"/>
      <c r="L550" s="9"/>
      <c r="M550" s="10"/>
      <c r="N550" s="86"/>
      <c r="O550" s="242"/>
      <c r="P550" s="243"/>
      <c r="Q550" s="243"/>
      <c r="R550" s="14"/>
      <c r="S550" s="242"/>
      <c r="T550" s="15"/>
      <c r="U550" s="15"/>
      <c r="V550" s="15"/>
      <c r="W550" s="8"/>
      <c r="X550" s="8"/>
      <c r="Y550" s="56"/>
      <c r="Z550" s="56"/>
      <c r="AA550" s="15"/>
      <c r="AB550" s="15"/>
      <c r="AC550" s="15"/>
      <c r="AD550" s="15"/>
      <c r="AE550" s="57"/>
      <c r="AF550" s="57"/>
      <c r="AG550" s="15"/>
      <c r="AH550" s="25"/>
      <c r="AI550" s="26"/>
      <c r="AJ550" s="26"/>
      <c r="AK550" s="27"/>
      <c r="AL550" s="28"/>
      <c r="AM550" s="29"/>
    </row>
    <row r="551" ht="12.75" customHeight="1">
      <c r="A551" s="26"/>
      <c r="B551" s="12"/>
      <c r="C551" s="240"/>
      <c r="D551" s="241"/>
      <c r="E551" s="5"/>
      <c r="F551" s="5"/>
      <c r="G551" s="5"/>
      <c r="H551" s="5"/>
      <c r="I551" s="5"/>
      <c r="J551" s="5"/>
      <c r="K551" s="8"/>
      <c r="L551" s="9"/>
      <c r="M551" s="10"/>
      <c r="N551" s="86"/>
      <c r="O551" s="242"/>
      <c r="P551" s="243"/>
      <c r="Q551" s="243"/>
      <c r="R551" s="14"/>
      <c r="S551" s="242"/>
      <c r="T551" s="15"/>
      <c r="U551" s="15"/>
      <c r="V551" s="15"/>
      <c r="W551" s="8"/>
      <c r="X551" s="8"/>
      <c r="Y551" s="56"/>
      <c r="Z551" s="56"/>
      <c r="AA551" s="15"/>
      <c r="AB551" s="15"/>
      <c r="AC551" s="15"/>
      <c r="AD551" s="15"/>
      <c r="AE551" s="57"/>
      <c r="AF551" s="57"/>
      <c r="AG551" s="15"/>
      <c r="AH551" s="25"/>
      <c r="AI551" s="26"/>
      <c r="AJ551" s="26"/>
      <c r="AK551" s="27"/>
      <c r="AL551" s="28"/>
      <c r="AM551" s="29"/>
    </row>
    <row r="552" ht="12.75" customHeight="1">
      <c r="A552" s="26"/>
      <c r="B552" s="12"/>
      <c r="C552" s="240"/>
      <c r="D552" s="241"/>
      <c r="E552" s="5"/>
      <c r="F552" s="5"/>
      <c r="G552" s="5"/>
      <c r="H552" s="5"/>
      <c r="I552" s="5"/>
      <c r="J552" s="5"/>
      <c r="K552" s="8"/>
      <c r="L552" s="9"/>
      <c r="M552" s="10"/>
      <c r="N552" s="86"/>
      <c r="O552" s="242"/>
      <c r="P552" s="243"/>
      <c r="Q552" s="243"/>
      <c r="R552" s="14"/>
      <c r="S552" s="242"/>
      <c r="T552" s="15"/>
      <c r="U552" s="15"/>
      <c r="V552" s="15"/>
      <c r="W552" s="8"/>
      <c r="X552" s="8"/>
      <c r="Y552" s="56"/>
      <c r="Z552" s="56"/>
      <c r="AA552" s="15"/>
      <c r="AB552" s="15"/>
      <c r="AC552" s="15"/>
      <c r="AD552" s="15"/>
      <c r="AE552" s="57"/>
      <c r="AF552" s="57"/>
      <c r="AG552" s="15"/>
      <c r="AH552" s="25"/>
      <c r="AI552" s="26"/>
      <c r="AJ552" s="26"/>
      <c r="AK552" s="27"/>
      <c r="AL552" s="28"/>
      <c r="AM552" s="29"/>
    </row>
  </sheetData>
  <mergeCells count="8">
    <mergeCell ref="H1:I1"/>
    <mergeCell ref="J4:J5"/>
    <mergeCell ref="AJ7:AM8"/>
    <mergeCell ref="F8:K8"/>
    <mergeCell ref="O8:S8"/>
    <mergeCell ref="T8:V8"/>
    <mergeCell ref="X8:AD8"/>
    <mergeCell ref="AG8:AH8"/>
  </mergeCells>
  <conditionalFormatting sqref="AH1:AH552">
    <cfRule type="cellIs" dxfId="0" priority="1" operator="lessThan">
      <formula>0</formula>
    </cfRule>
  </conditionalFormatting>
  <conditionalFormatting sqref="AH1:AH552">
    <cfRule type="cellIs" dxfId="1" priority="2" operator="greaterThan">
      <formula>0.300001</formula>
    </cfRule>
  </conditionalFormatting>
  <conditionalFormatting sqref="AH1:AH552">
    <cfRule type="cellIs" dxfId="2" priority="3" operator="between">
      <formula>0.250001</formula>
      <formula>0.3</formula>
    </cfRule>
  </conditionalFormatting>
  <conditionalFormatting sqref="AH1:AH552">
    <cfRule type="cellIs" dxfId="3" priority="4" operator="between">
      <formula>0.200001</formula>
      <formula>0.25</formula>
    </cfRule>
  </conditionalFormatting>
  <conditionalFormatting sqref="AH1:AH552">
    <cfRule type="cellIs" dxfId="4" priority="5" operator="between">
      <formula>0.1500001</formula>
      <formula>0.2</formula>
    </cfRule>
  </conditionalFormatting>
  <conditionalFormatting sqref="AH1:AH552">
    <cfRule type="cellIs" dxfId="5" priority="6" operator="between">
      <formula>0.0000001</formula>
      <formula>0.15</formula>
    </cfRule>
  </conditionalFormatting>
  <printOptions/>
  <pageMargins bottom="0.7875" footer="0.0" header="0.0" left="0.7875" right="0.7875" top="0.78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4.43" defaultRowHeight="15.0"/>
  <cols>
    <col customWidth="1" min="1" max="1" width="1.43"/>
    <col customWidth="1" hidden="1" min="2" max="2" width="8.71"/>
    <col customWidth="1" min="3" max="3" width="10.71"/>
    <col customWidth="1" min="4" max="4" width="52.71"/>
    <col customWidth="1" min="5" max="5" width="5.71"/>
    <col customWidth="1" min="6" max="6" width="7.71"/>
    <col customWidth="1" hidden="1" min="7" max="7" width="8.29"/>
    <col customWidth="1" hidden="1" min="8" max="9" width="8.0"/>
    <col customWidth="1" hidden="1" min="10" max="10" width="8.14"/>
    <col customWidth="1" hidden="1" min="11" max="11" width="9.86"/>
    <col customWidth="1" hidden="1" min="12" max="13" width="8.14"/>
    <col customWidth="1" hidden="1" min="14" max="16" width="9.0"/>
    <col customWidth="1" min="17" max="18" width="9.0"/>
    <col customWidth="1" hidden="1" min="19" max="20" width="10.14"/>
    <col customWidth="1" hidden="1" min="21" max="25" width="9.0"/>
    <col customWidth="1" hidden="1" min="26" max="26" width="7.14"/>
    <col customWidth="1" hidden="1" min="27" max="33" width="9.0"/>
    <col customWidth="1" hidden="1" min="34" max="34" width="7.43"/>
    <col customWidth="1" min="35" max="36" width="9.0"/>
    <col customWidth="1" min="37" max="37" width="14.43"/>
    <col customWidth="1" hidden="1" min="38" max="38" width="6.86"/>
    <col customWidth="1" hidden="1" min="39" max="39" width="10.71"/>
    <col customWidth="1" hidden="1" min="40" max="40" width="6.43"/>
    <col customWidth="1" hidden="1" min="41" max="41" width="9.0"/>
    <col customWidth="1" hidden="1" min="42" max="42" width="10.29"/>
    <col customWidth="1" hidden="1" min="43" max="43" width="6.71"/>
    <col customWidth="1" hidden="1" min="44" max="44" width="8.43"/>
    <col customWidth="1" min="45" max="45" width="10.71"/>
    <col customWidth="1" min="47" max="47" width="9.43"/>
    <col customWidth="1" min="48" max="48" width="8.0"/>
    <col customWidth="1" min="50" max="50" width="9.0"/>
    <col customWidth="1" min="51" max="51" width="11.57"/>
    <col customWidth="1" hidden="1" min="52" max="53" width="9.0"/>
    <col customWidth="1" hidden="1" min="54" max="54" width="10.14"/>
    <col customWidth="1" hidden="1" min="55" max="55" width="9.0"/>
  </cols>
  <sheetData>
    <row r="1" ht="12.75" customHeight="1">
      <c r="A1" s="1"/>
      <c r="B1" s="2"/>
      <c r="C1" s="3">
        <v>60.0</v>
      </c>
      <c r="D1" s="4" t="s">
        <v>0</v>
      </c>
      <c r="E1" s="5"/>
      <c r="F1" s="5"/>
      <c r="G1" s="5"/>
      <c r="H1" s="6">
        <v>45712.0</v>
      </c>
      <c r="I1" s="7"/>
      <c r="J1" s="5"/>
      <c r="K1" s="8"/>
      <c r="L1" s="9"/>
      <c r="M1" s="10"/>
      <c r="N1" s="10"/>
      <c r="O1" s="11"/>
      <c r="P1" s="11"/>
      <c r="Q1" s="11"/>
      <c r="R1" s="12" t="s">
        <v>1</v>
      </c>
      <c r="S1" s="13"/>
      <c r="T1" s="13"/>
      <c r="U1" s="14"/>
      <c r="V1" s="15" t="s">
        <v>2</v>
      </c>
      <c r="W1" s="15"/>
      <c r="X1" s="15"/>
      <c r="Y1" s="15"/>
      <c r="Z1" s="8"/>
      <c r="AA1" s="16" t="s">
        <v>3</v>
      </c>
      <c r="AB1" s="17">
        <v>1.7</v>
      </c>
      <c r="AC1" s="18" t="s">
        <v>4</v>
      </c>
      <c r="AD1" s="19"/>
      <c r="AE1" s="20"/>
      <c r="AF1" s="15"/>
      <c r="AG1" s="21">
        <v>0.29</v>
      </c>
      <c r="AH1" s="22" t="s">
        <v>5</v>
      </c>
      <c r="AI1" s="244"/>
      <c r="AJ1" s="24"/>
      <c r="AK1" s="245"/>
      <c r="AL1" s="246"/>
      <c r="AM1" s="247"/>
      <c r="AN1" s="246"/>
      <c r="AO1" s="246"/>
      <c r="AP1" s="248"/>
      <c r="AQ1" s="248"/>
      <c r="AR1" s="248"/>
      <c r="AS1" s="249"/>
      <c r="AT1" s="250"/>
      <c r="AU1" s="249"/>
      <c r="AV1" s="251"/>
      <c r="AW1" s="250"/>
      <c r="AX1" s="249"/>
      <c r="AY1" s="26"/>
      <c r="AZ1" s="26"/>
      <c r="BA1" s="27"/>
      <c r="BB1" s="28"/>
      <c r="BC1" s="29"/>
    </row>
    <row r="2" ht="12.75" customHeight="1">
      <c r="A2" s="26"/>
      <c r="B2" s="12"/>
      <c r="C2" s="30">
        <v>0.1</v>
      </c>
      <c r="D2" s="31" t="s">
        <v>6</v>
      </c>
      <c r="E2" s="5"/>
      <c r="F2" s="5"/>
      <c r="G2" s="5"/>
      <c r="H2" s="32" t="s">
        <v>7</v>
      </c>
      <c r="I2" s="32">
        <v>6.9E-4</v>
      </c>
      <c r="J2" s="5"/>
      <c r="K2" s="8"/>
      <c r="L2" s="9"/>
      <c r="M2" s="10"/>
      <c r="N2" s="10"/>
      <c r="O2" s="11"/>
      <c r="P2" s="11" t="s">
        <v>8</v>
      </c>
      <c r="Q2" s="11" t="s">
        <v>8</v>
      </c>
      <c r="R2" s="33">
        <v>170.0</v>
      </c>
      <c r="S2" s="34">
        <v>64.6</v>
      </c>
      <c r="T2" s="34"/>
      <c r="U2" s="35">
        <v>16.15</v>
      </c>
      <c r="V2" s="36">
        <v>170.0</v>
      </c>
      <c r="W2" s="36">
        <v>0.14</v>
      </c>
      <c r="X2" s="36">
        <v>0.14</v>
      </c>
      <c r="Y2" s="15"/>
      <c r="Z2" s="8"/>
      <c r="AA2" s="37" t="s">
        <v>9</v>
      </c>
      <c r="AB2" s="38">
        <v>1.7</v>
      </c>
      <c r="AC2" s="39" t="s">
        <v>10</v>
      </c>
      <c r="AD2" s="38"/>
      <c r="AE2" s="40"/>
      <c r="AF2" s="15"/>
      <c r="AG2" s="41">
        <v>0.0</v>
      </c>
      <c r="AH2" s="22" t="s">
        <v>11</v>
      </c>
      <c r="AI2" s="244"/>
      <c r="AJ2" s="24"/>
      <c r="AK2" s="245"/>
      <c r="AL2" s="246"/>
      <c r="AM2" s="247"/>
      <c r="AN2" s="246"/>
      <c r="AO2" s="246"/>
      <c r="AP2" s="248"/>
      <c r="AQ2" s="248"/>
      <c r="AR2" s="248"/>
      <c r="AS2" s="249"/>
      <c r="AT2" s="250"/>
      <c r="AU2" s="249"/>
      <c r="AV2" s="251"/>
      <c r="AW2" s="250"/>
      <c r="AX2" s="249"/>
      <c r="AY2" s="26"/>
      <c r="AZ2" s="26"/>
      <c r="BA2" s="27"/>
      <c r="BB2" s="28"/>
      <c r="BC2" s="29"/>
    </row>
    <row r="3" ht="12.75" customHeight="1">
      <c r="A3" s="26"/>
      <c r="B3" s="12"/>
      <c r="C3" s="42">
        <v>0.0</v>
      </c>
      <c r="D3" s="43" t="s">
        <v>12</v>
      </c>
      <c r="E3" s="5"/>
      <c r="F3" s="5"/>
      <c r="G3" s="5"/>
      <c r="H3" s="44" t="s">
        <v>13</v>
      </c>
      <c r="I3" s="44">
        <v>89.0</v>
      </c>
      <c r="J3" s="5"/>
      <c r="K3" s="8"/>
      <c r="L3" s="9"/>
      <c r="M3" s="10"/>
      <c r="N3" s="10"/>
      <c r="O3" s="11"/>
      <c r="P3" s="11" t="s">
        <v>14</v>
      </c>
      <c r="Q3" s="11" t="s">
        <v>14</v>
      </c>
      <c r="R3" s="33">
        <v>160.0</v>
      </c>
      <c r="S3" s="34">
        <v>60.8</v>
      </c>
      <c r="T3" s="34"/>
      <c r="U3" s="35">
        <v>15.2</v>
      </c>
      <c r="V3" s="36">
        <v>160.0</v>
      </c>
      <c r="W3" s="36">
        <v>0.13</v>
      </c>
      <c r="X3" s="36">
        <v>0.13</v>
      </c>
      <c r="Y3" s="15"/>
      <c r="Z3" s="8"/>
      <c r="AA3" s="8"/>
      <c r="AB3" s="45">
        <v>50.0</v>
      </c>
      <c r="AC3" s="46" t="s">
        <v>15</v>
      </c>
      <c r="AD3" s="38"/>
      <c r="AE3" s="40"/>
      <c r="AF3" s="15"/>
      <c r="AG3" s="47">
        <v>0.0</v>
      </c>
      <c r="AH3" s="48" t="s">
        <v>16</v>
      </c>
      <c r="AI3" s="252"/>
      <c r="AJ3" s="50"/>
      <c r="AK3" s="245"/>
      <c r="AL3" s="246"/>
      <c r="AM3" s="247"/>
      <c r="AN3" s="246"/>
      <c r="AO3" s="246"/>
      <c r="AP3" s="253"/>
      <c r="AQ3" s="253"/>
      <c r="AR3" s="253"/>
      <c r="AS3" s="249"/>
      <c r="AT3" s="250"/>
      <c r="AU3" s="249"/>
      <c r="AV3" s="251"/>
      <c r="AW3" s="250"/>
      <c r="AX3" s="249"/>
      <c r="AY3" s="26"/>
      <c r="AZ3" s="26"/>
      <c r="BA3" s="27"/>
      <c r="BB3" s="28"/>
      <c r="BC3" s="29"/>
    </row>
    <row r="4" ht="12.75" customHeight="1">
      <c r="A4" s="26"/>
      <c r="B4" s="12"/>
      <c r="C4" s="51">
        <v>76.0</v>
      </c>
      <c r="D4" s="52" t="s">
        <v>17</v>
      </c>
      <c r="E4" s="5"/>
      <c r="F4" s="5"/>
      <c r="G4" s="53"/>
      <c r="H4" s="54" t="s">
        <v>18</v>
      </c>
      <c r="I4" s="32"/>
      <c r="J4" s="55">
        <v>0.3</v>
      </c>
      <c r="K4" s="8"/>
      <c r="L4" s="9"/>
      <c r="M4" s="10"/>
      <c r="N4" s="10"/>
      <c r="O4" s="11"/>
      <c r="P4" s="11" t="s">
        <v>19</v>
      </c>
      <c r="Q4" s="11" t="s">
        <v>19</v>
      </c>
      <c r="R4" s="33">
        <v>115.0</v>
      </c>
      <c r="S4" s="34">
        <v>43.7</v>
      </c>
      <c r="T4" s="34"/>
      <c r="U4" s="35">
        <v>10.93</v>
      </c>
      <c r="V4" s="36">
        <v>115.0</v>
      </c>
      <c r="W4" s="36">
        <v>0.09</v>
      </c>
      <c r="X4" s="36">
        <v>0.09</v>
      </c>
      <c r="Y4" s="15"/>
      <c r="Z4" s="8"/>
      <c r="AA4" s="8"/>
      <c r="AB4" s="15">
        <v>38.0</v>
      </c>
      <c r="AC4" s="56" t="s">
        <v>20</v>
      </c>
      <c r="AD4" s="15"/>
      <c r="AE4" s="15"/>
      <c r="AF4" s="15"/>
      <c r="AG4" s="15"/>
      <c r="AH4" s="57"/>
      <c r="AI4" s="254"/>
      <c r="AJ4" s="15"/>
      <c r="AK4" s="245"/>
      <c r="AL4" s="246"/>
      <c r="AM4" s="247"/>
      <c r="AN4" s="246"/>
      <c r="AO4" s="246"/>
      <c r="AP4" s="15"/>
      <c r="AQ4" s="15"/>
      <c r="AR4" s="15"/>
      <c r="AS4" s="249"/>
      <c r="AT4" s="250"/>
      <c r="AU4" s="249"/>
      <c r="AV4" s="251"/>
      <c r="AW4" s="250"/>
      <c r="AX4" s="249"/>
      <c r="AY4" s="26"/>
      <c r="AZ4" s="26"/>
      <c r="BA4" s="27"/>
      <c r="BB4" s="28"/>
      <c r="BC4" s="29"/>
    </row>
    <row r="5" ht="12.75" customHeight="1">
      <c r="A5" s="26"/>
      <c r="B5" s="12"/>
      <c r="C5" s="58">
        <v>19.0</v>
      </c>
      <c r="D5" s="59" t="s">
        <v>21</v>
      </c>
      <c r="E5" s="5"/>
      <c r="F5" s="5"/>
      <c r="G5" s="53"/>
      <c r="H5" s="54" t="s">
        <v>22</v>
      </c>
      <c r="I5" s="32"/>
      <c r="J5" s="60"/>
      <c r="K5" s="8"/>
      <c r="L5" s="9"/>
      <c r="M5" s="10"/>
      <c r="N5" s="10"/>
      <c r="O5" s="11"/>
      <c r="P5" s="11" t="s">
        <v>23</v>
      </c>
      <c r="Q5" s="11" t="s">
        <v>23</v>
      </c>
      <c r="R5" s="61">
        <v>200.0</v>
      </c>
      <c r="S5" s="62">
        <v>76.0</v>
      </c>
      <c r="T5" s="62"/>
      <c r="U5" s="63">
        <v>19.0</v>
      </c>
      <c r="V5" s="36">
        <v>200.0</v>
      </c>
      <c r="W5" s="64">
        <v>0.16</v>
      </c>
      <c r="X5" s="64">
        <v>0.16</v>
      </c>
      <c r="Y5" s="15"/>
      <c r="Z5" s="8"/>
      <c r="AA5" s="8"/>
      <c r="AB5" s="15">
        <v>9.5</v>
      </c>
      <c r="AC5" s="56" t="s">
        <v>24</v>
      </c>
      <c r="AD5" s="15"/>
      <c r="AE5" s="15"/>
      <c r="AF5" s="15"/>
      <c r="AG5" s="15"/>
      <c r="AH5" s="57"/>
      <c r="AI5" s="254"/>
      <c r="AJ5" s="15"/>
      <c r="AK5" s="245"/>
      <c r="AL5" s="246"/>
      <c r="AM5" s="247"/>
      <c r="AN5" s="246"/>
      <c r="AO5" s="246"/>
      <c r="AP5" s="15"/>
      <c r="AQ5" s="15"/>
      <c r="AR5" s="15"/>
      <c r="AS5" s="249"/>
      <c r="AT5" s="250"/>
      <c r="AU5" s="249"/>
      <c r="AV5" s="251"/>
      <c r="AW5" s="250"/>
      <c r="AX5" s="249"/>
      <c r="AY5" s="26"/>
      <c r="AZ5" s="26"/>
      <c r="BA5" s="27"/>
      <c r="BB5" s="28"/>
      <c r="BC5" s="29"/>
    </row>
    <row r="6" ht="12.75" customHeight="1">
      <c r="A6" s="26"/>
      <c r="B6" s="12"/>
      <c r="C6" s="51">
        <v>0.16</v>
      </c>
      <c r="D6" s="52" t="s">
        <v>25</v>
      </c>
      <c r="E6" s="5"/>
      <c r="F6" s="5"/>
      <c r="G6" s="5"/>
      <c r="H6" s="5"/>
      <c r="I6" s="5"/>
      <c r="J6" s="5"/>
      <c r="K6" s="8"/>
      <c r="L6" s="9"/>
      <c r="M6" s="10"/>
      <c r="N6" s="10"/>
      <c r="O6" s="11"/>
      <c r="P6" s="11" t="s">
        <v>26</v>
      </c>
      <c r="Q6" s="11" t="s">
        <v>26</v>
      </c>
      <c r="R6" s="33">
        <v>165.0</v>
      </c>
      <c r="S6" s="34">
        <v>62.7</v>
      </c>
      <c r="T6" s="34"/>
      <c r="U6" s="35">
        <v>15.68</v>
      </c>
      <c r="V6" s="36">
        <v>165.0</v>
      </c>
      <c r="W6" s="36">
        <v>0.13</v>
      </c>
      <c r="X6" s="36">
        <v>0.13</v>
      </c>
      <c r="Y6" s="15"/>
      <c r="Z6" s="8"/>
      <c r="AA6" s="8"/>
      <c r="AB6" s="65">
        <v>0.325</v>
      </c>
      <c r="AC6" s="66" t="s">
        <v>27</v>
      </c>
      <c r="AD6" s="19"/>
      <c r="AE6" s="20"/>
      <c r="AF6" s="15"/>
      <c r="AG6" s="15"/>
      <c r="AH6" s="57"/>
      <c r="AI6" s="254"/>
      <c r="AJ6" s="15"/>
      <c r="AK6" s="245"/>
      <c r="AL6" s="246"/>
      <c r="AM6" s="247"/>
      <c r="AN6" s="246"/>
      <c r="AO6" s="246"/>
      <c r="AP6" s="15"/>
      <c r="AQ6" s="15"/>
      <c r="AR6" s="15"/>
      <c r="AS6" s="249"/>
      <c r="AT6" s="250"/>
      <c r="AU6" s="249"/>
      <c r="AV6" s="251"/>
      <c r="AW6" s="250"/>
      <c r="AX6" s="249"/>
      <c r="AY6" s="26"/>
      <c r="AZ6" s="26"/>
      <c r="BA6" s="27"/>
      <c r="BB6" s="28"/>
      <c r="BC6" s="29"/>
    </row>
    <row r="7" ht="12.75" customHeight="1">
      <c r="A7" s="26"/>
      <c r="B7" s="12"/>
      <c r="C7" s="67">
        <v>30.0</v>
      </c>
      <c r="D7" s="59" t="s">
        <v>28</v>
      </c>
      <c r="E7" s="5"/>
      <c r="F7" s="5"/>
      <c r="G7" s="5"/>
      <c r="H7" s="5"/>
      <c r="I7" s="5"/>
      <c r="J7" s="5"/>
      <c r="K7" s="8"/>
      <c r="L7" s="9"/>
      <c r="M7" s="10"/>
      <c r="N7" s="10"/>
      <c r="O7" s="11"/>
      <c r="P7" s="11" t="s">
        <v>29</v>
      </c>
      <c r="Q7" s="11" t="s">
        <v>29</v>
      </c>
      <c r="R7" s="33">
        <v>220.0</v>
      </c>
      <c r="S7" s="34">
        <v>83.6</v>
      </c>
      <c r="T7" s="34"/>
      <c r="U7" s="68">
        <v>20.9</v>
      </c>
      <c r="V7" s="35">
        <v>220.0</v>
      </c>
      <c r="W7" s="36">
        <v>0.18</v>
      </c>
      <c r="X7" s="36">
        <v>0.18</v>
      </c>
      <c r="Y7" s="15"/>
      <c r="Z7" s="69"/>
      <c r="AA7" s="8"/>
      <c r="AB7" s="70">
        <v>0.0356</v>
      </c>
      <c r="AC7" s="71" t="s">
        <v>30</v>
      </c>
      <c r="AD7" s="72"/>
      <c r="AE7" s="73"/>
      <c r="AF7" s="15"/>
      <c r="AG7" s="15"/>
      <c r="AH7" s="57"/>
      <c r="AI7" s="254"/>
      <c r="AJ7" s="15"/>
      <c r="AK7" s="245"/>
      <c r="AL7" s="246"/>
      <c r="AM7" s="247"/>
      <c r="AN7" s="246"/>
      <c r="AO7" s="246"/>
      <c r="AP7" s="15"/>
      <c r="AQ7" s="15"/>
      <c r="AR7" s="15"/>
      <c r="AS7" s="249"/>
      <c r="AT7" s="250"/>
      <c r="AU7" s="249"/>
      <c r="AV7" s="251"/>
      <c r="AW7" s="250"/>
      <c r="AX7" s="249"/>
      <c r="AY7" s="26"/>
      <c r="AZ7" s="74" t="s">
        <v>31</v>
      </c>
      <c r="BA7" s="75"/>
      <c r="BB7" s="75"/>
      <c r="BC7" s="76"/>
    </row>
    <row r="8" ht="12.75" customHeight="1">
      <c r="A8" s="26"/>
      <c r="B8" s="77"/>
      <c r="C8" s="78">
        <v>0.08</v>
      </c>
      <c r="D8" s="79" t="s">
        <v>32</v>
      </c>
      <c r="E8" s="80"/>
      <c r="F8" s="81" t="s">
        <v>33</v>
      </c>
      <c r="G8" s="82"/>
      <c r="H8" s="82"/>
      <c r="I8" s="82"/>
      <c r="J8" s="82"/>
      <c r="K8" s="83"/>
      <c r="L8" s="84"/>
      <c r="M8" s="85"/>
      <c r="N8" s="255"/>
      <c r="O8" s="86"/>
      <c r="P8" s="86"/>
      <c r="Q8" s="86"/>
      <c r="R8" s="87" t="s">
        <v>34</v>
      </c>
      <c r="S8" s="88"/>
      <c r="T8" s="88"/>
      <c r="U8" s="88"/>
      <c r="V8" s="89"/>
      <c r="W8" s="90" t="s">
        <v>35</v>
      </c>
      <c r="X8" s="88"/>
      <c r="Y8" s="89"/>
      <c r="Z8" s="8"/>
      <c r="AA8" s="91" t="s">
        <v>36</v>
      </c>
      <c r="AB8" s="75"/>
      <c r="AC8" s="75"/>
      <c r="AD8" s="75"/>
      <c r="AE8" s="75"/>
      <c r="AF8" s="75"/>
      <c r="AG8" s="76"/>
      <c r="AH8" s="57"/>
      <c r="AI8" s="254"/>
      <c r="AJ8" s="92" t="s">
        <v>37</v>
      </c>
      <c r="AK8" s="83"/>
      <c r="AL8" s="256" t="s">
        <v>654</v>
      </c>
      <c r="AM8" s="257"/>
      <c r="AN8" s="257"/>
      <c r="AO8" s="257"/>
      <c r="AP8" s="257"/>
      <c r="AQ8" s="257"/>
      <c r="AR8" s="7"/>
      <c r="AS8" s="258" t="s">
        <v>655</v>
      </c>
      <c r="AT8" s="257"/>
      <c r="AU8" s="257"/>
      <c r="AV8" s="257"/>
      <c r="AW8" s="257"/>
      <c r="AX8" s="7"/>
      <c r="AY8" s="26"/>
      <c r="AZ8" s="93"/>
      <c r="BA8" s="94"/>
      <c r="BB8" s="94"/>
      <c r="BC8" s="95"/>
    </row>
    <row r="9" ht="59.25" customHeight="1">
      <c r="A9" s="26"/>
      <c r="B9" s="96" t="s">
        <v>38</v>
      </c>
      <c r="C9" s="96" t="s">
        <v>39</v>
      </c>
      <c r="D9" s="97" t="s">
        <v>40</v>
      </c>
      <c r="E9" s="98" t="s">
        <v>41</v>
      </c>
      <c r="F9" s="99" t="s">
        <v>42</v>
      </c>
      <c r="G9" s="100" t="s">
        <v>43</v>
      </c>
      <c r="H9" s="101" t="s">
        <v>44</v>
      </c>
      <c r="I9" s="101" t="s">
        <v>45</v>
      </c>
      <c r="J9" s="101" t="s">
        <v>46</v>
      </c>
      <c r="K9" s="102" t="s">
        <v>47</v>
      </c>
      <c r="L9" s="103" t="s">
        <v>48</v>
      </c>
      <c r="M9" s="104" t="s">
        <v>49</v>
      </c>
      <c r="N9" s="259" t="s">
        <v>656</v>
      </c>
      <c r="O9" s="105" t="s">
        <v>657</v>
      </c>
      <c r="P9" s="105" t="s">
        <v>658</v>
      </c>
      <c r="Q9" s="105" t="s">
        <v>50</v>
      </c>
      <c r="R9" s="106" t="s">
        <v>51</v>
      </c>
      <c r="S9" s="107" t="s">
        <v>659</v>
      </c>
      <c r="T9" s="108" t="s">
        <v>53</v>
      </c>
      <c r="U9" s="109" t="s">
        <v>54</v>
      </c>
      <c r="V9" s="110" t="s">
        <v>55</v>
      </c>
      <c r="W9" s="111" t="s">
        <v>56</v>
      </c>
      <c r="X9" s="111" t="s">
        <v>57</v>
      </c>
      <c r="Y9" s="112" t="s">
        <v>58</v>
      </c>
      <c r="Z9" s="113" t="s">
        <v>59</v>
      </c>
      <c r="AA9" s="114" t="s">
        <v>60</v>
      </c>
      <c r="AB9" s="115" t="s">
        <v>660</v>
      </c>
      <c r="AC9" s="115" t="s">
        <v>661</v>
      </c>
      <c r="AD9" s="116" t="s">
        <v>63</v>
      </c>
      <c r="AE9" s="116" t="s">
        <v>64</v>
      </c>
      <c r="AF9" s="116" t="s">
        <v>65</v>
      </c>
      <c r="AG9" s="117" t="s">
        <v>662</v>
      </c>
      <c r="AH9" s="118" t="s">
        <v>67</v>
      </c>
      <c r="AI9" s="260" t="s">
        <v>663</v>
      </c>
      <c r="AJ9" s="261" t="s">
        <v>69</v>
      </c>
      <c r="AK9" s="262" t="s">
        <v>70</v>
      </c>
      <c r="AL9" s="263" t="s">
        <v>664</v>
      </c>
      <c r="AM9" s="264" t="s">
        <v>665</v>
      </c>
      <c r="AN9" s="263" t="s">
        <v>666</v>
      </c>
      <c r="AO9" s="265" t="s">
        <v>667</v>
      </c>
      <c r="AP9" s="266" t="s">
        <v>668</v>
      </c>
      <c r="AQ9" s="266" t="s">
        <v>669</v>
      </c>
      <c r="AR9" s="266" t="s">
        <v>670</v>
      </c>
      <c r="AS9" s="267" t="s">
        <v>671</v>
      </c>
      <c r="AT9" s="268" t="s">
        <v>665</v>
      </c>
      <c r="AU9" s="267" t="s">
        <v>672</v>
      </c>
      <c r="AV9" s="269" t="s">
        <v>673</v>
      </c>
      <c r="AW9" s="270" t="s">
        <v>669</v>
      </c>
      <c r="AX9" s="270" t="s">
        <v>674</v>
      </c>
      <c r="AY9" s="26"/>
      <c r="AZ9" s="122" t="s">
        <v>71</v>
      </c>
      <c r="BA9" s="123" t="s">
        <v>72</v>
      </c>
      <c r="BB9" s="107" t="s">
        <v>675</v>
      </c>
      <c r="BC9" s="124" t="s">
        <v>74</v>
      </c>
    </row>
    <row r="10" ht="12.75" customHeight="1">
      <c r="A10" s="26"/>
      <c r="B10" s="125" t="s">
        <v>75</v>
      </c>
      <c r="C10" s="126"/>
      <c r="D10" s="127"/>
      <c r="E10" s="128"/>
      <c r="F10" s="129"/>
      <c r="G10" s="128"/>
      <c r="H10" s="128"/>
      <c r="I10" s="128"/>
      <c r="J10" s="128"/>
      <c r="K10" s="130"/>
      <c r="L10" s="131"/>
      <c r="M10" s="132"/>
      <c r="N10" s="176"/>
      <c r="O10" s="133"/>
      <c r="P10" s="133"/>
      <c r="Q10" s="133"/>
      <c r="R10" s="134"/>
      <c r="S10" s="135"/>
      <c r="T10" s="135"/>
      <c r="U10" s="136"/>
      <c r="V10" s="137"/>
      <c r="W10" s="138"/>
      <c r="X10" s="139"/>
      <c r="Y10" s="140"/>
      <c r="Z10" s="141"/>
      <c r="AA10" s="142"/>
      <c r="AB10" s="143"/>
      <c r="AC10" s="143"/>
      <c r="AD10" s="139"/>
      <c r="AE10" s="139"/>
      <c r="AF10" s="139"/>
      <c r="AG10" s="140"/>
      <c r="AH10" s="144"/>
      <c r="AI10" s="271"/>
      <c r="AJ10" s="272"/>
      <c r="AK10" s="273"/>
      <c r="AL10" s="273"/>
      <c r="AM10" s="273"/>
      <c r="AN10" s="273"/>
      <c r="AO10" s="273"/>
      <c r="AP10" s="273"/>
      <c r="AQ10" s="273"/>
      <c r="AR10" s="273"/>
      <c r="AS10" s="274"/>
      <c r="AT10" s="275"/>
      <c r="AU10" s="274"/>
      <c r="AV10" s="274"/>
      <c r="AW10" s="276"/>
      <c r="AX10" s="273"/>
      <c r="AY10" s="26"/>
      <c r="AZ10" s="147"/>
      <c r="BA10" s="148"/>
      <c r="BB10" s="149"/>
      <c r="BC10" s="150"/>
    </row>
    <row r="11" ht="12.75" customHeight="1">
      <c r="A11" s="26"/>
      <c r="C11" s="151">
        <v>2.07481251E8</v>
      </c>
      <c r="D11" s="152" t="s">
        <v>76</v>
      </c>
      <c r="E11" s="153" t="s">
        <v>77</v>
      </c>
      <c r="F11" s="154">
        <v>1.0</v>
      </c>
      <c r="G11" s="53">
        <v>0.0</v>
      </c>
      <c r="H11" s="53" t="str">
        <f t="shared" ref="H11:H14" si="1">$I$2</f>
        <v>0.00069</v>
      </c>
      <c r="I11" s="53" t="str">
        <f t="shared" ref="I11:I14" si="2">$I$3</f>
        <v>89</v>
      </c>
      <c r="J11" s="53" t="str">
        <f t="shared" ref="J11:J14" si="3">G11*H11*I11*F11</f>
        <v>0</v>
      </c>
      <c r="K11" s="155" t="str">
        <f t="shared" ref="K11:K14" si="4">J11*$J$4</f>
        <v>0.00</v>
      </c>
      <c r="L11" s="156" t="str">
        <f t="shared" ref="L11:L14" si="5">K11+J11</f>
        <v>0.00 </v>
      </c>
      <c r="M11" s="132">
        <v>90.0</v>
      </c>
      <c r="N11" s="157">
        <v>756.59</v>
      </c>
      <c r="O11" s="277">
        <v>824.68</v>
      </c>
      <c r="P11" s="277">
        <v>801.99</v>
      </c>
      <c r="Q11" s="157">
        <v>756.59</v>
      </c>
      <c r="R11" s="158">
        <v>2200.0</v>
      </c>
      <c r="S11" s="159" t="str">
        <f t="shared" ref="S11:S14" si="6">R11</f>
        <v>2,200.00</v>
      </c>
      <c r="T11" s="160" t="s">
        <v>78</v>
      </c>
      <c r="U11" s="161">
        <v>0.26</v>
      </c>
      <c r="V11" s="162" t="str">
        <f t="shared" ref="V11:V14" si="7">R11-(R11*U11)</f>
        <v>1,628.00</v>
      </c>
      <c r="W11" s="163" t="str">
        <f t="shared" ref="W11:W14" si="8">$C$1</f>
        <v>60.00</v>
      </c>
      <c r="X11" s="164" t="str">
        <f t="shared" ref="X11:X14" si="9">(V11*7/107)+((V11-(V11*7/107))*1%)</f>
        <v>121.72</v>
      </c>
      <c r="Y11" s="165" t="str">
        <f t="shared" ref="Y11:Y14" si="10">Q11*$C$3*(M11/30)</f>
        <v>0.00</v>
      </c>
      <c r="Z11" s="166">
        <v>0.4</v>
      </c>
      <c r="AA11" s="167" t="str">
        <f t="shared" ref="AA11:AA12" si="11">((_xlfn.CEILING.MATH(Z11)-1)*$C$5+$C$4)</f>
        <v>76</v>
      </c>
      <c r="AB11" s="168" t="str">
        <f t="shared" ref="AB11:AB14" si="12">R11*$AB$6</f>
        <v>715.000</v>
      </c>
      <c r="AC11" s="168" t="str">
        <f t="shared" ref="AC11:AC14" si="13">V11*$AB$7</f>
        <v>57.957</v>
      </c>
      <c r="AD11" s="164" t="str">
        <f t="shared" ref="AD11:AD14" si="14">$AB$3*((100-AE11)/100)</f>
        <v>3.91</v>
      </c>
      <c r="AE11" s="164">
        <v>92.19</v>
      </c>
      <c r="AF11" s="164" t="str">
        <f t="shared" ref="AF11:AF14" si="15">$C$6*$C$7</f>
        <v>4.80</v>
      </c>
      <c r="AG11" s="165" t="str">
        <f t="shared" ref="AG11:AG14" si="16">R11*$C$2</f>
        <v>220.00</v>
      </c>
      <c r="AH11" s="23"/>
      <c r="AI11" s="278">
        <v>0.1</v>
      </c>
      <c r="AJ11" s="24" t="str">
        <f t="shared" ref="AJ11:AJ14" si="17">R11-W11-X11-Y11-AA11-AB11-AC11-AD11-AF11-AG11-Q11</f>
        <v>184.03</v>
      </c>
      <c r="AK11" s="279" t="str">
        <f t="shared" ref="AK11:AK14" si="18">AJ11/Q11</f>
        <v>24.32%</v>
      </c>
      <c r="AL11" s="280"/>
      <c r="AM11" s="281" t="str">
        <f t="shared" ref="AM11:AM14" si="19">AJ11*AL11</f>
        <v>0.00</v>
      </c>
      <c r="AN11" s="280"/>
      <c r="AO11" s="282"/>
      <c r="AP11" s="283"/>
      <c r="AQ11" s="283" t="str">
        <f t="shared" ref="AQ11:AQ14" si="20">AN11*AP11</f>
        <v>0.00</v>
      </c>
      <c r="AR11" s="283"/>
      <c r="AS11" s="284">
        <v>60.0</v>
      </c>
      <c r="AT11" s="285" t="str">
        <f t="shared" ref="AT11:AT108" si="21">AS11*AJ11</f>
        <v>11,041.71</v>
      </c>
      <c r="AU11" s="284">
        <v>60.0</v>
      </c>
      <c r="AV11" s="286">
        <v>0.0728</v>
      </c>
      <c r="AW11" s="285">
        <v>19399.74</v>
      </c>
      <c r="AX11" s="284">
        <v>42.74</v>
      </c>
      <c r="AY11" s="26"/>
      <c r="AZ11" s="171" t="str">
        <f t="shared" ref="AZ11:AZ14" si="22">$AG$3</f>
        <v>0.00%</v>
      </c>
      <c r="BA11" s="172" t="str">
        <f t="shared" ref="BA11:BA14" si="23">Q11*AZ11</f>
        <v>0.00</v>
      </c>
      <c r="BB11" s="173" t="str">
        <f t="shared" ref="BB11:BB14" si="24">(Q11+W11+Y11+AA11+AD11+AF11+AI11+BA11)/(100%-($C$2+$C$8+$AB$6+$AB$7))</f>
        <v>1,962.11</v>
      </c>
      <c r="BC11" s="174" t="str">
        <f t="shared" ref="BC11:BC14" si="25">BB11-(BB11*$AG$1)</f>
        <v>1,393.10</v>
      </c>
    </row>
    <row r="12" ht="12.75" hidden="1" customHeight="1">
      <c r="A12" s="26"/>
      <c r="C12" s="151">
        <v>2.07481714E8</v>
      </c>
      <c r="D12" s="152" t="s">
        <v>79</v>
      </c>
      <c r="E12" s="153" t="s">
        <v>77</v>
      </c>
      <c r="F12" s="154">
        <v>1.0</v>
      </c>
      <c r="G12" s="53"/>
      <c r="H12" s="53" t="str">
        <f t="shared" si="1"/>
        <v>0.00069</v>
      </c>
      <c r="I12" s="53" t="str">
        <f t="shared" si="2"/>
        <v>89</v>
      </c>
      <c r="J12" s="53" t="str">
        <f t="shared" si="3"/>
        <v>0</v>
      </c>
      <c r="K12" s="155" t="str">
        <f t="shared" si="4"/>
        <v>0.00</v>
      </c>
      <c r="L12" s="156" t="str">
        <f t="shared" si="5"/>
        <v>0.00 </v>
      </c>
      <c r="M12" s="132">
        <v>90.0</v>
      </c>
      <c r="N12" s="175">
        <v>499.7</v>
      </c>
      <c r="O12" s="277">
        <v>544.67</v>
      </c>
      <c r="P12" s="277">
        <v>529.68</v>
      </c>
      <c r="Q12" s="175">
        <v>499.7</v>
      </c>
      <c r="R12" s="158">
        <v>1800.0</v>
      </c>
      <c r="S12" s="159" t="str">
        <f t="shared" si="6"/>
        <v>1,800.00</v>
      </c>
      <c r="T12" s="160">
        <v>1847.0</v>
      </c>
      <c r="U12" s="161">
        <v>0.26</v>
      </c>
      <c r="V12" s="162" t="str">
        <f t="shared" si="7"/>
        <v>1,332.00</v>
      </c>
      <c r="W12" s="163" t="str">
        <f t="shared" si="8"/>
        <v>60.00</v>
      </c>
      <c r="X12" s="164" t="str">
        <f t="shared" si="9"/>
        <v>99.59</v>
      </c>
      <c r="Y12" s="165" t="str">
        <f t="shared" si="10"/>
        <v>0.00</v>
      </c>
      <c r="Z12" s="166">
        <v>0.45</v>
      </c>
      <c r="AA12" s="167" t="str">
        <f t="shared" si="11"/>
        <v>76</v>
      </c>
      <c r="AB12" s="168" t="str">
        <f t="shared" si="12"/>
        <v>585.000</v>
      </c>
      <c r="AC12" s="168" t="str">
        <f t="shared" si="13"/>
        <v>47.419</v>
      </c>
      <c r="AD12" s="164" t="str">
        <f t="shared" si="14"/>
        <v>5.23</v>
      </c>
      <c r="AE12" s="164">
        <v>89.55</v>
      </c>
      <c r="AF12" s="164" t="str">
        <f t="shared" si="15"/>
        <v>4.80</v>
      </c>
      <c r="AG12" s="165" t="str">
        <f t="shared" si="16"/>
        <v>180.00</v>
      </c>
      <c r="AH12" s="23"/>
      <c r="AI12" s="278">
        <v>0.1</v>
      </c>
      <c r="AJ12" s="24" t="str">
        <f t="shared" si="17"/>
        <v>242.27</v>
      </c>
      <c r="AK12" s="279" t="str">
        <f t="shared" si="18"/>
        <v>48.48%</v>
      </c>
      <c r="AL12" s="280"/>
      <c r="AM12" s="281" t="str">
        <f t="shared" si="19"/>
        <v>0.00</v>
      </c>
      <c r="AN12" s="280"/>
      <c r="AO12" s="282"/>
      <c r="AP12" s="283"/>
      <c r="AQ12" s="283" t="str">
        <f t="shared" si="20"/>
        <v>0.00</v>
      </c>
      <c r="AR12" s="283"/>
      <c r="AS12" s="284"/>
      <c r="AT12" s="285" t="str">
        <f t="shared" si="21"/>
        <v>0.00</v>
      </c>
      <c r="AU12" s="284"/>
      <c r="AV12" s="286"/>
      <c r="AW12" s="285"/>
      <c r="AX12" s="284"/>
      <c r="AY12" s="26"/>
      <c r="AZ12" s="171" t="str">
        <f t="shared" si="22"/>
        <v>0.00%</v>
      </c>
      <c r="BA12" s="172" t="str">
        <f t="shared" si="23"/>
        <v>0.00</v>
      </c>
      <c r="BB12" s="173" t="str">
        <f t="shared" si="24"/>
        <v>1,405.80</v>
      </c>
      <c r="BC12" s="174" t="str">
        <f t="shared" si="25"/>
        <v>998.12</v>
      </c>
    </row>
    <row r="13" ht="12.75" hidden="1" customHeight="1">
      <c r="A13" s="26"/>
      <c r="C13" s="151">
        <v>2.0425006E8</v>
      </c>
      <c r="D13" s="152" t="s">
        <v>80</v>
      </c>
      <c r="E13" s="153" t="s">
        <v>77</v>
      </c>
      <c r="F13" s="154">
        <v>1.0</v>
      </c>
      <c r="G13" s="53"/>
      <c r="H13" s="53" t="str">
        <f t="shared" si="1"/>
        <v>0.00069</v>
      </c>
      <c r="I13" s="53" t="str">
        <f t="shared" si="2"/>
        <v>89</v>
      </c>
      <c r="J13" s="53" t="str">
        <f t="shared" si="3"/>
        <v>0</v>
      </c>
      <c r="K13" s="155" t="str">
        <f t="shared" si="4"/>
        <v>0.00</v>
      </c>
      <c r="L13" s="156" t="str">
        <f t="shared" si="5"/>
        <v>0.00 </v>
      </c>
      <c r="M13" s="132">
        <v>90.0</v>
      </c>
      <c r="N13" s="157">
        <v>343.82</v>
      </c>
      <c r="O13" s="277">
        <v>374.76</v>
      </c>
      <c r="P13" s="277">
        <v>364.45</v>
      </c>
      <c r="Q13" s="157">
        <v>343.82</v>
      </c>
      <c r="R13" s="158">
        <v>1450.0</v>
      </c>
      <c r="S13" s="159" t="str">
        <f t="shared" si="6"/>
        <v>1,450.00</v>
      </c>
      <c r="T13" s="160">
        <v>1478.0</v>
      </c>
      <c r="U13" s="161">
        <v>0.26</v>
      </c>
      <c r="V13" s="162" t="str">
        <f t="shared" si="7"/>
        <v>1,073.00</v>
      </c>
      <c r="W13" s="163" t="str">
        <f t="shared" si="8"/>
        <v>60.00</v>
      </c>
      <c r="X13" s="164" t="str">
        <f t="shared" si="9"/>
        <v>80.22</v>
      </c>
      <c r="Y13" s="165" t="str">
        <f t="shared" si="10"/>
        <v>0.00</v>
      </c>
      <c r="Z13" s="166">
        <v>0.68</v>
      </c>
      <c r="AA13" s="167">
        <v>88.0</v>
      </c>
      <c r="AB13" s="168" t="str">
        <f t="shared" si="12"/>
        <v>471.250</v>
      </c>
      <c r="AC13" s="168" t="str">
        <f t="shared" si="13"/>
        <v>38.199</v>
      </c>
      <c r="AD13" s="164" t="str">
        <f t="shared" si="14"/>
        <v>1.47</v>
      </c>
      <c r="AE13" s="164">
        <v>97.07</v>
      </c>
      <c r="AF13" s="164" t="str">
        <f t="shared" si="15"/>
        <v>4.80</v>
      </c>
      <c r="AG13" s="165" t="str">
        <f t="shared" si="16"/>
        <v>145.00</v>
      </c>
      <c r="AH13" s="23"/>
      <c r="AI13" s="278">
        <v>0.1</v>
      </c>
      <c r="AJ13" s="24" t="str">
        <f t="shared" si="17"/>
        <v>217.24</v>
      </c>
      <c r="AK13" s="279" t="str">
        <f t="shared" si="18"/>
        <v>63.18%</v>
      </c>
      <c r="AL13" s="280"/>
      <c r="AM13" s="281" t="str">
        <f t="shared" si="19"/>
        <v>0.00</v>
      </c>
      <c r="AN13" s="280"/>
      <c r="AO13" s="282"/>
      <c r="AP13" s="283">
        <v>-145.76</v>
      </c>
      <c r="AQ13" s="283" t="str">
        <f t="shared" si="20"/>
        <v>0.00</v>
      </c>
      <c r="AR13" s="283">
        <v>-39.99</v>
      </c>
      <c r="AS13" s="284"/>
      <c r="AT13" s="285" t="str">
        <f t="shared" si="21"/>
        <v>0.00</v>
      </c>
      <c r="AU13" s="284"/>
      <c r="AV13" s="286"/>
      <c r="AW13" s="285"/>
      <c r="AX13" s="284"/>
      <c r="AY13" s="26"/>
      <c r="AZ13" s="171" t="str">
        <f t="shared" si="22"/>
        <v>0.00%</v>
      </c>
      <c r="BA13" s="172" t="str">
        <f t="shared" si="23"/>
        <v>0.00</v>
      </c>
      <c r="BB13" s="173" t="str">
        <f t="shared" si="24"/>
        <v>1,084.43</v>
      </c>
      <c r="BC13" s="174" t="str">
        <f t="shared" si="25"/>
        <v>769.94</v>
      </c>
    </row>
    <row r="14" ht="12.75" customHeight="1">
      <c r="A14" s="26"/>
      <c r="C14" s="151">
        <v>2.04258828E8</v>
      </c>
      <c r="D14" s="152" t="s">
        <v>81</v>
      </c>
      <c r="E14" s="153" t="s">
        <v>77</v>
      </c>
      <c r="F14" s="154">
        <v>1.0</v>
      </c>
      <c r="G14" s="53"/>
      <c r="H14" s="53" t="str">
        <f t="shared" si="1"/>
        <v>0.00069</v>
      </c>
      <c r="I14" s="53" t="str">
        <f t="shared" si="2"/>
        <v>89</v>
      </c>
      <c r="J14" s="53" t="str">
        <f t="shared" si="3"/>
        <v>0</v>
      </c>
      <c r="K14" s="155" t="str">
        <f t="shared" si="4"/>
        <v>0.00</v>
      </c>
      <c r="L14" s="156" t="str">
        <f t="shared" si="5"/>
        <v>0.00 </v>
      </c>
      <c r="M14" s="132">
        <v>90.0</v>
      </c>
      <c r="N14" s="157">
        <v>343.82</v>
      </c>
      <c r="O14" s="277">
        <v>374.76</v>
      </c>
      <c r="P14" s="277">
        <v>364.45</v>
      </c>
      <c r="Q14" s="157">
        <v>343.82</v>
      </c>
      <c r="R14" s="158">
        <v>1200.0</v>
      </c>
      <c r="S14" s="159" t="str">
        <f t="shared" si="6"/>
        <v>1,200.00</v>
      </c>
      <c r="T14" s="160">
        <v>1920.0</v>
      </c>
      <c r="U14" s="161">
        <v>0.26</v>
      </c>
      <c r="V14" s="162" t="str">
        <f t="shared" si="7"/>
        <v>888.00</v>
      </c>
      <c r="W14" s="163" t="str">
        <f t="shared" si="8"/>
        <v>60.00</v>
      </c>
      <c r="X14" s="164" t="str">
        <f t="shared" si="9"/>
        <v>66.39</v>
      </c>
      <c r="Y14" s="165" t="str">
        <f t="shared" si="10"/>
        <v>0.00</v>
      </c>
      <c r="Z14" s="166">
        <v>0.63</v>
      </c>
      <c r="AA14" s="167" t="str">
        <f>((_xlfn.CEILING.MATH(Z14)-1)*$C$5+$C$4)</f>
        <v>76</v>
      </c>
      <c r="AB14" s="168" t="str">
        <f t="shared" si="12"/>
        <v>390.000</v>
      </c>
      <c r="AC14" s="168" t="str">
        <f t="shared" si="13"/>
        <v>31.613</v>
      </c>
      <c r="AD14" s="164" t="str">
        <f t="shared" si="14"/>
        <v>0.00</v>
      </c>
      <c r="AE14" s="164">
        <v>100.0</v>
      </c>
      <c r="AF14" s="164" t="str">
        <f t="shared" si="15"/>
        <v>4.80</v>
      </c>
      <c r="AG14" s="165" t="str">
        <f t="shared" si="16"/>
        <v>120.00</v>
      </c>
      <c r="AH14" s="23"/>
      <c r="AI14" s="278">
        <v>0.1</v>
      </c>
      <c r="AJ14" s="24" t="str">
        <f t="shared" si="17"/>
        <v>107.37</v>
      </c>
      <c r="AK14" s="279" t="str">
        <f t="shared" si="18"/>
        <v>31.23%</v>
      </c>
      <c r="AL14" s="280"/>
      <c r="AM14" s="281" t="str">
        <f t="shared" si="19"/>
        <v>0.00</v>
      </c>
      <c r="AN14" s="280"/>
      <c r="AO14" s="282">
        <v>20.91</v>
      </c>
      <c r="AP14" s="283">
        <v>183.82</v>
      </c>
      <c r="AQ14" s="283" t="str">
        <f t="shared" si="20"/>
        <v>0.00</v>
      </c>
      <c r="AR14" s="283">
        <v>50.9</v>
      </c>
      <c r="AS14" s="284">
        <v>42.0</v>
      </c>
      <c r="AT14" s="285" t="str">
        <f t="shared" si="21"/>
        <v>4,509.74</v>
      </c>
      <c r="AU14" s="284">
        <v>42.0</v>
      </c>
      <c r="AV14" s="286">
        <v>0.0525</v>
      </c>
      <c r="AW14" s="285">
        <v>8192.03</v>
      </c>
      <c r="AX14" s="284">
        <v>56.73</v>
      </c>
      <c r="AY14" s="26"/>
      <c r="AZ14" s="171" t="str">
        <f t="shared" si="22"/>
        <v>0.00%</v>
      </c>
      <c r="BA14" s="172" t="str">
        <f t="shared" si="23"/>
        <v>0.00</v>
      </c>
      <c r="BB14" s="173" t="str">
        <f t="shared" si="24"/>
        <v>1,055.12</v>
      </c>
      <c r="BC14" s="174" t="str">
        <f t="shared" si="25"/>
        <v>749.13</v>
      </c>
    </row>
    <row r="15" ht="12.75" customHeight="1">
      <c r="A15" s="26"/>
      <c r="B15" s="125" t="s">
        <v>82</v>
      </c>
      <c r="C15" s="126"/>
      <c r="D15" s="127"/>
      <c r="E15" s="128"/>
      <c r="F15" s="129"/>
      <c r="G15" s="128"/>
      <c r="H15" s="128"/>
      <c r="I15" s="128"/>
      <c r="J15" s="128"/>
      <c r="K15" s="130"/>
      <c r="L15" s="131"/>
      <c r="M15" s="132"/>
      <c r="N15" s="176"/>
      <c r="O15" s="133"/>
      <c r="P15" s="133"/>
      <c r="Q15" s="176"/>
      <c r="R15" s="134"/>
      <c r="S15" s="135"/>
      <c r="T15" s="135"/>
      <c r="U15" s="136"/>
      <c r="V15" s="137"/>
      <c r="W15" s="177"/>
      <c r="X15" s="178"/>
      <c r="Y15" s="179"/>
      <c r="Z15" s="180"/>
      <c r="AA15" s="181"/>
      <c r="AB15" s="182"/>
      <c r="AC15" s="182"/>
      <c r="AD15" s="178"/>
      <c r="AE15" s="178"/>
      <c r="AF15" s="178"/>
      <c r="AG15" s="179"/>
      <c r="AH15" s="183"/>
      <c r="AI15" s="271"/>
      <c r="AJ15" s="287"/>
      <c r="AK15" s="288"/>
      <c r="AL15" s="288"/>
      <c r="AM15" s="288"/>
      <c r="AN15" s="288"/>
      <c r="AO15" s="288"/>
      <c r="AP15" s="288"/>
      <c r="AQ15" s="288"/>
      <c r="AR15" s="288"/>
      <c r="AS15" s="289"/>
      <c r="AT15" s="285" t="str">
        <f t="shared" si="21"/>
        <v>0.00</v>
      </c>
      <c r="AU15" s="289"/>
      <c r="AV15" s="289"/>
      <c r="AW15" s="290"/>
      <c r="AX15" s="288"/>
      <c r="AY15" s="26"/>
      <c r="AZ15" s="186"/>
      <c r="BA15" s="187"/>
      <c r="BB15" s="188"/>
      <c r="BC15" s="189"/>
    </row>
    <row r="16" ht="12.75" hidden="1" customHeight="1">
      <c r="A16" s="26"/>
      <c r="B16" s="190" t="s">
        <v>83</v>
      </c>
      <c r="C16" s="191">
        <v>2.14301471E8</v>
      </c>
      <c r="D16" s="152" t="s">
        <v>84</v>
      </c>
      <c r="E16" s="53" t="s">
        <v>77</v>
      </c>
      <c r="F16" s="154">
        <v>1.0</v>
      </c>
      <c r="G16" s="53">
        <v>0.0</v>
      </c>
      <c r="H16" s="53" t="str">
        <f t="shared" ref="H16:H26" si="26">$I$2</f>
        <v>0.00069</v>
      </c>
      <c r="I16" s="53" t="str">
        <f t="shared" ref="I16:I26" si="27">$I$3</f>
        <v>89</v>
      </c>
      <c r="J16" s="53" t="str">
        <f t="shared" ref="J16:J26" si="28">G16*H16*I16*F16</f>
        <v>0</v>
      </c>
      <c r="K16" s="155" t="str">
        <f t="shared" ref="K16:K26" si="29">J16*$J$4</f>
        <v>0.00</v>
      </c>
      <c r="L16" s="156" t="str">
        <f t="shared" ref="L16:L26" si="30">K16+J16</f>
        <v>0.00 </v>
      </c>
      <c r="M16" s="132">
        <v>90.0</v>
      </c>
      <c r="N16" s="157">
        <v>0.0</v>
      </c>
      <c r="O16" s="277">
        <v>0.0</v>
      </c>
      <c r="P16" s="277" t="str">
        <f t="shared" ref="P16:P22" si="31">K16/E16</f>
        <v>#VALUE!</v>
      </c>
      <c r="Q16" s="157">
        <v>0.0</v>
      </c>
      <c r="R16" s="158">
        <v>1285.2</v>
      </c>
      <c r="S16" s="159" t="str">
        <f t="shared" ref="S16:S26" si="32">BB16</f>
        <v>306.70</v>
      </c>
      <c r="T16" s="160"/>
      <c r="U16" s="161">
        <v>0.26</v>
      </c>
      <c r="V16" s="162" t="str">
        <f t="shared" ref="V16:V26" si="33">R16-(R16*U16)</f>
        <v>951.05</v>
      </c>
      <c r="W16" s="163" t="str">
        <f t="shared" ref="W16:W18" si="34">$C$1</f>
        <v>60.00</v>
      </c>
      <c r="X16" s="164" t="str">
        <f t="shared" ref="X16:X26" si="35">(V16*7/107)+((V16-(V16*7/107))*1%)</f>
        <v>71.11</v>
      </c>
      <c r="Y16" s="165" t="str">
        <f t="shared" ref="Y16:Y26" si="36">Q16*$C$3*(M16/30)</f>
        <v>0.00</v>
      </c>
      <c r="Z16" s="166">
        <v>0.7</v>
      </c>
      <c r="AA16" s="167" t="str">
        <f t="shared" ref="AA16:AA18" si="37">((_xlfn.CEILING.MATH(Z16)-1)*$C$5+$C$4)</f>
        <v>76</v>
      </c>
      <c r="AB16" s="168" t="str">
        <f t="shared" ref="AB16:AB26" si="38">R16*$AB$6</f>
        <v>417.690</v>
      </c>
      <c r="AC16" s="168" t="str">
        <f t="shared" ref="AC16:AC26" si="39">V16*$AB$7</f>
        <v>33.857</v>
      </c>
      <c r="AD16" s="164" t="str">
        <f t="shared" ref="AD16:AD26" si="40">$AB$3*((100-AE16)/100)</f>
        <v>0.00</v>
      </c>
      <c r="AE16" s="164">
        <v>100.0</v>
      </c>
      <c r="AF16" s="164" t="str">
        <f t="shared" ref="AF16:AF26" si="41">$C$6*$C$7*_xlfn.CEILING.MATH(Z16)</f>
        <v>4.80</v>
      </c>
      <c r="AG16" s="165" t="str">
        <f t="shared" ref="AG16:AG26" si="42">R16*$C$2</f>
        <v>128.52</v>
      </c>
      <c r="AH16" s="23"/>
      <c r="AI16" s="278">
        <v>0.1</v>
      </c>
      <c r="AJ16" s="24" t="str">
        <f t="shared" ref="AJ16:AJ26" si="43">R16-W16-X16-Y16-AA16-AB16-AC16-AD16-AF16-AG16-Q16</f>
        <v>493.23</v>
      </c>
      <c r="AK16" s="279" t="str">
        <f t="shared" ref="AK16:AK18" si="44">AJ16/Q16</f>
        <v>#DIV/0!</v>
      </c>
      <c r="AL16" s="280"/>
      <c r="AM16" s="281" t="str">
        <f t="shared" ref="AM16:AM26" si="45">AJ16*AL16</f>
        <v>0.00</v>
      </c>
      <c r="AN16" s="280"/>
      <c r="AO16" s="282"/>
      <c r="AP16" s="283"/>
      <c r="AQ16" s="283" t="str">
        <f t="shared" ref="AQ16:AQ26" si="46">AN16*AP16</f>
        <v>0.00</v>
      </c>
      <c r="AR16" s="283"/>
      <c r="AS16" s="284"/>
      <c r="AT16" s="285" t="str">
        <f t="shared" si="21"/>
        <v>0.00</v>
      </c>
      <c r="AU16" s="284"/>
      <c r="AV16" s="286"/>
      <c r="AW16" s="285"/>
      <c r="AX16" s="284"/>
      <c r="AY16" s="26"/>
      <c r="AZ16" s="171" t="str">
        <f t="shared" ref="AZ16:AZ26" si="47">$AG$3</f>
        <v>0.00%</v>
      </c>
      <c r="BA16" s="172" t="str">
        <f t="shared" ref="BA16:BA26" si="48">Q16*AZ16</f>
        <v>0.00</v>
      </c>
      <c r="BB16" s="173" t="str">
        <f t="shared" ref="BB16:BB26" si="49">(Q16+W16+Y16+AA16+AD16+AF16+AI16+BA16)/(100%-($C$2+$C$8+$AB$6+$AB$7))</f>
        <v>306.70</v>
      </c>
      <c r="BC16" s="174" t="str">
        <f t="shared" ref="BC16:BC26" si="50">BB16-(BB16*$AG$1)</f>
        <v>217.76</v>
      </c>
    </row>
    <row r="17" ht="12.75" hidden="1" customHeight="1">
      <c r="A17" s="26"/>
      <c r="B17" s="190" t="s">
        <v>85</v>
      </c>
      <c r="C17" s="192">
        <v>2.14301724E8</v>
      </c>
      <c r="D17" s="152" t="s">
        <v>86</v>
      </c>
      <c r="E17" s="53" t="s">
        <v>77</v>
      </c>
      <c r="F17" s="154">
        <v>1.0</v>
      </c>
      <c r="G17" s="53"/>
      <c r="H17" s="53" t="str">
        <f t="shared" si="26"/>
        <v>0.00069</v>
      </c>
      <c r="I17" s="53" t="str">
        <f t="shared" si="27"/>
        <v>89</v>
      </c>
      <c r="J17" s="53" t="str">
        <f t="shared" si="28"/>
        <v>0</v>
      </c>
      <c r="K17" s="155" t="str">
        <f t="shared" si="29"/>
        <v>0.00</v>
      </c>
      <c r="L17" s="156" t="str">
        <f t="shared" si="30"/>
        <v>0.00 </v>
      </c>
      <c r="M17" s="132">
        <v>90.0</v>
      </c>
      <c r="N17" s="157">
        <v>0.0</v>
      </c>
      <c r="O17" s="277">
        <v>0.0</v>
      </c>
      <c r="P17" s="277" t="str">
        <f t="shared" si="31"/>
        <v>#VALUE!</v>
      </c>
      <c r="Q17" s="157">
        <v>0.0</v>
      </c>
      <c r="R17" s="158">
        <v>1285.2</v>
      </c>
      <c r="S17" s="159" t="str">
        <f t="shared" si="32"/>
        <v>312.15</v>
      </c>
      <c r="T17" s="160"/>
      <c r="U17" s="161">
        <v>0.26</v>
      </c>
      <c r="V17" s="162" t="str">
        <f t="shared" si="33"/>
        <v>951.05</v>
      </c>
      <c r="W17" s="163" t="str">
        <f t="shared" si="34"/>
        <v>60.00</v>
      </c>
      <c r="X17" s="164" t="str">
        <f t="shared" si="35"/>
        <v>71.11</v>
      </c>
      <c r="Y17" s="165" t="str">
        <f t="shared" si="36"/>
        <v>0.00</v>
      </c>
      <c r="Z17" s="166">
        <v>0.7</v>
      </c>
      <c r="AA17" s="167" t="str">
        <f t="shared" si="37"/>
        <v>76</v>
      </c>
      <c r="AB17" s="168" t="str">
        <f t="shared" si="38"/>
        <v>417.690</v>
      </c>
      <c r="AC17" s="168" t="str">
        <f t="shared" si="39"/>
        <v>33.857</v>
      </c>
      <c r="AD17" s="164" t="str">
        <f t="shared" si="40"/>
        <v>2.50</v>
      </c>
      <c r="AE17" s="164">
        <v>95.0</v>
      </c>
      <c r="AF17" s="164" t="str">
        <f t="shared" si="41"/>
        <v>4.80</v>
      </c>
      <c r="AG17" s="165" t="str">
        <f t="shared" si="42"/>
        <v>128.52</v>
      </c>
      <c r="AH17" s="23"/>
      <c r="AI17" s="278">
        <v>0.1</v>
      </c>
      <c r="AJ17" s="24" t="str">
        <f t="shared" si="43"/>
        <v>490.73</v>
      </c>
      <c r="AK17" s="279" t="str">
        <f t="shared" si="44"/>
        <v>#DIV/0!</v>
      </c>
      <c r="AL17" s="280"/>
      <c r="AM17" s="281" t="str">
        <f t="shared" si="45"/>
        <v>0.00</v>
      </c>
      <c r="AN17" s="280"/>
      <c r="AO17" s="282"/>
      <c r="AP17" s="283"/>
      <c r="AQ17" s="283" t="str">
        <f t="shared" si="46"/>
        <v>0.00</v>
      </c>
      <c r="AR17" s="283"/>
      <c r="AS17" s="284"/>
      <c r="AT17" s="285" t="str">
        <f t="shared" si="21"/>
        <v>0.00</v>
      </c>
      <c r="AU17" s="284"/>
      <c r="AV17" s="286"/>
      <c r="AW17" s="285"/>
      <c r="AX17" s="284"/>
      <c r="AY17" s="26"/>
      <c r="AZ17" s="171" t="str">
        <f t="shared" si="47"/>
        <v>0.00%</v>
      </c>
      <c r="BA17" s="172" t="str">
        <f t="shared" si="48"/>
        <v>0.00</v>
      </c>
      <c r="BB17" s="173" t="str">
        <f t="shared" si="49"/>
        <v>312.15</v>
      </c>
      <c r="BC17" s="174" t="str">
        <f t="shared" si="50"/>
        <v>221.62</v>
      </c>
    </row>
    <row r="18" ht="12.75" hidden="1" customHeight="1">
      <c r="A18" s="26"/>
      <c r="B18" s="190" t="s">
        <v>87</v>
      </c>
      <c r="C18" s="192">
        <v>2.14301797E8</v>
      </c>
      <c r="D18" s="152" t="s">
        <v>88</v>
      </c>
      <c r="E18" s="53" t="s">
        <v>77</v>
      </c>
      <c r="F18" s="154">
        <v>1.0</v>
      </c>
      <c r="G18" s="53"/>
      <c r="H18" s="53" t="str">
        <f t="shared" si="26"/>
        <v>0.00069</v>
      </c>
      <c r="I18" s="53" t="str">
        <f t="shared" si="27"/>
        <v>89</v>
      </c>
      <c r="J18" s="53" t="str">
        <f t="shared" si="28"/>
        <v>0</v>
      </c>
      <c r="K18" s="155" t="str">
        <f t="shared" si="29"/>
        <v>0.00</v>
      </c>
      <c r="L18" s="156" t="str">
        <f t="shared" si="30"/>
        <v>0.00 </v>
      </c>
      <c r="M18" s="132">
        <v>90.0</v>
      </c>
      <c r="N18" s="157">
        <v>0.0</v>
      </c>
      <c r="O18" s="277">
        <v>0.0</v>
      </c>
      <c r="P18" s="277" t="str">
        <f t="shared" si="31"/>
        <v>#VALUE!</v>
      </c>
      <c r="Q18" s="157">
        <v>0.0</v>
      </c>
      <c r="R18" s="158">
        <v>1285.2</v>
      </c>
      <c r="S18" s="159" t="str">
        <f t="shared" si="32"/>
        <v>314.06</v>
      </c>
      <c r="T18" s="160"/>
      <c r="U18" s="161">
        <v>0.26</v>
      </c>
      <c r="V18" s="162" t="str">
        <f t="shared" si="33"/>
        <v>951.05</v>
      </c>
      <c r="W18" s="163" t="str">
        <f t="shared" si="34"/>
        <v>60.00</v>
      </c>
      <c r="X18" s="164" t="str">
        <f t="shared" si="35"/>
        <v>71.11</v>
      </c>
      <c r="Y18" s="165" t="str">
        <f t="shared" si="36"/>
        <v>0.00</v>
      </c>
      <c r="Z18" s="166">
        <v>0.45</v>
      </c>
      <c r="AA18" s="167" t="str">
        <f t="shared" si="37"/>
        <v>76</v>
      </c>
      <c r="AB18" s="168" t="str">
        <f t="shared" si="38"/>
        <v>417.690</v>
      </c>
      <c r="AC18" s="168" t="str">
        <f t="shared" si="39"/>
        <v>33.857</v>
      </c>
      <c r="AD18" s="164" t="str">
        <f t="shared" si="40"/>
        <v>3.38</v>
      </c>
      <c r="AE18" s="164">
        <v>93.24</v>
      </c>
      <c r="AF18" s="164" t="str">
        <f t="shared" si="41"/>
        <v>4.80</v>
      </c>
      <c r="AG18" s="165" t="str">
        <f t="shared" si="42"/>
        <v>128.52</v>
      </c>
      <c r="AH18" s="23"/>
      <c r="AI18" s="278">
        <v>0.1</v>
      </c>
      <c r="AJ18" s="24" t="str">
        <f t="shared" si="43"/>
        <v>489.85</v>
      </c>
      <c r="AK18" s="279" t="str">
        <f t="shared" si="44"/>
        <v>#DIV/0!</v>
      </c>
      <c r="AL18" s="280"/>
      <c r="AM18" s="281" t="str">
        <f t="shared" si="45"/>
        <v>0.00</v>
      </c>
      <c r="AN18" s="280"/>
      <c r="AO18" s="282"/>
      <c r="AP18" s="283"/>
      <c r="AQ18" s="283" t="str">
        <f t="shared" si="46"/>
        <v>0.00</v>
      </c>
      <c r="AR18" s="283"/>
      <c r="AS18" s="284"/>
      <c r="AT18" s="285" t="str">
        <f t="shared" si="21"/>
        <v>0.00</v>
      </c>
      <c r="AU18" s="284"/>
      <c r="AV18" s="286"/>
      <c r="AW18" s="285"/>
      <c r="AX18" s="284"/>
      <c r="AY18" s="26"/>
      <c r="AZ18" s="171" t="str">
        <f t="shared" si="47"/>
        <v>0.00%</v>
      </c>
      <c r="BA18" s="172" t="str">
        <f t="shared" si="48"/>
        <v>0.00</v>
      </c>
      <c r="BB18" s="173" t="str">
        <f t="shared" si="49"/>
        <v>314.06</v>
      </c>
      <c r="BC18" s="174" t="str">
        <f t="shared" si="50"/>
        <v>222.98</v>
      </c>
    </row>
    <row r="19" ht="12.75" hidden="1" customHeight="1">
      <c r="A19" s="26"/>
      <c r="C19" s="193"/>
      <c r="D19" s="194" t="s">
        <v>89</v>
      </c>
      <c r="E19" s="195" t="s">
        <v>77</v>
      </c>
      <c r="F19" s="154">
        <v>1.0</v>
      </c>
      <c r="G19" s="195"/>
      <c r="H19" s="53" t="str">
        <f t="shared" si="26"/>
        <v>0.00069</v>
      </c>
      <c r="I19" s="53" t="str">
        <f t="shared" si="27"/>
        <v>89</v>
      </c>
      <c r="J19" s="53" t="str">
        <f t="shared" si="28"/>
        <v>0</v>
      </c>
      <c r="K19" s="155" t="str">
        <f t="shared" si="29"/>
        <v>0.00</v>
      </c>
      <c r="L19" s="156" t="str">
        <f t="shared" si="30"/>
        <v>0.00 </v>
      </c>
      <c r="M19" s="132">
        <v>0.0</v>
      </c>
      <c r="N19" s="157">
        <v>0.0</v>
      </c>
      <c r="O19" s="277">
        <v>0.0</v>
      </c>
      <c r="P19" s="277" t="str">
        <f t="shared" si="31"/>
        <v>#VALUE!</v>
      </c>
      <c r="Q19" s="157">
        <v>0.0</v>
      </c>
      <c r="R19" s="158"/>
      <c r="S19" s="159" t="str">
        <f t="shared" si="32"/>
        <v>0.22</v>
      </c>
      <c r="T19" s="160"/>
      <c r="U19" s="161">
        <v>0.26</v>
      </c>
      <c r="V19" s="162" t="str">
        <f t="shared" si="33"/>
        <v>0.00</v>
      </c>
      <c r="W19" s="163">
        <v>0.0</v>
      </c>
      <c r="X19" s="164" t="str">
        <f t="shared" si="35"/>
        <v>0.00</v>
      </c>
      <c r="Y19" s="165" t="str">
        <f t="shared" si="36"/>
        <v>0.00</v>
      </c>
      <c r="Z19" s="166"/>
      <c r="AA19" s="167"/>
      <c r="AB19" s="168" t="str">
        <f t="shared" si="38"/>
        <v>0.000</v>
      </c>
      <c r="AC19" s="168" t="str">
        <f t="shared" si="39"/>
        <v>0.000</v>
      </c>
      <c r="AD19" s="164" t="str">
        <f t="shared" si="40"/>
        <v>0.00</v>
      </c>
      <c r="AE19" s="164">
        <v>100.0</v>
      </c>
      <c r="AF19" s="164" t="str">
        <f t="shared" si="41"/>
        <v>0.00</v>
      </c>
      <c r="AG19" s="165" t="str">
        <f t="shared" si="42"/>
        <v>0.00</v>
      </c>
      <c r="AH19" s="23"/>
      <c r="AI19" s="278">
        <v>0.1</v>
      </c>
      <c r="AJ19" s="24" t="str">
        <f t="shared" si="43"/>
        <v>0.00</v>
      </c>
      <c r="AK19" s="279"/>
      <c r="AL19" s="280"/>
      <c r="AM19" s="281" t="str">
        <f t="shared" si="45"/>
        <v>0.00</v>
      </c>
      <c r="AN19" s="280"/>
      <c r="AO19" s="282"/>
      <c r="AP19" s="283"/>
      <c r="AQ19" s="283" t="str">
        <f t="shared" si="46"/>
        <v>0.00</v>
      </c>
      <c r="AR19" s="283"/>
      <c r="AS19" s="284"/>
      <c r="AT19" s="285" t="str">
        <f t="shared" si="21"/>
        <v>0.00</v>
      </c>
      <c r="AU19" s="284"/>
      <c r="AV19" s="286"/>
      <c r="AW19" s="285"/>
      <c r="AX19" s="284"/>
      <c r="AY19" s="26"/>
      <c r="AZ19" s="171" t="str">
        <f t="shared" si="47"/>
        <v>0.00%</v>
      </c>
      <c r="BA19" s="172" t="str">
        <f t="shared" si="48"/>
        <v>0.00</v>
      </c>
      <c r="BB19" s="173" t="str">
        <f t="shared" si="49"/>
        <v>0.22</v>
      </c>
      <c r="BC19" s="174" t="str">
        <f t="shared" si="50"/>
        <v>0.15</v>
      </c>
    </row>
    <row r="20" ht="12.75" hidden="1" customHeight="1">
      <c r="A20" s="26"/>
      <c r="B20" s="190" t="s">
        <v>90</v>
      </c>
      <c r="C20" s="192">
        <v>2.14303984E8</v>
      </c>
      <c r="D20" s="152" t="s">
        <v>91</v>
      </c>
      <c r="E20" s="53" t="s">
        <v>77</v>
      </c>
      <c r="F20" s="154">
        <v>1.0</v>
      </c>
      <c r="G20" s="53"/>
      <c r="H20" s="53" t="str">
        <f t="shared" si="26"/>
        <v>0.00069</v>
      </c>
      <c r="I20" s="53" t="str">
        <f t="shared" si="27"/>
        <v>89</v>
      </c>
      <c r="J20" s="53" t="str">
        <f t="shared" si="28"/>
        <v>0</v>
      </c>
      <c r="K20" s="155" t="str">
        <f t="shared" si="29"/>
        <v>0.00</v>
      </c>
      <c r="L20" s="156" t="str">
        <f t="shared" si="30"/>
        <v>0.00 </v>
      </c>
      <c r="M20" s="132">
        <v>90.0</v>
      </c>
      <c r="N20" s="157">
        <v>0.0</v>
      </c>
      <c r="O20" s="277">
        <v>0.0</v>
      </c>
      <c r="P20" s="277" t="str">
        <f t="shared" si="31"/>
        <v>#VALUE!</v>
      </c>
      <c r="Q20" s="157">
        <v>0.0</v>
      </c>
      <c r="R20" s="158">
        <v>1285.2</v>
      </c>
      <c r="S20" s="159" t="str">
        <f t="shared" si="32"/>
        <v>311.97</v>
      </c>
      <c r="T20" s="160"/>
      <c r="U20" s="161">
        <v>0.26</v>
      </c>
      <c r="V20" s="162" t="str">
        <f t="shared" si="33"/>
        <v>951.05</v>
      </c>
      <c r="W20" s="163" t="str">
        <f t="shared" ref="W20:W26" si="51">$C$1</f>
        <v>60.00</v>
      </c>
      <c r="X20" s="164" t="str">
        <f t="shared" si="35"/>
        <v>71.11</v>
      </c>
      <c r="Y20" s="165" t="str">
        <f t="shared" si="36"/>
        <v>0.00</v>
      </c>
      <c r="Z20" s="166">
        <v>0.7</v>
      </c>
      <c r="AA20" s="167" t="str">
        <f t="shared" ref="AA20:AA26" si="52">((_xlfn.CEILING.MATH(Z20)-1)*$C$5+$C$4)</f>
        <v>76</v>
      </c>
      <c r="AB20" s="168" t="str">
        <f t="shared" si="38"/>
        <v>417.690</v>
      </c>
      <c r="AC20" s="168" t="str">
        <f t="shared" si="39"/>
        <v>33.857</v>
      </c>
      <c r="AD20" s="164" t="str">
        <f t="shared" si="40"/>
        <v>2.42</v>
      </c>
      <c r="AE20" s="164">
        <v>95.16</v>
      </c>
      <c r="AF20" s="164" t="str">
        <f t="shared" si="41"/>
        <v>4.80</v>
      </c>
      <c r="AG20" s="165" t="str">
        <f t="shared" si="42"/>
        <v>128.52</v>
      </c>
      <c r="AH20" s="23"/>
      <c r="AI20" s="278">
        <v>0.1</v>
      </c>
      <c r="AJ20" s="24" t="str">
        <f t="shared" si="43"/>
        <v>490.81</v>
      </c>
      <c r="AK20" s="279" t="str">
        <f t="shared" ref="AK20:AK26" si="53">AJ20/Q20</f>
        <v>#DIV/0!</v>
      </c>
      <c r="AL20" s="280"/>
      <c r="AM20" s="281" t="str">
        <f t="shared" si="45"/>
        <v>0.00</v>
      </c>
      <c r="AN20" s="280"/>
      <c r="AO20" s="282"/>
      <c r="AP20" s="283"/>
      <c r="AQ20" s="283" t="str">
        <f t="shared" si="46"/>
        <v>0.00</v>
      </c>
      <c r="AR20" s="283"/>
      <c r="AS20" s="284"/>
      <c r="AT20" s="285" t="str">
        <f t="shared" si="21"/>
        <v>0.00</v>
      </c>
      <c r="AU20" s="284"/>
      <c r="AV20" s="286"/>
      <c r="AW20" s="285"/>
      <c r="AX20" s="284"/>
      <c r="AY20" s="26"/>
      <c r="AZ20" s="171" t="str">
        <f t="shared" si="47"/>
        <v>0.00%</v>
      </c>
      <c r="BA20" s="172" t="str">
        <f t="shared" si="48"/>
        <v>0.00</v>
      </c>
      <c r="BB20" s="173" t="str">
        <f t="shared" si="49"/>
        <v>311.97</v>
      </c>
      <c r="BC20" s="174" t="str">
        <f t="shared" si="50"/>
        <v>221.50</v>
      </c>
    </row>
    <row r="21" ht="12.75" hidden="1" customHeight="1">
      <c r="A21" s="26"/>
      <c r="B21" s="190" t="s">
        <v>92</v>
      </c>
      <c r="C21" s="192">
        <v>2.14304435E8</v>
      </c>
      <c r="D21" s="152" t="s">
        <v>93</v>
      </c>
      <c r="E21" s="53" t="s">
        <v>77</v>
      </c>
      <c r="F21" s="154">
        <v>1.0</v>
      </c>
      <c r="G21" s="53"/>
      <c r="H21" s="53" t="str">
        <f t="shared" si="26"/>
        <v>0.00069</v>
      </c>
      <c r="I21" s="53" t="str">
        <f t="shared" si="27"/>
        <v>89</v>
      </c>
      <c r="J21" s="53" t="str">
        <f t="shared" si="28"/>
        <v>0</v>
      </c>
      <c r="K21" s="155" t="str">
        <f t="shared" si="29"/>
        <v>0.00</v>
      </c>
      <c r="L21" s="156" t="str">
        <f t="shared" si="30"/>
        <v>0.00 </v>
      </c>
      <c r="M21" s="132">
        <v>90.0</v>
      </c>
      <c r="N21" s="157">
        <v>0.0</v>
      </c>
      <c r="O21" s="277">
        <v>0.0</v>
      </c>
      <c r="P21" s="277" t="str">
        <f t="shared" si="31"/>
        <v>#VALUE!</v>
      </c>
      <c r="Q21" s="157">
        <v>0.0</v>
      </c>
      <c r="R21" s="158">
        <v>1285.2</v>
      </c>
      <c r="S21" s="159" t="str">
        <f t="shared" si="32"/>
        <v>306.70</v>
      </c>
      <c r="T21" s="160"/>
      <c r="U21" s="161">
        <v>0.26</v>
      </c>
      <c r="V21" s="162" t="str">
        <f t="shared" si="33"/>
        <v>951.05</v>
      </c>
      <c r="W21" s="163" t="str">
        <f t="shared" si="51"/>
        <v>60.00</v>
      </c>
      <c r="X21" s="164" t="str">
        <f t="shared" si="35"/>
        <v>71.11</v>
      </c>
      <c r="Y21" s="165" t="str">
        <f t="shared" si="36"/>
        <v>0.00</v>
      </c>
      <c r="Z21" s="166">
        <v>0.7</v>
      </c>
      <c r="AA21" s="167" t="str">
        <f t="shared" si="52"/>
        <v>76</v>
      </c>
      <c r="AB21" s="168" t="str">
        <f t="shared" si="38"/>
        <v>417.690</v>
      </c>
      <c r="AC21" s="168" t="str">
        <f t="shared" si="39"/>
        <v>33.857</v>
      </c>
      <c r="AD21" s="164" t="str">
        <f t="shared" si="40"/>
        <v>0.00</v>
      </c>
      <c r="AE21" s="164">
        <v>100.0</v>
      </c>
      <c r="AF21" s="164" t="str">
        <f t="shared" si="41"/>
        <v>4.80</v>
      </c>
      <c r="AG21" s="165" t="str">
        <f t="shared" si="42"/>
        <v>128.52</v>
      </c>
      <c r="AH21" s="23"/>
      <c r="AI21" s="278">
        <v>0.1</v>
      </c>
      <c r="AJ21" s="24" t="str">
        <f t="shared" si="43"/>
        <v>493.23</v>
      </c>
      <c r="AK21" s="279" t="str">
        <f t="shared" si="53"/>
        <v>#DIV/0!</v>
      </c>
      <c r="AL21" s="280"/>
      <c r="AM21" s="281" t="str">
        <f t="shared" si="45"/>
        <v>0.00</v>
      </c>
      <c r="AN21" s="280"/>
      <c r="AO21" s="282"/>
      <c r="AP21" s="283"/>
      <c r="AQ21" s="283" t="str">
        <f t="shared" si="46"/>
        <v>0.00</v>
      </c>
      <c r="AR21" s="283"/>
      <c r="AS21" s="284"/>
      <c r="AT21" s="285" t="str">
        <f t="shared" si="21"/>
        <v>0.00</v>
      </c>
      <c r="AU21" s="284"/>
      <c r="AV21" s="286"/>
      <c r="AW21" s="285"/>
      <c r="AX21" s="284"/>
      <c r="AY21" s="26"/>
      <c r="AZ21" s="171" t="str">
        <f t="shared" si="47"/>
        <v>0.00%</v>
      </c>
      <c r="BA21" s="172" t="str">
        <f t="shared" si="48"/>
        <v>0.00</v>
      </c>
      <c r="BB21" s="173" t="str">
        <f t="shared" si="49"/>
        <v>306.70</v>
      </c>
      <c r="BC21" s="174" t="str">
        <f t="shared" si="50"/>
        <v>217.76</v>
      </c>
    </row>
    <row r="22" ht="12.75" hidden="1" customHeight="1">
      <c r="A22" s="26"/>
      <c r="B22" s="190" t="s">
        <v>94</v>
      </c>
      <c r="C22" s="192">
        <v>2.15182642E8</v>
      </c>
      <c r="D22" s="152" t="s">
        <v>95</v>
      </c>
      <c r="E22" s="53" t="s">
        <v>77</v>
      </c>
      <c r="F22" s="154">
        <v>1.0</v>
      </c>
      <c r="G22" s="53"/>
      <c r="H22" s="53" t="str">
        <f t="shared" si="26"/>
        <v>0.00069</v>
      </c>
      <c r="I22" s="53" t="str">
        <f t="shared" si="27"/>
        <v>89</v>
      </c>
      <c r="J22" s="53" t="str">
        <f t="shared" si="28"/>
        <v>0</v>
      </c>
      <c r="K22" s="155" t="str">
        <f t="shared" si="29"/>
        <v>0.00</v>
      </c>
      <c r="L22" s="156" t="str">
        <f t="shared" si="30"/>
        <v>0.00 </v>
      </c>
      <c r="M22" s="132">
        <v>90.0</v>
      </c>
      <c r="N22" s="157">
        <v>0.0</v>
      </c>
      <c r="O22" s="277">
        <v>0.0</v>
      </c>
      <c r="P22" s="277" t="str">
        <f t="shared" si="31"/>
        <v>#VALUE!</v>
      </c>
      <c r="Q22" s="157">
        <v>0.0</v>
      </c>
      <c r="R22" s="158">
        <v>1197.6</v>
      </c>
      <c r="S22" s="159" t="str">
        <f t="shared" si="32"/>
        <v>311.89</v>
      </c>
      <c r="T22" s="160"/>
      <c r="U22" s="161">
        <v>0.26</v>
      </c>
      <c r="V22" s="162" t="str">
        <f t="shared" si="33"/>
        <v>886.22</v>
      </c>
      <c r="W22" s="163" t="str">
        <f t="shared" si="51"/>
        <v>60.00</v>
      </c>
      <c r="X22" s="164" t="str">
        <f t="shared" si="35"/>
        <v>66.26</v>
      </c>
      <c r="Y22" s="165" t="str">
        <f t="shared" si="36"/>
        <v>0.00</v>
      </c>
      <c r="Z22" s="166">
        <v>0.7</v>
      </c>
      <c r="AA22" s="167" t="str">
        <f t="shared" si="52"/>
        <v>76</v>
      </c>
      <c r="AB22" s="168" t="str">
        <f t="shared" si="38"/>
        <v>389.220</v>
      </c>
      <c r="AC22" s="168" t="str">
        <f t="shared" si="39"/>
        <v>31.550</v>
      </c>
      <c r="AD22" s="164" t="str">
        <f t="shared" si="40"/>
        <v>2.38</v>
      </c>
      <c r="AE22" s="164">
        <v>95.24</v>
      </c>
      <c r="AF22" s="164" t="str">
        <f t="shared" si="41"/>
        <v>4.80</v>
      </c>
      <c r="AG22" s="165" t="str">
        <f t="shared" si="42"/>
        <v>119.76</v>
      </c>
      <c r="AH22" s="23"/>
      <c r="AI22" s="278">
        <v>0.1</v>
      </c>
      <c r="AJ22" s="24" t="str">
        <f t="shared" si="43"/>
        <v>447.63</v>
      </c>
      <c r="AK22" s="279" t="str">
        <f t="shared" si="53"/>
        <v>#DIV/0!</v>
      </c>
      <c r="AL22" s="280"/>
      <c r="AM22" s="281" t="str">
        <f t="shared" si="45"/>
        <v>0.00</v>
      </c>
      <c r="AN22" s="280"/>
      <c r="AO22" s="282"/>
      <c r="AP22" s="283"/>
      <c r="AQ22" s="283" t="str">
        <f t="shared" si="46"/>
        <v>0.00</v>
      </c>
      <c r="AR22" s="283"/>
      <c r="AS22" s="284"/>
      <c r="AT22" s="285" t="str">
        <f t="shared" si="21"/>
        <v>0.00</v>
      </c>
      <c r="AU22" s="284"/>
      <c r="AV22" s="286"/>
      <c r="AW22" s="285"/>
      <c r="AX22" s="284"/>
      <c r="AY22" s="26"/>
      <c r="AZ22" s="171" t="str">
        <f t="shared" si="47"/>
        <v>0.00%</v>
      </c>
      <c r="BA22" s="172" t="str">
        <f t="shared" si="48"/>
        <v>0.00</v>
      </c>
      <c r="BB22" s="173" t="str">
        <f t="shared" si="49"/>
        <v>311.89</v>
      </c>
      <c r="BC22" s="174" t="str">
        <f t="shared" si="50"/>
        <v>221.44</v>
      </c>
    </row>
    <row r="23" ht="12.75" customHeight="1">
      <c r="A23" s="26"/>
      <c r="B23" s="190" t="s">
        <v>96</v>
      </c>
      <c r="C23" s="196">
        <v>2.14304883E8</v>
      </c>
      <c r="D23" s="152" t="s">
        <v>97</v>
      </c>
      <c r="E23" s="153" t="s">
        <v>77</v>
      </c>
      <c r="F23" s="154">
        <v>1.0</v>
      </c>
      <c r="G23" s="53"/>
      <c r="H23" s="53" t="str">
        <f t="shared" si="26"/>
        <v>0.00069</v>
      </c>
      <c r="I23" s="53" t="str">
        <f t="shared" si="27"/>
        <v>89</v>
      </c>
      <c r="J23" s="53" t="str">
        <f t="shared" si="28"/>
        <v>0</v>
      </c>
      <c r="K23" s="155" t="str">
        <f t="shared" si="29"/>
        <v>0.00</v>
      </c>
      <c r="L23" s="156" t="str">
        <f t="shared" si="30"/>
        <v>0.00 </v>
      </c>
      <c r="M23" s="132">
        <v>90.0</v>
      </c>
      <c r="N23" s="157">
        <v>594.61</v>
      </c>
      <c r="O23" s="277">
        <v>648.12</v>
      </c>
      <c r="P23" s="277">
        <v>630.29</v>
      </c>
      <c r="Q23" s="157">
        <v>594.61</v>
      </c>
      <c r="R23" s="158">
        <v>2000.0</v>
      </c>
      <c r="S23" s="159" t="str">
        <f t="shared" si="32"/>
        <v>1,604.90</v>
      </c>
      <c r="T23" s="160"/>
      <c r="U23" s="161">
        <v>0.26</v>
      </c>
      <c r="V23" s="162" t="str">
        <f t="shared" si="33"/>
        <v>1,480.00</v>
      </c>
      <c r="W23" s="163" t="str">
        <f t="shared" si="51"/>
        <v>60.00</v>
      </c>
      <c r="X23" s="164" t="str">
        <f t="shared" si="35"/>
        <v>110.65</v>
      </c>
      <c r="Y23" s="165" t="str">
        <f t="shared" si="36"/>
        <v>0.00</v>
      </c>
      <c r="Z23" s="166">
        <v>0.7</v>
      </c>
      <c r="AA23" s="167" t="str">
        <f t="shared" si="52"/>
        <v>76</v>
      </c>
      <c r="AB23" s="168" t="str">
        <f t="shared" si="38"/>
        <v>650.000</v>
      </c>
      <c r="AC23" s="168" t="str">
        <f t="shared" si="39"/>
        <v>52.688</v>
      </c>
      <c r="AD23" s="164" t="str">
        <f t="shared" si="40"/>
        <v>1.78</v>
      </c>
      <c r="AE23" s="164">
        <v>96.44</v>
      </c>
      <c r="AF23" s="164" t="str">
        <f t="shared" si="41"/>
        <v>4.80</v>
      </c>
      <c r="AG23" s="165" t="str">
        <f t="shared" si="42"/>
        <v>200.00</v>
      </c>
      <c r="AH23" s="23"/>
      <c r="AI23" s="278">
        <v>0.1</v>
      </c>
      <c r="AJ23" s="24" t="str">
        <f t="shared" si="43"/>
        <v>249.47</v>
      </c>
      <c r="AK23" s="279" t="str">
        <f t="shared" si="53"/>
        <v>41.95%</v>
      </c>
      <c r="AL23" s="280"/>
      <c r="AM23" s="281" t="str">
        <f t="shared" si="45"/>
        <v>0.00</v>
      </c>
      <c r="AN23" s="280"/>
      <c r="AO23" s="282">
        <v>5.63</v>
      </c>
      <c r="AP23" s="283">
        <v>490.46</v>
      </c>
      <c r="AQ23" s="283" t="str">
        <f t="shared" si="46"/>
        <v>0.00</v>
      </c>
      <c r="AR23" s="283">
        <v>79.62</v>
      </c>
      <c r="AS23" s="284">
        <v>16.0</v>
      </c>
      <c r="AT23" s="285" t="str">
        <f t="shared" si="21"/>
        <v>3,991.48</v>
      </c>
      <c r="AU23" s="284">
        <v>16.0</v>
      </c>
      <c r="AV23" s="286">
        <v>0.0</v>
      </c>
      <c r="AW23" s="285">
        <v>8127.93</v>
      </c>
      <c r="AX23" s="284">
        <v>85.43</v>
      </c>
      <c r="AY23" s="26"/>
      <c r="AZ23" s="171" t="str">
        <f t="shared" si="47"/>
        <v>0.00%</v>
      </c>
      <c r="BA23" s="172" t="str">
        <f t="shared" si="48"/>
        <v>0.00</v>
      </c>
      <c r="BB23" s="173" t="str">
        <f t="shared" si="49"/>
        <v>1,604.90</v>
      </c>
      <c r="BC23" s="174" t="str">
        <f t="shared" si="50"/>
        <v>1,139.48</v>
      </c>
    </row>
    <row r="24" ht="12.75" hidden="1" customHeight="1">
      <c r="A24" s="26"/>
      <c r="B24" s="190" t="s">
        <v>98</v>
      </c>
      <c r="C24" s="192">
        <v>2.14305187E8</v>
      </c>
      <c r="D24" s="152" t="s">
        <v>99</v>
      </c>
      <c r="E24" s="53" t="s">
        <v>77</v>
      </c>
      <c r="F24" s="154">
        <v>1.0</v>
      </c>
      <c r="G24" s="53"/>
      <c r="H24" s="53" t="str">
        <f t="shared" si="26"/>
        <v>0.00069</v>
      </c>
      <c r="I24" s="53" t="str">
        <f t="shared" si="27"/>
        <v>89</v>
      </c>
      <c r="J24" s="53" t="str">
        <f t="shared" si="28"/>
        <v>0</v>
      </c>
      <c r="K24" s="155" t="str">
        <f t="shared" si="29"/>
        <v>0.00</v>
      </c>
      <c r="L24" s="156" t="str">
        <f t="shared" si="30"/>
        <v>0.00 </v>
      </c>
      <c r="M24" s="132">
        <v>90.0</v>
      </c>
      <c r="N24" s="157">
        <v>0.0</v>
      </c>
      <c r="O24" s="277">
        <v>0.0</v>
      </c>
      <c r="P24" s="277" t="str">
        <f t="shared" ref="P24:P26" si="54">K24/E24</f>
        <v>#VALUE!</v>
      </c>
      <c r="Q24" s="157">
        <v>0.0</v>
      </c>
      <c r="R24" s="158">
        <v>1197.6</v>
      </c>
      <c r="S24" s="159" t="str">
        <f t="shared" si="32"/>
        <v>313.51</v>
      </c>
      <c r="T24" s="160"/>
      <c r="U24" s="161">
        <v>0.26</v>
      </c>
      <c r="V24" s="162" t="str">
        <f t="shared" si="33"/>
        <v>886.22</v>
      </c>
      <c r="W24" s="163" t="str">
        <f t="shared" si="51"/>
        <v>60.00</v>
      </c>
      <c r="X24" s="164" t="str">
        <f t="shared" si="35"/>
        <v>66.26</v>
      </c>
      <c r="Y24" s="165" t="str">
        <f t="shared" si="36"/>
        <v>0.00</v>
      </c>
      <c r="Z24" s="166">
        <v>0.7</v>
      </c>
      <c r="AA24" s="167" t="str">
        <f t="shared" si="52"/>
        <v>76</v>
      </c>
      <c r="AB24" s="168" t="str">
        <f t="shared" si="38"/>
        <v>389.220</v>
      </c>
      <c r="AC24" s="168" t="str">
        <f t="shared" si="39"/>
        <v>31.550</v>
      </c>
      <c r="AD24" s="164" t="str">
        <f t="shared" si="40"/>
        <v>3.13</v>
      </c>
      <c r="AE24" s="164">
        <v>93.75</v>
      </c>
      <c r="AF24" s="164" t="str">
        <f t="shared" si="41"/>
        <v>4.80</v>
      </c>
      <c r="AG24" s="165" t="str">
        <f t="shared" si="42"/>
        <v>119.76</v>
      </c>
      <c r="AH24" s="23"/>
      <c r="AI24" s="278">
        <v>0.1</v>
      </c>
      <c r="AJ24" s="24" t="str">
        <f t="shared" si="43"/>
        <v>446.89</v>
      </c>
      <c r="AK24" s="279" t="str">
        <f t="shared" si="53"/>
        <v>#DIV/0!</v>
      </c>
      <c r="AL24" s="280"/>
      <c r="AM24" s="281" t="str">
        <f t="shared" si="45"/>
        <v>0.00</v>
      </c>
      <c r="AN24" s="280"/>
      <c r="AO24" s="282"/>
      <c r="AP24" s="283"/>
      <c r="AQ24" s="283" t="str">
        <f t="shared" si="46"/>
        <v>0.00</v>
      </c>
      <c r="AR24" s="283"/>
      <c r="AS24" s="284"/>
      <c r="AT24" s="285" t="str">
        <f t="shared" si="21"/>
        <v>0.00</v>
      </c>
      <c r="AU24" s="284"/>
      <c r="AV24" s="286"/>
      <c r="AW24" s="285"/>
      <c r="AX24" s="284"/>
      <c r="AY24" s="26"/>
      <c r="AZ24" s="171" t="str">
        <f t="shared" si="47"/>
        <v>0.00%</v>
      </c>
      <c r="BA24" s="172" t="str">
        <f t="shared" si="48"/>
        <v>0.00</v>
      </c>
      <c r="BB24" s="173" t="str">
        <f t="shared" si="49"/>
        <v>313.51</v>
      </c>
      <c r="BC24" s="174" t="str">
        <f t="shared" si="50"/>
        <v>222.59</v>
      </c>
    </row>
    <row r="25" ht="12.75" hidden="1" customHeight="1">
      <c r="A25" s="26"/>
      <c r="B25" s="190" t="s">
        <v>100</v>
      </c>
      <c r="C25" s="192">
        <v>2.1430522E8</v>
      </c>
      <c r="D25" s="152" t="s">
        <v>101</v>
      </c>
      <c r="E25" s="53" t="s">
        <v>77</v>
      </c>
      <c r="F25" s="154">
        <v>1.0</v>
      </c>
      <c r="G25" s="53"/>
      <c r="H25" s="53" t="str">
        <f t="shared" si="26"/>
        <v>0.00069</v>
      </c>
      <c r="I25" s="53" t="str">
        <f t="shared" si="27"/>
        <v>89</v>
      </c>
      <c r="J25" s="53" t="str">
        <f t="shared" si="28"/>
        <v>0</v>
      </c>
      <c r="K25" s="155" t="str">
        <f t="shared" si="29"/>
        <v>0.00</v>
      </c>
      <c r="L25" s="156" t="str">
        <f t="shared" si="30"/>
        <v>0.00 </v>
      </c>
      <c r="M25" s="132">
        <v>90.0</v>
      </c>
      <c r="N25" s="157">
        <v>0.0</v>
      </c>
      <c r="O25" s="277">
        <v>0.0</v>
      </c>
      <c r="P25" s="277" t="str">
        <f t="shared" si="54"/>
        <v>#VALUE!</v>
      </c>
      <c r="Q25" s="157">
        <v>0.0</v>
      </c>
      <c r="R25" s="158">
        <v>1197.6</v>
      </c>
      <c r="S25" s="159" t="str">
        <f t="shared" si="32"/>
        <v>315.29</v>
      </c>
      <c r="T25" s="160"/>
      <c r="U25" s="161">
        <v>0.26</v>
      </c>
      <c r="V25" s="162" t="str">
        <f t="shared" si="33"/>
        <v>886.22</v>
      </c>
      <c r="W25" s="163" t="str">
        <f t="shared" si="51"/>
        <v>60.00</v>
      </c>
      <c r="X25" s="164" t="str">
        <f t="shared" si="35"/>
        <v>66.26</v>
      </c>
      <c r="Y25" s="165" t="str">
        <f t="shared" si="36"/>
        <v>0.00</v>
      </c>
      <c r="Z25" s="166">
        <v>0.7</v>
      </c>
      <c r="AA25" s="167" t="str">
        <f t="shared" si="52"/>
        <v>76</v>
      </c>
      <c r="AB25" s="168" t="str">
        <f t="shared" si="38"/>
        <v>389.220</v>
      </c>
      <c r="AC25" s="168" t="str">
        <f t="shared" si="39"/>
        <v>31.550</v>
      </c>
      <c r="AD25" s="164" t="str">
        <f t="shared" si="40"/>
        <v>3.95</v>
      </c>
      <c r="AE25" s="164">
        <v>92.11</v>
      </c>
      <c r="AF25" s="164" t="str">
        <f t="shared" si="41"/>
        <v>4.80</v>
      </c>
      <c r="AG25" s="165" t="str">
        <f t="shared" si="42"/>
        <v>119.76</v>
      </c>
      <c r="AH25" s="23"/>
      <c r="AI25" s="278">
        <v>0.1</v>
      </c>
      <c r="AJ25" s="24" t="str">
        <f t="shared" si="43"/>
        <v>446.07</v>
      </c>
      <c r="AK25" s="279" t="str">
        <f t="shared" si="53"/>
        <v>#DIV/0!</v>
      </c>
      <c r="AL25" s="280"/>
      <c r="AM25" s="281" t="str">
        <f t="shared" si="45"/>
        <v>0.00</v>
      </c>
      <c r="AN25" s="280"/>
      <c r="AO25" s="282"/>
      <c r="AP25" s="283"/>
      <c r="AQ25" s="283" t="str">
        <f t="shared" si="46"/>
        <v>0.00</v>
      </c>
      <c r="AR25" s="283"/>
      <c r="AS25" s="284"/>
      <c r="AT25" s="285" t="str">
        <f t="shared" si="21"/>
        <v>0.00</v>
      </c>
      <c r="AU25" s="284"/>
      <c r="AV25" s="286"/>
      <c r="AW25" s="285"/>
      <c r="AX25" s="284"/>
      <c r="AY25" s="26"/>
      <c r="AZ25" s="171" t="str">
        <f t="shared" si="47"/>
        <v>0.00%</v>
      </c>
      <c r="BA25" s="172" t="str">
        <f t="shared" si="48"/>
        <v>0.00</v>
      </c>
      <c r="BB25" s="173" t="str">
        <f t="shared" si="49"/>
        <v>315.29</v>
      </c>
      <c r="BC25" s="174" t="str">
        <f t="shared" si="50"/>
        <v>223.86</v>
      </c>
    </row>
    <row r="26" ht="12.75" hidden="1" customHeight="1">
      <c r="A26" s="26"/>
      <c r="B26" s="190" t="s">
        <v>102</v>
      </c>
      <c r="C26" s="192">
        <v>2.1430528E8</v>
      </c>
      <c r="D26" s="152" t="s">
        <v>103</v>
      </c>
      <c r="E26" s="53" t="s">
        <v>77</v>
      </c>
      <c r="F26" s="154">
        <v>1.0</v>
      </c>
      <c r="G26" s="53"/>
      <c r="H26" s="53" t="str">
        <f t="shared" si="26"/>
        <v>0.00069</v>
      </c>
      <c r="I26" s="53" t="str">
        <f t="shared" si="27"/>
        <v>89</v>
      </c>
      <c r="J26" s="53" t="str">
        <f t="shared" si="28"/>
        <v>0</v>
      </c>
      <c r="K26" s="155" t="str">
        <f t="shared" si="29"/>
        <v>0.00</v>
      </c>
      <c r="L26" s="156" t="str">
        <f t="shared" si="30"/>
        <v>0.00 </v>
      </c>
      <c r="M26" s="132">
        <v>90.0</v>
      </c>
      <c r="N26" s="157">
        <v>0.0</v>
      </c>
      <c r="O26" s="277">
        <v>0.0</v>
      </c>
      <c r="P26" s="277" t="str">
        <f t="shared" si="54"/>
        <v>#VALUE!</v>
      </c>
      <c r="Q26" s="157">
        <v>0.0</v>
      </c>
      <c r="R26" s="158">
        <v>1197.6</v>
      </c>
      <c r="S26" s="159" t="str">
        <f t="shared" si="32"/>
        <v>308.50</v>
      </c>
      <c r="T26" s="160"/>
      <c r="U26" s="161">
        <v>0.26</v>
      </c>
      <c r="V26" s="162" t="str">
        <f t="shared" si="33"/>
        <v>886.22</v>
      </c>
      <c r="W26" s="163" t="str">
        <f t="shared" si="51"/>
        <v>60.00</v>
      </c>
      <c r="X26" s="164" t="str">
        <f t="shared" si="35"/>
        <v>66.26</v>
      </c>
      <c r="Y26" s="165" t="str">
        <f t="shared" si="36"/>
        <v>0.00</v>
      </c>
      <c r="Z26" s="166">
        <v>0.7</v>
      </c>
      <c r="AA26" s="167" t="str">
        <f t="shared" si="52"/>
        <v>76</v>
      </c>
      <c r="AB26" s="168" t="str">
        <f t="shared" si="38"/>
        <v>389.220</v>
      </c>
      <c r="AC26" s="168" t="str">
        <f t="shared" si="39"/>
        <v>31.550</v>
      </c>
      <c r="AD26" s="164" t="str">
        <f t="shared" si="40"/>
        <v>0.83</v>
      </c>
      <c r="AE26" s="164">
        <v>98.35</v>
      </c>
      <c r="AF26" s="164" t="str">
        <f t="shared" si="41"/>
        <v>4.80</v>
      </c>
      <c r="AG26" s="165" t="str">
        <f t="shared" si="42"/>
        <v>119.76</v>
      </c>
      <c r="AH26" s="23"/>
      <c r="AI26" s="278">
        <v>0.1</v>
      </c>
      <c r="AJ26" s="24" t="str">
        <f t="shared" si="43"/>
        <v>449.19</v>
      </c>
      <c r="AK26" s="279" t="str">
        <f t="shared" si="53"/>
        <v>#DIV/0!</v>
      </c>
      <c r="AL26" s="280"/>
      <c r="AM26" s="281" t="str">
        <f t="shared" si="45"/>
        <v>0.00</v>
      </c>
      <c r="AN26" s="280"/>
      <c r="AO26" s="282"/>
      <c r="AP26" s="283"/>
      <c r="AQ26" s="283" t="str">
        <f t="shared" si="46"/>
        <v>0.00</v>
      </c>
      <c r="AR26" s="283"/>
      <c r="AS26" s="284"/>
      <c r="AT26" s="285" t="str">
        <f t="shared" si="21"/>
        <v>0.00</v>
      </c>
      <c r="AU26" s="284"/>
      <c r="AV26" s="286"/>
      <c r="AW26" s="285"/>
      <c r="AX26" s="284"/>
      <c r="AY26" s="26"/>
      <c r="AZ26" s="171" t="str">
        <f t="shared" si="47"/>
        <v>0.00%</v>
      </c>
      <c r="BA26" s="172" t="str">
        <f t="shared" si="48"/>
        <v>0.00</v>
      </c>
      <c r="BB26" s="173" t="str">
        <f t="shared" si="49"/>
        <v>308.50</v>
      </c>
      <c r="BC26" s="174" t="str">
        <f t="shared" si="50"/>
        <v>219.04</v>
      </c>
    </row>
    <row r="27" ht="12.75" customHeight="1">
      <c r="A27" s="26"/>
      <c r="B27" s="125" t="s">
        <v>104</v>
      </c>
      <c r="C27" s="126"/>
      <c r="D27" s="127"/>
      <c r="E27" s="128"/>
      <c r="F27" s="129"/>
      <c r="G27" s="128"/>
      <c r="H27" s="128"/>
      <c r="I27" s="197"/>
      <c r="J27" s="128"/>
      <c r="K27" s="130"/>
      <c r="L27" s="131"/>
      <c r="M27" s="132"/>
      <c r="N27" s="176"/>
      <c r="O27" s="133"/>
      <c r="P27" s="133"/>
      <c r="Q27" s="176"/>
      <c r="R27" s="134"/>
      <c r="S27" s="135"/>
      <c r="T27" s="135"/>
      <c r="U27" s="136"/>
      <c r="V27" s="137"/>
      <c r="W27" s="177"/>
      <c r="X27" s="178"/>
      <c r="Y27" s="179"/>
      <c r="Z27" s="180"/>
      <c r="AA27" s="181"/>
      <c r="AB27" s="182"/>
      <c r="AC27" s="182"/>
      <c r="AD27" s="178"/>
      <c r="AE27" s="178"/>
      <c r="AF27" s="178"/>
      <c r="AG27" s="179"/>
      <c r="AH27" s="183"/>
      <c r="AI27" s="271"/>
      <c r="AJ27" s="287"/>
      <c r="AK27" s="288"/>
      <c r="AL27" s="288"/>
      <c r="AM27" s="288"/>
      <c r="AN27" s="288"/>
      <c r="AO27" s="288"/>
      <c r="AP27" s="288"/>
      <c r="AQ27" s="288"/>
      <c r="AR27" s="288"/>
      <c r="AS27" s="289"/>
      <c r="AT27" s="285" t="str">
        <f t="shared" si="21"/>
        <v>0.00</v>
      </c>
      <c r="AU27" s="289"/>
      <c r="AV27" s="289"/>
      <c r="AW27" s="290"/>
      <c r="AX27" s="288"/>
      <c r="AY27" s="26"/>
      <c r="AZ27" s="186"/>
      <c r="BA27" s="187"/>
      <c r="BB27" s="188"/>
      <c r="BC27" s="189"/>
    </row>
    <row r="28" ht="12.75" hidden="1" customHeight="1">
      <c r="A28" s="26"/>
      <c r="B28" s="190" t="s">
        <v>105</v>
      </c>
      <c r="C28" s="191">
        <v>2.1430552E8</v>
      </c>
      <c r="D28" s="152" t="s">
        <v>106</v>
      </c>
      <c r="E28" s="53" t="s">
        <v>77</v>
      </c>
      <c r="F28" s="154">
        <v>1.0</v>
      </c>
      <c r="G28" s="53"/>
      <c r="H28" s="53" t="str">
        <f t="shared" ref="H28:H30" si="55">$I$2</f>
        <v>0.00069</v>
      </c>
      <c r="I28" s="53" t="str">
        <f t="shared" ref="I28:I30" si="56">$I$3</f>
        <v>89</v>
      </c>
      <c r="J28" s="53" t="str">
        <f t="shared" ref="J28:J30" si="57">G28*H28*I28*F28</f>
        <v>0</v>
      </c>
      <c r="K28" s="155" t="str">
        <f t="shared" ref="K28:K30" si="58">J28*$J$4</f>
        <v>0.00</v>
      </c>
      <c r="L28" s="156" t="str">
        <f t="shared" ref="L28:L30" si="59">K28+J28</f>
        <v>0.00 </v>
      </c>
      <c r="M28" s="132">
        <v>90.0</v>
      </c>
      <c r="N28" s="157">
        <v>0.0</v>
      </c>
      <c r="O28" s="277">
        <v>0.0</v>
      </c>
      <c r="P28" s="277" t="str">
        <f>K28/E28</f>
        <v>#VALUE!</v>
      </c>
      <c r="Q28" s="157">
        <v>0.0</v>
      </c>
      <c r="R28" s="158">
        <v>831.0</v>
      </c>
      <c r="S28" s="159" t="str">
        <f t="shared" ref="S28:S30" si="60">R28</f>
        <v>831.00</v>
      </c>
      <c r="T28" s="160"/>
      <c r="U28" s="161">
        <v>0.26</v>
      </c>
      <c r="V28" s="162" t="str">
        <f t="shared" ref="V28:V30" si="61">R28-(R28*U28)</f>
        <v>614.94</v>
      </c>
      <c r="W28" s="163" t="str">
        <f t="shared" ref="W28:W30" si="62">$C$1</f>
        <v>60.00</v>
      </c>
      <c r="X28" s="164" t="str">
        <f t="shared" ref="X28:X30" si="63">(V28*7/107)+((V28-(V28*7/107))*1%)</f>
        <v>45.98</v>
      </c>
      <c r="Y28" s="165" t="str">
        <f t="shared" ref="Y28:Y30" si="64">Q28*$C$3*(M28/30)</f>
        <v>0.00</v>
      </c>
      <c r="Z28" s="166">
        <v>2.27</v>
      </c>
      <c r="AA28" s="167" t="str">
        <f t="shared" ref="AA28:AA30" si="65">((_xlfn.CEILING.MATH(Z28)-1)*$C$5+$C$4)</f>
        <v>114</v>
      </c>
      <c r="AB28" s="168" t="str">
        <f t="shared" ref="AB28:AB30" si="66">R28*$AB$6</f>
        <v>270.075</v>
      </c>
      <c r="AC28" s="168" t="str">
        <f t="shared" ref="AC28:AC30" si="67">V28*$AB$7</f>
        <v>21.892</v>
      </c>
      <c r="AD28" s="164" t="str">
        <f t="shared" ref="AD28:AD30" si="68">$AB$3*((100-AE28)/100)</f>
        <v>2.28</v>
      </c>
      <c r="AE28" s="164">
        <v>95.45</v>
      </c>
      <c r="AF28" s="164" t="str">
        <f t="shared" ref="AF28:AF30" si="69">$C$6*$C$7*_xlfn.CEILING.MATH(Z28)</f>
        <v>14.40</v>
      </c>
      <c r="AG28" s="165" t="str">
        <f t="shared" ref="AG28:AG30" si="70">R28*$C$2</f>
        <v>83.10</v>
      </c>
      <c r="AH28" s="23"/>
      <c r="AI28" s="278">
        <v>0.1</v>
      </c>
      <c r="AJ28" s="24" t="str">
        <f t="shared" ref="AJ28:AJ30" si="71">R28-W28-X28-Y28-AA28-AB28-AC28-AD28-AF28-AG28-Q28</f>
        <v>219.28</v>
      </c>
      <c r="AK28" s="279" t="str">
        <f t="shared" ref="AK28:AK30" si="72">AJ28/Q28</f>
        <v>#DIV/0!</v>
      </c>
      <c r="AL28" s="280"/>
      <c r="AM28" s="281" t="str">
        <f t="shared" ref="AM28:AM37" si="73">AJ28*AL28</f>
        <v>0.00</v>
      </c>
      <c r="AN28" s="280"/>
      <c r="AO28" s="282"/>
      <c r="AP28" s="283"/>
      <c r="AQ28" s="283" t="str">
        <f t="shared" ref="AQ28:AQ37" si="74">AN28*AP28</f>
        <v>0.00</v>
      </c>
      <c r="AR28" s="283"/>
      <c r="AS28" s="284"/>
      <c r="AT28" s="285" t="str">
        <f t="shared" si="21"/>
        <v>0.00</v>
      </c>
      <c r="AU28" s="284"/>
      <c r="AV28" s="286"/>
      <c r="AW28" s="285"/>
      <c r="AX28" s="284"/>
      <c r="AY28" s="26"/>
      <c r="AZ28" s="171" t="str">
        <f t="shared" ref="AZ28:AZ30" si="75">$AG$3</f>
        <v>0.00%</v>
      </c>
      <c r="BA28" s="172" t="str">
        <f t="shared" ref="BA28:BA30" si="76">Q28*AZ28</f>
        <v>0.00</v>
      </c>
      <c r="BB28" s="173" t="str">
        <f t="shared" ref="BB28:BB30" si="77">(Q28+W28+Y28+AA28+AD28+AF28+AI28+BA28)/(100%-($C$2+$C$8+$AB$6+$AB$7))</f>
        <v>415.27</v>
      </c>
      <c r="BC28" s="174" t="str">
        <f t="shared" ref="BC28:BC30" si="78">BB28-(BB28*$AG$1)</f>
        <v>294.84</v>
      </c>
    </row>
    <row r="29" ht="12.75" hidden="1" customHeight="1">
      <c r="A29" s="26"/>
      <c r="B29" s="190" t="s">
        <v>107</v>
      </c>
      <c r="C29" s="198">
        <v>2.14305584E8</v>
      </c>
      <c r="D29" s="152" t="s">
        <v>108</v>
      </c>
      <c r="E29" s="53" t="s">
        <v>77</v>
      </c>
      <c r="F29" s="154">
        <v>1.0</v>
      </c>
      <c r="G29" s="53"/>
      <c r="H29" s="53" t="str">
        <f t="shared" si="55"/>
        <v>0.00069</v>
      </c>
      <c r="I29" s="53" t="str">
        <f t="shared" si="56"/>
        <v>89</v>
      </c>
      <c r="J29" s="53" t="str">
        <f t="shared" si="57"/>
        <v>0</v>
      </c>
      <c r="K29" s="155" t="str">
        <f t="shared" si="58"/>
        <v>0.00</v>
      </c>
      <c r="L29" s="156" t="str">
        <f t="shared" si="59"/>
        <v>0.00 </v>
      </c>
      <c r="M29" s="132">
        <v>90.0</v>
      </c>
      <c r="N29" s="157">
        <v>358.93</v>
      </c>
      <c r="O29" s="277">
        <v>391.23</v>
      </c>
      <c r="P29" s="277">
        <v>380.47</v>
      </c>
      <c r="Q29" s="157">
        <v>358.93</v>
      </c>
      <c r="R29" s="158">
        <v>831.0</v>
      </c>
      <c r="S29" s="159" t="str">
        <f t="shared" si="60"/>
        <v>831.00</v>
      </c>
      <c r="T29" s="160"/>
      <c r="U29" s="161">
        <v>0.26</v>
      </c>
      <c r="V29" s="162" t="str">
        <f t="shared" si="61"/>
        <v>614.94</v>
      </c>
      <c r="W29" s="163" t="str">
        <f t="shared" si="62"/>
        <v>60.00</v>
      </c>
      <c r="X29" s="164" t="str">
        <f t="shared" si="63"/>
        <v>45.98</v>
      </c>
      <c r="Y29" s="165" t="str">
        <f t="shared" si="64"/>
        <v>0.00</v>
      </c>
      <c r="Z29" s="166">
        <v>2.35</v>
      </c>
      <c r="AA29" s="167" t="str">
        <f t="shared" si="65"/>
        <v>114</v>
      </c>
      <c r="AB29" s="168" t="str">
        <f t="shared" si="66"/>
        <v>270.075</v>
      </c>
      <c r="AC29" s="168" t="str">
        <f t="shared" si="67"/>
        <v>21.892</v>
      </c>
      <c r="AD29" s="164" t="str">
        <f t="shared" si="68"/>
        <v>2.06</v>
      </c>
      <c r="AE29" s="164">
        <v>95.89</v>
      </c>
      <c r="AF29" s="164" t="str">
        <f t="shared" si="69"/>
        <v>14.40</v>
      </c>
      <c r="AG29" s="165" t="str">
        <f t="shared" si="70"/>
        <v>83.10</v>
      </c>
      <c r="AH29" s="23"/>
      <c r="AI29" s="278">
        <v>0.1</v>
      </c>
      <c r="AJ29" s="24" t="str">
        <f t="shared" si="71"/>
        <v>-139.43</v>
      </c>
      <c r="AK29" s="279" t="str">
        <f t="shared" si="72"/>
        <v>-38.85%</v>
      </c>
      <c r="AL29" s="280"/>
      <c r="AM29" s="281" t="str">
        <f t="shared" si="73"/>
        <v>0.00</v>
      </c>
      <c r="AN29" s="280"/>
      <c r="AO29" s="282"/>
      <c r="AP29" s="283"/>
      <c r="AQ29" s="283" t="str">
        <f t="shared" si="74"/>
        <v>0.00</v>
      </c>
      <c r="AR29" s="283"/>
      <c r="AS29" s="284"/>
      <c r="AT29" s="285" t="str">
        <f t="shared" si="21"/>
        <v>0.00</v>
      </c>
      <c r="AU29" s="284"/>
      <c r="AV29" s="286"/>
      <c r="AW29" s="285"/>
      <c r="AX29" s="284"/>
      <c r="AY29" s="26"/>
      <c r="AZ29" s="171" t="str">
        <f t="shared" si="75"/>
        <v>0.00%</v>
      </c>
      <c r="BA29" s="172" t="str">
        <f t="shared" si="76"/>
        <v>0.00</v>
      </c>
      <c r="BB29" s="173" t="str">
        <f t="shared" si="77"/>
        <v>1,196.09</v>
      </c>
      <c r="BC29" s="174" t="str">
        <f t="shared" si="78"/>
        <v>849.23</v>
      </c>
    </row>
    <row r="30" ht="12.75" hidden="1" customHeight="1">
      <c r="A30" s="26"/>
      <c r="B30" s="190" t="s">
        <v>109</v>
      </c>
      <c r="C30" s="192">
        <v>2.14305639E8</v>
      </c>
      <c r="D30" s="152" t="s">
        <v>110</v>
      </c>
      <c r="E30" s="53" t="s">
        <v>77</v>
      </c>
      <c r="F30" s="154">
        <v>1.0</v>
      </c>
      <c r="G30" s="53"/>
      <c r="H30" s="53" t="str">
        <f t="shared" si="55"/>
        <v>0.00069</v>
      </c>
      <c r="I30" s="53" t="str">
        <f t="shared" si="56"/>
        <v>89</v>
      </c>
      <c r="J30" s="53" t="str">
        <f t="shared" si="57"/>
        <v>0</v>
      </c>
      <c r="K30" s="155" t="str">
        <f t="shared" si="58"/>
        <v>0.00</v>
      </c>
      <c r="L30" s="156" t="str">
        <f t="shared" si="59"/>
        <v>0.00 </v>
      </c>
      <c r="M30" s="132">
        <v>90.0</v>
      </c>
      <c r="N30" s="157">
        <v>0.0</v>
      </c>
      <c r="O30" s="277">
        <v>0.0</v>
      </c>
      <c r="P30" s="277" t="str">
        <f>K30/E30</f>
        <v>#VALUE!</v>
      </c>
      <c r="Q30" s="157">
        <v>0.0</v>
      </c>
      <c r="R30" s="158">
        <v>831.0</v>
      </c>
      <c r="S30" s="159" t="str">
        <f t="shared" si="60"/>
        <v>831.00</v>
      </c>
      <c r="T30" s="160"/>
      <c r="U30" s="161">
        <v>0.26</v>
      </c>
      <c r="V30" s="162" t="str">
        <f t="shared" si="61"/>
        <v>614.94</v>
      </c>
      <c r="W30" s="163" t="str">
        <f t="shared" si="62"/>
        <v>60.00</v>
      </c>
      <c r="X30" s="164" t="str">
        <f t="shared" si="63"/>
        <v>45.98</v>
      </c>
      <c r="Y30" s="165" t="str">
        <f t="shared" si="64"/>
        <v>0.00</v>
      </c>
      <c r="Z30" s="166">
        <v>2.27</v>
      </c>
      <c r="AA30" s="167" t="str">
        <f t="shared" si="65"/>
        <v>114</v>
      </c>
      <c r="AB30" s="168" t="str">
        <f t="shared" si="66"/>
        <v>270.075</v>
      </c>
      <c r="AC30" s="168" t="str">
        <f t="shared" si="67"/>
        <v>21.892</v>
      </c>
      <c r="AD30" s="164" t="str">
        <f t="shared" si="68"/>
        <v>0.00</v>
      </c>
      <c r="AE30" s="164">
        <v>100.0</v>
      </c>
      <c r="AF30" s="164" t="str">
        <f t="shared" si="69"/>
        <v>14.40</v>
      </c>
      <c r="AG30" s="165" t="str">
        <f t="shared" si="70"/>
        <v>83.10</v>
      </c>
      <c r="AH30" s="23"/>
      <c r="AI30" s="278">
        <v>0.1</v>
      </c>
      <c r="AJ30" s="24" t="str">
        <f t="shared" si="71"/>
        <v>221.56</v>
      </c>
      <c r="AK30" s="279" t="str">
        <f t="shared" si="72"/>
        <v>#DIV/0!</v>
      </c>
      <c r="AL30" s="280"/>
      <c r="AM30" s="281" t="str">
        <f t="shared" si="73"/>
        <v>0.00</v>
      </c>
      <c r="AN30" s="280"/>
      <c r="AO30" s="282"/>
      <c r="AP30" s="283"/>
      <c r="AQ30" s="283" t="str">
        <f t="shared" si="74"/>
        <v>0.00</v>
      </c>
      <c r="AR30" s="283"/>
      <c r="AS30" s="284"/>
      <c r="AT30" s="285" t="str">
        <f t="shared" si="21"/>
        <v>0.00</v>
      </c>
      <c r="AU30" s="284"/>
      <c r="AV30" s="286"/>
      <c r="AW30" s="285"/>
      <c r="AX30" s="284"/>
      <c r="AY30" s="26"/>
      <c r="AZ30" s="171" t="str">
        <f t="shared" si="75"/>
        <v>0.00%</v>
      </c>
      <c r="BA30" s="172" t="str">
        <f t="shared" si="76"/>
        <v>0.00</v>
      </c>
      <c r="BB30" s="173" t="str">
        <f t="shared" si="77"/>
        <v>410.32</v>
      </c>
      <c r="BC30" s="174" t="str">
        <f t="shared" si="78"/>
        <v>291.33</v>
      </c>
    </row>
    <row r="31" ht="12.75" customHeight="1">
      <c r="A31" s="26"/>
      <c r="B31" s="125" t="s">
        <v>111</v>
      </c>
      <c r="C31" s="126"/>
      <c r="D31" s="127"/>
      <c r="E31" s="128"/>
      <c r="F31" s="129"/>
      <c r="G31" s="128"/>
      <c r="H31" s="197"/>
      <c r="I31" s="197"/>
      <c r="J31" s="128"/>
      <c r="K31" s="130"/>
      <c r="L31" s="131"/>
      <c r="M31" s="132"/>
      <c r="N31" s="176"/>
      <c r="O31" s="133"/>
      <c r="P31" s="133"/>
      <c r="Q31" s="176"/>
      <c r="R31" s="134"/>
      <c r="S31" s="135"/>
      <c r="T31" s="135"/>
      <c r="U31" s="136"/>
      <c r="V31" s="137"/>
      <c r="W31" s="177"/>
      <c r="X31" s="178"/>
      <c r="Y31" s="179"/>
      <c r="Z31" s="180"/>
      <c r="AA31" s="181"/>
      <c r="AB31" s="182"/>
      <c r="AC31" s="182"/>
      <c r="AD31" s="178"/>
      <c r="AE31" s="178"/>
      <c r="AF31" s="178"/>
      <c r="AG31" s="179"/>
      <c r="AH31" s="183"/>
      <c r="AI31" s="271"/>
      <c r="AJ31" s="287"/>
      <c r="AK31" s="288"/>
      <c r="AL31" s="280"/>
      <c r="AM31" s="281" t="str">
        <f t="shared" si="73"/>
        <v>0.00</v>
      </c>
      <c r="AN31" s="280"/>
      <c r="AO31" s="282"/>
      <c r="AP31" s="283"/>
      <c r="AQ31" s="283" t="str">
        <f t="shared" si="74"/>
        <v>0.00</v>
      </c>
      <c r="AR31" s="283"/>
      <c r="AS31" s="284"/>
      <c r="AT31" s="285" t="str">
        <f t="shared" si="21"/>
        <v>0.00</v>
      </c>
      <c r="AU31" s="284"/>
      <c r="AV31" s="286"/>
      <c r="AW31" s="285"/>
      <c r="AX31" s="284"/>
      <c r="AY31" s="26"/>
      <c r="AZ31" s="186"/>
      <c r="BA31" s="187"/>
      <c r="BB31" s="188"/>
      <c r="BC31" s="189"/>
    </row>
    <row r="32" ht="12.75" customHeight="1">
      <c r="A32" s="26"/>
      <c r="B32" s="190" t="s">
        <v>112</v>
      </c>
      <c r="C32" s="151">
        <v>2.14305705E8</v>
      </c>
      <c r="D32" s="152" t="s">
        <v>113</v>
      </c>
      <c r="E32" s="153" t="s">
        <v>77</v>
      </c>
      <c r="F32" s="154">
        <v>1.0</v>
      </c>
      <c r="G32" s="53"/>
      <c r="H32" s="53" t="str">
        <f t="shared" ref="H32:H34" si="79">$I$2</f>
        <v>0.00069</v>
      </c>
      <c r="I32" s="53" t="str">
        <f t="shared" ref="I32:I34" si="80">$I$3</f>
        <v>89</v>
      </c>
      <c r="J32" s="53" t="str">
        <f t="shared" ref="J32:J34" si="81">G32*H32*I32*F32</f>
        <v>0</v>
      </c>
      <c r="K32" s="155" t="str">
        <f t="shared" ref="K32:K34" si="82">J32*$J$4</f>
        <v>0.00</v>
      </c>
      <c r="L32" s="156" t="str">
        <f t="shared" ref="L32:L34" si="83">K32+J32</f>
        <v>0.00 </v>
      </c>
      <c r="M32" s="132">
        <v>90.0</v>
      </c>
      <c r="N32" s="157">
        <v>367.92</v>
      </c>
      <c r="O32" s="277">
        <v>401.03</v>
      </c>
      <c r="P32" s="277">
        <v>390.0</v>
      </c>
      <c r="Q32" s="157">
        <v>367.92</v>
      </c>
      <c r="R32" s="158">
        <v>1410.0</v>
      </c>
      <c r="S32" s="159" t="str">
        <f t="shared" ref="S32:S37" si="84">R32</f>
        <v>1,410.00</v>
      </c>
      <c r="T32" s="160"/>
      <c r="U32" s="161">
        <v>0.37</v>
      </c>
      <c r="V32" s="162" t="str">
        <f t="shared" ref="V32:V37" si="85">R32-(R32*U32)</f>
        <v>888.30</v>
      </c>
      <c r="W32" s="163" t="str">
        <f t="shared" ref="W32:W37" si="86">$C$1</f>
        <v>60.00</v>
      </c>
      <c r="X32" s="164" t="str">
        <f t="shared" ref="X32:X37" si="87">(V32*7/107)+((V32-(V32*7/107))*1%)</f>
        <v>66.41</v>
      </c>
      <c r="Y32" s="165" t="str">
        <f t="shared" ref="Y32:Y37" si="88">Q32*$C$3*(M32/30)</f>
        <v>0.00</v>
      </c>
      <c r="Z32" s="166">
        <v>2.27</v>
      </c>
      <c r="AA32" s="167">
        <v>135.0</v>
      </c>
      <c r="AB32" s="168" t="str">
        <f t="shared" ref="AB32:AB37" si="89">R32*$AB$6</f>
        <v>458.250</v>
      </c>
      <c r="AC32" s="168" t="str">
        <f t="shared" ref="AC32:AC37" si="90">V32*$AB$7</f>
        <v>31.623</v>
      </c>
      <c r="AD32" s="164" t="str">
        <f t="shared" ref="AD32:AD37" si="91">$AB$3*((100-AE32)/100)</f>
        <v>1.28</v>
      </c>
      <c r="AE32" s="164">
        <v>97.44</v>
      </c>
      <c r="AF32" s="164" t="str">
        <f t="shared" ref="AF32:AF37" si="92">$C$6*$C$7*_xlfn.CEILING.MATH(Z32)</f>
        <v>14.40</v>
      </c>
      <c r="AG32" s="165" t="str">
        <f t="shared" ref="AG32:AG37" si="93">R32*$C$2</f>
        <v>141.00</v>
      </c>
      <c r="AH32" s="23"/>
      <c r="AI32" s="278">
        <v>0.1</v>
      </c>
      <c r="AJ32" s="24" t="str">
        <f t="shared" ref="AJ32:AJ37" si="94">R32-W32-X32-Y32-AA32-AB32-AC32-AD32-AF32-AG32-Q32</f>
        <v>134.11</v>
      </c>
      <c r="AK32" s="279" t="str">
        <f t="shared" ref="AK32:AK37" si="95">AJ32/Q32</f>
        <v>36.45%</v>
      </c>
      <c r="AL32" s="280">
        <v>110.0</v>
      </c>
      <c r="AM32" s="281" t="str">
        <f t="shared" si="73"/>
        <v>14,752.27</v>
      </c>
      <c r="AN32" s="280">
        <v>130.0</v>
      </c>
      <c r="AO32" s="282">
        <v>0.75</v>
      </c>
      <c r="AP32" s="283">
        <v>173.67</v>
      </c>
      <c r="AQ32" s="283" t="str">
        <f t="shared" si="74"/>
        <v>22,577.10</v>
      </c>
      <c r="AR32" s="283">
        <v>45.39</v>
      </c>
      <c r="AS32" s="284">
        <v>90.0</v>
      </c>
      <c r="AT32" s="285" t="str">
        <f t="shared" si="21"/>
        <v>12,070.04</v>
      </c>
      <c r="AU32" s="284">
        <v>4.0</v>
      </c>
      <c r="AV32" s="286">
        <v>0.0</v>
      </c>
      <c r="AW32" s="285">
        <v>747.67</v>
      </c>
      <c r="AX32" s="284">
        <v>50.8</v>
      </c>
      <c r="AY32" s="26"/>
      <c r="AZ32" s="171" t="str">
        <f t="shared" ref="AZ32:AZ34" si="96">$AG$3</f>
        <v>0.00%</v>
      </c>
      <c r="BA32" s="172" t="str">
        <f t="shared" ref="BA32:BA34" si="97">Q32*AZ32</f>
        <v>0.00</v>
      </c>
      <c r="BB32" s="173" t="str">
        <f t="shared" ref="BB32:BB34" si="98">(Q32+W32+Y32+AA32+AD32+AF32+AI32+BA32)/(100%-($C$2+$C$8+$AB$6+$AB$7))</f>
        <v>1,259.69</v>
      </c>
      <c r="BC32" s="174" t="str">
        <f t="shared" ref="BC32:BC34" si="99">BB32-(BB32*$AG$1)</f>
        <v>894.38</v>
      </c>
    </row>
    <row r="33" ht="12.75" customHeight="1">
      <c r="A33" s="26"/>
      <c r="B33" s="190" t="s">
        <v>114</v>
      </c>
      <c r="C33" s="151">
        <v>2.14305722E8</v>
      </c>
      <c r="D33" s="152" t="s">
        <v>115</v>
      </c>
      <c r="E33" s="153" t="s">
        <v>77</v>
      </c>
      <c r="F33" s="154">
        <v>1.0</v>
      </c>
      <c r="G33" s="53"/>
      <c r="H33" s="53" t="str">
        <f t="shared" si="79"/>
        <v>0.00069</v>
      </c>
      <c r="I33" s="53" t="str">
        <f t="shared" si="80"/>
        <v>89</v>
      </c>
      <c r="J33" s="53" t="str">
        <f t="shared" si="81"/>
        <v>0</v>
      </c>
      <c r="K33" s="155" t="str">
        <f t="shared" si="82"/>
        <v>0.00</v>
      </c>
      <c r="L33" s="156" t="str">
        <f t="shared" si="83"/>
        <v>0.00 </v>
      </c>
      <c r="M33" s="132">
        <v>90.0</v>
      </c>
      <c r="N33" s="157">
        <v>726.85</v>
      </c>
      <c r="O33" s="277">
        <v>792.27</v>
      </c>
      <c r="P33" s="277">
        <v>770.46</v>
      </c>
      <c r="Q33" s="157">
        <v>726.85</v>
      </c>
      <c r="R33" s="158">
        <v>2490.0</v>
      </c>
      <c r="S33" s="159" t="str">
        <f t="shared" si="84"/>
        <v>2,490.00</v>
      </c>
      <c r="T33" s="160"/>
      <c r="U33" s="161">
        <v>0.37</v>
      </c>
      <c r="V33" s="162" t="str">
        <f t="shared" si="85"/>
        <v>1,568.70</v>
      </c>
      <c r="W33" s="163" t="str">
        <f t="shared" si="86"/>
        <v>60.00</v>
      </c>
      <c r="X33" s="164" t="str">
        <f t="shared" si="87"/>
        <v>117.29</v>
      </c>
      <c r="Y33" s="165" t="str">
        <f t="shared" si="88"/>
        <v>0.00</v>
      </c>
      <c r="Z33" s="166">
        <v>5.8</v>
      </c>
      <c r="AA33" s="167">
        <v>190.0</v>
      </c>
      <c r="AB33" s="168" t="str">
        <f t="shared" si="89"/>
        <v>809.250</v>
      </c>
      <c r="AC33" s="168" t="str">
        <f t="shared" si="90"/>
        <v>55.846</v>
      </c>
      <c r="AD33" s="164" t="str">
        <f t="shared" si="91"/>
        <v>0.00</v>
      </c>
      <c r="AE33" s="164">
        <v>100.0</v>
      </c>
      <c r="AF33" s="164" t="str">
        <f t="shared" si="92"/>
        <v>28.80</v>
      </c>
      <c r="AG33" s="165" t="str">
        <f t="shared" si="93"/>
        <v>249.00</v>
      </c>
      <c r="AH33" s="23"/>
      <c r="AI33" s="278">
        <v>0.1</v>
      </c>
      <c r="AJ33" s="24" t="str">
        <f t="shared" si="94"/>
        <v>252.97</v>
      </c>
      <c r="AK33" s="279" t="str">
        <f t="shared" si="95"/>
        <v>34.80%</v>
      </c>
      <c r="AL33" s="280">
        <v>120.0</v>
      </c>
      <c r="AM33" s="281" t="str">
        <f t="shared" si="73"/>
        <v>30,356.20</v>
      </c>
      <c r="AN33" s="280">
        <v>101.0</v>
      </c>
      <c r="AO33" s="282">
        <v>5.86</v>
      </c>
      <c r="AP33" s="283">
        <v>524.27</v>
      </c>
      <c r="AQ33" s="283" t="str">
        <f t="shared" si="74"/>
        <v>52,951.27</v>
      </c>
      <c r="AR33" s="283">
        <v>77.93</v>
      </c>
      <c r="AS33" s="284">
        <v>90.0</v>
      </c>
      <c r="AT33" s="285" t="str">
        <f t="shared" si="21"/>
        <v>22,767.15</v>
      </c>
      <c r="AU33" s="284">
        <v>99.0</v>
      </c>
      <c r="AV33" s="286">
        <v>0.0</v>
      </c>
      <c r="AW33" s="285">
        <v>44061.26</v>
      </c>
      <c r="AX33" s="284">
        <v>61.23</v>
      </c>
      <c r="AY33" s="26"/>
      <c r="AZ33" s="171" t="str">
        <f t="shared" si="96"/>
        <v>0.00%</v>
      </c>
      <c r="BA33" s="172" t="str">
        <f t="shared" si="97"/>
        <v>0.00</v>
      </c>
      <c r="BB33" s="173" t="str">
        <f t="shared" si="98"/>
        <v>2,189.27</v>
      </c>
      <c r="BC33" s="174" t="str">
        <f t="shared" si="99"/>
        <v>1,554.38</v>
      </c>
    </row>
    <row r="34" ht="12.75" hidden="1" customHeight="1">
      <c r="A34" s="26"/>
      <c r="B34" s="190" t="s">
        <v>116</v>
      </c>
      <c r="C34" s="192">
        <v>2.14305782E8</v>
      </c>
      <c r="D34" s="152" t="s">
        <v>117</v>
      </c>
      <c r="E34" s="53" t="s">
        <v>77</v>
      </c>
      <c r="F34" s="154">
        <v>1.0</v>
      </c>
      <c r="G34" s="53"/>
      <c r="H34" s="53" t="str">
        <f t="shared" si="79"/>
        <v>0.00069</v>
      </c>
      <c r="I34" s="53" t="str">
        <f t="shared" si="80"/>
        <v>89</v>
      </c>
      <c r="J34" s="53" t="str">
        <f t="shared" si="81"/>
        <v>0</v>
      </c>
      <c r="K34" s="155" t="str">
        <f t="shared" si="82"/>
        <v>0.00</v>
      </c>
      <c r="L34" s="156" t="str">
        <f t="shared" si="83"/>
        <v>0.00 </v>
      </c>
      <c r="M34" s="132">
        <v>90.0</v>
      </c>
      <c r="N34" s="157">
        <v>0.0</v>
      </c>
      <c r="O34" s="277">
        <v>0.0</v>
      </c>
      <c r="P34" s="277" t="str">
        <f>K34/E34</f>
        <v>#VALUE!</v>
      </c>
      <c r="Q34" s="157">
        <v>0.0</v>
      </c>
      <c r="R34" s="158">
        <v>831.0</v>
      </c>
      <c r="S34" s="159" t="str">
        <f t="shared" si="84"/>
        <v>831.00</v>
      </c>
      <c r="T34" s="160"/>
      <c r="U34" s="161">
        <v>0.26</v>
      </c>
      <c r="V34" s="162" t="str">
        <f t="shared" si="85"/>
        <v>614.94</v>
      </c>
      <c r="W34" s="163" t="str">
        <f t="shared" si="86"/>
        <v>60.00</v>
      </c>
      <c r="X34" s="164" t="str">
        <f t="shared" si="87"/>
        <v>45.98</v>
      </c>
      <c r="Y34" s="165" t="str">
        <f t="shared" si="88"/>
        <v>0.00</v>
      </c>
      <c r="Z34" s="166">
        <v>2.27</v>
      </c>
      <c r="AA34" s="167" t="str">
        <f>((_xlfn.CEILING.MATH(Z34)-1)*$C$5+$C$4)</f>
        <v>114</v>
      </c>
      <c r="AB34" s="168" t="str">
        <f t="shared" si="89"/>
        <v>270.075</v>
      </c>
      <c r="AC34" s="168" t="str">
        <f t="shared" si="90"/>
        <v>21.892</v>
      </c>
      <c r="AD34" s="164" t="str">
        <f t="shared" si="91"/>
        <v>0.00</v>
      </c>
      <c r="AE34" s="164">
        <v>100.0</v>
      </c>
      <c r="AF34" s="164" t="str">
        <f t="shared" si="92"/>
        <v>14.40</v>
      </c>
      <c r="AG34" s="165" t="str">
        <f t="shared" si="93"/>
        <v>83.10</v>
      </c>
      <c r="AH34" s="23"/>
      <c r="AI34" s="278">
        <v>0.1</v>
      </c>
      <c r="AJ34" s="24" t="str">
        <f t="shared" si="94"/>
        <v>221.56</v>
      </c>
      <c r="AK34" s="279" t="str">
        <f t="shared" si="95"/>
        <v>#DIV/0!</v>
      </c>
      <c r="AL34" s="280"/>
      <c r="AM34" s="281" t="str">
        <f t="shared" si="73"/>
        <v>0.00</v>
      </c>
      <c r="AN34" s="280"/>
      <c r="AO34" s="282"/>
      <c r="AP34" s="283"/>
      <c r="AQ34" s="283" t="str">
        <f t="shared" si="74"/>
        <v>0.00</v>
      </c>
      <c r="AR34" s="283"/>
      <c r="AS34" s="284"/>
      <c r="AT34" s="285" t="str">
        <f t="shared" si="21"/>
        <v>0.00</v>
      </c>
      <c r="AU34" s="284"/>
      <c r="AV34" s="286">
        <v>0.0</v>
      </c>
      <c r="AW34" s="285"/>
      <c r="AX34" s="284"/>
      <c r="AY34" s="26"/>
      <c r="AZ34" s="171" t="str">
        <f t="shared" si="96"/>
        <v>0.00%</v>
      </c>
      <c r="BA34" s="172" t="str">
        <f t="shared" si="97"/>
        <v>0.00</v>
      </c>
      <c r="BB34" s="173" t="str">
        <f t="shared" si="98"/>
        <v>410.32</v>
      </c>
      <c r="BC34" s="174" t="str">
        <f t="shared" si="99"/>
        <v>291.33</v>
      </c>
    </row>
    <row r="35" ht="12.0" customHeight="1">
      <c r="A35" s="26"/>
      <c r="B35" s="190"/>
      <c r="C35" s="151">
        <v>6.08624295E8</v>
      </c>
      <c r="D35" s="152" t="s">
        <v>118</v>
      </c>
      <c r="E35" s="153" t="s">
        <v>77</v>
      </c>
      <c r="F35" s="154">
        <v>1.0</v>
      </c>
      <c r="G35" s="53"/>
      <c r="H35" s="53"/>
      <c r="I35" s="53"/>
      <c r="J35" s="53"/>
      <c r="K35" s="155"/>
      <c r="L35" s="156"/>
      <c r="M35" s="132">
        <v>90.0</v>
      </c>
      <c r="N35" s="157">
        <v>314.85</v>
      </c>
      <c r="O35" s="277">
        <v>343.19</v>
      </c>
      <c r="P35" s="277">
        <v>333.74</v>
      </c>
      <c r="Q35" s="157">
        <v>314.85</v>
      </c>
      <c r="R35" s="158">
        <v>1200.0</v>
      </c>
      <c r="S35" s="159" t="str">
        <f t="shared" si="84"/>
        <v>1,200.00</v>
      </c>
      <c r="T35" s="160"/>
      <c r="U35" s="161">
        <v>0.31</v>
      </c>
      <c r="V35" s="162" t="str">
        <f t="shared" si="85"/>
        <v>828.00</v>
      </c>
      <c r="W35" s="163" t="str">
        <f t="shared" si="86"/>
        <v>60.00</v>
      </c>
      <c r="X35" s="164" t="str">
        <f t="shared" si="87"/>
        <v>61.91</v>
      </c>
      <c r="Y35" s="165" t="str">
        <f t="shared" si="88"/>
        <v>0.00</v>
      </c>
      <c r="Z35" s="166">
        <v>2.27</v>
      </c>
      <c r="AA35" s="167">
        <v>136.0</v>
      </c>
      <c r="AB35" s="168" t="str">
        <f t="shared" si="89"/>
        <v>390.000</v>
      </c>
      <c r="AC35" s="168" t="str">
        <f t="shared" si="90"/>
        <v>29.477</v>
      </c>
      <c r="AD35" s="164" t="str">
        <f t="shared" si="91"/>
        <v>0.00</v>
      </c>
      <c r="AE35" s="164">
        <v>100.0</v>
      </c>
      <c r="AF35" s="164" t="str">
        <f t="shared" si="92"/>
        <v>14.40</v>
      </c>
      <c r="AG35" s="165" t="str">
        <f t="shared" si="93"/>
        <v>120.00</v>
      </c>
      <c r="AH35" s="23"/>
      <c r="AI35" s="278">
        <v>0.1</v>
      </c>
      <c r="AJ35" s="24" t="str">
        <f t="shared" si="94"/>
        <v>73.37</v>
      </c>
      <c r="AK35" s="279" t="str">
        <f t="shared" si="95"/>
        <v>23.30%</v>
      </c>
      <c r="AL35" s="280">
        <v>50.0</v>
      </c>
      <c r="AM35" s="281" t="str">
        <f t="shared" si="73"/>
        <v>3,668.33</v>
      </c>
      <c r="AN35" s="280">
        <v>35.0</v>
      </c>
      <c r="AO35" s="282">
        <v>1.28</v>
      </c>
      <c r="AP35" s="283">
        <v>223.78</v>
      </c>
      <c r="AQ35" s="283" t="str">
        <f t="shared" si="74"/>
        <v>7,832.30</v>
      </c>
      <c r="AR35" s="283">
        <v>67.95</v>
      </c>
      <c r="AS35" s="284">
        <v>35.0</v>
      </c>
      <c r="AT35" s="285" t="str">
        <f t="shared" si="21"/>
        <v>2,567.83</v>
      </c>
      <c r="AU35" s="284">
        <v>37.0</v>
      </c>
      <c r="AV35" s="286">
        <v>0.0</v>
      </c>
      <c r="AW35" s="285">
        <v>7458.18</v>
      </c>
      <c r="AX35" s="284">
        <v>64.02</v>
      </c>
      <c r="AY35" s="26"/>
      <c r="AZ35" s="171"/>
      <c r="BA35" s="172"/>
      <c r="BB35" s="173"/>
      <c r="BC35" s="174"/>
    </row>
    <row r="36" ht="12.75" customHeight="1">
      <c r="A36" s="26"/>
      <c r="B36" s="190"/>
      <c r="C36" s="151">
        <v>6.08837066E8</v>
      </c>
      <c r="D36" s="152" t="s">
        <v>119</v>
      </c>
      <c r="E36" s="153" t="s">
        <v>77</v>
      </c>
      <c r="F36" s="154">
        <v>1.0</v>
      </c>
      <c r="G36" s="53"/>
      <c r="H36" s="53"/>
      <c r="I36" s="53"/>
      <c r="J36" s="53"/>
      <c r="K36" s="155"/>
      <c r="L36" s="156"/>
      <c r="M36" s="132">
        <v>90.0</v>
      </c>
      <c r="N36" s="157">
        <v>269.87</v>
      </c>
      <c r="O36" s="277">
        <v>294.16</v>
      </c>
      <c r="P36" s="277">
        <v>286.06</v>
      </c>
      <c r="Q36" s="157">
        <v>269.87</v>
      </c>
      <c r="R36" s="158">
        <v>1100.0</v>
      </c>
      <c r="S36" s="159" t="str">
        <f t="shared" si="84"/>
        <v>1,100.00</v>
      </c>
      <c r="T36" s="160"/>
      <c r="U36" s="161">
        <v>0.31</v>
      </c>
      <c r="V36" s="162" t="str">
        <f t="shared" si="85"/>
        <v>759.00</v>
      </c>
      <c r="W36" s="163" t="str">
        <f t="shared" si="86"/>
        <v>60.00</v>
      </c>
      <c r="X36" s="164" t="str">
        <f t="shared" si="87"/>
        <v>56.75</v>
      </c>
      <c r="Y36" s="165" t="str">
        <f t="shared" si="88"/>
        <v>0.00</v>
      </c>
      <c r="Z36" s="166">
        <v>2.27</v>
      </c>
      <c r="AA36" s="167">
        <v>136.0</v>
      </c>
      <c r="AB36" s="168" t="str">
        <f t="shared" si="89"/>
        <v>357.500</v>
      </c>
      <c r="AC36" s="168" t="str">
        <f t="shared" si="90"/>
        <v>27.020</v>
      </c>
      <c r="AD36" s="164" t="str">
        <f t="shared" si="91"/>
        <v>0.00</v>
      </c>
      <c r="AE36" s="164">
        <v>100.0</v>
      </c>
      <c r="AF36" s="164" t="str">
        <f t="shared" si="92"/>
        <v>14.40</v>
      </c>
      <c r="AG36" s="165" t="str">
        <f t="shared" si="93"/>
        <v>110.00</v>
      </c>
      <c r="AH36" s="23"/>
      <c r="AI36" s="278">
        <v>0.1</v>
      </c>
      <c r="AJ36" s="24" t="str">
        <f t="shared" si="94"/>
        <v>68.46</v>
      </c>
      <c r="AK36" s="279" t="str">
        <f t="shared" si="95"/>
        <v>25.37%</v>
      </c>
      <c r="AL36" s="280">
        <v>30.0</v>
      </c>
      <c r="AM36" s="281" t="str">
        <f t="shared" si="73"/>
        <v>2,053.86</v>
      </c>
      <c r="AN36" s="280">
        <v>57.0</v>
      </c>
      <c r="AO36" s="282">
        <v>0.64</v>
      </c>
      <c r="AP36" s="283">
        <v>230.83</v>
      </c>
      <c r="AQ36" s="283" t="str">
        <f t="shared" si="74"/>
        <v>13,157.31</v>
      </c>
      <c r="AR36" s="283">
        <v>81.66</v>
      </c>
      <c r="AS36" s="284">
        <v>25.0</v>
      </c>
      <c r="AT36" s="285" t="str">
        <f t="shared" si="21"/>
        <v>1,711.55</v>
      </c>
      <c r="AU36" s="284">
        <v>38.0</v>
      </c>
      <c r="AV36" s="286">
        <v>0.0</v>
      </c>
      <c r="AW36" s="285">
        <v>6464.7</v>
      </c>
      <c r="AX36" s="284">
        <v>63.04</v>
      </c>
      <c r="AY36" s="26"/>
      <c r="AZ36" s="171"/>
      <c r="BA36" s="172"/>
      <c r="BB36" s="173"/>
      <c r="BC36" s="174"/>
    </row>
    <row r="37" ht="12.75" customHeight="1">
      <c r="A37" s="26"/>
      <c r="B37" s="190"/>
      <c r="C37" s="151">
        <v>6.08841921E8</v>
      </c>
      <c r="D37" s="152" t="s">
        <v>120</v>
      </c>
      <c r="E37" s="153" t="s">
        <v>77</v>
      </c>
      <c r="F37" s="154">
        <v>1.0</v>
      </c>
      <c r="G37" s="53"/>
      <c r="H37" s="53"/>
      <c r="I37" s="53"/>
      <c r="J37" s="53"/>
      <c r="K37" s="155"/>
      <c r="L37" s="156"/>
      <c r="M37" s="132">
        <v>90.0</v>
      </c>
      <c r="N37" s="157">
        <v>151.13</v>
      </c>
      <c r="O37" s="277">
        <v>164.73</v>
      </c>
      <c r="P37" s="277">
        <v>160.2</v>
      </c>
      <c r="Q37" s="157">
        <v>151.13</v>
      </c>
      <c r="R37" s="158">
        <v>750.0</v>
      </c>
      <c r="S37" s="159" t="str">
        <f t="shared" si="84"/>
        <v>750.00</v>
      </c>
      <c r="T37" s="160"/>
      <c r="U37" s="161">
        <v>0.31</v>
      </c>
      <c r="V37" s="162" t="str">
        <f t="shared" si="85"/>
        <v>517.50</v>
      </c>
      <c r="W37" s="163" t="str">
        <f t="shared" si="86"/>
        <v>60.00</v>
      </c>
      <c r="X37" s="164" t="str">
        <f t="shared" si="87"/>
        <v>38.69</v>
      </c>
      <c r="Y37" s="165" t="str">
        <f t="shared" si="88"/>
        <v>0.00</v>
      </c>
      <c r="Z37" s="166">
        <v>2.27</v>
      </c>
      <c r="AA37" s="167">
        <v>90.0</v>
      </c>
      <c r="AB37" s="168" t="str">
        <f t="shared" si="89"/>
        <v>243.750</v>
      </c>
      <c r="AC37" s="168" t="str">
        <f t="shared" si="90"/>
        <v>18.423</v>
      </c>
      <c r="AD37" s="164" t="str">
        <f t="shared" si="91"/>
        <v>0.00</v>
      </c>
      <c r="AE37" s="164">
        <v>100.0</v>
      </c>
      <c r="AF37" s="164" t="str">
        <f t="shared" si="92"/>
        <v>14.40</v>
      </c>
      <c r="AG37" s="165" t="str">
        <f t="shared" si="93"/>
        <v>75.00</v>
      </c>
      <c r="AH37" s="23"/>
      <c r="AI37" s="278">
        <v>0.1</v>
      </c>
      <c r="AJ37" s="24" t="str">
        <f t="shared" si="94"/>
        <v>58.61</v>
      </c>
      <c r="AK37" s="279" t="str">
        <f t="shared" si="95"/>
        <v>38.78%</v>
      </c>
      <c r="AL37" s="280">
        <v>50.0</v>
      </c>
      <c r="AM37" s="281" t="str">
        <f t="shared" si="73"/>
        <v>2,930.27</v>
      </c>
      <c r="AN37" s="280">
        <v>72.0</v>
      </c>
      <c r="AO37" s="282">
        <v>0.83</v>
      </c>
      <c r="AP37" s="283">
        <v>199.79</v>
      </c>
      <c r="AQ37" s="283" t="str">
        <f t="shared" si="74"/>
        <v>14,384.88</v>
      </c>
      <c r="AR37" s="283">
        <v>126.11</v>
      </c>
      <c r="AS37" s="284">
        <v>35.0</v>
      </c>
      <c r="AT37" s="285" t="str">
        <f t="shared" si="21"/>
        <v>2,051.19</v>
      </c>
      <c r="AU37" s="284">
        <v>62.0</v>
      </c>
      <c r="AV37" s="286">
        <v>0.0</v>
      </c>
      <c r="AW37" s="285">
        <v>10025.16</v>
      </c>
      <c r="AX37" s="284">
        <v>107.0</v>
      </c>
      <c r="AY37" s="26"/>
      <c r="AZ37" s="171"/>
      <c r="BA37" s="172"/>
      <c r="BB37" s="173"/>
      <c r="BC37" s="174"/>
    </row>
    <row r="38" ht="12.75" customHeight="1">
      <c r="A38" s="26"/>
      <c r="B38" s="125" t="s">
        <v>121</v>
      </c>
      <c r="C38" s="126"/>
      <c r="D38" s="127"/>
      <c r="E38" s="128"/>
      <c r="F38" s="129"/>
      <c r="G38" s="128"/>
      <c r="H38" s="197"/>
      <c r="I38" s="197"/>
      <c r="J38" s="128"/>
      <c r="K38" s="130"/>
      <c r="L38" s="131"/>
      <c r="M38" s="132"/>
      <c r="N38" s="176"/>
      <c r="O38" s="133"/>
      <c r="P38" s="133"/>
      <c r="Q38" s="176"/>
      <c r="R38" s="134"/>
      <c r="S38" s="135"/>
      <c r="T38" s="135"/>
      <c r="U38" s="136"/>
      <c r="V38" s="137"/>
      <c r="W38" s="177"/>
      <c r="X38" s="178"/>
      <c r="Y38" s="179"/>
      <c r="Z38" s="180"/>
      <c r="AA38" s="181"/>
      <c r="AB38" s="182"/>
      <c r="AC38" s="182"/>
      <c r="AD38" s="178"/>
      <c r="AE38" s="178"/>
      <c r="AF38" s="178"/>
      <c r="AG38" s="179"/>
      <c r="AH38" s="183"/>
      <c r="AI38" s="271"/>
      <c r="AJ38" s="287"/>
      <c r="AK38" s="288"/>
      <c r="AL38" s="288"/>
      <c r="AM38" s="288"/>
      <c r="AN38" s="288"/>
      <c r="AO38" s="288"/>
      <c r="AP38" s="288"/>
      <c r="AQ38" s="288"/>
      <c r="AR38" s="288"/>
      <c r="AS38" s="289"/>
      <c r="AT38" s="285" t="str">
        <f t="shared" si="21"/>
        <v>0.00</v>
      </c>
      <c r="AU38" s="289"/>
      <c r="AV38" s="289"/>
      <c r="AW38" s="290"/>
      <c r="AX38" s="288"/>
      <c r="AY38" s="26"/>
      <c r="AZ38" s="186"/>
      <c r="BA38" s="187"/>
      <c r="BB38" s="188"/>
      <c r="BC38" s="189"/>
    </row>
    <row r="39" ht="12.75" hidden="1" customHeight="1">
      <c r="A39" s="26"/>
      <c r="B39" s="190" t="s">
        <v>122</v>
      </c>
      <c r="C39" s="191">
        <v>2.14301052E8</v>
      </c>
      <c r="D39" s="152" t="s">
        <v>123</v>
      </c>
      <c r="E39" s="53" t="s">
        <v>77</v>
      </c>
      <c r="F39" s="154">
        <v>1.0</v>
      </c>
      <c r="G39" s="53"/>
      <c r="H39" s="53" t="str">
        <f t="shared" ref="H39:H56" si="100">$I$2</f>
        <v>0.00069</v>
      </c>
      <c r="I39" s="53" t="str">
        <f t="shared" ref="I39:I56" si="101">$I$3</f>
        <v>89</v>
      </c>
      <c r="J39" s="53" t="str">
        <f t="shared" ref="J39:J56" si="102">G39*H39*I39*F39</f>
        <v>0</v>
      </c>
      <c r="K39" s="155" t="str">
        <f t="shared" ref="K39:K56" si="103">J39*$J$4</f>
        <v>0.00</v>
      </c>
      <c r="L39" s="156" t="str">
        <f t="shared" ref="L39:L56" si="104">K39+J39</f>
        <v>0.00 </v>
      </c>
      <c r="M39" s="132">
        <v>90.0</v>
      </c>
      <c r="N39" s="157">
        <v>0.0</v>
      </c>
      <c r="O39" s="277">
        <v>0.0</v>
      </c>
      <c r="P39" s="277" t="str">
        <f t="shared" ref="P39:P56" si="105">K39/E39</f>
        <v>#VALUE!</v>
      </c>
      <c r="Q39" s="157">
        <v>0.0</v>
      </c>
      <c r="R39" s="158">
        <v>785.4</v>
      </c>
      <c r="S39" s="159" t="str">
        <f t="shared" ref="S39:S56" si="106">BB39</f>
        <v>306.70</v>
      </c>
      <c r="T39" s="160"/>
      <c r="U39" s="161">
        <v>0.26</v>
      </c>
      <c r="V39" s="162" t="str">
        <f t="shared" ref="V39:V56" si="107">R39-(R39*U39)</f>
        <v>581.20</v>
      </c>
      <c r="W39" s="163" t="str">
        <f t="shared" ref="W39:W56" si="108">$C$1</f>
        <v>60.00</v>
      </c>
      <c r="X39" s="164" t="str">
        <f t="shared" ref="X39:X56" si="109">(V39*7/107)+((V39-(V39*7/107))*1%)</f>
        <v>43.45</v>
      </c>
      <c r="Y39" s="165" t="str">
        <f t="shared" ref="Y39:Y56" si="110">Q39*$C$3*(M39/30)</f>
        <v>0.00</v>
      </c>
      <c r="Z39" s="166">
        <v>0.58</v>
      </c>
      <c r="AA39" s="167" t="str">
        <f t="shared" ref="AA39:AA56" si="111">((_xlfn.CEILING.MATH(Z39)-1)*$C$5+$C$4)</f>
        <v>76</v>
      </c>
      <c r="AB39" s="168" t="str">
        <f t="shared" ref="AB39:AB56" si="112">R39*$AB$6</f>
        <v>255.255</v>
      </c>
      <c r="AC39" s="168" t="str">
        <f t="shared" ref="AC39:AC56" si="113">V39*$AB$7</f>
        <v>20.691</v>
      </c>
      <c r="AD39" s="164" t="str">
        <f t="shared" ref="AD39:AD56" si="114">$AB$3*((100-AE39)/100)</f>
        <v>0.00</v>
      </c>
      <c r="AE39" s="164">
        <v>100.0</v>
      </c>
      <c r="AF39" s="164" t="str">
        <f t="shared" ref="AF39:AF56" si="115">$C$6*$C$7*_xlfn.CEILING.MATH(Z39)</f>
        <v>4.80</v>
      </c>
      <c r="AG39" s="165" t="str">
        <f t="shared" ref="AG39:AG56" si="116">R39*$C$2</f>
        <v>78.54</v>
      </c>
      <c r="AH39" s="23"/>
      <c r="AI39" s="278">
        <v>0.1</v>
      </c>
      <c r="AJ39" s="24" t="str">
        <f t="shared" ref="AJ39:AJ56" si="117">R39-W39-X39-Y39-AA39-AB39-AC39-AD39-AF39-AG39-Q39</f>
        <v>246.66</v>
      </c>
      <c r="AK39" s="279" t="str">
        <f t="shared" ref="AK39:AK56" si="118">AJ39/Q39</f>
        <v>#DIV/0!</v>
      </c>
      <c r="AL39" s="280"/>
      <c r="AM39" s="281" t="str">
        <f t="shared" ref="AM39:AM56" si="119">AJ39*AL39</f>
        <v>0.00</v>
      </c>
      <c r="AN39" s="280"/>
      <c r="AO39" s="282"/>
      <c r="AP39" s="283"/>
      <c r="AQ39" s="283" t="str">
        <f t="shared" ref="AQ39:AQ56" si="120">AN39*AP39</f>
        <v>0.00</v>
      </c>
      <c r="AR39" s="283"/>
      <c r="AS39" s="284"/>
      <c r="AT39" s="285" t="str">
        <f t="shared" si="21"/>
        <v>0.00</v>
      </c>
      <c r="AU39" s="284"/>
      <c r="AV39" s="286"/>
      <c r="AW39" s="285"/>
      <c r="AX39" s="284"/>
      <c r="AY39" s="26"/>
      <c r="AZ39" s="171" t="str">
        <f t="shared" ref="AZ39:AZ56" si="121">$AG$3</f>
        <v>0.00%</v>
      </c>
      <c r="BA39" s="172" t="str">
        <f t="shared" ref="BA39:BA56" si="122">Q39*AZ39</f>
        <v>0.00</v>
      </c>
      <c r="BB39" s="173" t="str">
        <f t="shared" ref="BB39:BB56" si="123">(Q39+W39+Y39+AA39+AD39+AF39+AI39+BA39)/(100%-($C$2+$C$8+$AB$6+$AB$7))</f>
        <v>306.70</v>
      </c>
      <c r="BC39" s="174" t="str">
        <f t="shared" ref="BC39:BC56" si="124">BB39-(BB39*$AG$1)</f>
        <v>217.76</v>
      </c>
    </row>
    <row r="40" ht="12.75" hidden="1" customHeight="1">
      <c r="A40" s="26"/>
      <c r="B40" s="190" t="s">
        <v>124</v>
      </c>
      <c r="C40" s="192">
        <v>2.14301295E8</v>
      </c>
      <c r="D40" s="152" t="s">
        <v>125</v>
      </c>
      <c r="E40" s="53" t="s">
        <v>77</v>
      </c>
      <c r="F40" s="154">
        <v>1.0</v>
      </c>
      <c r="G40" s="53"/>
      <c r="H40" s="53" t="str">
        <f t="shared" si="100"/>
        <v>0.00069</v>
      </c>
      <c r="I40" s="53" t="str">
        <f t="shared" si="101"/>
        <v>89</v>
      </c>
      <c r="J40" s="53" t="str">
        <f t="shared" si="102"/>
        <v>0</v>
      </c>
      <c r="K40" s="155" t="str">
        <f t="shared" si="103"/>
        <v>0.00</v>
      </c>
      <c r="L40" s="156" t="str">
        <f t="shared" si="104"/>
        <v>0.00 </v>
      </c>
      <c r="M40" s="132">
        <v>90.0</v>
      </c>
      <c r="N40" s="157">
        <v>0.0</v>
      </c>
      <c r="O40" s="277">
        <v>0.0</v>
      </c>
      <c r="P40" s="277" t="str">
        <f t="shared" si="105"/>
        <v>#VALUE!</v>
      </c>
      <c r="Q40" s="157">
        <v>0.0</v>
      </c>
      <c r="R40" s="158">
        <v>741.6</v>
      </c>
      <c r="S40" s="159" t="str">
        <f t="shared" si="106"/>
        <v>311.24</v>
      </c>
      <c r="T40" s="160"/>
      <c r="U40" s="161">
        <v>0.26</v>
      </c>
      <c r="V40" s="162" t="str">
        <f t="shared" si="107"/>
        <v>548.78</v>
      </c>
      <c r="W40" s="163" t="str">
        <f t="shared" si="108"/>
        <v>60.00</v>
      </c>
      <c r="X40" s="164" t="str">
        <f t="shared" si="109"/>
        <v>41.03</v>
      </c>
      <c r="Y40" s="165" t="str">
        <f t="shared" si="110"/>
        <v>0.00</v>
      </c>
      <c r="Z40" s="166">
        <v>0.68</v>
      </c>
      <c r="AA40" s="167" t="str">
        <f t="shared" si="111"/>
        <v>76</v>
      </c>
      <c r="AB40" s="168" t="str">
        <f t="shared" si="112"/>
        <v>241.020</v>
      </c>
      <c r="AC40" s="168" t="str">
        <f t="shared" si="113"/>
        <v>19.537</v>
      </c>
      <c r="AD40" s="164" t="str">
        <f t="shared" si="114"/>
        <v>2.09</v>
      </c>
      <c r="AE40" s="164">
        <v>95.83</v>
      </c>
      <c r="AF40" s="164" t="str">
        <f t="shared" si="115"/>
        <v>4.80</v>
      </c>
      <c r="AG40" s="165" t="str">
        <f t="shared" si="116"/>
        <v>74.16</v>
      </c>
      <c r="AH40" s="23"/>
      <c r="AI40" s="278">
        <v>0.1</v>
      </c>
      <c r="AJ40" s="24" t="str">
        <f t="shared" si="117"/>
        <v>222.97</v>
      </c>
      <c r="AK40" s="279" t="str">
        <f t="shared" si="118"/>
        <v>#DIV/0!</v>
      </c>
      <c r="AL40" s="280"/>
      <c r="AM40" s="281" t="str">
        <f t="shared" si="119"/>
        <v>0.00</v>
      </c>
      <c r="AN40" s="280"/>
      <c r="AO40" s="282"/>
      <c r="AP40" s="283"/>
      <c r="AQ40" s="283" t="str">
        <f t="shared" si="120"/>
        <v>0.00</v>
      </c>
      <c r="AR40" s="283"/>
      <c r="AS40" s="284"/>
      <c r="AT40" s="285" t="str">
        <f t="shared" si="21"/>
        <v>0.00</v>
      </c>
      <c r="AU40" s="284"/>
      <c r="AV40" s="286"/>
      <c r="AW40" s="285"/>
      <c r="AX40" s="284"/>
      <c r="AY40" s="26"/>
      <c r="AZ40" s="171" t="str">
        <f t="shared" si="121"/>
        <v>0.00%</v>
      </c>
      <c r="BA40" s="172" t="str">
        <f t="shared" si="122"/>
        <v>0.00</v>
      </c>
      <c r="BB40" s="173" t="str">
        <f t="shared" si="123"/>
        <v>311.24</v>
      </c>
      <c r="BC40" s="174" t="str">
        <f t="shared" si="124"/>
        <v>220.98</v>
      </c>
    </row>
    <row r="41" ht="12.75" hidden="1" customHeight="1">
      <c r="A41" s="26"/>
      <c r="B41" s="190" t="s">
        <v>126</v>
      </c>
      <c r="C41" s="192">
        <v>2.14301375E8</v>
      </c>
      <c r="D41" s="152" t="s">
        <v>127</v>
      </c>
      <c r="E41" s="53" t="s">
        <v>77</v>
      </c>
      <c r="F41" s="154">
        <v>1.0</v>
      </c>
      <c r="G41" s="53"/>
      <c r="H41" s="53" t="str">
        <f t="shared" si="100"/>
        <v>0.00069</v>
      </c>
      <c r="I41" s="53" t="str">
        <f t="shared" si="101"/>
        <v>89</v>
      </c>
      <c r="J41" s="53" t="str">
        <f t="shared" si="102"/>
        <v>0</v>
      </c>
      <c r="K41" s="155" t="str">
        <f t="shared" si="103"/>
        <v>0.00</v>
      </c>
      <c r="L41" s="156" t="str">
        <f t="shared" si="104"/>
        <v>0.00 </v>
      </c>
      <c r="M41" s="132">
        <v>90.0</v>
      </c>
      <c r="N41" s="157">
        <v>0.0</v>
      </c>
      <c r="O41" s="277">
        <v>0.0</v>
      </c>
      <c r="P41" s="277" t="str">
        <f t="shared" si="105"/>
        <v>#VALUE!</v>
      </c>
      <c r="Q41" s="157">
        <v>0.0</v>
      </c>
      <c r="R41" s="158">
        <v>858.9</v>
      </c>
      <c r="S41" s="159" t="str">
        <f t="shared" si="106"/>
        <v>306.70</v>
      </c>
      <c r="T41" s="160"/>
      <c r="U41" s="161">
        <v>0.26</v>
      </c>
      <c r="V41" s="162" t="str">
        <f t="shared" si="107"/>
        <v>635.59</v>
      </c>
      <c r="W41" s="163" t="str">
        <f t="shared" si="108"/>
        <v>60.00</v>
      </c>
      <c r="X41" s="164" t="str">
        <f t="shared" si="109"/>
        <v>47.52</v>
      </c>
      <c r="Y41" s="165" t="str">
        <f t="shared" si="110"/>
        <v>0.00</v>
      </c>
      <c r="Z41" s="166">
        <v>0.68</v>
      </c>
      <c r="AA41" s="167" t="str">
        <f t="shared" si="111"/>
        <v>76</v>
      </c>
      <c r="AB41" s="168" t="str">
        <f t="shared" si="112"/>
        <v>279.143</v>
      </c>
      <c r="AC41" s="168" t="str">
        <f t="shared" si="113"/>
        <v>22.627</v>
      </c>
      <c r="AD41" s="164" t="str">
        <f t="shared" si="114"/>
        <v>0.00</v>
      </c>
      <c r="AE41" s="164">
        <v>100.0</v>
      </c>
      <c r="AF41" s="164" t="str">
        <f t="shared" si="115"/>
        <v>4.80</v>
      </c>
      <c r="AG41" s="165" t="str">
        <f t="shared" si="116"/>
        <v>85.89</v>
      </c>
      <c r="AH41" s="23"/>
      <c r="AI41" s="278">
        <v>0.1</v>
      </c>
      <c r="AJ41" s="24" t="str">
        <f t="shared" si="117"/>
        <v>282.92</v>
      </c>
      <c r="AK41" s="279" t="str">
        <f t="shared" si="118"/>
        <v>#DIV/0!</v>
      </c>
      <c r="AL41" s="280"/>
      <c r="AM41" s="281" t="str">
        <f t="shared" si="119"/>
        <v>0.00</v>
      </c>
      <c r="AN41" s="280"/>
      <c r="AO41" s="282"/>
      <c r="AP41" s="283"/>
      <c r="AQ41" s="283" t="str">
        <f t="shared" si="120"/>
        <v>0.00</v>
      </c>
      <c r="AR41" s="283"/>
      <c r="AS41" s="284"/>
      <c r="AT41" s="285" t="str">
        <f t="shared" si="21"/>
        <v>0.00</v>
      </c>
      <c r="AU41" s="284"/>
      <c r="AV41" s="286"/>
      <c r="AW41" s="285"/>
      <c r="AX41" s="284"/>
      <c r="AY41" s="26"/>
      <c r="AZ41" s="171" t="str">
        <f t="shared" si="121"/>
        <v>0.00%</v>
      </c>
      <c r="BA41" s="172" t="str">
        <f t="shared" si="122"/>
        <v>0.00</v>
      </c>
      <c r="BB41" s="173" t="str">
        <f t="shared" si="123"/>
        <v>306.70</v>
      </c>
      <c r="BC41" s="174" t="str">
        <f t="shared" si="124"/>
        <v>217.76</v>
      </c>
    </row>
    <row r="42" ht="12.75" hidden="1" customHeight="1">
      <c r="A42" s="26"/>
      <c r="B42" s="190" t="s">
        <v>128</v>
      </c>
      <c r="C42" s="192">
        <v>2.14301558E8</v>
      </c>
      <c r="D42" s="152" t="s">
        <v>129</v>
      </c>
      <c r="E42" s="53" t="s">
        <v>77</v>
      </c>
      <c r="F42" s="154">
        <v>1.0</v>
      </c>
      <c r="G42" s="53"/>
      <c r="H42" s="53" t="str">
        <f t="shared" si="100"/>
        <v>0.00069</v>
      </c>
      <c r="I42" s="53" t="str">
        <f t="shared" si="101"/>
        <v>89</v>
      </c>
      <c r="J42" s="53" t="str">
        <f t="shared" si="102"/>
        <v>0</v>
      </c>
      <c r="K42" s="155" t="str">
        <f t="shared" si="103"/>
        <v>0.00</v>
      </c>
      <c r="L42" s="156" t="str">
        <f t="shared" si="104"/>
        <v>0.00 </v>
      </c>
      <c r="M42" s="132">
        <v>90.0</v>
      </c>
      <c r="N42" s="157">
        <v>0.0</v>
      </c>
      <c r="O42" s="277">
        <v>0.0</v>
      </c>
      <c r="P42" s="277" t="str">
        <f t="shared" si="105"/>
        <v>#VALUE!</v>
      </c>
      <c r="Q42" s="157">
        <v>0.0</v>
      </c>
      <c r="R42" s="158">
        <v>757.2</v>
      </c>
      <c r="S42" s="159" t="str">
        <f t="shared" si="106"/>
        <v>306.70</v>
      </c>
      <c r="T42" s="160"/>
      <c r="U42" s="161">
        <v>0.26</v>
      </c>
      <c r="V42" s="162" t="str">
        <f t="shared" si="107"/>
        <v>560.33</v>
      </c>
      <c r="W42" s="163" t="str">
        <f t="shared" si="108"/>
        <v>60.00</v>
      </c>
      <c r="X42" s="164" t="str">
        <f t="shared" si="109"/>
        <v>41.89</v>
      </c>
      <c r="Y42" s="165" t="str">
        <f t="shared" si="110"/>
        <v>0.00</v>
      </c>
      <c r="Z42" s="166">
        <v>0.68</v>
      </c>
      <c r="AA42" s="167" t="str">
        <f t="shared" si="111"/>
        <v>76</v>
      </c>
      <c r="AB42" s="168" t="str">
        <f t="shared" si="112"/>
        <v>246.090</v>
      </c>
      <c r="AC42" s="168" t="str">
        <f t="shared" si="113"/>
        <v>19.948</v>
      </c>
      <c r="AD42" s="164" t="str">
        <f t="shared" si="114"/>
        <v>0.00</v>
      </c>
      <c r="AE42" s="164">
        <v>100.0</v>
      </c>
      <c r="AF42" s="164" t="str">
        <f t="shared" si="115"/>
        <v>4.80</v>
      </c>
      <c r="AG42" s="165" t="str">
        <f t="shared" si="116"/>
        <v>75.72</v>
      </c>
      <c r="AH42" s="23"/>
      <c r="AI42" s="278">
        <v>0.1</v>
      </c>
      <c r="AJ42" s="24" t="str">
        <f t="shared" si="117"/>
        <v>232.75</v>
      </c>
      <c r="AK42" s="279" t="str">
        <f t="shared" si="118"/>
        <v>#DIV/0!</v>
      </c>
      <c r="AL42" s="280"/>
      <c r="AM42" s="281" t="str">
        <f t="shared" si="119"/>
        <v>0.00</v>
      </c>
      <c r="AN42" s="280"/>
      <c r="AO42" s="282"/>
      <c r="AP42" s="283"/>
      <c r="AQ42" s="283" t="str">
        <f t="shared" si="120"/>
        <v>0.00</v>
      </c>
      <c r="AR42" s="283"/>
      <c r="AS42" s="284"/>
      <c r="AT42" s="285" t="str">
        <f t="shared" si="21"/>
        <v>0.00</v>
      </c>
      <c r="AU42" s="284"/>
      <c r="AV42" s="286"/>
      <c r="AW42" s="285"/>
      <c r="AX42" s="284"/>
      <c r="AY42" s="26"/>
      <c r="AZ42" s="171" t="str">
        <f t="shared" si="121"/>
        <v>0.00%</v>
      </c>
      <c r="BA42" s="172" t="str">
        <f t="shared" si="122"/>
        <v>0.00</v>
      </c>
      <c r="BB42" s="173" t="str">
        <f t="shared" si="123"/>
        <v>306.70</v>
      </c>
      <c r="BC42" s="174" t="str">
        <f t="shared" si="124"/>
        <v>217.76</v>
      </c>
    </row>
    <row r="43" ht="12.75" hidden="1" customHeight="1">
      <c r="A43" s="26"/>
      <c r="B43" s="190" t="s">
        <v>130</v>
      </c>
      <c r="C43" s="192">
        <v>2.14301677E8</v>
      </c>
      <c r="D43" s="152" t="s">
        <v>131</v>
      </c>
      <c r="E43" s="53" t="s">
        <v>77</v>
      </c>
      <c r="F43" s="154">
        <v>1.0</v>
      </c>
      <c r="G43" s="53"/>
      <c r="H43" s="53" t="str">
        <f t="shared" si="100"/>
        <v>0.00069</v>
      </c>
      <c r="I43" s="53" t="str">
        <f t="shared" si="101"/>
        <v>89</v>
      </c>
      <c r="J43" s="53" t="str">
        <f t="shared" si="102"/>
        <v>0</v>
      </c>
      <c r="K43" s="155" t="str">
        <f t="shared" si="103"/>
        <v>0.00</v>
      </c>
      <c r="L43" s="156" t="str">
        <f t="shared" si="104"/>
        <v>0.00 </v>
      </c>
      <c r="M43" s="132">
        <v>90.0</v>
      </c>
      <c r="N43" s="157">
        <v>0.0</v>
      </c>
      <c r="O43" s="277">
        <v>0.0</v>
      </c>
      <c r="P43" s="277" t="str">
        <f t="shared" si="105"/>
        <v>#VALUE!</v>
      </c>
      <c r="Q43" s="157">
        <v>0.0</v>
      </c>
      <c r="R43" s="158">
        <v>580.2</v>
      </c>
      <c r="S43" s="159" t="str">
        <f t="shared" si="106"/>
        <v>361.23</v>
      </c>
      <c r="T43" s="160"/>
      <c r="U43" s="161">
        <v>0.26</v>
      </c>
      <c r="V43" s="162" t="str">
        <f t="shared" si="107"/>
        <v>429.35</v>
      </c>
      <c r="W43" s="163" t="str">
        <f t="shared" si="108"/>
        <v>60.00</v>
      </c>
      <c r="X43" s="164" t="str">
        <f t="shared" si="109"/>
        <v>32.10</v>
      </c>
      <c r="Y43" s="165" t="str">
        <f t="shared" si="110"/>
        <v>0.00</v>
      </c>
      <c r="Z43" s="166">
        <v>1.06</v>
      </c>
      <c r="AA43" s="167" t="str">
        <f t="shared" si="111"/>
        <v>95</v>
      </c>
      <c r="AB43" s="168" t="str">
        <f t="shared" si="112"/>
        <v>188.565</v>
      </c>
      <c r="AC43" s="168" t="str">
        <f t="shared" si="113"/>
        <v>15.285</v>
      </c>
      <c r="AD43" s="164" t="str">
        <f t="shared" si="114"/>
        <v>1.25</v>
      </c>
      <c r="AE43" s="164">
        <v>97.5</v>
      </c>
      <c r="AF43" s="164" t="str">
        <f t="shared" si="115"/>
        <v>9.60</v>
      </c>
      <c r="AG43" s="165" t="str">
        <f t="shared" si="116"/>
        <v>58.02</v>
      </c>
      <c r="AH43" s="23"/>
      <c r="AI43" s="278">
        <v>0.1</v>
      </c>
      <c r="AJ43" s="24" t="str">
        <f t="shared" si="117"/>
        <v>120.38</v>
      </c>
      <c r="AK43" s="279" t="str">
        <f t="shared" si="118"/>
        <v>#DIV/0!</v>
      </c>
      <c r="AL43" s="280"/>
      <c r="AM43" s="281" t="str">
        <f t="shared" si="119"/>
        <v>0.00</v>
      </c>
      <c r="AN43" s="280"/>
      <c r="AO43" s="282"/>
      <c r="AP43" s="283"/>
      <c r="AQ43" s="283" t="str">
        <f t="shared" si="120"/>
        <v>0.00</v>
      </c>
      <c r="AR43" s="283"/>
      <c r="AS43" s="284"/>
      <c r="AT43" s="285" t="str">
        <f t="shared" si="21"/>
        <v>0.00</v>
      </c>
      <c r="AU43" s="284"/>
      <c r="AV43" s="286"/>
      <c r="AW43" s="285"/>
      <c r="AX43" s="284"/>
      <c r="AY43" s="26"/>
      <c r="AZ43" s="171" t="str">
        <f t="shared" si="121"/>
        <v>0.00%</v>
      </c>
      <c r="BA43" s="172" t="str">
        <f t="shared" si="122"/>
        <v>0.00</v>
      </c>
      <c r="BB43" s="173" t="str">
        <f t="shared" si="123"/>
        <v>361.23</v>
      </c>
      <c r="BC43" s="174" t="str">
        <f t="shared" si="124"/>
        <v>256.47</v>
      </c>
    </row>
    <row r="44" ht="12.75" hidden="1" customHeight="1">
      <c r="A44" s="26"/>
      <c r="B44" s="190" t="s">
        <v>132</v>
      </c>
      <c r="C44" s="192">
        <v>2.14301939E8</v>
      </c>
      <c r="D44" s="152" t="s">
        <v>133</v>
      </c>
      <c r="E44" s="53" t="s">
        <v>77</v>
      </c>
      <c r="F44" s="154">
        <v>1.0</v>
      </c>
      <c r="G44" s="53"/>
      <c r="H44" s="53" t="str">
        <f t="shared" si="100"/>
        <v>0.00069</v>
      </c>
      <c r="I44" s="53" t="str">
        <f t="shared" si="101"/>
        <v>89</v>
      </c>
      <c r="J44" s="53" t="str">
        <f t="shared" si="102"/>
        <v>0</v>
      </c>
      <c r="K44" s="155" t="str">
        <f t="shared" si="103"/>
        <v>0.00</v>
      </c>
      <c r="L44" s="156" t="str">
        <f t="shared" si="104"/>
        <v>0.00 </v>
      </c>
      <c r="M44" s="132">
        <v>90.0</v>
      </c>
      <c r="N44" s="157">
        <v>0.0</v>
      </c>
      <c r="O44" s="277">
        <v>0.0</v>
      </c>
      <c r="P44" s="277" t="str">
        <f t="shared" si="105"/>
        <v>#VALUE!</v>
      </c>
      <c r="Q44" s="157">
        <v>0.0</v>
      </c>
      <c r="R44" s="158">
        <v>580.2</v>
      </c>
      <c r="S44" s="159" t="str">
        <f t="shared" si="106"/>
        <v>358.51</v>
      </c>
      <c r="T44" s="160"/>
      <c r="U44" s="161">
        <v>0.26</v>
      </c>
      <c r="V44" s="162" t="str">
        <f t="shared" si="107"/>
        <v>429.35</v>
      </c>
      <c r="W44" s="163" t="str">
        <f t="shared" si="108"/>
        <v>60.00</v>
      </c>
      <c r="X44" s="164" t="str">
        <f t="shared" si="109"/>
        <v>32.10</v>
      </c>
      <c r="Y44" s="165" t="str">
        <f t="shared" si="110"/>
        <v>0.00</v>
      </c>
      <c r="Z44" s="166">
        <v>1.06</v>
      </c>
      <c r="AA44" s="167" t="str">
        <f t="shared" si="111"/>
        <v>95</v>
      </c>
      <c r="AB44" s="168" t="str">
        <f t="shared" si="112"/>
        <v>188.565</v>
      </c>
      <c r="AC44" s="168" t="str">
        <f t="shared" si="113"/>
        <v>15.285</v>
      </c>
      <c r="AD44" s="164" t="str">
        <f t="shared" si="114"/>
        <v>0.00</v>
      </c>
      <c r="AE44" s="164">
        <v>100.0</v>
      </c>
      <c r="AF44" s="164" t="str">
        <f t="shared" si="115"/>
        <v>9.60</v>
      </c>
      <c r="AG44" s="165" t="str">
        <f t="shared" si="116"/>
        <v>58.02</v>
      </c>
      <c r="AH44" s="23"/>
      <c r="AI44" s="278">
        <v>0.1</v>
      </c>
      <c r="AJ44" s="24" t="str">
        <f t="shared" si="117"/>
        <v>121.63</v>
      </c>
      <c r="AK44" s="279" t="str">
        <f t="shared" si="118"/>
        <v>#DIV/0!</v>
      </c>
      <c r="AL44" s="280"/>
      <c r="AM44" s="281" t="str">
        <f t="shared" si="119"/>
        <v>0.00</v>
      </c>
      <c r="AN44" s="280"/>
      <c r="AO44" s="282"/>
      <c r="AP44" s="283"/>
      <c r="AQ44" s="283" t="str">
        <f t="shared" si="120"/>
        <v>0.00</v>
      </c>
      <c r="AR44" s="283"/>
      <c r="AS44" s="284"/>
      <c r="AT44" s="285" t="str">
        <f t="shared" si="21"/>
        <v>0.00</v>
      </c>
      <c r="AU44" s="284"/>
      <c r="AV44" s="286"/>
      <c r="AW44" s="285"/>
      <c r="AX44" s="284"/>
      <c r="AY44" s="26"/>
      <c r="AZ44" s="171" t="str">
        <f t="shared" si="121"/>
        <v>0.00%</v>
      </c>
      <c r="BA44" s="172" t="str">
        <f t="shared" si="122"/>
        <v>0.00</v>
      </c>
      <c r="BB44" s="173" t="str">
        <f t="shared" si="123"/>
        <v>358.51</v>
      </c>
      <c r="BC44" s="174" t="str">
        <f t="shared" si="124"/>
        <v>254.54</v>
      </c>
    </row>
    <row r="45" ht="12.75" hidden="1" customHeight="1">
      <c r="A45" s="26"/>
      <c r="B45" s="190" t="s">
        <v>134</v>
      </c>
      <c r="C45" s="192">
        <v>2.14302044E8</v>
      </c>
      <c r="D45" s="152" t="s">
        <v>135</v>
      </c>
      <c r="E45" s="53" t="s">
        <v>77</v>
      </c>
      <c r="F45" s="154">
        <v>1.0</v>
      </c>
      <c r="G45" s="53"/>
      <c r="H45" s="53" t="str">
        <f t="shared" si="100"/>
        <v>0.00069</v>
      </c>
      <c r="I45" s="53" t="str">
        <f t="shared" si="101"/>
        <v>89</v>
      </c>
      <c r="J45" s="53" t="str">
        <f t="shared" si="102"/>
        <v>0</v>
      </c>
      <c r="K45" s="155" t="str">
        <f t="shared" si="103"/>
        <v>0.00</v>
      </c>
      <c r="L45" s="156" t="str">
        <f t="shared" si="104"/>
        <v>0.00 </v>
      </c>
      <c r="M45" s="132">
        <v>90.0</v>
      </c>
      <c r="N45" s="157">
        <v>0.0</v>
      </c>
      <c r="O45" s="277">
        <v>0.0</v>
      </c>
      <c r="P45" s="277" t="str">
        <f t="shared" si="105"/>
        <v>#VALUE!</v>
      </c>
      <c r="Q45" s="157">
        <v>0.0</v>
      </c>
      <c r="R45" s="158">
        <v>580.2</v>
      </c>
      <c r="S45" s="159" t="str">
        <f t="shared" si="106"/>
        <v>358.51</v>
      </c>
      <c r="T45" s="160"/>
      <c r="U45" s="161">
        <v>0.26</v>
      </c>
      <c r="V45" s="162" t="str">
        <f t="shared" si="107"/>
        <v>429.35</v>
      </c>
      <c r="W45" s="163" t="str">
        <f t="shared" si="108"/>
        <v>60.00</v>
      </c>
      <c r="X45" s="164" t="str">
        <f t="shared" si="109"/>
        <v>32.10</v>
      </c>
      <c r="Y45" s="165" t="str">
        <f t="shared" si="110"/>
        <v>0.00</v>
      </c>
      <c r="Z45" s="166">
        <v>1.06</v>
      </c>
      <c r="AA45" s="167" t="str">
        <f t="shared" si="111"/>
        <v>95</v>
      </c>
      <c r="AB45" s="168" t="str">
        <f t="shared" si="112"/>
        <v>188.565</v>
      </c>
      <c r="AC45" s="168" t="str">
        <f t="shared" si="113"/>
        <v>15.285</v>
      </c>
      <c r="AD45" s="164" t="str">
        <f t="shared" si="114"/>
        <v>0.00</v>
      </c>
      <c r="AE45" s="164">
        <v>100.0</v>
      </c>
      <c r="AF45" s="164" t="str">
        <f t="shared" si="115"/>
        <v>9.60</v>
      </c>
      <c r="AG45" s="165" t="str">
        <f t="shared" si="116"/>
        <v>58.02</v>
      </c>
      <c r="AH45" s="23"/>
      <c r="AI45" s="278">
        <v>0.1</v>
      </c>
      <c r="AJ45" s="24" t="str">
        <f t="shared" si="117"/>
        <v>121.63</v>
      </c>
      <c r="AK45" s="279" t="str">
        <f t="shared" si="118"/>
        <v>#DIV/0!</v>
      </c>
      <c r="AL45" s="280"/>
      <c r="AM45" s="281" t="str">
        <f t="shared" si="119"/>
        <v>0.00</v>
      </c>
      <c r="AN45" s="280"/>
      <c r="AO45" s="282"/>
      <c r="AP45" s="283"/>
      <c r="AQ45" s="283" t="str">
        <f t="shared" si="120"/>
        <v>0.00</v>
      </c>
      <c r="AR45" s="283"/>
      <c r="AS45" s="284"/>
      <c r="AT45" s="285" t="str">
        <f t="shared" si="21"/>
        <v>0.00</v>
      </c>
      <c r="AU45" s="284"/>
      <c r="AV45" s="286"/>
      <c r="AW45" s="285"/>
      <c r="AX45" s="284"/>
      <c r="AY45" s="26"/>
      <c r="AZ45" s="171" t="str">
        <f t="shared" si="121"/>
        <v>0.00%</v>
      </c>
      <c r="BA45" s="172" t="str">
        <f t="shared" si="122"/>
        <v>0.00</v>
      </c>
      <c r="BB45" s="173" t="str">
        <f t="shared" si="123"/>
        <v>358.51</v>
      </c>
      <c r="BC45" s="174" t="str">
        <f t="shared" si="124"/>
        <v>254.54</v>
      </c>
    </row>
    <row r="46" ht="12.75" hidden="1" customHeight="1">
      <c r="A46" s="26"/>
      <c r="B46" s="190" t="s">
        <v>136</v>
      </c>
      <c r="C46" s="192">
        <v>2.14303837E8</v>
      </c>
      <c r="D46" s="152" t="s">
        <v>137</v>
      </c>
      <c r="E46" s="53" t="s">
        <v>77</v>
      </c>
      <c r="F46" s="154">
        <v>1.0</v>
      </c>
      <c r="G46" s="53"/>
      <c r="H46" s="53" t="str">
        <f t="shared" si="100"/>
        <v>0.00069</v>
      </c>
      <c r="I46" s="53" t="str">
        <f t="shared" si="101"/>
        <v>89</v>
      </c>
      <c r="J46" s="53" t="str">
        <f t="shared" si="102"/>
        <v>0</v>
      </c>
      <c r="K46" s="155" t="str">
        <f t="shared" si="103"/>
        <v>0.00</v>
      </c>
      <c r="L46" s="156" t="str">
        <f t="shared" si="104"/>
        <v>0.00 </v>
      </c>
      <c r="M46" s="132">
        <v>90.0</v>
      </c>
      <c r="N46" s="157">
        <v>0.0</v>
      </c>
      <c r="O46" s="277">
        <v>0.0</v>
      </c>
      <c r="P46" s="277" t="str">
        <f t="shared" si="105"/>
        <v>#VALUE!</v>
      </c>
      <c r="Q46" s="157">
        <v>0.0</v>
      </c>
      <c r="R46" s="158">
        <v>536.1</v>
      </c>
      <c r="S46" s="159" t="str">
        <f t="shared" si="106"/>
        <v>306.70</v>
      </c>
      <c r="T46" s="160"/>
      <c r="U46" s="161">
        <v>0.26</v>
      </c>
      <c r="V46" s="162" t="str">
        <f t="shared" si="107"/>
        <v>396.71</v>
      </c>
      <c r="W46" s="163" t="str">
        <f t="shared" si="108"/>
        <v>60.00</v>
      </c>
      <c r="X46" s="164" t="str">
        <f t="shared" si="109"/>
        <v>29.66</v>
      </c>
      <c r="Y46" s="165" t="str">
        <f t="shared" si="110"/>
        <v>0.00</v>
      </c>
      <c r="Z46" s="166">
        <v>0.88</v>
      </c>
      <c r="AA46" s="167" t="str">
        <f t="shared" si="111"/>
        <v>76</v>
      </c>
      <c r="AB46" s="168" t="str">
        <f t="shared" si="112"/>
        <v>174.233</v>
      </c>
      <c r="AC46" s="168" t="str">
        <f t="shared" si="113"/>
        <v>14.123</v>
      </c>
      <c r="AD46" s="164" t="str">
        <f t="shared" si="114"/>
        <v>0.00</v>
      </c>
      <c r="AE46" s="164">
        <v>100.0</v>
      </c>
      <c r="AF46" s="164" t="str">
        <f t="shared" si="115"/>
        <v>4.80</v>
      </c>
      <c r="AG46" s="165" t="str">
        <f t="shared" si="116"/>
        <v>53.61</v>
      </c>
      <c r="AH46" s="23"/>
      <c r="AI46" s="278">
        <v>0.1</v>
      </c>
      <c r="AJ46" s="24" t="str">
        <f t="shared" si="117"/>
        <v>123.67</v>
      </c>
      <c r="AK46" s="279" t="str">
        <f t="shared" si="118"/>
        <v>#DIV/0!</v>
      </c>
      <c r="AL46" s="280"/>
      <c r="AM46" s="281" t="str">
        <f t="shared" si="119"/>
        <v>0.00</v>
      </c>
      <c r="AN46" s="280"/>
      <c r="AO46" s="282"/>
      <c r="AP46" s="283"/>
      <c r="AQ46" s="283" t="str">
        <f t="shared" si="120"/>
        <v>0.00</v>
      </c>
      <c r="AR46" s="283"/>
      <c r="AS46" s="284"/>
      <c r="AT46" s="285" t="str">
        <f t="shared" si="21"/>
        <v>0.00</v>
      </c>
      <c r="AU46" s="284"/>
      <c r="AV46" s="286"/>
      <c r="AW46" s="285"/>
      <c r="AX46" s="284"/>
      <c r="AY46" s="26"/>
      <c r="AZ46" s="171" t="str">
        <f t="shared" si="121"/>
        <v>0.00%</v>
      </c>
      <c r="BA46" s="172" t="str">
        <f t="shared" si="122"/>
        <v>0.00</v>
      </c>
      <c r="BB46" s="173" t="str">
        <f t="shared" si="123"/>
        <v>306.70</v>
      </c>
      <c r="BC46" s="174" t="str">
        <f t="shared" si="124"/>
        <v>217.76</v>
      </c>
    </row>
    <row r="47" ht="12.75" hidden="1" customHeight="1">
      <c r="A47" s="26"/>
      <c r="B47" s="190" t="s">
        <v>138</v>
      </c>
      <c r="C47" s="192">
        <v>2.14303875E8</v>
      </c>
      <c r="D47" s="152" t="s">
        <v>139</v>
      </c>
      <c r="E47" s="53" t="s">
        <v>77</v>
      </c>
      <c r="F47" s="154">
        <v>1.0</v>
      </c>
      <c r="G47" s="53"/>
      <c r="H47" s="53" t="str">
        <f t="shared" si="100"/>
        <v>0.00069</v>
      </c>
      <c r="I47" s="53" t="str">
        <f t="shared" si="101"/>
        <v>89</v>
      </c>
      <c r="J47" s="53" t="str">
        <f t="shared" si="102"/>
        <v>0</v>
      </c>
      <c r="K47" s="155" t="str">
        <f t="shared" si="103"/>
        <v>0.00</v>
      </c>
      <c r="L47" s="156" t="str">
        <f t="shared" si="104"/>
        <v>0.00 </v>
      </c>
      <c r="M47" s="132">
        <v>90.0</v>
      </c>
      <c r="N47" s="157">
        <v>0.0</v>
      </c>
      <c r="O47" s="277">
        <v>0.0</v>
      </c>
      <c r="P47" s="277" t="str">
        <f t="shared" si="105"/>
        <v>#VALUE!</v>
      </c>
      <c r="Q47" s="157">
        <v>0.0</v>
      </c>
      <c r="R47" s="158">
        <v>580.2</v>
      </c>
      <c r="S47" s="159" t="str">
        <f t="shared" si="106"/>
        <v>361.17</v>
      </c>
      <c r="T47" s="160"/>
      <c r="U47" s="161">
        <v>0.26</v>
      </c>
      <c r="V47" s="162" t="str">
        <f t="shared" si="107"/>
        <v>429.35</v>
      </c>
      <c r="W47" s="163" t="str">
        <f t="shared" si="108"/>
        <v>60.00</v>
      </c>
      <c r="X47" s="164" t="str">
        <f t="shared" si="109"/>
        <v>32.10</v>
      </c>
      <c r="Y47" s="165" t="str">
        <f t="shared" si="110"/>
        <v>0.00</v>
      </c>
      <c r="Z47" s="166">
        <v>1.06</v>
      </c>
      <c r="AA47" s="167" t="str">
        <f t="shared" si="111"/>
        <v>95</v>
      </c>
      <c r="AB47" s="168" t="str">
        <f t="shared" si="112"/>
        <v>188.565</v>
      </c>
      <c r="AC47" s="168" t="str">
        <f t="shared" si="113"/>
        <v>15.285</v>
      </c>
      <c r="AD47" s="164" t="str">
        <f t="shared" si="114"/>
        <v>1.22</v>
      </c>
      <c r="AE47" s="164">
        <v>97.56</v>
      </c>
      <c r="AF47" s="164" t="str">
        <f t="shared" si="115"/>
        <v>9.60</v>
      </c>
      <c r="AG47" s="165" t="str">
        <f t="shared" si="116"/>
        <v>58.02</v>
      </c>
      <c r="AH47" s="23"/>
      <c r="AI47" s="278">
        <v>0.1</v>
      </c>
      <c r="AJ47" s="24" t="str">
        <f t="shared" si="117"/>
        <v>120.41</v>
      </c>
      <c r="AK47" s="279" t="str">
        <f t="shared" si="118"/>
        <v>#DIV/0!</v>
      </c>
      <c r="AL47" s="280"/>
      <c r="AM47" s="281" t="str">
        <f t="shared" si="119"/>
        <v>0.00</v>
      </c>
      <c r="AN47" s="280"/>
      <c r="AO47" s="282"/>
      <c r="AP47" s="283"/>
      <c r="AQ47" s="283" t="str">
        <f t="shared" si="120"/>
        <v>0.00</v>
      </c>
      <c r="AR47" s="283"/>
      <c r="AS47" s="284"/>
      <c r="AT47" s="285" t="str">
        <f t="shared" si="21"/>
        <v>0.00</v>
      </c>
      <c r="AU47" s="284"/>
      <c r="AV47" s="286"/>
      <c r="AW47" s="285"/>
      <c r="AX47" s="284"/>
      <c r="AY47" s="26"/>
      <c r="AZ47" s="171" t="str">
        <f t="shared" si="121"/>
        <v>0.00%</v>
      </c>
      <c r="BA47" s="172" t="str">
        <f t="shared" si="122"/>
        <v>0.00</v>
      </c>
      <c r="BB47" s="173" t="str">
        <f t="shared" si="123"/>
        <v>361.17</v>
      </c>
      <c r="BC47" s="174" t="str">
        <f t="shared" si="124"/>
        <v>256.43</v>
      </c>
    </row>
    <row r="48" ht="12.75" hidden="1" customHeight="1">
      <c r="A48" s="26"/>
      <c r="B48" s="190" t="s">
        <v>140</v>
      </c>
      <c r="C48" s="192">
        <v>2.14303928E8</v>
      </c>
      <c r="D48" s="152" t="s">
        <v>141</v>
      </c>
      <c r="E48" s="53" t="s">
        <v>77</v>
      </c>
      <c r="F48" s="154">
        <v>1.0</v>
      </c>
      <c r="G48" s="53"/>
      <c r="H48" s="53" t="str">
        <f t="shared" si="100"/>
        <v>0.00069</v>
      </c>
      <c r="I48" s="53" t="str">
        <f t="shared" si="101"/>
        <v>89</v>
      </c>
      <c r="J48" s="53" t="str">
        <f t="shared" si="102"/>
        <v>0</v>
      </c>
      <c r="K48" s="155" t="str">
        <f t="shared" si="103"/>
        <v>0.00</v>
      </c>
      <c r="L48" s="156" t="str">
        <f t="shared" si="104"/>
        <v>0.00 </v>
      </c>
      <c r="M48" s="132">
        <v>90.0</v>
      </c>
      <c r="N48" s="157">
        <v>0.0</v>
      </c>
      <c r="O48" s="277">
        <v>0.0</v>
      </c>
      <c r="P48" s="277" t="str">
        <f t="shared" si="105"/>
        <v>#VALUE!</v>
      </c>
      <c r="Q48" s="157">
        <v>0.0</v>
      </c>
      <c r="R48" s="158">
        <v>580.2</v>
      </c>
      <c r="S48" s="159" t="str">
        <f t="shared" si="106"/>
        <v>362.44</v>
      </c>
      <c r="T48" s="160"/>
      <c r="U48" s="161">
        <v>0.26</v>
      </c>
      <c r="V48" s="162" t="str">
        <f t="shared" si="107"/>
        <v>429.35</v>
      </c>
      <c r="W48" s="163" t="str">
        <f t="shared" si="108"/>
        <v>60.00</v>
      </c>
      <c r="X48" s="164" t="str">
        <f t="shared" si="109"/>
        <v>32.10</v>
      </c>
      <c r="Y48" s="165" t="str">
        <f t="shared" si="110"/>
        <v>0.00</v>
      </c>
      <c r="Z48" s="166">
        <v>1.06</v>
      </c>
      <c r="AA48" s="167" t="str">
        <f t="shared" si="111"/>
        <v>95</v>
      </c>
      <c r="AB48" s="168" t="str">
        <f t="shared" si="112"/>
        <v>188.565</v>
      </c>
      <c r="AC48" s="168" t="str">
        <f t="shared" si="113"/>
        <v>15.285</v>
      </c>
      <c r="AD48" s="164" t="str">
        <f t="shared" si="114"/>
        <v>1.81</v>
      </c>
      <c r="AE48" s="164">
        <v>96.39</v>
      </c>
      <c r="AF48" s="164" t="str">
        <f t="shared" si="115"/>
        <v>9.60</v>
      </c>
      <c r="AG48" s="165" t="str">
        <f t="shared" si="116"/>
        <v>58.02</v>
      </c>
      <c r="AH48" s="23"/>
      <c r="AI48" s="278">
        <v>0.1</v>
      </c>
      <c r="AJ48" s="24" t="str">
        <f t="shared" si="117"/>
        <v>119.82</v>
      </c>
      <c r="AK48" s="279" t="str">
        <f t="shared" si="118"/>
        <v>#DIV/0!</v>
      </c>
      <c r="AL48" s="280"/>
      <c r="AM48" s="281" t="str">
        <f t="shared" si="119"/>
        <v>0.00</v>
      </c>
      <c r="AN48" s="280"/>
      <c r="AO48" s="282"/>
      <c r="AP48" s="283"/>
      <c r="AQ48" s="283" t="str">
        <f t="shared" si="120"/>
        <v>0.00</v>
      </c>
      <c r="AR48" s="283"/>
      <c r="AS48" s="284"/>
      <c r="AT48" s="285" t="str">
        <f t="shared" si="21"/>
        <v>0.00</v>
      </c>
      <c r="AU48" s="284"/>
      <c r="AV48" s="286"/>
      <c r="AW48" s="285"/>
      <c r="AX48" s="284"/>
      <c r="AY48" s="26"/>
      <c r="AZ48" s="171" t="str">
        <f t="shared" si="121"/>
        <v>0.00%</v>
      </c>
      <c r="BA48" s="172" t="str">
        <f t="shared" si="122"/>
        <v>0.00</v>
      </c>
      <c r="BB48" s="173" t="str">
        <f t="shared" si="123"/>
        <v>362.44</v>
      </c>
      <c r="BC48" s="174" t="str">
        <f t="shared" si="124"/>
        <v>257.33</v>
      </c>
    </row>
    <row r="49" ht="12.75" hidden="1" customHeight="1">
      <c r="A49" s="26"/>
      <c r="B49" s="190" t="s">
        <v>142</v>
      </c>
      <c r="C49" s="192">
        <v>2.14305484E8</v>
      </c>
      <c r="D49" s="152" t="s">
        <v>143</v>
      </c>
      <c r="E49" s="53" t="s">
        <v>77</v>
      </c>
      <c r="F49" s="154">
        <v>1.0</v>
      </c>
      <c r="G49" s="53"/>
      <c r="H49" s="53" t="str">
        <f t="shared" si="100"/>
        <v>0.00069</v>
      </c>
      <c r="I49" s="53" t="str">
        <f t="shared" si="101"/>
        <v>89</v>
      </c>
      <c r="J49" s="53" t="str">
        <f t="shared" si="102"/>
        <v>0</v>
      </c>
      <c r="K49" s="155" t="str">
        <f t="shared" si="103"/>
        <v>0.00</v>
      </c>
      <c r="L49" s="156" t="str">
        <f t="shared" si="104"/>
        <v>0.00 </v>
      </c>
      <c r="M49" s="132">
        <v>90.0</v>
      </c>
      <c r="N49" s="157">
        <v>0.0</v>
      </c>
      <c r="O49" s="277">
        <v>0.0</v>
      </c>
      <c r="P49" s="277" t="str">
        <f t="shared" si="105"/>
        <v>#VALUE!</v>
      </c>
      <c r="Q49" s="157">
        <v>0.0</v>
      </c>
      <c r="R49" s="158">
        <v>727.5</v>
      </c>
      <c r="S49" s="159" t="str">
        <f t="shared" si="106"/>
        <v>306.70</v>
      </c>
      <c r="T49" s="160"/>
      <c r="U49" s="161">
        <v>0.26</v>
      </c>
      <c r="V49" s="162" t="str">
        <f t="shared" si="107"/>
        <v>538.35</v>
      </c>
      <c r="W49" s="163" t="str">
        <f t="shared" si="108"/>
        <v>60.00</v>
      </c>
      <c r="X49" s="164" t="str">
        <f t="shared" si="109"/>
        <v>40.25</v>
      </c>
      <c r="Y49" s="165" t="str">
        <f t="shared" si="110"/>
        <v>0.00</v>
      </c>
      <c r="Z49" s="166">
        <v>0.65</v>
      </c>
      <c r="AA49" s="167" t="str">
        <f t="shared" si="111"/>
        <v>76</v>
      </c>
      <c r="AB49" s="168" t="str">
        <f t="shared" si="112"/>
        <v>236.438</v>
      </c>
      <c r="AC49" s="168" t="str">
        <f t="shared" si="113"/>
        <v>19.165</v>
      </c>
      <c r="AD49" s="164" t="str">
        <f t="shared" si="114"/>
        <v>0.00</v>
      </c>
      <c r="AE49" s="164">
        <v>100.0</v>
      </c>
      <c r="AF49" s="164" t="str">
        <f t="shared" si="115"/>
        <v>4.80</v>
      </c>
      <c r="AG49" s="165" t="str">
        <f t="shared" si="116"/>
        <v>72.75</v>
      </c>
      <c r="AH49" s="23"/>
      <c r="AI49" s="278">
        <v>0.1</v>
      </c>
      <c r="AJ49" s="24" t="str">
        <f t="shared" si="117"/>
        <v>218.10</v>
      </c>
      <c r="AK49" s="279" t="str">
        <f t="shared" si="118"/>
        <v>#DIV/0!</v>
      </c>
      <c r="AL49" s="280"/>
      <c r="AM49" s="281" t="str">
        <f t="shared" si="119"/>
        <v>0.00</v>
      </c>
      <c r="AN49" s="280"/>
      <c r="AO49" s="282"/>
      <c r="AP49" s="283"/>
      <c r="AQ49" s="283" t="str">
        <f t="shared" si="120"/>
        <v>0.00</v>
      </c>
      <c r="AR49" s="283"/>
      <c r="AS49" s="284"/>
      <c r="AT49" s="285" t="str">
        <f t="shared" si="21"/>
        <v>0.00</v>
      </c>
      <c r="AU49" s="284"/>
      <c r="AV49" s="286"/>
      <c r="AW49" s="285"/>
      <c r="AX49" s="284"/>
      <c r="AY49" s="26"/>
      <c r="AZ49" s="171" t="str">
        <f t="shared" si="121"/>
        <v>0.00%</v>
      </c>
      <c r="BA49" s="172" t="str">
        <f t="shared" si="122"/>
        <v>0.00</v>
      </c>
      <c r="BB49" s="173" t="str">
        <f t="shared" si="123"/>
        <v>306.70</v>
      </c>
      <c r="BC49" s="174" t="str">
        <f t="shared" si="124"/>
        <v>217.76</v>
      </c>
    </row>
    <row r="50" ht="12.75" hidden="1" customHeight="1">
      <c r="A50" s="26"/>
      <c r="B50" s="190" t="s">
        <v>144</v>
      </c>
      <c r="C50" s="192">
        <v>2.14304289E8</v>
      </c>
      <c r="D50" s="152" t="s">
        <v>145</v>
      </c>
      <c r="E50" s="53" t="s">
        <v>77</v>
      </c>
      <c r="F50" s="154">
        <v>1.0</v>
      </c>
      <c r="G50" s="53"/>
      <c r="H50" s="53" t="str">
        <f t="shared" si="100"/>
        <v>0.00069</v>
      </c>
      <c r="I50" s="53" t="str">
        <f t="shared" si="101"/>
        <v>89</v>
      </c>
      <c r="J50" s="53" t="str">
        <f t="shared" si="102"/>
        <v>0</v>
      </c>
      <c r="K50" s="155" t="str">
        <f t="shared" si="103"/>
        <v>0.00</v>
      </c>
      <c r="L50" s="156" t="str">
        <f t="shared" si="104"/>
        <v>0.00 </v>
      </c>
      <c r="M50" s="132">
        <v>90.0</v>
      </c>
      <c r="N50" s="157">
        <v>0.0</v>
      </c>
      <c r="O50" s="277">
        <v>0.0</v>
      </c>
      <c r="P50" s="277" t="str">
        <f t="shared" si="105"/>
        <v>#VALUE!</v>
      </c>
      <c r="Q50" s="157">
        <v>0.0</v>
      </c>
      <c r="R50" s="158">
        <v>741.6</v>
      </c>
      <c r="S50" s="159" t="str">
        <f t="shared" si="106"/>
        <v>331.82</v>
      </c>
      <c r="T50" s="160"/>
      <c r="U50" s="161">
        <v>0.26</v>
      </c>
      <c r="V50" s="162" t="str">
        <f t="shared" si="107"/>
        <v>548.78</v>
      </c>
      <c r="W50" s="163" t="str">
        <f t="shared" si="108"/>
        <v>60.00</v>
      </c>
      <c r="X50" s="164" t="str">
        <f t="shared" si="109"/>
        <v>41.03</v>
      </c>
      <c r="Y50" s="165" t="str">
        <f t="shared" si="110"/>
        <v>0.00</v>
      </c>
      <c r="Z50" s="166">
        <v>0.88</v>
      </c>
      <c r="AA50" s="167" t="str">
        <f t="shared" si="111"/>
        <v>76</v>
      </c>
      <c r="AB50" s="168" t="str">
        <f t="shared" si="112"/>
        <v>241.020</v>
      </c>
      <c r="AC50" s="168" t="str">
        <f t="shared" si="113"/>
        <v>19.537</v>
      </c>
      <c r="AD50" s="164" t="str">
        <f t="shared" si="114"/>
        <v>11.54</v>
      </c>
      <c r="AE50" s="164">
        <v>76.92</v>
      </c>
      <c r="AF50" s="164" t="str">
        <f t="shared" si="115"/>
        <v>4.80</v>
      </c>
      <c r="AG50" s="165" t="str">
        <f t="shared" si="116"/>
        <v>74.16</v>
      </c>
      <c r="AH50" s="23"/>
      <c r="AI50" s="278">
        <v>0.1</v>
      </c>
      <c r="AJ50" s="24" t="str">
        <f t="shared" si="117"/>
        <v>213.51</v>
      </c>
      <c r="AK50" s="279" t="str">
        <f t="shared" si="118"/>
        <v>#DIV/0!</v>
      </c>
      <c r="AL50" s="280"/>
      <c r="AM50" s="281" t="str">
        <f t="shared" si="119"/>
        <v>0.00</v>
      </c>
      <c r="AN50" s="280"/>
      <c r="AO50" s="282"/>
      <c r="AP50" s="283"/>
      <c r="AQ50" s="283" t="str">
        <f t="shared" si="120"/>
        <v>0.00</v>
      </c>
      <c r="AR50" s="283"/>
      <c r="AS50" s="284"/>
      <c r="AT50" s="285" t="str">
        <f t="shared" si="21"/>
        <v>0.00</v>
      </c>
      <c r="AU50" s="284"/>
      <c r="AV50" s="286"/>
      <c r="AW50" s="285"/>
      <c r="AX50" s="284"/>
      <c r="AY50" s="26"/>
      <c r="AZ50" s="171" t="str">
        <f t="shared" si="121"/>
        <v>0.00%</v>
      </c>
      <c r="BA50" s="172" t="str">
        <f t="shared" si="122"/>
        <v>0.00</v>
      </c>
      <c r="BB50" s="173" t="str">
        <f t="shared" si="123"/>
        <v>331.82</v>
      </c>
      <c r="BC50" s="174" t="str">
        <f t="shared" si="124"/>
        <v>235.60</v>
      </c>
    </row>
    <row r="51" ht="12.75" hidden="1" customHeight="1">
      <c r="A51" s="26"/>
      <c r="B51" s="190" t="s">
        <v>146</v>
      </c>
      <c r="C51" s="192">
        <v>2.14304723E8</v>
      </c>
      <c r="D51" s="152" t="s">
        <v>147</v>
      </c>
      <c r="E51" s="53" t="s">
        <v>77</v>
      </c>
      <c r="F51" s="154">
        <v>1.0</v>
      </c>
      <c r="G51" s="53"/>
      <c r="H51" s="53" t="str">
        <f t="shared" si="100"/>
        <v>0.00069</v>
      </c>
      <c r="I51" s="53" t="str">
        <f t="shared" si="101"/>
        <v>89</v>
      </c>
      <c r="J51" s="53" t="str">
        <f t="shared" si="102"/>
        <v>0</v>
      </c>
      <c r="K51" s="155" t="str">
        <f t="shared" si="103"/>
        <v>0.00</v>
      </c>
      <c r="L51" s="156" t="str">
        <f t="shared" si="104"/>
        <v>0.00 </v>
      </c>
      <c r="M51" s="132">
        <v>90.0</v>
      </c>
      <c r="N51" s="157">
        <v>0.0</v>
      </c>
      <c r="O51" s="277">
        <v>0.0</v>
      </c>
      <c r="P51" s="277" t="str">
        <f t="shared" si="105"/>
        <v>#VALUE!</v>
      </c>
      <c r="Q51" s="157">
        <v>0.0</v>
      </c>
      <c r="R51" s="158">
        <v>741.6</v>
      </c>
      <c r="S51" s="159" t="str">
        <f t="shared" si="106"/>
        <v>306.70</v>
      </c>
      <c r="T51" s="160"/>
      <c r="U51" s="161">
        <v>0.26</v>
      </c>
      <c r="V51" s="162" t="str">
        <f t="shared" si="107"/>
        <v>548.78</v>
      </c>
      <c r="W51" s="163" t="str">
        <f t="shared" si="108"/>
        <v>60.00</v>
      </c>
      <c r="X51" s="164" t="str">
        <f t="shared" si="109"/>
        <v>41.03</v>
      </c>
      <c r="Y51" s="165" t="str">
        <f t="shared" si="110"/>
        <v>0.00</v>
      </c>
      <c r="Z51" s="166">
        <v>0.65</v>
      </c>
      <c r="AA51" s="167" t="str">
        <f t="shared" si="111"/>
        <v>76</v>
      </c>
      <c r="AB51" s="168" t="str">
        <f t="shared" si="112"/>
        <v>241.020</v>
      </c>
      <c r="AC51" s="168" t="str">
        <f t="shared" si="113"/>
        <v>19.537</v>
      </c>
      <c r="AD51" s="164" t="str">
        <f t="shared" si="114"/>
        <v>0.00</v>
      </c>
      <c r="AE51" s="164">
        <v>100.0</v>
      </c>
      <c r="AF51" s="164" t="str">
        <f t="shared" si="115"/>
        <v>4.80</v>
      </c>
      <c r="AG51" s="165" t="str">
        <f t="shared" si="116"/>
        <v>74.16</v>
      </c>
      <c r="AH51" s="23"/>
      <c r="AI51" s="278">
        <v>0.1</v>
      </c>
      <c r="AJ51" s="24" t="str">
        <f t="shared" si="117"/>
        <v>225.05</v>
      </c>
      <c r="AK51" s="279" t="str">
        <f t="shared" si="118"/>
        <v>#DIV/0!</v>
      </c>
      <c r="AL51" s="280"/>
      <c r="AM51" s="281" t="str">
        <f t="shared" si="119"/>
        <v>0.00</v>
      </c>
      <c r="AN51" s="280"/>
      <c r="AO51" s="282"/>
      <c r="AP51" s="283"/>
      <c r="AQ51" s="283" t="str">
        <f t="shared" si="120"/>
        <v>0.00</v>
      </c>
      <c r="AR51" s="283"/>
      <c r="AS51" s="284"/>
      <c r="AT51" s="285" t="str">
        <f t="shared" si="21"/>
        <v>0.00</v>
      </c>
      <c r="AU51" s="284"/>
      <c r="AV51" s="286"/>
      <c r="AW51" s="285"/>
      <c r="AX51" s="284"/>
      <c r="AY51" s="26"/>
      <c r="AZ51" s="171" t="str">
        <f t="shared" si="121"/>
        <v>0.00%</v>
      </c>
      <c r="BA51" s="172" t="str">
        <f t="shared" si="122"/>
        <v>0.00</v>
      </c>
      <c r="BB51" s="173" t="str">
        <f t="shared" si="123"/>
        <v>306.70</v>
      </c>
      <c r="BC51" s="174" t="str">
        <f t="shared" si="124"/>
        <v>217.76</v>
      </c>
    </row>
    <row r="52" ht="12.75" hidden="1" customHeight="1">
      <c r="A52" s="26"/>
      <c r="B52" s="190" t="s">
        <v>148</v>
      </c>
      <c r="C52" s="192">
        <v>2.14304848E8</v>
      </c>
      <c r="D52" s="152" t="s">
        <v>149</v>
      </c>
      <c r="E52" s="53" t="s">
        <v>77</v>
      </c>
      <c r="F52" s="154">
        <v>1.0</v>
      </c>
      <c r="G52" s="53"/>
      <c r="H52" s="53" t="str">
        <f t="shared" si="100"/>
        <v>0.00069</v>
      </c>
      <c r="I52" s="53" t="str">
        <f t="shared" si="101"/>
        <v>89</v>
      </c>
      <c r="J52" s="53" t="str">
        <f t="shared" si="102"/>
        <v>0</v>
      </c>
      <c r="K52" s="155" t="str">
        <f t="shared" si="103"/>
        <v>0.00</v>
      </c>
      <c r="L52" s="156" t="str">
        <f t="shared" si="104"/>
        <v>0.00 </v>
      </c>
      <c r="M52" s="132">
        <v>90.0</v>
      </c>
      <c r="N52" s="157">
        <v>0.0</v>
      </c>
      <c r="O52" s="277">
        <v>0.0</v>
      </c>
      <c r="P52" s="277" t="str">
        <f t="shared" si="105"/>
        <v>#VALUE!</v>
      </c>
      <c r="Q52" s="157">
        <v>0.0</v>
      </c>
      <c r="R52" s="158">
        <v>1359.0</v>
      </c>
      <c r="S52" s="159" t="str">
        <f t="shared" si="106"/>
        <v>330.89</v>
      </c>
      <c r="T52" s="160"/>
      <c r="U52" s="161">
        <v>0.26</v>
      </c>
      <c r="V52" s="162" t="str">
        <f t="shared" si="107"/>
        <v>1,005.66</v>
      </c>
      <c r="W52" s="163" t="str">
        <f t="shared" si="108"/>
        <v>60.00</v>
      </c>
      <c r="X52" s="164" t="str">
        <f t="shared" si="109"/>
        <v>75.19</v>
      </c>
      <c r="Y52" s="165" t="str">
        <f t="shared" si="110"/>
        <v>0.00</v>
      </c>
      <c r="Z52" s="166">
        <v>0.72</v>
      </c>
      <c r="AA52" s="167" t="str">
        <f t="shared" si="111"/>
        <v>76</v>
      </c>
      <c r="AB52" s="168" t="str">
        <f t="shared" si="112"/>
        <v>441.675</v>
      </c>
      <c r="AC52" s="168" t="str">
        <f t="shared" si="113"/>
        <v>35.801</v>
      </c>
      <c r="AD52" s="164" t="str">
        <f t="shared" si="114"/>
        <v>11.11</v>
      </c>
      <c r="AE52" s="164">
        <v>77.78</v>
      </c>
      <c r="AF52" s="164" t="str">
        <f t="shared" si="115"/>
        <v>4.80</v>
      </c>
      <c r="AG52" s="165" t="str">
        <f t="shared" si="116"/>
        <v>135.90</v>
      </c>
      <c r="AH52" s="23"/>
      <c r="AI52" s="278">
        <v>0.1</v>
      </c>
      <c r="AJ52" s="24" t="str">
        <f t="shared" si="117"/>
        <v>518.52</v>
      </c>
      <c r="AK52" s="279" t="str">
        <f t="shared" si="118"/>
        <v>#DIV/0!</v>
      </c>
      <c r="AL52" s="280"/>
      <c r="AM52" s="281" t="str">
        <f t="shared" si="119"/>
        <v>0.00</v>
      </c>
      <c r="AN52" s="280"/>
      <c r="AO52" s="282"/>
      <c r="AP52" s="283"/>
      <c r="AQ52" s="283" t="str">
        <f t="shared" si="120"/>
        <v>0.00</v>
      </c>
      <c r="AR52" s="283"/>
      <c r="AS52" s="284"/>
      <c r="AT52" s="285" t="str">
        <f t="shared" si="21"/>
        <v>0.00</v>
      </c>
      <c r="AU52" s="284"/>
      <c r="AV52" s="286"/>
      <c r="AW52" s="285"/>
      <c r="AX52" s="284"/>
      <c r="AY52" s="26"/>
      <c r="AZ52" s="171" t="str">
        <f t="shared" si="121"/>
        <v>0.00%</v>
      </c>
      <c r="BA52" s="172" t="str">
        <f t="shared" si="122"/>
        <v>0.00</v>
      </c>
      <c r="BB52" s="173" t="str">
        <f t="shared" si="123"/>
        <v>330.89</v>
      </c>
      <c r="BC52" s="174" t="str">
        <f t="shared" si="124"/>
        <v>234.93</v>
      </c>
    </row>
    <row r="53" ht="12.75" hidden="1" customHeight="1">
      <c r="A53" s="26"/>
      <c r="B53" s="190" t="s">
        <v>150</v>
      </c>
      <c r="C53" s="192">
        <v>2.14305157E8</v>
      </c>
      <c r="D53" s="152" t="s">
        <v>151</v>
      </c>
      <c r="E53" s="53" t="s">
        <v>77</v>
      </c>
      <c r="F53" s="154">
        <v>1.0</v>
      </c>
      <c r="G53" s="53"/>
      <c r="H53" s="53" t="str">
        <f t="shared" si="100"/>
        <v>0.00069</v>
      </c>
      <c r="I53" s="53" t="str">
        <f t="shared" si="101"/>
        <v>89</v>
      </c>
      <c r="J53" s="53" t="str">
        <f t="shared" si="102"/>
        <v>0</v>
      </c>
      <c r="K53" s="155" t="str">
        <f t="shared" si="103"/>
        <v>0.00</v>
      </c>
      <c r="L53" s="156" t="str">
        <f t="shared" si="104"/>
        <v>0.00 </v>
      </c>
      <c r="M53" s="132">
        <v>90.0</v>
      </c>
      <c r="N53" s="157">
        <v>0.0</v>
      </c>
      <c r="O53" s="277">
        <v>0.0</v>
      </c>
      <c r="P53" s="277" t="str">
        <f t="shared" si="105"/>
        <v>#VALUE!</v>
      </c>
      <c r="Q53" s="157">
        <v>0.0</v>
      </c>
      <c r="R53" s="158">
        <v>713.4</v>
      </c>
      <c r="S53" s="159" t="str">
        <f t="shared" si="106"/>
        <v>312.15</v>
      </c>
      <c r="T53" s="160"/>
      <c r="U53" s="161">
        <v>0.26</v>
      </c>
      <c r="V53" s="162" t="str">
        <f t="shared" si="107"/>
        <v>527.92</v>
      </c>
      <c r="W53" s="163" t="str">
        <f t="shared" si="108"/>
        <v>60.00</v>
      </c>
      <c r="X53" s="164" t="str">
        <f t="shared" si="109"/>
        <v>39.47</v>
      </c>
      <c r="Y53" s="165" t="str">
        <f t="shared" si="110"/>
        <v>0.00</v>
      </c>
      <c r="Z53" s="166">
        <v>0.65</v>
      </c>
      <c r="AA53" s="167" t="str">
        <f t="shared" si="111"/>
        <v>76</v>
      </c>
      <c r="AB53" s="168" t="str">
        <f t="shared" si="112"/>
        <v>231.855</v>
      </c>
      <c r="AC53" s="168" t="str">
        <f t="shared" si="113"/>
        <v>18.794</v>
      </c>
      <c r="AD53" s="164" t="str">
        <f t="shared" si="114"/>
        <v>2.50</v>
      </c>
      <c r="AE53" s="164">
        <v>95.0</v>
      </c>
      <c r="AF53" s="164" t="str">
        <f t="shared" si="115"/>
        <v>4.80</v>
      </c>
      <c r="AG53" s="165" t="str">
        <f t="shared" si="116"/>
        <v>71.34</v>
      </c>
      <c r="AH53" s="23"/>
      <c r="AI53" s="278">
        <v>0.1</v>
      </c>
      <c r="AJ53" s="24" t="str">
        <f t="shared" si="117"/>
        <v>208.64</v>
      </c>
      <c r="AK53" s="279" t="str">
        <f t="shared" si="118"/>
        <v>#DIV/0!</v>
      </c>
      <c r="AL53" s="280"/>
      <c r="AM53" s="281" t="str">
        <f t="shared" si="119"/>
        <v>0.00</v>
      </c>
      <c r="AN53" s="280"/>
      <c r="AO53" s="282"/>
      <c r="AP53" s="283"/>
      <c r="AQ53" s="283" t="str">
        <f t="shared" si="120"/>
        <v>0.00</v>
      </c>
      <c r="AR53" s="283"/>
      <c r="AS53" s="284"/>
      <c r="AT53" s="285" t="str">
        <f t="shared" si="21"/>
        <v>0.00</v>
      </c>
      <c r="AU53" s="284"/>
      <c r="AV53" s="286"/>
      <c r="AW53" s="285"/>
      <c r="AX53" s="284"/>
      <c r="AY53" s="26"/>
      <c r="AZ53" s="171" t="str">
        <f t="shared" si="121"/>
        <v>0.00%</v>
      </c>
      <c r="BA53" s="172" t="str">
        <f t="shared" si="122"/>
        <v>0.00</v>
      </c>
      <c r="BB53" s="173" t="str">
        <f t="shared" si="123"/>
        <v>312.15</v>
      </c>
      <c r="BC53" s="174" t="str">
        <f t="shared" si="124"/>
        <v>221.62</v>
      </c>
    </row>
    <row r="54" ht="12.75" hidden="1" customHeight="1">
      <c r="A54" s="26"/>
      <c r="B54" s="190" t="s">
        <v>152</v>
      </c>
      <c r="C54" s="192">
        <v>2.14305367E8</v>
      </c>
      <c r="D54" s="152" t="s">
        <v>153</v>
      </c>
      <c r="E54" s="53" t="s">
        <v>77</v>
      </c>
      <c r="F54" s="154">
        <v>1.0</v>
      </c>
      <c r="G54" s="53"/>
      <c r="H54" s="53" t="str">
        <f t="shared" si="100"/>
        <v>0.00069</v>
      </c>
      <c r="I54" s="53" t="str">
        <f t="shared" si="101"/>
        <v>89</v>
      </c>
      <c r="J54" s="53" t="str">
        <f t="shared" si="102"/>
        <v>0</v>
      </c>
      <c r="K54" s="155" t="str">
        <f t="shared" si="103"/>
        <v>0.00</v>
      </c>
      <c r="L54" s="156" t="str">
        <f t="shared" si="104"/>
        <v>0.00 </v>
      </c>
      <c r="M54" s="132">
        <v>90.0</v>
      </c>
      <c r="N54" s="157">
        <v>0.0</v>
      </c>
      <c r="O54" s="277">
        <v>0.0</v>
      </c>
      <c r="P54" s="277" t="str">
        <f t="shared" si="105"/>
        <v>#VALUE!</v>
      </c>
      <c r="Q54" s="157">
        <v>0.0</v>
      </c>
      <c r="R54" s="158">
        <v>727.5</v>
      </c>
      <c r="S54" s="159" t="str">
        <f t="shared" si="106"/>
        <v>311.95</v>
      </c>
      <c r="T54" s="160"/>
      <c r="U54" s="161">
        <v>0.26</v>
      </c>
      <c r="V54" s="162" t="str">
        <f t="shared" si="107"/>
        <v>538.35</v>
      </c>
      <c r="W54" s="163" t="str">
        <f t="shared" si="108"/>
        <v>60.00</v>
      </c>
      <c r="X54" s="164" t="str">
        <f t="shared" si="109"/>
        <v>40.25</v>
      </c>
      <c r="Y54" s="165" t="str">
        <f t="shared" si="110"/>
        <v>0.00</v>
      </c>
      <c r="Z54" s="166">
        <v>0.72</v>
      </c>
      <c r="AA54" s="167" t="str">
        <f t="shared" si="111"/>
        <v>76</v>
      </c>
      <c r="AB54" s="168" t="str">
        <f t="shared" si="112"/>
        <v>236.438</v>
      </c>
      <c r="AC54" s="168" t="str">
        <f t="shared" si="113"/>
        <v>19.165</v>
      </c>
      <c r="AD54" s="164" t="str">
        <f t="shared" si="114"/>
        <v>2.41</v>
      </c>
      <c r="AE54" s="164">
        <v>95.18</v>
      </c>
      <c r="AF54" s="164" t="str">
        <f t="shared" si="115"/>
        <v>4.80</v>
      </c>
      <c r="AG54" s="165" t="str">
        <f t="shared" si="116"/>
        <v>72.75</v>
      </c>
      <c r="AH54" s="23"/>
      <c r="AI54" s="278">
        <v>0.1</v>
      </c>
      <c r="AJ54" s="24" t="str">
        <f t="shared" si="117"/>
        <v>215.69</v>
      </c>
      <c r="AK54" s="279" t="str">
        <f t="shared" si="118"/>
        <v>#DIV/0!</v>
      </c>
      <c r="AL54" s="280"/>
      <c r="AM54" s="281" t="str">
        <f t="shared" si="119"/>
        <v>0.00</v>
      </c>
      <c r="AN54" s="280"/>
      <c r="AO54" s="282"/>
      <c r="AP54" s="283"/>
      <c r="AQ54" s="283" t="str">
        <f t="shared" si="120"/>
        <v>0.00</v>
      </c>
      <c r="AR54" s="283"/>
      <c r="AS54" s="284"/>
      <c r="AT54" s="285" t="str">
        <f t="shared" si="21"/>
        <v>0.00</v>
      </c>
      <c r="AU54" s="284"/>
      <c r="AV54" s="286"/>
      <c r="AW54" s="285"/>
      <c r="AX54" s="284"/>
      <c r="AY54" s="26"/>
      <c r="AZ54" s="171" t="str">
        <f t="shared" si="121"/>
        <v>0.00%</v>
      </c>
      <c r="BA54" s="172" t="str">
        <f t="shared" si="122"/>
        <v>0.00</v>
      </c>
      <c r="BB54" s="173" t="str">
        <f t="shared" si="123"/>
        <v>311.95</v>
      </c>
      <c r="BC54" s="174" t="str">
        <f t="shared" si="124"/>
        <v>221.48</v>
      </c>
    </row>
    <row r="55" ht="12.75" hidden="1" customHeight="1">
      <c r="A55" s="26"/>
      <c r="B55" s="190" t="s">
        <v>154</v>
      </c>
      <c r="C55" s="192">
        <v>2.14305331E8</v>
      </c>
      <c r="D55" s="152" t="s">
        <v>155</v>
      </c>
      <c r="E55" s="53" t="s">
        <v>77</v>
      </c>
      <c r="F55" s="154">
        <v>1.0</v>
      </c>
      <c r="G55" s="53"/>
      <c r="H55" s="53" t="str">
        <f t="shared" si="100"/>
        <v>0.00069</v>
      </c>
      <c r="I55" s="53" t="str">
        <f t="shared" si="101"/>
        <v>89</v>
      </c>
      <c r="J55" s="53" t="str">
        <f t="shared" si="102"/>
        <v>0</v>
      </c>
      <c r="K55" s="155" t="str">
        <f t="shared" si="103"/>
        <v>0.00</v>
      </c>
      <c r="L55" s="156" t="str">
        <f t="shared" si="104"/>
        <v>0.00 </v>
      </c>
      <c r="M55" s="132">
        <v>90.0</v>
      </c>
      <c r="N55" s="157">
        <v>0.0</v>
      </c>
      <c r="O55" s="277">
        <v>0.0</v>
      </c>
      <c r="P55" s="277" t="str">
        <f t="shared" si="105"/>
        <v>#VALUE!</v>
      </c>
      <c r="Q55" s="157">
        <v>0.0</v>
      </c>
      <c r="R55" s="158">
        <v>727.5</v>
      </c>
      <c r="S55" s="159" t="str">
        <f t="shared" si="106"/>
        <v>312.76</v>
      </c>
      <c r="T55" s="160"/>
      <c r="U55" s="161">
        <v>0.26</v>
      </c>
      <c r="V55" s="162" t="str">
        <f t="shared" si="107"/>
        <v>538.35</v>
      </c>
      <c r="W55" s="163" t="str">
        <f t="shared" si="108"/>
        <v>60.00</v>
      </c>
      <c r="X55" s="164" t="str">
        <f t="shared" si="109"/>
        <v>40.25</v>
      </c>
      <c r="Y55" s="165" t="str">
        <f t="shared" si="110"/>
        <v>0.00</v>
      </c>
      <c r="Z55" s="166">
        <v>0.68</v>
      </c>
      <c r="AA55" s="167" t="str">
        <f t="shared" si="111"/>
        <v>76</v>
      </c>
      <c r="AB55" s="168" t="str">
        <f t="shared" si="112"/>
        <v>236.438</v>
      </c>
      <c r="AC55" s="168" t="str">
        <f t="shared" si="113"/>
        <v>19.165</v>
      </c>
      <c r="AD55" s="164" t="str">
        <f t="shared" si="114"/>
        <v>2.78</v>
      </c>
      <c r="AE55" s="164">
        <v>94.44</v>
      </c>
      <c r="AF55" s="164" t="str">
        <f t="shared" si="115"/>
        <v>4.80</v>
      </c>
      <c r="AG55" s="165" t="str">
        <f t="shared" si="116"/>
        <v>72.75</v>
      </c>
      <c r="AH55" s="23"/>
      <c r="AI55" s="278">
        <v>0.1</v>
      </c>
      <c r="AJ55" s="24" t="str">
        <f t="shared" si="117"/>
        <v>215.32</v>
      </c>
      <c r="AK55" s="279" t="str">
        <f t="shared" si="118"/>
        <v>#DIV/0!</v>
      </c>
      <c r="AL55" s="280"/>
      <c r="AM55" s="281" t="str">
        <f t="shared" si="119"/>
        <v>0.00</v>
      </c>
      <c r="AN55" s="280"/>
      <c r="AO55" s="282"/>
      <c r="AP55" s="283"/>
      <c r="AQ55" s="283" t="str">
        <f t="shared" si="120"/>
        <v>0.00</v>
      </c>
      <c r="AR55" s="283"/>
      <c r="AS55" s="284"/>
      <c r="AT55" s="285" t="str">
        <f t="shared" si="21"/>
        <v>0.00</v>
      </c>
      <c r="AU55" s="284"/>
      <c r="AV55" s="286"/>
      <c r="AW55" s="285"/>
      <c r="AX55" s="284"/>
      <c r="AY55" s="26"/>
      <c r="AZ55" s="171" t="str">
        <f t="shared" si="121"/>
        <v>0.00%</v>
      </c>
      <c r="BA55" s="172" t="str">
        <f t="shared" si="122"/>
        <v>0.00</v>
      </c>
      <c r="BB55" s="173" t="str">
        <f t="shared" si="123"/>
        <v>312.76</v>
      </c>
      <c r="BC55" s="174" t="str">
        <f t="shared" si="124"/>
        <v>222.06</v>
      </c>
    </row>
    <row r="56" ht="12.75" hidden="1" customHeight="1">
      <c r="A56" s="26"/>
      <c r="B56" s="190" t="s">
        <v>156</v>
      </c>
      <c r="C56" s="192">
        <v>2.14305394E8</v>
      </c>
      <c r="D56" s="152" t="s">
        <v>157</v>
      </c>
      <c r="E56" s="53" t="s">
        <v>77</v>
      </c>
      <c r="F56" s="154">
        <v>1.0</v>
      </c>
      <c r="G56" s="53"/>
      <c r="H56" s="53" t="str">
        <f t="shared" si="100"/>
        <v>0.00069</v>
      </c>
      <c r="I56" s="53" t="str">
        <f t="shared" si="101"/>
        <v>89</v>
      </c>
      <c r="J56" s="53" t="str">
        <f t="shared" si="102"/>
        <v>0</v>
      </c>
      <c r="K56" s="155" t="str">
        <f t="shared" si="103"/>
        <v>0.00</v>
      </c>
      <c r="L56" s="156" t="str">
        <f t="shared" si="104"/>
        <v>0.00 </v>
      </c>
      <c r="M56" s="132">
        <v>90.0</v>
      </c>
      <c r="N56" s="157">
        <v>0.0</v>
      </c>
      <c r="O56" s="277">
        <v>0.0</v>
      </c>
      <c r="P56" s="277" t="str">
        <f t="shared" si="105"/>
        <v>#VALUE!</v>
      </c>
      <c r="Q56" s="157">
        <v>0.0</v>
      </c>
      <c r="R56" s="158">
        <v>1241.4</v>
      </c>
      <c r="S56" s="159" t="str">
        <f t="shared" si="106"/>
        <v>306.70</v>
      </c>
      <c r="T56" s="160"/>
      <c r="U56" s="161">
        <v>0.26</v>
      </c>
      <c r="V56" s="162" t="str">
        <f t="shared" si="107"/>
        <v>918.64</v>
      </c>
      <c r="W56" s="163" t="str">
        <f t="shared" si="108"/>
        <v>60.00</v>
      </c>
      <c r="X56" s="164" t="str">
        <f t="shared" si="109"/>
        <v>68.68</v>
      </c>
      <c r="Y56" s="165" t="str">
        <f t="shared" si="110"/>
        <v>0.00</v>
      </c>
      <c r="Z56" s="166">
        <v>0.68</v>
      </c>
      <c r="AA56" s="167" t="str">
        <f t="shared" si="111"/>
        <v>76</v>
      </c>
      <c r="AB56" s="168" t="str">
        <f t="shared" si="112"/>
        <v>403.455</v>
      </c>
      <c r="AC56" s="168" t="str">
        <f t="shared" si="113"/>
        <v>32.703</v>
      </c>
      <c r="AD56" s="164" t="str">
        <f t="shared" si="114"/>
        <v>0.00</v>
      </c>
      <c r="AE56" s="164">
        <v>100.0</v>
      </c>
      <c r="AF56" s="164" t="str">
        <f t="shared" si="115"/>
        <v>4.80</v>
      </c>
      <c r="AG56" s="165" t="str">
        <f t="shared" si="116"/>
        <v>124.14</v>
      </c>
      <c r="AH56" s="23"/>
      <c r="AI56" s="278">
        <v>0.1</v>
      </c>
      <c r="AJ56" s="24" t="str">
        <f t="shared" si="117"/>
        <v>471.62</v>
      </c>
      <c r="AK56" s="279" t="str">
        <f t="shared" si="118"/>
        <v>#DIV/0!</v>
      </c>
      <c r="AL56" s="280"/>
      <c r="AM56" s="281" t="str">
        <f t="shared" si="119"/>
        <v>0.00</v>
      </c>
      <c r="AN56" s="280"/>
      <c r="AO56" s="282"/>
      <c r="AP56" s="283"/>
      <c r="AQ56" s="283" t="str">
        <f t="shared" si="120"/>
        <v>0.00</v>
      </c>
      <c r="AR56" s="283"/>
      <c r="AS56" s="284"/>
      <c r="AT56" s="285" t="str">
        <f t="shared" si="21"/>
        <v>0.00</v>
      </c>
      <c r="AU56" s="284"/>
      <c r="AV56" s="286"/>
      <c r="AW56" s="285"/>
      <c r="AX56" s="284"/>
      <c r="AY56" s="26"/>
      <c r="AZ56" s="171" t="str">
        <f t="shared" si="121"/>
        <v>0.00%</v>
      </c>
      <c r="BA56" s="172" t="str">
        <f t="shared" si="122"/>
        <v>0.00</v>
      </c>
      <c r="BB56" s="173" t="str">
        <f t="shared" si="123"/>
        <v>306.70</v>
      </c>
      <c r="BC56" s="174" t="str">
        <f t="shared" si="124"/>
        <v>217.76</v>
      </c>
    </row>
    <row r="57" ht="12.75" customHeight="1">
      <c r="A57" s="26"/>
      <c r="B57" s="125" t="s">
        <v>158</v>
      </c>
      <c r="C57" s="126"/>
      <c r="D57" s="127"/>
      <c r="E57" s="128"/>
      <c r="F57" s="129"/>
      <c r="G57" s="128"/>
      <c r="H57" s="197"/>
      <c r="I57" s="197"/>
      <c r="J57" s="128"/>
      <c r="K57" s="130"/>
      <c r="L57" s="131"/>
      <c r="M57" s="132"/>
      <c r="N57" s="176"/>
      <c r="O57" s="133"/>
      <c r="P57" s="133"/>
      <c r="Q57" s="176"/>
      <c r="R57" s="134"/>
      <c r="S57" s="135"/>
      <c r="T57" s="135"/>
      <c r="U57" s="136"/>
      <c r="V57" s="137"/>
      <c r="W57" s="177"/>
      <c r="X57" s="178"/>
      <c r="Y57" s="179"/>
      <c r="Z57" s="180"/>
      <c r="AA57" s="181"/>
      <c r="AB57" s="182"/>
      <c r="AC57" s="182"/>
      <c r="AD57" s="178"/>
      <c r="AE57" s="178"/>
      <c r="AF57" s="178"/>
      <c r="AG57" s="179"/>
      <c r="AH57" s="183"/>
      <c r="AI57" s="271"/>
      <c r="AJ57" s="287"/>
      <c r="AK57" s="288"/>
      <c r="AL57" s="288"/>
      <c r="AM57" s="288"/>
      <c r="AN57" s="288"/>
      <c r="AO57" s="288"/>
      <c r="AP57" s="288"/>
      <c r="AQ57" s="288"/>
      <c r="AR57" s="288"/>
      <c r="AS57" s="289"/>
      <c r="AT57" s="285" t="str">
        <f t="shared" si="21"/>
        <v>0.00</v>
      </c>
      <c r="AU57" s="289"/>
      <c r="AV57" s="289"/>
      <c r="AW57" s="290"/>
      <c r="AX57" s="288"/>
      <c r="AY57" s="26"/>
      <c r="AZ57" s="186"/>
      <c r="BA57" s="187"/>
      <c r="BB57" s="188"/>
      <c r="BC57" s="189"/>
    </row>
    <row r="58" ht="12.75" customHeight="1">
      <c r="A58" s="26"/>
      <c r="B58" s="190" t="s">
        <v>159</v>
      </c>
      <c r="C58" s="199">
        <v>2.12719009E8</v>
      </c>
      <c r="D58" s="152" t="s">
        <v>160</v>
      </c>
      <c r="E58" s="53" t="s">
        <v>77</v>
      </c>
      <c r="F58" s="154">
        <v>1.0</v>
      </c>
      <c r="G58" s="53"/>
      <c r="H58" s="53" t="str">
        <f t="shared" ref="H58:H64" si="125">$I$2</f>
        <v>0.00069</v>
      </c>
      <c r="I58" s="53" t="str">
        <f t="shared" ref="I58:I64" si="126">$I$3</f>
        <v>89</v>
      </c>
      <c r="J58" s="53" t="str">
        <f t="shared" ref="J58:J64" si="127">G58*H58*I58*F58</f>
        <v>0</v>
      </c>
      <c r="K58" s="155" t="str">
        <f t="shared" ref="K58:K64" si="128">J58*$J$4</f>
        <v>0.00</v>
      </c>
      <c r="L58" s="156" t="str">
        <f t="shared" ref="L58:L64" si="129">K58+J58</f>
        <v>0.00 </v>
      </c>
      <c r="M58" s="132">
        <v>90.0</v>
      </c>
      <c r="N58" s="157">
        <v>1449.78</v>
      </c>
      <c r="O58" s="277">
        <v>1580.26</v>
      </c>
      <c r="P58" s="277">
        <v>1536.77</v>
      </c>
      <c r="Q58" s="157">
        <v>1449.78</v>
      </c>
      <c r="R58" s="158">
        <v>3800.0</v>
      </c>
      <c r="S58" s="159" t="str">
        <f t="shared" ref="S58:S62" si="130">R58</f>
        <v>3,800.00</v>
      </c>
      <c r="T58" s="160">
        <v>3829.0</v>
      </c>
      <c r="U58" s="161">
        <v>0.26</v>
      </c>
      <c r="V58" s="162" t="str">
        <f t="shared" ref="V58:V64" si="131">R58-(R58*U58)</f>
        <v>2,812.00</v>
      </c>
      <c r="W58" s="163" t="str">
        <f t="shared" ref="W58:W64" si="132">$C$1</f>
        <v>60.00</v>
      </c>
      <c r="X58" s="164" t="str">
        <f t="shared" ref="X58:X64" si="133">(V58*7/107)+((V58-(V58*7/107))*1%)</f>
        <v>210.24</v>
      </c>
      <c r="Y58" s="165" t="str">
        <f t="shared" ref="Y58:Y64" si="134">Q58*$C$3*(M58/30)</f>
        <v>0.00</v>
      </c>
      <c r="Z58" s="166">
        <v>0.45</v>
      </c>
      <c r="AA58" s="167" t="str">
        <f>((_xlfn.CEILING.MATH(Z58)-1)*$C$5+$C$4)</f>
        <v>76</v>
      </c>
      <c r="AB58" s="168" t="str">
        <f t="shared" ref="AB58:AB64" si="135">R58*$AB$6</f>
        <v>1,235.000</v>
      </c>
      <c r="AC58" s="168" t="str">
        <f t="shared" ref="AC58:AC64" si="136">V58*$AB$7</f>
        <v>100.107</v>
      </c>
      <c r="AD58" s="164" t="str">
        <f t="shared" ref="AD58:AD64" si="137">$AB$3*((100-AE58)/100)</f>
        <v>4.74</v>
      </c>
      <c r="AE58" s="164">
        <v>90.52</v>
      </c>
      <c r="AF58" s="164" t="str">
        <f t="shared" ref="AF58:AF64" si="138">$C$6*$C$7*_xlfn.CEILING.MATH(Z58)</f>
        <v>4.80</v>
      </c>
      <c r="AG58" s="165" t="str">
        <f t="shared" ref="AG58:AG64" si="139">R58*$C$2</f>
        <v>380.00</v>
      </c>
      <c r="AH58" s="23"/>
      <c r="AI58" s="278">
        <v>0.1</v>
      </c>
      <c r="AJ58" s="24" t="str">
        <f t="shared" ref="AJ58:AJ64" si="140">R58-W58-X58-Y58-AA58-AB58-AC58-AD58-AF58-AG58-Q58</f>
        <v>279.33</v>
      </c>
      <c r="AK58" s="279" t="str">
        <f t="shared" ref="AK58:AK64" si="141">AJ58/Q58</f>
        <v>19.27%</v>
      </c>
      <c r="AL58" s="280"/>
      <c r="AM58" s="281" t="str">
        <f t="shared" ref="AM58:AM64" si="142">AJ58*AL58</f>
        <v>0.00</v>
      </c>
      <c r="AN58" s="280"/>
      <c r="AO58" s="282">
        <v>59.27</v>
      </c>
      <c r="AP58" s="283">
        <v>-345.52</v>
      </c>
      <c r="AQ58" s="283" t="str">
        <f t="shared" ref="AQ58:AQ64" si="143">AN58*AP58</f>
        <v>0.00</v>
      </c>
      <c r="AR58" s="283">
        <v>-22.78</v>
      </c>
      <c r="AS58" s="284">
        <v>19.0</v>
      </c>
      <c r="AT58" s="285" t="str">
        <f t="shared" si="21"/>
        <v>5,307.27</v>
      </c>
      <c r="AU58" s="284">
        <v>19.0</v>
      </c>
      <c r="AV58" s="286">
        <v>0.1829</v>
      </c>
      <c r="AW58" s="285">
        <v>-31.86</v>
      </c>
      <c r="AX58" s="284">
        <v>-0.12</v>
      </c>
      <c r="AY58" s="26"/>
      <c r="AZ58" s="171" t="str">
        <f t="shared" ref="AZ58:AZ64" si="144">$AG$3</f>
        <v>0.00%</v>
      </c>
      <c r="BA58" s="172" t="str">
        <f t="shared" ref="BA58:BA64" si="145">Q58*AZ58</f>
        <v>0.00</v>
      </c>
      <c r="BB58" s="173" t="str">
        <f t="shared" ref="BB58:BB64" si="146">(Q58+W58+Y58+AA58+AD58+AF58+AI58+BA58)/(100%-($C$2+$C$8+$AB$6+$AB$7))</f>
        <v>3,472.83</v>
      </c>
      <c r="BC58" s="174" t="str">
        <f t="shared" ref="BC58:BC64" si="147">BB58-(BB58*$AG$1)</f>
        <v>2,465.71</v>
      </c>
    </row>
    <row r="59" ht="12.75" hidden="1" customHeight="1">
      <c r="A59" s="26"/>
      <c r="B59" s="190" t="s">
        <v>161</v>
      </c>
      <c r="C59" s="199">
        <v>1.9942606E8</v>
      </c>
      <c r="D59" s="152" t="s">
        <v>162</v>
      </c>
      <c r="E59" s="53" t="s">
        <v>77</v>
      </c>
      <c r="F59" s="154">
        <v>1.0</v>
      </c>
      <c r="G59" s="53"/>
      <c r="H59" s="53" t="str">
        <f t="shared" si="125"/>
        <v>0.00069</v>
      </c>
      <c r="I59" s="53" t="str">
        <f t="shared" si="126"/>
        <v>89</v>
      </c>
      <c r="J59" s="53" t="str">
        <f t="shared" si="127"/>
        <v>0</v>
      </c>
      <c r="K59" s="155" t="str">
        <f t="shared" si="128"/>
        <v>0.00</v>
      </c>
      <c r="L59" s="156" t="str">
        <f t="shared" si="129"/>
        <v>0.00 </v>
      </c>
      <c r="M59" s="132">
        <v>90.0</v>
      </c>
      <c r="N59" s="157">
        <v>927.84</v>
      </c>
      <c r="O59" s="277">
        <v>1011.35</v>
      </c>
      <c r="P59" s="277">
        <v>983.51</v>
      </c>
      <c r="Q59" s="157">
        <v>927.84</v>
      </c>
      <c r="R59" s="158">
        <v>2730.0</v>
      </c>
      <c r="S59" s="159" t="str">
        <f t="shared" si="130"/>
        <v>2,730.00</v>
      </c>
      <c r="T59" s="160">
        <v>2228.0</v>
      </c>
      <c r="U59" s="161">
        <v>0.26</v>
      </c>
      <c r="V59" s="162" t="str">
        <f t="shared" si="131"/>
        <v>2,020.20</v>
      </c>
      <c r="W59" s="163" t="str">
        <f t="shared" si="132"/>
        <v>60.00</v>
      </c>
      <c r="X59" s="164" t="str">
        <f t="shared" si="133"/>
        <v>151.04</v>
      </c>
      <c r="Y59" s="165" t="str">
        <f t="shared" si="134"/>
        <v>0.00</v>
      </c>
      <c r="Z59" s="166">
        <v>0.23</v>
      </c>
      <c r="AA59" s="167">
        <v>90.0</v>
      </c>
      <c r="AB59" s="168" t="str">
        <f t="shared" si="135"/>
        <v>887.250</v>
      </c>
      <c r="AC59" s="168" t="str">
        <f t="shared" si="136"/>
        <v>71.919</v>
      </c>
      <c r="AD59" s="164" t="str">
        <f t="shared" si="137"/>
        <v>10.23</v>
      </c>
      <c r="AE59" s="164">
        <v>79.55</v>
      </c>
      <c r="AF59" s="164" t="str">
        <f t="shared" si="138"/>
        <v>4.80</v>
      </c>
      <c r="AG59" s="165" t="str">
        <f t="shared" si="139"/>
        <v>273.00</v>
      </c>
      <c r="AH59" s="23"/>
      <c r="AI59" s="278">
        <v>0.1</v>
      </c>
      <c r="AJ59" s="24" t="str">
        <f t="shared" si="140"/>
        <v>253.92</v>
      </c>
      <c r="AK59" s="279" t="str">
        <f t="shared" si="141"/>
        <v>27.37%</v>
      </c>
      <c r="AL59" s="280"/>
      <c r="AM59" s="281" t="str">
        <f t="shared" si="142"/>
        <v>0.00</v>
      </c>
      <c r="AN59" s="280"/>
      <c r="AO59" s="282"/>
      <c r="AP59" s="283"/>
      <c r="AQ59" s="283" t="str">
        <f t="shared" si="143"/>
        <v>0.00</v>
      </c>
      <c r="AR59" s="283"/>
      <c r="AS59" s="284"/>
      <c r="AT59" s="285" t="str">
        <f t="shared" si="21"/>
        <v>0.00</v>
      </c>
      <c r="AU59" s="284">
        <v>0.0</v>
      </c>
      <c r="AV59" s="286">
        <v>0.0</v>
      </c>
      <c r="AW59" s="285"/>
      <c r="AX59" s="284"/>
      <c r="AY59" s="26"/>
      <c r="AZ59" s="171" t="str">
        <f t="shared" si="144"/>
        <v>0.00%</v>
      </c>
      <c r="BA59" s="172" t="str">
        <f t="shared" si="145"/>
        <v>0.00</v>
      </c>
      <c r="BB59" s="173" t="str">
        <f t="shared" si="146"/>
        <v>2,379.11</v>
      </c>
      <c r="BC59" s="174" t="str">
        <f t="shared" si="147"/>
        <v>1,689.17</v>
      </c>
    </row>
    <row r="60" ht="12.75" hidden="1" customHeight="1">
      <c r="A60" s="26"/>
      <c r="B60" s="190" t="s">
        <v>163</v>
      </c>
      <c r="C60" s="199">
        <v>1.99425671E8</v>
      </c>
      <c r="D60" s="152" t="s">
        <v>164</v>
      </c>
      <c r="E60" s="53" t="s">
        <v>77</v>
      </c>
      <c r="F60" s="154">
        <v>1.0</v>
      </c>
      <c r="G60" s="53"/>
      <c r="H60" s="53" t="str">
        <f t="shared" si="125"/>
        <v>0.00069</v>
      </c>
      <c r="I60" s="53" t="str">
        <f t="shared" si="126"/>
        <v>89</v>
      </c>
      <c r="J60" s="53" t="str">
        <f t="shared" si="127"/>
        <v>0</v>
      </c>
      <c r="K60" s="155" t="str">
        <f t="shared" si="128"/>
        <v>0.00</v>
      </c>
      <c r="L60" s="156" t="str">
        <f t="shared" si="129"/>
        <v>0.00 </v>
      </c>
      <c r="M60" s="132">
        <v>90.0</v>
      </c>
      <c r="N60" s="157">
        <v>666.95</v>
      </c>
      <c r="O60" s="277">
        <v>726.98</v>
      </c>
      <c r="P60" s="277">
        <v>706.97</v>
      </c>
      <c r="Q60" s="157">
        <v>666.95</v>
      </c>
      <c r="R60" s="158">
        <v>2117.0</v>
      </c>
      <c r="S60" s="159" t="str">
        <f t="shared" si="130"/>
        <v>2,117.00</v>
      </c>
      <c r="T60" s="160">
        <v>2138.0</v>
      </c>
      <c r="U60" s="161">
        <v>0.26</v>
      </c>
      <c r="V60" s="162" t="str">
        <f t="shared" si="131"/>
        <v>1,566.58</v>
      </c>
      <c r="W60" s="163" t="str">
        <f t="shared" si="132"/>
        <v>60.00</v>
      </c>
      <c r="X60" s="164" t="str">
        <f t="shared" si="133"/>
        <v>117.13</v>
      </c>
      <c r="Y60" s="165" t="str">
        <f t="shared" si="134"/>
        <v>0.00</v>
      </c>
      <c r="Z60" s="166">
        <v>0.14</v>
      </c>
      <c r="AA60" s="167" t="str">
        <f t="shared" ref="AA60:AA64" si="148">((_xlfn.CEILING.MATH(Z60)-1)*$C$5+$C$4)</f>
        <v>76</v>
      </c>
      <c r="AB60" s="168" t="str">
        <f t="shared" si="135"/>
        <v>688.025</v>
      </c>
      <c r="AC60" s="168" t="str">
        <f t="shared" si="136"/>
        <v>55.770</v>
      </c>
      <c r="AD60" s="164" t="str">
        <f t="shared" si="137"/>
        <v>3.97</v>
      </c>
      <c r="AE60" s="164">
        <v>92.07</v>
      </c>
      <c r="AF60" s="164" t="str">
        <f t="shared" si="138"/>
        <v>4.80</v>
      </c>
      <c r="AG60" s="165" t="str">
        <f t="shared" si="139"/>
        <v>211.70</v>
      </c>
      <c r="AH60" s="23"/>
      <c r="AI60" s="278">
        <v>0.1</v>
      </c>
      <c r="AJ60" s="24" t="str">
        <f t="shared" si="140"/>
        <v>232.66</v>
      </c>
      <c r="AK60" s="279" t="str">
        <f t="shared" si="141"/>
        <v>34.88%</v>
      </c>
      <c r="AL60" s="280"/>
      <c r="AM60" s="281" t="str">
        <f t="shared" si="142"/>
        <v>0.00</v>
      </c>
      <c r="AN60" s="280"/>
      <c r="AO60" s="282"/>
      <c r="AP60" s="283"/>
      <c r="AQ60" s="283" t="str">
        <f t="shared" si="143"/>
        <v>0.00</v>
      </c>
      <c r="AR60" s="283"/>
      <c r="AS60" s="284"/>
      <c r="AT60" s="285" t="str">
        <f t="shared" si="21"/>
        <v>0.00</v>
      </c>
      <c r="AU60" s="284">
        <v>0.0</v>
      </c>
      <c r="AV60" s="286">
        <v>0.0</v>
      </c>
      <c r="AW60" s="285"/>
      <c r="AX60" s="284"/>
      <c r="AY60" s="26"/>
      <c r="AZ60" s="171" t="str">
        <f t="shared" si="144"/>
        <v>0.00%</v>
      </c>
      <c r="BA60" s="172" t="str">
        <f t="shared" si="145"/>
        <v>0.00</v>
      </c>
      <c r="BB60" s="173" t="str">
        <f t="shared" si="146"/>
        <v>1,767.12</v>
      </c>
      <c r="BC60" s="174" t="str">
        <f t="shared" si="147"/>
        <v>1,254.66</v>
      </c>
    </row>
    <row r="61" ht="12.75" customHeight="1">
      <c r="A61" s="26"/>
      <c r="B61" s="190" t="s">
        <v>165</v>
      </c>
      <c r="C61" s="199">
        <v>1.99427475E8</v>
      </c>
      <c r="D61" s="152" t="s">
        <v>166</v>
      </c>
      <c r="E61" s="53" t="s">
        <v>77</v>
      </c>
      <c r="F61" s="154">
        <v>1.0</v>
      </c>
      <c r="G61" s="53"/>
      <c r="H61" s="53" t="str">
        <f t="shared" si="125"/>
        <v>0.00069</v>
      </c>
      <c r="I61" s="53" t="str">
        <f t="shared" si="126"/>
        <v>89</v>
      </c>
      <c r="J61" s="53" t="str">
        <f t="shared" si="127"/>
        <v>0</v>
      </c>
      <c r="K61" s="155" t="str">
        <f t="shared" si="128"/>
        <v>0.00</v>
      </c>
      <c r="L61" s="156" t="str">
        <f t="shared" si="129"/>
        <v>0.00 </v>
      </c>
      <c r="M61" s="132">
        <v>90.0</v>
      </c>
      <c r="N61" s="157">
        <v>637.89</v>
      </c>
      <c r="O61" s="277">
        <v>695.3</v>
      </c>
      <c r="P61" s="277">
        <v>695.3</v>
      </c>
      <c r="Q61" s="157">
        <v>637.89</v>
      </c>
      <c r="R61" s="158">
        <v>2000.0</v>
      </c>
      <c r="S61" s="159" t="str">
        <f t="shared" si="130"/>
        <v>2,000.00</v>
      </c>
      <c r="T61" s="160">
        <v>1606.0</v>
      </c>
      <c r="U61" s="161">
        <v>0.26</v>
      </c>
      <c r="V61" s="162" t="str">
        <f t="shared" si="131"/>
        <v>1,480.00</v>
      </c>
      <c r="W61" s="163" t="str">
        <f t="shared" si="132"/>
        <v>60.00</v>
      </c>
      <c r="X61" s="164" t="str">
        <f t="shared" si="133"/>
        <v>110.65</v>
      </c>
      <c r="Y61" s="165" t="str">
        <f t="shared" si="134"/>
        <v>0.00</v>
      </c>
      <c r="Z61" s="166">
        <v>0.33</v>
      </c>
      <c r="AA61" s="167" t="str">
        <f t="shared" si="148"/>
        <v>76</v>
      </c>
      <c r="AB61" s="168" t="str">
        <f t="shared" si="135"/>
        <v>650.000</v>
      </c>
      <c r="AC61" s="168" t="str">
        <f t="shared" si="136"/>
        <v>52.688</v>
      </c>
      <c r="AD61" s="164" t="str">
        <f t="shared" si="137"/>
        <v>4.29</v>
      </c>
      <c r="AE61" s="164">
        <v>91.43</v>
      </c>
      <c r="AF61" s="164" t="str">
        <f t="shared" si="138"/>
        <v>4.80</v>
      </c>
      <c r="AG61" s="165" t="str">
        <f t="shared" si="139"/>
        <v>200.00</v>
      </c>
      <c r="AH61" s="23"/>
      <c r="AI61" s="278">
        <v>0.1</v>
      </c>
      <c r="AJ61" s="24" t="str">
        <f t="shared" si="140"/>
        <v>203.68</v>
      </c>
      <c r="AK61" s="279" t="str">
        <f t="shared" si="141"/>
        <v>31.93%</v>
      </c>
      <c r="AL61" s="280"/>
      <c r="AM61" s="281" t="str">
        <f t="shared" si="142"/>
        <v>0.00</v>
      </c>
      <c r="AN61" s="280"/>
      <c r="AO61" s="282"/>
      <c r="AP61" s="283"/>
      <c r="AQ61" s="283" t="str">
        <f t="shared" si="143"/>
        <v>0.00</v>
      </c>
      <c r="AR61" s="283"/>
      <c r="AS61" s="284">
        <v>45.0</v>
      </c>
      <c r="AT61" s="285" t="str">
        <f t="shared" si="21"/>
        <v>9,165.73</v>
      </c>
      <c r="AU61" s="284">
        <v>45.0</v>
      </c>
      <c r="AV61" s="286">
        <v>0.5621</v>
      </c>
      <c r="AW61" s="285">
        <v>-30976.7</v>
      </c>
      <c r="AX61" s="284">
        <v>-107.91</v>
      </c>
      <c r="AY61" s="26"/>
      <c r="AZ61" s="171" t="str">
        <f t="shared" si="144"/>
        <v>0.00%</v>
      </c>
      <c r="BA61" s="172" t="str">
        <f t="shared" si="145"/>
        <v>0.00</v>
      </c>
      <c r="BB61" s="173" t="str">
        <f t="shared" si="146"/>
        <v>1,704.56</v>
      </c>
      <c r="BC61" s="174" t="str">
        <f t="shared" si="147"/>
        <v>1,210.24</v>
      </c>
    </row>
    <row r="62" ht="12.75" customHeight="1">
      <c r="A62" s="26"/>
      <c r="B62" s="190" t="s">
        <v>167</v>
      </c>
      <c r="C62" s="199">
        <v>1.99367159E8</v>
      </c>
      <c r="D62" s="152" t="s">
        <v>168</v>
      </c>
      <c r="E62" s="153" t="s">
        <v>77</v>
      </c>
      <c r="F62" s="154">
        <v>1.0</v>
      </c>
      <c r="G62" s="53"/>
      <c r="H62" s="53" t="str">
        <f t="shared" si="125"/>
        <v>0.00069</v>
      </c>
      <c r="I62" s="53" t="str">
        <f t="shared" si="126"/>
        <v>89</v>
      </c>
      <c r="J62" s="53" t="str">
        <f t="shared" si="127"/>
        <v>0</v>
      </c>
      <c r="K62" s="155" t="str">
        <f t="shared" si="128"/>
        <v>0.00</v>
      </c>
      <c r="L62" s="156" t="str">
        <f t="shared" si="129"/>
        <v>0.00 </v>
      </c>
      <c r="M62" s="132">
        <v>90.0</v>
      </c>
      <c r="N62" s="175">
        <v>690.39</v>
      </c>
      <c r="O62" s="277">
        <v>752.53</v>
      </c>
      <c r="P62" s="277">
        <v>731.81</v>
      </c>
      <c r="Q62" s="175">
        <v>690.39</v>
      </c>
      <c r="R62" s="158">
        <v>1900.0</v>
      </c>
      <c r="S62" s="159" t="str">
        <f t="shared" si="130"/>
        <v>1,900.00</v>
      </c>
      <c r="T62" s="160">
        <v>1919.0</v>
      </c>
      <c r="U62" s="161">
        <v>0.26</v>
      </c>
      <c r="V62" s="162" t="str">
        <f t="shared" si="131"/>
        <v>1,406.00</v>
      </c>
      <c r="W62" s="163" t="str">
        <f t="shared" si="132"/>
        <v>60.00</v>
      </c>
      <c r="X62" s="164" t="str">
        <f t="shared" si="133"/>
        <v>105.12</v>
      </c>
      <c r="Y62" s="165" t="str">
        <f t="shared" si="134"/>
        <v>0.00</v>
      </c>
      <c r="Z62" s="166">
        <v>0.48</v>
      </c>
      <c r="AA62" s="167" t="str">
        <f t="shared" si="148"/>
        <v>76</v>
      </c>
      <c r="AB62" s="168" t="str">
        <f t="shared" si="135"/>
        <v>617.500</v>
      </c>
      <c r="AC62" s="168" t="str">
        <f t="shared" si="136"/>
        <v>50.054</v>
      </c>
      <c r="AD62" s="164" t="str">
        <f t="shared" si="137"/>
        <v>10.81</v>
      </c>
      <c r="AE62" s="164">
        <v>78.38</v>
      </c>
      <c r="AF62" s="164" t="str">
        <f t="shared" si="138"/>
        <v>4.80</v>
      </c>
      <c r="AG62" s="165" t="str">
        <f t="shared" si="139"/>
        <v>190.00</v>
      </c>
      <c r="AH62" s="23"/>
      <c r="AI62" s="278">
        <v>0.1</v>
      </c>
      <c r="AJ62" s="24" t="str">
        <f t="shared" si="140"/>
        <v>95.32</v>
      </c>
      <c r="AK62" s="279" t="str">
        <f t="shared" si="141"/>
        <v>13.81%</v>
      </c>
      <c r="AL62" s="280"/>
      <c r="AM62" s="281" t="str">
        <f t="shared" si="142"/>
        <v>0.00</v>
      </c>
      <c r="AN62" s="280"/>
      <c r="AO62" s="282"/>
      <c r="AP62" s="283"/>
      <c r="AQ62" s="283" t="str">
        <f t="shared" si="143"/>
        <v>0.00</v>
      </c>
      <c r="AR62" s="283"/>
      <c r="AS62" s="284">
        <v>1.0</v>
      </c>
      <c r="AT62" s="285" t="str">
        <f t="shared" si="21"/>
        <v>95.32</v>
      </c>
      <c r="AU62" s="284">
        <v>1.0</v>
      </c>
      <c r="AV62" s="286">
        <v>0.0</v>
      </c>
      <c r="AW62" s="285">
        <v>246.09</v>
      </c>
      <c r="AX62" s="284">
        <v>35.64</v>
      </c>
      <c r="AY62" s="26"/>
      <c r="AZ62" s="171" t="str">
        <f t="shared" si="144"/>
        <v>0.00%</v>
      </c>
      <c r="BA62" s="172" t="str">
        <f t="shared" si="145"/>
        <v>0.00</v>
      </c>
      <c r="BB62" s="173" t="str">
        <f t="shared" si="146"/>
        <v>1,833.04</v>
      </c>
      <c r="BC62" s="174" t="str">
        <f t="shared" si="147"/>
        <v>1,301.46</v>
      </c>
    </row>
    <row r="63" ht="12.75" hidden="1" customHeight="1">
      <c r="A63" s="26"/>
      <c r="B63" s="190" t="s">
        <v>169</v>
      </c>
      <c r="C63" s="192">
        <v>1.99359659E8</v>
      </c>
      <c r="D63" s="152" t="s">
        <v>170</v>
      </c>
      <c r="E63" s="53" t="s">
        <v>77</v>
      </c>
      <c r="F63" s="154">
        <v>1.0</v>
      </c>
      <c r="G63" s="53"/>
      <c r="H63" s="53" t="str">
        <f t="shared" si="125"/>
        <v>0.00069</v>
      </c>
      <c r="I63" s="53" t="str">
        <f t="shared" si="126"/>
        <v>89</v>
      </c>
      <c r="J63" s="53" t="str">
        <f t="shared" si="127"/>
        <v>0</v>
      </c>
      <c r="K63" s="155" t="str">
        <f t="shared" si="128"/>
        <v>0.00</v>
      </c>
      <c r="L63" s="156" t="str">
        <f t="shared" si="129"/>
        <v>0.00 </v>
      </c>
      <c r="M63" s="132">
        <v>90.0</v>
      </c>
      <c r="N63" s="157">
        <v>0.0</v>
      </c>
      <c r="O63" s="277">
        <v>0.0</v>
      </c>
      <c r="P63" s="277" t="str">
        <f t="shared" ref="P63:P64" si="149">K63/E63</f>
        <v>#VALUE!</v>
      </c>
      <c r="Q63" s="157">
        <v>0.0</v>
      </c>
      <c r="R63" s="158">
        <v>1592.4</v>
      </c>
      <c r="S63" s="159" t="str">
        <f t="shared" ref="S63:S64" si="150">BB63</f>
        <v>313.30</v>
      </c>
      <c r="T63" s="160"/>
      <c r="U63" s="161">
        <v>0.26</v>
      </c>
      <c r="V63" s="162" t="str">
        <f t="shared" si="131"/>
        <v>1,178.38</v>
      </c>
      <c r="W63" s="163" t="str">
        <f t="shared" si="132"/>
        <v>60.00</v>
      </c>
      <c r="X63" s="164" t="str">
        <f t="shared" si="133"/>
        <v>88.10</v>
      </c>
      <c r="Y63" s="165" t="str">
        <f t="shared" si="134"/>
        <v>0.00</v>
      </c>
      <c r="Z63" s="166">
        <v>0.4</v>
      </c>
      <c r="AA63" s="167" t="str">
        <f t="shared" si="148"/>
        <v>76</v>
      </c>
      <c r="AB63" s="168" t="str">
        <f t="shared" si="135"/>
        <v>517.530</v>
      </c>
      <c r="AC63" s="168" t="str">
        <f t="shared" si="136"/>
        <v>41.950</v>
      </c>
      <c r="AD63" s="164" t="str">
        <f t="shared" si="137"/>
        <v>3.03</v>
      </c>
      <c r="AE63" s="164">
        <v>93.94</v>
      </c>
      <c r="AF63" s="164" t="str">
        <f t="shared" si="138"/>
        <v>4.80</v>
      </c>
      <c r="AG63" s="165" t="str">
        <f t="shared" si="139"/>
        <v>159.24</v>
      </c>
      <c r="AH63" s="23"/>
      <c r="AI63" s="278">
        <v>0.1</v>
      </c>
      <c r="AJ63" s="24" t="str">
        <f t="shared" si="140"/>
        <v>641.75</v>
      </c>
      <c r="AK63" s="279" t="str">
        <f t="shared" si="141"/>
        <v>#DIV/0!</v>
      </c>
      <c r="AL63" s="280"/>
      <c r="AM63" s="281" t="str">
        <f t="shared" si="142"/>
        <v>0.00</v>
      </c>
      <c r="AN63" s="280"/>
      <c r="AO63" s="282"/>
      <c r="AP63" s="283"/>
      <c r="AQ63" s="283" t="str">
        <f t="shared" si="143"/>
        <v>0.00</v>
      </c>
      <c r="AR63" s="283"/>
      <c r="AS63" s="284"/>
      <c r="AT63" s="285" t="str">
        <f t="shared" si="21"/>
        <v>0.00</v>
      </c>
      <c r="AU63" s="284"/>
      <c r="AV63" s="286"/>
      <c r="AW63" s="285"/>
      <c r="AX63" s="284"/>
      <c r="AY63" s="26"/>
      <c r="AZ63" s="171" t="str">
        <f t="shared" si="144"/>
        <v>0.00%</v>
      </c>
      <c r="BA63" s="172" t="str">
        <f t="shared" si="145"/>
        <v>0.00</v>
      </c>
      <c r="BB63" s="173" t="str">
        <f t="shared" si="146"/>
        <v>313.30</v>
      </c>
      <c r="BC63" s="174" t="str">
        <f t="shared" si="147"/>
        <v>222.44</v>
      </c>
    </row>
    <row r="64" ht="12.75" hidden="1" customHeight="1">
      <c r="A64" s="26"/>
      <c r="B64" s="190" t="s">
        <v>171</v>
      </c>
      <c r="C64" s="192">
        <v>1.99427997E8</v>
      </c>
      <c r="D64" s="152" t="s">
        <v>172</v>
      </c>
      <c r="E64" s="53" t="s">
        <v>77</v>
      </c>
      <c r="F64" s="154">
        <v>1.0</v>
      </c>
      <c r="G64" s="53"/>
      <c r="H64" s="53" t="str">
        <f t="shared" si="125"/>
        <v>0.00069</v>
      </c>
      <c r="I64" s="53" t="str">
        <f t="shared" si="126"/>
        <v>89</v>
      </c>
      <c r="J64" s="53" t="str">
        <f t="shared" si="127"/>
        <v>0</v>
      </c>
      <c r="K64" s="155" t="str">
        <f t="shared" si="128"/>
        <v>0.00</v>
      </c>
      <c r="L64" s="156" t="str">
        <f t="shared" si="129"/>
        <v>0.00 </v>
      </c>
      <c r="M64" s="132">
        <v>90.0</v>
      </c>
      <c r="N64" s="157">
        <v>0.0</v>
      </c>
      <c r="O64" s="277">
        <v>0.0</v>
      </c>
      <c r="P64" s="277" t="str">
        <f t="shared" si="149"/>
        <v>#VALUE!</v>
      </c>
      <c r="Q64" s="157">
        <v>0.0</v>
      </c>
      <c r="R64" s="158">
        <v>2055.6</v>
      </c>
      <c r="S64" s="159" t="str">
        <f t="shared" si="150"/>
        <v>314.53</v>
      </c>
      <c r="T64" s="160"/>
      <c r="U64" s="161">
        <v>0.26</v>
      </c>
      <c r="V64" s="162" t="str">
        <f t="shared" si="131"/>
        <v>1,521.14</v>
      </c>
      <c r="W64" s="163" t="str">
        <f t="shared" si="132"/>
        <v>60.00</v>
      </c>
      <c r="X64" s="164" t="str">
        <f t="shared" si="133"/>
        <v>113.73</v>
      </c>
      <c r="Y64" s="165" t="str">
        <f t="shared" si="134"/>
        <v>0.00</v>
      </c>
      <c r="Z64" s="166">
        <v>0.27</v>
      </c>
      <c r="AA64" s="167" t="str">
        <f t="shared" si="148"/>
        <v>76</v>
      </c>
      <c r="AB64" s="168" t="str">
        <f t="shared" si="135"/>
        <v>668.070</v>
      </c>
      <c r="AC64" s="168" t="str">
        <f t="shared" si="136"/>
        <v>54.153</v>
      </c>
      <c r="AD64" s="164" t="str">
        <f t="shared" si="137"/>
        <v>3.60</v>
      </c>
      <c r="AE64" s="164">
        <v>92.81</v>
      </c>
      <c r="AF64" s="164" t="str">
        <f t="shared" si="138"/>
        <v>4.80</v>
      </c>
      <c r="AG64" s="165" t="str">
        <f t="shared" si="139"/>
        <v>205.56</v>
      </c>
      <c r="AH64" s="23"/>
      <c r="AI64" s="278">
        <v>0.1</v>
      </c>
      <c r="AJ64" s="24" t="str">
        <f t="shared" si="140"/>
        <v>869.69</v>
      </c>
      <c r="AK64" s="279" t="str">
        <f t="shared" si="141"/>
        <v>#DIV/0!</v>
      </c>
      <c r="AL64" s="280"/>
      <c r="AM64" s="281" t="str">
        <f t="shared" si="142"/>
        <v>0.00</v>
      </c>
      <c r="AN64" s="280"/>
      <c r="AO64" s="282"/>
      <c r="AP64" s="283"/>
      <c r="AQ64" s="283" t="str">
        <f t="shared" si="143"/>
        <v>0.00</v>
      </c>
      <c r="AR64" s="283"/>
      <c r="AS64" s="284"/>
      <c r="AT64" s="285" t="str">
        <f t="shared" si="21"/>
        <v>0.00</v>
      </c>
      <c r="AU64" s="284"/>
      <c r="AV64" s="286"/>
      <c r="AW64" s="285"/>
      <c r="AX64" s="284"/>
      <c r="AY64" s="26"/>
      <c r="AZ64" s="171" t="str">
        <f t="shared" si="144"/>
        <v>0.00%</v>
      </c>
      <c r="BA64" s="172" t="str">
        <f t="shared" si="145"/>
        <v>0.00</v>
      </c>
      <c r="BB64" s="173" t="str">
        <f t="shared" si="146"/>
        <v>314.53</v>
      </c>
      <c r="BC64" s="174" t="str">
        <f t="shared" si="147"/>
        <v>223.32</v>
      </c>
    </row>
    <row r="65" ht="12.75" customHeight="1">
      <c r="A65" s="26"/>
      <c r="B65" s="125" t="s">
        <v>173</v>
      </c>
      <c r="C65" s="126"/>
      <c r="D65" s="127"/>
      <c r="E65" s="128"/>
      <c r="F65" s="129"/>
      <c r="G65" s="128"/>
      <c r="H65" s="197"/>
      <c r="I65" s="197"/>
      <c r="J65" s="128"/>
      <c r="K65" s="130"/>
      <c r="L65" s="131"/>
      <c r="M65" s="132"/>
      <c r="N65" s="176"/>
      <c r="O65" s="133"/>
      <c r="P65" s="133"/>
      <c r="Q65" s="176"/>
      <c r="R65" s="134"/>
      <c r="S65" s="135"/>
      <c r="T65" s="135"/>
      <c r="U65" s="136"/>
      <c r="V65" s="137"/>
      <c r="W65" s="177"/>
      <c r="X65" s="178"/>
      <c r="Y65" s="179"/>
      <c r="Z65" s="180"/>
      <c r="AA65" s="181"/>
      <c r="AB65" s="182"/>
      <c r="AC65" s="182"/>
      <c r="AD65" s="178"/>
      <c r="AE65" s="178"/>
      <c r="AF65" s="178"/>
      <c r="AG65" s="179"/>
      <c r="AH65" s="183"/>
      <c r="AI65" s="271"/>
      <c r="AJ65" s="287"/>
      <c r="AK65" s="288"/>
      <c r="AL65" s="288"/>
      <c r="AM65" s="288"/>
      <c r="AN65" s="288"/>
      <c r="AO65" s="288"/>
      <c r="AP65" s="288"/>
      <c r="AQ65" s="288"/>
      <c r="AR65" s="288"/>
      <c r="AS65" s="289"/>
      <c r="AT65" s="285" t="str">
        <f t="shared" si="21"/>
        <v>0.00</v>
      </c>
      <c r="AU65" s="289"/>
      <c r="AV65" s="289"/>
      <c r="AW65" s="290"/>
      <c r="AX65" s="288"/>
      <c r="AY65" s="26"/>
      <c r="AZ65" s="186"/>
      <c r="BA65" s="187"/>
      <c r="BB65" s="188"/>
      <c r="BC65" s="189"/>
    </row>
    <row r="66" ht="12.75" customHeight="1">
      <c r="A66" s="26"/>
      <c r="B66" s="190" t="s">
        <v>174</v>
      </c>
      <c r="C66" s="199">
        <v>2.07479264E8</v>
      </c>
      <c r="D66" s="190" t="s">
        <v>175</v>
      </c>
      <c r="E66" s="153" t="s">
        <v>77</v>
      </c>
      <c r="F66" s="154">
        <v>1.0</v>
      </c>
      <c r="G66" s="53"/>
      <c r="H66" s="53" t="str">
        <f t="shared" ref="H66:H69" si="151">$I$2</f>
        <v>0.00069</v>
      </c>
      <c r="I66" s="53" t="str">
        <f t="shared" ref="I66:I69" si="152">$I$3</f>
        <v>89</v>
      </c>
      <c r="J66" s="53" t="str">
        <f t="shared" ref="J66:J69" si="153">G66*H66*I66*F66</f>
        <v>0</v>
      </c>
      <c r="K66" s="155" t="str">
        <f t="shared" ref="K66:K69" si="154">J66*$J$4</f>
        <v>0.00</v>
      </c>
      <c r="L66" s="156" t="str">
        <f t="shared" ref="L66:L69" si="155">K66+J66</f>
        <v>0.00 </v>
      </c>
      <c r="M66" s="132">
        <v>90.0</v>
      </c>
      <c r="N66" s="175">
        <v>219.47</v>
      </c>
      <c r="O66" s="277">
        <v>239.22</v>
      </c>
      <c r="P66" s="277">
        <v>232.64</v>
      </c>
      <c r="Q66" s="175">
        <v>219.47</v>
      </c>
      <c r="R66" s="158">
        <v>850.0</v>
      </c>
      <c r="S66" s="159" t="str">
        <f t="shared" ref="S66:S68" si="156">R66</f>
        <v>850.00</v>
      </c>
      <c r="T66" s="160">
        <v>909.0</v>
      </c>
      <c r="U66" s="161">
        <v>0.26</v>
      </c>
      <c r="V66" s="162" t="str">
        <f t="shared" ref="V66:V69" si="157">R66-(R66*U66)</f>
        <v>629.00</v>
      </c>
      <c r="W66" s="163" t="str">
        <f t="shared" ref="W66:W69" si="158">$C$1</f>
        <v>60.00</v>
      </c>
      <c r="X66" s="164" t="str">
        <f t="shared" ref="X66:X69" si="159">(V66*7/107)+((V66-(V66*7/107))*1%)</f>
        <v>47.03</v>
      </c>
      <c r="Y66" s="165" t="str">
        <f t="shared" ref="Y66:Y69" si="160">Q66*$C$3*(M66/30)</f>
        <v>0.00</v>
      </c>
      <c r="Z66" s="166">
        <v>0.29</v>
      </c>
      <c r="AA66" s="167" t="str">
        <f t="shared" ref="AA66:AA69" si="161">((_xlfn.CEILING.MATH(Z66)-1)*$C$5+$C$4)</f>
        <v>76</v>
      </c>
      <c r="AB66" s="168" t="str">
        <f t="shared" ref="AB66:AB69" si="162">R66*$AB$6</f>
        <v>276.250</v>
      </c>
      <c r="AC66" s="168" t="str">
        <f t="shared" ref="AC66:AC69" si="163">V66*$AB$7</f>
        <v>22.392</v>
      </c>
      <c r="AD66" s="164" t="str">
        <f t="shared" ref="AD66:AD69" si="164">$AB$3*((100-AE66)/100)</f>
        <v>5.50</v>
      </c>
      <c r="AE66" s="164">
        <v>89.0</v>
      </c>
      <c r="AF66" s="164" t="str">
        <f t="shared" ref="AF66:AF69" si="165">$C$6*$C$7*_xlfn.CEILING.MATH(Z66)</f>
        <v>4.80</v>
      </c>
      <c r="AG66" s="165" t="str">
        <f t="shared" ref="AG66:AG69" si="166">R66*$C$2</f>
        <v>85.00</v>
      </c>
      <c r="AH66" s="23"/>
      <c r="AI66" s="278">
        <v>0.1</v>
      </c>
      <c r="AJ66" s="24" t="str">
        <f t="shared" ref="AJ66:AJ69" si="167">R66-W66-X66-Y66-AA66-AB66-AC66-AD66-AF66-AG66-Q66</f>
        <v>53.56</v>
      </c>
      <c r="AK66" s="279" t="str">
        <f t="shared" ref="AK66:AK69" si="168">AJ66/Q66</f>
        <v>24.40%</v>
      </c>
      <c r="AL66" s="280"/>
      <c r="AM66" s="281" t="str">
        <f t="shared" ref="AM66:AM69" si="169">AJ66*AL66</f>
        <v>0.00</v>
      </c>
      <c r="AN66" s="280"/>
      <c r="AO66" s="282">
        <v>10.05</v>
      </c>
      <c r="AP66" s="283">
        <v>151.41</v>
      </c>
      <c r="AQ66" s="283" t="str">
        <f t="shared" ref="AQ66:AQ69" si="170">AN66*AP66</f>
        <v>0.00</v>
      </c>
      <c r="AR66" s="283">
        <v>65.62</v>
      </c>
      <c r="AS66" s="284">
        <v>28.0</v>
      </c>
      <c r="AT66" s="285" t="str">
        <f t="shared" si="21"/>
        <v>1,499.67</v>
      </c>
      <c r="AU66" s="284">
        <v>28.0</v>
      </c>
      <c r="AV66" s="286">
        <v>1.0E-4</v>
      </c>
      <c r="AW66" s="285">
        <v>5030.32</v>
      </c>
      <c r="AX66" s="284">
        <v>81.86</v>
      </c>
      <c r="AY66" s="26"/>
      <c r="AZ66" s="171" t="str">
        <f t="shared" ref="AZ66:AZ69" si="171">$AG$3</f>
        <v>0.00%</v>
      </c>
      <c r="BA66" s="172" t="str">
        <f t="shared" ref="BA66:BA69" si="172">Q66*AZ66</f>
        <v>0.00</v>
      </c>
      <c r="BB66" s="173" t="str">
        <f t="shared" ref="BB66:BB69" si="173">(Q66+W66+Y66+AA66+AD66+AF66+AI66+BA66)/(100%-($C$2+$C$8+$AB$6+$AB$7))</f>
        <v>796.41</v>
      </c>
      <c r="BC66" s="174" t="str">
        <f t="shared" ref="BC66:BC69" si="174">BB66-(BB66*$AG$1)</f>
        <v>565.45</v>
      </c>
    </row>
    <row r="67" ht="12.75" hidden="1" customHeight="1">
      <c r="A67" s="26"/>
      <c r="B67" s="190" t="s">
        <v>176</v>
      </c>
      <c r="C67" s="199">
        <v>1.90160197E8</v>
      </c>
      <c r="D67" s="152" t="s">
        <v>177</v>
      </c>
      <c r="E67" s="153" t="s">
        <v>77</v>
      </c>
      <c r="F67" s="154">
        <v>1.0</v>
      </c>
      <c r="G67" s="53"/>
      <c r="H67" s="53" t="str">
        <f t="shared" si="151"/>
        <v>0.00069</v>
      </c>
      <c r="I67" s="53" t="str">
        <f t="shared" si="152"/>
        <v>89</v>
      </c>
      <c r="J67" s="53" t="str">
        <f t="shared" si="153"/>
        <v>0</v>
      </c>
      <c r="K67" s="155" t="str">
        <f t="shared" si="154"/>
        <v>0.00</v>
      </c>
      <c r="L67" s="156" t="str">
        <f t="shared" si="155"/>
        <v>0.00 </v>
      </c>
      <c r="M67" s="132">
        <v>90.0</v>
      </c>
      <c r="N67" s="157">
        <v>234.0</v>
      </c>
      <c r="O67" s="277">
        <v>255.06</v>
      </c>
      <c r="P67" s="277">
        <v>248.04</v>
      </c>
      <c r="Q67" s="157">
        <v>234.0</v>
      </c>
      <c r="R67" s="158">
        <v>900.0</v>
      </c>
      <c r="S67" s="159" t="str">
        <f t="shared" si="156"/>
        <v>900.00</v>
      </c>
      <c r="T67" s="160">
        <v>923.0</v>
      </c>
      <c r="U67" s="161">
        <v>0.26</v>
      </c>
      <c r="V67" s="162" t="str">
        <f t="shared" si="157"/>
        <v>666.00</v>
      </c>
      <c r="W67" s="163" t="str">
        <f t="shared" si="158"/>
        <v>60.00</v>
      </c>
      <c r="X67" s="164" t="str">
        <f t="shared" si="159"/>
        <v>49.79</v>
      </c>
      <c r="Y67" s="165" t="str">
        <f t="shared" si="160"/>
        <v>0.00</v>
      </c>
      <c r="Z67" s="166">
        <v>0.5</v>
      </c>
      <c r="AA67" s="167" t="str">
        <f t="shared" si="161"/>
        <v>76</v>
      </c>
      <c r="AB67" s="168" t="str">
        <f t="shared" si="162"/>
        <v>292.500</v>
      </c>
      <c r="AC67" s="168" t="str">
        <f t="shared" si="163"/>
        <v>23.710</v>
      </c>
      <c r="AD67" s="164" t="str">
        <f t="shared" si="164"/>
        <v>2.06</v>
      </c>
      <c r="AE67" s="164">
        <v>95.89</v>
      </c>
      <c r="AF67" s="164" t="str">
        <f t="shared" si="165"/>
        <v>4.80</v>
      </c>
      <c r="AG67" s="165" t="str">
        <f t="shared" si="166"/>
        <v>90.00</v>
      </c>
      <c r="AH67" s="23"/>
      <c r="AI67" s="278">
        <v>0.1</v>
      </c>
      <c r="AJ67" s="24" t="str">
        <f t="shared" si="167"/>
        <v>67.14</v>
      </c>
      <c r="AK67" s="279" t="str">
        <f t="shared" si="168"/>
        <v>28.69%</v>
      </c>
      <c r="AL67" s="280"/>
      <c r="AM67" s="281" t="str">
        <f t="shared" si="169"/>
        <v>0.00</v>
      </c>
      <c r="AN67" s="280"/>
      <c r="AO67" s="282"/>
      <c r="AP67" s="283"/>
      <c r="AQ67" s="283" t="str">
        <f t="shared" si="170"/>
        <v>0.00</v>
      </c>
      <c r="AR67" s="283"/>
      <c r="AS67" s="284"/>
      <c r="AT67" s="285" t="str">
        <f t="shared" si="21"/>
        <v>0.00</v>
      </c>
      <c r="AU67" s="284"/>
      <c r="AV67" s="286"/>
      <c r="AW67" s="285"/>
      <c r="AX67" s="284"/>
      <c r="AY67" s="26"/>
      <c r="AZ67" s="171" t="str">
        <f t="shared" si="171"/>
        <v>0.00%</v>
      </c>
      <c r="BA67" s="172" t="str">
        <f t="shared" si="172"/>
        <v>0.00</v>
      </c>
      <c r="BB67" s="173" t="str">
        <f t="shared" si="173"/>
        <v>820.54</v>
      </c>
      <c r="BC67" s="174" t="str">
        <f t="shared" si="174"/>
        <v>582.58</v>
      </c>
    </row>
    <row r="68" ht="12.75" customHeight="1">
      <c r="A68" s="26"/>
      <c r="B68" s="190" t="s">
        <v>178</v>
      </c>
      <c r="C68" s="199">
        <v>2.08202076E8</v>
      </c>
      <c r="D68" s="152" t="s">
        <v>179</v>
      </c>
      <c r="E68" s="153" t="s">
        <v>77</v>
      </c>
      <c r="F68" s="154">
        <v>1.0</v>
      </c>
      <c r="G68" s="53"/>
      <c r="H68" s="53" t="str">
        <f t="shared" si="151"/>
        <v>0.00069</v>
      </c>
      <c r="I68" s="53" t="str">
        <f t="shared" si="152"/>
        <v>89</v>
      </c>
      <c r="J68" s="53" t="str">
        <f t="shared" si="153"/>
        <v>0</v>
      </c>
      <c r="K68" s="155" t="str">
        <f t="shared" si="154"/>
        <v>0.00</v>
      </c>
      <c r="L68" s="156" t="str">
        <f t="shared" si="155"/>
        <v>0.00 </v>
      </c>
      <c r="M68" s="132">
        <v>90.0</v>
      </c>
      <c r="N68" s="157">
        <v>142.13</v>
      </c>
      <c r="O68" s="277">
        <v>154.92</v>
      </c>
      <c r="P68" s="277">
        <v>150.66</v>
      </c>
      <c r="Q68" s="157">
        <v>142.13</v>
      </c>
      <c r="R68" s="158">
        <v>660.0</v>
      </c>
      <c r="S68" s="159" t="str">
        <f t="shared" si="156"/>
        <v>660.00</v>
      </c>
      <c r="T68" s="160">
        <v>524.0</v>
      </c>
      <c r="U68" s="161">
        <v>0.26</v>
      </c>
      <c r="V68" s="162" t="str">
        <f t="shared" si="157"/>
        <v>488.40</v>
      </c>
      <c r="W68" s="163" t="str">
        <f t="shared" si="158"/>
        <v>60.00</v>
      </c>
      <c r="X68" s="164" t="str">
        <f t="shared" si="159"/>
        <v>36.52</v>
      </c>
      <c r="Y68" s="165" t="str">
        <f t="shared" si="160"/>
        <v>0.00</v>
      </c>
      <c r="Z68" s="166">
        <v>0.29</v>
      </c>
      <c r="AA68" s="167" t="str">
        <f t="shared" si="161"/>
        <v>76</v>
      </c>
      <c r="AB68" s="168" t="str">
        <f t="shared" si="162"/>
        <v>214.500</v>
      </c>
      <c r="AC68" s="168" t="str">
        <f t="shared" si="163"/>
        <v>17.387</v>
      </c>
      <c r="AD68" s="164" t="str">
        <f t="shared" si="164"/>
        <v>2.05</v>
      </c>
      <c r="AE68" s="164">
        <v>95.9</v>
      </c>
      <c r="AF68" s="164" t="str">
        <f t="shared" si="165"/>
        <v>4.80</v>
      </c>
      <c r="AG68" s="165" t="str">
        <f t="shared" si="166"/>
        <v>66.00</v>
      </c>
      <c r="AH68" s="23"/>
      <c r="AI68" s="278">
        <v>0.1</v>
      </c>
      <c r="AJ68" s="24" t="str">
        <f t="shared" si="167"/>
        <v>40.62</v>
      </c>
      <c r="AK68" s="291" t="str">
        <f t="shared" si="168"/>
        <v>28.58%</v>
      </c>
      <c r="AL68" s="280"/>
      <c r="AM68" s="281" t="str">
        <f t="shared" si="169"/>
        <v>0.00</v>
      </c>
      <c r="AN68" s="280"/>
      <c r="AO68" s="282">
        <v>6.32</v>
      </c>
      <c r="AP68" s="283">
        <v>117.5</v>
      </c>
      <c r="AQ68" s="283" t="str">
        <f t="shared" si="170"/>
        <v>0.00</v>
      </c>
      <c r="AR68" s="283">
        <v>78.74</v>
      </c>
      <c r="AS68" s="284">
        <v>97.0</v>
      </c>
      <c r="AT68" s="285" t="str">
        <f t="shared" si="21"/>
        <v>3,939.86</v>
      </c>
      <c r="AU68" s="284">
        <v>97.0</v>
      </c>
      <c r="AV68" s="286">
        <v>0.0</v>
      </c>
      <c r="AW68" s="285">
        <v>13406.31</v>
      </c>
      <c r="AX68" s="284">
        <v>97.24</v>
      </c>
      <c r="AY68" s="26"/>
      <c r="AZ68" s="171" t="str">
        <f t="shared" si="171"/>
        <v>0.00%</v>
      </c>
      <c r="BA68" s="172" t="str">
        <f t="shared" si="172"/>
        <v>0.00</v>
      </c>
      <c r="BB68" s="173" t="str">
        <f t="shared" si="173"/>
        <v>620.55</v>
      </c>
      <c r="BC68" s="174" t="str">
        <f t="shared" si="174"/>
        <v>440.59</v>
      </c>
    </row>
    <row r="69" ht="12.75" hidden="1" customHeight="1">
      <c r="A69" s="26"/>
      <c r="B69" s="190" t="s">
        <v>180</v>
      </c>
      <c r="C69" s="192">
        <v>2.07480081E8</v>
      </c>
      <c r="D69" s="152" t="s">
        <v>181</v>
      </c>
      <c r="E69" s="53" t="s">
        <v>77</v>
      </c>
      <c r="F69" s="154">
        <v>1.0</v>
      </c>
      <c r="G69" s="53"/>
      <c r="H69" s="53" t="str">
        <f t="shared" si="151"/>
        <v>0.00069</v>
      </c>
      <c r="I69" s="53" t="str">
        <f t="shared" si="152"/>
        <v>89</v>
      </c>
      <c r="J69" s="53" t="str">
        <f t="shared" si="153"/>
        <v>0</v>
      </c>
      <c r="K69" s="155" t="str">
        <f t="shared" si="154"/>
        <v>0.00</v>
      </c>
      <c r="L69" s="156" t="str">
        <f t="shared" si="155"/>
        <v>0.00 </v>
      </c>
      <c r="M69" s="132">
        <v>90.0</v>
      </c>
      <c r="N69" s="157">
        <v>0.0</v>
      </c>
      <c r="O69" s="277">
        <v>0.0</v>
      </c>
      <c r="P69" s="277" t="str">
        <f>K69/E69</f>
        <v>#VALUE!</v>
      </c>
      <c r="Q69" s="157">
        <v>0.0</v>
      </c>
      <c r="R69" s="158">
        <v>736.2</v>
      </c>
      <c r="S69" s="159" t="str">
        <f>BB69</f>
        <v>313.38</v>
      </c>
      <c r="T69" s="160"/>
      <c r="U69" s="161">
        <v>0.26</v>
      </c>
      <c r="V69" s="162" t="str">
        <f t="shared" si="157"/>
        <v>544.79</v>
      </c>
      <c r="W69" s="163" t="str">
        <f t="shared" si="158"/>
        <v>60.00</v>
      </c>
      <c r="X69" s="164" t="str">
        <f t="shared" si="159"/>
        <v>40.73</v>
      </c>
      <c r="Y69" s="165" t="str">
        <f t="shared" si="160"/>
        <v>0.00</v>
      </c>
      <c r="Z69" s="166">
        <v>0.48</v>
      </c>
      <c r="AA69" s="167" t="str">
        <f t="shared" si="161"/>
        <v>76</v>
      </c>
      <c r="AB69" s="168" t="str">
        <f t="shared" si="162"/>
        <v>239.265</v>
      </c>
      <c r="AC69" s="168" t="str">
        <f t="shared" si="163"/>
        <v>19.394</v>
      </c>
      <c r="AD69" s="164" t="str">
        <f t="shared" si="164"/>
        <v>3.07</v>
      </c>
      <c r="AE69" s="164">
        <v>93.87</v>
      </c>
      <c r="AF69" s="164" t="str">
        <f t="shared" si="165"/>
        <v>4.80</v>
      </c>
      <c r="AG69" s="165" t="str">
        <f t="shared" si="166"/>
        <v>73.62</v>
      </c>
      <c r="AH69" s="23"/>
      <c r="AI69" s="278">
        <v>0.1</v>
      </c>
      <c r="AJ69" s="24" t="str">
        <f t="shared" si="167"/>
        <v>219.32</v>
      </c>
      <c r="AK69" s="279" t="str">
        <f t="shared" si="168"/>
        <v>#DIV/0!</v>
      </c>
      <c r="AL69" s="280"/>
      <c r="AM69" s="281" t="str">
        <f t="shared" si="169"/>
        <v>0.00</v>
      </c>
      <c r="AN69" s="280"/>
      <c r="AO69" s="282"/>
      <c r="AP69" s="283"/>
      <c r="AQ69" s="283" t="str">
        <f t="shared" si="170"/>
        <v>0.00</v>
      </c>
      <c r="AR69" s="283"/>
      <c r="AS69" s="284"/>
      <c r="AT69" s="285" t="str">
        <f t="shared" si="21"/>
        <v>0.00</v>
      </c>
      <c r="AU69" s="249"/>
      <c r="AV69" s="249"/>
      <c r="AW69" s="285"/>
      <c r="AX69" s="284"/>
      <c r="AY69" s="26"/>
      <c r="AZ69" s="171" t="str">
        <f t="shared" si="171"/>
        <v>0.00%</v>
      </c>
      <c r="BA69" s="172" t="str">
        <f t="shared" si="172"/>
        <v>0.00</v>
      </c>
      <c r="BB69" s="173" t="str">
        <f t="shared" si="173"/>
        <v>313.38</v>
      </c>
      <c r="BC69" s="174" t="str">
        <f t="shared" si="174"/>
        <v>222.50</v>
      </c>
    </row>
    <row r="70" ht="12.75" customHeight="1">
      <c r="A70" s="26"/>
      <c r="B70" s="125" t="s">
        <v>182</v>
      </c>
      <c r="C70" s="126"/>
      <c r="D70" s="127"/>
      <c r="E70" s="128"/>
      <c r="F70" s="128"/>
      <c r="G70" s="128"/>
      <c r="H70" s="197"/>
      <c r="I70" s="197"/>
      <c r="J70" s="128"/>
      <c r="K70" s="130"/>
      <c r="L70" s="131"/>
      <c r="M70" s="132"/>
      <c r="N70" s="176"/>
      <c r="O70" s="133"/>
      <c r="P70" s="133"/>
      <c r="Q70" s="176"/>
      <c r="R70" s="134"/>
      <c r="S70" s="135"/>
      <c r="T70" s="135"/>
      <c r="U70" s="136"/>
      <c r="V70" s="137"/>
      <c r="W70" s="177"/>
      <c r="X70" s="178"/>
      <c r="Y70" s="179"/>
      <c r="Z70" s="180"/>
      <c r="AA70" s="181"/>
      <c r="AB70" s="182"/>
      <c r="AC70" s="182"/>
      <c r="AD70" s="178"/>
      <c r="AE70" s="178"/>
      <c r="AF70" s="178"/>
      <c r="AG70" s="179"/>
      <c r="AH70" s="183"/>
      <c r="AI70" s="271"/>
      <c r="AJ70" s="287"/>
      <c r="AK70" s="288"/>
      <c r="AL70" s="288"/>
      <c r="AM70" s="288"/>
      <c r="AN70" s="288"/>
      <c r="AO70" s="288"/>
      <c r="AP70" s="288"/>
      <c r="AQ70" s="288"/>
      <c r="AR70" s="288"/>
      <c r="AS70" s="289"/>
      <c r="AT70" s="285" t="str">
        <f t="shared" si="21"/>
        <v>0.00</v>
      </c>
      <c r="AU70" s="289"/>
      <c r="AV70" s="289"/>
      <c r="AW70" s="290"/>
      <c r="AX70" s="288"/>
      <c r="AY70" s="26"/>
      <c r="AZ70" s="186"/>
      <c r="BA70" s="187"/>
      <c r="BB70" s="188"/>
      <c r="BC70" s="189"/>
    </row>
    <row r="71" ht="12.75" customHeight="1">
      <c r="A71" s="26"/>
      <c r="B71" s="190"/>
      <c r="C71" s="199">
        <v>1.90159348E8</v>
      </c>
      <c r="D71" s="152" t="s">
        <v>183</v>
      </c>
      <c r="E71" s="153" t="s">
        <v>77</v>
      </c>
      <c r="F71" s="154">
        <v>1.0</v>
      </c>
      <c r="G71" s="53"/>
      <c r="H71" s="53" t="str">
        <f t="shared" ref="H71:H85" si="175">$I$2</f>
        <v>0.00069</v>
      </c>
      <c r="I71" s="53" t="str">
        <f t="shared" ref="I71:I85" si="176">$I$3</f>
        <v>89</v>
      </c>
      <c r="J71" s="53" t="str">
        <f t="shared" ref="J71:J85" si="177">G71*H71*I71*F71</f>
        <v>0</v>
      </c>
      <c r="K71" s="155" t="str">
        <f t="shared" ref="K71:K85" si="178">J71*$J$4</f>
        <v>0.00</v>
      </c>
      <c r="L71" s="156" t="str">
        <f t="shared" ref="L71:L85" si="179">K71+J71</f>
        <v>0.00 </v>
      </c>
      <c r="M71" s="132">
        <v>90.0</v>
      </c>
      <c r="N71" s="157">
        <v>283.36</v>
      </c>
      <c r="O71" s="277">
        <v>315.4</v>
      </c>
      <c r="P71" s="277">
        <v>300.36</v>
      </c>
      <c r="Q71" s="157">
        <v>283.36</v>
      </c>
      <c r="R71" s="158">
        <v>990.0</v>
      </c>
      <c r="S71" s="159" t="str">
        <f t="shared" ref="S71:S78" si="180">R71</f>
        <v>990.00</v>
      </c>
      <c r="T71" s="160">
        <v>689.0</v>
      </c>
      <c r="U71" s="161">
        <v>0.26</v>
      </c>
      <c r="V71" s="162" t="str">
        <f t="shared" ref="V71:V86" si="181">R71-(R71*U71)</f>
        <v>732.60</v>
      </c>
      <c r="W71" s="163" t="str">
        <f t="shared" ref="W71:W86" si="182">$C$1</f>
        <v>60.00</v>
      </c>
      <c r="X71" s="164" t="str">
        <f t="shared" ref="X71:X86" si="183">(V71*7/107)+((V71-(V71*7/107))*1%)</f>
        <v>54.77</v>
      </c>
      <c r="Y71" s="165" t="str">
        <f t="shared" ref="Y71:Y86" si="184">Q71*$C$3*(M71/30)</f>
        <v>0.00</v>
      </c>
      <c r="Z71" s="166">
        <v>0.35</v>
      </c>
      <c r="AA71" s="167" t="str">
        <f t="shared" ref="AA71:AA76" si="185">((_xlfn.CEILING.MATH(Z71)-1)*$C$5+$C$4)</f>
        <v>76</v>
      </c>
      <c r="AB71" s="168" t="str">
        <f t="shared" ref="AB71:AB86" si="186">R71*$AB$6</f>
        <v>321.750</v>
      </c>
      <c r="AC71" s="168" t="str">
        <f t="shared" ref="AC71:AC86" si="187">V71*$AB$7</f>
        <v>26.081</v>
      </c>
      <c r="AD71" s="164" t="str">
        <f t="shared" ref="AD71:AD86" si="188">$AB$3*((100-AE71)/100)</f>
        <v>2.85</v>
      </c>
      <c r="AE71" s="164">
        <v>94.31</v>
      </c>
      <c r="AF71" s="164" t="str">
        <f t="shared" ref="AF71:AF86" si="189">$C$6*$C$7*_xlfn.CEILING.MATH(Z71)</f>
        <v>4.80</v>
      </c>
      <c r="AG71" s="165" t="str">
        <f t="shared" ref="AG71:AG86" si="190">R71*$C$2</f>
        <v>99.00</v>
      </c>
      <c r="AH71" s="23"/>
      <c r="AI71" s="278">
        <v>0.1</v>
      </c>
      <c r="AJ71" s="24" t="str">
        <f t="shared" ref="AJ71:AJ86" si="191">R71-W71-X71-Y71-AA71-AB71-AC71-AD71-AF71-AG71-Q71</f>
        <v>61.39</v>
      </c>
      <c r="AK71" s="279" t="str">
        <f t="shared" ref="AK71:AK86" si="192">AJ71/Q71</f>
        <v>21.67%</v>
      </c>
      <c r="AL71" s="280"/>
      <c r="AM71" s="281" t="str">
        <f t="shared" ref="AM71:AM150" si="193">AJ71*AL71</f>
        <v>0.00</v>
      </c>
      <c r="AN71" s="280"/>
      <c r="AO71" s="282">
        <v>78.79</v>
      </c>
      <c r="AP71" s="283">
        <v>-72.05</v>
      </c>
      <c r="AQ71" s="283" t="str">
        <f t="shared" ref="AQ71:AQ150" si="194">AN71*AP71</f>
        <v>0.00</v>
      </c>
      <c r="AR71" s="283">
        <v>-24.31</v>
      </c>
      <c r="AS71" s="284">
        <v>98.0</v>
      </c>
      <c r="AT71" s="285" t="str">
        <f t="shared" si="21"/>
        <v>6,016.28</v>
      </c>
      <c r="AU71" s="284">
        <v>98.0</v>
      </c>
      <c r="AV71" s="286">
        <v>0.1978</v>
      </c>
      <c r="AW71" s="285">
        <v>735.07</v>
      </c>
      <c r="AX71" s="284">
        <v>2.65</v>
      </c>
      <c r="AY71" s="26"/>
      <c r="AZ71" s="171" t="str">
        <f t="shared" ref="AZ71:AZ85" si="195">$AG$3</f>
        <v>0.00%</v>
      </c>
      <c r="BA71" s="172" t="str">
        <f t="shared" ref="BA71:BA85" si="196">Q71*AZ71</f>
        <v>0.00</v>
      </c>
      <c r="BB71" s="173" t="str">
        <f t="shared" ref="BB71:BB85" si="197">(Q71+W71+Y71+AA71+AD71+AF71+AI71+BA71)/(100%-($C$2+$C$8+$AB$6+$AB$7))</f>
        <v>929.70</v>
      </c>
      <c r="BC71" s="174" t="str">
        <f t="shared" ref="BC71:BC85" si="198">BB71-(BB71*$AG$1)</f>
        <v>660.09</v>
      </c>
    </row>
    <row r="72" ht="12.75" customHeight="1">
      <c r="A72" s="26"/>
      <c r="B72" s="190"/>
      <c r="C72" s="199">
        <v>2.07796563E8</v>
      </c>
      <c r="D72" s="152" t="s">
        <v>184</v>
      </c>
      <c r="E72" s="153" t="s">
        <v>77</v>
      </c>
      <c r="F72" s="154">
        <v>1.0</v>
      </c>
      <c r="G72" s="53"/>
      <c r="H72" s="53" t="str">
        <f t="shared" si="175"/>
        <v>0.00069</v>
      </c>
      <c r="I72" s="53" t="str">
        <f t="shared" si="176"/>
        <v>89</v>
      </c>
      <c r="J72" s="53" t="str">
        <f t="shared" si="177"/>
        <v>0</v>
      </c>
      <c r="K72" s="155" t="str">
        <f t="shared" si="178"/>
        <v>0.00</v>
      </c>
      <c r="L72" s="156" t="str">
        <f t="shared" si="179"/>
        <v>0.00 </v>
      </c>
      <c r="M72" s="132">
        <v>90.0</v>
      </c>
      <c r="N72" s="157">
        <v>281.34</v>
      </c>
      <c r="O72" s="277">
        <v>306.66</v>
      </c>
      <c r="P72" s="277">
        <v>298.22</v>
      </c>
      <c r="Q72" s="157">
        <v>281.34</v>
      </c>
      <c r="R72" s="158">
        <v>1000.0</v>
      </c>
      <c r="S72" s="159" t="str">
        <f t="shared" si="180"/>
        <v>1,000.00</v>
      </c>
      <c r="T72" s="160">
        <v>811.0</v>
      </c>
      <c r="U72" s="161">
        <v>0.26</v>
      </c>
      <c r="V72" s="162" t="str">
        <f t="shared" si="181"/>
        <v>740.00</v>
      </c>
      <c r="W72" s="163" t="str">
        <f t="shared" si="182"/>
        <v>60.00</v>
      </c>
      <c r="X72" s="164" t="str">
        <f t="shared" si="183"/>
        <v>55.33</v>
      </c>
      <c r="Y72" s="165" t="str">
        <f t="shared" si="184"/>
        <v>0.00</v>
      </c>
      <c r="Z72" s="166">
        <v>0.25</v>
      </c>
      <c r="AA72" s="167" t="str">
        <f t="shared" si="185"/>
        <v>76</v>
      </c>
      <c r="AB72" s="168" t="str">
        <f t="shared" si="186"/>
        <v>325.000</v>
      </c>
      <c r="AC72" s="168" t="str">
        <f t="shared" si="187"/>
        <v>26.344</v>
      </c>
      <c r="AD72" s="164" t="str">
        <f t="shared" si="188"/>
        <v>3.64</v>
      </c>
      <c r="AE72" s="164">
        <v>92.73</v>
      </c>
      <c r="AF72" s="164" t="str">
        <f t="shared" si="189"/>
        <v>4.80</v>
      </c>
      <c r="AG72" s="165" t="str">
        <f t="shared" si="190"/>
        <v>100.00</v>
      </c>
      <c r="AH72" s="23"/>
      <c r="AI72" s="278">
        <v>0.1</v>
      </c>
      <c r="AJ72" s="24" t="str">
        <f t="shared" si="191"/>
        <v>67.55</v>
      </c>
      <c r="AK72" s="279" t="str">
        <f t="shared" si="192"/>
        <v>24.01%</v>
      </c>
      <c r="AL72" s="280"/>
      <c r="AM72" s="281" t="str">
        <f t="shared" si="193"/>
        <v>0.00</v>
      </c>
      <c r="AN72" s="280"/>
      <c r="AO72" s="282">
        <v>14.95</v>
      </c>
      <c r="AP72" s="283">
        <v>79.31</v>
      </c>
      <c r="AQ72" s="283" t="str">
        <f t="shared" si="194"/>
        <v>0.00</v>
      </c>
      <c r="AR72" s="283">
        <v>26.83</v>
      </c>
      <c r="AS72" s="284">
        <v>257.0</v>
      </c>
      <c r="AT72" s="285" t="str">
        <f t="shared" si="21"/>
        <v>17,361.35</v>
      </c>
      <c r="AU72" s="284">
        <v>257.0</v>
      </c>
      <c r="AV72" s="286">
        <v>0.012</v>
      </c>
      <c r="AW72" s="285">
        <v>29675.94</v>
      </c>
      <c r="AX72" s="284">
        <v>41.04</v>
      </c>
      <c r="AY72" s="26"/>
      <c r="AZ72" s="171" t="str">
        <f t="shared" si="195"/>
        <v>0.00%</v>
      </c>
      <c r="BA72" s="172" t="str">
        <f t="shared" si="196"/>
        <v>0.00</v>
      </c>
      <c r="BB72" s="173" t="str">
        <f t="shared" si="197"/>
        <v>927.02</v>
      </c>
      <c r="BC72" s="174" t="str">
        <f t="shared" si="198"/>
        <v>658.19</v>
      </c>
    </row>
    <row r="73" ht="12.75" customHeight="1">
      <c r="A73" s="26"/>
      <c r="B73" s="190"/>
      <c r="C73" s="199">
        <v>2.0779635E8</v>
      </c>
      <c r="D73" s="152" t="s">
        <v>185</v>
      </c>
      <c r="E73" s="153" t="s">
        <v>77</v>
      </c>
      <c r="F73" s="154">
        <v>1.0</v>
      </c>
      <c r="G73" s="53"/>
      <c r="H73" s="53" t="str">
        <f t="shared" si="175"/>
        <v>0.00069</v>
      </c>
      <c r="I73" s="53" t="str">
        <f t="shared" si="176"/>
        <v>89</v>
      </c>
      <c r="J73" s="53" t="str">
        <f t="shared" si="177"/>
        <v>0</v>
      </c>
      <c r="K73" s="155" t="str">
        <f t="shared" si="178"/>
        <v>0.00</v>
      </c>
      <c r="L73" s="156" t="str">
        <f t="shared" si="179"/>
        <v>0.00 </v>
      </c>
      <c r="M73" s="132">
        <v>90.0</v>
      </c>
      <c r="N73" s="157">
        <v>242.23</v>
      </c>
      <c r="O73" s="277">
        <v>234.03</v>
      </c>
      <c r="P73" s="277">
        <v>256.76</v>
      </c>
      <c r="Q73" s="157">
        <v>242.23</v>
      </c>
      <c r="R73" s="158">
        <v>900.0</v>
      </c>
      <c r="S73" s="159" t="str">
        <f t="shared" si="180"/>
        <v>900.00</v>
      </c>
      <c r="T73" s="160">
        <v>814.0</v>
      </c>
      <c r="U73" s="161">
        <v>0.26</v>
      </c>
      <c r="V73" s="162" t="str">
        <f t="shared" si="181"/>
        <v>666.00</v>
      </c>
      <c r="W73" s="163" t="str">
        <f t="shared" si="182"/>
        <v>60.00</v>
      </c>
      <c r="X73" s="164" t="str">
        <f t="shared" si="183"/>
        <v>49.79</v>
      </c>
      <c r="Y73" s="165" t="str">
        <f t="shared" si="184"/>
        <v>0.00</v>
      </c>
      <c r="Z73" s="166">
        <v>0.46</v>
      </c>
      <c r="AA73" s="167" t="str">
        <f t="shared" si="185"/>
        <v>76</v>
      </c>
      <c r="AB73" s="168" t="str">
        <f t="shared" si="186"/>
        <v>292.500</v>
      </c>
      <c r="AC73" s="168" t="str">
        <f t="shared" si="187"/>
        <v>23.710</v>
      </c>
      <c r="AD73" s="164" t="str">
        <f t="shared" si="188"/>
        <v>2.44</v>
      </c>
      <c r="AE73" s="164">
        <v>95.12</v>
      </c>
      <c r="AF73" s="164" t="str">
        <f t="shared" si="189"/>
        <v>4.80</v>
      </c>
      <c r="AG73" s="165" t="str">
        <f t="shared" si="190"/>
        <v>90.00</v>
      </c>
      <c r="AH73" s="23"/>
      <c r="AI73" s="278">
        <v>0.1</v>
      </c>
      <c r="AJ73" s="24" t="str">
        <f t="shared" si="191"/>
        <v>58.53</v>
      </c>
      <c r="AK73" s="279" t="str">
        <f t="shared" si="192"/>
        <v>24.16%</v>
      </c>
      <c r="AL73" s="280"/>
      <c r="AM73" s="281" t="str">
        <f t="shared" si="193"/>
        <v>0.00</v>
      </c>
      <c r="AN73" s="280"/>
      <c r="AO73" s="282">
        <v>72.35</v>
      </c>
      <c r="AP73" s="283">
        <v>-139.11</v>
      </c>
      <c r="AQ73" s="283" t="str">
        <f t="shared" si="194"/>
        <v>0.00</v>
      </c>
      <c r="AR73" s="283">
        <v>-54.87</v>
      </c>
      <c r="AS73" s="284">
        <v>37.0</v>
      </c>
      <c r="AT73" s="285" t="str">
        <f t="shared" si="21"/>
        <v>2,165.46</v>
      </c>
      <c r="AU73" s="284">
        <v>37.0</v>
      </c>
      <c r="AV73" s="286">
        <v>0.1387</v>
      </c>
      <c r="AW73" s="285">
        <v>183.52</v>
      </c>
      <c r="AX73" s="284">
        <v>2.05</v>
      </c>
      <c r="AY73" s="26"/>
      <c r="AZ73" s="171" t="str">
        <f t="shared" si="195"/>
        <v>0.00%</v>
      </c>
      <c r="BA73" s="172" t="str">
        <f t="shared" si="196"/>
        <v>0.00</v>
      </c>
      <c r="BB73" s="173" t="str">
        <f t="shared" si="197"/>
        <v>839.29</v>
      </c>
      <c r="BC73" s="174" t="str">
        <f t="shared" si="198"/>
        <v>595.90</v>
      </c>
    </row>
    <row r="74" ht="12.75" customHeight="1">
      <c r="A74" s="26"/>
      <c r="B74" s="190"/>
      <c r="C74" s="199">
        <v>2.06057411E8</v>
      </c>
      <c r="D74" s="152" t="s">
        <v>186</v>
      </c>
      <c r="E74" s="153" t="s">
        <v>77</v>
      </c>
      <c r="F74" s="154">
        <v>1.0</v>
      </c>
      <c r="G74" s="53"/>
      <c r="H74" s="53" t="str">
        <f t="shared" si="175"/>
        <v>0.00069</v>
      </c>
      <c r="I74" s="53" t="str">
        <f t="shared" si="176"/>
        <v>89</v>
      </c>
      <c r="J74" s="53" t="str">
        <f t="shared" si="177"/>
        <v>0</v>
      </c>
      <c r="K74" s="155" t="str">
        <f t="shared" si="178"/>
        <v>0.00</v>
      </c>
      <c r="L74" s="156" t="str">
        <f t="shared" si="179"/>
        <v>0.00 </v>
      </c>
      <c r="M74" s="132">
        <v>90.0</v>
      </c>
      <c r="N74" s="175">
        <v>328.19</v>
      </c>
      <c r="O74" s="277">
        <v>357.73</v>
      </c>
      <c r="P74" s="277">
        <v>347.88</v>
      </c>
      <c r="Q74" s="175">
        <v>328.19</v>
      </c>
      <c r="R74" s="158">
        <v>1100.0</v>
      </c>
      <c r="S74" s="159" t="str">
        <f t="shared" si="180"/>
        <v>1,100.00</v>
      </c>
      <c r="T74" s="160">
        <v>859.0</v>
      </c>
      <c r="U74" s="161">
        <v>0.26</v>
      </c>
      <c r="V74" s="162" t="str">
        <f t="shared" si="181"/>
        <v>814.00</v>
      </c>
      <c r="W74" s="163" t="str">
        <f t="shared" si="182"/>
        <v>60.00</v>
      </c>
      <c r="X74" s="164" t="str">
        <f t="shared" si="183"/>
        <v>60.86</v>
      </c>
      <c r="Y74" s="165" t="str">
        <f t="shared" si="184"/>
        <v>0.00</v>
      </c>
      <c r="Z74" s="166">
        <v>0.38</v>
      </c>
      <c r="AA74" s="167" t="str">
        <f t="shared" si="185"/>
        <v>76</v>
      </c>
      <c r="AB74" s="168" t="str">
        <f t="shared" si="186"/>
        <v>357.500</v>
      </c>
      <c r="AC74" s="168" t="str">
        <f t="shared" si="187"/>
        <v>28.978</v>
      </c>
      <c r="AD74" s="164" t="str">
        <f t="shared" si="188"/>
        <v>3.23</v>
      </c>
      <c r="AE74" s="164">
        <v>93.55</v>
      </c>
      <c r="AF74" s="164" t="str">
        <f t="shared" si="189"/>
        <v>4.80</v>
      </c>
      <c r="AG74" s="165" t="str">
        <f t="shared" si="190"/>
        <v>110.00</v>
      </c>
      <c r="AH74" s="23"/>
      <c r="AI74" s="278">
        <v>0.1</v>
      </c>
      <c r="AJ74" s="24" t="str">
        <f t="shared" si="191"/>
        <v>70.45</v>
      </c>
      <c r="AK74" s="279" t="str">
        <f t="shared" si="192"/>
        <v>21.47%</v>
      </c>
      <c r="AL74" s="280"/>
      <c r="AM74" s="281" t="str">
        <f t="shared" si="193"/>
        <v>0.00</v>
      </c>
      <c r="AN74" s="280"/>
      <c r="AO74" s="282">
        <v>9.87</v>
      </c>
      <c r="AP74" s="283">
        <v>189.51</v>
      </c>
      <c r="AQ74" s="283" t="str">
        <f t="shared" si="194"/>
        <v>0.00</v>
      </c>
      <c r="AR74" s="283">
        <v>55.55</v>
      </c>
      <c r="AS74" s="284">
        <v>120.0</v>
      </c>
      <c r="AT74" s="285" t="str">
        <f t="shared" si="21"/>
        <v>8,453.61</v>
      </c>
      <c r="AU74" s="284">
        <v>120.0</v>
      </c>
      <c r="AV74" s="286">
        <v>0.015</v>
      </c>
      <c r="AW74" s="285">
        <v>25652.19</v>
      </c>
      <c r="AX74" s="284">
        <v>65.14</v>
      </c>
      <c r="AY74" s="26"/>
      <c r="AZ74" s="171" t="str">
        <f t="shared" si="195"/>
        <v>0.00%</v>
      </c>
      <c r="BA74" s="172" t="str">
        <f t="shared" si="196"/>
        <v>0.00</v>
      </c>
      <c r="BB74" s="173" t="str">
        <f t="shared" si="197"/>
        <v>1,028.11</v>
      </c>
      <c r="BC74" s="174" t="str">
        <f t="shared" si="198"/>
        <v>729.96</v>
      </c>
    </row>
    <row r="75" ht="12.75" hidden="1" customHeight="1">
      <c r="A75" s="26"/>
      <c r="B75" s="190"/>
      <c r="C75" s="199">
        <v>1.54163936E8</v>
      </c>
      <c r="D75" s="152" t="s">
        <v>187</v>
      </c>
      <c r="E75" s="153" t="s">
        <v>77</v>
      </c>
      <c r="F75" s="154">
        <v>1.0</v>
      </c>
      <c r="G75" s="53"/>
      <c r="H75" s="53" t="str">
        <f t="shared" si="175"/>
        <v>0.00069</v>
      </c>
      <c r="I75" s="53" t="str">
        <f t="shared" si="176"/>
        <v>89</v>
      </c>
      <c r="J75" s="53" t="str">
        <f t="shared" si="177"/>
        <v>0</v>
      </c>
      <c r="K75" s="155" t="str">
        <f t="shared" si="178"/>
        <v>0.00</v>
      </c>
      <c r="L75" s="156" t="str">
        <f t="shared" si="179"/>
        <v>0.00 </v>
      </c>
      <c r="M75" s="132">
        <v>90.0</v>
      </c>
      <c r="N75" s="157">
        <v>378.77</v>
      </c>
      <c r="O75" s="277">
        <v>412.86</v>
      </c>
      <c r="P75" s="277">
        <v>401.5</v>
      </c>
      <c r="Q75" s="157">
        <v>378.77</v>
      </c>
      <c r="R75" s="158">
        <v>1260.0</v>
      </c>
      <c r="S75" s="159" t="str">
        <f t="shared" si="180"/>
        <v>1,260.00</v>
      </c>
      <c r="T75" s="160">
        <v>900.0</v>
      </c>
      <c r="U75" s="161">
        <v>0.26</v>
      </c>
      <c r="V75" s="162" t="str">
        <f t="shared" si="181"/>
        <v>932.40</v>
      </c>
      <c r="W75" s="163" t="str">
        <f t="shared" si="182"/>
        <v>60.00</v>
      </c>
      <c r="X75" s="164" t="str">
        <f t="shared" si="183"/>
        <v>69.71</v>
      </c>
      <c r="Y75" s="165" t="str">
        <f t="shared" si="184"/>
        <v>0.00</v>
      </c>
      <c r="Z75" s="166">
        <v>0.3</v>
      </c>
      <c r="AA75" s="167" t="str">
        <f t="shared" si="185"/>
        <v>76</v>
      </c>
      <c r="AB75" s="168" t="str">
        <f t="shared" si="186"/>
        <v>409.500</v>
      </c>
      <c r="AC75" s="168" t="str">
        <f t="shared" si="187"/>
        <v>33.193</v>
      </c>
      <c r="AD75" s="164" t="str">
        <f t="shared" si="188"/>
        <v>3.77</v>
      </c>
      <c r="AE75" s="164">
        <v>92.46</v>
      </c>
      <c r="AF75" s="164" t="str">
        <f t="shared" si="189"/>
        <v>4.80</v>
      </c>
      <c r="AG75" s="165" t="str">
        <f t="shared" si="190"/>
        <v>126.00</v>
      </c>
      <c r="AH75" s="23"/>
      <c r="AI75" s="278">
        <v>0.1</v>
      </c>
      <c r="AJ75" s="24" t="str">
        <f t="shared" si="191"/>
        <v>98.25</v>
      </c>
      <c r="AK75" s="279" t="str">
        <f t="shared" si="192"/>
        <v>25.94%</v>
      </c>
      <c r="AL75" s="280"/>
      <c r="AM75" s="281" t="str">
        <f t="shared" si="193"/>
        <v>0.00</v>
      </c>
      <c r="AN75" s="280"/>
      <c r="AO75" s="282"/>
      <c r="AP75" s="283"/>
      <c r="AQ75" s="283" t="str">
        <f t="shared" si="194"/>
        <v>0.00</v>
      </c>
      <c r="AR75" s="283"/>
      <c r="AS75" s="284"/>
      <c r="AT75" s="285" t="str">
        <f t="shared" si="21"/>
        <v>0.00</v>
      </c>
      <c r="AU75" s="284"/>
      <c r="AV75" s="286"/>
      <c r="AW75" s="285"/>
      <c r="AX75" s="284"/>
      <c r="AY75" s="26"/>
      <c r="AZ75" s="171" t="str">
        <f t="shared" si="195"/>
        <v>0.00%</v>
      </c>
      <c r="BA75" s="172" t="str">
        <f t="shared" si="196"/>
        <v>0.00</v>
      </c>
      <c r="BB75" s="173" t="str">
        <f t="shared" si="197"/>
        <v>1,139.40</v>
      </c>
      <c r="BC75" s="174" t="str">
        <f t="shared" si="198"/>
        <v>808.97</v>
      </c>
    </row>
    <row r="76" ht="12.75" customHeight="1">
      <c r="A76" s="26"/>
      <c r="B76" s="190"/>
      <c r="C76" s="199">
        <v>1.90160008E8</v>
      </c>
      <c r="D76" s="152" t="s">
        <v>188</v>
      </c>
      <c r="E76" s="153" t="s">
        <v>77</v>
      </c>
      <c r="F76" s="154">
        <v>1.0</v>
      </c>
      <c r="G76" s="53"/>
      <c r="H76" s="53" t="str">
        <f t="shared" si="175"/>
        <v>0.00069</v>
      </c>
      <c r="I76" s="53" t="str">
        <f t="shared" si="176"/>
        <v>89</v>
      </c>
      <c r="J76" s="53" t="str">
        <f t="shared" si="177"/>
        <v>0</v>
      </c>
      <c r="K76" s="155" t="str">
        <f t="shared" si="178"/>
        <v>0.00</v>
      </c>
      <c r="L76" s="156" t="str">
        <f t="shared" si="179"/>
        <v>0.00 </v>
      </c>
      <c r="M76" s="132">
        <v>90.0</v>
      </c>
      <c r="N76" s="157">
        <v>602.18</v>
      </c>
      <c r="O76" s="277">
        <v>656.38</v>
      </c>
      <c r="P76" s="277">
        <v>638.31</v>
      </c>
      <c r="Q76" s="157">
        <v>602.18</v>
      </c>
      <c r="R76" s="158">
        <v>1800.0</v>
      </c>
      <c r="S76" s="159" t="str">
        <f t="shared" si="180"/>
        <v>1,800.00</v>
      </c>
      <c r="T76" s="160">
        <v>1023.0</v>
      </c>
      <c r="U76" s="161">
        <v>0.26</v>
      </c>
      <c r="V76" s="162" t="str">
        <f t="shared" si="181"/>
        <v>1,332.00</v>
      </c>
      <c r="W76" s="163" t="str">
        <f t="shared" si="182"/>
        <v>60.00</v>
      </c>
      <c r="X76" s="164" t="str">
        <f t="shared" si="183"/>
        <v>99.59</v>
      </c>
      <c r="Y76" s="165" t="str">
        <f t="shared" si="184"/>
        <v>0.00</v>
      </c>
      <c r="Z76" s="166">
        <v>0.58</v>
      </c>
      <c r="AA76" s="167" t="str">
        <f t="shared" si="185"/>
        <v>76</v>
      </c>
      <c r="AB76" s="168" t="str">
        <f t="shared" si="186"/>
        <v>585.000</v>
      </c>
      <c r="AC76" s="168" t="str">
        <f t="shared" si="187"/>
        <v>47.419</v>
      </c>
      <c r="AD76" s="164" t="str">
        <f t="shared" si="188"/>
        <v>3.18</v>
      </c>
      <c r="AE76" s="164">
        <v>93.64</v>
      </c>
      <c r="AF76" s="164" t="str">
        <f t="shared" si="189"/>
        <v>4.80</v>
      </c>
      <c r="AG76" s="165" t="str">
        <f t="shared" si="190"/>
        <v>180.00</v>
      </c>
      <c r="AH76" s="23"/>
      <c r="AI76" s="278">
        <v>0.1</v>
      </c>
      <c r="AJ76" s="24" t="str">
        <f t="shared" si="191"/>
        <v>141.83</v>
      </c>
      <c r="AK76" s="279" t="str">
        <f t="shared" si="192"/>
        <v>23.55%</v>
      </c>
      <c r="AL76" s="280"/>
      <c r="AM76" s="281" t="str">
        <f t="shared" si="193"/>
        <v>0.00</v>
      </c>
      <c r="AN76" s="280"/>
      <c r="AO76" s="282">
        <v>42.35</v>
      </c>
      <c r="AP76" s="283">
        <v>-401.97</v>
      </c>
      <c r="AQ76" s="283" t="str">
        <f t="shared" si="194"/>
        <v>0.00</v>
      </c>
      <c r="AR76" s="283">
        <v>-63.57</v>
      </c>
      <c r="AS76" s="284">
        <v>3.0</v>
      </c>
      <c r="AT76" s="285" t="str">
        <f t="shared" si="21"/>
        <v>425.50</v>
      </c>
      <c r="AU76" s="284">
        <v>3.0</v>
      </c>
      <c r="AV76" s="286">
        <v>0.2911</v>
      </c>
      <c r="AW76" s="285">
        <v>-855.64</v>
      </c>
      <c r="AX76" s="284">
        <v>-47.36</v>
      </c>
      <c r="AY76" s="26"/>
      <c r="AZ76" s="171" t="str">
        <f t="shared" si="195"/>
        <v>0.00%</v>
      </c>
      <c r="BA76" s="172" t="str">
        <f t="shared" si="196"/>
        <v>0.00</v>
      </c>
      <c r="BB76" s="173" t="str">
        <f t="shared" si="197"/>
        <v>1,624.42</v>
      </c>
      <c r="BC76" s="174" t="str">
        <f t="shared" si="198"/>
        <v>1,153.34</v>
      </c>
    </row>
    <row r="77" ht="12.75" customHeight="1">
      <c r="A77" s="26"/>
      <c r="B77" s="190"/>
      <c r="C77" s="199">
        <v>2.07796439E8</v>
      </c>
      <c r="D77" s="152" t="s">
        <v>189</v>
      </c>
      <c r="E77" s="153" t="s">
        <v>77</v>
      </c>
      <c r="F77" s="154">
        <v>1.0</v>
      </c>
      <c r="G77" s="53"/>
      <c r="H77" s="53" t="str">
        <f t="shared" si="175"/>
        <v>0.00069</v>
      </c>
      <c r="I77" s="53" t="str">
        <f t="shared" si="176"/>
        <v>89</v>
      </c>
      <c r="J77" s="53" t="str">
        <f t="shared" si="177"/>
        <v>0</v>
      </c>
      <c r="K77" s="155" t="str">
        <f t="shared" si="178"/>
        <v>0.00</v>
      </c>
      <c r="L77" s="156" t="str">
        <f t="shared" si="179"/>
        <v>0.00 </v>
      </c>
      <c r="M77" s="132">
        <v>90.0</v>
      </c>
      <c r="N77" s="157">
        <v>671.73</v>
      </c>
      <c r="O77" s="277">
        <v>732.19</v>
      </c>
      <c r="P77" s="277">
        <v>712.03</v>
      </c>
      <c r="Q77" s="157">
        <v>671.73</v>
      </c>
      <c r="R77" s="158">
        <v>2000.0</v>
      </c>
      <c r="S77" s="159" t="str">
        <f t="shared" si="180"/>
        <v>2,000.00</v>
      </c>
      <c r="T77" s="160">
        <v>1349.0</v>
      </c>
      <c r="U77" s="161">
        <v>0.26</v>
      </c>
      <c r="V77" s="162" t="str">
        <f t="shared" si="181"/>
        <v>1,480.00</v>
      </c>
      <c r="W77" s="163" t="str">
        <f t="shared" si="182"/>
        <v>60.00</v>
      </c>
      <c r="X77" s="164" t="str">
        <f t="shared" si="183"/>
        <v>110.65</v>
      </c>
      <c r="Y77" s="165" t="str">
        <f t="shared" si="184"/>
        <v>0.00</v>
      </c>
      <c r="Z77" s="166">
        <v>0.98</v>
      </c>
      <c r="AA77" s="167">
        <v>91.0</v>
      </c>
      <c r="AB77" s="168" t="str">
        <f t="shared" si="186"/>
        <v>650.000</v>
      </c>
      <c r="AC77" s="168" t="str">
        <f t="shared" si="187"/>
        <v>52.688</v>
      </c>
      <c r="AD77" s="164" t="str">
        <f t="shared" si="188"/>
        <v>0.00</v>
      </c>
      <c r="AE77" s="164">
        <v>100.0</v>
      </c>
      <c r="AF77" s="164" t="str">
        <f t="shared" si="189"/>
        <v>4.80</v>
      </c>
      <c r="AG77" s="165" t="str">
        <f t="shared" si="190"/>
        <v>200.00</v>
      </c>
      <c r="AH77" s="23"/>
      <c r="AI77" s="278">
        <v>0.1</v>
      </c>
      <c r="AJ77" s="24" t="str">
        <f t="shared" si="191"/>
        <v>159.13</v>
      </c>
      <c r="AK77" s="279" t="str">
        <f t="shared" si="192"/>
        <v>23.69%</v>
      </c>
      <c r="AL77" s="280"/>
      <c r="AM77" s="281" t="str">
        <f t="shared" si="193"/>
        <v>0.00</v>
      </c>
      <c r="AN77" s="280"/>
      <c r="AO77" s="282">
        <v>7.56</v>
      </c>
      <c r="AP77" s="283">
        <v>160.38</v>
      </c>
      <c r="AQ77" s="283" t="str">
        <f t="shared" si="194"/>
        <v>0.00</v>
      </c>
      <c r="AR77" s="283">
        <v>23.91</v>
      </c>
      <c r="AS77" s="284">
        <v>63.0</v>
      </c>
      <c r="AT77" s="285" t="str">
        <f t="shared" si="21"/>
        <v>10,025.05</v>
      </c>
      <c r="AU77" s="284">
        <v>63.0</v>
      </c>
      <c r="AV77" s="286">
        <v>0.0556</v>
      </c>
      <c r="AW77" s="285">
        <v>3700.87</v>
      </c>
      <c r="AX77" s="284">
        <v>8.75</v>
      </c>
      <c r="AY77" s="26"/>
      <c r="AZ77" s="171" t="str">
        <f t="shared" si="195"/>
        <v>0.00%</v>
      </c>
      <c r="BA77" s="172" t="str">
        <f t="shared" si="196"/>
        <v>0.00</v>
      </c>
      <c r="BB77" s="173" t="str">
        <f t="shared" si="197"/>
        <v>1,801.55</v>
      </c>
      <c r="BC77" s="174" t="str">
        <f t="shared" si="198"/>
        <v>1,279.10</v>
      </c>
    </row>
    <row r="78" ht="12.75" hidden="1" customHeight="1">
      <c r="A78" s="26"/>
      <c r="B78" s="190"/>
      <c r="C78" s="201">
        <v>1.51298064E8</v>
      </c>
      <c r="D78" s="152" t="s">
        <v>190</v>
      </c>
      <c r="E78" s="153" t="s">
        <v>77</v>
      </c>
      <c r="F78" s="154">
        <v>1.0</v>
      </c>
      <c r="G78" s="53"/>
      <c r="H78" s="53" t="str">
        <f t="shared" si="175"/>
        <v>0.00069</v>
      </c>
      <c r="I78" s="53" t="str">
        <f t="shared" si="176"/>
        <v>89</v>
      </c>
      <c r="J78" s="53" t="str">
        <f t="shared" si="177"/>
        <v>0</v>
      </c>
      <c r="K78" s="155" t="str">
        <f t="shared" si="178"/>
        <v>0.00</v>
      </c>
      <c r="L78" s="156" t="str">
        <f t="shared" si="179"/>
        <v>0.00 </v>
      </c>
      <c r="M78" s="132">
        <v>90.0</v>
      </c>
      <c r="N78" s="157">
        <v>106.31</v>
      </c>
      <c r="O78" s="277">
        <v>115.88</v>
      </c>
      <c r="P78" s="277">
        <v>0.0</v>
      </c>
      <c r="Q78" s="157">
        <v>106.31</v>
      </c>
      <c r="R78" s="158">
        <v>390.0</v>
      </c>
      <c r="S78" s="159" t="str">
        <f t="shared" si="180"/>
        <v>390.00</v>
      </c>
      <c r="T78" s="160">
        <v>309.0</v>
      </c>
      <c r="U78" s="161">
        <v>0.0</v>
      </c>
      <c r="V78" s="162" t="str">
        <f t="shared" si="181"/>
        <v>390.00</v>
      </c>
      <c r="W78" s="163" t="str">
        <f t="shared" si="182"/>
        <v>60.00</v>
      </c>
      <c r="X78" s="164" t="str">
        <f t="shared" si="183"/>
        <v>29.16</v>
      </c>
      <c r="Y78" s="165" t="str">
        <f t="shared" si="184"/>
        <v>0.00</v>
      </c>
      <c r="Z78" s="166">
        <v>0.1</v>
      </c>
      <c r="AA78" s="167" t="str">
        <f t="shared" ref="AA78:AA86" si="199">((_xlfn.CEILING.MATH(Z78)-1)*$C$5+$C$4)</f>
        <v>76</v>
      </c>
      <c r="AB78" s="168" t="str">
        <f t="shared" si="186"/>
        <v>126.750</v>
      </c>
      <c r="AC78" s="168" t="str">
        <f t="shared" si="187"/>
        <v>13.884</v>
      </c>
      <c r="AD78" s="164" t="str">
        <f t="shared" si="188"/>
        <v>2.78</v>
      </c>
      <c r="AE78" s="164">
        <v>94.44</v>
      </c>
      <c r="AF78" s="164" t="str">
        <f t="shared" si="189"/>
        <v>4.80</v>
      </c>
      <c r="AG78" s="165" t="str">
        <f t="shared" si="190"/>
        <v>39.00</v>
      </c>
      <c r="AH78" s="23"/>
      <c r="AI78" s="278">
        <v>0.1</v>
      </c>
      <c r="AJ78" s="24" t="str">
        <f t="shared" si="191"/>
        <v>-68.68</v>
      </c>
      <c r="AK78" s="279" t="str">
        <f t="shared" si="192"/>
        <v>-64.61%</v>
      </c>
      <c r="AL78" s="280"/>
      <c r="AM78" s="281" t="str">
        <f t="shared" si="193"/>
        <v>0.00</v>
      </c>
      <c r="AN78" s="280"/>
      <c r="AO78" s="282"/>
      <c r="AP78" s="283"/>
      <c r="AQ78" s="283" t="str">
        <f t="shared" si="194"/>
        <v>0.00</v>
      </c>
      <c r="AR78" s="283"/>
      <c r="AS78" s="284"/>
      <c r="AT78" s="285" t="str">
        <f t="shared" si="21"/>
        <v>0.00</v>
      </c>
      <c r="AU78" s="284"/>
      <c r="AV78" s="286"/>
      <c r="AW78" s="285"/>
      <c r="AX78" s="284"/>
      <c r="AY78" s="26"/>
      <c r="AZ78" s="171" t="str">
        <f t="shared" si="195"/>
        <v>0.00%</v>
      </c>
      <c r="BA78" s="172" t="str">
        <f t="shared" si="196"/>
        <v>0.00</v>
      </c>
      <c r="BB78" s="173" t="str">
        <f t="shared" si="197"/>
        <v>544.17</v>
      </c>
      <c r="BC78" s="174" t="str">
        <f t="shared" si="198"/>
        <v>386.36</v>
      </c>
    </row>
    <row r="79" ht="12.75" hidden="1" customHeight="1">
      <c r="A79" s="26"/>
      <c r="B79" s="190"/>
      <c r="C79" s="201">
        <v>2.26322576E8</v>
      </c>
      <c r="D79" s="152" t="s">
        <v>191</v>
      </c>
      <c r="E79" s="53" t="s">
        <v>77</v>
      </c>
      <c r="F79" s="154">
        <v>1.0</v>
      </c>
      <c r="G79" s="53"/>
      <c r="H79" s="53" t="str">
        <f t="shared" si="175"/>
        <v>0.00069</v>
      </c>
      <c r="I79" s="53" t="str">
        <f t="shared" si="176"/>
        <v>89</v>
      </c>
      <c r="J79" s="53" t="str">
        <f t="shared" si="177"/>
        <v>0</v>
      </c>
      <c r="K79" s="155" t="str">
        <f t="shared" si="178"/>
        <v>0.00</v>
      </c>
      <c r="L79" s="156" t="str">
        <f t="shared" si="179"/>
        <v>0.00 </v>
      </c>
      <c r="M79" s="132">
        <v>90.0</v>
      </c>
      <c r="N79" s="157">
        <v>212.62</v>
      </c>
      <c r="O79" s="277">
        <v>231.76</v>
      </c>
      <c r="P79" s="277">
        <v>0.0</v>
      </c>
      <c r="Q79" s="157">
        <v>212.62</v>
      </c>
      <c r="R79" s="158">
        <v>601.0</v>
      </c>
      <c r="S79" s="159">
        <v>630.0</v>
      </c>
      <c r="T79" s="160">
        <v>641.0</v>
      </c>
      <c r="U79" s="161">
        <v>0.26</v>
      </c>
      <c r="V79" s="162" t="str">
        <f t="shared" si="181"/>
        <v>444.74</v>
      </c>
      <c r="W79" s="163" t="str">
        <f t="shared" si="182"/>
        <v>60.00</v>
      </c>
      <c r="X79" s="164" t="str">
        <f t="shared" si="183"/>
        <v>33.25</v>
      </c>
      <c r="Y79" s="165" t="str">
        <f t="shared" si="184"/>
        <v>0.00</v>
      </c>
      <c r="Z79" s="166">
        <v>0.25</v>
      </c>
      <c r="AA79" s="167" t="str">
        <f t="shared" si="199"/>
        <v>76</v>
      </c>
      <c r="AB79" s="168" t="str">
        <f t="shared" si="186"/>
        <v>195.325</v>
      </c>
      <c r="AC79" s="168" t="str">
        <f t="shared" si="187"/>
        <v>15.833</v>
      </c>
      <c r="AD79" s="164" t="str">
        <f t="shared" si="188"/>
        <v>1.47</v>
      </c>
      <c r="AE79" s="164">
        <v>97.06</v>
      </c>
      <c r="AF79" s="164" t="str">
        <f t="shared" si="189"/>
        <v>4.80</v>
      </c>
      <c r="AG79" s="165" t="str">
        <f t="shared" si="190"/>
        <v>60.10</v>
      </c>
      <c r="AH79" s="23"/>
      <c r="AI79" s="278">
        <v>0.1</v>
      </c>
      <c r="AJ79" s="24" t="str">
        <f t="shared" si="191"/>
        <v>-58.40</v>
      </c>
      <c r="AK79" s="279" t="str">
        <f t="shared" si="192"/>
        <v>-27.47%</v>
      </c>
      <c r="AL79" s="280"/>
      <c r="AM79" s="281" t="str">
        <f t="shared" si="193"/>
        <v>0.00</v>
      </c>
      <c r="AN79" s="280"/>
      <c r="AO79" s="282"/>
      <c r="AP79" s="283"/>
      <c r="AQ79" s="283" t="str">
        <f t="shared" si="194"/>
        <v>0.00</v>
      </c>
      <c r="AR79" s="283"/>
      <c r="AS79" s="284"/>
      <c r="AT79" s="285" t="str">
        <f t="shared" si="21"/>
        <v>0.00</v>
      </c>
      <c r="AU79" s="284"/>
      <c r="AV79" s="286"/>
      <c r="AW79" s="285"/>
      <c r="AX79" s="284"/>
      <c r="AY79" s="26"/>
      <c r="AZ79" s="171" t="str">
        <f t="shared" si="195"/>
        <v>0.00%</v>
      </c>
      <c r="BA79" s="172" t="str">
        <f t="shared" si="196"/>
        <v>0.00</v>
      </c>
      <c r="BB79" s="173" t="str">
        <f t="shared" si="197"/>
        <v>772.73</v>
      </c>
      <c r="BC79" s="174" t="str">
        <f t="shared" si="198"/>
        <v>548.63</v>
      </c>
    </row>
    <row r="80" ht="12.75" hidden="1" customHeight="1">
      <c r="A80" s="26"/>
      <c r="B80" s="190"/>
      <c r="C80" s="202">
        <v>1.54160462E8</v>
      </c>
      <c r="D80" s="152" t="s">
        <v>192</v>
      </c>
      <c r="E80" s="53" t="s">
        <v>77</v>
      </c>
      <c r="F80" s="154">
        <v>1.0</v>
      </c>
      <c r="G80" s="53"/>
      <c r="H80" s="53" t="str">
        <f t="shared" si="175"/>
        <v>0.00069</v>
      </c>
      <c r="I80" s="53" t="str">
        <f t="shared" si="176"/>
        <v>89</v>
      </c>
      <c r="J80" s="53" t="str">
        <f t="shared" si="177"/>
        <v>0</v>
      </c>
      <c r="K80" s="155" t="str">
        <f t="shared" si="178"/>
        <v>0.00</v>
      </c>
      <c r="L80" s="156" t="str">
        <f t="shared" si="179"/>
        <v>0.00 </v>
      </c>
      <c r="M80" s="132">
        <v>90.0</v>
      </c>
      <c r="N80" s="157">
        <v>0.0</v>
      </c>
      <c r="O80" s="277">
        <v>0.0</v>
      </c>
      <c r="P80" s="277">
        <v>0.0</v>
      </c>
      <c r="Q80" s="157">
        <v>0.0</v>
      </c>
      <c r="R80" s="158">
        <v>1145.1</v>
      </c>
      <c r="S80" s="159" t="str">
        <f t="shared" ref="S80:S85" si="200">BB80</f>
        <v>363.15</v>
      </c>
      <c r="T80" s="160"/>
      <c r="U80" s="161">
        <v>0.26</v>
      </c>
      <c r="V80" s="162" t="str">
        <f t="shared" si="181"/>
        <v>847.37</v>
      </c>
      <c r="W80" s="163" t="str">
        <f t="shared" si="182"/>
        <v>60.00</v>
      </c>
      <c r="X80" s="164" t="str">
        <f t="shared" si="183"/>
        <v>63.36</v>
      </c>
      <c r="Y80" s="165" t="str">
        <f t="shared" si="184"/>
        <v>0.00</v>
      </c>
      <c r="Z80" s="166">
        <v>1.73</v>
      </c>
      <c r="AA80" s="167" t="str">
        <f t="shared" si="199"/>
        <v>95</v>
      </c>
      <c r="AB80" s="168" t="str">
        <f t="shared" si="186"/>
        <v>372.158</v>
      </c>
      <c r="AC80" s="168" t="str">
        <f t="shared" si="187"/>
        <v>30.167</v>
      </c>
      <c r="AD80" s="164" t="str">
        <f t="shared" si="188"/>
        <v>2.13</v>
      </c>
      <c r="AE80" s="164">
        <v>95.74</v>
      </c>
      <c r="AF80" s="164" t="str">
        <f t="shared" si="189"/>
        <v>9.60</v>
      </c>
      <c r="AG80" s="165" t="str">
        <f t="shared" si="190"/>
        <v>114.51</v>
      </c>
      <c r="AH80" s="23"/>
      <c r="AI80" s="278">
        <v>0.1</v>
      </c>
      <c r="AJ80" s="24" t="str">
        <f t="shared" si="191"/>
        <v>398.18</v>
      </c>
      <c r="AK80" s="279" t="str">
        <f t="shared" si="192"/>
        <v>#DIV/0!</v>
      </c>
      <c r="AL80" s="280"/>
      <c r="AM80" s="281" t="str">
        <f t="shared" si="193"/>
        <v>0.00</v>
      </c>
      <c r="AN80" s="280"/>
      <c r="AO80" s="282"/>
      <c r="AP80" s="283"/>
      <c r="AQ80" s="283" t="str">
        <f t="shared" si="194"/>
        <v>0.00</v>
      </c>
      <c r="AR80" s="283"/>
      <c r="AS80" s="284"/>
      <c r="AT80" s="285" t="str">
        <f t="shared" si="21"/>
        <v>0.00</v>
      </c>
      <c r="AU80" s="284"/>
      <c r="AV80" s="286"/>
      <c r="AW80" s="285"/>
      <c r="AX80" s="284"/>
      <c r="AY80" s="26"/>
      <c r="AZ80" s="171" t="str">
        <f t="shared" si="195"/>
        <v>0.00%</v>
      </c>
      <c r="BA80" s="172" t="str">
        <f t="shared" si="196"/>
        <v>0.00</v>
      </c>
      <c r="BB80" s="173" t="str">
        <f t="shared" si="197"/>
        <v>363.15</v>
      </c>
      <c r="BC80" s="174" t="str">
        <f t="shared" si="198"/>
        <v>257.83</v>
      </c>
    </row>
    <row r="81" ht="12.75" hidden="1" customHeight="1">
      <c r="A81" s="26"/>
      <c r="B81" s="190"/>
      <c r="C81" s="199">
        <v>2.07795785E8</v>
      </c>
      <c r="D81" s="152" t="s">
        <v>193</v>
      </c>
      <c r="E81" s="153" t="s">
        <v>77</v>
      </c>
      <c r="F81" s="154">
        <v>1.0</v>
      </c>
      <c r="G81" s="53"/>
      <c r="H81" s="53" t="str">
        <f t="shared" si="175"/>
        <v>0.00069</v>
      </c>
      <c r="I81" s="53" t="str">
        <f t="shared" si="176"/>
        <v>89</v>
      </c>
      <c r="J81" s="53" t="str">
        <f t="shared" si="177"/>
        <v>0</v>
      </c>
      <c r="K81" s="155" t="str">
        <f t="shared" si="178"/>
        <v>0.00</v>
      </c>
      <c r="L81" s="156" t="str">
        <f t="shared" si="179"/>
        <v>0.00 </v>
      </c>
      <c r="M81" s="132">
        <v>90.0</v>
      </c>
      <c r="N81" s="157">
        <v>531.71</v>
      </c>
      <c r="O81" s="277">
        <v>579.56</v>
      </c>
      <c r="P81" s="277">
        <v>0.0</v>
      </c>
      <c r="Q81" s="157">
        <v>531.71</v>
      </c>
      <c r="R81" s="158">
        <v>1109.83</v>
      </c>
      <c r="S81" s="159" t="str">
        <f t="shared" si="200"/>
        <v>1,472.00</v>
      </c>
      <c r="T81" s="160"/>
      <c r="U81" s="161">
        <v>0.26</v>
      </c>
      <c r="V81" s="162" t="str">
        <f t="shared" si="181"/>
        <v>821.27</v>
      </c>
      <c r="W81" s="163" t="str">
        <f t="shared" si="182"/>
        <v>60.00</v>
      </c>
      <c r="X81" s="164" t="str">
        <f t="shared" si="183"/>
        <v>61.40</v>
      </c>
      <c r="Y81" s="165" t="str">
        <f t="shared" si="184"/>
        <v>0.00</v>
      </c>
      <c r="Z81" s="166">
        <v>0.38</v>
      </c>
      <c r="AA81" s="167" t="str">
        <f t="shared" si="199"/>
        <v>76</v>
      </c>
      <c r="AB81" s="168" t="str">
        <f t="shared" si="186"/>
        <v>360.695</v>
      </c>
      <c r="AC81" s="168" t="str">
        <f t="shared" si="187"/>
        <v>29.237</v>
      </c>
      <c r="AD81" s="164" t="str">
        <f t="shared" si="188"/>
        <v>3.63</v>
      </c>
      <c r="AE81" s="164">
        <v>92.75</v>
      </c>
      <c r="AF81" s="164" t="str">
        <f t="shared" si="189"/>
        <v>4.80</v>
      </c>
      <c r="AG81" s="165" t="str">
        <f t="shared" si="190"/>
        <v>110.98</v>
      </c>
      <c r="AH81" s="23"/>
      <c r="AI81" s="278">
        <v>0.1</v>
      </c>
      <c r="AJ81" s="24" t="str">
        <f t="shared" si="191"/>
        <v>-128.62</v>
      </c>
      <c r="AK81" s="279" t="str">
        <f t="shared" si="192"/>
        <v>-24.19%</v>
      </c>
      <c r="AL81" s="280"/>
      <c r="AM81" s="281" t="str">
        <f t="shared" si="193"/>
        <v>0.00</v>
      </c>
      <c r="AN81" s="280"/>
      <c r="AO81" s="282"/>
      <c r="AP81" s="283"/>
      <c r="AQ81" s="283" t="str">
        <f t="shared" si="194"/>
        <v>0.00</v>
      </c>
      <c r="AR81" s="283"/>
      <c r="AS81" s="284"/>
      <c r="AT81" s="285" t="str">
        <f t="shared" si="21"/>
        <v>0.00</v>
      </c>
      <c r="AU81" s="284"/>
      <c r="AV81" s="286"/>
      <c r="AW81" s="285"/>
      <c r="AX81" s="284"/>
      <c r="AY81" s="26"/>
      <c r="AZ81" s="171" t="str">
        <f t="shared" si="195"/>
        <v>0.00%</v>
      </c>
      <c r="BA81" s="172" t="str">
        <f t="shared" si="196"/>
        <v>0.00</v>
      </c>
      <c r="BB81" s="173" t="str">
        <f t="shared" si="197"/>
        <v>1,472.00</v>
      </c>
      <c r="BC81" s="174" t="str">
        <f t="shared" si="198"/>
        <v>1,045.12</v>
      </c>
    </row>
    <row r="82" ht="12.75" hidden="1" customHeight="1">
      <c r="A82" s="26"/>
      <c r="B82" s="190"/>
      <c r="C82" s="202">
        <v>2.14311386E8</v>
      </c>
      <c r="D82" s="152" t="s">
        <v>194</v>
      </c>
      <c r="E82" s="53" t="s">
        <v>77</v>
      </c>
      <c r="F82" s="154">
        <v>1.0</v>
      </c>
      <c r="G82" s="53"/>
      <c r="H82" s="53" t="str">
        <f t="shared" si="175"/>
        <v>0.00069</v>
      </c>
      <c r="I82" s="53" t="str">
        <f t="shared" si="176"/>
        <v>89</v>
      </c>
      <c r="J82" s="53" t="str">
        <f t="shared" si="177"/>
        <v>0</v>
      </c>
      <c r="K82" s="155" t="str">
        <f t="shared" si="178"/>
        <v>0.00</v>
      </c>
      <c r="L82" s="156" t="str">
        <f t="shared" si="179"/>
        <v>0.00 </v>
      </c>
      <c r="M82" s="132">
        <v>90.0</v>
      </c>
      <c r="N82" s="157">
        <v>0.0</v>
      </c>
      <c r="O82" s="277">
        <v>0.0</v>
      </c>
      <c r="P82" s="277" t="str">
        <f t="shared" ref="P82:P83" si="201">K82/E82</f>
        <v>#VALUE!</v>
      </c>
      <c r="Q82" s="157">
        <v>0.0</v>
      </c>
      <c r="R82" s="158">
        <v>1797.6</v>
      </c>
      <c r="S82" s="159" t="str">
        <f t="shared" si="200"/>
        <v>309.87</v>
      </c>
      <c r="T82" s="160"/>
      <c r="U82" s="161">
        <v>0.26</v>
      </c>
      <c r="V82" s="162" t="str">
        <f t="shared" si="181"/>
        <v>1,330.22</v>
      </c>
      <c r="W82" s="163" t="str">
        <f t="shared" si="182"/>
        <v>60.00</v>
      </c>
      <c r="X82" s="164" t="str">
        <f t="shared" si="183"/>
        <v>99.46</v>
      </c>
      <c r="Y82" s="165" t="str">
        <f t="shared" si="184"/>
        <v>0.00</v>
      </c>
      <c r="Z82" s="166">
        <v>0.76</v>
      </c>
      <c r="AA82" s="167" t="str">
        <f t="shared" si="199"/>
        <v>76</v>
      </c>
      <c r="AB82" s="168" t="str">
        <f t="shared" si="186"/>
        <v>584.220</v>
      </c>
      <c r="AC82" s="168" t="str">
        <f t="shared" si="187"/>
        <v>47.356</v>
      </c>
      <c r="AD82" s="164" t="str">
        <f t="shared" si="188"/>
        <v>1.46</v>
      </c>
      <c r="AE82" s="164">
        <v>97.09</v>
      </c>
      <c r="AF82" s="164" t="str">
        <f t="shared" si="189"/>
        <v>4.80</v>
      </c>
      <c r="AG82" s="165" t="str">
        <f t="shared" si="190"/>
        <v>179.76</v>
      </c>
      <c r="AH82" s="23"/>
      <c r="AI82" s="278">
        <v>0.1</v>
      </c>
      <c r="AJ82" s="24" t="str">
        <f t="shared" si="191"/>
        <v>744.55</v>
      </c>
      <c r="AK82" s="279" t="str">
        <f t="shared" si="192"/>
        <v>#DIV/0!</v>
      </c>
      <c r="AL82" s="280"/>
      <c r="AM82" s="281" t="str">
        <f t="shared" si="193"/>
        <v>0.00</v>
      </c>
      <c r="AN82" s="280"/>
      <c r="AO82" s="282"/>
      <c r="AP82" s="283"/>
      <c r="AQ82" s="283" t="str">
        <f t="shared" si="194"/>
        <v>0.00</v>
      </c>
      <c r="AR82" s="283"/>
      <c r="AS82" s="284"/>
      <c r="AT82" s="285" t="str">
        <f t="shared" si="21"/>
        <v>0.00</v>
      </c>
      <c r="AU82" s="284"/>
      <c r="AV82" s="286"/>
      <c r="AW82" s="285"/>
      <c r="AX82" s="284"/>
      <c r="AY82" s="26"/>
      <c r="AZ82" s="171" t="str">
        <f t="shared" si="195"/>
        <v>0.00%</v>
      </c>
      <c r="BA82" s="172" t="str">
        <f t="shared" si="196"/>
        <v>0.00</v>
      </c>
      <c r="BB82" s="173" t="str">
        <f t="shared" si="197"/>
        <v>309.87</v>
      </c>
      <c r="BC82" s="174" t="str">
        <f t="shared" si="198"/>
        <v>220.01</v>
      </c>
    </row>
    <row r="83" ht="12.75" hidden="1" customHeight="1">
      <c r="A83" s="26"/>
      <c r="B83" s="190"/>
      <c r="C83" s="202">
        <v>2.07795963E8</v>
      </c>
      <c r="D83" s="152" t="s">
        <v>195</v>
      </c>
      <c r="E83" s="53" t="s">
        <v>77</v>
      </c>
      <c r="F83" s="154">
        <v>1.0</v>
      </c>
      <c r="G83" s="53"/>
      <c r="H83" s="53" t="str">
        <f t="shared" si="175"/>
        <v>0.00069</v>
      </c>
      <c r="I83" s="53" t="str">
        <f t="shared" si="176"/>
        <v>89</v>
      </c>
      <c r="J83" s="53" t="str">
        <f t="shared" si="177"/>
        <v>0</v>
      </c>
      <c r="K83" s="155" t="str">
        <f t="shared" si="178"/>
        <v>0.00</v>
      </c>
      <c r="L83" s="156" t="str">
        <f t="shared" si="179"/>
        <v>0.00 </v>
      </c>
      <c r="M83" s="132">
        <v>90.0</v>
      </c>
      <c r="N83" s="157">
        <v>0.0</v>
      </c>
      <c r="O83" s="277">
        <v>0.0</v>
      </c>
      <c r="P83" s="277" t="str">
        <f t="shared" si="201"/>
        <v>#VALUE!</v>
      </c>
      <c r="Q83" s="157">
        <v>0.0</v>
      </c>
      <c r="R83" s="158">
        <v>1025.7</v>
      </c>
      <c r="S83" s="159" t="str">
        <f t="shared" si="200"/>
        <v>314.11</v>
      </c>
      <c r="T83" s="160"/>
      <c r="U83" s="161">
        <v>0.26</v>
      </c>
      <c r="V83" s="162" t="str">
        <f t="shared" si="181"/>
        <v>759.02</v>
      </c>
      <c r="W83" s="163" t="str">
        <f t="shared" si="182"/>
        <v>60.00</v>
      </c>
      <c r="X83" s="164" t="str">
        <f t="shared" si="183"/>
        <v>56.75</v>
      </c>
      <c r="Y83" s="165" t="str">
        <f t="shared" si="184"/>
        <v>0.00</v>
      </c>
      <c r="Z83" s="166">
        <v>0.19</v>
      </c>
      <c r="AA83" s="167" t="str">
        <f t="shared" si="199"/>
        <v>76</v>
      </c>
      <c r="AB83" s="168" t="str">
        <f t="shared" si="186"/>
        <v>333.353</v>
      </c>
      <c r="AC83" s="168" t="str">
        <f t="shared" si="187"/>
        <v>27.021</v>
      </c>
      <c r="AD83" s="164" t="str">
        <f t="shared" si="188"/>
        <v>3.40</v>
      </c>
      <c r="AE83" s="164">
        <v>93.2</v>
      </c>
      <c r="AF83" s="164" t="str">
        <f t="shared" si="189"/>
        <v>4.80</v>
      </c>
      <c r="AG83" s="165" t="str">
        <f t="shared" si="190"/>
        <v>102.57</v>
      </c>
      <c r="AH83" s="23"/>
      <c r="AI83" s="278">
        <v>0.1</v>
      </c>
      <c r="AJ83" s="24" t="str">
        <f t="shared" si="191"/>
        <v>361.81</v>
      </c>
      <c r="AK83" s="279" t="str">
        <f t="shared" si="192"/>
        <v>#DIV/0!</v>
      </c>
      <c r="AL83" s="280"/>
      <c r="AM83" s="281" t="str">
        <f t="shared" si="193"/>
        <v>0.00</v>
      </c>
      <c r="AN83" s="280"/>
      <c r="AO83" s="282"/>
      <c r="AP83" s="283"/>
      <c r="AQ83" s="283" t="str">
        <f t="shared" si="194"/>
        <v>0.00</v>
      </c>
      <c r="AR83" s="283"/>
      <c r="AS83" s="284"/>
      <c r="AT83" s="285" t="str">
        <f t="shared" si="21"/>
        <v>0.00</v>
      </c>
      <c r="AU83" s="284"/>
      <c r="AV83" s="286"/>
      <c r="AW83" s="285"/>
      <c r="AX83" s="284"/>
      <c r="AY83" s="26"/>
      <c r="AZ83" s="171" t="str">
        <f t="shared" si="195"/>
        <v>0.00%</v>
      </c>
      <c r="BA83" s="172" t="str">
        <f t="shared" si="196"/>
        <v>0.00</v>
      </c>
      <c r="BB83" s="173" t="str">
        <f t="shared" si="197"/>
        <v>314.11</v>
      </c>
      <c r="BC83" s="174" t="str">
        <f t="shared" si="198"/>
        <v>223.01</v>
      </c>
    </row>
    <row r="84" ht="12.75" hidden="1" customHeight="1">
      <c r="A84" s="26"/>
      <c r="B84" s="190"/>
      <c r="C84" s="202">
        <v>2.06058262E8</v>
      </c>
      <c r="D84" s="152" t="s">
        <v>196</v>
      </c>
      <c r="E84" s="153" t="s">
        <v>77</v>
      </c>
      <c r="F84" s="154">
        <v>1.0</v>
      </c>
      <c r="G84" s="53"/>
      <c r="H84" s="53" t="str">
        <f t="shared" si="175"/>
        <v>0.00069</v>
      </c>
      <c r="I84" s="53" t="str">
        <f t="shared" si="176"/>
        <v>89</v>
      </c>
      <c r="J84" s="53" t="str">
        <f t="shared" si="177"/>
        <v>0</v>
      </c>
      <c r="K84" s="155" t="str">
        <f t="shared" si="178"/>
        <v>0.00</v>
      </c>
      <c r="L84" s="156" t="str">
        <f t="shared" si="179"/>
        <v>0.00 </v>
      </c>
      <c r="M84" s="132">
        <v>90.0</v>
      </c>
      <c r="N84" s="157">
        <v>447.64</v>
      </c>
      <c r="O84" s="277">
        <v>487.93</v>
      </c>
      <c r="P84" s="277">
        <v>474.5</v>
      </c>
      <c r="Q84" s="157">
        <v>447.64</v>
      </c>
      <c r="R84" s="158">
        <v>1500.0</v>
      </c>
      <c r="S84" s="159" t="str">
        <f t="shared" si="200"/>
        <v>1,288.88</v>
      </c>
      <c r="T84" s="160"/>
      <c r="U84" s="161">
        <v>0.26</v>
      </c>
      <c r="V84" s="162" t="str">
        <f t="shared" si="181"/>
        <v>1,110.00</v>
      </c>
      <c r="W84" s="163" t="str">
        <f t="shared" si="182"/>
        <v>60.00</v>
      </c>
      <c r="X84" s="164" t="str">
        <f t="shared" si="183"/>
        <v>82.99</v>
      </c>
      <c r="Y84" s="165" t="str">
        <f t="shared" si="184"/>
        <v>0.00</v>
      </c>
      <c r="Z84" s="166">
        <v>0.3</v>
      </c>
      <c r="AA84" s="167" t="str">
        <f t="shared" si="199"/>
        <v>76</v>
      </c>
      <c r="AB84" s="168" t="str">
        <f t="shared" si="186"/>
        <v>487.500</v>
      </c>
      <c r="AC84" s="168" t="str">
        <f t="shared" si="187"/>
        <v>39.516</v>
      </c>
      <c r="AD84" s="164" t="str">
        <f t="shared" si="188"/>
        <v>3.57</v>
      </c>
      <c r="AE84" s="164">
        <v>92.86</v>
      </c>
      <c r="AF84" s="164" t="str">
        <f t="shared" si="189"/>
        <v>4.80</v>
      </c>
      <c r="AG84" s="165" t="str">
        <f t="shared" si="190"/>
        <v>150.00</v>
      </c>
      <c r="AH84" s="23"/>
      <c r="AI84" s="278">
        <v>0.1</v>
      </c>
      <c r="AJ84" s="24" t="str">
        <f t="shared" si="191"/>
        <v>147.98</v>
      </c>
      <c r="AK84" s="279" t="str">
        <f t="shared" si="192"/>
        <v>33.06%</v>
      </c>
      <c r="AL84" s="280"/>
      <c r="AM84" s="281" t="str">
        <f t="shared" si="193"/>
        <v>0.00</v>
      </c>
      <c r="AN84" s="280"/>
      <c r="AO84" s="282">
        <v>13.42</v>
      </c>
      <c r="AP84" s="283">
        <v>222.64</v>
      </c>
      <c r="AQ84" s="283" t="str">
        <f t="shared" si="194"/>
        <v>0.00</v>
      </c>
      <c r="AR84" s="283">
        <v>47.94</v>
      </c>
      <c r="AS84" s="284"/>
      <c r="AT84" s="285" t="str">
        <f t="shared" si="21"/>
        <v>0.00</v>
      </c>
      <c r="AU84" s="284"/>
      <c r="AV84" s="286"/>
      <c r="AW84" s="285"/>
      <c r="AX84" s="284"/>
      <c r="AY84" s="26"/>
      <c r="AZ84" s="171" t="str">
        <f t="shared" si="195"/>
        <v>0.00%</v>
      </c>
      <c r="BA84" s="172" t="str">
        <f t="shared" si="196"/>
        <v>0.00</v>
      </c>
      <c r="BB84" s="173" t="str">
        <f t="shared" si="197"/>
        <v>1,288.88</v>
      </c>
      <c r="BC84" s="174" t="str">
        <f t="shared" si="198"/>
        <v>915.10</v>
      </c>
    </row>
    <row r="85" ht="12.75" hidden="1" customHeight="1">
      <c r="A85" s="26"/>
      <c r="B85" s="190"/>
      <c r="C85" s="203" t="s">
        <v>197</v>
      </c>
      <c r="D85" s="204" t="s">
        <v>198</v>
      </c>
      <c r="E85" s="53" t="s">
        <v>77</v>
      </c>
      <c r="F85" s="154">
        <v>1.0</v>
      </c>
      <c r="G85" s="53"/>
      <c r="H85" s="53" t="str">
        <f t="shared" si="175"/>
        <v>0.00069</v>
      </c>
      <c r="I85" s="53" t="str">
        <f t="shared" si="176"/>
        <v>89</v>
      </c>
      <c r="J85" s="53" t="str">
        <f t="shared" si="177"/>
        <v>0</v>
      </c>
      <c r="K85" s="155" t="str">
        <f t="shared" si="178"/>
        <v>0.00</v>
      </c>
      <c r="L85" s="156" t="str">
        <f t="shared" si="179"/>
        <v>0.00 </v>
      </c>
      <c r="M85" s="132">
        <v>90.0</v>
      </c>
      <c r="N85" s="157">
        <v>0.0</v>
      </c>
      <c r="O85" s="277">
        <v>0.0</v>
      </c>
      <c r="P85" s="277" t="str">
        <f>K85/E85</f>
        <v>#VALUE!</v>
      </c>
      <c r="Q85" s="157">
        <v>0.0</v>
      </c>
      <c r="R85" s="158"/>
      <c r="S85" s="159" t="str">
        <f t="shared" si="200"/>
        <v>363.74</v>
      </c>
      <c r="T85" s="160"/>
      <c r="U85" s="161">
        <v>0.26</v>
      </c>
      <c r="V85" s="162" t="str">
        <f t="shared" si="181"/>
        <v>0.00</v>
      </c>
      <c r="W85" s="163" t="str">
        <f t="shared" si="182"/>
        <v>60.00</v>
      </c>
      <c r="X85" s="164" t="str">
        <f t="shared" si="183"/>
        <v>0.00</v>
      </c>
      <c r="Y85" s="165" t="str">
        <f t="shared" si="184"/>
        <v>0.00</v>
      </c>
      <c r="Z85" s="166"/>
      <c r="AA85" s="167" t="str">
        <f t="shared" si="199"/>
        <v>57</v>
      </c>
      <c r="AB85" s="168" t="str">
        <f t="shared" si="186"/>
        <v>0.000</v>
      </c>
      <c r="AC85" s="168" t="str">
        <f t="shared" si="187"/>
        <v>0.000</v>
      </c>
      <c r="AD85" s="164" t="str">
        <f t="shared" si="188"/>
        <v>50.00</v>
      </c>
      <c r="AE85" s="164"/>
      <c r="AF85" s="164" t="str">
        <f t="shared" si="189"/>
        <v>0.00</v>
      </c>
      <c r="AG85" s="165" t="str">
        <f t="shared" si="190"/>
        <v>0.00</v>
      </c>
      <c r="AH85" s="23"/>
      <c r="AI85" s="278">
        <v>0.1</v>
      </c>
      <c r="AJ85" s="24" t="str">
        <f t="shared" si="191"/>
        <v>-167.00</v>
      </c>
      <c r="AK85" s="279" t="str">
        <f t="shared" si="192"/>
        <v>#DIV/0!</v>
      </c>
      <c r="AL85" s="280"/>
      <c r="AM85" s="281" t="str">
        <f t="shared" si="193"/>
        <v>0.00</v>
      </c>
      <c r="AN85" s="280"/>
      <c r="AO85" s="282"/>
      <c r="AP85" s="283"/>
      <c r="AQ85" s="283" t="str">
        <f t="shared" si="194"/>
        <v>0.00</v>
      </c>
      <c r="AR85" s="283"/>
      <c r="AS85" s="284"/>
      <c r="AT85" s="285" t="str">
        <f t="shared" si="21"/>
        <v>0.00</v>
      </c>
      <c r="AU85" s="284"/>
      <c r="AV85" s="286"/>
      <c r="AW85" s="285"/>
      <c r="AX85" s="284"/>
      <c r="AY85" s="26"/>
      <c r="AZ85" s="171" t="str">
        <f t="shared" si="195"/>
        <v>0.00%</v>
      </c>
      <c r="BA85" s="172" t="str">
        <f t="shared" si="196"/>
        <v>0.00</v>
      </c>
      <c r="BB85" s="173" t="str">
        <f t="shared" si="197"/>
        <v>363.74</v>
      </c>
      <c r="BC85" s="174" t="str">
        <f t="shared" si="198"/>
        <v>258.25</v>
      </c>
    </row>
    <row r="86" ht="12.75" hidden="1" customHeight="1">
      <c r="A86" s="26"/>
      <c r="B86" s="190"/>
      <c r="C86" s="199">
        <v>3.07071318E8</v>
      </c>
      <c r="D86" s="152" t="s">
        <v>199</v>
      </c>
      <c r="E86" s="53" t="s">
        <v>77</v>
      </c>
      <c r="F86" s="154">
        <v>1.0</v>
      </c>
      <c r="G86" s="53"/>
      <c r="H86" s="53"/>
      <c r="I86" s="53"/>
      <c r="J86" s="53"/>
      <c r="K86" s="155"/>
      <c r="L86" s="156"/>
      <c r="M86" s="132"/>
      <c r="N86" s="157">
        <v>512.19</v>
      </c>
      <c r="O86" s="277">
        <v>558.29</v>
      </c>
      <c r="P86" s="277">
        <v>542.92</v>
      </c>
      <c r="Q86" s="157">
        <v>512.19</v>
      </c>
      <c r="R86" s="158">
        <v>1600.0</v>
      </c>
      <c r="S86" s="159"/>
      <c r="T86" s="160"/>
      <c r="U86" s="161">
        <v>0.26</v>
      </c>
      <c r="V86" s="162" t="str">
        <f t="shared" si="181"/>
        <v>1,184.00</v>
      </c>
      <c r="W86" s="163" t="str">
        <f t="shared" si="182"/>
        <v>60.00</v>
      </c>
      <c r="X86" s="164" t="str">
        <f t="shared" si="183"/>
        <v>88.52</v>
      </c>
      <c r="Y86" s="165" t="str">
        <f t="shared" si="184"/>
        <v>0.00</v>
      </c>
      <c r="Z86" s="166">
        <v>0.3</v>
      </c>
      <c r="AA86" s="167" t="str">
        <f t="shared" si="199"/>
        <v>76</v>
      </c>
      <c r="AB86" s="168" t="str">
        <f t="shared" si="186"/>
        <v>520.000</v>
      </c>
      <c r="AC86" s="168" t="str">
        <f t="shared" si="187"/>
        <v>42.150</v>
      </c>
      <c r="AD86" s="164" t="str">
        <f t="shared" si="188"/>
        <v>3.57</v>
      </c>
      <c r="AE86" s="164">
        <v>92.86</v>
      </c>
      <c r="AF86" s="164" t="str">
        <f t="shared" si="189"/>
        <v>4.80</v>
      </c>
      <c r="AG86" s="165" t="str">
        <f t="shared" si="190"/>
        <v>160.00</v>
      </c>
      <c r="AH86" s="23"/>
      <c r="AI86" s="278">
        <v>0.1</v>
      </c>
      <c r="AJ86" s="24" t="str">
        <f t="shared" si="191"/>
        <v>132.77</v>
      </c>
      <c r="AK86" s="279" t="str">
        <f t="shared" si="192"/>
        <v>25.92%</v>
      </c>
      <c r="AL86" s="280"/>
      <c r="AM86" s="281" t="str">
        <f t="shared" si="193"/>
        <v>0.00</v>
      </c>
      <c r="AN86" s="280"/>
      <c r="AO86" s="282"/>
      <c r="AP86" s="283"/>
      <c r="AQ86" s="283" t="str">
        <f t="shared" si="194"/>
        <v>0.00</v>
      </c>
      <c r="AR86" s="283"/>
      <c r="AS86" s="284"/>
      <c r="AT86" s="285" t="str">
        <f t="shared" si="21"/>
        <v>0.00</v>
      </c>
      <c r="AU86" s="284"/>
      <c r="AV86" s="286"/>
      <c r="AW86" s="285"/>
      <c r="AX86" s="284"/>
      <c r="AY86" s="26"/>
      <c r="AZ86" s="171"/>
      <c r="BA86" s="172"/>
      <c r="BB86" s="173"/>
      <c r="BC86" s="174"/>
    </row>
    <row r="87" ht="12.75" customHeight="1">
      <c r="A87" s="26"/>
      <c r="B87" s="125" t="s">
        <v>200</v>
      </c>
      <c r="C87" s="126"/>
      <c r="D87" s="127"/>
      <c r="E87" s="128"/>
      <c r="F87" s="128"/>
      <c r="G87" s="128"/>
      <c r="H87" s="197"/>
      <c r="I87" s="197"/>
      <c r="J87" s="128"/>
      <c r="K87" s="130"/>
      <c r="L87" s="131"/>
      <c r="M87" s="132"/>
      <c r="N87" s="176"/>
      <c r="O87" s="133"/>
      <c r="P87" s="133"/>
      <c r="Q87" s="176"/>
      <c r="R87" s="134"/>
      <c r="S87" s="135"/>
      <c r="T87" s="135"/>
      <c r="U87" s="136"/>
      <c r="V87" s="137"/>
      <c r="W87" s="177"/>
      <c r="X87" s="178"/>
      <c r="Y87" s="179"/>
      <c r="Z87" s="180"/>
      <c r="AA87" s="181"/>
      <c r="AB87" s="182"/>
      <c r="AC87" s="182"/>
      <c r="AD87" s="178"/>
      <c r="AE87" s="178"/>
      <c r="AF87" s="178"/>
      <c r="AG87" s="179"/>
      <c r="AH87" s="183"/>
      <c r="AI87" s="271"/>
      <c r="AJ87" s="287"/>
      <c r="AK87" s="288"/>
      <c r="AL87" s="280"/>
      <c r="AM87" s="281" t="str">
        <f t="shared" si="193"/>
        <v>0.00</v>
      </c>
      <c r="AN87" s="280"/>
      <c r="AO87" s="282"/>
      <c r="AP87" s="283"/>
      <c r="AQ87" s="283" t="str">
        <f t="shared" si="194"/>
        <v>0.00</v>
      </c>
      <c r="AR87" s="283"/>
      <c r="AS87" s="284"/>
      <c r="AT87" s="285" t="str">
        <f t="shared" si="21"/>
        <v>0.00</v>
      </c>
      <c r="AU87" s="284"/>
      <c r="AV87" s="286"/>
      <c r="AW87" s="285"/>
      <c r="AX87" s="284"/>
      <c r="AY87" s="26"/>
      <c r="AZ87" s="186"/>
      <c r="BA87" s="187"/>
      <c r="BB87" s="188"/>
      <c r="BC87" s="189"/>
    </row>
    <row r="88" ht="12.75" customHeight="1">
      <c r="A88" s="26"/>
      <c r="B88" s="190" t="s">
        <v>207</v>
      </c>
      <c r="C88" s="199">
        <v>2.38415286E8</v>
      </c>
      <c r="D88" s="152" t="s">
        <v>208</v>
      </c>
      <c r="E88" s="53" t="s">
        <v>77</v>
      </c>
      <c r="F88" s="154">
        <v>1.0</v>
      </c>
      <c r="G88" s="53"/>
      <c r="H88" s="53" t="str">
        <f t="shared" ref="H88:H107" si="202">$I$2</f>
        <v>0.00069</v>
      </c>
      <c r="I88" s="53" t="str">
        <f t="shared" ref="I88:I107" si="203">$I$3</f>
        <v>89</v>
      </c>
      <c r="J88" s="53" t="str">
        <f t="shared" ref="J88:J105" si="204">G88*H88*I88*F88</f>
        <v>0</v>
      </c>
      <c r="K88" s="155" t="str">
        <f t="shared" ref="K88:K105" si="205">J88*$J$4</f>
        <v>0.00</v>
      </c>
      <c r="L88" s="156" t="str">
        <f t="shared" ref="L88:L105" si="206">K88+J88</f>
        <v>0.00 </v>
      </c>
      <c r="M88" s="132">
        <v>90.0</v>
      </c>
      <c r="N88" s="175">
        <v>161.3</v>
      </c>
      <c r="O88" s="277">
        <v>175.82</v>
      </c>
      <c r="P88" s="277">
        <v>170.98</v>
      </c>
      <c r="Q88" s="175">
        <v>161.3</v>
      </c>
      <c r="R88" s="158">
        <v>663.0</v>
      </c>
      <c r="S88" s="159" t="str">
        <f t="shared" ref="S88:S89" si="207">R88</f>
        <v>663.00</v>
      </c>
      <c r="T88" s="160">
        <v>540.0</v>
      </c>
      <c r="U88" s="161">
        <v>0.26</v>
      </c>
      <c r="V88" s="162" t="str">
        <f t="shared" ref="V88:V114" si="208">R88-(R88*U88)</f>
        <v>490.62</v>
      </c>
      <c r="W88" s="163" t="str">
        <f t="shared" ref="W88:W111" si="209">$C$1</f>
        <v>60.00</v>
      </c>
      <c r="X88" s="164" t="str">
        <f t="shared" ref="X88:X114" si="210">(V88*7/107)+((V88-(V88*7/107))*1%)</f>
        <v>36.68</v>
      </c>
      <c r="Y88" s="165" t="str">
        <f t="shared" ref="Y88:Y114" si="211">Q88*$C$3*(M88/30)</f>
        <v>0.00</v>
      </c>
      <c r="Z88" s="166">
        <v>0.73</v>
      </c>
      <c r="AA88" s="167">
        <v>84.0</v>
      </c>
      <c r="AB88" s="168" t="str">
        <f t="shared" ref="AB88:AB114" si="212">R88*$AB$6</f>
        <v>215.475</v>
      </c>
      <c r="AC88" s="168" t="str">
        <f t="shared" ref="AC88:AC114" si="213">V88*$AB$7</f>
        <v>17.466</v>
      </c>
      <c r="AD88" s="164" t="str">
        <f t="shared" ref="AD88:AD114" si="214">$AB$3*((100-AE88)/100)</f>
        <v>1.87</v>
      </c>
      <c r="AE88" s="164">
        <v>96.27</v>
      </c>
      <c r="AF88" s="164" t="str">
        <f t="shared" ref="AF88:AF114" si="215">$C$6*$C$7*_xlfn.CEILING.MATH(Z88)</f>
        <v>4.80</v>
      </c>
      <c r="AG88" s="165">
        <v>18.75</v>
      </c>
      <c r="AH88" s="23"/>
      <c r="AI88" s="292">
        <v>0.03</v>
      </c>
      <c r="AJ88" s="24" t="str">
        <f t="shared" ref="AJ88:AJ111" si="216">R88-W88-X88-Y88-AA88-AB88-AC88-AD88-AF88-AG88-Q88</f>
        <v>62.66</v>
      </c>
      <c r="AK88" s="279" t="str">
        <f t="shared" ref="AK88:AK114" si="217">AJ88/Q88</f>
        <v>38.85%</v>
      </c>
      <c r="AL88" s="280">
        <v>3000.0</v>
      </c>
      <c r="AM88" s="281" t="str">
        <f t="shared" si="193"/>
        <v>187,986.18</v>
      </c>
      <c r="AN88" s="280">
        <v>2135.0</v>
      </c>
      <c r="AO88" s="293" t="s">
        <v>676</v>
      </c>
      <c r="AP88" s="283">
        <v>87.24</v>
      </c>
      <c r="AQ88" s="283" t="str">
        <f t="shared" si="194"/>
        <v>186,257.40</v>
      </c>
      <c r="AR88" s="283">
        <v>51.58</v>
      </c>
      <c r="AS88" s="284">
        <v>1800.0</v>
      </c>
      <c r="AT88" s="285" t="str">
        <f t="shared" si="21"/>
        <v>112,791.71</v>
      </c>
      <c r="AU88" s="284">
        <v>1139.0</v>
      </c>
      <c r="AV88" s="286">
        <v>0.0444</v>
      </c>
      <c r="AW88" s="285">
        <v>130571.89</v>
      </c>
      <c r="AX88" s="284">
        <v>71.07</v>
      </c>
      <c r="AY88" s="26"/>
      <c r="AZ88" s="171" t="str">
        <f t="shared" ref="AZ88:AZ91" si="218">$AG$3</f>
        <v>0.00%</v>
      </c>
      <c r="BA88" s="172" t="str">
        <f t="shared" ref="BA88:BA91" si="219">Q88*AZ88</f>
        <v>0.00</v>
      </c>
      <c r="BB88" s="173" t="str">
        <f t="shared" ref="BB88:BB91" si="220">(Q88+W88+Y88+AA88+AD88+AF88+AI88+BA88)/(100%-($C$2+$C$8+$AB$6+$AB$7))</f>
        <v>679.14</v>
      </c>
      <c r="BC88" s="174" t="str">
        <f t="shared" ref="BC88:BC91" si="221">BB88-(BB88*$AG$1)</f>
        <v>482.19</v>
      </c>
    </row>
    <row r="89" ht="12.75" customHeight="1">
      <c r="A89" s="26"/>
      <c r="B89" s="190" t="s">
        <v>214</v>
      </c>
      <c r="C89" s="199">
        <v>2.3841601E8</v>
      </c>
      <c r="D89" s="152" t="s">
        <v>215</v>
      </c>
      <c r="E89" s="53" t="s">
        <v>77</v>
      </c>
      <c r="F89" s="154">
        <v>1.0</v>
      </c>
      <c r="G89" s="53"/>
      <c r="H89" s="53" t="str">
        <f t="shared" si="202"/>
        <v>0.00069</v>
      </c>
      <c r="I89" s="53" t="str">
        <f t="shared" si="203"/>
        <v>89</v>
      </c>
      <c r="J89" s="53" t="str">
        <f t="shared" si="204"/>
        <v>0</v>
      </c>
      <c r="K89" s="155" t="str">
        <f t="shared" si="205"/>
        <v>0.00</v>
      </c>
      <c r="L89" s="156" t="str">
        <f t="shared" si="206"/>
        <v>0.00 </v>
      </c>
      <c r="M89" s="132">
        <v>90.0</v>
      </c>
      <c r="N89" s="175">
        <v>183.88</v>
      </c>
      <c r="O89" s="277">
        <v>200.43</v>
      </c>
      <c r="P89" s="277">
        <v>194.91</v>
      </c>
      <c r="Q89" s="175">
        <v>183.88</v>
      </c>
      <c r="R89" s="158">
        <v>640.0</v>
      </c>
      <c r="S89" s="159" t="str">
        <f t="shared" si="207"/>
        <v>640.00</v>
      </c>
      <c r="T89" s="160">
        <v>552.0</v>
      </c>
      <c r="U89" s="161">
        <v>0.26</v>
      </c>
      <c r="V89" s="162" t="str">
        <f t="shared" si="208"/>
        <v>473.60</v>
      </c>
      <c r="W89" s="163" t="str">
        <f t="shared" si="209"/>
        <v>60.00</v>
      </c>
      <c r="X89" s="164" t="str">
        <f t="shared" si="210"/>
        <v>35.41</v>
      </c>
      <c r="Y89" s="165" t="str">
        <f t="shared" si="211"/>
        <v>0.00</v>
      </c>
      <c r="Z89" s="166">
        <v>0.73</v>
      </c>
      <c r="AA89" s="167">
        <v>90.0</v>
      </c>
      <c r="AB89" s="168" t="str">
        <f t="shared" si="212"/>
        <v>208.000</v>
      </c>
      <c r="AC89" s="168" t="str">
        <f t="shared" si="213"/>
        <v>16.860</v>
      </c>
      <c r="AD89" s="164" t="str">
        <f t="shared" si="214"/>
        <v>2.11</v>
      </c>
      <c r="AE89" s="164">
        <v>95.78</v>
      </c>
      <c r="AF89" s="164" t="str">
        <f t="shared" si="215"/>
        <v>4.80</v>
      </c>
      <c r="AG89" s="165" t="str">
        <f t="shared" ref="AG89:AG114" si="222">R89*$C$2</f>
        <v>64.00</v>
      </c>
      <c r="AH89" s="23"/>
      <c r="AI89" s="278">
        <v>0.1</v>
      </c>
      <c r="AJ89" s="24" t="str">
        <f t="shared" si="216"/>
        <v>-25.06</v>
      </c>
      <c r="AK89" s="279" t="str">
        <f t="shared" si="217"/>
        <v>-13.63%</v>
      </c>
      <c r="AL89" s="280">
        <v>350.0</v>
      </c>
      <c r="AM89" s="281" t="str">
        <f t="shared" si="193"/>
        <v>-8,770.83</v>
      </c>
      <c r="AN89" s="280">
        <v>144.0</v>
      </c>
      <c r="AO89" s="282">
        <v>19.39</v>
      </c>
      <c r="AP89" s="283">
        <v>57.7</v>
      </c>
      <c r="AQ89" s="283" t="str">
        <f t="shared" si="194"/>
        <v>8,308.80</v>
      </c>
      <c r="AR89" s="283">
        <v>29.93</v>
      </c>
      <c r="AS89" s="284">
        <v>300.0</v>
      </c>
      <c r="AT89" s="285" t="str">
        <f t="shared" si="21"/>
        <v>-7,517.85</v>
      </c>
      <c r="AU89" s="284">
        <v>131.0</v>
      </c>
      <c r="AV89" s="286">
        <v>0.0658</v>
      </c>
      <c r="AW89" s="285">
        <v>5226.99</v>
      </c>
      <c r="AX89" s="284">
        <v>21.7</v>
      </c>
      <c r="AY89" s="26"/>
      <c r="AZ89" s="171" t="str">
        <f t="shared" si="218"/>
        <v>0.00%</v>
      </c>
      <c r="BA89" s="172" t="str">
        <f t="shared" si="219"/>
        <v>0.00</v>
      </c>
      <c r="BB89" s="173" t="str">
        <f t="shared" si="220"/>
        <v>742.03</v>
      </c>
      <c r="BC89" s="174" t="str">
        <f t="shared" si="221"/>
        <v>526.84</v>
      </c>
    </row>
    <row r="90" ht="12.75" customHeight="1">
      <c r="A90" s="26"/>
      <c r="B90" s="190" t="s">
        <v>209</v>
      </c>
      <c r="C90" s="199">
        <v>1.50925321E8</v>
      </c>
      <c r="D90" s="152" t="s">
        <v>210</v>
      </c>
      <c r="E90" s="53" t="s">
        <v>77</v>
      </c>
      <c r="F90" s="154">
        <v>1.0</v>
      </c>
      <c r="G90" s="53"/>
      <c r="H90" s="53" t="str">
        <f t="shared" si="202"/>
        <v>0.00069</v>
      </c>
      <c r="I90" s="53" t="str">
        <f t="shared" si="203"/>
        <v>89</v>
      </c>
      <c r="J90" s="53" t="str">
        <f t="shared" si="204"/>
        <v>0</v>
      </c>
      <c r="K90" s="155" t="str">
        <f t="shared" si="205"/>
        <v>0.00</v>
      </c>
      <c r="L90" s="156" t="str">
        <f t="shared" si="206"/>
        <v>0.00 </v>
      </c>
      <c r="M90" s="132">
        <v>90.0</v>
      </c>
      <c r="N90" s="175">
        <v>216.45</v>
      </c>
      <c r="O90" s="277">
        <v>235.93</v>
      </c>
      <c r="P90" s="277">
        <v>229.44</v>
      </c>
      <c r="Q90" s="175">
        <v>216.45</v>
      </c>
      <c r="R90" s="158">
        <v>945.0</v>
      </c>
      <c r="S90" s="159">
        <v>986.0</v>
      </c>
      <c r="T90" s="160">
        <v>855.0</v>
      </c>
      <c r="U90" s="161">
        <v>0.26</v>
      </c>
      <c r="V90" s="162" t="str">
        <f t="shared" si="208"/>
        <v>699.30</v>
      </c>
      <c r="W90" s="163" t="str">
        <f t="shared" si="209"/>
        <v>60.00</v>
      </c>
      <c r="X90" s="164" t="str">
        <f t="shared" si="210"/>
        <v>52.28</v>
      </c>
      <c r="Y90" s="165" t="str">
        <f t="shared" si="211"/>
        <v>0.00</v>
      </c>
      <c r="Z90" s="166">
        <v>0.63</v>
      </c>
      <c r="AA90" s="167">
        <v>79.0</v>
      </c>
      <c r="AB90" s="168" t="str">
        <f t="shared" si="212"/>
        <v>307.125</v>
      </c>
      <c r="AC90" s="168" t="str">
        <f t="shared" si="213"/>
        <v>24.895</v>
      </c>
      <c r="AD90" s="164" t="str">
        <f t="shared" si="214"/>
        <v>3.36</v>
      </c>
      <c r="AE90" s="164">
        <v>93.29</v>
      </c>
      <c r="AF90" s="164" t="str">
        <f t="shared" si="215"/>
        <v>4.80</v>
      </c>
      <c r="AG90" s="165" t="str">
        <f t="shared" si="222"/>
        <v>94.50</v>
      </c>
      <c r="AH90" s="23"/>
      <c r="AI90" s="278">
        <v>0.1</v>
      </c>
      <c r="AJ90" s="24" t="str">
        <f t="shared" si="216"/>
        <v>102.59</v>
      </c>
      <c r="AK90" s="279" t="str">
        <f t="shared" si="217"/>
        <v>47.40%</v>
      </c>
      <c r="AL90" s="280">
        <v>200.0</v>
      </c>
      <c r="AM90" s="281" t="str">
        <f t="shared" si="193"/>
        <v>20,518.16</v>
      </c>
      <c r="AN90" s="280">
        <v>61.0</v>
      </c>
      <c r="AO90" s="282">
        <v>4.56</v>
      </c>
      <c r="AP90" s="283">
        <v>188.42</v>
      </c>
      <c r="AQ90" s="283" t="str">
        <f t="shared" si="194"/>
        <v>11,493.62</v>
      </c>
      <c r="AR90" s="283">
        <v>83.39</v>
      </c>
      <c r="AS90" s="284">
        <v>300.0</v>
      </c>
      <c r="AT90" s="285" t="str">
        <f t="shared" si="21"/>
        <v>30,777.24</v>
      </c>
      <c r="AU90" s="284">
        <v>582.0</v>
      </c>
      <c r="AV90" s="286">
        <v>0.1648</v>
      </c>
      <c r="AW90" s="285">
        <v>41750.99</v>
      </c>
      <c r="AX90" s="284">
        <v>33.14</v>
      </c>
      <c r="AY90" s="26"/>
      <c r="AZ90" s="171" t="str">
        <f t="shared" si="218"/>
        <v>0.00%</v>
      </c>
      <c r="BA90" s="172" t="str">
        <f t="shared" si="219"/>
        <v>0.00</v>
      </c>
      <c r="BB90" s="173" t="str">
        <f t="shared" si="220"/>
        <v>791.70</v>
      </c>
      <c r="BC90" s="174" t="str">
        <f t="shared" si="221"/>
        <v>562.10</v>
      </c>
    </row>
    <row r="91" ht="12.75" customHeight="1">
      <c r="A91" s="26"/>
      <c r="B91" s="190" t="s">
        <v>211</v>
      </c>
      <c r="C91" s="199">
        <v>1.50925322E8</v>
      </c>
      <c r="D91" s="152" t="s">
        <v>212</v>
      </c>
      <c r="E91" s="53" t="s">
        <v>77</v>
      </c>
      <c r="F91" s="154">
        <v>1.0</v>
      </c>
      <c r="G91" s="53"/>
      <c r="H91" s="53" t="str">
        <f t="shared" si="202"/>
        <v>0.00069</v>
      </c>
      <c r="I91" s="53" t="str">
        <f t="shared" si="203"/>
        <v>89</v>
      </c>
      <c r="J91" s="53" t="str">
        <f t="shared" si="204"/>
        <v>0</v>
      </c>
      <c r="K91" s="155" t="str">
        <f t="shared" si="205"/>
        <v>0.00</v>
      </c>
      <c r="L91" s="156" t="str">
        <f t="shared" si="206"/>
        <v>0.00 </v>
      </c>
      <c r="M91" s="132">
        <v>90.0</v>
      </c>
      <c r="N91" s="157">
        <v>242.88</v>
      </c>
      <c r="O91" s="277">
        <v>264.74</v>
      </c>
      <c r="P91" s="277">
        <v>257.45</v>
      </c>
      <c r="Q91" s="157">
        <v>242.88</v>
      </c>
      <c r="R91" s="158">
        <v>945.0</v>
      </c>
      <c r="S91" s="159" t="str">
        <f t="shared" ref="S91:S102" si="223">R91</f>
        <v>945.00</v>
      </c>
      <c r="T91" s="160">
        <v>750.0</v>
      </c>
      <c r="U91" s="161">
        <v>0.26</v>
      </c>
      <c r="V91" s="162" t="str">
        <f t="shared" si="208"/>
        <v>699.30</v>
      </c>
      <c r="W91" s="163" t="str">
        <f t="shared" si="209"/>
        <v>60.00</v>
      </c>
      <c r="X91" s="164" t="str">
        <f t="shared" si="210"/>
        <v>52.28</v>
      </c>
      <c r="Y91" s="165" t="str">
        <f t="shared" si="211"/>
        <v>0.00</v>
      </c>
      <c r="Z91" s="166">
        <v>0.63</v>
      </c>
      <c r="AA91" s="167">
        <v>79.0</v>
      </c>
      <c r="AB91" s="168" t="str">
        <f t="shared" si="212"/>
        <v>307.125</v>
      </c>
      <c r="AC91" s="168" t="str">
        <f t="shared" si="213"/>
        <v>24.895</v>
      </c>
      <c r="AD91" s="164" t="str">
        <f t="shared" si="214"/>
        <v>5.08</v>
      </c>
      <c r="AE91" s="164">
        <v>89.84</v>
      </c>
      <c r="AF91" s="164" t="str">
        <f t="shared" si="215"/>
        <v>4.80</v>
      </c>
      <c r="AG91" s="165" t="str">
        <f t="shared" si="222"/>
        <v>94.50</v>
      </c>
      <c r="AH91" s="23"/>
      <c r="AI91" s="278">
        <v>0.1</v>
      </c>
      <c r="AJ91" s="24" t="str">
        <f t="shared" si="216"/>
        <v>74.44</v>
      </c>
      <c r="AK91" s="279" t="str">
        <f t="shared" si="217"/>
        <v>30.65%</v>
      </c>
      <c r="AL91" s="280">
        <v>200.0</v>
      </c>
      <c r="AM91" s="281" t="str">
        <f t="shared" si="193"/>
        <v>14,887.16</v>
      </c>
      <c r="AN91" s="280">
        <v>89.0</v>
      </c>
      <c r="AO91" s="282"/>
      <c r="AP91" s="283">
        <v>199.21</v>
      </c>
      <c r="AQ91" s="283" t="str">
        <f t="shared" si="194"/>
        <v>17,729.69</v>
      </c>
      <c r="AR91" s="283">
        <v>78.07</v>
      </c>
      <c r="AS91" s="284">
        <v>300.0</v>
      </c>
      <c r="AT91" s="285" t="str">
        <f t="shared" si="21"/>
        <v>22,330.74</v>
      </c>
      <c r="AU91" s="284">
        <v>138.0</v>
      </c>
      <c r="AV91" s="286">
        <v>0.2961</v>
      </c>
      <c r="AW91" s="285">
        <v>-11772.82</v>
      </c>
      <c r="AX91" s="284">
        <v>-35.12</v>
      </c>
      <c r="AY91" s="26"/>
      <c r="AZ91" s="171" t="str">
        <f t="shared" si="218"/>
        <v>0.00%</v>
      </c>
      <c r="BA91" s="172" t="str">
        <f t="shared" si="219"/>
        <v>0.00</v>
      </c>
      <c r="BB91" s="173" t="str">
        <f t="shared" si="220"/>
        <v>852.98</v>
      </c>
      <c r="BC91" s="174" t="str">
        <f t="shared" si="221"/>
        <v>605.62</v>
      </c>
    </row>
    <row r="92" ht="12.75" customHeight="1">
      <c r="A92" s="26"/>
      <c r="B92" s="190"/>
      <c r="C92" s="199">
        <v>6.11747838E8</v>
      </c>
      <c r="D92" s="152" t="s">
        <v>213</v>
      </c>
      <c r="E92" s="53" t="s">
        <v>77</v>
      </c>
      <c r="F92" s="154">
        <v>1.0</v>
      </c>
      <c r="G92" s="53"/>
      <c r="H92" s="53" t="str">
        <f t="shared" si="202"/>
        <v>0.00069</v>
      </c>
      <c r="I92" s="53" t="str">
        <f t="shared" si="203"/>
        <v>89</v>
      </c>
      <c r="J92" s="53" t="str">
        <f t="shared" si="204"/>
        <v>0</v>
      </c>
      <c r="K92" s="155" t="str">
        <f t="shared" si="205"/>
        <v>0.00</v>
      </c>
      <c r="L92" s="156" t="str">
        <f t="shared" si="206"/>
        <v>0.00 </v>
      </c>
      <c r="M92" s="132">
        <v>90.0</v>
      </c>
      <c r="N92" s="157">
        <v>242.88</v>
      </c>
      <c r="O92" s="277">
        <v>264.74</v>
      </c>
      <c r="P92" s="277">
        <v>257.45</v>
      </c>
      <c r="Q92" s="157">
        <v>242.88</v>
      </c>
      <c r="R92" s="158">
        <v>945.0</v>
      </c>
      <c r="S92" s="159" t="str">
        <f t="shared" si="223"/>
        <v>945.00</v>
      </c>
      <c r="T92" s="160">
        <v>750.0</v>
      </c>
      <c r="U92" s="161">
        <v>0.26</v>
      </c>
      <c r="V92" s="162" t="str">
        <f t="shared" si="208"/>
        <v>699.30</v>
      </c>
      <c r="W92" s="163" t="str">
        <f t="shared" si="209"/>
        <v>60.00</v>
      </c>
      <c r="X92" s="164" t="str">
        <f t="shared" si="210"/>
        <v>52.28</v>
      </c>
      <c r="Y92" s="165" t="str">
        <f t="shared" si="211"/>
        <v>0.00</v>
      </c>
      <c r="Z92" s="166">
        <v>0.63</v>
      </c>
      <c r="AA92" s="167">
        <v>79.0</v>
      </c>
      <c r="AB92" s="168" t="str">
        <f t="shared" si="212"/>
        <v>307.125</v>
      </c>
      <c r="AC92" s="168" t="str">
        <f t="shared" si="213"/>
        <v>24.895</v>
      </c>
      <c r="AD92" s="164" t="str">
        <f t="shared" si="214"/>
        <v>5.08</v>
      </c>
      <c r="AE92" s="164">
        <v>89.84</v>
      </c>
      <c r="AF92" s="164" t="str">
        <f t="shared" si="215"/>
        <v>4.80</v>
      </c>
      <c r="AG92" s="165" t="str">
        <f t="shared" si="222"/>
        <v>94.50</v>
      </c>
      <c r="AH92" s="23"/>
      <c r="AI92" s="278">
        <v>0.1</v>
      </c>
      <c r="AJ92" s="24" t="str">
        <f t="shared" si="216"/>
        <v>74.44</v>
      </c>
      <c r="AK92" s="279" t="str">
        <f t="shared" si="217"/>
        <v>30.65%</v>
      </c>
      <c r="AL92" s="280"/>
      <c r="AM92" s="281" t="str">
        <f t="shared" si="193"/>
        <v>0.00</v>
      </c>
      <c r="AN92" s="280"/>
      <c r="AO92" s="282"/>
      <c r="AP92" s="283">
        <v>234.84</v>
      </c>
      <c r="AQ92" s="283" t="str">
        <f t="shared" si="194"/>
        <v>0.00</v>
      </c>
      <c r="AR92" s="283">
        <v>93.29</v>
      </c>
      <c r="AS92" s="284">
        <v>71.0</v>
      </c>
      <c r="AT92" s="285" t="str">
        <f t="shared" si="21"/>
        <v>5,284.94</v>
      </c>
      <c r="AU92" s="284">
        <v>71.0</v>
      </c>
      <c r="AV92" s="286">
        <v>0.0</v>
      </c>
      <c r="AW92" s="285">
        <v>14504.64</v>
      </c>
      <c r="AX92" s="284">
        <v>84.11</v>
      </c>
      <c r="AY92" s="26"/>
      <c r="AZ92" s="171"/>
      <c r="BA92" s="172"/>
      <c r="BB92" s="173"/>
      <c r="BC92" s="174"/>
    </row>
    <row r="93" ht="12.75" customHeight="1">
      <c r="A93" s="26"/>
      <c r="B93" s="190" t="s">
        <v>216</v>
      </c>
      <c r="C93" s="199">
        <v>2.07796789E8</v>
      </c>
      <c r="D93" s="152" t="s">
        <v>217</v>
      </c>
      <c r="E93" s="53" t="s">
        <v>77</v>
      </c>
      <c r="F93" s="154">
        <v>1.0</v>
      </c>
      <c r="G93" s="53"/>
      <c r="H93" s="53" t="str">
        <f t="shared" si="202"/>
        <v>0.00069</v>
      </c>
      <c r="I93" s="53" t="str">
        <f t="shared" si="203"/>
        <v>89</v>
      </c>
      <c r="J93" s="53" t="str">
        <f t="shared" si="204"/>
        <v>0</v>
      </c>
      <c r="K93" s="155" t="str">
        <f t="shared" si="205"/>
        <v>0.00</v>
      </c>
      <c r="L93" s="156" t="str">
        <f t="shared" si="206"/>
        <v>0.00 </v>
      </c>
      <c r="M93" s="132">
        <v>90.0</v>
      </c>
      <c r="N93" s="175">
        <v>245.65</v>
      </c>
      <c r="O93" s="277">
        <v>267.76</v>
      </c>
      <c r="P93" s="277">
        <v>260.34</v>
      </c>
      <c r="Q93" s="175">
        <v>245.65</v>
      </c>
      <c r="R93" s="158">
        <v>930.0</v>
      </c>
      <c r="S93" s="159" t="str">
        <f t="shared" si="223"/>
        <v>930.00</v>
      </c>
      <c r="T93" s="160">
        <v>847.0</v>
      </c>
      <c r="U93" s="161">
        <v>0.26</v>
      </c>
      <c r="V93" s="162" t="str">
        <f t="shared" si="208"/>
        <v>688.20</v>
      </c>
      <c r="W93" s="163" t="str">
        <f t="shared" si="209"/>
        <v>60.00</v>
      </c>
      <c r="X93" s="164" t="str">
        <f t="shared" si="210"/>
        <v>51.45</v>
      </c>
      <c r="Y93" s="165" t="str">
        <f t="shared" si="211"/>
        <v>0.00</v>
      </c>
      <c r="Z93" s="166">
        <v>0.63</v>
      </c>
      <c r="AA93" s="167">
        <v>82.0</v>
      </c>
      <c r="AB93" s="168" t="str">
        <f t="shared" si="212"/>
        <v>302.250</v>
      </c>
      <c r="AC93" s="168" t="str">
        <f t="shared" si="213"/>
        <v>24.500</v>
      </c>
      <c r="AD93" s="164" t="str">
        <f t="shared" si="214"/>
        <v>6.67</v>
      </c>
      <c r="AE93" s="164">
        <v>86.67</v>
      </c>
      <c r="AF93" s="164" t="str">
        <f t="shared" si="215"/>
        <v>4.80</v>
      </c>
      <c r="AG93" s="165" t="str">
        <f t="shared" si="222"/>
        <v>93.00</v>
      </c>
      <c r="AH93" s="23"/>
      <c r="AI93" s="278">
        <v>0.1</v>
      </c>
      <c r="AJ93" s="24" t="str">
        <f t="shared" si="216"/>
        <v>59.68</v>
      </c>
      <c r="AK93" s="279" t="str">
        <f t="shared" si="217"/>
        <v>24.30%</v>
      </c>
      <c r="AL93" s="280">
        <v>400.0</v>
      </c>
      <c r="AM93" s="281" t="str">
        <f t="shared" si="193"/>
        <v>23,872.35</v>
      </c>
      <c r="AN93" s="280">
        <v>278.0</v>
      </c>
      <c r="AO93" s="282">
        <v>14.42</v>
      </c>
      <c r="AP93" s="283">
        <v>114.36</v>
      </c>
      <c r="AQ93" s="283" t="str">
        <f t="shared" si="194"/>
        <v>31,792.08</v>
      </c>
      <c r="AR93" s="283">
        <v>44.48</v>
      </c>
      <c r="AS93" s="294">
        <v>400.0</v>
      </c>
      <c r="AT93" s="285" t="str">
        <f t="shared" si="21"/>
        <v>23,872.35</v>
      </c>
      <c r="AU93" s="294">
        <v>340.0</v>
      </c>
      <c r="AV93" s="295">
        <v>0.0452</v>
      </c>
      <c r="AW93" s="285">
        <v>53895.25</v>
      </c>
      <c r="AX93" s="284">
        <v>64.53</v>
      </c>
      <c r="AY93" s="26"/>
      <c r="AZ93" s="171" t="str">
        <f t="shared" ref="AZ93:AZ105" si="224">$AG$3</f>
        <v>0.00%</v>
      </c>
      <c r="BA93" s="172" t="str">
        <f t="shared" ref="BA93:BA105" si="225">Q93*AZ93</f>
        <v>0.00</v>
      </c>
      <c r="BB93" s="173" t="str">
        <f t="shared" ref="BB93:BB105" si="226">(Q93+W93+Y93+AA93+AD93+AF93+AI93+BA93)/(100%-($C$2+$C$8+$AB$6+$AB$7))</f>
        <v>868.99</v>
      </c>
      <c r="BC93" s="174" t="str">
        <f t="shared" ref="BC93:BC105" si="227">BB93-(BB93*$AG$1)</f>
        <v>616.98</v>
      </c>
    </row>
    <row r="94" ht="12.75" customHeight="1">
      <c r="A94" s="26"/>
      <c r="B94" s="190" t="s">
        <v>218</v>
      </c>
      <c r="C94" s="199">
        <v>2.07796898E8</v>
      </c>
      <c r="D94" s="152" t="s">
        <v>219</v>
      </c>
      <c r="E94" s="53" t="s">
        <v>77</v>
      </c>
      <c r="F94" s="154">
        <v>1.0</v>
      </c>
      <c r="G94" s="53"/>
      <c r="H94" s="53" t="str">
        <f t="shared" si="202"/>
        <v>0.00069</v>
      </c>
      <c r="I94" s="53" t="str">
        <f t="shared" si="203"/>
        <v>89</v>
      </c>
      <c r="J94" s="53" t="str">
        <f t="shared" si="204"/>
        <v>0</v>
      </c>
      <c r="K94" s="155" t="str">
        <f t="shared" si="205"/>
        <v>0.00</v>
      </c>
      <c r="L94" s="156" t="str">
        <f t="shared" si="206"/>
        <v>0.00 </v>
      </c>
      <c r="M94" s="132">
        <v>90.0</v>
      </c>
      <c r="N94" s="157">
        <v>270.81</v>
      </c>
      <c r="O94" s="277">
        <v>295.18</v>
      </c>
      <c r="P94" s="277">
        <v>287.06</v>
      </c>
      <c r="Q94" s="157">
        <v>270.81</v>
      </c>
      <c r="R94" s="158">
        <v>840.0</v>
      </c>
      <c r="S94" s="159" t="str">
        <f t="shared" si="223"/>
        <v>840.00</v>
      </c>
      <c r="T94" s="160">
        <v>850.0</v>
      </c>
      <c r="U94" s="161">
        <v>0.26</v>
      </c>
      <c r="V94" s="162" t="str">
        <f t="shared" si="208"/>
        <v>621.60</v>
      </c>
      <c r="W94" s="163" t="str">
        <f t="shared" si="209"/>
        <v>60.00</v>
      </c>
      <c r="X94" s="164" t="str">
        <f t="shared" si="210"/>
        <v>46.47</v>
      </c>
      <c r="Y94" s="165" t="str">
        <f t="shared" si="211"/>
        <v>0.00</v>
      </c>
      <c r="Z94" s="166">
        <v>0.63</v>
      </c>
      <c r="AA94" s="167" t="str">
        <f>((_xlfn.CEILING.MATH(Z94)-1)*$C$5+$C$4)</f>
        <v>76</v>
      </c>
      <c r="AB94" s="168" t="str">
        <f t="shared" si="212"/>
        <v>273.000</v>
      </c>
      <c r="AC94" s="168" t="str">
        <f t="shared" si="213"/>
        <v>22.129</v>
      </c>
      <c r="AD94" s="164" t="str">
        <f t="shared" si="214"/>
        <v>3.91</v>
      </c>
      <c r="AE94" s="164">
        <v>92.19</v>
      </c>
      <c r="AF94" s="164" t="str">
        <f t="shared" si="215"/>
        <v>4.80</v>
      </c>
      <c r="AG94" s="165" t="str">
        <f t="shared" si="222"/>
        <v>84.00</v>
      </c>
      <c r="AH94" s="23"/>
      <c r="AI94" s="278">
        <v>0.1</v>
      </c>
      <c r="AJ94" s="24" t="str">
        <f t="shared" si="216"/>
        <v>-1.12</v>
      </c>
      <c r="AK94" s="279" t="str">
        <f t="shared" si="217"/>
        <v>-0.41%</v>
      </c>
      <c r="AL94" s="280">
        <v>150.0</v>
      </c>
      <c r="AM94" s="281" t="str">
        <f t="shared" si="193"/>
        <v>-167.81</v>
      </c>
      <c r="AN94" s="280">
        <v>290.0</v>
      </c>
      <c r="AO94" s="282">
        <v>30.29</v>
      </c>
      <c r="AP94" s="283">
        <v>-26.7</v>
      </c>
      <c r="AQ94" s="283" t="str">
        <f t="shared" si="194"/>
        <v>-7,743.00</v>
      </c>
      <c r="AR94" s="283">
        <v>-9.87</v>
      </c>
      <c r="AS94" s="294">
        <v>150.0</v>
      </c>
      <c r="AT94" s="285" t="str">
        <f t="shared" si="21"/>
        <v>-167.81</v>
      </c>
      <c r="AU94" s="294">
        <v>137.0</v>
      </c>
      <c r="AV94" s="295">
        <v>0.0318</v>
      </c>
      <c r="AW94" s="285">
        <v>15540.34</v>
      </c>
      <c r="AX94" s="284">
        <v>41.89</v>
      </c>
      <c r="AY94" s="26"/>
      <c r="AZ94" s="171" t="str">
        <f t="shared" si="224"/>
        <v>0.00%</v>
      </c>
      <c r="BA94" s="172" t="str">
        <f t="shared" si="225"/>
        <v>0.00</v>
      </c>
      <c r="BB94" s="173" t="str">
        <f t="shared" si="226"/>
        <v>904.69</v>
      </c>
      <c r="BC94" s="174" t="str">
        <f t="shared" si="227"/>
        <v>642.33</v>
      </c>
    </row>
    <row r="95" ht="12.75" customHeight="1">
      <c r="A95" s="26"/>
      <c r="B95" s="190" t="s">
        <v>203</v>
      </c>
      <c r="C95" s="199">
        <v>1.51132051E8</v>
      </c>
      <c r="D95" s="152" t="s">
        <v>204</v>
      </c>
      <c r="E95" s="53" t="s">
        <v>77</v>
      </c>
      <c r="F95" s="154">
        <v>1.0</v>
      </c>
      <c r="G95" s="53"/>
      <c r="H95" s="53" t="str">
        <f t="shared" si="202"/>
        <v>0.00069</v>
      </c>
      <c r="I95" s="53" t="str">
        <f t="shared" si="203"/>
        <v>89</v>
      </c>
      <c r="J95" s="53" t="str">
        <f t="shared" si="204"/>
        <v>0</v>
      </c>
      <c r="K95" s="155" t="str">
        <f t="shared" si="205"/>
        <v>0.00</v>
      </c>
      <c r="L95" s="156" t="str">
        <f t="shared" si="206"/>
        <v>0.00 </v>
      </c>
      <c r="M95" s="132">
        <v>90.0</v>
      </c>
      <c r="N95" s="157">
        <v>238.13</v>
      </c>
      <c r="O95" s="277">
        <v>259.56</v>
      </c>
      <c r="P95" s="277">
        <v>252.42</v>
      </c>
      <c r="Q95" s="157">
        <v>238.13</v>
      </c>
      <c r="R95" s="158">
        <v>999.0</v>
      </c>
      <c r="S95" s="159" t="str">
        <f t="shared" si="223"/>
        <v>999.00</v>
      </c>
      <c r="T95" s="160">
        <v>1058.0</v>
      </c>
      <c r="U95" s="161">
        <v>0.26</v>
      </c>
      <c r="V95" s="162" t="str">
        <f t="shared" si="208"/>
        <v>739.26</v>
      </c>
      <c r="W95" s="163" t="str">
        <f t="shared" si="209"/>
        <v>60.00</v>
      </c>
      <c r="X95" s="164" t="str">
        <f t="shared" si="210"/>
        <v>55.27</v>
      </c>
      <c r="Y95" s="165" t="str">
        <f t="shared" si="211"/>
        <v>0.00</v>
      </c>
      <c r="Z95" s="166">
        <v>0.24</v>
      </c>
      <c r="AA95" s="167">
        <v>89.0</v>
      </c>
      <c r="AB95" s="168" t="str">
        <f t="shared" si="212"/>
        <v>324.675</v>
      </c>
      <c r="AC95" s="168" t="str">
        <f t="shared" si="213"/>
        <v>26.318</v>
      </c>
      <c r="AD95" s="164" t="str">
        <f t="shared" si="214"/>
        <v>7.15</v>
      </c>
      <c r="AE95" s="164">
        <v>85.71</v>
      </c>
      <c r="AF95" s="164" t="str">
        <f t="shared" si="215"/>
        <v>4.80</v>
      </c>
      <c r="AG95" s="165" t="str">
        <f t="shared" si="222"/>
        <v>99.90</v>
      </c>
      <c r="AH95" s="23"/>
      <c r="AI95" s="278">
        <v>0.1</v>
      </c>
      <c r="AJ95" s="24" t="str">
        <f t="shared" si="216"/>
        <v>93.76</v>
      </c>
      <c r="AK95" s="279" t="str">
        <f t="shared" si="217"/>
        <v>39.37%</v>
      </c>
      <c r="AL95" s="280">
        <v>200.0</v>
      </c>
      <c r="AM95" s="281" t="str">
        <f t="shared" si="193"/>
        <v>18,752.11</v>
      </c>
      <c r="AN95" s="280">
        <v>81.0</v>
      </c>
      <c r="AO95" s="282"/>
      <c r="AP95" s="283">
        <v>203.36</v>
      </c>
      <c r="AQ95" s="283" t="str">
        <f t="shared" si="194"/>
        <v>16,472.16</v>
      </c>
      <c r="AR95" s="283">
        <v>82.8</v>
      </c>
      <c r="AS95" s="294">
        <v>300.0</v>
      </c>
      <c r="AT95" s="285" t="str">
        <f t="shared" si="21"/>
        <v>28,128.17</v>
      </c>
      <c r="AU95" s="294">
        <v>96.0</v>
      </c>
      <c r="AV95" s="295">
        <v>0.0</v>
      </c>
      <c r="AW95" s="285">
        <v>20228.87</v>
      </c>
      <c r="AX95" s="284">
        <v>88.49</v>
      </c>
      <c r="AY95" s="26"/>
      <c r="AZ95" s="171" t="str">
        <f t="shared" si="224"/>
        <v>0.00%</v>
      </c>
      <c r="BA95" s="172" t="str">
        <f t="shared" si="225"/>
        <v>0.00</v>
      </c>
      <c r="BB95" s="173" t="str">
        <f t="shared" si="226"/>
        <v>868.91</v>
      </c>
      <c r="BC95" s="174" t="str">
        <f t="shared" si="227"/>
        <v>616.92</v>
      </c>
    </row>
    <row r="96" ht="12.75" customHeight="1">
      <c r="A96" s="26">
        <v>96.67</v>
      </c>
      <c r="B96" s="190" t="s">
        <v>205</v>
      </c>
      <c r="C96" s="199">
        <v>1.51132052E8</v>
      </c>
      <c r="D96" s="152" t="s">
        <v>206</v>
      </c>
      <c r="E96" s="53" t="s">
        <v>77</v>
      </c>
      <c r="F96" s="154">
        <v>1.0</v>
      </c>
      <c r="G96" s="53"/>
      <c r="H96" s="53" t="str">
        <f t="shared" si="202"/>
        <v>0.00069</v>
      </c>
      <c r="I96" s="53" t="str">
        <f t="shared" si="203"/>
        <v>89</v>
      </c>
      <c r="J96" s="53" t="str">
        <f t="shared" si="204"/>
        <v>0</v>
      </c>
      <c r="K96" s="155" t="str">
        <f t="shared" si="205"/>
        <v>0.00</v>
      </c>
      <c r="L96" s="156" t="str">
        <f t="shared" si="206"/>
        <v>0.00 </v>
      </c>
      <c r="M96" s="132">
        <v>90.0</v>
      </c>
      <c r="N96" s="157">
        <v>223.35</v>
      </c>
      <c r="O96" s="277">
        <v>243.45</v>
      </c>
      <c r="P96" s="277">
        <v>236.75</v>
      </c>
      <c r="Q96" s="157">
        <v>223.35</v>
      </c>
      <c r="R96" s="158">
        <v>900.0</v>
      </c>
      <c r="S96" s="159" t="str">
        <f t="shared" si="223"/>
        <v>900.00</v>
      </c>
      <c r="T96" s="160">
        <v>937.0</v>
      </c>
      <c r="U96" s="161">
        <v>0.26</v>
      </c>
      <c r="V96" s="162" t="str">
        <f t="shared" si="208"/>
        <v>666.00</v>
      </c>
      <c r="W96" s="163" t="str">
        <f t="shared" si="209"/>
        <v>60.00</v>
      </c>
      <c r="X96" s="164" t="str">
        <f t="shared" si="210"/>
        <v>49.79</v>
      </c>
      <c r="Y96" s="165" t="str">
        <f t="shared" si="211"/>
        <v>0.00</v>
      </c>
      <c r="Z96" s="166">
        <v>0.24</v>
      </c>
      <c r="AA96" s="167">
        <v>92.0</v>
      </c>
      <c r="AB96" s="168" t="str">
        <f t="shared" si="212"/>
        <v>292.500</v>
      </c>
      <c r="AC96" s="168" t="str">
        <f t="shared" si="213"/>
        <v>23.710</v>
      </c>
      <c r="AD96" s="164" t="str">
        <f t="shared" si="214"/>
        <v>5.17</v>
      </c>
      <c r="AE96" s="164">
        <v>89.66</v>
      </c>
      <c r="AF96" s="164" t="str">
        <f t="shared" si="215"/>
        <v>4.80</v>
      </c>
      <c r="AG96" s="165" t="str">
        <f t="shared" si="222"/>
        <v>90.00</v>
      </c>
      <c r="AH96" s="23"/>
      <c r="AI96" s="278">
        <v>0.1</v>
      </c>
      <c r="AJ96" s="24" t="str">
        <f t="shared" si="216"/>
        <v>58.68</v>
      </c>
      <c r="AK96" s="279" t="str">
        <f t="shared" si="217"/>
        <v>26.27%</v>
      </c>
      <c r="AL96" s="280">
        <v>900.0</v>
      </c>
      <c r="AM96" s="281" t="str">
        <f t="shared" si="193"/>
        <v>52,808.41</v>
      </c>
      <c r="AN96" s="280">
        <v>26.0</v>
      </c>
      <c r="AO96" s="282"/>
      <c r="AP96" s="283">
        <v>198.68</v>
      </c>
      <c r="AQ96" s="283" t="str">
        <f t="shared" si="194"/>
        <v>5,165.68</v>
      </c>
      <c r="AR96" s="283">
        <v>41.28</v>
      </c>
      <c r="AS96" s="296">
        <v>56.0</v>
      </c>
      <c r="AT96" s="285" t="str">
        <f t="shared" si="21"/>
        <v>3,285.86</v>
      </c>
      <c r="AU96" s="296">
        <v>40.0</v>
      </c>
      <c r="AV96" s="297">
        <v>0.0</v>
      </c>
      <c r="AW96" s="285">
        <v>6515.07</v>
      </c>
      <c r="AX96" s="284">
        <v>72.92</v>
      </c>
      <c r="AY96" s="26"/>
      <c r="AZ96" s="171" t="str">
        <f t="shared" si="224"/>
        <v>0.00%</v>
      </c>
      <c r="BA96" s="172" t="str">
        <f t="shared" si="225"/>
        <v>0.00</v>
      </c>
      <c r="BB96" s="173" t="str">
        <f t="shared" si="226"/>
        <v>838.96</v>
      </c>
      <c r="BC96" s="174" t="str">
        <f t="shared" si="227"/>
        <v>595.66</v>
      </c>
    </row>
    <row r="97" ht="12.75" customHeight="1">
      <c r="A97" s="26"/>
      <c r="B97" s="190" t="s">
        <v>220</v>
      </c>
      <c r="C97" s="199">
        <v>1.70198738E8</v>
      </c>
      <c r="D97" s="152" t="s">
        <v>221</v>
      </c>
      <c r="E97" s="53" t="s">
        <v>77</v>
      </c>
      <c r="F97" s="154">
        <v>1.0</v>
      </c>
      <c r="G97" s="53"/>
      <c r="H97" s="53" t="str">
        <f t="shared" si="202"/>
        <v>0.00069</v>
      </c>
      <c r="I97" s="53" t="str">
        <f t="shared" si="203"/>
        <v>89</v>
      </c>
      <c r="J97" s="53" t="str">
        <f t="shared" si="204"/>
        <v>0</v>
      </c>
      <c r="K97" s="155" t="str">
        <f t="shared" si="205"/>
        <v>0.00</v>
      </c>
      <c r="L97" s="156" t="str">
        <f t="shared" si="206"/>
        <v>0.00 </v>
      </c>
      <c r="M97" s="132">
        <v>90.0</v>
      </c>
      <c r="N97" s="157">
        <v>335.9</v>
      </c>
      <c r="O97" s="277">
        <v>366.13</v>
      </c>
      <c r="P97" s="277">
        <v>356.05</v>
      </c>
      <c r="Q97" s="157">
        <v>335.9</v>
      </c>
      <c r="R97" s="158">
        <v>1150.0</v>
      </c>
      <c r="S97" s="159" t="str">
        <f t="shared" si="223"/>
        <v>1,150.00</v>
      </c>
      <c r="T97" s="160">
        <v>957.0</v>
      </c>
      <c r="U97" s="161">
        <v>0.26</v>
      </c>
      <c r="V97" s="162" t="str">
        <f t="shared" si="208"/>
        <v>851.00</v>
      </c>
      <c r="W97" s="163" t="str">
        <f t="shared" si="209"/>
        <v>60.00</v>
      </c>
      <c r="X97" s="164" t="str">
        <f t="shared" si="210"/>
        <v>63.63</v>
      </c>
      <c r="Y97" s="165" t="str">
        <f t="shared" si="211"/>
        <v>0.00</v>
      </c>
      <c r="Z97" s="166">
        <v>0.4</v>
      </c>
      <c r="AA97" s="167" t="str">
        <f t="shared" ref="AA97:AA111" si="228">((_xlfn.CEILING.MATH(Z97)-1)*$C$5+$C$4)</f>
        <v>76</v>
      </c>
      <c r="AB97" s="168" t="str">
        <f t="shared" si="212"/>
        <v>373.750</v>
      </c>
      <c r="AC97" s="168" t="str">
        <f t="shared" si="213"/>
        <v>30.296</v>
      </c>
      <c r="AD97" s="164" t="str">
        <f t="shared" si="214"/>
        <v>3.26</v>
      </c>
      <c r="AE97" s="164">
        <v>93.49</v>
      </c>
      <c r="AF97" s="164" t="str">
        <f t="shared" si="215"/>
        <v>4.80</v>
      </c>
      <c r="AG97" s="165" t="str">
        <f t="shared" si="222"/>
        <v>115.00</v>
      </c>
      <c r="AH97" s="23"/>
      <c r="AI97" s="278">
        <v>0.1</v>
      </c>
      <c r="AJ97" s="24" t="str">
        <f t="shared" si="216"/>
        <v>87.37</v>
      </c>
      <c r="AK97" s="279" t="str">
        <f t="shared" si="217"/>
        <v>26.01%</v>
      </c>
      <c r="AL97" s="280">
        <v>150.0</v>
      </c>
      <c r="AM97" s="281" t="str">
        <f t="shared" si="193"/>
        <v>13,105.98</v>
      </c>
      <c r="AN97" s="280">
        <v>72.0</v>
      </c>
      <c r="AO97" s="282">
        <v>1.13</v>
      </c>
      <c r="AP97" s="283">
        <v>242.5</v>
      </c>
      <c r="AQ97" s="283" t="str">
        <f t="shared" si="194"/>
        <v>17,460.00</v>
      </c>
      <c r="AR97" s="283">
        <v>68.94</v>
      </c>
      <c r="AS97" s="294">
        <v>150.0</v>
      </c>
      <c r="AT97" s="285" t="str">
        <f t="shared" si="21"/>
        <v>13,105.98</v>
      </c>
      <c r="AU97" s="294">
        <v>106.0</v>
      </c>
      <c r="AV97" s="295">
        <v>0.0</v>
      </c>
      <c r="AW97" s="285">
        <v>25341.81</v>
      </c>
      <c r="AX97" s="284">
        <v>71.17</v>
      </c>
      <c r="AY97" s="26"/>
      <c r="AZ97" s="171" t="str">
        <f t="shared" si="224"/>
        <v>0.00%</v>
      </c>
      <c r="BA97" s="172" t="str">
        <f t="shared" si="225"/>
        <v>0.00</v>
      </c>
      <c r="BB97" s="173" t="str">
        <f t="shared" si="226"/>
        <v>1,044.96</v>
      </c>
      <c r="BC97" s="174" t="str">
        <f t="shared" si="227"/>
        <v>741.92</v>
      </c>
    </row>
    <row r="98" ht="12.75" customHeight="1">
      <c r="A98" s="26"/>
      <c r="B98" s="190" t="s">
        <v>222</v>
      </c>
      <c r="C98" s="199">
        <v>1.70198337E8</v>
      </c>
      <c r="D98" s="152" t="s">
        <v>223</v>
      </c>
      <c r="E98" s="53" t="s">
        <v>77</v>
      </c>
      <c r="F98" s="154">
        <v>1.0</v>
      </c>
      <c r="G98" s="53"/>
      <c r="H98" s="53" t="str">
        <f t="shared" si="202"/>
        <v>0.00069</v>
      </c>
      <c r="I98" s="53" t="str">
        <f t="shared" si="203"/>
        <v>89</v>
      </c>
      <c r="J98" s="53" t="str">
        <f t="shared" si="204"/>
        <v>0</v>
      </c>
      <c r="K98" s="155" t="str">
        <f t="shared" si="205"/>
        <v>0.00</v>
      </c>
      <c r="L98" s="156" t="str">
        <f t="shared" si="206"/>
        <v>0.00 </v>
      </c>
      <c r="M98" s="132">
        <v>90.0</v>
      </c>
      <c r="N98" s="157">
        <v>304.77</v>
      </c>
      <c r="O98" s="277">
        <v>332.2</v>
      </c>
      <c r="P98" s="277">
        <v>323.06</v>
      </c>
      <c r="Q98" s="157">
        <v>304.77</v>
      </c>
      <c r="R98" s="158">
        <v>1100.0</v>
      </c>
      <c r="S98" s="159" t="str">
        <f t="shared" si="223"/>
        <v>1,100.00</v>
      </c>
      <c r="T98" s="160">
        <v>760.0</v>
      </c>
      <c r="U98" s="161">
        <v>0.26</v>
      </c>
      <c r="V98" s="162" t="str">
        <f t="shared" si="208"/>
        <v>814.00</v>
      </c>
      <c r="W98" s="163" t="str">
        <f t="shared" si="209"/>
        <v>60.00</v>
      </c>
      <c r="X98" s="164" t="str">
        <f t="shared" si="210"/>
        <v>60.86</v>
      </c>
      <c r="Y98" s="165" t="str">
        <f t="shared" si="211"/>
        <v>0.00</v>
      </c>
      <c r="Z98" s="166">
        <v>0.4</v>
      </c>
      <c r="AA98" s="167" t="str">
        <f t="shared" si="228"/>
        <v>76</v>
      </c>
      <c r="AB98" s="168" t="str">
        <f t="shared" si="212"/>
        <v>357.500</v>
      </c>
      <c r="AC98" s="168" t="str">
        <f t="shared" si="213"/>
        <v>28.978</v>
      </c>
      <c r="AD98" s="164" t="str">
        <f t="shared" si="214"/>
        <v>2.90</v>
      </c>
      <c r="AE98" s="164">
        <v>94.21</v>
      </c>
      <c r="AF98" s="164" t="str">
        <f t="shared" si="215"/>
        <v>4.80</v>
      </c>
      <c r="AG98" s="165" t="str">
        <f t="shared" si="222"/>
        <v>110.00</v>
      </c>
      <c r="AH98" s="23"/>
      <c r="AI98" s="278">
        <v>0.1</v>
      </c>
      <c r="AJ98" s="24" t="str">
        <f t="shared" si="216"/>
        <v>94.20</v>
      </c>
      <c r="AK98" s="279" t="str">
        <f t="shared" si="217"/>
        <v>30.91%</v>
      </c>
      <c r="AL98" s="280">
        <v>200.0</v>
      </c>
      <c r="AM98" s="281" t="str">
        <f t="shared" si="193"/>
        <v>18,839.36</v>
      </c>
      <c r="AN98" s="280">
        <v>76.0</v>
      </c>
      <c r="AO98" s="282">
        <v>1.47</v>
      </c>
      <c r="AP98" s="283">
        <v>240.55</v>
      </c>
      <c r="AQ98" s="283" t="str">
        <f t="shared" si="194"/>
        <v>18,281.80</v>
      </c>
      <c r="AR98" s="283">
        <v>75.38</v>
      </c>
      <c r="AS98" s="294">
        <v>300.0</v>
      </c>
      <c r="AT98" s="285" t="str">
        <f t="shared" si="21"/>
        <v>28,259.04</v>
      </c>
      <c r="AU98" s="294">
        <v>288.0</v>
      </c>
      <c r="AV98" s="295">
        <v>0.0</v>
      </c>
      <c r="AW98" s="285">
        <v>72820.18</v>
      </c>
      <c r="AX98" s="284">
        <v>82.96</v>
      </c>
      <c r="AY98" s="26"/>
      <c r="AZ98" s="171" t="str">
        <f t="shared" si="224"/>
        <v>0.00%</v>
      </c>
      <c r="BA98" s="172" t="str">
        <f t="shared" si="225"/>
        <v>0.00</v>
      </c>
      <c r="BB98" s="173" t="str">
        <f t="shared" si="226"/>
        <v>976.41</v>
      </c>
      <c r="BC98" s="174" t="str">
        <f t="shared" si="227"/>
        <v>693.25</v>
      </c>
    </row>
    <row r="99" ht="12.75" customHeight="1">
      <c r="A99" s="26"/>
      <c r="B99" s="190" t="s">
        <v>224</v>
      </c>
      <c r="C99" s="199">
        <v>1.7019818E8</v>
      </c>
      <c r="D99" s="152" t="s">
        <v>225</v>
      </c>
      <c r="E99" s="53" t="s">
        <v>77</v>
      </c>
      <c r="F99" s="154">
        <v>1.0</v>
      </c>
      <c r="G99" s="53"/>
      <c r="H99" s="53" t="str">
        <f t="shared" si="202"/>
        <v>0.00069</v>
      </c>
      <c r="I99" s="53" t="str">
        <f t="shared" si="203"/>
        <v>89</v>
      </c>
      <c r="J99" s="53" t="str">
        <f t="shared" si="204"/>
        <v>0</v>
      </c>
      <c r="K99" s="155" t="str">
        <f t="shared" si="205"/>
        <v>0.00</v>
      </c>
      <c r="L99" s="156" t="str">
        <f t="shared" si="206"/>
        <v>0.00 </v>
      </c>
      <c r="M99" s="132">
        <v>90.0</v>
      </c>
      <c r="N99" s="157">
        <v>269.65</v>
      </c>
      <c r="O99" s="277">
        <v>293.92</v>
      </c>
      <c r="P99" s="277">
        <v>285.83</v>
      </c>
      <c r="Q99" s="157">
        <v>269.65</v>
      </c>
      <c r="R99" s="158">
        <v>945.0</v>
      </c>
      <c r="S99" s="159" t="str">
        <f t="shared" si="223"/>
        <v>945.00</v>
      </c>
      <c r="T99" s="160">
        <v>950.0</v>
      </c>
      <c r="U99" s="161">
        <v>0.26</v>
      </c>
      <c r="V99" s="162" t="str">
        <f t="shared" si="208"/>
        <v>699.30</v>
      </c>
      <c r="W99" s="163" t="str">
        <f t="shared" si="209"/>
        <v>60.00</v>
      </c>
      <c r="X99" s="164" t="str">
        <f t="shared" si="210"/>
        <v>52.28</v>
      </c>
      <c r="Y99" s="165" t="str">
        <f t="shared" si="211"/>
        <v>0.00</v>
      </c>
      <c r="Z99" s="166">
        <v>0.4</v>
      </c>
      <c r="AA99" s="167" t="str">
        <f t="shared" si="228"/>
        <v>76</v>
      </c>
      <c r="AB99" s="168" t="str">
        <f t="shared" si="212"/>
        <v>307.125</v>
      </c>
      <c r="AC99" s="168" t="str">
        <f t="shared" si="213"/>
        <v>24.895</v>
      </c>
      <c r="AD99" s="164" t="str">
        <f t="shared" si="214"/>
        <v>4.85</v>
      </c>
      <c r="AE99" s="164">
        <v>90.3</v>
      </c>
      <c r="AF99" s="164" t="str">
        <f t="shared" si="215"/>
        <v>4.80</v>
      </c>
      <c r="AG99" s="165" t="str">
        <f t="shared" si="222"/>
        <v>94.50</v>
      </c>
      <c r="AH99" s="23"/>
      <c r="AI99" s="278">
        <v>0.1</v>
      </c>
      <c r="AJ99" s="24" t="str">
        <f t="shared" si="216"/>
        <v>50.90</v>
      </c>
      <c r="AK99" s="279" t="str">
        <f t="shared" si="217"/>
        <v>18.87%</v>
      </c>
      <c r="AL99" s="280">
        <v>300.0</v>
      </c>
      <c r="AM99" s="281" t="str">
        <f t="shared" si="193"/>
        <v>15,268.74</v>
      </c>
      <c r="AN99" s="280">
        <v>112.0</v>
      </c>
      <c r="AO99" s="282"/>
      <c r="AP99" s="283">
        <v>154.36</v>
      </c>
      <c r="AQ99" s="283" t="str">
        <f t="shared" si="194"/>
        <v>17,288.32</v>
      </c>
      <c r="AR99" s="283">
        <v>54.65</v>
      </c>
      <c r="AS99" s="294">
        <v>250.0</v>
      </c>
      <c r="AT99" s="285" t="str">
        <f t="shared" si="21"/>
        <v>12,723.95</v>
      </c>
      <c r="AU99" s="294">
        <v>149.0</v>
      </c>
      <c r="AV99" s="295">
        <v>0.0</v>
      </c>
      <c r="AW99" s="285">
        <v>22624.86</v>
      </c>
      <c r="AX99" s="284">
        <v>56.31</v>
      </c>
      <c r="AY99" s="26"/>
      <c r="AZ99" s="171" t="str">
        <f t="shared" si="224"/>
        <v>0.00%</v>
      </c>
      <c r="BA99" s="172" t="str">
        <f t="shared" si="225"/>
        <v>0.00</v>
      </c>
      <c r="BB99" s="173" t="str">
        <f t="shared" si="226"/>
        <v>904.22</v>
      </c>
      <c r="BC99" s="174" t="str">
        <f t="shared" si="227"/>
        <v>642.00</v>
      </c>
    </row>
    <row r="100" ht="12.75" customHeight="1">
      <c r="A100" s="26"/>
      <c r="B100" s="190" t="s">
        <v>226</v>
      </c>
      <c r="C100" s="199">
        <v>1.70198109E8</v>
      </c>
      <c r="D100" s="152" t="s">
        <v>227</v>
      </c>
      <c r="E100" s="53" t="s">
        <v>77</v>
      </c>
      <c r="F100" s="154">
        <v>1.0</v>
      </c>
      <c r="G100" s="53"/>
      <c r="H100" s="53" t="str">
        <f t="shared" si="202"/>
        <v>0.00069</v>
      </c>
      <c r="I100" s="53" t="str">
        <f t="shared" si="203"/>
        <v>89</v>
      </c>
      <c r="J100" s="53" t="str">
        <f t="shared" si="204"/>
        <v>0</v>
      </c>
      <c r="K100" s="155" t="str">
        <f t="shared" si="205"/>
        <v>0.00</v>
      </c>
      <c r="L100" s="156" t="str">
        <f t="shared" si="206"/>
        <v>0.00 </v>
      </c>
      <c r="M100" s="132">
        <v>90.0</v>
      </c>
      <c r="N100" s="157">
        <v>269.65</v>
      </c>
      <c r="O100" s="277">
        <v>293.92</v>
      </c>
      <c r="P100" s="277">
        <v>285.83</v>
      </c>
      <c r="Q100" s="157">
        <v>269.65</v>
      </c>
      <c r="R100" s="158">
        <v>999.0</v>
      </c>
      <c r="S100" s="159" t="str">
        <f t="shared" si="223"/>
        <v>999.00</v>
      </c>
      <c r="T100" s="160">
        <v>1026.0</v>
      </c>
      <c r="U100" s="161">
        <v>0.26</v>
      </c>
      <c r="V100" s="162" t="str">
        <f t="shared" si="208"/>
        <v>739.26</v>
      </c>
      <c r="W100" s="163" t="str">
        <f t="shared" si="209"/>
        <v>60.00</v>
      </c>
      <c r="X100" s="164" t="str">
        <f t="shared" si="210"/>
        <v>55.27</v>
      </c>
      <c r="Y100" s="165" t="str">
        <f t="shared" si="211"/>
        <v>0.00</v>
      </c>
      <c r="Z100" s="166">
        <v>0.4</v>
      </c>
      <c r="AA100" s="167" t="str">
        <f t="shared" si="228"/>
        <v>76</v>
      </c>
      <c r="AB100" s="168" t="str">
        <f t="shared" si="212"/>
        <v>324.675</v>
      </c>
      <c r="AC100" s="168" t="str">
        <f t="shared" si="213"/>
        <v>26.318</v>
      </c>
      <c r="AD100" s="164" t="str">
        <f t="shared" si="214"/>
        <v>2.67</v>
      </c>
      <c r="AE100" s="164">
        <v>94.66</v>
      </c>
      <c r="AF100" s="164" t="str">
        <f t="shared" si="215"/>
        <v>4.80</v>
      </c>
      <c r="AG100" s="165" t="str">
        <f t="shared" si="222"/>
        <v>99.90</v>
      </c>
      <c r="AH100" s="23"/>
      <c r="AI100" s="278">
        <v>0.1</v>
      </c>
      <c r="AJ100" s="24" t="str">
        <f t="shared" si="216"/>
        <v>79.72</v>
      </c>
      <c r="AK100" s="279" t="str">
        <f t="shared" si="217"/>
        <v>29.56%</v>
      </c>
      <c r="AL100" s="280">
        <v>40.0</v>
      </c>
      <c r="AM100" s="281" t="str">
        <f t="shared" si="193"/>
        <v>3,188.62</v>
      </c>
      <c r="AN100" s="280">
        <v>68.0</v>
      </c>
      <c r="AO100" s="282"/>
      <c r="AP100" s="283">
        <v>178.93</v>
      </c>
      <c r="AQ100" s="283" t="str">
        <f t="shared" si="194"/>
        <v>12,167.24</v>
      </c>
      <c r="AR100" s="283">
        <v>63.26</v>
      </c>
      <c r="AS100" s="294">
        <v>30.0</v>
      </c>
      <c r="AT100" s="285" t="str">
        <f t="shared" si="21"/>
        <v>2,391.47</v>
      </c>
      <c r="AU100" s="294">
        <v>165.0</v>
      </c>
      <c r="AV100" s="295">
        <v>0.0</v>
      </c>
      <c r="AW100" s="285">
        <v>30993.35</v>
      </c>
      <c r="AX100" s="284">
        <v>69.66</v>
      </c>
      <c r="AY100" s="26"/>
      <c r="AZ100" s="171" t="str">
        <f t="shared" si="224"/>
        <v>0.00%</v>
      </c>
      <c r="BA100" s="172" t="str">
        <f t="shared" si="225"/>
        <v>0.00</v>
      </c>
      <c r="BB100" s="173" t="str">
        <f t="shared" si="226"/>
        <v>899.48</v>
      </c>
      <c r="BC100" s="174" t="str">
        <f t="shared" si="227"/>
        <v>638.63</v>
      </c>
    </row>
    <row r="101" ht="12.75" customHeight="1">
      <c r="A101" s="26"/>
      <c r="B101" s="190" t="s">
        <v>228</v>
      </c>
      <c r="C101" s="199">
        <v>1.70198835E8</v>
      </c>
      <c r="D101" s="152" t="s">
        <v>229</v>
      </c>
      <c r="E101" s="53" t="s">
        <v>77</v>
      </c>
      <c r="F101" s="154">
        <v>1.0</v>
      </c>
      <c r="G101" s="53"/>
      <c r="H101" s="53" t="str">
        <f t="shared" si="202"/>
        <v>0.00069</v>
      </c>
      <c r="I101" s="53" t="str">
        <f t="shared" si="203"/>
        <v>89</v>
      </c>
      <c r="J101" s="53" t="str">
        <f t="shared" si="204"/>
        <v>0</v>
      </c>
      <c r="K101" s="155" t="str">
        <f t="shared" si="205"/>
        <v>0.00</v>
      </c>
      <c r="L101" s="156" t="str">
        <f t="shared" si="206"/>
        <v>0.00 </v>
      </c>
      <c r="M101" s="132">
        <v>90.0</v>
      </c>
      <c r="N101" s="157">
        <v>315.45</v>
      </c>
      <c r="O101" s="277">
        <v>343.84</v>
      </c>
      <c r="P101" s="277">
        <v>334.38</v>
      </c>
      <c r="Q101" s="157">
        <v>315.45</v>
      </c>
      <c r="R101" s="158">
        <v>920.0</v>
      </c>
      <c r="S101" s="159" t="str">
        <f t="shared" si="223"/>
        <v>920.00</v>
      </c>
      <c r="T101" s="160">
        <v>865.0</v>
      </c>
      <c r="U101" s="161">
        <v>0.26</v>
      </c>
      <c r="V101" s="162" t="str">
        <f t="shared" si="208"/>
        <v>680.80</v>
      </c>
      <c r="W101" s="163" t="str">
        <f t="shared" si="209"/>
        <v>60.00</v>
      </c>
      <c r="X101" s="164" t="str">
        <f t="shared" si="210"/>
        <v>50.90</v>
      </c>
      <c r="Y101" s="165" t="str">
        <f t="shared" si="211"/>
        <v>0.00</v>
      </c>
      <c r="Z101" s="166">
        <v>0.4</v>
      </c>
      <c r="AA101" s="167" t="str">
        <f t="shared" si="228"/>
        <v>76</v>
      </c>
      <c r="AB101" s="168" t="str">
        <f t="shared" si="212"/>
        <v>299.000</v>
      </c>
      <c r="AC101" s="168" t="str">
        <f t="shared" si="213"/>
        <v>24.236</v>
      </c>
      <c r="AD101" s="164" t="str">
        <f t="shared" si="214"/>
        <v>4.08</v>
      </c>
      <c r="AE101" s="164">
        <v>91.85</v>
      </c>
      <c r="AF101" s="164" t="str">
        <f t="shared" si="215"/>
        <v>4.80</v>
      </c>
      <c r="AG101" s="165" t="str">
        <f t="shared" si="222"/>
        <v>92.00</v>
      </c>
      <c r="AH101" s="23"/>
      <c r="AI101" s="278">
        <v>0.1</v>
      </c>
      <c r="AJ101" s="24" t="str">
        <f t="shared" si="216"/>
        <v>-6.46</v>
      </c>
      <c r="AK101" s="279" t="str">
        <f t="shared" si="217"/>
        <v>-2.05%</v>
      </c>
      <c r="AL101" s="280">
        <v>150.0</v>
      </c>
      <c r="AM101" s="281" t="str">
        <f t="shared" si="193"/>
        <v>-969.36</v>
      </c>
      <c r="AN101" s="280">
        <v>324.0</v>
      </c>
      <c r="AO101" s="282">
        <v>0.81</v>
      </c>
      <c r="AP101" s="283">
        <v>144.5</v>
      </c>
      <c r="AQ101" s="283" t="str">
        <f t="shared" si="194"/>
        <v>46,818.00</v>
      </c>
      <c r="AR101" s="283">
        <v>46.28</v>
      </c>
      <c r="AS101" s="294">
        <v>100.0</v>
      </c>
      <c r="AT101" s="285" t="str">
        <f t="shared" si="21"/>
        <v>-646.24</v>
      </c>
      <c r="AU101" s="294">
        <v>2.0</v>
      </c>
      <c r="AV101" s="295">
        <v>0.0</v>
      </c>
      <c r="AW101" s="285">
        <v>299.82</v>
      </c>
      <c r="AX101" s="284">
        <v>47.52</v>
      </c>
      <c r="AY101" s="26"/>
      <c r="AZ101" s="171" t="str">
        <f t="shared" si="224"/>
        <v>0.00%</v>
      </c>
      <c r="BA101" s="172" t="str">
        <f t="shared" si="225"/>
        <v>0.00</v>
      </c>
      <c r="BB101" s="173" t="str">
        <f t="shared" si="226"/>
        <v>1,002.23</v>
      </c>
      <c r="BC101" s="174" t="str">
        <f t="shared" si="227"/>
        <v>711.58</v>
      </c>
    </row>
    <row r="102" ht="12.75" customHeight="1">
      <c r="A102" s="26"/>
      <c r="B102" s="190" t="s">
        <v>230</v>
      </c>
      <c r="C102" s="199">
        <v>1.70198876E8</v>
      </c>
      <c r="D102" s="152" t="s">
        <v>231</v>
      </c>
      <c r="E102" s="53" t="s">
        <v>77</v>
      </c>
      <c r="F102" s="154">
        <v>1.0</v>
      </c>
      <c r="G102" s="53"/>
      <c r="H102" s="53" t="str">
        <f t="shared" si="202"/>
        <v>0.00069</v>
      </c>
      <c r="I102" s="53" t="str">
        <f t="shared" si="203"/>
        <v>89</v>
      </c>
      <c r="J102" s="53" t="str">
        <f t="shared" si="204"/>
        <v>0</v>
      </c>
      <c r="K102" s="155" t="str">
        <f t="shared" si="205"/>
        <v>0.00</v>
      </c>
      <c r="L102" s="156" t="str">
        <f t="shared" si="206"/>
        <v>0.00 </v>
      </c>
      <c r="M102" s="132">
        <v>90.0</v>
      </c>
      <c r="N102" s="157">
        <v>315.45</v>
      </c>
      <c r="O102" s="277">
        <v>343.84</v>
      </c>
      <c r="P102" s="277">
        <v>334.38</v>
      </c>
      <c r="Q102" s="157">
        <v>315.45</v>
      </c>
      <c r="R102" s="158">
        <v>920.0</v>
      </c>
      <c r="S102" s="159" t="str">
        <f t="shared" si="223"/>
        <v>920.00</v>
      </c>
      <c r="T102" s="160">
        <v>920.0</v>
      </c>
      <c r="U102" s="161">
        <v>0.26</v>
      </c>
      <c r="V102" s="162" t="str">
        <f t="shared" si="208"/>
        <v>680.80</v>
      </c>
      <c r="W102" s="163" t="str">
        <f t="shared" si="209"/>
        <v>60.00</v>
      </c>
      <c r="X102" s="164" t="str">
        <f t="shared" si="210"/>
        <v>50.90</v>
      </c>
      <c r="Y102" s="165" t="str">
        <f t="shared" si="211"/>
        <v>0.00</v>
      </c>
      <c r="Z102" s="166">
        <v>0.4</v>
      </c>
      <c r="AA102" s="167" t="str">
        <f t="shared" si="228"/>
        <v>76</v>
      </c>
      <c r="AB102" s="168" t="str">
        <f t="shared" si="212"/>
        <v>299.000</v>
      </c>
      <c r="AC102" s="168" t="str">
        <f t="shared" si="213"/>
        <v>24.236</v>
      </c>
      <c r="AD102" s="164" t="str">
        <f t="shared" si="214"/>
        <v>2.58</v>
      </c>
      <c r="AE102" s="164">
        <v>94.85</v>
      </c>
      <c r="AF102" s="164" t="str">
        <f t="shared" si="215"/>
        <v>4.80</v>
      </c>
      <c r="AG102" s="165" t="str">
        <f t="shared" si="222"/>
        <v>92.00</v>
      </c>
      <c r="AH102" s="23"/>
      <c r="AI102" s="278">
        <v>0.1</v>
      </c>
      <c r="AJ102" s="24" t="str">
        <f t="shared" si="216"/>
        <v>-4.96</v>
      </c>
      <c r="AK102" s="279" t="str">
        <f t="shared" si="217"/>
        <v>-1.57%</v>
      </c>
      <c r="AL102" s="280">
        <v>50.0</v>
      </c>
      <c r="AM102" s="281" t="str">
        <f t="shared" si="193"/>
        <v>-248.12</v>
      </c>
      <c r="AN102" s="280">
        <v>100.0</v>
      </c>
      <c r="AO102" s="282"/>
      <c r="AP102" s="283">
        <v>133.06</v>
      </c>
      <c r="AQ102" s="283" t="str">
        <f t="shared" si="194"/>
        <v>13,306.00</v>
      </c>
      <c r="AR102" s="283">
        <v>42.25</v>
      </c>
      <c r="AS102" s="294">
        <v>40.0</v>
      </c>
      <c r="AT102" s="285" t="str">
        <f t="shared" si="21"/>
        <v>-198.50</v>
      </c>
      <c r="AU102" s="294">
        <v>112.0</v>
      </c>
      <c r="AV102" s="295">
        <v>0.0</v>
      </c>
      <c r="AW102" s="285">
        <v>14252.62</v>
      </c>
      <c r="AX102" s="284">
        <v>40.34</v>
      </c>
      <c r="AY102" s="26"/>
      <c r="AZ102" s="171" t="str">
        <f t="shared" si="224"/>
        <v>0.00%</v>
      </c>
      <c r="BA102" s="172" t="str">
        <f t="shared" si="225"/>
        <v>0.00</v>
      </c>
      <c r="BB102" s="173" t="str">
        <f t="shared" si="226"/>
        <v>998.97</v>
      </c>
      <c r="BC102" s="174" t="str">
        <f t="shared" si="227"/>
        <v>709.27</v>
      </c>
    </row>
    <row r="103" ht="12.75" hidden="1" customHeight="1">
      <c r="A103" s="26"/>
      <c r="B103" s="190" t="s">
        <v>201</v>
      </c>
      <c r="C103" s="199">
        <v>2.38358954E8</v>
      </c>
      <c r="D103" s="152" t="s">
        <v>202</v>
      </c>
      <c r="E103" s="53" t="s">
        <v>77</v>
      </c>
      <c r="F103" s="154">
        <v>1.0</v>
      </c>
      <c r="G103" s="53"/>
      <c r="H103" s="53" t="str">
        <f t="shared" si="202"/>
        <v>0.00069</v>
      </c>
      <c r="I103" s="53" t="str">
        <f t="shared" si="203"/>
        <v>89</v>
      </c>
      <c r="J103" s="53" t="str">
        <f t="shared" si="204"/>
        <v>0</v>
      </c>
      <c r="K103" s="155" t="str">
        <f t="shared" si="205"/>
        <v>0.00</v>
      </c>
      <c r="L103" s="156" t="str">
        <f t="shared" si="206"/>
        <v>0.00 </v>
      </c>
      <c r="M103" s="132">
        <v>90.0</v>
      </c>
      <c r="N103" s="157">
        <v>203.11</v>
      </c>
      <c r="O103" s="277">
        <v>221.39</v>
      </c>
      <c r="P103" s="277">
        <v>215.3</v>
      </c>
      <c r="Q103" s="157">
        <v>203.11</v>
      </c>
      <c r="R103" s="158">
        <v>750.0</v>
      </c>
      <c r="S103" s="159">
        <v>750.0</v>
      </c>
      <c r="T103" s="160">
        <v>560.0</v>
      </c>
      <c r="U103" s="161">
        <v>0.26</v>
      </c>
      <c r="V103" s="162" t="str">
        <f t="shared" si="208"/>
        <v>555.00</v>
      </c>
      <c r="W103" s="163" t="str">
        <f t="shared" si="209"/>
        <v>60.00</v>
      </c>
      <c r="X103" s="164" t="str">
        <f t="shared" si="210"/>
        <v>41.50</v>
      </c>
      <c r="Y103" s="165" t="str">
        <f t="shared" si="211"/>
        <v>0.00</v>
      </c>
      <c r="Z103" s="166">
        <v>0.28</v>
      </c>
      <c r="AA103" s="167" t="str">
        <f t="shared" si="228"/>
        <v>76</v>
      </c>
      <c r="AB103" s="168" t="str">
        <f t="shared" si="212"/>
        <v>243.750</v>
      </c>
      <c r="AC103" s="168" t="str">
        <f t="shared" si="213"/>
        <v>19.758</v>
      </c>
      <c r="AD103" s="164" t="str">
        <f t="shared" si="214"/>
        <v>3.48</v>
      </c>
      <c r="AE103" s="164">
        <v>93.04</v>
      </c>
      <c r="AF103" s="164" t="str">
        <f t="shared" si="215"/>
        <v>4.80</v>
      </c>
      <c r="AG103" s="165" t="str">
        <f t="shared" si="222"/>
        <v>75.00</v>
      </c>
      <c r="AH103" s="23"/>
      <c r="AI103" s="278">
        <v>0.1</v>
      </c>
      <c r="AJ103" s="24" t="str">
        <f t="shared" si="216"/>
        <v>22.61</v>
      </c>
      <c r="AK103" s="279" t="str">
        <f t="shared" si="217"/>
        <v>11.13%</v>
      </c>
      <c r="AL103" s="280"/>
      <c r="AM103" s="281" t="str">
        <f t="shared" si="193"/>
        <v>0.00</v>
      </c>
      <c r="AN103" s="280"/>
      <c r="AO103" s="282">
        <v>0.01</v>
      </c>
      <c r="AP103" s="283">
        <v>195.01</v>
      </c>
      <c r="AQ103" s="283" t="str">
        <f t="shared" si="194"/>
        <v>0.00</v>
      </c>
      <c r="AR103" s="283">
        <v>97.59</v>
      </c>
      <c r="AS103" s="284"/>
      <c r="AT103" s="285" t="str">
        <f t="shared" si="21"/>
        <v>0.00</v>
      </c>
      <c r="AU103" s="284"/>
      <c r="AV103" s="286"/>
      <c r="AW103" s="285"/>
      <c r="AX103" s="284"/>
      <c r="AY103" s="26"/>
      <c r="AZ103" s="171" t="str">
        <f t="shared" si="224"/>
        <v>0.00%</v>
      </c>
      <c r="BA103" s="172" t="str">
        <f t="shared" si="225"/>
        <v>0.00</v>
      </c>
      <c r="BB103" s="173" t="str">
        <f t="shared" si="226"/>
        <v>756.40</v>
      </c>
      <c r="BC103" s="174" t="str">
        <f t="shared" si="227"/>
        <v>537.04</v>
      </c>
    </row>
    <row r="104" ht="12.75" hidden="1" customHeight="1">
      <c r="A104" s="26"/>
      <c r="B104" s="190" t="s">
        <v>238</v>
      </c>
      <c r="C104" s="202">
        <v>1.6500227E8</v>
      </c>
      <c r="D104" s="152" t="s">
        <v>239</v>
      </c>
      <c r="E104" s="53" t="s">
        <v>77</v>
      </c>
      <c r="F104" s="154">
        <v>1.0</v>
      </c>
      <c r="G104" s="53"/>
      <c r="H104" s="53" t="str">
        <f t="shared" si="202"/>
        <v>0.00069</v>
      </c>
      <c r="I104" s="53" t="str">
        <f t="shared" si="203"/>
        <v>89</v>
      </c>
      <c r="J104" s="53" t="str">
        <f t="shared" si="204"/>
        <v>0</v>
      </c>
      <c r="K104" s="155" t="str">
        <f t="shared" si="205"/>
        <v>0.00</v>
      </c>
      <c r="L104" s="156" t="str">
        <f t="shared" si="206"/>
        <v>0.00 </v>
      </c>
      <c r="M104" s="132">
        <v>90.0</v>
      </c>
      <c r="N104" s="157">
        <v>0.0</v>
      </c>
      <c r="O104" s="277">
        <v>0.0</v>
      </c>
      <c r="P104" s="277" t="str">
        <f>K104/E104</f>
        <v>#VALUE!</v>
      </c>
      <c r="Q104" s="157">
        <v>0.0</v>
      </c>
      <c r="R104" s="158">
        <v>603.0</v>
      </c>
      <c r="S104" s="159" t="str">
        <f t="shared" ref="S104:S114" si="229">R104</f>
        <v>603.00</v>
      </c>
      <c r="T104" s="160"/>
      <c r="U104" s="161">
        <v>0.26</v>
      </c>
      <c r="V104" s="162" t="str">
        <f t="shared" si="208"/>
        <v>446.22</v>
      </c>
      <c r="W104" s="163" t="str">
        <f t="shared" si="209"/>
        <v>60.00</v>
      </c>
      <c r="X104" s="164" t="str">
        <f t="shared" si="210"/>
        <v>33.36</v>
      </c>
      <c r="Y104" s="165" t="str">
        <f t="shared" si="211"/>
        <v>0.00</v>
      </c>
      <c r="Z104" s="166">
        <v>0.28</v>
      </c>
      <c r="AA104" s="167" t="str">
        <f t="shared" si="228"/>
        <v>76</v>
      </c>
      <c r="AB104" s="168" t="str">
        <f t="shared" si="212"/>
        <v>195.975</v>
      </c>
      <c r="AC104" s="168" t="str">
        <f t="shared" si="213"/>
        <v>15.885</v>
      </c>
      <c r="AD104" s="164" t="str">
        <f t="shared" si="214"/>
        <v>1.35</v>
      </c>
      <c r="AE104" s="164">
        <v>97.3</v>
      </c>
      <c r="AF104" s="164" t="str">
        <f t="shared" si="215"/>
        <v>4.80</v>
      </c>
      <c r="AG104" s="165" t="str">
        <f t="shared" si="222"/>
        <v>60.30</v>
      </c>
      <c r="AH104" s="23"/>
      <c r="AI104" s="278">
        <v>0.1</v>
      </c>
      <c r="AJ104" s="24" t="str">
        <f t="shared" si="216"/>
        <v>155.33</v>
      </c>
      <c r="AK104" s="279" t="str">
        <f t="shared" si="217"/>
        <v>#DIV/0!</v>
      </c>
      <c r="AL104" s="280"/>
      <c r="AM104" s="281" t="str">
        <f t="shared" si="193"/>
        <v>0.00</v>
      </c>
      <c r="AN104" s="280"/>
      <c r="AO104" s="282"/>
      <c r="AP104" s="283"/>
      <c r="AQ104" s="283" t="str">
        <f t="shared" si="194"/>
        <v>0.00</v>
      </c>
      <c r="AR104" s="283"/>
      <c r="AS104" s="284"/>
      <c r="AT104" s="285" t="str">
        <f t="shared" si="21"/>
        <v>0.00</v>
      </c>
      <c r="AU104" s="284"/>
      <c r="AV104" s="286"/>
      <c r="AW104" s="285"/>
      <c r="AX104" s="284"/>
      <c r="AY104" s="26"/>
      <c r="AZ104" s="171" t="str">
        <f t="shared" si="224"/>
        <v>0.00%</v>
      </c>
      <c r="BA104" s="172" t="str">
        <f t="shared" si="225"/>
        <v>0.00</v>
      </c>
      <c r="BB104" s="173" t="str">
        <f t="shared" si="226"/>
        <v>309.64</v>
      </c>
      <c r="BC104" s="174" t="str">
        <f t="shared" si="227"/>
        <v>219.85</v>
      </c>
    </row>
    <row r="105" ht="12.75" hidden="1" customHeight="1">
      <c r="A105" s="26"/>
      <c r="B105" s="190" t="s">
        <v>240</v>
      </c>
      <c r="C105" s="202">
        <v>2.38358009E8</v>
      </c>
      <c r="D105" s="152" t="s">
        <v>241</v>
      </c>
      <c r="E105" s="53" t="s">
        <v>77</v>
      </c>
      <c r="F105" s="154">
        <v>1.0</v>
      </c>
      <c r="G105" s="53"/>
      <c r="H105" s="53" t="str">
        <f t="shared" si="202"/>
        <v>0.00069</v>
      </c>
      <c r="I105" s="53" t="str">
        <f t="shared" si="203"/>
        <v>89</v>
      </c>
      <c r="J105" s="53" t="str">
        <f t="shared" si="204"/>
        <v>0</v>
      </c>
      <c r="K105" s="155" t="str">
        <f t="shared" si="205"/>
        <v>0.00</v>
      </c>
      <c r="L105" s="156" t="str">
        <f t="shared" si="206"/>
        <v>0.00 </v>
      </c>
      <c r="M105" s="132">
        <v>90.0</v>
      </c>
      <c r="N105" s="157">
        <v>180.54</v>
      </c>
      <c r="O105" s="277">
        <v>196.79</v>
      </c>
      <c r="P105" s="277">
        <v>191.37</v>
      </c>
      <c r="Q105" s="157">
        <v>180.54</v>
      </c>
      <c r="R105" s="158">
        <v>601.0</v>
      </c>
      <c r="S105" s="159" t="str">
        <f t="shared" si="229"/>
        <v>601.00</v>
      </c>
      <c r="T105" s="160"/>
      <c r="U105" s="161">
        <v>0.26</v>
      </c>
      <c r="V105" s="162" t="str">
        <f t="shared" si="208"/>
        <v>444.74</v>
      </c>
      <c r="W105" s="163" t="str">
        <f t="shared" si="209"/>
        <v>60.00</v>
      </c>
      <c r="X105" s="164" t="str">
        <f t="shared" si="210"/>
        <v>33.25</v>
      </c>
      <c r="Y105" s="165" t="str">
        <f t="shared" si="211"/>
        <v>0.00</v>
      </c>
      <c r="Z105" s="166">
        <v>0.28</v>
      </c>
      <c r="AA105" s="167" t="str">
        <f t="shared" si="228"/>
        <v>76</v>
      </c>
      <c r="AB105" s="168" t="str">
        <f t="shared" si="212"/>
        <v>195.325</v>
      </c>
      <c r="AC105" s="168" t="str">
        <f t="shared" si="213"/>
        <v>15.833</v>
      </c>
      <c r="AD105" s="164" t="str">
        <f t="shared" si="214"/>
        <v>3.03</v>
      </c>
      <c r="AE105" s="164">
        <v>93.94</v>
      </c>
      <c r="AF105" s="164" t="str">
        <f t="shared" si="215"/>
        <v>4.80</v>
      </c>
      <c r="AG105" s="165" t="str">
        <f t="shared" si="222"/>
        <v>60.10</v>
      </c>
      <c r="AH105" s="23"/>
      <c r="AI105" s="278">
        <v>0.1</v>
      </c>
      <c r="AJ105" s="24" t="str">
        <f t="shared" si="216"/>
        <v>-27.88</v>
      </c>
      <c r="AK105" s="279" t="str">
        <f t="shared" si="217"/>
        <v>-15.44%</v>
      </c>
      <c r="AL105" s="280"/>
      <c r="AM105" s="281" t="str">
        <f t="shared" si="193"/>
        <v>0.00</v>
      </c>
      <c r="AN105" s="280"/>
      <c r="AO105" s="282"/>
      <c r="AP105" s="283"/>
      <c r="AQ105" s="283" t="str">
        <f t="shared" si="194"/>
        <v>0.00</v>
      </c>
      <c r="AR105" s="283"/>
      <c r="AS105" s="284"/>
      <c r="AT105" s="285" t="str">
        <f t="shared" si="21"/>
        <v>0.00</v>
      </c>
      <c r="AU105" s="284"/>
      <c r="AV105" s="286"/>
      <c r="AW105" s="285"/>
      <c r="AX105" s="284"/>
      <c r="AY105" s="26"/>
      <c r="AZ105" s="171" t="str">
        <f t="shared" si="224"/>
        <v>0.00%</v>
      </c>
      <c r="BA105" s="172" t="str">
        <f t="shared" si="225"/>
        <v>0.00</v>
      </c>
      <c r="BB105" s="173" t="str">
        <f t="shared" si="226"/>
        <v>706.29</v>
      </c>
      <c r="BC105" s="174" t="str">
        <f t="shared" si="227"/>
        <v>501.47</v>
      </c>
    </row>
    <row r="106" ht="12.75" hidden="1" customHeight="1">
      <c r="A106" s="26"/>
      <c r="B106" s="190"/>
      <c r="C106" s="199">
        <v>6.11717011E8</v>
      </c>
      <c r="D106" s="152" t="s">
        <v>232</v>
      </c>
      <c r="E106" s="53" t="s">
        <v>77</v>
      </c>
      <c r="F106" s="154">
        <v>1.0</v>
      </c>
      <c r="G106" s="53"/>
      <c r="H106" s="53" t="str">
        <f t="shared" si="202"/>
        <v>0.00069</v>
      </c>
      <c r="I106" s="53" t="str">
        <f t="shared" si="203"/>
        <v>89</v>
      </c>
      <c r="J106" s="53">
        <v>0.0</v>
      </c>
      <c r="K106" s="155">
        <v>0.0</v>
      </c>
      <c r="L106" s="156">
        <v>0.0</v>
      </c>
      <c r="M106" s="132">
        <v>90.0</v>
      </c>
      <c r="N106" s="157">
        <v>183.24</v>
      </c>
      <c r="O106" s="277">
        <v>199.73</v>
      </c>
      <c r="P106" s="277">
        <v>194.23</v>
      </c>
      <c r="Q106" s="157">
        <v>183.24</v>
      </c>
      <c r="R106" s="158">
        <v>800.0</v>
      </c>
      <c r="S106" s="159" t="str">
        <f t="shared" si="229"/>
        <v>800.00</v>
      </c>
      <c r="T106" s="160"/>
      <c r="U106" s="161">
        <v>0.26</v>
      </c>
      <c r="V106" s="162" t="str">
        <f t="shared" si="208"/>
        <v>592.00</v>
      </c>
      <c r="W106" s="163" t="str">
        <f t="shared" si="209"/>
        <v>60.00</v>
      </c>
      <c r="X106" s="164" t="str">
        <f t="shared" si="210"/>
        <v>44.26</v>
      </c>
      <c r="Y106" s="165" t="str">
        <f t="shared" si="211"/>
        <v>0.00</v>
      </c>
      <c r="Z106" s="166">
        <v>0.4</v>
      </c>
      <c r="AA106" s="167" t="str">
        <f t="shared" si="228"/>
        <v>76</v>
      </c>
      <c r="AB106" s="168" t="str">
        <f t="shared" si="212"/>
        <v>260.000</v>
      </c>
      <c r="AC106" s="168" t="str">
        <f t="shared" si="213"/>
        <v>21.075</v>
      </c>
      <c r="AD106" s="164" t="str">
        <f t="shared" si="214"/>
        <v>2.58</v>
      </c>
      <c r="AE106" s="164">
        <v>94.85</v>
      </c>
      <c r="AF106" s="164" t="str">
        <f t="shared" si="215"/>
        <v>4.80</v>
      </c>
      <c r="AG106" s="165" t="str">
        <f t="shared" si="222"/>
        <v>80.00</v>
      </c>
      <c r="AH106" s="23"/>
      <c r="AI106" s="278">
        <v>0.1</v>
      </c>
      <c r="AJ106" s="24" t="str">
        <f t="shared" si="216"/>
        <v>68.05</v>
      </c>
      <c r="AK106" s="279" t="str">
        <f t="shared" si="217"/>
        <v>37.14%</v>
      </c>
      <c r="AL106" s="280"/>
      <c r="AM106" s="281" t="str">
        <f t="shared" si="193"/>
        <v>0.00</v>
      </c>
      <c r="AN106" s="280"/>
      <c r="AO106" s="282"/>
      <c r="AP106" s="283">
        <v>241.72</v>
      </c>
      <c r="AQ106" s="283" t="str">
        <f t="shared" si="194"/>
        <v>0.00</v>
      </c>
      <c r="AR106" s="283">
        <v>126.24</v>
      </c>
      <c r="AS106" s="284"/>
      <c r="AT106" s="285" t="str">
        <f t="shared" si="21"/>
        <v>0.00</v>
      </c>
      <c r="AU106" s="284"/>
      <c r="AV106" s="286"/>
      <c r="AW106" s="285"/>
      <c r="AX106" s="284"/>
      <c r="AY106" s="26"/>
      <c r="AZ106" s="171"/>
      <c r="BA106" s="172"/>
      <c r="BB106" s="173"/>
      <c r="BC106" s="174"/>
    </row>
    <row r="107" ht="12.75" customHeight="1">
      <c r="A107" s="26"/>
      <c r="B107" s="190" t="s">
        <v>233</v>
      </c>
      <c r="C107" s="192">
        <v>2.12889025E8</v>
      </c>
      <c r="D107" s="152" t="s">
        <v>232</v>
      </c>
      <c r="E107" s="53" t="s">
        <v>77</v>
      </c>
      <c r="F107" s="154">
        <v>1.0</v>
      </c>
      <c r="G107" s="53"/>
      <c r="H107" s="53" t="str">
        <f t="shared" si="202"/>
        <v>0.00069</v>
      </c>
      <c r="I107" s="53" t="str">
        <f t="shared" si="203"/>
        <v>89</v>
      </c>
      <c r="J107" s="53" t="str">
        <f>G107*H107*I107*F107</f>
        <v>0</v>
      </c>
      <c r="K107" s="155" t="str">
        <f>J107*$J$4</f>
        <v>0.00</v>
      </c>
      <c r="L107" s="156" t="str">
        <f>K107+J107</f>
        <v>0.00 </v>
      </c>
      <c r="M107" s="132">
        <v>90.0</v>
      </c>
      <c r="N107" s="157">
        <v>183.24</v>
      </c>
      <c r="O107" s="277">
        <v>199.73</v>
      </c>
      <c r="P107" s="277">
        <v>194.23</v>
      </c>
      <c r="Q107" s="157">
        <v>183.24</v>
      </c>
      <c r="R107" s="158">
        <v>1000.0</v>
      </c>
      <c r="S107" s="159" t="str">
        <f t="shared" si="229"/>
        <v>1,000.00</v>
      </c>
      <c r="T107" s="160"/>
      <c r="U107" s="161">
        <v>0.26</v>
      </c>
      <c r="V107" s="162" t="str">
        <f t="shared" si="208"/>
        <v>740.00</v>
      </c>
      <c r="W107" s="163" t="str">
        <f t="shared" si="209"/>
        <v>60.00</v>
      </c>
      <c r="X107" s="164" t="str">
        <f t="shared" si="210"/>
        <v>55.33</v>
      </c>
      <c r="Y107" s="165" t="str">
        <f t="shared" si="211"/>
        <v>0.00</v>
      </c>
      <c r="Z107" s="166">
        <v>0.04</v>
      </c>
      <c r="AA107" s="167" t="str">
        <f t="shared" si="228"/>
        <v>76</v>
      </c>
      <c r="AB107" s="168" t="str">
        <f t="shared" si="212"/>
        <v>325.000</v>
      </c>
      <c r="AC107" s="168" t="str">
        <f t="shared" si="213"/>
        <v>26.344</v>
      </c>
      <c r="AD107" s="164" t="str">
        <f t="shared" si="214"/>
        <v>4.26</v>
      </c>
      <c r="AE107" s="164">
        <v>91.49</v>
      </c>
      <c r="AF107" s="164" t="str">
        <f t="shared" si="215"/>
        <v>4.80</v>
      </c>
      <c r="AG107" s="165" t="str">
        <f t="shared" si="222"/>
        <v>100.00</v>
      </c>
      <c r="AH107" s="23"/>
      <c r="AI107" s="278">
        <v>0.1</v>
      </c>
      <c r="AJ107" s="24" t="str">
        <f t="shared" si="216"/>
        <v>165.03</v>
      </c>
      <c r="AK107" s="279" t="str">
        <f t="shared" si="217"/>
        <v>90.06%</v>
      </c>
      <c r="AL107" s="280"/>
      <c r="AM107" s="281" t="str">
        <f t="shared" si="193"/>
        <v>0.00</v>
      </c>
      <c r="AN107" s="280"/>
      <c r="AO107" s="282"/>
      <c r="AP107" s="283"/>
      <c r="AQ107" s="283" t="str">
        <f t="shared" si="194"/>
        <v>0.00</v>
      </c>
      <c r="AR107" s="283"/>
      <c r="AS107" s="284">
        <v>157.0</v>
      </c>
      <c r="AT107" s="285" t="str">
        <f t="shared" si="21"/>
        <v>25,910.32</v>
      </c>
      <c r="AU107" s="284">
        <v>157.0</v>
      </c>
      <c r="AV107" s="286">
        <v>0.1914</v>
      </c>
      <c r="AW107" s="285">
        <v>17075.57</v>
      </c>
      <c r="AX107" s="284">
        <v>59.74</v>
      </c>
      <c r="AY107" s="26"/>
      <c r="AZ107" s="171" t="str">
        <f>$AG$3</f>
        <v>0.00%</v>
      </c>
      <c r="BA107" s="172" t="str">
        <f>Q107*AZ107</f>
        <v>0.00</v>
      </c>
      <c r="BB107" s="173" t="str">
        <f>(Q107+W107+Y107+AA107+AD107+AF107+AI107+BA107)/(100%-($C$2+$C$8+$AB$6+$AB$7))</f>
        <v>714.83</v>
      </c>
      <c r="BC107" s="174" t="str">
        <f>BB107-(BB107*$AG$1)</f>
        <v>507.53</v>
      </c>
    </row>
    <row r="108" ht="12.75" hidden="1" customHeight="1">
      <c r="A108" s="26"/>
      <c r="B108" s="190"/>
      <c r="C108" s="199">
        <v>6.11744611E8</v>
      </c>
      <c r="D108" s="152" t="s">
        <v>234</v>
      </c>
      <c r="E108" s="53" t="s">
        <v>77</v>
      </c>
      <c r="F108" s="154">
        <v>1.0</v>
      </c>
      <c r="G108" s="53"/>
      <c r="H108" s="53"/>
      <c r="I108" s="53"/>
      <c r="J108" s="53"/>
      <c r="K108" s="155"/>
      <c r="L108" s="156"/>
      <c r="M108" s="132">
        <v>90.0</v>
      </c>
      <c r="N108" s="157">
        <v>183.24</v>
      </c>
      <c r="O108" s="277">
        <v>199.73</v>
      </c>
      <c r="P108" s="277">
        <v>194.23</v>
      </c>
      <c r="Q108" s="157">
        <v>183.24</v>
      </c>
      <c r="R108" s="158">
        <v>800.0</v>
      </c>
      <c r="S108" s="159" t="str">
        <f t="shared" si="229"/>
        <v>800.00</v>
      </c>
      <c r="T108" s="160"/>
      <c r="U108" s="161">
        <v>0.26</v>
      </c>
      <c r="V108" s="162" t="str">
        <f t="shared" si="208"/>
        <v>592.00</v>
      </c>
      <c r="W108" s="163" t="str">
        <f t="shared" si="209"/>
        <v>60.00</v>
      </c>
      <c r="X108" s="164" t="str">
        <f t="shared" si="210"/>
        <v>44.26</v>
      </c>
      <c r="Y108" s="165" t="str">
        <f t="shared" si="211"/>
        <v>0.00</v>
      </c>
      <c r="Z108" s="166">
        <v>0.4</v>
      </c>
      <c r="AA108" s="167" t="str">
        <f t="shared" si="228"/>
        <v>76</v>
      </c>
      <c r="AB108" s="168" t="str">
        <f t="shared" si="212"/>
        <v>260.000</v>
      </c>
      <c r="AC108" s="168" t="str">
        <f t="shared" si="213"/>
        <v>21.075</v>
      </c>
      <c r="AD108" s="164" t="str">
        <f t="shared" si="214"/>
        <v>2.58</v>
      </c>
      <c r="AE108" s="164">
        <v>94.85</v>
      </c>
      <c r="AF108" s="164" t="str">
        <f t="shared" si="215"/>
        <v>4.80</v>
      </c>
      <c r="AG108" s="165" t="str">
        <f t="shared" si="222"/>
        <v>80.00</v>
      </c>
      <c r="AH108" s="23"/>
      <c r="AI108" s="278">
        <v>0.1</v>
      </c>
      <c r="AJ108" s="24" t="str">
        <f t="shared" si="216"/>
        <v>68.05</v>
      </c>
      <c r="AK108" s="279" t="str">
        <f t="shared" si="217"/>
        <v>37.14%</v>
      </c>
      <c r="AL108" s="280"/>
      <c r="AM108" s="281" t="str">
        <f t="shared" si="193"/>
        <v>0.00</v>
      </c>
      <c r="AN108" s="280"/>
      <c r="AO108" s="282"/>
      <c r="AP108" s="283">
        <v>297.8</v>
      </c>
      <c r="AQ108" s="283" t="str">
        <f t="shared" si="194"/>
        <v>0.00</v>
      </c>
      <c r="AR108" s="283">
        <v>153.32</v>
      </c>
      <c r="AS108" s="284"/>
      <c r="AT108" s="285" t="str">
        <f t="shared" si="21"/>
        <v>0.00</v>
      </c>
      <c r="AU108" s="284"/>
      <c r="AV108" s="286"/>
      <c r="AW108" s="285"/>
      <c r="AX108" s="284"/>
      <c r="AY108" s="26"/>
      <c r="AZ108" s="171"/>
      <c r="BA108" s="172"/>
      <c r="BB108" s="173"/>
      <c r="BC108" s="174"/>
    </row>
    <row r="109" ht="12.75" customHeight="1">
      <c r="A109" s="26"/>
      <c r="B109" s="190" t="s">
        <v>235</v>
      </c>
      <c r="C109" s="192">
        <v>2.12889027E8</v>
      </c>
      <c r="D109" s="152" t="s">
        <v>234</v>
      </c>
      <c r="E109" s="53" t="s">
        <v>77</v>
      </c>
      <c r="F109" s="154">
        <v>1.0</v>
      </c>
      <c r="G109" s="53"/>
      <c r="H109" s="53" t="str">
        <f>$I$2</f>
        <v>0.00069</v>
      </c>
      <c r="I109" s="53" t="str">
        <f>$I$3</f>
        <v>89</v>
      </c>
      <c r="J109" s="53" t="str">
        <f>G109*H109*I109*F109</f>
        <v>0</v>
      </c>
      <c r="K109" s="155" t="str">
        <f>J109*$J$4</f>
        <v>0.00</v>
      </c>
      <c r="L109" s="156" t="str">
        <f>K109+J109</f>
        <v>0.00 </v>
      </c>
      <c r="M109" s="132">
        <v>90.0</v>
      </c>
      <c r="N109" s="157">
        <v>183.24</v>
      </c>
      <c r="O109" s="277">
        <v>199.73</v>
      </c>
      <c r="P109" s="277">
        <v>194.23</v>
      </c>
      <c r="Q109" s="157">
        <v>183.24</v>
      </c>
      <c r="R109" s="158">
        <v>1000.0</v>
      </c>
      <c r="S109" s="159" t="str">
        <f t="shared" si="229"/>
        <v>1,000.00</v>
      </c>
      <c r="T109" s="160"/>
      <c r="U109" s="161">
        <v>0.26</v>
      </c>
      <c r="V109" s="162" t="str">
        <f t="shared" si="208"/>
        <v>740.00</v>
      </c>
      <c r="W109" s="163" t="str">
        <f t="shared" si="209"/>
        <v>60.00</v>
      </c>
      <c r="X109" s="164" t="str">
        <f t="shared" si="210"/>
        <v>55.33</v>
      </c>
      <c r="Y109" s="165" t="str">
        <f t="shared" si="211"/>
        <v>0.00</v>
      </c>
      <c r="Z109" s="166">
        <v>0.04</v>
      </c>
      <c r="AA109" s="167" t="str">
        <f t="shared" si="228"/>
        <v>76</v>
      </c>
      <c r="AB109" s="168" t="str">
        <f t="shared" si="212"/>
        <v>325.000</v>
      </c>
      <c r="AC109" s="168" t="str">
        <f t="shared" si="213"/>
        <v>26.344</v>
      </c>
      <c r="AD109" s="164" t="str">
        <f t="shared" si="214"/>
        <v>10.00</v>
      </c>
      <c r="AE109" s="164">
        <v>80.0</v>
      </c>
      <c r="AF109" s="164" t="str">
        <f t="shared" si="215"/>
        <v>4.80</v>
      </c>
      <c r="AG109" s="165" t="str">
        <f t="shared" si="222"/>
        <v>100.00</v>
      </c>
      <c r="AH109" s="23"/>
      <c r="AI109" s="278">
        <v>0.1</v>
      </c>
      <c r="AJ109" s="24" t="str">
        <f t="shared" si="216"/>
        <v>159.29</v>
      </c>
      <c r="AK109" s="279" t="str">
        <f t="shared" si="217"/>
        <v>86.93%</v>
      </c>
      <c r="AL109" s="280"/>
      <c r="AM109" s="281" t="str">
        <f t="shared" si="193"/>
        <v>0.00</v>
      </c>
      <c r="AN109" s="280"/>
      <c r="AO109" s="282"/>
      <c r="AP109" s="283"/>
      <c r="AQ109" s="283" t="str">
        <f t="shared" si="194"/>
        <v>0.00</v>
      </c>
      <c r="AR109" s="283"/>
      <c r="AS109" s="284">
        <v>79.0</v>
      </c>
      <c r="AT109" s="285" t="str">
        <f>AS109*AJ110</f>
        <v>5,375.80</v>
      </c>
      <c r="AU109" s="284">
        <v>79.0</v>
      </c>
      <c r="AV109" s="286">
        <v>0.0949</v>
      </c>
      <c r="AW109" s="285">
        <v>15709.89</v>
      </c>
      <c r="AX109" s="284">
        <v>100.53</v>
      </c>
      <c r="AY109" s="26"/>
      <c r="AZ109" s="171" t="str">
        <f>$AG$3</f>
        <v>0.00%</v>
      </c>
      <c r="BA109" s="172" t="str">
        <f>Q109*AZ109</f>
        <v>0.00</v>
      </c>
      <c r="BB109" s="173" t="str">
        <f>(Q109+W109+Y109+AA109+AD109+AF109+AI109+BA109)/(100%-($C$2+$C$8+$AB$6+$AB$7))</f>
        <v>727.34</v>
      </c>
      <c r="BC109" s="174" t="str">
        <f>BB109-(BB109*$AG$1)</f>
        <v>516.41</v>
      </c>
    </row>
    <row r="110" ht="12.75" hidden="1" customHeight="1">
      <c r="A110" s="26"/>
      <c r="B110" s="190"/>
      <c r="C110" s="199">
        <v>6.1174549E8</v>
      </c>
      <c r="D110" s="152" t="s">
        <v>236</v>
      </c>
      <c r="E110" s="53" t="s">
        <v>77</v>
      </c>
      <c r="F110" s="154">
        <v>1.0</v>
      </c>
      <c r="G110" s="53"/>
      <c r="H110" s="53"/>
      <c r="I110" s="53"/>
      <c r="J110" s="53"/>
      <c r="K110" s="155"/>
      <c r="L110" s="156"/>
      <c r="M110" s="132">
        <v>90.0</v>
      </c>
      <c r="N110" s="157">
        <v>183.24</v>
      </c>
      <c r="O110" s="277">
        <v>199.73</v>
      </c>
      <c r="P110" s="277">
        <v>194.23</v>
      </c>
      <c r="Q110" s="157">
        <v>183.24</v>
      </c>
      <c r="R110" s="158">
        <v>800.0</v>
      </c>
      <c r="S110" s="159" t="str">
        <f t="shared" si="229"/>
        <v>800.00</v>
      </c>
      <c r="T110" s="160"/>
      <c r="U110" s="161">
        <v>0.26</v>
      </c>
      <c r="V110" s="162" t="str">
        <f t="shared" si="208"/>
        <v>592.00</v>
      </c>
      <c r="W110" s="163" t="str">
        <f t="shared" si="209"/>
        <v>60.00</v>
      </c>
      <c r="X110" s="164" t="str">
        <f t="shared" si="210"/>
        <v>44.26</v>
      </c>
      <c r="Y110" s="165" t="str">
        <f t="shared" si="211"/>
        <v>0.00</v>
      </c>
      <c r="Z110" s="166">
        <v>0.4</v>
      </c>
      <c r="AA110" s="167" t="str">
        <f t="shared" si="228"/>
        <v>76</v>
      </c>
      <c r="AB110" s="168" t="str">
        <f t="shared" si="212"/>
        <v>260.000</v>
      </c>
      <c r="AC110" s="168" t="str">
        <f t="shared" si="213"/>
        <v>21.075</v>
      </c>
      <c r="AD110" s="164" t="str">
        <f t="shared" si="214"/>
        <v>2.58</v>
      </c>
      <c r="AE110" s="164">
        <v>94.85</v>
      </c>
      <c r="AF110" s="164" t="str">
        <f t="shared" si="215"/>
        <v>4.80</v>
      </c>
      <c r="AG110" s="165" t="str">
        <f t="shared" si="222"/>
        <v>80.00</v>
      </c>
      <c r="AH110" s="23"/>
      <c r="AI110" s="278">
        <v>0.1</v>
      </c>
      <c r="AJ110" s="24" t="str">
        <f t="shared" si="216"/>
        <v>68.05</v>
      </c>
      <c r="AK110" s="279" t="str">
        <f t="shared" si="217"/>
        <v>37.14%</v>
      </c>
      <c r="AL110" s="280"/>
      <c r="AM110" s="281" t="str">
        <f t="shared" si="193"/>
        <v>0.00</v>
      </c>
      <c r="AN110" s="280"/>
      <c r="AO110" s="282"/>
      <c r="AP110" s="283">
        <v>290.37</v>
      </c>
      <c r="AQ110" s="283" t="str">
        <f t="shared" si="194"/>
        <v>0.00</v>
      </c>
      <c r="AR110" s="283">
        <v>149.5</v>
      </c>
      <c r="AS110" s="298"/>
      <c r="AT110" s="298"/>
      <c r="AU110" s="298"/>
      <c r="AV110" s="298"/>
      <c r="AW110" s="285"/>
      <c r="AX110" s="284"/>
      <c r="AY110" s="26"/>
      <c r="AZ110" s="171"/>
      <c r="BA110" s="172"/>
      <c r="BB110" s="173"/>
      <c r="BC110" s="174"/>
    </row>
    <row r="111" ht="12.75" customHeight="1">
      <c r="A111" s="26"/>
      <c r="B111" s="190" t="s">
        <v>237</v>
      </c>
      <c r="C111" s="192">
        <v>2.12889028E8</v>
      </c>
      <c r="D111" s="152" t="s">
        <v>236</v>
      </c>
      <c r="E111" s="53" t="s">
        <v>77</v>
      </c>
      <c r="F111" s="154">
        <v>1.0</v>
      </c>
      <c r="G111" s="53"/>
      <c r="H111" s="53" t="str">
        <f t="shared" ref="H111:H114" si="230">$I$2</f>
        <v>0.00069</v>
      </c>
      <c r="I111" s="53" t="str">
        <f t="shared" ref="I111:I114" si="231">$I$3</f>
        <v>89</v>
      </c>
      <c r="J111" s="53" t="str">
        <f t="shared" ref="J111:J114" si="232">G111*H111*I111*F111</f>
        <v>0</v>
      </c>
      <c r="K111" s="155" t="str">
        <f t="shared" ref="K111:K114" si="233">J111*$J$4</f>
        <v>0.00</v>
      </c>
      <c r="L111" s="156" t="str">
        <f t="shared" ref="L111:L114" si="234">K111+J111</f>
        <v>0.00 </v>
      </c>
      <c r="M111" s="132">
        <v>90.0</v>
      </c>
      <c r="N111" s="157">
        <v>183.24</v>
      </c>
      <c r="O111" s="277">
        <v>199.73</v>
      </c>
      <c r="P111" s="277">
        <v>194.23</v>
      </c>
      <c r="Q111" s="157">
        <v>183.24</v>
      </c>
      <c r="R111" s="158">
        <v>1000.0</v>
      </c>
      <c r="S111" s="159" t="str">
        <f t="shared" si="229"/>
        <v>1,000.00</v>
      </c>
      <c r="T111" s="160"/>
      <c r="U111" s="161">
        <v>0.26</v>
      </c>
      <c r="V111" s="162" t="str">
        <f t="shared" si="208"/>
        <v>740.00</v>
      </c>
      <c r="W111" s="163" t="str">
        <f t="shared" si="209"/>
        <v>60.00</v>
      </c>
      <c r="X111" s="164" t="str">
        <f t="shared" si="210"/>
        <v>55.33</v>
      </c>
      <c r="Y111" s="165" t="str">
        <f t="shared" si="211"/>
        <v>0.00</v>
      </c>
      <c r="Z111" s="166">
        <v>0.04</v>
      </c>
      <c r="AA111" s="167" t="str">
        <f t="shared" si="228"/>
        <v>76</v>
      </c>
      <c r="AB111" s="168" t="str">
        <f t="shared" si="212"/>
        <v>325.000</v>
      </c>
      <c r="AC111" s="168" t="str">
        <f t="shared" si="213"/>
        <v>26.344</v>
      </c>
      <c r="AD111" s="164" t="str">
        <f t="shared" si="214"/>
        <v>5.45</v>
      </c>
      <c r="AE111" s="164">
        <v>89.11</v>
      </c>
      <c r="AF111" s="164" t="str">
        <f t="shared" si="215"/>
        <v>4.80</v>
      </c>
      <c r="AG111" s="165" t="str">
        <f t="shared" si="222"/>
        <v>100.00</v>
      </c>
      <c r="AH111" s="23"/>
      <c r="AI111" s="278">
        <v>0.1</v>
      </c>
      <c r="AJ111" s="24" t="str">
        <f t="shared" si="216"/>
        <v>163.84</v>
      </c>
      <c r="AK111" s="279" t="str">
        <f t="shared" si="217"/>
        <v>89.41%</v>
      </c>
      <c r="AL111" s="280"/>
      <c r="AM111" s="281" t="str">
        <f t="shared" si="193"/>
        <v>0.00</v>
      </c>
      <c r="AN111" s="280"/>
      <c r="AO111" s="282"/>
      <c r="AP111" s="283"/>
      <c r="AQ111" s="283" t="str">
        <f t="shared" si="194"/>
        <v>0.00</v>
      </c>
      <c r="AR111" s="283"/>
      <c r="AS111" s="284">
        <v>51.0</v>
      </c>
      <c r="AT111" s="285" t="str">
        <f t="shared" ref="AT111:AT351" si="235">AS111*AJ111</f>
        <v>8,356.04</v>
      </c>
      <c r="AU111" s="284">
        <v>51.0</v>
      </c>
      <c r="AV111" s="286">
        <v>0.514</v>
      </c>
      <c r="AW111" s="285">
        <v>-12246.43</v>
      </c>
      <c r="AX111" s="284">
        <v>-133.67</v>
      </c>
      <c r="AY111" s="26"/>
      <c r="AZ111" s="171" t="str">
        <f t="shared" ref="AZ111:AZ114" si="236">$AG$3</f>
        <v>0.00%</v>
      </c>
      <c r="BA111" s="172" t="str">
        <f t="shared" ref="BA111:BA114" si="237">Q111*AZ111</f>
        <v>0.00</v>
      </c>
      <c r="BB111" s="173" t="str">
        <f t="shared" ref="BB111:BB114" si="238">(Q111+W111+Y111+AA111+AD111+AF111+AI111+BA111)/(100%-($C$2+$C$8+$AB$6+$AB$7))</f>
        <v>717.42</v>
      </c>
      <c r="BC111" s="174" t="str">
        <f t="shared" ref="BC111:BC114" si="239">BB111-(BB111*$AG$1)</f>
        <v>509.37</v>
      </c>
    </row>
    <row r="112" ht="12.75" hidden="1" customHeight="1">
      <c r="A112" s="26"/>
      <c r="B112" s="190"/>
      <c r="C112" s="202" t="s">
        <v>242</v>
      </c>
      <c r="D112" s="205" t="s">
        <v>243</v>
      </c>
      <c r="E112" s="53" t="s">
        <v>77</v>
      </c>
      <c r="F112" s="154">
        <v>1.0</v>
      </c>
      <c r="G112" s="53"/>
      <c r="H112" s="53" t="str">
        <f t="shared" si="230"/>
        <v>0.00069</v>
      </c>
      <c r="I112" s="53" t="str">
        <f t="shared" si="231"/>
        <v>89</v>
      </c>
      <c r="J112" s="53" t="str">
        <f t="shared" si="232"/>
        <v>0</v>
      </c>
      <c r="K112" s="155" t="str">
        <f t="shared" si="233"/>
        <v>0.00</v>
      </c>
      <c r="L112" s="156" t="str">
        <f t="shared" si="234"/>
        <v>0.00 </v>
      </c>
      <c r="M112" s="132">
        <v>90.0</v>
      </c>
      <c r="N112" s="157">
        <v>0.0</v>
      </c>
      <c r="O112" s="277">
        <v>0.0</v>
      </c>
      <c r="P112" s="277" t="str">
        <f t="shared" ref="P112:P114" si="240">K112/E112</f>
        <v>#VALUE!</v>
      </c>
      <c r="Q112" s="157">
        <v>0.0</v>
      </c>
      <c r="R112" s="158"/>
      <c r="S112" s="159" t="str">
        <f t="shared" si="229"/>
        <v/>
      </c>
      <c r="T112" s="160"/>
      <c r="U112" s="161"/>
      <c r="V112" s="162" t="str">
        <f t="shared" si="208"/>
        <v>0.00</v>
      </c>
      <c r="W112" s="163">
        <v>0.0</v>
      </c>
      <c r="X112" s="164" t="str">
        <f t="shared" si="210"/>
        <v>0.00</v>
      </c>
      <c r="Y112" s="165" t="str">
        <f t="shared" si="211"/>
        <v>0.00</v>
      </c>
      <c r="Z112" s="166"/>
      <c r="AA112" s="206"/>
      <c r="AB112" s="168" t="str">
        <f t="shared" si="212"/>
        <v>0.000</v>
      </c>
      <c r="AC112" s="168" t="str">
        <f t="shared" si="213"/>
        <v>0.000</v>
      </c>
      <c r="AD112" s="164" t="str">
        <f t="shared" si="214"/>
        <v>50.00</v>
      </c>
      <c r="AE112" s="164"/>
      <c r="AF112" s="164" t="str">
        <f t="shared" si="215"/>
        <v>0.00</v>
      </c>
      <c r="AG112" s="165" t="str">
        <f t="shared" si="222"/>
        <v>0.00</v>
      </c>
      <c r="AH112" s="23"/>
      <c r="AI112" s="278">
        <v>0.1</v>
      </c>
      <c r="AJ112" s="24" t="str">
        <f>V112-W112-X112-Y112-AA112-AB112-AC112-AD112-AF112-AG112-Q112</f>
        <v>-50.00</v>
      </c>
      <c r="AK112" s="279" t="str">
        <f t="shared" si="217"/>
        <v>#DIV/0!</v>
      </c>
      <c r="AL112" s="280"/>
      <c r="AM112" s="281" t="str">
        <f t="shared" si="193"/>
        <v>0.00</v>
      </c>
      <c r="AN112" s="280"/>
      <c r="AO112" s="282"/>
      <c r="AP112" s="283"/>
      <c r="AQ112" s="283" t="str">
        <f t="shared" si="194"/>
        <v>0.00</v>
      </c>
      <c r="AR112" s="283"/>
      <c r="AS112" s="284"/>
      <c r="AT112" s="285" t="str">
        <f t="shared" si="235"/>
        <v>0.00</v>
      </c>
      <c r="AU112" s="284"/>
      <c r="AV112" s="286"/>
      <c r="AW112" s="285"/>
      <c r="AX112" s="284"/>
      <c r="AY112" s="26"/>
      <c r="AZ112" s="171" t="str">
        <f t="shared" si="236"/>
        <v>0.00%</v>
      </c>
      <c r="BA112" s="172" t="str">
        <f t="shared" si="237"/>
        <v>0.00</v>
      </c>
      <c r="BB112" s="173" t="str">
        <f t="shared" si="238"/>
        <v>109.06</v>
      </c>
      <c r="BC112" s="174" t="str">
        <f t="shared" si="239"/>
        <v>77.43</v>
      </c>
    </row>
    <row r="113" ht="12.75" hidden="1" customHeight="1">
      <c r="A113" s="26"/>
      <c r="B113" s="190" t="s">
        <v>244</v>
      </c>
      <c r="C113" s="202">
        <v>1.69788725E8</v>
      </c>
      <c r="D113" s="152" t="s">
        <v>245</v>
      </c>
      <c r="E113" s="53" t="s">
        <v>77</v>
      </c>
      <c r="F113" s="154">
        <v>1.0</v>
      </c>
      <c r="G113" s="53"/>
      <c r="H113" s="53" t="str">
        <f t="shared" si="230"/>
        <v>0.00069</v>
      </c>
      <c r="I113" s="53" t="str">
        <f t="shared" si="231"/>
        <v>89</v>
      </c>
      <c r="J113" s="53" t="str">
        <f t="shared" si="232"/>
        <v>0</v>
      </c>
      <c r="K113" s="155" t="str">
        <f t="shared" si="233"/>
        <v>0.00</v>
      </c>
      <c r="L113" s="156" t="str">
        <f t="shared" si="234"/>
        <v>0.00 </v>
      </c>
      <c r="M113" s="132">
        <v>90.0</v>
      </c>
      <c r="N113" s="157">
        <v>0.0</v>
      </c>
      <c r="O113" s="277">
        <v>0.0</v>
      </c>
      <c r="P113" s="277" t="str">
        <f t="shared" si="240"/>
        <v>#VALUE!</v>
      </c>
      <c r="Q113" s="157">
        <v>0.0</v>
      </c>
      <c r="R113" s="158">
        <v>1095.9</v>
      </c>
      <c r="S113" s="159" t="str">
        <f t="shared" si="229"/>
        <v>1,095.90</v>
      </c>
      <c r="T113" s="160"/>
      <c r="U113" s="161">
        <v>0.26</v>
      </c>
      <c r="V113" s="162" t="str">
        <f t="shared" si="208"/>
        <v>810.97</v>
      </c>
      <c r="W113" s="163" t="str">
        <f t="shared" ref="W113:W114" si="241">$C$1</f>
        <v>60.00</v>
      </c>
      <c r="X113" s="164" t="str">
        <f t="shared" si="210"/>
        <v>60.63</v>
      </c>
      <c r="Y113" s="165" t="str">
        <f t="shared" si="211"/>
        <v>0.00</v>
      </c>
      <c r="Z113" s="166">
        <v>0.59</v>
      </c>
      <c r="AA113" s="167" t="str">
        <f t="shared" ref="AA113:AA114" si="242">((_xlfn.CEILING.MATH(Z113)-1)*$C$5+$C$4)</f>
        <v>76</v>
      </c>
      <c r="AB113" s="168" t="str">
        <f t="shared" si="212"/>
        <v>356.168</v>
      </c>
      <c r="AC113" s="168" t="str">
        <f t="shared" si="213"/>
        <v>28.870</v>
      </c>
      <c r="AD113" s="164" t="str">
        <f t="shared" si="214"/>
        <v>1.14</v>
      </c>
      <c r="AE113" s="164">
        <v>97.73</v>
      </c>
      <c r="AF113" s="164" t="str">
        <f t="shared" si="215"/>
        <v>4.80</v>
      </c>
      <c r="AG113" s="165" t="str">
        <f t="shared" si="222"/>
        <v>109.59</v>
      </c>
      <c r="AH113" s="23"/>
      <c r="AI113" s="278">
        <v>0.1</v>
      </c>
      <c r="AJ113" s="24" t="str">
        <f t="shared" ref="AJ113:AJ114" si="243">R113-W113-X113-Y113-AA113-AB113-AC113-AD113-AF113-AG113-Q113</f>
        <v>398.70</v>
      </c>
      <c r="AK113" s="279" t="str">
        <f t="shared" si="217"/>
        <v>#DIV/0!</v>
      </c>
      <c r="AL113" s="280"/>
      <c r="AM113" s="281" t="str">
        <f t="shared" si="193"/>
        <v>0.00</v>
      </c>
      <c r="AN113" s="280"/>
      <c r="AO113" s="282"/>
      <c r="AP113" s="283"/>
      <c r="AQ113" s="283" t="str">
        <f t="shared" si="194"/>
        <v>0.00</v>
      </c>
      <c r="AR113" s="283"/>
      <c r="AS113" s="284"/>
      <c r="AT113" s="285" t="str">
        <f t="shared" si="235"/>
        <v>0.00</v>
      </c>
      <c r="AU113" s="284"/>
      <c r="AV113" s="286"/>
      <c r="AW113" s="285"/>
      <c r="AX113" s="284"/>
      <c r="AY113" s="26"/>
      <c r="AZ113" s="171" t="str">
        <f t="shared" si="236"/>
        <v>0.00%</v>
      </c>
      <c r="BA113" s="172" t="str">
        <f t="shared" si="237"/>
        <v>0.00</v>
      </c>
      <c r="BB113" s="173" t="str">
        <f t="shared" si="238"/>
        <v>309.18</v>
      </c>
      <c r="BC113" s="174" t="str">
        <f t="shared" si="239"/>
        <v>219.51</v>
      </c>
    </row>
    <row r="114" ht="12.75" hidden="1" customHeight="1">
      <c r="A114" s="26"/>
      <c r="B114" s="190" t="s">
        <v>246</v>
      </c>
      <c r="C114" s="202">
        <v>1.69788801E8</v>
      </c>
      <c r="D114" s="152" t="s">
        <v>247</v>
      </c>
      <c r="E114" s="53" t="s">
        <v>77</v>
      </c>
      <c r="F114" s="154">
        <v>1.0</v>
      </c>
      <c r="G114" s="53"/>
      <c r="H114" s="53" t="str">
        <f t="shared" si="230"/>
        <v>0.00069</v>
      </c>
      <c r="I114" s="53" t="str">
        <f t="shared" si="231"/>
        <v>89</v>
      </c>
      <c r="J114" s="53" t="str">
        <f t="shared" si="232"/>
        <v>0</v>
      </c>
      <c r="K114" s="155" t="str">
        <f t="shared" si="233"/>
        <v>0.00</v>
      </c>
      <c r="L114" s="156" t="str">
        <f t="shared" si="234"/>
        <v>0.00 </v>
      </c>
      <c r="M114" s="132">
        <v>90.0</v>
      </c>
      <c r="N114" s="157">
        <v>0.0</v>
      </c>
      <c r="O114" s="277">
        <v>0.0</v>
      </c>
      <c r="P114" s="277" t="str">
        <f t="shared" si="240"/>
        <v>#VALUE!</v>
      </c>
      <c r="Q114" s="157">
        <v>0.0</v>
      </c>
      <c r="R114" s="158">
        <v>1095.9</v>
      </c>
      <c r="S114" s="159" t="str">
        <f t="shared" si="229"/>
        <v>1,095.90</v>
      </c>
      <c r="T114" s="160"/>
      <c r="U114" s="161">
        <v>0.26</v>
      </c>
      <c r="V114" s="162" t="str">
        <f t="shared" si="208"/>
        <v>810.97</v>
      </c>
      <c r="W114" s="163" t="str">
        <f t="shared" si="241"/>
        <v>60.00</v>
      </c>
      <c r="X114" s="164" t="str">
        <f t="shared" si="210"/>
        <v>60.63</v>
      </c>
      <c r="Y114" s="165" t="str">
        <f t="shared" si="211"/>
        <v>0.00</v>
      </c>
      <c r="Z114" s="166">
        <v>0.59</v>
      </c>
      <c r="AA114" s="167" t="str">
        <f t="shared" si="242"/>
        <v>76</v>
      </c>
      <c r="AB114" s="168" t="str">
        <f t="shared" si="212"/>
        <v>356.168</v>
      </c>
      <c r="AC114" s="168" t="str">
        <f t="shared" si="213"/>
        <v>28.870</v>
      </c>
      <c r="AD114" s="164" t="str">
        <f t="shared" si="214"/>
        <v>2.83</v>
      </c>
      <c r="AE114" s="164">
        <v>94.35</v>
      </c>
      <c r="AF114" s="164" t="str">
        <f t="shared" si="215"/>
        <v>4.80</v>
      </c>
      <c r="AG114" s="165" t="str">
        <f t="shared" si="222"/>
        <v>109.59</v>
      </c>
      <c r="AH114" s="23"/>
      <c r="AI114" s="278">
        <v>0.1</v>
      </c>
      <c r="AJ114" s="24" t="str">
        <f t="shared" si="243"/>
        <v>397.01</v>
      </c>
      <c r="AK114" s="279" t="str">
        <f t="shared" si="217"/>
        <v>#DIV/0!</v>
      </c>
      <c r="AL114" s="280"/>
      <c r="AM114" s="281" t="str">
        <f t="shared" si="193"/>
        <v>0.00</v>
      </c>
      <c r="AN114" s="280"/>
      <c r="AO114" s="282"/>
      <c r="AP114" s="283"/>
      <c r="AQ114" s="283" t="str">
        <f t="shared" si="194"/>
        <v>0.00</v>
      </c>
      <c r="AR114" s="283"/>
      <c r="AS114" s="284"/>
      <c r="AT114" s="285" t="str">
        <f t="shared" si="235"/>
        <v>0.00</v>
      </c>
      <c r="AU114" s="284"/>
      <c r="AV114" s="286"/>
      <c r="AW114" s="285"/>
      <c r="AX114" s="284"/>
      <c r="AY114" s="26"/>
      <c r="AZ114" s="171" t="str">
        <f t="shared" si="236"/>
        <v>0.00%</v>
      </c>
      <c r="BA114" s="172" t="str">
        <f t="shared" si="237"/>
        <v>0.00</v>
      </c>
      <c r="BB114" s="173" t="str">
        <f t="shared" si="238"/>
        <v>312.85</v>
      </c>
      <c r="BC114" s="174" t="str">
        <f t="shared" si="239"/>
        <v>222.13</v>
      </c>
    </row>
    <row r="115" ht="12.75" customHeight="1">
      <c r="A115" s="26"/>
      <c r="B115" s="125" t="s">
        <v>248</v>
      </c>
      <c r="C115" s="126"/>
      <c r="D115" s="127"/>
      <c r="E115" s="128"/>
      <c r="F115" s="128"/>
      <c r="G115" s="128"/>
      <c r="H115" s="197"/>
      <c r="I115" s="197"/>
      <c r="J115" s="128"/>
      <c r="K115" s="130"/>
      <c r="L115" s="131"/>
      <c r="M115" s="132"/>
      <c r="N115" s="176"/>
      <c r="O115" s="133"/>
      <c r="P115" s="133"/>
      <c r="Q115" s="176"/>
      <c r="R115" s="134"/>
      <c r="S115" s="135"/>
      <c r="T115" s="135"/>
      <c r="U115" s="136"/>
      <c r="V115" s="137"/>
      <c r="W115" s="177"/>
      <c r="X115" s="178"/>
      <c r="Y115" s="179"/>
      <c r="Z115" s="180"/>
      <c r="AA115" s="181"/>
      <c r="AB115" s="182"/>
      <c r="AC115" s="182"/>
      <c r="AD115" s="178"/>
      <c r="AE115" s="178"/>
      <c r="AF115" s="178"/>
      <c r="AG115" s="179"/>
      <c r="AH115" s="183"/>
      <c r="AI115" s="271"/>
      <c r="AJ115" s="287"/>
      <c r="AK115" s="288"/>
      <c r="AL115" s="280"/>
      <c r="AM115" s="281" t="str">
        <f t="shared" si="193"/>
        <v>0.00</v>
      </c>
      <c r="AN115" s="280"/>
      <c r="AO115" s="282"/>
      <c r="AP115" s="283"/>
      <c r="AQ115" s="283" t="str">
        <f t="shared" si="194"/>
        <v>0.00</v>
      </c>
      <c r="AR115" s="283"/>
      <c r="AS115" s="284"/>
      <c r="AT115" s="285" t="str">
        <f t="shared" si="235"/>
        <v>0.00</v>
      </c>
      <c r="AU115" s="284"/>
      <c r="AV115" s="286"/>
      <c r="AW115" s="285"/>
      <c r="AX115" s="284"/>
      <c r="AY115" s="26"/>
      <c r="AZ115" s="186"/>
      <c r="BA115" s="187"/>
      <c r="BB115" s="188"/>
      <c r="BC115" s="189"/>
    </row>
    <row r="116" ht="12.75" customHeight="1">
      <c r="A116" s="26"/>
      <c r="B116" s="190" t="s">
        <v>249</v>
      </c>
      <c r="C116" s="199">
        <v>3.07073881E8</v>
      </c>
      <c r="D116" s="152" t="s">
        <v>250</v>
      </c>
      <c r="E116" s="53" t="s">
        <v>77</v>
      </c>
      <c r="F116" s="154">
        <v>1.0</v>
      </c>
      <c r="G116" s="53"/>
      <c r="H116" s="53" t="str">
        <f t="shared" ref="H116:H120" si="244">$I$2</f>
        <v>0.00069</v>
      </c>
      <c r="I116" s="53" t="str">
        <f t="shared" ref="I116:I120" si="245">$I$3</f>
        <v>89</v>
      </c>
      <c r="J116" s="53" t="str">
        <f t="shared" ref="J116:J120" si="246">G116*H116*I116*F116</f>
        <v>0</v>
      </c>
      <c r="K116" s="155" t="str">
        <f t="shared" ref="K116:K120" si="247">J116*$J$4</f>
        <v>0.00</v>
      </c>
      <c r="L116" s="156" t="str">
        <f t="shared" ref="L116:L120" si="248">K116+J116</f>
        <v>0.00 </v>
      </c>
      <c r="M116" s="132">
        <v>90.0</v>
      </c>
      <c r="N116" s="157">
        <v>292.89</v>
      </c>
      <c r="O116" s="277">
        <v>319.25</v>
      </c>
      <c r="P116" s="277">
        <v>310.46</v>
      </c>
      <c r="Q116" s="157">
        <v>292.89</v>
      </c>
      <c r="R116" s="158">
        <v>1050.0</v>
      </c>
      <c r="S116" s="159" t="str">
        <f t="shared" ref="S116:S117" si="249">R116</f>
        <v>1,050.00</v>
      </c>
      <c r="T116" s="160">
        <v>832.0</v>
      </c>
      <c r="U116" s="161">
        <v>0.26</v>
      </c>
      <c r="V116" s="162" t="str">
        <f t="shared" ref="V116:V120" si="250">R116-(R116*U116)</f>
        <v>777.00</v>
      </c>
      <c r="W116" s="163" t="str">
        <f t="shared" ref="W116:W120" si="251">$C$1</f>
        <v>60.00</v>
      </c>
      <c r="X116" s="164" t="str">
        <f t="shared" ref="X116:X120" si="252">(V116*7/107)+((V116-(V116*7/107))*1%)</f>
        <v>58.09</v>
      </c>
      <c r="Y116" s="165" t="str">
        <f t="shared" ref="Y116:Y120" si="253">Q116*$C$3*(M116/30)</f>
        <v>0.00</v>
      </c>
      <c r="Z116" s="166">
        <v>0.72</v>
      </c>
      <c r="AA116" s="167">
        <v>100.0</v>
      </c>
      <c r="AB116" s="168" t="str">
        <f t="shared" ref="AB116:AB120" si="254">R116*$AB$6</f>
        <v>341.250</v>
      </c>
      <c r="AC116" s="168" t="str">
        <f t="shared" ref="AC116:AC120" si="255">V116*$AB$7</f>
        <v>27.661</v>
      </c>
      <c r="AD116" s="164" t="str">
        <f t="shared" ref="AD116:AD120" si="256">$AB$3*((100-AE116)/100)</f>
        <v>1.70</v>
      </c>
      <c r="AE116" s="164">
        <v>96.61</v>
      </c>
      <c r="AF116" s="164" t="str">
        <f t="shared" ref="AF116:AF120" si="257">$C$6*$C$7*_xlfn.CEILING.MATH(Z116)</f>
        <v>4.80</v>
      </c>
      <c r="AG116" s="165" t="str">
        <f t="shared" ref="AG116:AG117" si="258">R116*$C$2</f>
        <v>105.00</v>
      </c>
      <c r="AH116" s="23"/>
      <c r="AI116" s="278">
        <v>0.1</v>
      </c>
      <c r="AJ116" s="24" t="str">
        <f t="shared" ref="AJ116:AJ120" si="259">R116-W116-X116-Y116-AA116-AB116-AC116-AD116-AF116-AG116-Q116</f>
        <v>58.61</v>
      </c>
      <c r="AK116" s="279" t="str">
        <f t="shared" ref="AK116:AK120" si="260">AJ116/Q116</f>
        <v>20.01%</v>
      </c>
      <c r="AL116" s="280">
        <v>150.0</v>
      </c>
      <c r="AM116" s="281" t="str">
        <f t="shared" si="193"/>
        <v>8,791.55</v>
      </c>
      <c r="AN116" s="280">
        <v>188.0</v>
      </c>
      <c r="AO116" s="282">
        <v>23.35</v>
      </c>
      <c r="AP116" s="283">
        <v>149.17</v>
      </c>
      <c r="AQ116" s="283" t="str">
        <f t="shared" si="194"/>
        <v>28,043.96</v>
      </c>
      <c r="AR116" s="283">
        <v>49.01</v>
      </c>
      <c r="AS116" s="284">
        <v>110.0</v>
      </c>
      <c r="AT116" s="285" t="str">
        <f t="shared" si="235"/>
        <v>6,447.14</v>
      </c>
      <c r="AU116" s="284">
        <v>41.0</v>
      </c>
      <c r="AV116" s="286">
        <v>0.0849</v>
      </c>
      <c r="AW116" s="285">
        <v>5808.48</v>
      </c>
      <c r="AX116" s="284">
        <v>48.37</v>
      </c>
      <c r="AY116" s="26"/>
      <c r="AZ116" s="171" t="str">
        <f t="shared" ref="AZ116:AZ120" si="261">$AG$3</f>
        <v>0.00%</v>
      </c>
      <c r="BA116" s="172" t="str">
        <f t="shared" ref="BA116:BA120" si="262">Q116*AZ116</f>
        <v>0.00</v>
      </c>
      <c r="BB116" s="173" t="str">
        <f t="shared" ref="BB116:BB120" si="263">(Q116+W116+Y116+AA116+AD116+AF116+AI116+BA116)/(100%-($C$2+$C$8+$AB$6+$AB$7))</f>
        <v>1,000.19</v>
      </c>
      <c r="BC116" s="174" t="str">
        <f t="shared" ref="BC116:BC120" si="264">BB116-(BB116*$AG$1)</f>
        <v>710.13</v>
      </c>
    </row>
    <row r="117" ht="12.75" hidden="1" customHeight="1">
      <c r="A117" s="26"/>
      <c r="B117" s="190" t="s">
        <v>251</v>
      </c>
      <c r="C117" s="199">
        <v>1.54159632E8</v>
      </c>
      <c r="D117" s="152" t="s">
        <v>252</v>
      </c>
      <c r="E117" s="53" t="s">
        <v>77</v>
      </c>
      <c r="F117" s="154">
        <v>1.0</v>
      </c>
      <c r="G117" s="53"/>
      <c r="H117" s="53" t="str">
        <f t="shared" si="244"/>
        <v>0.00069</v>
      </c>
      <c r="I117" s="53" t="str">
        <f t="shared" si="245"/>
        <v>89</v>
      </c>
      <c r="J117" s="53" t="str">
        <f t="shared" si="246"/>
        <v>0</v>
      </c>
      <c r="K117" s="155" t="str">
        <f t="shared" si="247"/>
        <v>0.00</v>
      </c>
      <c r="L117" s="156" t="str">
        <f t="shared" si="248"/>
        <v>0.00 </v>
      </c>
      <c r="M117" s="132">
        <v>90.0</v>
      </c>
      <c r="N117" s="157">
        <v>92.17</v>
      </c>
      <c r="O117" s="277">
        <v>100.47</v>
      </c>
      <c r="P117" s="277">
        <v>97.7</v>
      </c>
      <c r="Q117" s="157">
        <v>92.17</v>
      </c>
      <c r="R117" s="158">
        <v>601.0</v>
      </c>
      <c r="S117" s="159" t="str">
        <f t="shared" si="249"/>
        <v>601.00</v>
      </c>
      <c r="T117" s="160">
        <v>329.0</v>
      </c>
      <c r="U117" s="161">
        <v>0.26</v>
      </c>
      <c r="V117" s="162" t="str">
        <f t="shared" si="250"/>
        <v>444.74</v>
      </c>
      <c r="W117" s="163" t="str">
        <f t="shared" si="251"/>
        <v>60.00</v>
      </c>
      <c r="X117" s="164" t="str">
        <f t="shared" si="252"/>
        <v>33.25</v>
      </c>
      <c r="Y117" s="165" t="str">
        <f t="shared" si="253"/>
        <v>0.00</v>
      </c>
      <c r="Z117" s="166">
        <v>0.35</v>
      </c>
      <c r="AA117" s="167" t="str">
        <f>((_xlfn.CEILING.MATH(Z117)-1)*$C$5+$C$4)</f>
        <v>76</v>
      </c>
      <c r="AB117" s="168" t="str">
        <f t="shared" si="254"/>
        <v>195.325</v>
      </c>
      <c r="AC117" s="168" t="str">
        <f t="shared" si="255"/>
        <v>15.833</v>
      </c>
      <c r="AD117" s="164" t="str">
        <f t="shared" si="256"/>
        <v>0.00</v>
      </c>
      <c r="AE117" s="164">
        <v>100.0</v>
      </c>
      <c r="AF117" s="164" t="str">
        <f t="shared" si="257"/>
        <v>4.80</v>
      </c>
      <c r="AG117" s="165" t="str">
        <f t="shared" si="258"/>
        <v>60.10</v>
      </c>
      <c r="AH117" s="23"/>
      <c r="AI117" s="278">
        <v>0.1</v>
      </c>
      <c r="AJ117" s="24" t="str">
        <f t="shared" si="259"/>
        <v>63.52</v>
      </c>
      <c r="AK117" s="279" t="str">
        <f t="shared" si="260"/>
        <v>68.92%</v>
      </c>
      <c r="AL117" s="280"/>
      <c r="AM117" s="281" t="str">
        <f t="shared" si="193"/>
        <v>0.00</v>
      </c>
      <c r="AN117" s="280"/>
      <c r="AO117" s="282">
        <v>21.48</v>
      </c>
      <c r="AP117" s="283">
        <v>70.12</v>
      </c>
      <c r="AQ117" s="283" t="str">
        <f t="shared" si="194"/>
        <v>0.00</v>
      </c>
      <c r="AR117" s="283">
        <v>72.7</v>
      </c>
      <c r="AS117" s="284"/>
      <c r="AT117" s="285" t="str">
        <f t="shared" si="235"/>
        <v>0.00</v>
      </c>
      <c r="AU117" s="284"/>
      <c r="AV117" s="286"/>
      <c r="AW117" s="285"/>
      <c r="AX117" s="284"/>
      <c r="AY117" s="26"/>
      <c r="AZ117" s="171" t="str">
        <f t="shared" si="261"/>
        <v>0.00%</v>
      </c>
      <c r="BA117" s="172" t="str">
        <f t="shared" si="262"/>
        <v>0.00</v>
      </c>
      <c r="BB117" s="173" t="str">
        <f t="shared" si="263"/>
        <v>507.34</v>
      </c>
      <c r="BC117" s="174" t="str">
        <f t="shared" si="264"/>
        <v>360.21</v>
      </c>
    </row>
    <row r="118" ht="12.75" customHeight="1">
      <c r="A118" s="26"/>
      <c r="B118" s="190" t="s">
        <v>253</v>
      </c>
      <c r="C118" s="199">
        <v>1.51313163E8</v>
      </c>
      <c r="D118" s="152" t="s">
        <v>254</v>
      </c>
      <c r="E118" s="53" t="s">
        <v>77</v>
      </c>
      <c r="F118" s="154">
        <v>1.0</v>
      </c>
      <c r="G118" s="53"/>
      <c r="H118" s="53" t="str">
        <f t="shared" si="244"/>
        <v>0.00069</v>
      </c>
      <c r="I118" s="53" t="str">
        <f t="shared" si="245"/>
        <v>89</v>
      </c>
      <c r="J118" s="53" t="str">
        <f t="shared" si="246"/>
        <v>0</v>
      </c>
      <c r="K118" s="155" t="str">
        <f t="shared" si="247"/>
        <v>0.00</v>
      </c>
      <c r="L118" s="156" t="str">
        <f t="shared" si="248"/>
        <v>0.00 </v>
      </c>
      <c r="M118" s="132">
        <v>90.0</v>
      </c>
      <c r="N118" s="175">
        <v>361.03</v>
      </c>
      <c r="O118" s="277">
        <v>393.52</v>
      </c>
      <c r="P118" s="277">
        <v>382.69</v>
      </c>
      <c r="Q118" s="175">
        <v>361.03</v>
      </c>
      <c r="R118" s="158">
        <v>1200.0</v>
      </c>
      <c r="S118" s="159">
        <v>850.0</v>
      </c>
      <c r="T118" s="160">
        <v>838.0</v>
      </c>
      <c r="U118" s="161">
        <v>0.26</v>
      </c>
      <c r="V118" s="162" t="str">
        <f t="shared" si="250"/>
        <v>888.00</v>
      </c>
      <c r="W118" s="163" t="str">
        <f t="shared" si="251"/>
        <v>60.00</v>
      </c>
      <c r="X118" s="164" t="str">
        <f t="shared" si="252"/>
        <v>66.39</v>
      </c>
      <c r="Y118" s="165" t="str">
        <f t="shared" si="253"/>
        <v>0.00</v>
      </c>
      <c r="Z118" s="166">
        <v>0.56</v>
      </c>
      <c r="AA118" s="167">
        <v>97.0</v>
      </c>
      <c r="AB118" s="168" t="str">
        <f t="shared" si="254"/>
        <v>390.000</v>
      </c>
      <c r="AC118" s="168" t="str">
        <f t="shared" si="255"/>
        <v>31.613</v>
      </c>
      <c r="AD118" s="164" t="str">
        <f t="shared" si="256"/>
        <v>2.85</v>
      </c>
      <c r="AE118" s="164">
        <v>94.3</v>
      </c>
      <c r="AF118" s="164" t="str">
        <f t="shared" si="257"/>
        <v>4.80</v>
      </c>
      <c r="AG118" s="165">
        <v>60.0</v>
      </c>
      <c r="AH118" s="23"/>
      <c r="AI118" s="292">
        <v>0.05</v>
      </c>
      <c r="AJ118" s="24" t="str">
        <f t="shared" si="259"/>
        <v>126.31</v>
      </c>
      <c r="AK118" s="279" t="str">
        <f t="shared" si="260"/>
        <v>34.99%</v>
      </c>
      <c r="AL118" s="280">
        <v>1200.0</v>
      </c>
      <c r="AM118" s="281" t="str">
        <f t="shared" si="193"/>
        <v>151,577.61</v>
      </c>
      <c r="AN118" s="280">
        <v>1222.0</v>
      </c>
      <c r="AO118" s="293" t="s">
        <v>677</v>
      </c>
      <c r="AP118" s="283">
        <v>191.18</v>
      </c>
      <c r="AQ118" s="283" t="str">
        <f t="shared" si="194"/>
        <v>233,621.96</v>
      </c>
      <c r="AR118" s="283">
        <v>50.6</v>
      </c>
      <c r="AS118" s="284">
        <v>1100.0</v>
      </c>
      <c r="AT118" s="285" t="str">
        <f t="shared" si="235"/>
        <v>138,946.14</v>
      </c>
      <c r="AU118" s="284">
        <v>725.0</v>
      </c>
      <c r="AV118" s="286">
        <v>0.0406</v>
      </c>
      <c r="AW118" s="285">
        <v>149999.77</v>
      </c>
      <c r="AX118" s="284">
        <v>57.31</v>
      </c>
      <c r="AY118" s="26"/>
      <c r="AZ118" s="171" t="str">
        <f t="shared" si="261"/>
        <v>0.00%</v>
      </c>
      <c r="BA118" s="172" t="str">
        <f t="shared" si="262"/>
        <v>0.00</v>
      </c>
      <c r="BB118" s="173" t="str">
        <f t="shared" si="263"/>
        <v>1,144.38</v>
      </c>
      <c r="BC118" s="174" t="str">
        <f t="shared" si="264"/>
        <v>812.51</v>
      </c>
    </row>
    <row r="119" ht="12.75" customHeight="1">
      <c r="A119" s="26"/>
      <c r="B119" s="190" t="s">
        <v>255</v>
      </c>
      <c r="C119" s="199">
        <v>1.54160085E8</v>
      </c>
      <c r="D119" s="152" t="s">
        <v>256</v>
      </c>
      <c r="E119" s="53" t="s">
        <v>77</v>
      </c>
      <c r="F119" s="154">
        <v>1.0</v>
      </c>
      <c r="G119" s="53"/>
      <c r="H119" s="53" t="str">
        <f t="shared" si="244"/>
        <v>0.00069</v>
      </c>
      <c r="I119" s="53" t="str">
        <f t="shared" si="245"/>
        <v>89</v>
      </c>
      <c r="J119" s="53" t="str">
        <f t="shared" si="246"/>
        <v>0</v>
      </c>
      <c r="K119" s="155" t="str">
        <f t="shared" si="247"/>
        <v>0.00</v>
      </c>
      <c r="L119" s="156" t="str">
        <f t="shared" si="248"/>
        <v>0.00 </v>
      </c>
      <c r="M119" s="132">
        <v>90.0</v>
      </c>
      <c r="N119" s="157">
        <v>389.99</v>
      </c>
      <c r="O119" s="277">
        <v>425.09</v>
      </c>
      <c r="P119" s="277">
        <v>413.39</v>
      </c>
      <c r="Q119" s="157">
        <v>389.99</v>
      </c>
      <c r="R119" s="158">
        <v>1400.0</v>
      </c>
      <c r="S119" s="159" t="str">
        <f t="shared" ref="S119:S120" si="265">R119</f>
        <v>1,400.00</v>
      </c>
      <c r="T119" s="160">
        <v>1060.0</v>
      </c>
      <c r="U119" s="161">
        <v>0.26</v>
      </c>
      <c r="V119" s="162" t="str">
        <f t="shared" si="250"/>
        <v>1,036.00</v>
      </c>
      <c r="W119" s="163" t="str">
        <f t="shared" si="251"/>
        <v>60.00</v>
      </c>
      <c r="X119" s="164" t="str">
        <f t="shared" si="252"/>
        <v>77.46</v>
      </c>
      <c r="Y119" s="165" t="str">
        <f t="shared" si="253"/>
        <v>0.00</v>
      </c>
      <c r="Z119" s="166">
        <v>1.2</v>
      </c>
      <c r="AA119" s="167">
        <v>132.0</v>
      </c>
      <c r="AB119" s="168" t="str">
        <f t="shared" si="254"/>
        <v>455.000</v>
      </c>
      <c r="AC119" s="168" t="str">
        <f t="shared" si="255"/>
        <v>36.882</v>
      </c>
      <c r="AD119" s="164" t="str">
        <f t="shared" si="256"/>
        <v>2.13</v>
      </c>
      <c r="AE119" s="164">
        <v>95.74</v>
      </c>
      <c r="AF119" s="164" t="str">
        <f t="shared" si="257"/>
        <v>9.60</v>
      </c>
      <c r="AG119" s="165" t="str">
        <f t="shared" ref="AG119:AG120" si="266">R119*$C$2</f>
        <v>140.00</v>
      </c>
      <c r="AH119" s="23"/>
      <c r="AI119" s="278">
        <v>0.1</v>
      </c>
      <c r="AJ119" s="24" t="str">
        <f t="shared" si="259"/>
        <v>96.94</v>
      </c>
      <c r="AK119" s="279" t="str">
        <f t="shared" si="260"/>
        <v>24.86%</v>
      </c>
      <c r="AL119" s="280">
        <v>100.0</v>
      </c>
      <c r="AM119" s="281" t="str">
        <f t="shared" si="193"/>
        <v>9,694.05</v>
      </c>
      <c r="AN119" s="280">
        <v>80.0</v>
      </c>
      <c r="AO119" s="282">
        <v>18.23</v>
      </c>
      <c r="AP119" s="283">
        <v>75.53</v>
      </c>
      <c r="AQ119" s="283" t="str">
        <f t="shared" si="194"/>
        <v>6,042.40</v>
      </c>
      <c r="AR119" s="283">
        <v>18.44</v>
      </c>
      <c r="AS119" s="284">
        <v>70.0</v>
      </c>
      <c r="AT119" s="285" t="str">
        <f t="shared" si="235"/>
        <v>6,785.83</v>
      </c>
      <c r="AU119" s="284">
        <v>63.0</v>
      </c>
      <c r="AV119" s="286">
        <v>0.0893</v>
      </c>
      <c r="AW119" s="285">
        <v>9669.57</v>
      </c>
      <c r="AX119" s="284">
        <v>39.36</v>
      </c>
      <c r="AY119" s="26"/>
      <c r="AZ119" s="171" t="str">
        <f t="shared" si="261"/>
        <v>0.00%</v>
      </c>
      <c r="BA119" s="172" t="str">
        <f t="shared" si="262"/>
        <v>0.00</v>
      </c>
      <c r="BB119" s="173" t="str">
        <f t="shared" si="263"/>
        <v>1,292.60</v>
      </c>
      <c r="BC119" s="174" t="str">
        <f t="shared" si="264"/>
        <v>917.75</v>
      </c>
    </row>
    <row r="120" ht="12.75" customHeight="1">
      <c r="A120" s="26"/>
      <c r="B120" s="190" t="s">
        <v>257</v>
      </c>
      <c r="C120" s="199">
        <v>1.69198316E8</v>
      </c>
      <c r="D120" s="152" t="s">
        <v>258</v>
      </c>
      <c r="E120" s="53" t="s">
        <v>77</v>
      </c>
      <c r="F120" s="154">
        <v>1.0</v>
      </c>
      <c r="G120" s="53"/>
      <c r="H120" s="53" t="str">
        <f t="shared" si="244"/>
        <v>0.00069</v>
      </c>
      <c r="I120" s="53" t="str">
        <f t="shared" si="245"/>
        <v>89</v>
      </c>
      <c r="J120" s="53" t="str">
        <f t="shared" si="246"/>
        <v>0</v>
      </c>
      <c r="K120" s="155" t="str">
        <f t="shared" si="247"/>
        <v>0.00</v>
      </c>
      <c r="L120" s="156" t="str">
        <f t="shared" si="248"/>
        <v>0.00 </v>
      </c>
      <c r="M120" s="132">
        <v>90.0</v>
      </c>
      <c r="N120" s="157">
        <v>260.26</v>
      </c>
      <c r="O120" s="277">
        <v>283.68</v>
      </c>
      <c r="P120" s="277">
        <v>275.88</v>
      </c>
      <c r="Q120" s="157">
        <v>260.26</v>
      </c>
      <c r="R120" s="158">
        <v>1000.0</v>
      </c>
      <c r="S120" s="159" t="str">
        <f t="shared" si="265"/>
        <v>1,000.00</v>
      </c>
      <c r="T120" s="160">
        <v>839.0</v>
      </c>
      <c r="U120" s="161">
        <v>0.26</v>
      </c>
      <c r="V120" s="162" t="str">
        <f t="shared" si="250"/>
        <v>740.00</v>
      </c>
      <c r="W120" s="163" t="str">
        <f t="shared" si="251"/>
        <v>60.00</v>
      </c>
      <c r="X120" s="164" t="str">
        <f t="shared" si="252"/>
        <v>55.33</v>
      </c>
      <c r="Y120" s="165" t="str">
        <f t="shared" si="253"/>
        <v>0.00</v>
      </c>
      <c r="Z120" s="166">
        <v>0.67</v>
      </c>
      <c r="AA120" s="167" t="str">
        <f>((_xlfn.CEILING.MATH(Z120)-1)*$C$5+$C$4)</f>
        <v>76</v>
      </c>
      <c r="AB120" s="168" t="str">
        <f t="shared" si="254"/>
        <v>325.000</v>
      </c>
      <c r="AC120" s="168" t="str">
        <f t="shared" si="255"/>
        <v>26.344</v>
      </c>
      <c r="AD120" s="164" t="str">
        <f t="shared" si="256"/>
        <v>2.04</v>
      </c>
      <c r="AE120" s="164">
        <v>95.92</v>
      </c>
      <c r="AF120" s="164" t="str">
        <f t="shared" si="257"/>
        <v>4.80</v>
      </c>
      <c r="AG120" s="165" t="str">
        <f t="shared" si="266"/>
        <v>100.00</v>
      </c>
      <c r="AH120" s="23"/>
      <c r="AI120" s="278">
        <v>0.1</v>
      </c>
      <c r="AJ120" s="24" t="str">
        <f t="shared" si="259"/>
        <v>90.23</v>
      </c>
      <c r="AK120" s="279" t="str">
        <f t="shared" si="260"/>
        <v>34.67%</v>
      </c>
      <c r="AL120" s="280"/>
      <c r="AM120" s="281" t="str">
        <f t="shared" si="193"/>
        <v>0.00</v>
      </c>
      <c r="AN120" s="280"/>
      <c r="AO120" s="282">
        <v>25.86</v>
      </c>
      <c r="AP120" s="283">
        <v>77.59</v>
      </c>
      <c r="AQ120" s="283" t="str">
        <f t="shared" si="194"/>
        <v>0.00</v>
      </c>
      <c r="AR120" s="283">
        <v>28.53</v>
      </c>
      <c r="AS120" s="284">
        <v>250.0</v>
      </c>
      <c r="AT120" s="285" t="str">
        <f t="shared" si="235"/>
        <v>22,557.22</v>
      </c>
      <c r="AU120" s="284">
        <v>147.0</v>
      </c>
      <c r="AV120" s="286">
        <v>0.1439</v>
      </c>
      <c r="AW120" s="285">
        <v>11109.71</v>
      </c>
      <c r="AX120" s="284">
        <v>29.04</v>
      </c>
      <c r="AY120" s="26"/>
      <c r="AZ120" s="171" t="str">
        <f t="shared" si="261"/>
        <v>0.00%</v>
      </c>
      <c r="BA120" s="172" t="str">
        <f t="shared" si="262"/>
        <v>0.00</v>
      </c>
      <c r="BB120" s="173" t="str">
        <f t="shared" si="263"/>
        <v>877.67</v>
      </c>
      <c r="BC120" s="174" t="str">
        <f t="shared" si="264"/>
        <v>623.14</v>
      </c>
    </row>
    <row r="121" ht="12.75" customHeight="1">
      <c r="A121" s="26"/>
      <c r="B121" s="125" t="s">
        <v>259</v>
      </c>
      <c r="C121" s="126"/>
      <c r="D121" s="127"/>
      <c r="E121" s="128"/>
      <c r="F121" s="128"/>
      <c r="G121" s="128"/>
      <c r="H121" s="197"/>
      <c r="I121" s="197"/>
      <c r="J121" s="128"/>
      <c r="K121" s="130"/>
      <c r="L121" s="131"/>
      <c r="M121" s="132"/>
      <c r="N121" s="176"/>
      <c r="O121" s="133"/>
      <c r="P121" s="133"/>
      <c r="Q121" s="176"/>
      <c r="R121" s="134"/>
      <c r="S121" s="135"/>
      <c r="T121" s="135"/>
      <c r="U121" s="136"/>
      <c r="V121" s="137"/>
      <c r="W121" s="177"/>
      <c r="X121" s="178"/>
      <c r="Y121" s="179"/>
      <c r="Z121" s="180"/>
      <c r="AA121" s="181"/>
      <c r="AB121" s="182"/>
      <c r="AC121" s="182"/>
      <c r="AD121" s="178"/>
      <c r="AE121" s="178"/>
      <c r="AF121" s="178"/>
      <c r="AG121" s="179"/>
      <c r="AH121" s="183"/>
      <c r="AI121" s="271"/>
      <c r="AJ121" s="287"/>
      <c r="AK121" s="288"/>
      <c r="AL121" s="280"/>
      <c r="AM121" s="281" t="str">
        <f t="shared" si="193"/>
        <v>0.00</v>
      </c>
      <c r="AN121" s="280"/>
      <c r="AO121" s="282"/>
      <c r="AP121" s="283"/>
      <c r="AQ121" s="283" t="str">
        <f t="shared" si="194"/>
        <v>0.00</v>
      </c>
      <c r="AR121" s="283"/>
      <c r="AS121" s="284"/>
      <c r="AT121" s="285" t="str">
        <f t="shared" si="235"/>
        <v>0.00</v>
      </c>
      <c r="AU121" s="284"/>
      <c r="AV121" s="286"/>
      <c r="AW121" s="285"/>
      <c r="AX121" s="284"/>
      <c r="AY121" s="26"/>
      <c r="AZ121" s="186"/>
      <c r="BA121" s="187"/>
      <c r="BB121" s="188"/>
      <c r="BC121" s="189"/>
    </row>
    <row r="122" ht="12.75" customHeight="1">
      <c r="A122" s="26"/>
      <c r="B122" s="190" t="s">
        <v>260</v>
      </c>
      <c r="C122" s="199">
        <v>2.07472742E8</v>
      </c>
      <c r="D122" s="152" t="s">
        <v>261</v>
      </c>
      <c r="E122" s="53" t="s">
        <v>77</v>
      </c>
      <c r="F122" s="154">
        <v>1.0</v>
      </c>
      <c r="G122" s="53"/>
      <c r="H122" s="53" t="str">
        <f t="shared" ref="H122:H135" si="267">$I$2</f>
        <v>0.00069</v>
      </c>
      <c r="I122" s="53" t="str">
        <f t="shared" ref="I122:I135" si="268">$I$3</f>
        <v>89</v>
      </c>
      <c r="J122" s="53" t="str">
        <f t="shared" ref="J122:J135" si="269">G122*H122*I122*F122</f>
        <v>0</v>
      </c>
      <c r="K122" s="155" t="str">
        <f t="shared" ref="K122:K135" si="270">J122*$J$4</f>
        <v>0.00</v>
      </c>
      <c r="L122" s="156" t="str">
        <f t="shared" ref="L122:L135" si="271">K122+J122</f>
        <v>0.00 </v>
      </c>
      <c r="M122" s="132">
        <v>90.0</v>
      </c>
      <c r="N122" s="175">
        <v>396.72</v>
      </c>
      <c r="O122" s="277">
        <v>432.42</v>
      </c>
      <c r="P122" s="277">
        <v>420.52</v>
      </c>
      <c r="Q122" s="175">
        <v>396.72</v>
      </c>
      <c r="R122" s="158">
        <v>1250.0</v>
      </c>
      <c r="S122" s="159" t="str">
        <f t="shared" ref="S122:S127" si="272">R122</f>
        <v>1,250.00</v>
      </c>
      <c r="T122" s="160">
        <v>784.0</v>
      </c>
      <c r="U122" s="161">
        <v>0.26</v>
      </c>
      <c r="V122" s="162" t="str">
        <f t="shared" ref="V122:V135" si="273">R122-(R122*U122)</f>
        <v>925.00</v>
      </c>
      <c r="W122" s="163" t="str">
        <f t="shared" ref="W122:W135" si="274">$C$1</f>
        <v>60.00</v>
      </c>
      <c r="X122" s="164" t="str">
        <f t="shared" ref="X122:X135" si="275">(V122*7/107)+((V122-(V122*7/107))*1%)</f>
        <v>69.16</v>
      </c>
      <c r="Y122" s="165" t="str">
        <f t="shared" ref="Y122:Y135" si="276">Q122*$C$3*(M122/30)</f>
        <v>0.00</v>
      </c>
      <c r="Z122" s="166">
        <v>1.26</v>
      </c>
      <c r="AA122" s="167" t="str">
        <f>((_xlfn.CEILING.MATH(Z122)-1)*$C$5+$C$4)</f>
        <v>95</v>
      </c>
      <c r="AB122" s="168" t="str">
        <f t="shared" ref="AB122:AB135" si="277">R122*$AB$6</f>
        <v>406.250</v>
      </c>
      <c r="AC122" s="168" t="str">
        <f t="shared" ref="AC122:AC135" si="278">V122*$AB$7</f>
        <v>32.930</v>
      </c>
      <c r="AD122" s="164" t="str">
        <f t="shared" ref="AD122:AD135" si="279">$AB$3*((100-AE122)/100)</f>
        <v>0.84</v>
      </c>
      <c r="AE122" s="164">
        <v>98.33</v>
      </c>
      <c r="AF122" s="164" t="str">
        <f t="shared" ref="AF122:AF135" si="280">$C$6*$C$7*_xlfn.CEILING.MATH(Z122)</f>
        <v>9.60</v>
      </c>
      <c r="AG122" s="165">
        <v>87.5</v>
      </c>
      <c r="AH122" s="23"/>
      <c r="AI122" s="292">
        <v>0.07</v>
      </c>
      <c r="AJ122" s="24" t="str">
        <f t="shared" ref="AJ122:AJ135" si="281">R122-W122-X122-Y122-AA122-AB122-AC122-AD122-AF122-AG122-Q122</f>
        <v>92.01</v>
      </c>
      <c r="AK122" s="279" t="str">
        <f t="shared" ref="AK122:AK135" si="282">AJ122/Q122</f>
        <v>23.19%</v>
      </c>
      <c r="AL122" s="280">
        <v>1500.0</v>
      </c>
      <c r="AM122" s="281" t="str">
        <f t="shared" si="193"/>
        <v>138,009.18</v>
      </c>
      <c r="AN122" s="280">
        <v>1504.0</v>
      </c>
      <c r="AO122" s="293" t="s">
        <v>678</v>
      </c>
      <c r="AP122" s="283">
        <v>107.16</v>
      </c>
      <c r="AQ122" s="283" t="str">
        <f t="shared" si="194"/>
        <v>161,168.64</v>
      </c>
      <c r="AR122" s="283">
        <v>25.74</v>
      </c>
      <c r="AS122" s="284">
        <v>1250.0</v>
      </c>
      <c r="AT122" s="285" t="str">
        <f t="shared" si="235"/>
        <v>115,007.65</v>
      </c>
      <c r="AU122" s="284">
        <v>999.0</v>
      </c>
      <c r="AV122" s="286">
        <v>0.0752</v>
      </c>
      <c r="AW122" s="285">
        <v>131690.85</v>
      </c>
      <c r="AX122" s="284">
        <v>33.23</v>
      </c>
      <c r="AY122" s="26"/>
      <c r="AZ122" s="171" t="str">
        <f t="shared" ref="AZ122:AZ135" si="283">$AG$3</f>
        <v>0.00%</v>
      </c>
      <c r="BA122" s="172" t="str">
        <f t="shared" ref="BA122:BA135" si="284">Q122*AZ122</f>
        <v>0.00</v>
      </c>
      <c r="BB122" s="173" t="str">
        <f t="shared" ref="BB122:BB135" si="285">(Q122+W122+Y122+AA122+AD122+AF122+AI122+BA122)/(100%-($C$2+$C$8+$AB$6+$AB$7))</f>
        <v>1,223.82</v>
      </c>
      <c r="BC122" s="174" t="str">
        <f t="shared" ref="BC122:BC135" si="286">BB122-(BB122*$AG$1)</f>
        <v>868.92</v>
      </c>
    </row>
    <row r="123" ht="12.75" customHeight="1">
      <c r="A123" s="26"/>
      <c r="B123" s="190" t="s">
        <v>262</v>
      </c>
      <c r="C123" s="199">
        <v>1.68956391E8</v>
      </c>
      <c r="D123" s="152" t="s">
        <v>263</v>
      </c>
      <c r="E123" s="53" t="s">
        <v>77</v>
      </c>
      <c r="F123" s="154">
        <v>1.0</v>
      </c>
      <c r="G123" s="53"/>
      <c r="H123" s="53" t="str">
        <f t="shared" si="267"/>
        <v>0.00069</v>
      </c>
      <c r="I123" s="53" t="str">
        <f t="shared" si="268"/>
        <v>89</v>
      </c>
      <c r="J123" s="53" t="str">
        <f t="shared" si="269"/>
        <v>0</v>
      </c>
      <c r="K123" s="155" t="str">
        <f t="shared" si="270"/>
        <v>0.00</v>
      </c>
      <c r="L123" s="156" t="str">
        <f t="shared" si="271"/>
        <v>0.00 </v>
      </c>
      <c r="M123" s="132">
        <v>90.0</v>
      </c>
      <c r="N123" s="157">
        <v>347.76</v>
      </c>
      <c r="O123" s="277">
        <v>379.06</v>
      </c>
      <c r="P123" s="277">
        <v>368.63</v>
      </c>
      <c r="Q123" s="157">
        <v>347.76</v>
      </c>
      <c r="R123" s="158">
        <v>1200.0</v>
      </c>
      <c r="S123" s="159" t="str">
        <f t="shared" si="272"/>
        <v>1,200.00</v>
      </c>
      <c r="T123" s="160"/>
      <c r="U123" s="161">
        <v>0.26</v>
      </c>
      <c r="V123" s="162" t="str">
        <f t="shared" si="273"/>
        <v>888.00</v>
      </c>
      <c r="W123" s="163" t="str">
        <f t="shared" si="274"/>
        <v>60.00</v>
      </c>
      <c r="X123" s="164" t="str">
        <f t="shared" si="275"/>
        <v>66.39</v>
      </c>
      <c r="Y123" s="165" t="str">
        <f t="shared" si="276"/>
        <v>0.00</v>
      </c>
      <c r="Z123" s="166">
        <v>0.83</v>
      </c>
      <c r="AA123" s="167">
        <v>86.0</v>
      </c>
      <c r="AB123" s="168" t="str">
        <f t="shared" si="277"/>
        <v>390.000</v>
      </c>
      <c r="AC123" s="168" t="str">
        <f t="shared" si="278"/>
        <v>31.613</v>
      </c>
      <c r="AD123" s="164" t="str">
        <f t="shared" si="279"/>
        <v>3.14</v>
      </c>
      <c r="AE123" s="164">
        <v>93.72</v>
      </c>
      <c r="AF123" s="164" t="str">
        <f t="shared" si="280"/>
        <v>4.80</v>
      </c>
      <c r="AG123" s="165">
        <v>72.0</v>
      </c>
      <c r="AH123" s="23"/>
      <c r="AI123" s="292">
        <v>0.06</v>
      </c>
      <c r="AJ123" s="24" t="str">
        <f t="shared" si="281"/>
        <v>138.29</v>
      </c>
      <c r="AK123" s="279" t="str">
        <f t="shared" si="282"/>
        <v>39.77%</v>
      </c>
      <c r="AL123" s="280">
        <v>2100.0</v>
      </c>
      <c r="AM123" s="281" t="str">
        <f t="shared" si="193"/>
        <v>290,418.82</v>
      </c>
      <c r="AN123" s="280">
        <v>2040.0</v>
      </c>
      <c r="AO123" s="293" t="s">
        <v>679</v>
      </c>
      <c r="AP123" s="283">
        <v>213.52</v>
      </c>
      <c r="AQ123" s="283" t="str">
        <f t="shared" si="194"/>
        <v>435,580.80</v>
      </c>
      <c r="AR123" s="283">
        <v>61.04</v>
      </c>
      <c r="AS123" s="284">
        <v>1700.0</v>
      </c>
      <c r="AT123" s="285" t="str">
        <f t="shared" si="235"/>
        <v>235,100.95</v>
      </c>
      <c r="AU123" s="284">
        <v>1852.0</v>
      </c>
      <c r="AV123" s="286">
        <v>0.0304</v>
      </c>
      <c r="AW123" s="285">
        <v>423517.01</v>
      </c>
      <c r="AX123" s="284">
        <v>65.76</v>
      </c>
      <c r="AY123" s="26"/>
      <c r="AZ123" s="171" t="str">
        <f t="shared" si="283"/>
        <v>0.00%</v>
      </c>
      <c r="BA123" s="172" t="str">
        <f t="shared" si="284"/>
        <v>0.00</v>
      </c>
      <c r="BB123" s="173" t="str">
        <f t="shared" si="285"/>
        <v>1,092.21</v>
      </c>
      <c r="BC123" s="174" t="str">
        <f t="shared" si="286"/>
        <v>775.47</v>
      </c>
    </row>
    <row r="124" ht="12.75" customHeight="1">
      <c r="A124" s="26"/>
      <c r="B124" s="190"/>
      <c r="C124" s="199">
        <v>4.19630142E8</v>
      </c>
      <c r="D124" s="152" t="s">
        <v>264</v>
      </c>
      <c r="E124" s="53" t="s">
        <v>77</v>
      </c>
      <c r="F124" s="154">
        <v>1.0</v>
      </c>
      <c r="G124" s="53"/>
      <c r="H124" s="53" t="str">
        <f t="shared" si="267"/>
        <v>0.00069</v>
      </c>
      <c r="I124" s="53" t="str">
        <f t="shared" si="268"/>
        <v>89</v>
      </c>
      <c r="J124" s="53" t="str">
        <f t="shared" si="269"/>
        <v>0</v>
      </c>
      <c r="K124" s="155" t="str">
        <f t="shared" si="270"/>
        <v>0.00</v>
      </c>
      <c r="L124" s="156" t="str">
        <f t="shared" si="271"/>
        <v>0.00 </v>
      </c>
      <c r="M124" s="132">
        <v>90.0</v>
      </c>
      <c r="N124" s="175">
        <v>390.46</v>
      </c>
      <c r="O124" s="277">
        <v>425.6</v>
      </c>
      <c r="P124" s="277">
        <v>413.89</v>
      </c>
      <c r="Q124" s="175">
        <v>390.46</v>
      </c>
      <c r="R124" s="158">
        <v>1200.0</v>
      </c>
      <c r="S124" s="159" t="str">
        <f t="shared" si="272"/>
        <v>1,200.00</v>
      </c>
      <c r="T124" s="160">
        <v>905.0</v>
      </c>
      <c r="U124" s="161">
        <v>0.26</v>
      </c>
      <c r="V124" s="162" t="str">
        <f t="shared" si="273"/>
        <v>888.00</v>
      </c>
      <c r="W124" s="163" t="str">
        <f t="shared" si="274"/>
        <v>60.00</v>
      </c>
      <c r="X124" s="164" t="str">
        <f t="shared" si="275"/>
        <v>66.39</v>
      </c>
      <c r="Y124" s="165" t="str">
        <f t="shared" si="276"/>
        <v>0.00</v>
      </c>
      <c r="Z124" s="166">
        <v>0.83</v>
      </c>
      <c r="AA124" s="167">
        <v>86.0</v>
      </c>
      <c r="AB124" s="168" t="str">
        <f t="shared" si="277"/>
        <v>390.000</v>
      </c>
      <c r="AC124" s="168" t="str">
        <f t="shared" si="278"/>
        <v>31.613</v>
      </c>
      <c r="AD124" s="164" t="str">
        <f t="shared" si="279"/>
        <v>3.14</v>
      </c>
      <c r="AE124" s="164">
        <v>93.72</v>
      </c>
      <c r="AF124" s="164" t="str">
        <f t="shared" si="280"/>
        <v>4.80</v>
      </c>
      <c r="AG124" s="165" t="str">
        <f t="shared" ref="AG124:AG128" si="287">R124*$C$2</f>
        <v>120.00</v>
      </c>
      <c r="AH124" s="23"/>
      <c r="AI124" s="278">
        <v>0.1</v>
      </c>
      <c r="AJ124" s="24" t="str">
        <f t="shared" si="281"/>
        <v>47.59</v>
      </c>
      <c r="AK124" s="279" t="str">
        <f t="shared" si="282"/>
        <v>12.19%</v>
      </c>
      <c r="AL124" s="280">
        <v>200.0</v>
      </c>
      <c r="AM124" s="281" t="str">
        <f t="shared" si="193"/>
        <v>9,518.94</v>
      </c>
      <c r="AN124" s="280">
        <v>298.0</v>
      </c>
      <c r="AO124" s="282">
        <v>13.87</v>
      </c>
      <c r="AP124" s="283">
        <v>69.39</v>
      </c>
      <c r="AQ124" s="283" t="str">
        <f t="shared" si="194"/>
        <v>20,678.22</v>
      </c>
      <c r="AR124" s="283">
        <v>16.97</v>
      </c>
      <c r="AS124" s="284">
        <v>200.0</v>
      </c>
      <c r="AT124" s="285" t="str">
        <f t="shared" si="235"/>
        <v>9,518.94</v>
      </c>
      <c r="AU124" s="284">
        <v>219.0</v>
      </c>
      <c r="AV124" s="286">
        <v>0.0604</v>
      </c>
      <c r="AW124" s="285">
        <v>31381.49</v>
      </c>
      <c r="AX124" s="284">
        <v>36.7</v>
      </c>
      <c r="AY124" s="26"/>
      <c r="AZ124" s="171" t="str">
        <f t="shared" si="283"/>
        <v>0.00%</v>
      </c>
      <c r="BA124" s="172" t="str">
        <f t="shared" si="284"/>
        <v>0.00</v>
      </c>
      <c r="BB124" s="173" t="str">
        <f t="shared" si="285"/>
        <v>1,185.24</v>
      </c>
      <c r="BC124" s="174" t="str">
        <f t="shared" si="286"/>
        <v>841.52</v>
      </c>
    </row>
    <row r="125" ht="12.75" customHeight="1">
      <c r="A125" s="26"/>
      <c r="B125" s="190" t="s">
        <v>265</v>
      </c>
      <c r="C125" s="199">
        <v>2.07476777E8</v>
      </c>
      <c r="D125" s="152" t="s">
        <v>266</v>
      </c>
      <c r="E125" s="53" t="s">
        <v>77</v>
      </c>
      <c r="F125" s="154">
        <v>1.0</v>
      </c>
      <c r="G125" s="53"/>
      <c r="H125" s="53" t="str">
        <f t="shared" si="267"/>
        <v>0.00069</v>
      </c>
      <c r="I125" s="53" t="str">
        <f t="shared" si="268"/>
        <v>89</v>
      </c>
      <c r="J125" s="53" t="str">
        <f t="shared" si="269"/>
        <v>0</v>
      </c>
      <c r="K125" s="155" t="str">
        <f t="shared" si="270"/>
        <v>0.00</v>
      </c>
      <c r="L125" s="156" t="str">
        <f t="shared" si="271"/>
        <v>0.00 </v>
      </c>
      <c r="M125" s="132">
        <v>90.0</v>
      </c>
      <c r="N125" s="157">
        <v>161.47</v>
      </c>
      <c r="O125" s="277">
        <v>176.0</v>
      </c>
      <c r="P125" s="277">
        <v>171.16</v>
      </c>
      <c r="Q125" s="157">
        <v>161.47</v>
      </c>
      <c r="R125" s="158">
        <v>700.0</v>
      </c>
      <c r="S125" s="159" t="str">
        <f t="shared" si="272"/>
        <v>700.00</v>
      </c>
      <c r="T125" s="160">
        <v>503.0</v>
      </c>
      <c r="U125" s="161">
        <v>0.26</v>
      </c>
      <c r="V125" s="162" t="str">
        <f t="shared" si="273"/>
        <v>518.00</v>
      </c>
      <c r="W125" s="163" t="str">
        <f t="shared" si="274"/>
        <v>60.00</v>
      </c>
      <c r="X125" s="164" t="str">
        <f t="shared" si="275"/>
        <v>38.73</v>
      </c>
      <c r="Y125" s="165" t="str">
        <f t="shared" si="276"/>
        <v>0.00</v>
      </c>
      <c r="Z125" s="166">
        <v>0.57</v>
      </c>
      <c r="AA125" s="167" t="str">
        <f t="shared" ref="AA125:AA128" si="288">((_xlfn.CEILING.MATH(Z125)-1)*$C$5+$C$4)</f>
        <v>76</v>
      </c>
      <c r="AB125" s="168" t="str">
        <f t="shared" si="277"/>
        <v>227.500</v>
      </c>
      <c r="AC125" s="168" t="str">
        <f t="shared" si="278"/>
        <v>18.441</v>
      </c>
      <c r="AD125" s="164" t="str">
        <f t="shared" si="279"/>
        <v>0.98</v>
      </c>
      <c r="AE125" s="164">
        <v>98.04</v>
      </c>
      <c r="AF125" s="164" t="str">
        <f t="shared" si="280"/>
        <v>4.80</v>
      </c>
      <c r="AG125" s="165" t="str">
        <f t="shared" si="287"/>
        <v>70.00</v>
      </c>
      <c r="AH125" s="23"/>
      <c r="AI125" s="278">
        <v>0.1</v>
      </c>
      <c r="AJ125" s="24" t="str">
        <f t="shared" si="281"/>
        <v>42.08</v>
      </c>
      <c r="AK125" s="279" t="str">
        <f t="shared" si="282"/>
        <v>26.06%</v>
      </c>
      <c r="AL125" s="280">
        <v>120.0</v>
      </c>
      <c r="AM125" s="281" t="str">
        <f t="shared" si="193"/>
        <v>5,049.63</v>
      </c>
      <c r="AN125" s="280">
        <v>62.0</v>
      </c>
      <c r="AO125" s="282">
        <v>18.63</v>
      </c>
      <c r="AP125" s="283">
        <v>111.21</v>
      </c>
      <c r="AQ125" s="283" t="str">
        <f t="shared" si="194"/>
        <v>6,895.02</v>
      </c>
      <c r="AR125" s="283">
        <v>65.77</v>
      </c>
      <c r="AS125" s="284">
        <v>100.0</v>
      </c>
      <c r="AT125" s="285" t="str">
        <f t="shared" si="235"/>
        <v>4,208.02</v>
      </c>
      <c r="AU125" s="284">
        <v>46.0</v>
      </c>
      <c r="AV125" s="286">
        <v>0.0</v>
      </c>
      <c r="AW125" s="285">
        <v>5977.0</v>
      </c>
      <c r="AX125" s="284">
        <v>80.47</v>
      </c>
      <c r="AY125" s="26"/>
      <c r="AZ125" s="171" t="str">
        <f t="shared" si="283"/>
        <v>0.00%</v>
      </c>
      <c r="BA125" s="172" t="str">
        <f t="shared" si="284"/>
        <v>0.00</v>
      </c>
      <c r="BB125" s="173" t="str">
        <f t="shared" si="285"/>
        <v>660.32</v>
      </c>
      <c r="BC125" s="174" t="str">
        <f t="shared" si="286"/>
        <v>468.83</v>
      </c>
    </row>
    <row r="126" ht="12.75" customHeight="1">
      <c r="A126" s="26"/>
      <c r="B126" s="190" t="s">
        <v>267</v>
      </c>
      <c r="C126" s="199">
        <v>2.07477077E8</v>
      </c>
      <c r="D126" s="152" t="s">
        <v>268</v>
      </c>
      <c r="E126" s="53" t="s">
        <v>77</v>
      </c>
      <c r="F126" s="154">
        <v>1.0</v>
      </c>
      <c r="G126" s="53"/>
      <c r="H126" s="53" t="str">
        <f t="shared" si="267"/>
        <v>0.00069</v>
      </c>
      <c r="I126" s="53" t="str">
        <f t="shared" si="268"/>
        <v>89</v>
      </c>
      <c r="J126" s="53" t="str">
        <f t="shared" si="269"/>
        <v>0</v>
      </c>
      <c r="K126" s="155" t="str">
        <f t="shared" si="270"/>
        <v>0.00</v>
      </c>
      <c r="L126" s="156" t="str">
        <f t="shared" si="271"/>
        <v>0.00 </v>
      </c>
      <c r="M126" s="132">
        <v>90.0</v>
      </c>
      <c r="N126" s="157">
        <v>484.42</v>
      </c>
      <c r="O126" s="277">
        <v>528.02</v>
      </c>
      <c r="P126" s="277">
        <v>513.49</v>
      </c>
      <c r="Q126" s="157">
        <v>484.42</v>
      </c>
      <c r="R126" s="158">
        <v>1500.0</v>
      </c>
      <c r="S126" s="159" t="str">
        <f t="shared" si="272"/>
        <v>1,500.00</v>
      </c>
      <c r="T126" s="160">
        <v>391.0</v>
      </c>
      <c r="U126" s="161">
        <v>0.26</v>
      </c>
      <c r="V126" s="162" t="str">
        <f t="shared" si="273"/>
        <v>1,110.00</v>
      </c>
      <c r="W126" s="163" t="str">
        <f t="shared" si="274"/>
        <v>60.00</v>
      </c>
      <c r="X126" s="164" t="str">
        <f t="shared" si="275"/>
        <v>82.99</v>
      </c>
      <c r="Y126" s="165" t="str">
        <f t="shared" si="276"/>
        <v>0.00</v>
      </c>
      <c r="Z126" s="166">
        <v>0.57</v>
      </c>
      <c r="AA126" s="167" t="str">
        <f t="shared" si="288"/>
        <v>76</v>
      </c>
      <c r="AB126" s="168" t="str">
        <f t="shared" si="277"/>
        <v>487.500</v>
      </c>
      <c r="AC126" s="168" t="str">
        <f t="shared" si="278"/>
        <v>39.516</v>
      </c>
      <c r="AD126" s="164" t="str">
        <f t="shared" si="279"/>
        <v>1.62</v>
      </c>
      <c r="AE126" s="164">
        <v>96.77</v>
      </c>
      <c r="AF126" s="164" t="str">
        <f t="shared" si="280"/>
        <v>4.80</v>
      </c>
      <c r="AG126" s="165" t="str">
        <f t="shared" si="287"/>
        <v>150.00</v>
      </c>
      <c r="AH126" s="23"/>
      <c r="AI126" s="278">
        <v>0.1</v>
      </c>
      <c r="AJ126" s="24" t="str">
        <f t="shared" si="281"/>
        <v>113.16</v>
      </c>
      <c r="AK126" s="279" t="str">
        <f t="shared" si="282"/>
        <v>23.36%</v>
      </c>
      <c r="AL126" s="280">
        <v>130.0</v>
      </c>
      <c r="AM126" s="281" t="str">
        <f t="shared" si="193"/>
        <v>14,710.58</v>
      </c>
      <c r="AN126" s="280">
        <v>194.0</v>
      </c>
      <c r="AO126" s="282">
        <v>5.93</v>
      </c>
      <c r="AP126" s="283">
        <v>280.98</v>
      </c>
      <c r="AQ126" s="283" t="str">
        <f t="shared" si="194"/>
        <v>54,510.12</v>
      </c>
      <c r="AR126" s="283">
        <v>55.21</v>
      </c>
      <c r="AS126" s="284">
        <v>100.0</v>
      </c>
      <c r="AT126" s="285" t="str">
        <f t="shared" si="235"/>
        <v>11,315.83</v>
      </c>
      <c r="AU126" s="284">
        <v>193.0</v>
      </c>
      <c r="AV126" s="286">
        <v>0.0602</v>
      </c>
      <c r="AW126" s="285">
        <v>39848.9</v>
      </c>
      <c r="AX126" s="284">
        <v>41.97</v>
      </c>
      <c r="AY126" s="26"/>
      <c r="AZ126" s="171" t="str">
        <f t="shared" si="283"/>
        <v>0.00%</v>
      </c>
      <c r="BA126" s="172" t="str">
        <f t="shared" si="284"/>
        <v>0.00</v>
      </c>
      <c r="BB126" s="173" t="str">
        <f t="shared" si="285"/>
        <v>1,364.68</v>
      </c>
      <c r="BC126" s="174" t="str">
        <f t="shared" si="286"/>
        <v>968.92</v>
      </c>
    </row>
    <row r="127" ht="12.75" customHeight="1">
      <c r="A127" s="26"/>
      <c r="B127" s="190" t="s">
        <v>269</v>
      </c>
      <c r="C127" s="199">
        <v>2.12885914E8</v>
      </c>
      <c r="D127" s="152" t="s">
        <v>270</v>
      </c>
      <c r="E127" s="53" t="s">
        <v>77</v>
      </c>
      <c r="F127" s="154">
        <v>1.0</v>
      </c>
      <c r="G127" s="53"/>
      <c r="H127" s="53" t="str">
        <f t="shared" si="267"/>
        <v>0.00069</v>
      </c>
      <c r="I127" s="53" t="str">
        <f t="shared" si="268"/>
        <v>89</v>
      </c>
      <c r="J127" s="53" t="str">
        <f t="shared" si="269"/>
        <v>0</v>
      </c>
      <c r="K127" s="155" t="str">
        <f t="shared" si="270"/>
        <v>0.00</v>
      </c>
      <c r="L127" s="156" t="str">
        <f t="shared" si="271"/>
        <v>0.00 </v>
      </c>
      <c r="M127" s="132">
        <v>90.0</v>
      </c>
      <c r="N127" s="157">
        <v>231.73</v>
      </c>
      <c r="O127" s="277">
        <v>252.59</v>
      </c>
      <c r="P127" s="277">
        <v>245.63</v>
      </c>
      <c r="Q127" s="157">
        <v>231.73</v>
      </c>
      <c r="R127" s="158">
        <v>900.0</v>
      </c>
      <c r="S127" s="159" t="str">
        <f t="shared" si="272"/>
        <v>900.00</v>
      </c>
      <c r="T127" s="160">
        <v>712.0</v>
      </c>
      <c r="U127" s="161">
        <v>0.26</v>
      </c>
      <c r="V127" s="162" t="str">
        <f t="shared" si="273"/>
        <v>666.00</v>
      </c>
      <c r="W127" s="163" t="str">
        <f t="shared" si="274"/>
        <v>60.00</v>
      </c>
      <c r="X127" s="164" t="str">
        <f t="shared" si="275"/>
        <v>49.79</v>
      </c>
      <c r="Y127" s="165" t="str">
        <f t="shared" si="276"/>
        <v>0.00</v>
      </c>
      <c r="Z127" s="166">
        <v>0.22</v>
      </c>
      <c r="AA127" s="167" t="str">
        <f t="shared" si="288"/>
        <v>76</v>
      </c>
      <c r="AB127" s="168" t="str">
        <f t="shared" si="277"/>
        <v>292.500</v>
      </c>
      <c r="AC127" s="168" t="str">
        <f t="shared" si="278"/>
        <v>23.710</v>
      </c>
      <c r="AD127" s="164" t="str">
        <f t="shared" si="279"/>
        <v>1.02</v>
      </c>
      <c r="AE127" s="164">
        <v>97.96</v>
      </c>
      <c r="AF127" s="164" t="str">
        <f t="shared" si="280"/>
        <v>4.80</v>
      </c>
      <c r="AG127" s="165" t="str">
        <f t="shared" si="287"/>
        <v>90.00</v>
      </c>
      <c r="AH127" s="23"/>
      <c r="AI127" s="278">
        <v>0.1</v>
      </c>
      <c r="AJ127" s="24" t="str">
        <f t="shared" si="281"/>
        <v>70.45</v>
      </c>
      <c r="AK127" s="279" t="str">
        <f t="shared" si="282"/>
        <v>30.40%</v>
      </c>
      <c r="AL127" s="280">
        <v>125.0</v>
      </c>
      <c r="AM127" s="281" t="str">
        <f t="shared" si="193"/>
        <v>8,805.75</v>
      </c>
      <c r="AN127" s="280">
        <v>2.0</v>
      </c>
      <c r="AO127" s="282"/>
      <c r="AP127" s="283">
        <v>-1121.15</v>
      </c>
      <c r="AQ127" s="283" t="str">
        <f t="shared" si="194"/>
        <v>-2,242.30</v>
      </c>
      <c r="AR127" s="283">
        <v>-483.82</v>
      </c>
      <c r="AS127" s="284">
        <v>125.0</v>
      </c>
      <c r="AT127" s="285" t="str">
        <f t="shared" si="235"/>
        <v>8,805.75</v>
      </c>
      <c r="AU127" s="284">
        <v>77.0</v>
      </c>
      <c r="AV127" s="286">
        <v>0.0091</v>
      </c>
      <c r="AW127" s="285">
        <v>12859.8</v>
      </c>
      <c r="AX127" s="284">
        <v>77.68</v>
      </c>
      <c r="AY127" s="26"/>
      <c r="AZ127" s="171" t="str">
        <f t="shared" si="283"/>
        <v>0.00%</v>
      </c>
      <c r="BA127" s="172" t="str">
        <f t="shared" si="284"/>
        <v>0.00</v>
      </c>
      <c r="BB127" s="173" t="str">
        <f t="shared" si="285"/>
        <v>813.34</v>
      </c>
      <c r="BC127" s="174" t="str">
        <f t="shared" si="286"/>
        <v>577.47</v>
      </c>
    </row>
    <row r="128" ht="12.75" customHeight="1">
      <c r="A128" s="26"/>
      <c r="B128" s="190" t="s">
        <v>271</v>
      </c>
      <c r="C128" s="199">
        <v>2.07475898E8</v>
      </c>
      <c r="D128" s="152" t="s">
        <v>272</v>
      </c>
      <c r="E128" s="53" t="s">
        <v>77</v>
      </c>
      <c r="F128" s="154">
        <v>1.0</v>
      </c>
      <c r="G128" s="53"/>
      <c r="H128" s="53" t="str">
        <f t="shared" si="267"/>
        <v>0.00069</v>
      </c>
      <c r="I128" s="53" t="str">
        <f t="shared" si="268"/>
        <v>89</v>
      </c>
      <c r="J128" s="53" t="str">
        <f t="shared" si="269"/>
        <v>0</v>
      </c>
      <c r="K128" s="155" t="str">
        <f t="shared" si="270"/>
        <v>0.00</v>
      </c>
      <c r="L128" s="156" t="str">
        <f t="shared" si="271"/>
        <v>0.00 </v>
      </c>
      <c r="M128" s="132">
        <v>90.0</v>
      </c>
      <c r="N128" s="175">
        <v>396.72</v>
      </c>
      <c r="O128" s="277">
        <v>432.42</v>
      </c>
      <c r="P128" s="277">
        <v>420.52</v>
      </c>
      <c r="Q128" s="175">
        <v>396.72</v>
      </c>
      <c r="R128" s="158">
        <v>1110.0</v>
      </c>
      <c r="S128" s="159">
        <v>810.0</v>
      </c>
      <c r="T128" s="160">
        <v>670.0</v>
      </c>
      <c r="U128" s="161">
        <v>0.26</v>
      </c>
      <c r="V128" s="162" t="str">
        <f t="shared" si="273"/>
        <v>821.40</v>
      </c>
      <c r="W128" s="163" t="str">
        <f t="shared" si="274"/>
        <v>60.00</v>
      </c>
      <c r="X128" s="164" t="str">
        <f t="shared" si="275"/>
        <v>61.41</v>
      </c>
      <c r="Y128" s="165" t="str">
        <f t="shared" si="276"/>
        <v>0.00</v>
      </c>
      <c r="Z128" s="166">
        <v>1.26</v>
      </c>
      <c r="AA128" s="167" t="str">
        <f t="shared" si="288"/>
        <v>95</v>
      </c>
      <c r="AB128" s="168" t="str">
        <f t="shared" si="277"/>
        <v>360.750</v>
      </c>
      <c r="AC128" s="168" t="str">
        <f t="shared" si="278"/>
        <v>29.242</v>
      </c>
      <c r="AD128" s="164" t="str">
        <f t="shared" si="279"/>
        <v>0.00</v>
      </c>
      <c r="AE128" s="164">
        <v>100.0</v>
      </c>
      <c r="AF128" s="164" t="str">
        <f t="shared" si="280"/>
        <v>9.60</v>
      </c>
      <c r="AG128" s="165" t="str">
        <f t="shared" si="287"/>
        <v>111.00</v>
      </c>
      <c r="AH128" s="23"/>
      <c r="AI128" s="278">
        <v>0.1</v>
      </c>
      <c r="AJ128" s="24" t="str">
        <f t="shared" si="281"/>
        <v>-13.72</v>
      </c>
      <c r="AK128" s="279" t="str">
        <f t="shared" si="282"/>
        <v>-3.46%</v>
      </c>
      <c r="AL128" s="280">
        <v>400.0</v>
      </c>
      <c r="AM128" s="281" t="str">
        <f t="shared" si="193"/>
        <v>-5,489.97</v>
      </c>
      <c r="AN128" s="280">
        <v>315.0</v>
      </c>
      <c r="AO128" s="282">
        <v>11.7</v>
      </c>
      <c r="AP128" s="283">
        <v>79.6</v>
      </c>
      <c r="AQ128" s="283" t="str">
        <f t="shared" si="194"/>
        <v>25,074.00</v>
      </c>
      <c r="AR128" s="283">
        <v>19.16</v>
      </c>
      <c r="AS128" s="284">
        <v>400.0</v>
      </c>
      <c r="AT128" s="285" t="str">
        <f t="shared" si="235"/>
        <v>-5,489.97</v>
      </c>
      <c r="AU128" s="284">
        <v>349.0</v>
      </c>
      <c r="AV128" s="286">
        <v>0.0338</v>
      </c>
      <c r="AW128" s="285">
        <v>50224.68</v>
      </c>
      <c r="AX128" s="284">
        <v>36.28</v>
      </c>
      <c r="AY128" s="26"/>
      <c r="AZ128" s="171" t="str">
        <f t="shared" si="283"/>
        <v>0.00%</v>
      </c>
      <c r="BA128" s="172" t="str">
        <f t="shared" si="284"/>
        <v>0.00</v>
      </c>
      <c r="BB128" s="173" t="str">
        <f t="shared" si="285"/>
        <v>1,222.07</v>
      </c>
      <c r="BC128" s="174" t="str">
        <f t="shared" si="286"/>
        <v>867.67</v>
      </c>
    </row>
    <row r="129" ht="12.75" customHeight="1">
      <c r="A129" s="26"/>
      <c r="B129" s="190" t="s">
        <v>273</v>
      </c>
      <c r="C129" s="199">
        <v>1.6907615E8</v>
      </c>
      <c r="D129" s="152" t="s">
        <v>274</v>
      </c>
      <c r="E129" s="53" t="s">
        <v>77</v>
      </c>
      <c r="F129" s="154">
        <v>1.0</v>
      </c>
      <c r="G129" s="53"/>
      <c r="H129" s="53" t="str">
        <f t="shared" si="267"/>
        <v>0.00069</v>
      </c>
      <c r="I129" s="53" t="str">
        <f t="shared" si="268"/>
        <v>89</v>
      </c>
      <c r="J129" s="53" t="str">
        <f t="shared" si="269"/>
        <v>0</v>
      </c>
      <c r="K129" s="155" t="str">
        <f t="shared" si="270"/>
        <v>0.00</v>
      </c>
      <c r="L129" s="156" t="str">
        <f t="shared" si="271"/>
        <v>0.00 </v>
      </c>
      <c r="M129" s="132">
        <v>90.0</v>
      </c>
      <c r="N129" s="175">
        <v>313.84</v>
      </c>
      <c r="O129" s="277">
        <v>342.09</v>
      </c>
      <c r="P129" s="277">
        <v>332.67</v>
      </c>
      <c r="Q129" s="175">
        <v>313.84</v>
      </c>
      <c r="R129" s="158">
        <v>1012.1</v>
      </c>
      <c r="S129" s="159" t="str">
        <f t="shared" ref="S129:S130" si="289">R129</f>
        <v>1,012.10</v>
      </c>
      <c r="T129" s="160">
        <v>884.0</v>
      </c>
      <c r="U129" s="161">
        <v>0.26</v>
      </c>
      <c r="V129" s="162" t="str">
        <f t="shared" si="273"/>
        <v>748.95</v>
      </c>
      <c r="W129" s="163" t="str">
        <f t="shared" si="274"/>
        <v>60.00</v>
      </c>
      <c r="X129" s="164" t="str">
        <f t="shared" si="275"/>
        <v>56.00</v>
      </c>
      <c r="Y129" s="165" t="str">
        <f t="shared" si="276"/>
        <v>0.00</v>
      </c>
      <c r="Z129" s="166">
        <v>0.57</v>
      </c>
      <c r="AA129" s="167">
        <v>79.0</v>
      </c>
      <c r="AB129" s="168" t="str">
        <f t="shared" si="277"/>
        <v>328.933</v>
      </c>
      <c r="AC129" s="168" t="str">
        <f t="shared" si="278"/>
        <v>26.663</v>
      </c>
      <c r="AD129" s="164" t="str">
        <f t="shared" si="279"/>
        <v>1.39</v>
      </c>
      <c r="AE129" s="164">
        <v>97.22</v>
      </c>
      <c r="AF129" s="164" t="str">
        <f t="shared" si="280"/>
        <v>4.80</v>
      </c>
      <c r="AG129" s="165">
        <v>131.56</v>
      </c>
      <c r="AH129" s="23"/>
      <c r="AI129" s="292">
        <v>0.13</v>
      </c>
      <c r="AJ129" s="24" t="str">
        <f t="shared" si="281"/>
        <v>9.92</v>
      </c>
      <c r="AK129" s="279" t="str">
        <f t="shared" si="282"/>
        <v>3.16%</v>
      </c>
      <c r="AL129" s="280">
        <v>435.0</v>
      </c>
      <c r="AM129" s="281" t="str">
        <f t="shared" si="193"/>
        <v>4,314.41</v>
      </c>
      <c r="AN129" s="280">
        <v>780.0</v>
      </c>
      <c r="AO129" s="293" t="s">
        <v>680</v>
      </c>
      <c r="AP129" s="283">
        <v>92.01</v>
      </c>
      <c r="AQ129" s="283" t="str">
        <f t="shared" si="194"/>
        <v>71,767.80</v>
      </c>
      <c r="AR129" s="283">
        <v>27.93</v>
      </c>
      <c r="AS129" s="284">
        <v>300.0</v>
      </c>
      <c r="AT129" s="285" t="str">
        <f t="shared" si="235"/>
        <v>2,975.45</v>
      </c>
      <c r="AU129" s="284">
        <v>551.0</v>
      </c>
      <c r="AV129" s="286">
        <v>0.106</v>
      </c>
      <c r="AW129" s="285">
        <v>46803.66</v>
      </c>
      <c r="AX129" s="284">
        <v>27.07</v>
      </c>
      <c r="AY129" s="26"/>
      <c r="AZ129" s="171" t="str">
        <f t="shared" si="283"/>
        <v>0.00%</v>
      </c>
      <c r="BA129" s="172" t="str">
        <f t="shared" si="284"/>
        <v>0.00</v>
      </c>
      <c r="BB129" s="173" t="str">
        <f t="shared" si="285"/>
        <v>999.48</v>
      </c>
      <c r="BC129" s="174" t="str">
        <f t="shared" si="286"/>
        <v>709.63</v>
      </c>
    </row>
    <row r="130" ht="12.75" customHeight="1">
      <c r="A130" s="26"/>
      <c r="B130" s="190" t="s">
        <v>275</v>
      </c>
      <c r="C130" s="199">
        <v>2.0746976E8</v>
      </c>
      <c r="D130" s="152" t="s">
        <v>276</v>
      </c>
      <c r="E130" s="53" t="s">
        <v>77</v>
      </c>
      <c r="F130" s="154">
        <v>1.0</v>
      </c>
      <c r="G130" s="53"/>
      <c r="H130" s="53" t="str">
        <f t="shared" si="267"/>
        <v>0.00069</v>
      </c>
      <c r="I130" s="53" t="str">
        <f t="shared" si="268"/>
        <v>89</v>
      </c>
      <c r="J130" s="53" t="str">
        <f t="shared" si="269"/>
        <v>0</v>
      </c>
      <c r="K130" s="155" t="str">
        <f t="shared" si="270"/>
        <v>0.00</v>
      </c>
      <c r="L130" s="156" t="str">
        <f t="shared" si="271"/>
        <v>0.00 </v>
      </c>
      <c r="M130" s="132">
        <v>90.0</v>
      </c>
      <c r="N130" s="175">
        <v>431.05</v>
      </c>
      <c r="O130" s="277">
        <v>469.84</v>
      </c>
      <c r="P130" s="277">
        <v>456.91</v>
      </c>
      <c r="Q130" s="175">
        <v>431.05</v>
      </c>
      <c r="R130" s="158">
        <v>1224.44</v>
      </c>
      <c r="S130" s="159" t="str">
        <f t="shared" si="289"/>
        <v>1,224.44</v>
      </c>
      <c r="T130" s="160">
        <v>861.0</v>
      </c>
      <c r="U130" s="161">
        <v>0.26</v>
      </c>
      <c r="V130" s="162" t="str">
        <f t="shared" si="273"/>
        <v>906.09</v>
      </c>
      <c r="W130" s="163" t="str">
        <f t="shared" si="274"/>
        <v>60.00</v>
      </c>
      <c r="X130" s="164" t="str">
        <f t="shared" si="275"/>
        <v>67.74</v>
      </c>
      <c r="Y130" s="165" t="str">
        <f t="shared" si="276"/>
        <v>0.00</v>
      </c>
      <c r="Z130" s="166">
        <v>0.73</v>
      </c>
      <c r="AA130" s="167">
        <v>87.0</v>
      </c>
      <c r="AB130" s="168" t="str">
        <f t="shared" si="277"/>
        <v>397.943</v>
      </c>
      <c r="AC130" s="168" t="str">
        <f t="shared" si="278"/>
        <v>32.257</v>
      </c>
      <c r="AD130" s="164" t="str">
        <f t="shared" si="279"/>
        <v>0.77</v>
      </c>
      <c r="AE130" s="164">
        <v>98.45</v>
      </c>
      <c r="AF130" s="164" t="str">
        <f t="shared" si="280"/>
        <v>4.80</v>
      </c>
      <c r="AG130" s="165">
        <v>85.71</v>
      </c>
      <c r="AH130" s="23"/>
      <c r="AI130" s="292">
        <v>0.07</v>
      </c>
      <c r="AJ130" s="24" t="str">
        <f t="shared" si="281"/>
        <v>57.16</v>
      </c>
      <c r="AK130" s="279" t="str">
        <f t="shared" si="282"/>
        <v>13.26%</v>
      </c>
      <c r="AL130" s="280">
        <v>435.0</v>
      </c>
      <c r="AM130" s="281" t="str">
        <f t="shared" si="193"/>
        <v>24,864.88</v>
      </c>
      <c r="AN130" s="280">
        <v>649.0</v>
      </c>
      <c r="AO130" s="293" t="s">
        <v>681</v>
      </c>
      <c r="AP130" s="283">
        <v>159.69</v>
      </c>
      <c r="AQ130" s="283" t="str">
        <f t="shared" si="194"/>
        <v>103,638.81</v>
      </c>
      <c r="AR130" s="283">
        <v>35.37</v>
      </c>
      <c r="AS130" s="284">
        <v>300.0</v>
      </c>
      <c r="AT130" s="285" t="str">
        <f t="shared" si="235"/>
        <v>17,148.19</v>
      </c>
      <c r="AU130" s="284">
        <v>518.0</v>
      </c>
      <c r="AV130" s="286">
        <v>0.1234</v>
      </c>
      <c r="AW130" s="285">
        <v>52259.17</v>
      </c>
      <c r="AX130" s="284">
        <v>23.4</v>
      </c>
      <c r="AY130" s="26"/>
      <c r="AZ130" s="171" t="str">
        <f t="shared" si="283"/>
        <v>0.00%</v>
      </c>
      <c r="BA130" s="172" t="str">
        <f t="shared" si="284"/>
        <v>0.00</v>
      </c>
      <c r="BB130" s="173" t="str">
        <f t="shared" si="285"/>
        <v>1,270.56</v>
      </c>
      <c r="BC130" s="174" t="str">
        <f t="shared" si="286"/>
        <v>902.10</v>
      </c>
    </row>
    <row r="131" ht="12.75" hidden="1" customHeight="1">
      <c r="A131" s="26"/>
      <c r="B131" s="190" t="s">
        <v>277</v>
      </c>
      <c r="C131" s="192">
        <v>2.12886252E8</v>
      </c>
      <c r="D131" s="152" t="s">
        <v>278</v>
      </c>
      <c r="E131" s="53" t="s">
        <v>77</v>
      </c>
      <c r="F131" s="154">
        <v>1.0</v>
      </c>
      <c r="G131" s="53"/>
      <c r="H131" s="53" t="str">
        <f t="shared" si="267"/>
        <v>0.00069</v>
      </c>
      <c r="I131" s="53" t="str">
        <f t="shared" si="268"/>
        <v>89</v>
      </c>
      <c r="J131" s="53" t="str">
        <f t="shared" si="269"/>
        <v>0</v>
      </c>
      <c r="K131" s="155" t="str">
        <f t="shared" si="270"/>
        <v>0.00</v>
      </c>
      <c r="L131" s="156" t="str">
        <f t="shared" si="271"/>
        <v>0.00 </v>
      </c>
      <c r="M131" s="132">
        <v>90.0</v>
      </c>
      <c r="N131" s="157">
        <v>0.0</v>
      </c>
      <c r="O131" s="277">
        <v>0.0</v>
      </c>
      <c r="P131" s="277" t="str">
        <f t="shared" ref="P131:P132" si="290">K131/E131</f>
        <v>#VALUE!</v>
      </c>
      <c r="Q131" s="157">
        <v>0.0</v>
      </c>
      <c r="R131" s="158">
        <v>839.7</v>
      </c>
      <c r="S131" s="159" t="str">
        <f t="shared" ref="S131:S132" si="291">BB131</f>
        <v>314.77</v>
      </c>
      <c r="T131" s="160"/>
      <c r="U131" s="161">
        <v>0.26</v>
      </c>
      <c r="V131" s="162" t="str">
        <f t="shared" si="273"/>
        <v>621.38</v>
      </c>
      <c r="W131" s="163" t="str">
        <f t="shared" si="274"/>
        <v>60.00</v>
      </c>
      <c r="X131" s="164" t="str">
        <f t="shared" si="275"/>
        <v>46.46</v>
      </c>
      <c r="Y131" s="165" t="str">
        <f t="shared" si="276"/>
        <v>0.00</v>
      </c>
      <c r="Z131" s="166">
        <v>0.79</v>
      </c>
      <c r="AA131" s="167" t="str">
        <f t="shared" ref="AA131:AA135" si="292">((_xlfn.CEILING.MATH(Z131)-1)*$C$5+$C$4)</f>
        <v>76</v>
      </c>
      <c r="AB131" s="168" t="str">
        <f t="shared" si="277"/>
        <v>272.903</v>
      </c>
      <c r="AC131" s="168" t="str">
        <f t="shared" si="278"/>
        <v>22.121</v>
      </c>
      <c r="AD131" s="164" t="str">
        <f t="shared" si="279"/>
        <v>3.71</v>
      </c>
      <c r="AE131" s="164">
        <v>92.59</v>
      </c>
      <c r="AF131" s="164" t="str">
        <f t="shared" si="280"/>
        <v>4.80</v>
      </c>
      <c r="AG131" s="165" t="str">
        <f t="shared" ref="AG131:AG132" si="293">R131*$C$2</f>
        <v>83.97</v>
      </c>
      <c r="AH131" s="23"/>
      <c r="AI131" s="278">
        <v>0.1</v>
      </c>
      <c r="AJ131" s="24" t="str">
        <f t="shared" si="281"/>
        <v>269.74</v>
      </c>
      <c r="AK131" s="279" t="str">
        <f t="shared" si="282"/>
        <v>#DIV/0!</v>
      </c>
      <c r="AL131" s="280"/>
      <c r="AM131" s="281" t="str">
        <f t="shared" si="193"/>
        <v>0.00</v>
      </c>
      <c r="AN131" s="280"/>
      <c r="AO131" s="282"/>
      <c r="AP131" s="283"/>
      <c r="AQ131" s="283" t="str">
        <f t="shared" si="194"/>
        <v>0.00</v>
      </c>
      <c r="AR131" s="283"/>
      <c r="AS131" s="284"/>
      <c r="AT131" s="285" t="str">
        <f t="shared" si="235"/>
        <v>0.00</v>
      </c>
      <c r="AU131" s="284"/>
      <c r="AV131" s="286"/>
      <c r="AW131" s="285"/>
      <c r="AX131" s="284"/>
      <c r="AY131" s="26"/>
      <c r="AZ131" s="171" t="str">
        <f t="shared" si="283"/>
        <v>0.00%</v>
      </c>
      <c r="BA131" s="172" t="str">
        <f t="shared" si="284"/>
        <v>0.00</v>
      </c>
      <c r="BB131" s="173" t="str">
        <f t="shared" si="285"/>
        <v>314.77</v>
      </c>
      <c r="BC131" s="174" t="str">
        <f t="shared" si="286"/>
        <v>223.49</v>
      </c>
    </row>
    <row r="132" ht="12.75" hidden="1" customHeight="1">
      <c r="A132" s="26"/>
      <c r="B132" s="190" t="s">
        <v>279</v>
      </c>
      <c r="C132" s="192">
        <v>1.65009038E8</v>
      </c>
      <c r="D132" s="152" t="s">
        <v>280</v>
      </c>
      <c r="E132" s="53" t="s">
        <v>77</v>
      </c>
      <c r="F132" s="154">
        <v>1.0</v>
      </c>
      <c r="G132" s="53"/>
      <c r="H132" s="53" t="str">
        <f t="shared" si="267"/>
        <v>0.00069</v>
      </c>
      <c r="I132" s="53" t="str">
        <f t="shared" si="268"/>
        <v>89</v>
      </c>
      <c r="J132" s="53" t="str">
        <f t="shared" si="269"/>
        <v>0</v>
      </c>
      <c r="K132" s="155" t="str">
        <f t="shared" si="270"/>
        <v>0.00</v>
      </c>
      <c r="L132" s="156" t="str">
        <f t="shared" si="271"/>
        <v>0.00 </v>
      </c>
      <c r="M132" s="132">
        <v>90.0</v>
      </c>
      <c r="N132" s="157">
        <v>0.0</v>
      </c>
      <c r="O132" s="277">
        <v>0.0</v>
      </c>
      <c r="P132" s="277" t="str">
        <f t="shared" si="290"/>
        <v>#VALUE!</v>
      </c>
      <c r="Q132" s="157">
        <v>0.0</v>
      </c>
      <c r="R132" s="158">
        <v>501.0</v>
      </c>
      <c r="S132" s="159" t="str">
        <f t="shared" si="291"/>
        <v>320.31</v>
      </c>
      <c r="T132" s="160"/>
      <c r="U132" s="161">
        <v>0.26</v>
      </c>
      <c r="V132" s="162" t="str">
        <f t="shared" si="273"/>
        <v>370.74</v>
      </c>
      <c r="W132" s="163" t="str">
        <f t="shared" si="274"/>
        <v>60.00</v>
      </c>
      <c r="X132" s="164" t="str">
        <f t="shared" si="275"/>
        <v>27.72</v>
      </c>
      <c r="Y132" s="165" t="str">
        <f t="shared" si="276"/>
        <v>0.00</v>
      </c>
      <c r="Z132" s="166">
        <v>0.29</v>
      </c>
      <c r="AA132" s="167" t="str">
        <f t="shared" si="292"/>
        <v>76</v>
      </c>
      <c r="AB132" s="168" t="str">
        <f t="shared" si="277"/>
        <v>162.825</v>
      </c>
      <c r="AC132" s="168" t="str">
        <f t="shared" si="278"/>
        <v>13.198</v>
      </c>
      <c r="AD132" s="164" t="str">
        <f t="shared" si="279"/>
        <v>6.25</v>
      </c>
      <c r="AE132" s="164">
        <v>87.5</v>
      </c>
      <c r="AF132" s="164" t="str">
        <f t="shared" si="280"/>
        <v>4.80</v>
      </c>
      <c r="AG132" s="165" t="str">
        <f t="shared" si="293"/>
        <v>50.10</v>
      </c>
      <c r="AH132" s="23"/>
      <c r="AI132" s="278">
        <v>0.1</v>
      </c>
      <c r="AJ132" s="24" t="str">
        <f t="shared" si="281"/>
        <v>100.11</v>
      </c>
      <c r="AK132" s="279" t="str">
        <f t="shared" si="282"/>
        <v>#DIV/0!</v>
      </c>
      <c r="AL132" s="280"/>
      <c r="AM132" s="281" t="str">
        <f t="shared" si="193"/>
        <v>0.00</v>
      </c>
      <c r="AN132" s="280"/>
      <c r="AO132" s="282"/>
      <c r="AP132" s="283"/>
      <c r="AQ132" s="283" t="str">
        <f t="shared" si="194"/>
        <v>0.00</v>
      </c>
      <c r="AR132" s="283"/>
      <c r="AS132" s="284"/>
      <c r="AT132" s="285" t="str">
        <f t="shared" si="235"/>
        <v>0.00</v>
      </c>
      <c r="AU132" s="284"/>
      <c r="AV132" s="286"/>
      <c r="AW132" s="285"/>
      <c r="AX132" s="284"/>
      <c r="AY132" s="26"/>
      <c r="AZ132" s="171" t="str">
        <f t="shared" si="283"/>
        <v>0.00%</v>
      </c>
      <c r="BA132" s="172" t="str">
        <f t="shared" si="284"/>
        <v>0.00</v>
      </c>
      <c r="BB132" s="173" t="str">
        <f t="shared" si="285"/>
        <v>320.31</v>
      </c>
      <c r="BC132" s="174" t="str">
        <f t="shared" si="286"/>
        <v>227.42</v>
      </c>
    </row>
    <row r="133" ht="12.75" customHeight="1">
      <c r="A133" s="26"/>
      <c r="B133" s="190" t="s">
        <v>281</v>
      </c>
      <c r="C133" s="199">
        <v>2.07476309E8</v>
      </c>
      <c r="D133" s="152" t="s">
        <v>282</v>
      </c>
      <c r="E133" s="53" t="s">
        <v>77</v>
      </c>
      <c r="F133" s="154">
        <v>1.0</v>
      </c>
      <c r="G133" s="53"/>
      <c r="H133" s="53" t="str">
        <f t="shared" si="267"/>
        <v>0.00069</v>
      </c>
      <c r="I133" s="53" t="str">
        <f t="shared" si="268"/>
        <v>89</v>
      </c>
      <c r="J133" s="53" t="str">
        <f t="shared" si="269"/>
        <v>0</v>
      </c>
      <c r="K133" s="155" t="str">
        <f t="shared" si="270"/>
        <v>0.00</v>
      </c>
      <c r="L133" s="156" t="str">
        <f t="shared" si="271"/>
        <v>0.00 </v>
      </c>
      <c r="M133" s="132">
        <v>90.0</v>
      </c>
      <c r="N133" s="175">
        <v>400.76</v>
      </c>
      <c r="O133" s="277">
        <v>436.83</v>
      </c>
      <c r="P133" s="277">
        <v>424.51</v>
      </c>
      <c r="Q133" s="175">
        <v>400.76</v>
      </c>
      <c r="R133" s="158">
        <v>1200.0</v>
      </c>
      <c r="S133" s="159">
        <v>1030.0</v>
      </c>
      <c r="T133" s="160"/>
      <c r="U133" s="161">
        <v>0.26</v>
      </c>
      <c r="V133" s="162" t="str">
        <f t="shared" si="273"/>
        <v>888.00</v>
      </c>
      <c r="W133" s="163" t="str">
        <f t="shared" si="274"/>
        <v>60.00</v>
      </c>
      <c r="X133" s="164" t="str">
        <f t="shared" si="275"/>
        <v>66.39</v>
      </c>
      <c r="Y133" s="165" t="str">
        <f t="shared" si="276"/>
        <v>0.00</v>
      </c>
      <c r="Z133" s="166">
        <v>1.26</v>
      </c>
      <c r="AA133" s="167" t="str">
        <f t="shared" si="292"/>
        <v>95</v>
      </c>
      <c r="AB133" s="168" t="str">
        <f t="shared" si="277"/>
        <v>390.000</v>
      </c>
      <c r="AC133" s="168" t="str">
        <f t="shared" si="278"/>
        <v>31.613</v>
      </c>
      <c r="AD133" s="164" t="str">
        <f t="shared" si="279"/>
        <v>0.00</v>
      </c>
      <c r="AE133" s="164">
        <v>100.0</v>
      </c>
      <c r="AF133" s="164" t="str">
        <f t="shared" si="280"/>
        <v>9.60</v>
      </c>
      <c r="AG133" s="165">
        <v>144.0</v>
      </c>
      <c r="AH133" s="23"/>
      <c r="AI133" s="292">
        <v>0.12</v>
      </c>
      <c r="AJ133" s="24" t="str">
        <f t="shared" si="281"/>
        <v>2.63</v>
      </c>
      <c r="AK133" s="279" t="str">
        <f t="shared" si="282"/>
        <v>0.66%</v>
      </c>
      <c r="AL133" s="280">
        <v>400.0</v>
      </c>
      <c r="AM133" s="281" t="str">
        <f t="shared" si="193"/>
        <v>1,053.87</v>
      </c>
      <c r="AN133" s="280">
        <v>508.0</v>
      </c>
      <c r="AO133" s="293" t="s">
        <v>682</v>
      </c>
      <c r="AP133" s="283">
        <v>6.95</v>
      </c>
      <c r="AQ133" s="283" t="str">
        <f t="shared" si="194"/>
        <v>3,530.60</v>
      </c>
      <c r="AR133" s="283">
        <v>1.65</v>
      </c>
      <c r="AS133" s="284">
        <v>400.0</v>
      </c>
      <c r="AT133" s="285" t="str">
        <f t="shared" si="235"/>
        <v>1,053.87</v>
      </c>
      <c r="AU133" s="284">
        <v>437.0</v>
      </c>
      <c r="AV133" s="286">
        <v>0.097</v>
      </c>
      <c r="AW133" s="285">
        <v>28236.16</v>
      </c>
      <c r="AX133" s="284">
        <v>16.12</v>
      </c>
      <c r="AY133" s="26"/>
      <c r="AZ133" s="171" t="str">
        <f t="shared" si="283"/>
        <v>0.00%</v>
      </c>
      <c r="BA133" s="172" t="str">
        <f t="shared" si="284"/>
        <v>0.00</v>
      </c>
      <c r="BB133" s="173" t="str">
        <f t="shared" si="285"/>
        <v>1,230.91</v>
      </c>
      <c r="BC133" s="174" t="str">
        <f t="shared" si="286"/>
        <v>873.95</v>
      </c>
    </row>
    <row r="134" ht="12.75" hidden="1" customHeight="1">
      <c r="A134" s="26"/>
      <c r="B134" s="190" t="s">
        <v>283</v>
      </c>
      <c r="C134" s="192">
        <v>1.6500899E8</v>
      </c>
      <c r="D134" s="152" t="s">
        <v>284</v>
      </c>
      <c r="E134" s="53" t="s">
        <v>77</v>
      </c>
      <c r="F134" s="154">
        <v>1.0</v>
      </c>
      <c r="G134" s="53"/>
      <c r="H134" s="53" t="str">
        <f t="shared" si="267"/>
        <v>0.00069</v>
      </c>
      <c r="I134" s="53" t="str">
        <f t="shared" si="268"/>
        <v>89</v>
      </c>
      <c r="J134" s="53" t="str">
        <f t="shared" si="269"/>
        <v>0</v>
      </c>
      <c r="K134" s="155" t="str">
        <f t="shared" si="270"/>
        <v>0.00</v>
      </c>
      <c r="L134" s="156" t="str">
        <f t="shared" si="271"/>
        <v>0.00 </v>
      </c>
      <c r="M134" s="132">
        <v>90.0</v>
      </c>
      <c r="N134" s="157">
        <v>0.0</v>
      </c>
      <c r="O134" s="277">
        <v>0.0</v>
      </c>
      <c r="P134" s="277" t="str">
        <f t="shared" ref="P134:P135" si="294">K134/E134</f>
        <v>#VALUE!</v>
      </c>
      <c r="Q134" s="157">
        <v>0.0</v>
      </c>
      <c r="R134" s="158">
        <v>546.6</v>
      </c>
      <c r="S134" s="159" t="str">
        <f t="shared" ref="S134:S135" si="295">BB134</f>
        <v>306.70</v>
      </c>
      <c r="T134" s="160"/>
      <c r="U134" s="161">
        <v>0.26</v>
      </c>
      <c r="V134" s="162" t="str">
        <f t="shared" si="273"/>
        <v>404.48</v>
      </c>
      <c r="W134" s="163" t="str">
        <f t="shared" si="274"/>
        <v>60.00</v>
      </c>
      <c r="X134" s="164" t="str">
        <f t="shared" si="275"/>
        <v>30.24</v>
      </c>
      <c r="Y134" s="165" t="str">
        <f t="shared" si="276"/>
        <v>0.00</v>
      </c>
      <c r="Z134" s="166">
        <v>0.29</v>
      </c>
      <c r="AA134" s="167" t="str">
        <f t="shared" si="292"/>
        <v>76</v>
      </c>
      <c r="AB134" s="168" t="str">
        <f t="shared" si="277"/>
        <v>177.645</v>
      </c>
      <c r="AC134" s="168" t="str">
        <f t="shared" si="278"/>
        <v>14.400</v>
      </c>
      <c r="AD134" s="164" t="str">
        <f t="shared" si="279"/>
        <v>0.00</v>
      </c>
      <c r="AE134" s="164">
        <v>100.0</v>
      </c>
      <c r="AF134" s="164" t="str">
        <f t="shared" si="280"/>
        <v>4.80</v>
      </c>
      <c r="AG134" s="165" t="str">
        <f t="shared" ref="AG134:AG135" si="296">R134*$C$2</f>
        <v>54.66</v>
      </c>
      <c r="AH134" s="23"/>
      <c r="AI134" s="278">
        <v>0.1</v>
      </c>
      <c r="AJ134" s="24" t="str">
        <f t="shared" si="281"/>
        <v>128.85</v>
      </c>
      <c r="AK134" s="279" t="str">
        <f t="shared" si="282"/>
        <v>#DIV/0!</v>
      </c>
      <c r="AL134" s="280"/>
      <c r="AM134" s="281" t="str">
        <f t="shared" si="193"/>
        <v>0.00</v>
      </c>
      <c r="AN134" s="280"/>
      <c r="AO134" s="282"/>
      <c r="AP134" s="283"/>
      <c r="AQ134" s="283" t="str">
        <f t="shared" si="194"/>
        <v>0.00</v>
      </c>
      <c r="AR134" s="283"/>
      <c r="AS134" s="284"/>
      <c r="AT134" s="285" t="str">
        <f t="shared" si="235"/>
        <v>0.00</v>
      </c>
      <c r="AU134" s="284"/>
      <c r="AV134" s="286"/>
      <c r="AW134" s="285"/>
      <c r="AX134" s="284"/>
      <c r="AY134" s="26"/>
      <c r="AZ134" s="171" t="str">
        <f t="shared" si="283"/>
        <v>0.00%</v>
      </c>
      <c r="BA134" s="172" t="str">
        <f t="shared" si="284"/>
        <v>0.00</v>
      </c>
      <c r="BB134" s="173" t="str">
        <f t="shared" si="285"/>
        <v>306.70</v>
      </c>
      <c r="BC134" s="174" t="str">
        <f t="shared" si="286"/>
        <v>217.76</v>
      </c>
    </row>
    <row r="135" ht="12.75" hidden="1" customHeight="1">
      <c r="A135" s="26"/>
      <c r="B135" s="190" t="s">
        <v>286</v>
      </c>
      <c r="C135" s="191">
        <v>2.12752214E8</v>
      </c>
      <c r="D135" s="152" t="s">
        <v>287</v>
      </c>
      <c r="E135" s="53" t="s">
        <v>77</v>
      </c>
      <c r="F135" s="154">
        <v>1.0</v>
      </c>
      <c r="G135" s="53"/>
      <c r="H135" s="53" t="str">
        <f t="shared" si="267"/>
        <v>0.00069</v>
      </c>
      <c r="I135" s="53" t="str">
        <f t="shared" si="268"/>
        <v>89</v>
      </c>
      <c r="J135" s="53" t="str">
        <f t="shared" si="269"/>
        <v>0</v>
      </c>
      <c r="K135" s="155" t="str">
        <f t="shared" si="270"/>
        <v>0.00</v>
      </c>
      <c r="L135" s="156" t="str">
        <f t="shared" si="271"/>
        <v>0.00 </v>
      </c>
      <c r="M135" s="132">
        <v>90.0</v>
      </c>
      <c r="N135" s="157">
        <v>0.0</v>
      </c>
      <c r="O135" s="277">
        <v>0.0</v>
      </c>
      <c r="P135" s="277" t="str">
        <f t="shared" si="294"/>
        <v>#VALUE!</v>
      </c>
      <c r="Q135" s="157">
        <v>0.0</v>
      </c>
      <c r="R135" s="158">
        <v>558.0</v>
      </c>
      <c r="S135" s="159" t="str">
        <f t="shared" si="295"/>
        <v>313.58</v>
      </c>
      <c r="T135" s="160"/>
      <c r="U135" s="161">
        <v>0.26</v>
      </c>
      <c r="V135" s="162" t="str">
        <f t="shared" si="273"/>
        <v>412.92</v>
      </c>
      <c r="W135" s="163" t="str">
        <f t="shared" si="274"/>
        <v>60.00</v>
      </c>
      <c r="X135" s="164" t="str">
        <f t="shared" si="275"/>
        <v>30.87</v>
      </c>
      <c r="Y135" s="165" t="str">
        <f t="shared" si="276"/>
        <v>0.00</v>
      </c>
      <c r="Z135" s="166">
        <v>0.43</v>
      </c>
      <c r="AA135" s="167" t="str">
        <f t="shared" si="292"/>
        <v>76</v>
      </c>
      <c r="AB135" s="168" t="str">
        <f t="shared" si="277"/>
        <v>181.350</v>
      </c>
      <c r="AC135" s="168" t="str">
        <f t="shared" si="278"/>
        <v>14.700</v>
      </c>
      <c r="AD135" s="164" t="str">
        <f t="shared" si="279"/>
        <v>3.16</v>
      </c>
      <c r="AE135" s="164">
        <v>93.68</v>
      </c>
      <c r="AF135" s="164" t="str">
        <f t="shared" si="280"/>
        <v>4.80</v>
      </c>
      <c r="AG135" s="165" t="str">
        <f t="shared" si="296"/>
        <v>55.80</v>
      </c>
      <c r="AH135" s="23"/>
      <c r="AI135" s="278">
        <v>0.1</v>
      </c>
      <c r="AJ135" s="24" t="str">
        <f t="shared" si="281"/>
        <v>131.32</v>
      </c>
      <c r="AK135" s="279" t="str">
        <f t="shared" si="282"/>
        <v>#DIV/0!</v>
      </c>
      <c r="AL135" s="280"/>
      <c r="AM135" s="281" t="str">
        <f t="shared" si="193"/>
        <v>0.00</v>
      </c>
      <c r="AN135" s="280"/>
      <c r="AO135" s="282"/>
      <c r="AP135" s="283"/>
      <c r="AQ135" s="283" t="str">
        <f t="shared" si="194"/>
        <v>0.00</v>
      </c>
      <c r="AR135" s="283"/>
      <c r="AS135" s="284"/>
      <c r="AT135" s="285" t="str">
        <f t="shared" si="235"/>
        <v>0.00</v>
      </c>
      <c r="AU135" s="284"/>
      <c r="AV135" s="286"/>
      <c r="AW135" s="285"/>
      <c r="AX135" s="284"/>
      <c r="AY135" s="26"/>
      <c r="AZ135" s="171" t="str">
        <f t="shared" si="283"/>
        <v>0.00%</v>
      </c>
      <c r="BA135" s="172" t="str">
        <f t="shared" si="284"/>
        <v>0.00</v>
      </c>
      <c r="BB135" s="173" t="str">
        <f t="shared" si="285"/>
        <v>313.58</v>
      </c>
      <c r="BC135" s="174" t="str">
        <f t="shared" si="286"/>
        <v>222.64</v>
      </c>
    </row>
    <row r="136" ht="12.75" hidden="1" customHeight="1">
      <c r="A136" s="26"/>
      <c r="B136" s="125" t="s">
        <v>285</v>
      </c>
      <c r="C136" s="126"/>
      <c r="D136" s="127"/>
      <c r="E136" s="128"/>
      <c r="F136" s="128"/>
      <c r="G136" s="128"/>
      <c r="H136" s="197"/>
      <c r="I136" s="197"/>
      <c r="J136" s="128"/>
      <c r="K136" s="130"/>
      <c r="L136" s="131"/>
      <c r="M136" s="132"/>
      <c r="N136" s="176"/>
      <c r="O136" s="133"/>
      <c r="P136" s="133"/>
      <c r="Q136" s="176"/>
      <c r="R136" s="134"/>
      <c r="S136" s="135"/>
      <c r="T136" s="135"/>
      <c r="U136" s="136"/>
      <c r="V136" s="137"/>
      <c r="W136" s="177"/>
      <c r="X136" s="178"/>
      <c r="Y136" s="179"/>
      <c r="Z136" s="180"/>
      <c r="AA136" s="181"/>
      <c r="AB136" s="182"/>
      <c r="AC136" s="182"/>
      <c r="AD136" s="178"/>
      <c r="AE136" s="178"/>
      <c r="AF136" s="178"/>
      <c r="AG136" s="179"/>
      <c r="AH136" s="183"/>
      <c r="AI136" s="271"/>
      <c r="AJ136" s="287"/>
      <c r="AK136" s="288"/>
      <c r="AL136" s="280"/>
      <c r="AM136" s="281" t="str">
        <f t="shared" si="193"/>
        <v>0.00</v>
      </c>
      <c r="AN136" s="280"/>
      <c r="AO136" s="282"/>
      <c r="AP136" s="283"/>
      <c r="AQ136" s="283" t="str">
        <f t="shared" si="194"/>
        <v>0.00</v>
      </c>
      <c r="AR136" s="283"/>
      <c r="AS136" s="284"/>
      <c r="AT136" s="285" t="str">
        <f t="shared" si="235"/>
        <v>0.00</v>
      </c>
      <c r="AU136" s="284"/>
      <c r="AV136" s="286"/>
      <c r="AW136" s="285"/>
      <c r="AX136" s="284"/>
      <c r="AY136" s="26"/>
      <c r="AZ136" s="186"/>
      <c r="BA136" s="187"/>
      <c r="BB136" s="188"/>
      <c r="BC136" s="189"/>
    </row>
    <row r="137" ht="12.75" customHeight="1">
      <c r="A137" s="26"/>
      <c r="B137" s="125" t="s">
        <v>288</v>
      </c>
      <c r="C137" s="126"/>
      <c r="D137" s="127"/>
      <c r="E137" s="128"/>
      <c r="F137" s="128"/>
      <c r="G137" s="128"/>
      <c r="H137" s="197"/>
      <c r="I137" s="197"/>
      <c r="J137" s="128"/>
      <c r="K137" s="130"/>
      <c r="L137" s="131"/>
      <c r="M137" s="132"/>
      <c r="N137" s="176"/>
      <c r="O137" s="133"/>
      <c r="P137" s="133"/>
      <c r="Q137" s="176"/>
      <c r="R137" s="134"/>
      <c r="S137" s="135"/>
      <c r="T137" s="135"/>
      <c r="U137" s="136"/>
      <c r="V137" s="137"/>
      <c r="W137" s="177"/>
      <c r="X137" s="178"/>
      <c r="Y137" s="179"/>
      <c r="Z137" s="180"/>
      <c r="AA137" s="181"/>
      <c r="AB137" s="182"/>
      <c r="AC137" s="182"/>
      <c r="AD137" s="178"/>
      <c r="AE137" s="178"/>
      <c r="AF137" s="178"/>
      <c r="AG137" s="179"/>
      <c r="AH137" s="183"/>
      <c r="AI137" s="271"/>
      <c r="AJ137" s="287"/>
      <c r="AK137" s="288"/>
      <c r="AL137" s="280"/>
      <c r="AM137" s="281" t="str">
        <f t="shared" si="193"/>
        <v>0.00</v>
      </c>
      <c r="AN137" s="280"/>
      <c r="AO137" s="282"/>
      <c r="AP137" s="283"/>
      <c r="AQ137" s="283" t="str">
        <f t="shared" si="194"/>
        <v>0.00</v>
      </c>
      <c r="AR137" s="283"/>
      <c r="AS137" s="284"/>
      <c r="AT137" s="285" t="str">
        <f t="shared" si="235"/>
        <v>0.00</v>
      </c>
      <c r="AU137" s="284"/>
      <c r="AV137" s="286"/>
      <c r="AW137" s="285"/>
      <c r="AX137" s="284"/>
      <c r="AY137" s="26"/>
      <c r="AZ137" s="186"/>
      <c r="BA137" s="187"/>
      <c r="BB137" s="188"/>
      <c r="BC137" s="189"/>
    </row>
    <row r="138" ht="12.75" customHeight="1">
      <c r="A138" s="26"/>
      <c r="B138" s="190" t="s">
        <v>289</v>
      </c>
      <c r="C138" s="199">
        <v>2.07464799E8</v>
      </c>
      <c r="D138" s="152" t="s">
        <v>290</v>
      </c>
      <c r="E138" s="53" t="s">
        <v>77</v>
      </c>
      <c r="F138" s="154">
        <v>1.0</v>
      </c>
      <c r="G138" s="53"/>
      <c r="H138" s="53" t="str">
        <f t="shared" ref="H138:H145" si="297">$I$2</f>
        <v>0.00069</v>
      </c>
      <c r="I138" s="53" t="str">
        <f t="shared" ref="I138:I145" si="298">$I$3</f>
        <v>89</v>
      </c>
      <c r="J138" s="53" t="str">
        <f t="shared" ref="J138:J145" si="299">G138*H138*I138*F138</f>
        <v>0</v>
      </c>
      <c r="K138" s="155" t="str">
        <f t="shared" ref="K138:K145" si="300">J138*$J$4</f>
        <v>0.00</v>
      </c>
      <c r="L138" s="156" t="str">
        <f t="shared" ref="L138:L145" si="301">K138+J138</f>
        <v>0.00 </v>
      </c>
      <c r="M138" s="132">
        <v>90.0</v>
      </c>
      <c r="N138" s="157">
        <v>685.67</v>
      </c>
      <c r="O138" s="277">
        <v>747.38</v>
      </c>
      <c r="P138" s="277">
        <v>726.81</v>
      </c>
      <c r="Q138" s="157">
        <v>685.67</v>
      </c>
      <c r="R138" s="158">
        <v>1617.0</v>
      </c>
      <c r="S138" s="159" t="str">
        <f t="shared" ref="S138:S140" si="302">R138</f>
        <v>1,617.00</v>
      </c>
      <c r="T138" s="160">
        <v>1625.0</v>
      </c>
      <c r="U138" s="161">
        <v>0.26</v>
      </c>
      <c r="V138" s="162" t="str">
        <f t="shared" ref="V138:V145" si="303">R138-(R138*U138)</f>
        <v>1,196.58</v>
      </c>
      <c r="W138" s="163" t="str">
        <f t="shared" ref="W138:W145" si="304">$C$1</f>
        <v>60.00</v>
      </c>
      <c r="X138" s="164" t="str">
        <f t="shared" ref="X138:X145" si="305">(V138*7/107)+((V138-(V138*7/107))*1%)</f>
        <v>89.46</v>
      </c>
      <c r="Y138" s="165" t="str">
        <f t="shared" ref="Y138:Y145" si="306">Q138*$C$3*(M138/30)</f>
        <v>0.00</v>
      </c>
      <c r="Z138" s="166">
        <v>0.57</v>
      </c>
      <c r="AA138" s="167">
        <v>84.0</v>
      </c>
      <c r="AB138" s="168" t="str">
        <f t="shared" ref="AB138:AB145" si="307">R138*$AB$6</f>
        <v>525.525</v>
      </c>
      <c r="AC138" s="168" t="str">
        <f t="shared" ref="AC138:AC145" si="308">V138*$AB$7</f>
        <v>42.598</v>
      </c>
      <c r="AD138" s="164" t="str">
        <f t="shared" ref="AD138:AD145" si="309">$AB$3*((100-AE138)/100)</f>
        <v>8.34</v>
      </c>
      <c r="AE138" s="164">
        <v>83.33</v>
      </c>
      <c r="AF138" s="164" t="str">
        <f t="shared" ref="AF138:AF145" si="310">$C$6*$C$7*_xlfn.CEILING.MATH(Z138)</f>
        <v>4.80</v>
      </c>
      <c r="AG138" s="165" t="str">
        <f t="shared" ref="AG138:AG145" si="311">R138*$C$2</f>
        <v>161.70</v>
      </c>
      <c r="AH138" s="23"/>
      <c r="AI138" s="278">
        <v>0.1</v>
      </c>
      <c r="AJ138" s="24" t="str">
        <f t="shared" ref="AJ138:AJ145" si="312">R138-W138-X138-Y138-AA138-AB138-AC138-AD138-AF138-AG138-Q138</f>
        <v>-45.09</v>
      </c>
      <c r="AK138" s="279" t="str">
        <f t="shared" ref="AK138:AK145" si="313">AJ138/Q138</f>
        <v>-6.58%</v>
      </c>
      <c r="AL138" s="280"/>
      <c r="AM138" s="281" t="str">
        <f t="shared" si="193"/>
        <v>0.00</v>
      </c>
      <c r="AN138" s="280"/>
      <c r="AO138" s="282"/>
      <c r="AP138" s="283"/>
      <c r="AQ138" s="283" t="str">
        <f t="shared" si="194"/>
        <v>0.00</v>
      </c>
      <c r="AR138" s="283"/>
      <c r="AS138" s="284"/>
      <c r="AT138" s="285" t="str">
        <f t="shared" si="235"/>
        <v>0.00</v>
      </c>
      <c r="AU138" s="284"/>
      <c r="AV138" s="286"/>
      <c r="AW138" s="285"/>
      <c r="AX138" s="284"/>
      <c r="AY138" s="26"/>
      <c r="AZ138" s="171" t="str">
        <f t="shared" ref="AZ138:AZ145" si="314">$AG$3</f>
        <v>0.00%</v>
      </c>
      <c r="BA138" s="172" t="str">
        <f t="shared" ref="BA138:BA145" si="315">Q138*AZ138</f>
        <v>0.00</v>
      </c>
      <c r="BB138" s="173" t="str">
        <f t="shared" ref="BB138:BB145" si="316">(Q138+W138+Y138+AA138+AD138+AF138+AI138+BA138)/(100%-($C$2+$C$8+$AB$6+$AB$7))</f>
        <v>1,834.80</v>
      </c>
      <c r="BC138" s="174" t="str">
        <f t="shared" ref="BC138:BC145" si="317">BB138-(BB138*$AG$1)</f>
        <v>1,302.70</v>
      </c>
    </row>
    <row r="139" ht="12.75" customHeight="1">
      <c r="A139" s="26"/>
      <c r="B139" s="190" t="s">
        <v>291</v>
      </c>
      <c r="C139" s="199">
        <v>2.07465786E8</v>
      </c>
      <c r="D139" s="152" t="s">
        <v>292</v>
      </c>
      <c r="E139" s="53" t="s">
        <v>77</v>
      </c>
      <c r="F139" s="154">
        <v>1.0</v>
      </c>
      <c r="G139" s="53"/>
      <c r="H139" s="53" t="str">
        <f t="shared" si="297"/>
        <v>0.00069</v>
      </c>
      <c r="I139" s="53" t="str">
        <f t="shared" si="298"/>
        <v>89</v>
      </c>
      <c r="J139" s="53" t="str">
        <f t="shared" si="299"/>
        <v>0</v>
      </c>
      <c r="K139" s="155" t="str">
        <f t="shared" si="300"/>
        <v>0.00</v>
      </c>
      <c r="L139" s="156" t="str">
        <f t="shared" si="301"/>
        <v>0.00 </v>
      </c>
      <c r="M139" s="132">
        <v>90.0</v>
      </c>
      <c r="N139" s="157">
        <v>685.67</v>
      </c>
      <c r="O139" s="277">
        <v>747.38</v>
      </c>
      <c r="P139" s="277">
        <v>726.81</v>
      </c>
      <c r="Q139" s="157">
        <v>685.67</v>
      </c>
      <c r="R139" s="158">
        <v>1650.0</v>
      </c>
      <c r="S139" s="159" t="str">
        <f t="shared" si="302"/>
        <v>1,650.00</v>
      </c>
      <c r="T139" s="160">
        <v>1560.0</v>
      </c>
      <c r="U139" s="161">
        <v>0.26</v>
      </c>
      <c r="V139" s="162" t="str">
        <f t="shared" si="303"/>
        <v>1,221.00</v>
      </c>
      <c r="W139" s="163" t="str">
        <f t="shared" si="304"/>
        <v>60.00</v>
      </c>
      <c r="X139" s="164" t="str">
        <f t="shared" si="305"/>
        <v>91.29</v>
      </c>
      <c r="Y139" s="165" t="str">
        <f t="shared" si="306"/>
        <v>0.00</v>
      </c>
      <c r="Z139" s="166">
        <v>0.57</v>
      </c>
      <c r="AA139" s="167" t="str">
        <f t="shared" ref="AA139:AA145" si="318">((_xlfn.CEILING.MATH(Z139)-1)*$C$5+$C$4)</f>
        <v>76</v>
      </c>
      <c r="AB139" s="168" t="str">
        <f t="shared" si="307"/>
        <v>536.250</v>
      </c>
      <c r="AC139" s="168" t="str">
        <f t="shared" si="308"/>
        <v>43.468</v>
      </c>
      <c r="AD139" s="164" t="str">
        <f t="shared" si="309"/>
        <v>2.67</v>
      </c>
      <c r="AE139" s="164">
        <v>94.66</v>
      </c>
      <c r="AF139" s="164" t="str">
        <f t="shared" si="310"/>
        <v>4.80</v>
      </c>
      <c r="AG139" s="165" t="str">
        <f t="shared" si="311"/>
        <v>165.00</v>
      </c>
      <c r="AH139" s="23"/>
      <c r="AI139" s="278">
        <v>0.1</v>
      </c>
      <c r="AJ139" s="24" t="str">
        <f t="shared" si="312"/>
        <v>-15.15</v>
      </c>
      <c r="AK139" s="279" t="str">
        <f t="shared" si="313"/>
        <v>-2.21%</v>
      </c>
      <c r="AL139" s="280"/>
      <c r="AM139" s="281" t="str">
        <f t="shared" si="193"/>
        <v>0.00</v>
      </c>
      <c r="AN139" s="280"/>
      <c r="AO139" s="282">
        <v>13.03</v>
      </c>
      <c r="AP139" s="283">
        <v>143.36</v>
      </c>
      <c r="AQ139" s="283" t="str">
        <f t="shared" si="194"/>
        <v>0.00</v>
      </c>
      <c r="AR139" s="283">
        <v>20.18</v>
      </c>
      <c r="AS139" s="284">
        <v>114.0</v>
      </c>
      <c r="AT139" s="285" t="str">
        <f t="shared" si="235"/>
        <v>-1,726.79</v>
      </c>
      <c r="AU139" s="284">
        <v>114.0</v>
      </c>
      <c r="AV139" s="286">
        <v>0.0</v>
      </c>
      <c r="AW139" s="285">
        <v>18206.41</v>
      </c>
      <c r="AX139" s="284">
        <v>23.29</v>
      </c>
      <c r="AY139" s="26"/>
      <c r="AZ139" s="171" t="str">
        <f t="shared" si="314"/>
        <v>0.00%</v>
      </c>
      <c r="BA139" s="172" t="str">
        <f t="shared" si="315"/>
        <v>0.00</v>
      </c>
      <c r="BB139" s="173" t="str">
        <f t="shared" si="316"/>
        <v>1,805.05</v>
      </c>
      <c r="BC139" s="174" t="str">
        <f t="shared" si="317"/>
        <v>1,281.59</v>
      </c>
    </row>
    <row r="140" ht="12.75" customHeight="1">
      <c r="A140" s="26"/>
      <c r="B140" s="190" t="s">
        <v>293</v>
      </c>
      <c r="C140" s="199">
        <v>2.07466866E8</v>
      </c>
      <c r="D140" s="152" t="s">
        <v>294</v>
      </c>
      <c r="E140" s="53" t="s">
        <v>77</v>
      </c>
      <c r="F140" s="154">
        <v>1.0</v>
      </c>
      <c r="G140" s="53"/>
      <c r="H140" s="53" t="str">
        <f t="shared" si="297"/>
        <v>0.00069</v>
      </c>
      <c r="I140" s="53" t="str">
        <f t="shared" si="298"/>
        <v>89</v>
      </c>
      <c r="J140" s="53" t="str">
        <f t="shared" si="299"/>
        <v>0</v>
      </c>
      <c r="K140" s="155" t="str">
        <f t="shared" si="300"/>
        <v>0.00</v>
      </c>
      <c r="L140" s="156" t="str">
        <f t="shared" si="301"/>
        <v>0.00 </v>
      </c>
      <c r="M140" s="132">
        <v>90.0</v>
      </c>
      <c r="N140" s="157">
        <v>770.48</v>
      </c>
      <c r="O140" s="277">
        <v>839.82</v>
      </c>
      <c r="P140" s="277">
        <v>816.71</v>
      </c>
      <c r="Q140" s="157">
        <v>770.48</v>
      </c>
      <c r="R140" s="158">
        <v>2250.0</v>
      </c>
      <c r="S140" s="159" t="str">
        <f t="shared" si="302"/>
        <v>2,250.00</v>
      </c>
      <c r="T140" s="160">
        <v>1425.0</v>
      </c>
      <c r="U140" s="161">
        <v>0.26</v>
      </c>
      <c r="V140" s="162" t="str">
        <f t="shared" si="303"/>
        <v>1,665.00</v>
      </c>
      <c r="W140" s="163" t="str">
        <f t="shared" si="304"/>
        <v>60.00</v>
      </c>
      <c r="X140" s="164" t="str">
        <f t="shared" si="305"/>
        <v>124.49</v>
      </c>
      <c r="Y140" s="165" t="str">
        <f t="shared" si="306"/>
        <v>0.00</v>
      </c>
      <c r="Z140" s="166">
        <v>0.14</v>
      </c>
      <c r="AA140" s="167" t="str">
        <f t="shared" si="318"/>
        <v>76</v>
      </c>
      <c r="AB140" s="168" t="str">
        <f t="shared" si="307"/>
        <v>731.250</v>
      </c>
      <c r="AC140" s="168" t="str">
        <f t="shared" si="308"/>
        <v>59.274</v>
      </c>
      <c r="AD140" s="164" t="str">
        <f t="shared" si="309"/>
        <v>4.55</v>
      </c>
      <c r="AE140" s="164">
        <v>90.91</v>
      </c>
      <c r="AF140" s="164" t="str">
        <f t="shared" si="310"/>
        <v>4.80</v>
      </c>
      <c r="AG140" s="165" t="str">
        <f t="shared" si="311"/>
        <v>225.00</v>
      </c>
      <c r="AH140" s="23"/>
      <c r="AI140" s="278">
        <v>0.1</v>
      </c>
      <c r="AJ140" s="24" t="str">
        <f t="shared" si="312"/>
        <v>194.17</v>
      </c>
      <c r="AK140" s="279" t="str">
        <f t="shared" si="313"/>
        <v>25.20%</v>
      </c>
      <c r="AL140" s="280">
        <v>500.0</v>
      </c>
      <c r="AM140" s="281" t="str">
        <f t="shared" si="193"/>
        <v>97,082.51</v>
      </c>
      <c r="AN140" s="280">
        <v>478.0</v>
      </c>
      <c r="AO140" s="282"/>
      <c r="AP140" s="283"/>
      <c r="AQ140" s="283" t="str">
        <f t="shared" si="194"/>
        <v>0.00</v>
      </c>
      <c r="AR140" s="283"/>
      <c r="AS140" s="284">
        <v>350.0</v>
      </c>
      <c r="AT140" s="285" t="str">
        <f t="shared" si="235"/>
        <v>67,957.76</v>
      </c>
      <c r="AU140" s="284">
        <v>199.0</v>
      </c>
      <c r="AV140" s="286">
        <v>0.0158</v>
      </c>
      <c r="AW140" s="285">
        <v>60549.23</v>
      </c>
      <c r="AX140" s="284">
        <v>39.49</v>
      </c>
      <c r="AY140" s="26"/>
      <c r="AZ140" s="171" t="str">
        <f t="shared" si="314"/>
        <v>0.00%</v>
      </c>
      <c r="BA140" s="172" t="str">
        <f t="shared" si="315"/>
        <v>0.00</v>
      </c>
      <c r="BB140" s="173" t="str">
        <f t="shared" si="316"/>
        <v>1,993.74</v>
      </c>
      <c r="BC140" s="174" t="str">
        <f t="shared" si="317"/>
        <v>1,415.56</v>
      </c>
    </row>
    <row r="141" ht="12.75" hidden="1" customHeight="1">
      <c r="A141" s="26"/>
      <c r="B141" s="190" t="s">
        <v>295</v>
      </c>
      <c r="C141" s="192">
        <v>2.07467958E8</v>
      </c>
      <c r="D141" s="190" t="s">
        <v>296</v>
      </c>
      <c r="E141" s="53" t="s">
        <v>77</v>
      </c>
      <c r="F141" s="154">
        <v>1.0</v>
      </c>
      <c r="G141" s="53"/>
      <c r="H141" s="53" t="str">
        <f t="shared" si="297"/>
        <v>0.00069</v>
      </c>
      <c r="I141" s="53" t="str">
        <f t="shared" si="298"/>
        <v>89</v>
      </c>
      <c r="J141" s="53" t="str">
        <f t="shared" si="299"/>
        <v>0</v>
      </c>
      <c r="K141" s="155" t="str">
        <f t="shared" si="300"/>
        <v>0.00</v>
      </c>
      <c r="L141" s="156" t="str">
        <f t="shared" si="301"/>
        <v>0.00 </v>
      </c>
      <c r="M141" s="132">
        <v>90.0</v>
      </c>
      <c r="N141" s="157">
        <v>0.0</v>
      </c>
      <c r="O141" s="277">
        <v>0.0</v>
      </c>
      <c r="P141" s="277" t="str">
        <f t="shared" ref="P141:P145" si="319">K141/E141</f>
        <v>#VALUE!</v>
      </c>
      <c r="Q141" s="157">
        <v>0.0</v>
      </c>
      <c r="R141" s="158">
        <v>925.8</v>
      </c>
      <c r="S141" s="159" t="str">
        <f t="shared" ref="S141:S145" si="320">BB141</f>
        <v>311.22</v>
      </c>
      <c r="T141" s="160"/>
      <c r="U141" s="161">
        <v>0.26</v>
      </c>
      <c r="V141" s="162" t="str">
        <f t="shared" si="303"/>
        <v>685.09</v>
      </c>
      <c r="W141" s="163" t="str">
        <f t="shared" si="304"/>
        <v>60.00</v>
      </c>
      <c r="X141" s="164" t="str">
        <f t="shared" si="305"/>
        <v>51.22</v>
      </c>
      <c r="Y141" s="165" t="str">
        <f t="shared" si="306"/>
        <v>0.00</v>
      </c>
      <c r="Z141" s="166">
        <v>0.51</v>
      </c>
      <c r="AA141" s="167" t="str">
        <f t="shared" si="318"/>
        <v>76</v>
      </c>
      <c r="AB141" s="168" t="str">
        <f t="shared" si="307"/>
        <v>300.885</v>
      </c>
      <c r="AC141" s="168" t="str">
        <f t="shared" si="308"/>
        <v>24.389</v>
      </c>
      <c r="AD141" s="164" t="str">
        <f t="shared" si="309"/>
        <v>2.08</v>
      </c>
      <c r="AE141" s="164">
        <v>95.85</v>
      </c>
      <c r="AF141" s="164" t="str">
        <f t="shared" si="310"/>
        <v>4.80</v>
      </c>
      <c r="AG141" s="165" t="str">
        <f t="shared" si="311"/>
        <v>92.58</v>
      </c>
      <c r="AH141" s="23"/>
      <c r="AI141" s="278">
        <v>0.1</v>
      </c>
      <c r="AJ141" s="24" t="str">
        <f t="shared" si="312"/>
        <v>313.85</v>
      </c>
      <c r="AK141" s="279" t="str">
        <f t="shared" si="313"/>
        <v>#DIV/0!</v>
      </c>
      <c r="AL141" s="280"/>
      <c r="AM141" s="281" t="str">
        <f t="shared" si="193"/>
        <v>0.00</v>
      </c>
      <c r="AN141" s="280"/>
      <c r="AO141" s="282"/>
      <c r="AP141" s="283"/>
      <c r="AQ141" s="283" t="str">
        <f t="shared" si="194"/>
        <v>0.00</v>
      </c>
      <c r="AR141" s="283"/>
      <c r="AS141" s="284"/>
      <c r="AT141" s="285" t="str">
        <f t="shared" si="235"/>
        <v>0.00</v>
      </c>
      <c r="AU141" s="284"/>
      <c r="AV141" s="286"/>
      <c r="AW141" s="285"/>
      <c r="AX141" s="284"/>
      <c r="AY141" s="26"/>
      <c r="AZ141" s="171" t="str">
        <f t="shared" si="314"/>
        <v>0.00%</v>
      </c>
      <c r="BA141" s="172" t="str">
        <f t="shared" si="315"/>
        <v>0.00</v>
      </c>
      <c r="BB141" s="173" t="str">
        <f t="shared" si="316"/>
        <v>311.22</v>
      </c>
      <c r="BC141" s="174" t="str">
        <f t="shared" si="317"/>
        <v>220.97</v>
      </c>
    </row>
    <row r="142" ht="12.75" hidden="1" customHeight="1">
      <c r="A142" s="26"/>
      <c r="B142" s="190" t="s">
        <v>297</v>
      </c>
      <c r="C142" s="192">
        <v>2.07467709E8</v>
      </c>
      <c r="D142" s="152" t="s">
        <v>298</v>
      </c>
      <c r="E142" s="53" t="s">
        <v>77</v>
      </c>
      <c r="F142" s="154">
        <v>1.0</v>
      </c>
      <c r="G142" s="53"/>
      <c r="H142" s="53" t="str">
        <f t="shared" si="297"/>
        <v>0.00069</v>
      </c>
      <c r="I142" s="53" t="str">
        <f t="shared" si="298"/>
        <v>89</v>
      </c>
      <c r="J142" s="53" t="str">
        <f t="shared" si="299"/>
        <v>0</v>
      </c>
      <c r="K142" s="155" t="str">
        <f t="shared" si="300"/>
        <v>0.00</v>
      </c>
      <c r="L142" s="156" t="str">
        <f t="shared" si="301"/>
        <v>0.00 </v>
      </c>
      <c r="M142" s="132">
        <v>90.0</v>
      </c>
      <c r="N142" s="157">
        <v>0.0</v>
      </c>
      <c r="O142" s="277">
        <v>0.0</v>
      </c>
      <c r="P142" s="277" t="str">
        <f t="shared" si="319"/>
        <v>#VALUE!</v>
      </c>
      <c r="Q142" s="157">
        <v>0.0</v>
      </c>
      <c r="R142" s="158">
        <v>1599.3</v>
      </c>
      <c r="S142" s="159" t="str">
        <f t="shared" si="320"/>
        <v>309.43</v>
      </c>
      <c r="T142" s="160"/>
      <c r="U142" s="161">
        <v>0.26</v>
      </c>
      <c r="V142" s="162" t="str">
        <f t="shared" si="303"/>
        <v>1,183.48</v>
      </c>
      <c r="W142" s="163" t="str">
        <f t="shared" si="304"/>
        <v>60.00</v>
      </c>
      <c r="X142" s="164" t="str">
        <f t="shared" si="305"/>
        <v>88.48</v>
      </c>
      <c r="Y142" s="165" t="str">
        <f t="shared" si="306"/>
        <v>0.00</v>
      </c>
      <c r="Z142" s="166">
        <v>0.38</v>
      </c>
      <c r="AA142" s="167" t="str">
        <f t="shared" si="318"/>
        <v>76</v>
      </c>
      <c r="AB142" s="168" t="str">
        <f t="shared" si="307"/>
        <v>519.773</v>
      </c>
      <c r="AC142" s="168" t="str">
        <f t="shared" si="308"/>
        <v>42.132</v>
      </c>
      <c r="AD142" s="164" t="str">
        <f t="shared" si="309"/>
        <v>1.25</v>
      </c>
      <c r="AE142" s="164">
        <v>97.5</v>
      </c>
      <c r="AF142" s="164" t="str">
        <f t="shared" si="310"/>
        <v>4.80</v>
      </c>
      <c r="AG142" s="165" t="str">
        <f t="shared" si="311"/>
        <v>159.93</v>
      </c>
      <c r="AH142" s="23"/>
      <c r="AI142" s="278">
        <v>0.1</v>
      </c>
      <c r="AJ142" s="24" t="str">
        <f t="shared" si="312"/>
        <v>646.93</v>
      </c>
      <c r="AK142" s="279" t="str">
        <f t="shared" si="313"/>
        <v>#DIV/0!</v>
      </c>
      <c r="AL142" s="280"/>
      <c r="AM142" s="281" t="str">
        <f t="shared" si="193"/>
        <v>0.00</v>
      </c>
      <c r="AN142" s="280"/>
      <c r="AO142" s="282"/>
      <c r="AP142" s="283"/>
      <c r="AQ142" s="283" t="str">
        <f t="shared" si="194"/>
        <v>0.00</v>
      </c>
      <c r="AR142" s="283"/>
      <c r="AS142" s="284"/>
      <c r="AT142" s="285" t="str">
        <f t="shared" si="235"/>
        <v>0.00</v>
      </c>
      <c r="AU142" s="284"/>
      <c r="AV142" s="286"/>
      <c r="AW142" s="285"/>
      <c r="AX142" s="284"/>
      <c r="AY142" s="26"/>
      <c r="AZ142" s="171" t="str">
        <f t="shared" si="314"/>
        <v>0.00%</v>
      </c>
      <c r="BA142" s="172" t="str">
        <f t="shared" si="315"/>
        <v>0.00</v>
      </c>
      <c r="BB142" s="173" t="str">
        <f t="shared" si="316"/>
        <v>309.43</v>
      </c>
      <c r="BC142" s="174" t="str">
        <f t="shared" si="317"/>
        <v>219.69</v>
      </c>
    </row>
    <row r="143" ht="12.75" hidden="1" customHeight="1">
      <c r="A143" s="26"/>
      <c r="B143" s="190" t="s">
        <v>299</v>
      </c>
      <c r="C143" s="192">
        <v>2.07468578E8</v>
      </c>
      <c r="D143" s="190" t="s">
        <v>300</v>
      </c>
      <c r="E143" s="53" t="s">
        <v>77</v>
      </c>
      <c r="F143" s="154">
        <v>1.0</v>
      </c>
      <c r="G143" s="53"/>
      <c r="H143" s="53" t="str">
        <f t="shared" si="297"/>
        <v>0.00069</v>
      </c>
      <c r="I143" s="53" t="str">
        <f t="shared" si="298"/>
        <v>89</v>
      </c>
      <c r="J143" s="53" t="str">
        <f t="shared" si="299"/>
        <v>0</v>
      </c>
      <c r="K143" s="155" t="str">
        <f t="shared" si="300"/>
        <v>0.00</v>
      </c>
      <c r="L143" s="156" t="str">
        <f t="shared" si="301"/>
        <v>0.00 </v>
      </c>
      <c r="M143" s="132">
        <v>90.0</v>
      </c>
      <c r="N143" s="157">
        <v>0.0</v>
      </c>
      <c r="O143" s="277">
        <v>0.0</v>
      </c>
      <c r="P143" s="277" t="str">
        <f t="shared" si="319"/>
        <v>#VALUE!</v>
      </c>
      <c r="Q143" s="157">
        <v>0.0</v>
      </c>
      <c r="R143" s="158">
        <v>1874.7</v>
      </c>
      <c r="S143" s="159" t="str">
        <f t="shared" si="320"/>
        <v>312.02</v>
      </c>
      <c r="T143" s="160"/>
      <c r="U143" s="161">
        <v>0.26</v>
      </c>
      <c r="V143" s="162" t="str">
        <f t="shared" si="303"/>
        <v>1,387.28</v>
      </c>
      <c r="W143" s="163" t="str">
        <f t="shared" si="304"/>
        <v>60.00</v>
      </c>
      <c r="X143" s="164" t="str">
        <f t="shared" si="305"/>
        <v>103.72</v>
      </c>
      <c r="Y143" s="165" t="str">
        <f t="shared" si="306"/>
        <v>0.00</v>
      </c>
      <c r="Z143" s="166">
        <v>0.38</v>
      </c>
      <c r="AA143" s="167" t="str">
        <f t="shared" si="318"/>
        <v>76</v>
      </c>
      <c r="AB143" s="168" t="str">
        <f t="shared" si="307"/>
        <v>609.278</v>
      </c>
      <c r="AC143" s="168" t="str">
        <f t="shared" si="308"/>
        <v>49.387</v>
      </c>
      <c r="AD143" s="164" t="str">
        <f t="shared" si="309"/>
        <v>2.44</v>
      </c>
      <c r="AE143" s="164">
        <v>95.12</v>
      </c>
      <c r="AF143" s="164" t="str">
        <f t="shared" si="310"/>
        <v>4.80</v>
      </c>
      <c r="AG143" s="165" t="str">
        <f t="shared" si="311"/>
        <v>187.47</v>
      </c>
      <c r="AH143" s="23"/>
      <c r="AI143" s="278">
        <v>0.1</v>
      </c>
      <c r="AJ143" s="24" t="str">
        <f t="shared" si="312"/>
        <v>781.60</v>
      </c>
      <c r="AK143" s="279" t="str">
        <f t="shared" si="313"/>
        <v>#DIV/0!</v>
      </c>
      <c r="AL143" s="280"/>
      <c r="AM143" s="281" t="str">
        <f t="shared" si="193"/>
        <v>0.00</v>
      </c>
      <c r="AN143" s="280"/>
      <c r="AO143" s="282"/>
      <c r="AP143" s="283"/>
      <c r="AQ143" s="283" t="str">
        <f t="shared" si="194"/>
        <v>0.00</v>
      </c>
      <c r="AR143" s="283"/>
      <c r="AS143" s="284"/>
      <c r="AT143" s="285" t="str">
        <f t="shared" si="235"/>
        <v>0.00</v>
      </c>
      <c r="AU143" s="284"/>
      <c r="AV143" s="286"/>
      <c r="AW143" s="285"/>
      <c r="AX143" s="284"/>
      <c r="AY143" s="26"/>
      <c r="AZ143" s="171" t="str">
        <f t="shared" si="314"/>
        <v>0.00%</v>
      </c>
      <c r="BA143" s="172" t="str">
        <f t="shared" si="315"/>
        <v>0.00</v>
      </c>
      <c r="BB143" s="173" t="str">
        <f t="shared" si="316"/>
        <v>312.02</v>
      </c>
      <c r="BC143" s="174" t="str">
        <f t="shared" si="317"/>
        <v>221.53</v>
      </c>
    </row>
    <row r="144" ht="12.75" hidden="1" customHeight="1">
      <c r="A144" s="26"/>
      <c r="B144" s="190" t="s">
        <v>301</v>
      </c>
      <c r="C144" s="192">
        <v>2.07468348E8</v>
      </c>
      <c r="D144" s="152" t="s">
        <v>302</v>
      </c>
      <c r="E144" s="53" t="s">
        <v>77</v>
      </c>
      <c r="F144" s="154">
        <v>1.0</v>
      </c>
      <c r="G144" s="53"/>
      <c r="H144" s="53" t="str">
        <f t="shared" si="297"/>
        <v>0.00069</v>
      </c>
      <c r="I144" s="53" t="str">
        <f t="shared" si="298"/>
        <v>89</v>
      </c>
      <c r="J144" s="53" t="str">
        <f t="shared" si="299"/>
        <v>0</v>
      </c>
      <c r="K144" s="155" t="str">
        <f t="shared" si="300"/>
        <v>0.00</v>
      </c>
      <c r="L144" s="156" t="str">
        <f t="shared" si="301"/>
        <v>0.00 </v>
      </c>
      <c r="M144" s="132">
        <v>90.0</v>
      </c>
      <c r="N144" s="157">
        <v>0.0</v>
      </c>
      <c r="O144" s="277">
        <v>0.0</v>
      </c>
      <c r="P144" s="277" t="str">
        <f t="shared" si="319"/>
        <v>#VALUE!</v>
      </c>
      <c r="Q144" s="157">
        <v>0.0</v>
      </c>
      <c r="R144" s="158">
        <v>1036.2</v>
      </c>
      <c r="S144" s="159" t="str">
        <f t="shared" si="320"/>
        <v>309.22</v>
      </c>
      <c r="T144" s="160"/>
      <c r="U144" s="161">
        <v>0.26</v>
      </c>
      <c r="V144" s="162" t="str">
        <f t="shared" si="303"/>
        <v>766.79</v>
      </c>
      <c r="W144" s="163" t="str">
        <f t="shared" si="304"/>
        <v>60.00</v>
      </c>
      <c r="X144" s="164" t="str">
        <f t="shared" si="305"/>
        <v>57.33</v>
      </c>
      <c r="Y144" s="165" t="str">
        <f t="shared" si="306"/>
        <v>0.00</v>
      </c>
      <c r="Z144" s="166">
        <v>0.61</v>
      </c>
      <c r="AA144" s="167" t="str">
        <f t="shared" si="318"/>
        <v>76</v>
      </c>
      <c r="AB144" s="168" t="str">
        <f t="shared" si="307"/>
        <v>336.765</v>
      </c>
      <c r="AC144" s="168" t="str">
        <f t="shared" si="308"/>
        <v>27.298</v>
      </c>
      <c r="AD144" s="164" t="str">
        <f t="shared" si="309"/>
        <v>1.16</v>
      </c>
      <c r="AE144" s="164">
        <v>97.69</v>
      </c>
      <c r="AF144" s="164" t="str">
        <f t="shared" si="310"/>
        <v>4.80</v>
      </c>
      <c r="AG144" s="165" t="str">
        <f t="shared" si="311"/>
        <v>103.62</v>
      </c>
      <c r="AH144" s="23"/>
      <c r="AI144" s="278">
        <v>0.1</v>
      </c>
      <c r="AJ144" s="24" t="str">
        <f t="shared" si="312"/>
        <v>369.23</v>
      </c>
      <c r="AK144" s="279" t="str">
        <f t="shared" si="313"/>
        <v>#DIV/0!</v>
      </c>
      <c r="AL144" s="280"/>
      <c r="AM144" s="281" t="str">
        <f t="shared" si="193"/>
        <v>0.00</v>
      </c>
      <c r="AN144" s="280"/>
      <c r="AO144" s="282"/>
      <c r="AP144" s="283"/>
      <c r="AQ144" s="283" t="str">
        <f t="shared" si="194"/>
        <v>0.00</v>
      </c>
      <c r="AR144" s="283"/>
      <c r="AS144" s="284"/>
      <c r="AT144" s="285" t="str">
        <f t="shared" si="235"/>
        <v>0.00</v>
      </c>
      <c r="AU144" s="284"/>
      <c r="AV144" s="286"/>
      <c r="AW144" s="285"/>
      <c r="AX144" s="284"/>
      <c r="AY144" s="26"/>
      <c r="AZ144" s="171" t="str">
        <f t="shared" si="314"/>
        <v>0.00%</v>
      </c>
      <c r="BA144" s="172" t="str">
        <f t="shared" si="315"/>
        <v>0.00</v>
      </c>
      <c r="BB144" s="173" t="str">
        <f t="shared" si="316"/>
        <v>309.22</v>
      </c>
      <c r="BC144" s="174" t="str">
        <f t="shared" si="317"/>
        <v>219.55</v>
      </c>
    </row>
    <row r="145" ht="12.75" hidden="1" customHeight="1">
      <c r="A145" s="26"/>
      <c r="B145" s="190" t="s">
        <v>303</v>
      </c>
      <c r="C145" s="192">
        <v>2.07468972E8</v>
      </c>
      <c r="D145" s="152" t="s">
        <v>304</v>
      </c>
      <c r="E145" s="53" t="s">
        <v>77</v>
      </c>
      <c r="F145" s="154">
        <v>1.0</v>
      </c>
      <c r="G145" s="53"/>
      <c r="H145" s="53" t="str">
        <f t="shared" si="297"/>
        <v>0.00069</v>
      </c>
      <c r="I145" s="53" t="str">
        <f t="shared" si="298"/>
        <v>89</v>
      </c>
      <c r="J145" s="53" t="str">
        <f t="shared" si="299"/>
        <v>0</v>
      </c>
      <c r="K145" s="155" t="str">
        <f t="shared" si="300"/>
        <v>0.00</v>
      </c>
      <c r="L145" s="156" t="str">
        <f t="shared" si="301"/>
        <v>0.00 </v>
      </c>
      <c r="M145" s="132">
        <v>90.0</v>
      </c>
      <c r="N145" s="157">
        <v>0.0</v>
      </c>
      <c r="O145" s="277">
        <v>0.0</v>
      </c>
      <c r="P145" s="277" t="str">
        <f t="shared" si="319"/>
        <v>#VALUE!</v>
      </c>
      <c r="Q145" s="157">
        <v>0.0</v>
      </c>
      <c r="R145" s="158">
        <v>1478.4</v>
      </c>
      <c r="S145" s="159" t="str">
        <f t="shared" si="320"/>
        <v>309.43</v>
      </c>
      <c r="T145" s="160"/>
      <c r="U145" s="161">
        <v>0.26</v>
      </c>
      <c r="V145" s="162" t="str">
        <f t="shared" si="303"/>
        <v>1,094.02</v>
      </c>
      <c r="W145" s="163" t="str">
        <f t="shared" si="304"/>
        <v>60.00</v>
      </c>
      <c r="X145" s="164" t="str">
        <f t="shared" si="305"/>
        <v>81.80</v>
      </c>
      <c r="Y145" s="165" t="str">
        <f t="shared" si="306"/>
        <v>0.00</v>
      </c>
      <c r="Z145" s="166">
        <v>0.4</v>
      </c>
      <c r="AA145" s="167" t="str">
        <f t="shared" si="318"/>
        <v>76</v>
      </c>
      <c r="AB145" s="168" t="str">
        <f t="shared" si="307"/>
        <v>480.480</v>
      </c>
      <c r="AC145" s="168" t="str">
        <f t="shared" si="308"/>
        <v>38.947</v>
      </c>
      <c r="AD145" s="164" t="str">
        <f t="shared" si="309"/>
        <v>1.25</v>
      </c>
      <c r="AE145" s="164">
        <v>97.5</v>
      </c>
      <c r="AF145" s="164" t="str">
        <f t="shared" si="310"/>
        <v>4.80</v>
      </c>
      <c r="AG145" s="165" t="str">
        <f t="shared" si="311"/>
        <v>147.84</v>
      </c>
      <c r="AH145" s="23"/>
      <c r="AI145" s="278">
        <v>0.1</v>
      </c>
      <c r="AJ145" s="24" t="str">
        <f t="shared" si="312"/>
        <v>587.29</v>
      </c>
      <c r="AK145" s="279" t="str">
        <f t="shared" si="313"/>
        <v>#DIV/0!</v>
      </c>
      <c r="AL145" s="280"/>
      <c r="AM145" s="281" t="str">
        <f t="shared" si="193"/>
        <v>0.00</v>
      </c>
      <c r="AN145" s="280"/>
      <c r="AO145" s="282"/>
      <c r="AP145" s="283"/>
      <c r="AQ145" s="283" t="str">
        <f t="shared" si="194"/>
        <v>0.00</v>
      </c>
      <c r="AR145" s="283"/>
      <c r="AS145" s="284"/>
      <c r="AT145" s="285" t="str">
        <f t="shared" si="235"/>
        <v>0.00</v>
      </c>
      <c r="AU145" s="284"/>
      <c r="AV145" s="286"/>
      <c r="AW145" s="285"/>
      <c r="AX145" s="284"/>
      <c r="AY145" s="26"/>
      <c r="AZ145" s="171" t="str">
        <f t="shared" si="314"/>
        <v>0.00%</v>
      </c>
      <c r="BA145" s="172" t="str">
        <f t="shared" si="315"/>
        <v>0.00</v>
      </c>
      <c r="BB145" s="173" t="str">
        <f t="shared" si="316"/>
        <v>309.43</v>
      </c>
      <c r="BC145" s="174" t="str">
        <f t="shared" si="317"/>
        <v>219.69</v>
      </c>
    </row>
    <row r="146" ht="12.75" customHeight="1">
      <c r="A146" s="26"/>
      <c r="B146" s="125" t="s">
        <v>305</v>
      </c>
      <c r="C146" s="126"/>
      <c r="D146" s="127"/>
      <c r="E146" s="128"/>
      <c r="F146" s="128"/>
      <c r="G146" s="128"/>
      <c r="H146" s="197"/>
      <c r="I146" s="197"/>
      <c r="J146" s="128"/>
      <c r="K146" s="130"/>
      <c r="L146" s="131"/>
      <c r="M146" s="132"/>
      <c r="N146" s="176"/>
      <c r="O146" s="133"/>
      <c r="P146" s="133"/>
      <c r="Q146" s="176"/>
      <c r="R146" s="134"/>
      <c r="S146" s="135"/>
      <c r="T146" s="135"/>
      <c r="U146" s="136"/>
      <c r="V146" s="137"/>
      <c r="W146" s="177"/>
      <c r="X146" s="178"/>
      <c r="Y146" s="179"/>
      <c r="Z146" s="180"/>
      <c r="AA146" s="181"/>
      <c r="AB146" s="182"/>
      <c r="AC146" s="182"/>
      <c r="AD146" s="178"/>
      <c r="AE146" s="178"/>
      <c r="AF146" s="178"/>
      <c r="AG146" s="179"/>
      <c r="AH146" s="183"/>
      <c r="AI146" s="271"/>
      <c r="AJ146" s="287"/>
      <c r="AK146" s="288"/>
      <c r="AL146" s="280"/>
      <c r="AM146" s="281" t="str">
        <f t="shared" si="193"/>
        <v>0.00</v>
      </c>
      <c r="AN146" s="280"/>
      <c r="AO146" s="282"/>
      <c r="AP146" s="283"/>
      <c r="AQ146" s="283" t="str">
        <f t="shared" si="194"/>
        <v>0.00</v>
      </c>
      <c r="AR146" s="283"/>
      <c r="AS146" s="284"/>
      <c r="AT146" s="285" t="str">
        <f t="shared" si="235"/>
        <v>0.00</v>
      </c>
      <c r="AU146" s="284"/>
      <c r="AV146" s="286"/>
      <c r="AW146" s="285"/>
      <c r="AX146" s="284"/>
      <c r="AY146" s="26"/>
      <c r="AZ146" s="186"/>
      <c r="BA146" s="187"/>
      <c r="BB146" s="188"/>
      <c r="BC146" s="189"/>
    </row>
    <row r="147" ht="12.75" customHeight="1">
      <c r="A147" s="26"/>
      <c r="B147" s="190" t="s">
        <v>306</v>
      </c>
      <c r="C147" s="199">
        <v>2.06122859E8</v>
      </c>
      <c r="D147" s="152" t="s">
        <v>307</v>
      </c>
      <c r="E147" s="53" t="s">
        <v>77</v>
      </c>
      <c r="F147" s="154">
        <v>1.0</v>
      </c>
      <c r="G147" s="53"/>
      <c r="H147" s="53" t="str">
        <f t="shared" ref="H147:H150" si="321">$I$2</f>
        <v>0.00069</v>
      </c>
      <c r="I147" s="53" t="str">
        <f t="shared" ref="I147:I150" si="322">$I$3</f>
        <v>89</v>
      </c>
      <c r="J147" s="53" t="str">
        <f t="shared" ref="J147:J150" si="323">G147*H147*I147*F147</f>
        <v>0</v>
      </c>
      <c r="K147" s="155" t="str">
        <f t="shared" ref="K147:K150" si="324">J147*$J$4</f>
        <v>0.00</v>
      </c>
      <c r="L147" s="156" t="str">
        <f t="shared" ref="L147:L150" si="325">K147+J147</f>
        <v>0.00 </v>
      </c>
      <c r="M147" s="132">
        <v>90.0</v>
      </c>
      <c r="N147" s="157">
        <v>573.21</v>
      </c>
      <c r="O147" s="277">
        <v>624.8</v>
      </c>
      <c r="P147" s="277">
        <v>607.6</v>
      </c>
      <c r="Q147" s="157">
        <v>573.21</v>
      </c>
      <c r="R147" s="158">
        <v>1500.0</v>
      </c>
      <c r="S147" s="159" t="str">
        <f t="shared" ref="S147:S149" si="326">R147</f>
        <v>1,500.00</v>
      </c>
      <c r="T147" s="160">
        <v>1828.0</v>
      </c>
      <c r="U147" s="161">
        <v>0.26</v>
      </c>
      <c r="V147" s="162" t="str">
        <f t="shared" ref="V147:V150" si="327">R147-(R147*U147)</f>
        <v>1,110.00</v>
      </c>
      <c r="W147" s="163" t="str">
        <f t="shared" ref="W147:W150" si="328">$C$1</f>
        <v>60.00</v>
      </c>
      <c r="X147" s="164" t="str">
        <f t="shared" ref="X147:X150" si="329">(V147*7/107)+((V147-(V147*7/107))*1%)</f>
        <v>82.99</v>
      </c>
      <c r="Y147" s="165" t="str">
        <f t="shared" ref="Y147:Y150" si="330">Q147*$C$3*(M147/30)</f>
        <v>0.00</v>
      </c>
      <c r="Z147" s="166">
        <v>0.29</v>
      </c>
      <c r="AA147" s="167">
        <v>82.0</v>
      </c>
      <c r="AB147" s="168" t="str">
        <f t="shared" ref="AB147:AB150" si="331">R147*$AB$6</f>
        <v>487.500</v>
      </c>
      <c r="AC147" s="168" t="str">
        <f t="shared" ref="AC147:AC150" si="332">V147*$AB$7</f>
        <v>39.516</v>
      </c>
      <c r="AD147" s="164" t="str">
        <f t="shared" ref="AD147:AD150" si="333">$AB$3*((100-AE147)/100)</f>
        <v>7.41</v>
      </c>
      <c r="AE147" s="164">
        <v>85.19</v>
      </c>
      <c r="AF147" s="164" t="str">
        <f t="shared" ref="AF147:AF150" si="334">$C$6*$C$7*_xlfn.CEILING.MATH(Z147)</f>
        <v>4.80</v>
      </c>
      <c r="AG147" s="165" t="str">
        <f t="shared" ref="AG147:AG150" si="335">R147*$C$2</f>
        <v>150.00</v>
      </c>
      <c r="AH147" s="23"/>
      <c r="AI147" s="278">
        <v>0.1</v>
      </c>
      <c r="AJ147" s="24" t="str">
        <f t="shared" ref="AJ147:AJ150" si="336">R147-W147-X147-Y147-AA147-AB147-AC147-AD147-AF147-AG147-Q147</f>
        <v>12.58</v>
      </c>
      <c r="AK147" s="279" t="str">
        <f t="shared" ref="AK147:AK150" si="337">AJ147/Q147</f>
        <v>2.19%</v>
      </c>
      <c r="AL147" s="280">
        <v>140.0</v>
      </c>
      <c r="AM147" s="281" t="str">
        <f t="shared" si="193"/>
        <v>1,760.97</v>
      </c>
      <c r="AN147" s="280">
        <v>5.0</v>
      </c>
      <c r="AO147" s="282"/>
      <c r="AP147" s="283"/>
      <c r="AQ147" s="283" t="str">
        <f t="shared" si="194"/>
        <v>0.00</v>
      </c>
      <c r="AR147" s="283"/>
      <c r="AS147" s="284">
        <v>100.0</v>
      </c>
      <c r="AT147" s="285" t="str">
        <f t="shared" si="235"/>
        <v>1,257.83</v>
      </c>
      <c r="AU147" s="284">
        <v>0.0</v>
      </c>
      <c r="AV147" s="286"/>
      <c r="AW147" s="285">
        <v>0.0</v>
      </c>
      <c r="AX147" s="284"/>
      <c r="AY147" s="26"/>
      <c r="AZ147" s="171" t="str">
        <f t="shared" ref="AZ147:AZ150" si="338">$AG$3</f>
        <v>0.00%</v>
      </c>
      <c r="BA147" s="172" t="str">
        <f t="shared" ref="BA147:BA150" si="339">Q147*AZ147</f>
        <v>0.00</v>
      </c>
      <c r="BB147" s="173" t="str">
        <f t="shared" ref="BB147:BB150" si="340">(Q147+W147+Y147+AA147+AD147+AF147+AI147+BA147)/(100%-($C$2+$C$8+$AB$6+$AB$7))</f>
        <v>1,583.62</v>
      </c>
      <c r="BC147" s="174" t="str">
        <f t="shared" ref="BC147:BC150" si="341">BB147-(BB147*$AG$1)</f>
        <v>1,124.37</v>
      </c>
    </row>
    <row r="148" ht="12.75" customHeight="1">
      <c r="A148" s="26"/>
      <c r="B148" s="190" t="s">
        <v>308</v>
      </c>
      <c r="C148" s="199">
        <v>2.06135397E8</v>
      </c>
      <c r="D148" s="152" t="s">
        <v>309</v>
      </c>
      <c r="E148" s="53" t="s">
        <v>77</v>
      </c>
      <c r="F148" s="154">
        <v>1.0</v>
      </c>
      <c r="G148" s="53"/>
      <c r="H148" s="53" t="str">
        <f t="shared" si="321"/>
        <v>0.00069</v>
      </c>
      <c r="I148" s="53" t="str">
        <f t="shared" si="322"/>
        <v>89</v>
      </c>
      <c r="J148" s="53" t="str">
        <f t="shared" si="323"/>
        <v>0</v>
      </c>
      <c r="K148" s="155" t="str">
        <f t="shared" si="324"/>
        <v>0.00</v>
      </c>
      <c r="L148" s="156" t="str">
        <f t="shared" si="325"/>
        <v>0.00 </v>
      </c>
      <c r="M148" s="132">
        <v>90.0</v>
      </c>
      <c r="N148" s="157">
        <v>616.08</v>
      </c>
      <c r="O148" s="277">
        <v>671.53</v>
      </c>
      <c r="P148" s="277">
        <v>653.04</v>
      </c>
      <c r="Q148" s="157">
        <v>616.08</v>
      </c>
      <c r="R148" s="158">
        <v>1500.0</v>
      </c>
      <c r="S148" s="159" t="str">
        <f t="shared" si="326"/>
        <v>1,500.00</v>
      </c>
      <c r="T148" s="160">
        <v>1325.0</v>
      </c>
      <c r="U148" s="161">
        <v>0.26</v>
      </c>
      <c r="V148" s="162" t="str">
        <f t="shared" si="327"/>
        <v>1,110.00</v>
      </c>
      <c r="W148" s="163" t="str">
        <f t="shared" si="328"/>
        <v>60.00</v>
      </c>
      <c r="X148" s="164" t="str">
        <f t="shared" si="329"/>
        <v>82.99</v>
      </c>
      <c r="Y148" s="165" t="str">
        <f t="shared" si="330"/>
        <v>0.00</v>
      </c>
      <c r="Z148" s="166">
        <v>0.29</v>
      </c>
      <c r="AA148" s="167">
        <v>82.0</v>
      </c>
      <c r="AB148" s="168" t="str">
        <f t="shared" si="331"/>
        <v>487.500</v>
      </c>
      <c r="AC148" s="168" t="str">
        <f t="shared" si="332"/>
        <v>39.516</v>
      </c>
      <c r="AD148" s="164" t="str">
        <f t="shared" si="333"/>
        <v>8.34</v>
      </c>
      <c r="AE148" s="164">
        <v>83.33</v>
      </c>
      <c r="AF148" s="164" t="str">
        <f t="shared" si="334"/>
        <v>4.80</v>
      </c>
      <c r="AG148" s="165" t="str">
        <f t="shared" si="335"/>
        <v>150.00</v>
      </c>
      <c r="AH148" s="23"/>
      <c r="AI148" s="278">
        <v>0.1</v>
      </c>
      <c r="AJ148" s="24" t="str">
        <f t="shared" si="336"/>
        <v>-31.22</v>
      </c>
      <c r="AK148" s="279" t="str">
        <f t="shared" si="337"/>
        <v>-5.07%</v>
      </c>
      <c r="AL148" s="280">
        <v>110.0</v>
      </c>
      <c r="AM148" s="281" t="str">
        <f t="shared" si="193"/>
        <v>-3,434.38</v>
      </c>
      <c r="AN148" s="280">
        <v>155.0</v>
      </c>
      <c r="AO148" s="282">
        <v>13.01</v>
      </c>
      <c r="AP148" s="283">
        <v>120.98</v>
      </c>
      <c r="AQ148" s="283" t="str">
        <f t="shared" si="194"/>
        <v>18,751.90</v>
      </c>
      <c r="AR148" s="283">
        <v>19.42</v>
      </c>
      <c r="AS148" s="284">
        <v>90.0</v>
      </c>
      <c r="AT148" s="285" t="str">
        <f t="shared" si="235"/>
        <v>-2,809.95</v>
      </c>
      <c r="AU148" s="284">
        <v>1.0</v>
      </c>
      <c r="AV148" s="286">
        <v>0.0</v>
      </c>
      <c r="AW148" s="285">
        <v>0.0</v>
      </c>
      <c r="AX148" s="284"/>
      <c r="AY148" s="26"/>
      <c r="AZ148" s="171" t="str">
        <f t="shared" si="338"/>
        <v>0.00%</v>
      </c>
      <c r="BA148" s="172" t="str">
        <f t="shared" si="339"/>
        <v>0.00</v>
      </c>
      <c r="BB148" s="173" t="str">
        <f t="shared" si="340"/>
        <v>1,678.96</v>
      </c>
      <c r="BC148" s="174" t="str">
        <f t="shared" si="341"/>
        <v>1,192.06</v>
      </c>
    </row>
    <row r="149" ht="12.75" customHeight="1">
      <c r="A149" s="26"/>
      <c r="B149" s="190" t="s">
        <v>310</v>
      </c>
      <c r="C149" s="199">
        <v>2.06125905E8</v>
      </c>
      <c r="D149" s="152" t="s">
        <v>311</v>
      </c>
      <c r="E149" s="53" t="s">
        <v>77</v>
      </c>
      <c r="F149" s="154">
        <v>1.0</v>
      </c>
      <c r="G149" s="53"/>
      <c r="H149" s="53" t="str">
        <f t="shared" si="321"/>
        <v>0.00069</v>
      </c>
      <c r="I149" s="53" t="str">
        <f t="shared" si="322"/>
        <v>89</v>
      </c>
      <c r="J149" s="53" t="str">
        <f t="shared" si="323"/>
        <v>0</v>
      </c>
      <c r="K149" s="155" t="str">
        <f t="shared" si="324"/>
        <v>0.00</v>
      </c>
      <c r="L149" s="156" t="str">
        <f t="shared" si="325"/>
        <v>0.00 </v>
      </c>
      <c r="M149" s="132">
        <v>90.0</v>
      </c>
      <c r="N149" s="157">
        <v>616.08</v>
      </c>
      <c r="O149" s="277">
        <v>671.53</v>
      </c>
      <c r="P149" s="277">
        <v>653.04</v>
      </c>
      <c r="Q149" s="157">
        <v>616.08</v>
      </c>
      <c r="R149" s="158">
        <v>1500.0</v>
      </c>
      <c r="S149" s="159" t="str">
        <f t="shared" si="326"/>
        <v>1,500.00</v>
      </c>
      <c r="T149" s="160">
        <v>1812.0</v>
      </c>
      <c r="U149" s="161">
        <v>0.26</v>
      </c>
      <c r="V149" s="162" t="str">
        <f t="shared" si="327"/>
        <v>1,110.00</v>
      </c>
      <c r="W149" s="163" t="str">
        <f t="shared" si="328"/>
        <v>60.00</v>
      </c>
      <c r="X149" s="164" t="str">
        <f t="shared" si="329"/>
        <v>82.99</v>
      </c>
      <c r="Y149" s="165" t="str">
        <f t="shared" si="330"/>
        <v>0.00</v>
      </c>
      <c r="Z149" s="166">
        <v>0.29</v>
      </c>
      <c r="AA149" s="167">
        <v>82.0</v>
      </c>
      <c r="AB149" s="168" t="str">
        <f t="shared" si="331"/>
        <v>487.500</v>
      </c>
      <c r="AC149" s="168" t="str">
        <f t="shared" si="332"/>
        <v>39.516</v>
      </c>
      <c r="AD149" s="164" t="str">
        <f t="shared" si="333"/>
        <v>1.17</v>
      </c>
      <c r="AE149" s="164">
        <v>97.67</v>
      </c>
      <c r="AF149" s="164" t="str">
        <f t="shared" si="334"/>
        <v>4.80</v>
      </c>
      <c r="AG149" s="165" t="str">
        <f t="shared" si="335"/>
        <v>150.00</v>
      </c>
      <c r="AH149" s="23"/>
      <c r="AI149" s="278">
        <v>0.1</v>
      </c>
      <c r="AJ149" s="24" t="str">
        <f t="shared" si="336"/>
        <v>-24.05</v>
      </c>
      <c r="AK149" s="279" t="str">
        <f t="shared" si="337"/>
        <v>-3.90%</v>
      </c>
      <c r="AL149" s="280">
        <v>70.0</v>
      </c>
      <c r="AM149" s="281" t="str">
        <f t="shared" si="193"/>
        <v>-1,683.62</v>
      </c>
      <c r="AN149" s="280">
        <v>1.0</v>
      </c>
      <c r="AO149" s="282"/>
      <c r="AP149" s="283"/>
      <c r="AQ149" s="283" t="str">
        <f t="shared" si="194"/>
        <v>0.00</v>
      </c>
      <c r="AR149" s="283"/>
      <c r="AS149" s="284">
        <v>60.0</v>
      </c>
      <c r="AT149" s="285" t="str">
        <f t="shared" si="235"/>
        <v>-1,443.10</v>
      </c>
      <c r="AU149" s="284">
        <v>0.0</v>
      </c>
      <c r="AV149" s="286"/>
      <c r="AW149" s="285">
        <v>0.0</v>
      </c>
      <c r="AX149" s="284"/>
      <c r="AY149" s="26"/>
      <c r="AZ149" s="171" t="str">
        <f t="shared" si="338"/>
        <v>0.00%</v>
      </c>
      <c r="BA149" s="172" t="str">
        <f t="shared" si="339"/>
        <v>0.00</v>
      </c>
      <c r="BB149" s="173" t="str">
        <f t="shared" si="340"/>
        <v>1,663.35</v>
      </c>
      <c r="BC149" s="174" t="str">
        <f t="shared" si="341"/>
        <v>1,180.98</v>
      </c>
    </row>
    <row r="150" ht="12.75" customHeight="1">
      <c r="A150" s="26"/>
      <c r="B150" s="190" t="s">
        <v>312</v>
      </c>
      <c r="C150" s="199">
        <v>2.06126372E8</v>
      </c>
      <c r="D150" s="152" t="s">
        <v>313</v>
      </c>
      <c r="E150" s="53" t="s">
        <v>77</v>
      </c>
      <c r="F150" s="154">
        <v>1.0</v>
      </c>
      <c r="G150" s="53"/>
      <c r="H150" s="53" t="str">
        <f t="shared" si="321"/>
        <v>0.00069</v>
      </c>
      <c r="I150" s="53" t="str">
        <f t="shared" si="322"/>
        <v>89</v>
      </c>
      <c r="J150" s="53" t="str">
        <f t="shared" si="323"/>
        <v>0</v>
      </c>
      <c r="K150" s="155" t="str">
        <f t="shared" si="324"/>
        <v>0.00</v>
      </c>
      <c r="L150" s="156" t="str">
        <f t="shared" si="325"/>
        <v>0.00 </v>
      </c>
      <c r="M150" s="132">
        <v>90.0</v>
      </c>
      <c r="N150" s="157">
        <v>573.21</v>
      </c>
      <c r="O150" s="277">
        <v>624.8</v>
      </c>
      <c r="P150" s="277">
        <v>607.6</v>
      </c>
      <c r="Q150" s="157">
        <v>573.21</v>
      </c>
      <c r="R150" s="158">
        <v>1500.0</v>
      </c>
      <c r="S150" s="159" t="str">
        <f>BB150</f>
        <v>1,567.50</v>
      </c>
      <c r="T150" s="160">
        <v>1599.0</v>
      </c>
      <c r="U150" s="161">
        <v>0.26</v>
      </c>
      <c r="V150" s="162" t="str">
        <f t="shared" si="327"/>
        <v>1,110.00</v>
      </c>
      <c r="W150" s="163" t="str">
        <f t="shared" si="328"/>
        <v>60.00</v>
      </c>
      <c r="X150" s="164" t="str">
        <f t="shared" si="329"/>
        <v>82.99</v>
      </c>
      <c r="Y150" s="165" t="str">
        <f t="shared" si="330"/>
        <v>0.00</v>
      </c>
      <c r="Z150" s="166">
        <v>0.29</v>
      </c>
      <c r="AA150" s="167">
        <v>82.0</v>
      </c>
      <c r="AB150" s="168" t="str">
        <f t="shared" si="331"/>
        <v>487.500</v>
      </c>
      <c r="AC150" s="168" t="str">
        <f t="shared" si="332"/>
        <v>39.516</v>
      </c>
      <c r="AD150" s="164" t="str">
        <f t="shared" si="333"/>
        <v>0.00</v>
      </c>
      <c r="AE150" s="164">
        <v>100.0</v>
      </c>
      <c r="AF150" s="164" t="str">
        <f t="shared" si="334"/>
        <v>4.80</v>
      </c>
      <c r="AG150" s="165" t="str">
        <f t="shared" si="335"/>
        <v>150.00</v>
      </c>
      <c r="AH150" s="23"/>
      <c r="AI150" s="278">
        <v>0.1</v>
      </c>
      <c r="AJ150" s="24" t="str">
        <f t="shared" si="336"/>
        <v>19.98</v>
      </c>
      <c r="AK150" s="279" t="str">
        <f t="shared" si="337"/>
        <v>3.49%</v>
      </c>
      <c r="AL150" s="280">
        <v>40.0</v>
      </c>
      <c r="AM150" s="281" t="str">
        <f t="shared" si="193"/>
        <v>799.33</v>
      </c>
      <c r="AN150" s="280">
        <v>51.0</v>
      </c>
      <c r="AO150" s="282">
        <v>10.18</v>
      </c>
      <c r="AP150" s="283">
        <v>167.55</v>
      </c>
      <c r="AQ150" s="283" t="str">
        <f t="shared" si="194"/>
        <v>8,545.05</v>
      </c>
      <c r="AR150" s="283">
        <v>28.33</v>
      </c>
      <c r="AS150" s="284">
        <v>40.0</v>
      </c>
      <c r="AT150" s="285" t="str">
        <f t="shared" si="235"/>
        <v>799.33</v>
      </c>
      <c r="AU150" s="284">
        <v>48.0</v>
      </c>
      <c r="AV150" s="286">
        <v>0.029</v>
      </c>
      <c r="AW150" s="285">
        <v>8815.66</v>
      </c>
      <c r="AX150" s="284">
        <v>32.04</v>
      </c>
      <c r="AY150" s="26"/>
      <c r="AZ150" s="171" t="str">
        <f t="shared" si="338"/>
        <v>0.00%</v>
      </c>
      <c r="BA150" s="172" t="str">
        <f t="shared" si="339"/>
        <v>0.00</v>
      </c>
      <c r="BB150" s="173" t="str">
        <f t="shared" si="340"/>
        <v>1,567.50</v>
      </c>
      <c r="BC150" s="174" t="str">
        <f t="shared" si="341"/>
        <v>1,112.93</v>
      </c>
    </row>
    <row r="151" ht="12.75" customHeight="1">
      <c r="A151" s="26"/>
      <c r="B151" s="125" t="s">
        <v>314</v>
      </c>
      <c r="C151" s="126"/>
      <c r="D151" s="127"/>
      <c r="E151" s="128"/>
      <c r="F151" s="128"/>
      <c r="G151" s="128"/>
      <c r="H151" s="197"/>
      <c r="I151" s="197"/>
      <c r="J151" s="128"/>
      <c r="K151" s="130"/>
      <c r="L151" s="131"/>
      <c r="M151" s="132"/>
      <c r="N151" s="176"/>
      <c r="O151" s="133"/>
      <c r="P151" s="133"/>
      <c r="Q151" s="176"/>
      <c r="R151" s="134"/>
      <c r="S151" s="135"/>
      <c r="T151" s="135"/>
      <c r="U151" s="136"/>
      <c r="V151" s="137"/>
      <c r="W151" s="177"/>
      <c r="X151" s="178"/>
      <c r="Y151" s="179"/>
      <c r="Z151" s="180"/>
      <c r="AA151" s="181"/>
      <c r="AB151" s="182"/>
      <c r="AC151" s="182"/>
      <c r="AD151" s="178"/>
      <c r="AE151" s="178"/>
      <c r="AF151" s="178"/>
      <c r="AG151" s="179"/>
      <c r="AH151" s="183"/>
      <c r="AI151" s="183"/>
      <c r="AJ151" s="183"/>
      <c r="AK151" s="288"/>
      <c r="AL151" s="288"/>
      <c r="AM151" s="288"/>
      <c r="AN151" s="288"/>
      <c r="AO151" s="288"/>
      <c r="AP151" s="288"/>
      <c r="AQ151" s="288"/>
      <c r="AR151" s="288"/>
      <c r="AS151" s="289"/>
      <c r="AT151" s="285" t="str">
        <f t="shared" si="235"/>
        <v>0.00</v>
      </c>
      <c r="AU151" s="289"/>
      <c r="AV151" s="289"/>
      <c r="AW151" s="285"/>
      <c r="AX151" s="284"/>
      <c r="AY151" s="26"/>
      <c r="AZ151" s="186"/>
      <c r="BA151" s="187"/>
      <c r="BB151" s="188"/>
      <c r="BC151" s="189"/>
    </row>
    <row r="152" ht="12.75" customHeight="1">
      <c r="A152" s="26"/>
      <c r="B152" s="190" t="s">
        <v>315</v>
      </c>
      <c r="C152" s="199">
        <v>2.07817787E8</v>
      </c>
      <c r="D152" s="152" t="s">
        <v>316</v>
      </c>
      <c r="E152" s="53" t="s">
        <v>77</v>
      </c>
      <c r="F152" s="154">
        <v>1.0</v>
      </c>
      <c r="G152" s="53"/>
      <c r="H152" s="53" t="str">
        <f t="shared" ref="H152:H158" si="342">$I$2</f>
        <v>0.00069</v>
      </c>
      <c r="I152" s="53" t="str">
        <f t="shared" ref="I152:I158" si="343">$I$3</f>
        <v>89</v>
      </c>
      <c r="J152" s="53" t="str">
        <f t="shared" ref="J152:J158" si="344">G152*H152*I152*F152</f>
        <v>0</v>
      </c>
      <c r="K152" s="155" t="str">
        <f t="shared" ref="K152:K158" si="345">J152*$J$4</f>
        <v>0.00</v>
      </c>
      <c r="L152" s="156" t="str">
        <f t="shared" ref="L152:L158" si="346">K152+J152</f>
        <v>0.00 </v>
      </c>
      <c r="M152" s="132">
        <v>90.0</v>
      </c>
      <c r="N152" s="157">
        <v>540.42</v>
      </c>
      <c r="O152" s="277">
        <v>589.06</v>
      </c>
      <c r="P152" s="277">
        <v>572.85</v>
      </c>
      <c r="Q152" s="157">
        <v>540.42</v>
      </c>
      <c r="R152" s="158">
        <v>1590.0</v>
      </c>
      <c r="S152" s="159" t="str">
        <f t="shared" ref="S152:S158" si="347">BB152</f>
        <v>1,483.06</v>
      </c>
      <c r="T152" s="160"/>
      <c r="U152" s="161">
        <v>0.26</v>
      </c>
      <c r="V152" s="162" t="str">
        <f t="shared" ref="V152:V158" si="348">R152-(R152*U152)</f>
        <v>1,176.60</v>
      </c>
      <c r="W152" s="163" t="str">
        <f t="shared" ref="W152:W158" si="349">$C$1</f>
        <v>60.00</v>
      </c>
      <c r="X152" s="164" t="str">
        <f t="shared" ref="X152:X158" si="350">(V152*7/107)+((V152-(V152*7/107))*1%)</f>
        <v>87.97</v>
      </c>
      <c r="Y152" s="165" t="str">
        <f t="shared" ref="Y152:Y158" si="351">Q152*$C$3*(M152/30)</f>
        <v>0.00</v>
      </c>
      <c r="Z152" s="166">
        <v>0.35</v>
      </c>
      <c r="AA152" s="167" t="str">
        <f t="shared" ref="AA152:AA158" si="352">((_xlfn.CEILING.MATH(Z152)-1)*$C$5+$C$4)</f>
        <v>76</v>
      </c>
      <c r="AB152" s="168" t="str">
        <f t="shared" ref="AB152:AB158" si="353">R152*$AB$6</f>
        <v>516.750</v>
      </c>
      <c r="AC152" s="168" t="str">
        <f t="shared" ref="AC152:AC158" si="354">V152*$AB$7</f>
        <v>41.887</v>
      </c>
      <c r="AD152" s="164" t="str">
        <f t="shared" ref="AD152:AD158" si="355">$AB$3*((100-AE152)/100)</f>
        <v>0.00</v>
      </c>
      <c r="AE152" s="164">
        <v>100.0</v>
      </c>
      <c r="AF152" s="164" t="str">
        <f t="shared" ref="AF152:AF158" si="356">$C$6*$C$7*_xlfn.CEILING.MATH(Z152)</f>
        <v>4.80</v>
      </c>
      <c r="AG152" s="165" t="str">
        <f t="shared" ref="AG152:AG158" si="357">R152*$C$2</f>
        <v>159.00</v>
      </c>
      <c r="AH152" s="23"/>
      <c r="AI152" s="278">
        <v>0.1</v>
      </c>
      <c r="AJ152" s="24" t="str">
        <f t="shared" ref="AJ152:AJ158" si="358">R152-W152-X152-Y152-AA152-AB152-AC152-AD152-AF152-AG152-Q152</f>
        <v>103.17</v>
      </c>
      <c r="AK152" s="279" t="str">
        <f t="shared" ref="AK152:AK158" si="359">AJ152/Q152</f>
        <v>19.09%</v>
      </c>
      <c r="AL152" s="280"/>
      <c r="AM152" s="281" t="str">
        <f t="shared" ref="AM152:AM352" si="360">AJ152*AL152</f>
        <v>0.00</v>
      </c>
      <c r="AN152" s="280"/>
      <c r="AO152" s="282">
        <v>157.24</v>
      </c>
      <c r="AP152" s="283">
        <v>-242.27</v>
      </c>
      <c r="AQ152" s="283" t="str">
        <f t="shared" ref="AQ152:AQ352" si="361">AN152*AP152</f>
        <v>0.00</v>
      </c>
      <c r="AR152" s="283">
        <v>-42.29</v>
      </c>
      <c r="AS152" s="284">
        <v>1.0</v>
      </c>
      <c r="AT152" s="285" t="str">
        <f t="shared" si="235"/>
        <v>103.17</v>
      </c>
      <c r="AU152" s="294">
        <v>1.0</v>
      </c>
      <c r="AV152" s="286">
        <v>0.0</v>
      </c>
      <c r="AW152" s="285">
        <v>273.28</v>
      </c>
      <c r="AX152" s="284">
        <v>50.57</v>
      </c>
      <c r="AY152" s="26"/>
      <c r="AZ152" s="171" t="str">
        <f t="shared" ref="AZ152:AZ158" si="362">$AG$3</f>
        <v>0.00%</v>
      </c>
      <c r="BA152" s="172" t="str">
        <f t="shared" ref="BA152:BA158" si="363">Q152*AZ152</f>
        <v>0.00</v>
      </c>
      <c r="BB152" s="173" t="str">
        <f t="shared" ref="BB152:BB158" si="364">(Q152+W152+Y152+AA152+AD152+AF152+AI152+BA152)/(100%-($C$2+$C$8+$AB$6+$AB$7))</f>
        <v>1,483.06</v>
      </c>
      <c r="BC152" s="174" t="str">
        <f t="shared" ref="BC152:BC158" si="365">BB152-(BB152*$AG$1)</f>
        <v>1,052.98</v>
      </c>
    </row>
    <row r="153" ht="12.75" customHeight="1">
      <c r="A153" s="26"/>
      <c r="B153" s="190" t="s">
        <v>317</v>
      </c>
      <c r="C153" s="199">
        <v>2.07818E8</v>
      </c>
      <c r="D153" s="152" t="s">
        <v>318</v>
      </c>
      <c r="E153" s="53" t="s">
        <v>77</v>
      </c>
      <c r="F153" s="154">
        <v>1.0</v>
      </c>
      <c r="G153" s="53"/>
      <c r="H153" s="53" t="str">
        <f t="shared" si="342"/>
        <v>0.00069</v>
      </c>
      <c r="I153" s="53" t="str">
        <f t="shared" si="343"/>
        <v>89</v>
      </c>
      <c r="J153" s="53" t="str">
        <f t="shared" si="344"/>
        <v>0</v>
      </c>
      <c r="K153" s="155" t="str">
        <f t="shared" si="345"/>
        <v>0.00</v>
      </c>
      <c r="L153" s="156" t="str">
        <f t="shared" si="346"/>
        <v>0.00 </v>
      </c>
      <c r="M153" s="132">
        <v>90.0</v>
      </c>
      <c r="N153" s="157">
        <v>99.08</v>
      </c>
      <c r="O153" s="277">
        <v>108.0</v>
      </c>
      <c r="P153" s="277">
        <v>105.02</v>
      </c>
      <c r="Q153" s="157">
        <v>99.08</v>
      </c>
      <c r="R153" s="158">
        <v>485.0</v>
      </c>
      <c r="S153" s="159" t="str">
        <f t="shared" si="347"/>
        <v>527.82</v>
      </c>
      <c r="T153" s="160"/>
      <c r="U153" s="161">
        <v>0.26</v>
      </c>
      <c r="V153" s="162" t="str">
        <f t="shared" si="348"/>
        <v>358.90</v>
      </c>
      <c r="W153" s="163" t="str">
        <f t="shared" si="349"/>
        <v>60.00</v>
      </c>
      <c r="X153" s="164" t="str">
        <f t="shared" si="350"/>
        <v>26.83</v>
      </c>
      <c r="Y153" s="165" t="str">
        <f t="shared" si="351"/>
        <v>0.00</v>
      </c>
      <c r="Z153" s="166">
        <v>0.06</v>
      </c>
      <c r="AA153" s="167" t="str">
        <f t="shared" si="352"/>
        <v>76</v>
      </c>
      <c r="AB153" s="168" t="str">
        <f t="shared" si="353"/>
        <v>157.625</v>
      </c>
      <c r="AC153" s="168" t="str">
        <f t="shared" si="354"/>
        <v>12.777</v>
      </c>
      <c r="AD153" s="164" t="str">
        <f t="shared" si="355"/>
        <v>2.50</v>
      </c>
      <c r="AE153" s="164">
        <v>95.0</v>
      </c>
      <c r="AF153" s="164" t="str">
        <f t="shared" si="356"/>
        <v>4.80</v>
      </c>
      <c r="AG153" s="165" t="str">
        <f t="shared" si="357"/>
        <v>48.50</v>
      </c>
      <c r="AH153" s="23"/>
      <c r="AI153" s="278">
        <v>0.1</v>
      </c>
      <c r="AJ153" s="24" t="str">
        <f t="shared" si="358"/>
        <v>-3.12</v>
      </c>
      <c r="AK153" s="279" t="str">
        <f t="shared" si="359"/>
        <v>-3.14%</v>
      </c>
      <c r="AL153" s="280"/>
      <c r="AM153" s="281" t="str">
        <f t="shared" si="360"/>
        <v>0.00</v>
      </c>
      <c r="AN153" s="280"/>
      <c r="AO153" s="282">
        <v>27.37</v>
      </c>
      <c r="AP153" s="283">
        <v>11.39</v>
      </c>
      <c r="AQ153" s="283" t="str">
        <f t="shared" si="361"/>
        <v>0.00</v>
      </c>
      <c r="AR153" s="283">
        <v>11.01</v>
      </c>
      <c r="AS153" s="284">
        <v>15.0</v>
      </c>
      <c r="AT153" s="285" t="str">
        <f t="shared" si="235"/>
        <v>-46.73</v>
      </c>
      <c r="AU153" s="294">
        <v>15.0</v>
      </c>
      <c r="AV153" s="286">
        <v>0.1365</v>
      </c>
      <c r="AW153" s="285">
        <v>-3.67</v>
      </c>
      <c r="AX153" s="284">
        <v>-0.25</v>
      </c>
      <c r="AY153" s="26"/>
      <c r="AZ153" s="171" t="str">
        <f t="shared" si="362"/>
        <v>0.00%</v>
      </c>
      <c r="BA153" s="172" t="str">
        <f t="shared" si="363"/>
        <v>0.00</v>
      </c>
      <c r="BB153" s="173" t="str">
        <f t="shared" si="364"/>
        <v>527.82</v>
      </c>
      <c r="BC153" s="174" t="str">
        <f t="shared" si="365"/>
        <v>374.75</v>
      </c>
    </row>
    <row r="154" ht="12.75" hidden="1" customHeight="1">
      <c r="A154" s="26"/>
      <c r="B154" s="190" t="s">
        <v>319</v>
      </c>
      <c r="C154" s="192">
        <v>2.07798999E8</v>
      </c>
      <c r="D154" s="152" t="s">
        <v>320</v>
      </c>
      <c r="E154" s="53" t="s">
        <v>77</v>
      </c>
      <c r="F154" s="154">
        <v>1.0</v>
      </c>
      <c r="G154" s="53"/>
      <c r="H154" s="53" t="str">
        <f t="shared" si="342"/>
        <v>0.00069</v>
      </c>
      <c r="I154" s="53" t="str">
        <f t="shared" si="343"/>
        <v>89</v>
      </c>
      <c r="J154" s="53" t="str">
        <f t="shared" si="344"/>
        <v>0</v>
      </c>
      <c r="K154" s="155" t="str">
        <f t="shared" si="345"/>
        <v>0.00</v>
      </c>
      <c r="L154" s="156" t="str">
        <f t="shared" si="346"/>
        <v>0.00 </v>
      </c>
      <c r="M154" s="132">
        <v>90.0</v>
      </c>
      <c r="N154" s="157">
        <v>0.0</v>
      </c>
      <c r="O154" s="277">
        <v>0.0</v>
      </c>
      <c r="P154" s="277" t="str">
        <f t="shared" ref="P154:P155" si="366">K154/E154</f>
        <v>#VALUE!</v>
      </c>
      <c r="Q154" s="157">
        <v>0.0</v>
      </c>
      <c r="R154" s="158">
        <v>1536.3</v>
      </c>
      <c r="S154" s="159" t="str">
        <f t="shared" si="347"/>
        <v>319.50</v>
      </c>
      <c r="T154" s="160"/>
      <c r="U154" s="161">
        <v>0.26</v>
      </c>
      <c r="V154" s="162" t="str">
        <f t="shared" si="348"/>
        <v>1,136.86</v>
      </c>
      <c r="W154" s="163" t="str">
        <f t="shared" si="349"/>
        <v>60.00</v>
      </c>
      <c r="X154" s="164" t="str">
        <f t="shared" si="350"/>
        <v>85.00</v>
      </c>
      <c r="Y154" s="165" t="str">
        <f t="shared" si="351"/>
        <v>0.00</v>
      </c>
      <c r="Z154" s="166">
        <v>0.4</v>
      </c>
      <c r="AA154" s="167" t="str">
        <f t="shared" si="352"/>
        <v>76</v>
      </c>
      <c r="AB154" s="168" t="str">
        <f t="shared" si="353"/>
        <v>499.298</v>
      </c>
      <c r="AC154" s="168" t="str">
        <f t="shared" si="354"/>
        <v>40.472</v>
      </c>
      <c r="AD154" s="164" t="str">
        <f t="shared" si="355"/>
        <v>5.88</v>
      </c>
      <c r="AE154" s="164">
        <v>88.24</v>
      </c>
      <c r="AF154" s="164" t="str">
        <f t="shared" si="356"/>
        <v>4.80</v>
      </c>
      <c r="AG154" s="165" t="str">
        <f t="shared" si="357"/>
        <v>153.63</v>
      </c>
      <c r="AH154" s="23"/>
      <c r="AI154" s="278">
        <v>0.1</v>
      </c>
      <c r="AJ154" s="24" t="str">
        <f t="shared" si="358"/>
        <v>611.22</v>
      </c>
      <c r="AK154" s="279" t="str">
        <f t="shared" si="359"/>
        <v>#DIV/0!</v>
      </c>
      <c r="AL154" s="280"/>
      <c r="AM154" s="281" t="str">
        <f t="shared" si="360"/>
        <v>0.00</v>
      </c>
      <c r="AN154" s="280"/>
      <c r="AO154" s="282"/>
      <c r="AP154" s="283"/>
      <c r="AQ154" s="283" t="str">
        <f t="shared" si="361"/>
        <v>0.00</v>
      </c>
      <c r="AR154" s="283"/>
      <c r="AS154" s="284"/>
      <c r="AT154" s="285" t="str">
        <f t="shared" si="235"/>
        <v>0.00</v>
      </c>
      <c r="AU154" s="294">
        <v>2.0</v>
      </c>
      <c r="AV154" s="286"/>
      <c r="AW154" s="285"/>
      <c r="AX154" s="284"/>
      <c r="AY154" s="26"/>
      <c r="AZ154" s="171" t="str">
        <f t="shared" si="362"/>
        <v>0.00%</v>
      </c>
      <c r="BA154" s="172" t="str">
        <f t="shared" si="363"/>
        <v>0.00</v>
      </c>
      <c r="BB154" s="173" t="str">
        <f t="shared" si="364"/>
        <v>319.50</v>
      </c>
      <c r="BC154" s="174" t="str">
        <f t="shared" si="365"/>
        <v>226.85</v>
      </c>
    </row>
    <row r="155" ht="12.75" hidden="1" customHeight="1">
      <c r="A155" s="26"/>
      <c r="B155" s="190" t="s">
        <v>321</v>
      </c>
      <c r="C155" s="192">
        <v>2.07816823E8</v>
      </c>
      <c r="D155" s="152" t="s">
        <v>322</v>
      </c>
      <c r="E155" s="53" t="s">
        <v>77</v>
      </c>
      <c r="F155" s="154">
        <v>1.0</v>
      </c>
      <c r="G155" s="53"/>
      <c r="H155" s="53" t="str">
        <f t="shared" si="342"/>
        <v>0.00069</v>
      </c>
      <c r="I155" s="53" t="str">
        <f t="shared" si="343"/>
        <v>89</v>
      </c>
      <c r="J155" s="53" t="str">
        <f t="shared" si="344"/>
        <v>0</v>
      </c>
      <c r="K155" s="155" t="str">
        <f t="shared" si="345"/>
        <v>0.00</v>
      </c>
      <c r="L155" s="156" t="str">
        <f t="shared" si="346"/>
        <v>0.00 </v>
      </c>
      <c r="M155" s="132">
        <v>90.0</v>
      </c>
      <c r="N155" s="157">
        <v>0.0</v>
      </c>
      <c r="O155" s="277">
        <v>0.0</v>
      </c>
      <c r="P155" s="277" t="str">
        <f t="shared" si="366"/>
        <v>#VALUE!</v>
      </c>
      <c r="Q155" s="157">
        <v>0.0</v>
      </c>
      <c r="R155" s="158">
        <v>1536.3</v>
      </c>
      <c r="S155" s="159" t="str">
        <f t="shared" si="347"/>
        <v>312.41</v>
      </c>
      <c r="T155" s="160"/>
      <c r="U155" s="161">
        <v>0.26</v>
      </c>
      <c r="V155" s="162" t="str">
        <f t="shared" si="348"/>
        <v>1,136.86</v>
      </c>
      <c r="W155" s="163" t="str">
        <f t="shared" si="349"/>
        <v>60.00</v>
      </c>
      <c r="X155" s="164" t="str">
        <f t="shared" si="350"/>
        <v>85.00</v>
      </c>
      <c r="Y155" s="165" t="str">
        <f t="shared" si="351"/>
        <v>0.00</v>
      </c>
      <c r="Z155" s="166">
        <v>0.4</v>
      </c>
      <c r="AA155" s="167" t="str">
        <f t="shared" si="352"/>
        <v>76</v>
      </c>
      <c r="AB155" s="168" t="str">
        <f t="shared" si="353"/>
        <v>499.298</v>
      </c>
      <c r="AC155" s="168" t="str">
        <f t="shared" si="354"/>
        <v>40.472</v>
      </c>
      <c r="AD155" s="164" t="str">
        <f t="shared" si="355"/>
        <v>2.62</v>
      </c>
      <c r="AE155" s="164">
        <v>94.76</v>
      </c>
      <c r="AF155" s="164" t="str">
        <f t="shared" si="356"/>
        <v>4.80</v>
      </c>
      <c r="AG155" s="165" t="str">
        <f t="shared" si="357"/>
        <v>153.63</v>
      </c>
      <c r="AH155" s="23"/>
      <c r="AI155" s="278">
        <v>0.1</v>
      </c>
      <c r="AJ155" s="24" t="str">
        <f t="shared" si="358"/>
        <v>614.48</v>
      </c>
      <c r="AK155" s="279" t="str">
        <f t="shared" si="359"/>
        <v>#DIV/0!</v>
      </c>
      <c r="AL155" s="280"/>
      <c r="AM155" s="281" t="str">
        <f t="shared" si="360"/>
        <v>0.00</v>
      </c>
      <c r="AN155" s="280"/>
      <c r="AO155" s="282"/>
      <c r="AP155" s="283"/>
      <c r="AQ155" s="283" t="str">
        <f t="shared" si="361"/>
        <v>0.00</v>
      </c>
      <c r="AR155" s="283"/>
      <c r="AS155" s="284"/>
      <c r="AT155" s="285" t="str">
        <f t="shared" si="235"/>
        <v>0.00</v>
      </c>
      <c r="AU155" s="284"/>
      <c r="AV155" s="286"/>
      <c r="AW155" s="285"/>
      <c r="AX155" s="284"/>
      <c r="AY155" s="26"/>
      <c r="AZ155" s="171" t="str">
        <f t="shared" si="362"/>
        <v>0.00%</v>
      </c>
      <c r="BA155" s="172" t="str">
        <f t="shared" si="363"/>
        <v>0.00</v>
      </c>
      <c r="BB155" s="173" t="str">
        <f t="shared" si="364"/>
        <v>312.41</v>
      </c>
      <c r="BC155" s="174" t="str">
        <f t="shared" si="365"/>
        <v>221.81</v>
      </c>
    </row>
    <row r="156" ht="12.75" customHeight="1">
      <c r="A156" s="26"/>
      <c r="B156" s="190" t="s">
        <v>323</v>
      </c>
      <c r="C156" s="199">
        <v>2.12720615E8</v>
      </c>
      <c r="D156" s="152" t="s">
        <v>324</v>
      </c>
      <c r="E156" s="53" t="s">
        <v>77</v>
      </c>
      <c r="F156" s="154">
        <v>1.0</v>
      </c>
      <c r="G156" s="53"/>
      <c r="H156" s="53" t="str">
        <f t="shared" si="342"/>
        <v>0.00069</v>
      </c>
      <c r="I156" s="53" t="str">
        <f t="shared" si="343"/>
        <v>89</v>
      </c>
      <c r="J156" s="53" t="str">
        <f t="shared" si="344"/>
        <v>0</v>
      </c>
      <c r="K156" s="155" t="str">
        <f t="shared" si="345"/>
        <v>0.00</v>
      </c>
      <c r="L156" s="156" t="str">
        <f t="shared" si="346"/>
        <v>0.00 </v>
      </c>
      <c r="M156" s="132">
        <v>90.0</v>
      </c>
      <c r="N156" s="157">
        <v>1072.67</v>
      </c>
      <c r="O156" s="277">
        <v>1169.21</v>
      </c>
      <c r="P156" s="277">
        <v>1137.03</v>
      </c>
      <c r="Q156" s="157">
        <v>1072.67</v>
      </c>
      <c r="R156" s="158">
        <v>2700.0</v>
      </c>
      <c r="S156" s="159" t="str">
        <f t="shared" si="347"/>
        <v>2,641.64</v>
      </c>
      <c r="T156" s="160"/>
      <c r="U156" s="161">
        <v>0.26</v>
      </c>
      <c r="V156" s="162" t="str">
        <f t="shared" si="348"/>
        <v>1,998.00</v>
      </c>
      <c r="W156" s="163" t="str">
        <f t="shared" si="349"/>
        <v>60.00</v>
      </c>
      <c r="X156" s="164" t="str">
        <f t="shared" si="350"/>
        <v>149.38</v>
      </c>
      <c r="Y156" s="165" t="str">
        <f t="shared" si="351"/>
        <v>0.00</v>
      </c>
      <c r="Z156" s="166">
        <v>0.32</v>
      </c>
      <c r="AA156" s="167" t="str">
        <f t="shared" si="352"/>
        <v>76</v>
      </c>
      <c r="AB156" s="168" t="str">
        <f t="shared" si="353"/>
        <v>877.500</v>
      </c>
      <c r="AC156" s="168" t="str">
        <f t="shared" si="354"/>
        <v>71.129</v>
      </c>
      <c r="AD156" s="164" t="str">
        <f t="shared" si="355"/>
        <v>0.00</v>
      </c>
      <c r="AE156" s="164">
        <v>100.0</v>
      </c>
      <c r="AF156" s="164" t="str">
        <f t="shared" si="356"/>
        <v>4.80</v>
      </c>
      <c r="AG156" s="165" t="str">
        <f t="shared" si="357"/>
        <v>270.00</v>
      </c>
      <c r="AH156" s="23"/>
      <c r="AI156" s="278">
        <v>0.1</v>
      </c>
      <c r="AJ156" s="24" t="str">
        <f t="shared" si="358"/>
        <v>118.52</v>
      </c>
      <c r="AK156" s="279" t="str">
        <f t="shared" si="359"/>
        <v>11.05%</v>
      </c>
      <c r="AL156" s="280"/>
      <c r="AM156" s="281" t="str">
        <f t="shared" si="360"/>
        <v>0.00</v>
      </c>
      <c r="AN156" s="280"/>
      <c r="AO156" s="282"/>
      <c r="AP156" s="283">
        <v>-794.42</v>
      </c>
      <c r="AQ156" s="283" t="str">
        <f t="shared" si="361"/>
        <v>0.00</v>
      </c>
      <c r="AR156" s="283">
        <v>-69.87</v>
      </c>
      <c r="AS156" s="284">
        <v>2.0</v>
      </c>
      <c r="AT156" s="285" t="str">
        <f t="shared" si="235"/>
        <v>237.04</v>
      </c>
      <c r="AU156" s="284">
        <v>2.0</v>
      </c>
      <c r="AV156" s="286">
        <v>0.2209</v>
      </c>
      <c r="AW156" s="285">
        <v>-457.93</v>
      </c>
      <c r="AX156" s="284">
        <v>-21.35</v>
      </c>
      <c r="AY156" s="26"/>
      <c r="AZ156" s="171" t="str">
        <f t="shared" si="362"/>
        <v>0.00%</v>
      </c>
      <c r="BA156" s="172" t="str">
        <f t="shared" si="363"/>
        <v>0.00</v>
      </c>
      <c r="BB156" s="173" t="str">
        <f t="shared" si="364"/>
        <v>2,641.64</v>
      </c>
      <c r="BC156" s="174" t="str">
        <f t="shared" si="365"/>
        <v>1,875.57</v>
      </c>
    </row>
    <row r="157" ht="12.75" hidden="1" customHeight="1">
      <c r="A157" s="26"/>
      <c r="B157" s="190" t="s">
        <v>325</v>
      </c>
      <c r="C157" s="192">
        <v>2.07818167E8</v>
      </c>
      <c r="D157" s="152" t="s">
        <v>326</v>
      </c>
      <c r="E157" s="53" t="s">
        <v>77</v>
      </c>
      <c r="F157" s="154">
        <v>1.0</v>
      </c>
      <c r="G157" s="53"/>
      <c r="H157" s="53" t="str">
        <f t="shared" si="342"/>
        <v>0.00069</v>
      </c>
      <c r="I157" s="53" t="str">
        <f t="shared" si="343"/>
        <v>89</v>
      </c>
      <c r="J157" s="53" t="str">
        <f t="shared" si="344"/>
        <v>0</v>
      </c>
      <c r="K157" s="155" t="str">
        <f t="shared" si="345"/>
        <v>0.00</v>
      </c>
      <c r="L157" s="156" t="str">
        <f t="shared" si="346"/>
        <v>0.00 </v>
      </c>
      <c r="M157" s="132">
        <v>90.0</v>
      </c>
      <c r="N157" s="157">
        <v>0.0</v>
      </c>
      <c r="O157" s="277">
        <v>0.0</v>
      </c>
      <c r="P157" s="277" t="str">
        <f t="shared" ref="P157:P158" si="367">K157/E157</f>
        <v>#VALUE!</v>
      </c>
      <c r="Q157" s="157">
        <v>0.0</v>
      </c>
      <c r="R157" s="158">
        <v>1758.9</v>
      </c>
      <c r="S157" s="159" t="str">
        <f t="shared" si="347"/>
        <v>306.70</v>
      </c>
      <c r="T157" s="160"/>
      <c r="U157" s="161">
        <v>0.26</v>
      </c>
      <c r="V157" s="162" t="str">
        <f t="shared" si="348"/>
        <v>1,301.59</v>
      </c>
      <c r="W157" s="163" t="str">
        <f t="shared" si="349"/>
        <v>60.00</v>
      </c>
      <c r="X157" s="164" t="str">
        <f t="shared" si="350"/>
        <v>97.31</v>
      </c>
      <c r="Y157" s="165" t="str">
        <f t="shared" si="351"/>
        <v>0.00</v>
      </c>
      <c r="Z157" s="166">
        <v>0.3</v>
      </c>
      <c r="AA157" s="167" t="str">
        <f t="shared" si="352"/>
        <v>76</v>
      </c>
      <c r="AB157" s="168" t="str">
        <f t="shared" si="353"/>
        <v>571.643</v>
      </c>
      <c r="AC157" s="168" t="str">
        <f t="shared" si="354"/>
        <v>46.336</v>
      </c>
      <c r="AD157" s="164" t="str">
        <f t="shared" si="355"/>
        <v>0.00</v>
      </c>
      <c r="AE157" s="164">
        <v>100.0</v>
      </c>
      <c r="AF157" s="164" t="str">
        <f t="shared" si="356"/>
        <v>4.80</v>
      </c>
      <c r="AG157" s="165" t="str">
        <f t="shared" si="357"/>
        <v>175.89</v>
      </c>
      <c r="AH157" s="23"/>
      <c r="AI157" s="278">
        <v>0.1</v>
      </c>
      <c r="AJ157" s="24" t="str">
        <f t="shared" si="358"/>
        <v>726.92</v>
      </c>
      <c r="AK157" s="279" t="str">
        <f t="shared" si="359"/>
        <v>#DIV/0!</v>
      </c>
      <c r="AL157" s="280"/>
      <c r="AM157" s="281" t="str">
        <f t="shared" si="360"/>
        <v>0.00</v>
      </c>
      <c r="AN157" s="280"/>
      <c r="AO157" s="282"/>
      <c r="AP157" s="283"/>
      <c r="AQ157" s="283" t="str">
        <f t="shared" si="361"/>
        <v>0.00</v>
      </c>
      <c r="AR157" s="283"/>
      <c r="AS157" s="284"/>
      <c r="AT157" s="285" t="str">
        <f t="shared" si="235"/>
        <v>0.00</v>
      </c>
      <c r="AU157" s="284"/>
      <c r="AV157" s="286"/>
      <c r="AW157" s="285"/>
      <c r="AX157" s="284"/>
      <c r="AY157" s="26"/>
      <c r="AZ157" s="171" t="str">
        <f t="shared" si="362"/>
        <v>0.00%</v>
      </c>
      <c r="BA157" s="172" t="str">
        <f t="shared" si="363"/>
        <v>0.00</v>
      </c>
      <c r="BB157" s="173" t="str">
        <f t="shared" si="364"/>
        <v>306.70</v>
      </c>
      <c r="BC157" s="174" t="str">
        <f t="shared" si="365"/>
        <v>217.76</v>
      </c>
    </row>
    <row r="158" ht="12.75" hidden="1" customHeight="1">
      <c r="A158" s="26"/>
      <c r="B158" s="190" t="s">
        <v>327</v>
      </c>
      <c r="C158" s="192">
        <v>2.07817635E8</v>
      </c>
      <c r="D158" s="152" t="s">
        <v>328</v>
      </c>
      <c r="E158" s="53" t="s">
        <v>77</v>
      </c>
      <c r="F158" s="154">
        <v>1.0</v>
      </c>
      <c r="G158" s="53"/>
      <c r="H158" s="53" t="str">
        <f t="shared" si="342"/>
        <v>0.00069</v>
      </c>
      <c r="I158" s="53" t="str">
        <f t="shared" si="343"/>
        <v>89</v>
      </c>
      <c r="J158" s="53" t="str">
        <f t="shared" si="344"/>
        <v>0</v>
      </c>
      <c r="K158" s="155" t="str">
        <f t="shared" si="345"/>
        <v>0.00</v>
      </c>
      <c r="L158" s="156" t="str">
        <f t="shared" si="346"/>
        <v>0.00 </v>
      </c>
      <c r="M158" s="132">
        <v>90.0</v>
      </c>
      <c r="N158" s="157">
        <v>0.0</v>
      </c>
      <c r="O158" s="277">
        <v>0.0</v>
      </c>
      <c r="P158" s="277" t="str">
        <f t="shared" si="367"/>
        <v>#VALUE!</v>
      </c>
      <c r="Q158" s="157">
        <v>0.0</v>
      </c>
      <c r="R158" s="158">
        <v>1332.6</v>
      </c>
      <c r="S158" s="159" t="str">
        <f t="shared" si="347"/>
        <v>306.70</v>
      </c>
      <c r="T158" s="160"/>
      <c r="U158" s="161">
        <v>0.26</v>
      </c>
      <c r="V158" s="162" t="str">
        <f t="shared" si="348"/>
        <v>986.12</v>
      </c>
      <c r="W158" s="163" t="str">
        <f t="shared" si="349"/>
        <v>60.00</v>
      </c>
      <c r="X158" s="164" t="str">
        <f t="shared" si="350"/>
        <v>73.73</v>
      </c>
      <c r="Y158" s="165" t="str">
        <f t="shared" si="351"/>
        <v>0.00</v>
      </c>
      <c r="Z158" s="166">
        <v>0.14</v>
      </c>
      <c r="AA158" s="167" t="str">
        <f t="shared" si="352"/>
        <v>76</v>
      </c>
      <c r="AB158" s="168" t="str">
        <f t="shared" si="353"/>
        <v>433.095</v>
      </c>
      <c r="AC158" s="168" t="str">
        <f t="shared" si="354"/>
        <v>35.106</v>
      </c>
      <c r="AD158" s="164" t="str">
        <f t="shared" si="355"/>
        <v>0.00</v>
      </c>
      <c r="AE158" s="164">
        <v>100.0</v>
      </c>
      <c r="AF158" s="164" t="str">
        <f t="shared" si="356"/>
        <v>4.80</v>
      </c>
      <c r="AG158" s="165" t="str">
        <f t="shared" si="357"/>
        <v>133.26</v>
      </c>
      <c r="AH158" s="23"/>
      <c r="AI158" s="278">
        <v>0.1</v>
      </c>
      <c r="AJ158" s="24" t="str">
        <f t="shared" si="358"/>
        <v>516.61</v>
      </c>
      <c r="AK158" s="279" t="str">
        <f t="shared" si="359"/>
        <v>#DIV/0!</v>
      </c>
      <c r="AL158" s="280"/>
      <c r="AM158" s="281" t="str">
        <f t="shared" si="360"/>
        <v>0.00</v>
      </c>
      <c r="AN158" s="280"/>
      <c r="AO158" s="282"/>
      <c r="AP158" s="283"/>
      <c r="AQ158" s="283" t="str">
        <f t="shared" si="361"/>
        <v>0.00</v>
      </c>
      <c r="AR158" s="283"/>
      <c r="AS158" s="284"/>
      <c r="AT158" s="285" t="str">
        <f t="shared" si="235"/>
        <v>0.00</v>
      </c>
      <c r="AU158" s="284"/>
      <c r="AV158" s="286"/>
      <c r="AW158" s="285"/>
      <c r="AX158" s="284"/>
      <c r="AY158" s="26"/>
      <c r="AZ158" s="171" t="str">
        <f t="shared" si="362"/>
        <v>0.00%</v>
      </c>
      <c r="BA158" s="172" t="str">
        <f t="shared" si="363"/>
        <v>0.00</v>
      </c>
      <c r="BB158" s="173" t="str">
        <f t="shared" si="364"/>
        <v>306.70</v>
      </c>
      <c r="BC158" s="174" t="str">
        <f t="shared" si="365"/>
        <v>217.76</v>
      </c>
    </row>
    <row r="159" ht="12.75" customHeight="1">
      <c r="A159" s="26"/>
      <c r="B159" s="125" t="s">
        <v>329</v>
      </c>
      <c r="C159" s="126"/>
      <c r="D159" s="127"/>
      <c r="E159" s="128"/>
      <c r="F159" s="128"/>
      <c r="G159" s="128"/>
      <c r="H159" s="197"/>
      <c r="I159" s="197"/>
      <c r="J159" s="128"/>
      <c r="K159" s="130"/>
      <c r="L159" s="131"/>
      <c r="M159" s="132"/>
      <c r="N159" s="176"/>
      <c r="O159" s="133"/>
      <c r="P159" s="133"/>
      <c r="Q159" s="176"/>
      <c r="R159" s="134"/>
      <c r="S159" s="135"/>
      <c r="T159" s="135"/>
      <c r="U159" s="136"/>
      <c r="V159" s="137"/>
      <c r="W159" s="177"/>
      <c r="X159" s="178"/>
      <c r="Y159" s="179"/>
      <c r="Z159" s="180"/>
      <c r="AA159" s="181"/>
      <c r="AB159" s="182"/>
      <c r="AC159" s="182"/>
      <c r="AD159" s="178"/>
      <c r="AE159" s="178"/>
      <c r="AF159" s="178"/>
      <c r="AG159" s="179"/>
      <c r="AH159" s="183"/>
      <c r="AI159" s="271"/>
      <c r="AJ159" s="287"/>
      <c r="AK159" s="288"/>
      <c r="AL159" s="280"/>
      <c r="AM159" s="281" t="str">
        <f t="shared" si="360"/>
        <v>0.00</v>
      </c>
      <c r="AN159" s="280"/>
      <c r="AO159" s="282"/>
      <c r="AP159" s="283"/>
      <c r="AQ159" s="283" t="str">
        <f t="shared" si="361"/>
        <v>0.00</v>
      </c>
      <c r="AR159" s="283"/>
      <c r="AS159" s="284"/>
      <c r="AT159" s="285" t="str">
        <f t="shared" si="235"/>
        <v>0.00</v>
      </c>
      <c r="AU159" s="284"/>
      <c r="AV159" s="286"/>
      <c r="AW159" s="285"/>
      <c r="AX159" s="284"/>
      <c r="AY159" s="26"/>
      <c r="AZ159" s="186"/>
      <c r="BA159" s="187"/>
      <c r="BB159" s="188"/>
      <c r="BC159" s="189"/>
    </row>
    <row r="160" ht="12.75" customHeight="1">
      <c r="A160" s="26"/>
      <c r="B160" s="190" t="s">
        <v>330</v>
      </c>
      <c r="C160" s="199">
        <v>2.07482718E8</v>
      </c>
      <c r="D160" s="152" t="s">
        <v>331</v>
      </c>
      <c r="E160" s="53" t="s">
        <v>77</v>
      </c>
      <c r="F160" s="154">
        <v>1.0</v>
      </c>
      <c r="G160" s="53"/>
      <c r="H160" s="53" t="str">
        <f t="shared" ref="H160:H165" si="368">$I$2</f>
        <v>0.00069</v>
      </c>
      <c r="I160" s="53" t="str">
        <f t="shared" ref="I160:I165" si="369">$I$3</f>
        <v>89</v>
      </c>
      <c r="J160" s="53" t="str">
        <f t="shared" ref="J160:J165" si="370">G160*H160*I160*F160</f>
        <v>0</v>
      </c>
      <c r="K160" s="155" t="str">
        <f t="shared" ref="K160:K165" si="371">J160*$J$4</f>
        <v>0.00</v>
      </c>
      <c r="L160" s="156" t="str">
        <f t="shared" ref="L160:L165" si="372">K160+J160</f>
        <v>0.00 </v>
      </c>
      <c r="M160" s="132">
        <v>90.0</v>
      </c>
      <c r="N160" s="175">
        <v>202.27</v>
      </c>
      <c r="O160" s="277">
        <v>220.47</v>
      </c>
      <c r="P160" s="277">
        <v>214.41</v>
      </c>
      <c r="Q160" s="175">
        <v>202.27</v>
      </c>
      <c r="R160" s="158">
        <v>750.0</v>
      </c>
      <c r="S160" s="159" t="str">
        <f t="shared" ref="S160:S162" si="373">R160</f>
        <v>750.00</v>
      </c>
      <c r="T160" s="160">
        <v>515.0</v>
      </c>
      <c r="U160" s="161">
        <v>0.26</v>
      </c>
      <c r="V160" s="162" t="str">
        <f t="shared" ref="V160:V165" si="374">R160-(R160*U160)</f>
        <v>555.00</v>
      </c>
      <c r="W160" s="163" t="str">
        <f t="shared" ref="W160:W165" si="375">$C$1</f>
        <v>60.00</v>
      </c>
      <c r="X160" s="164" t="str">
        <f t="shared" ref="X160:X165" si="376">(V160*7/107)+((V160-(V160*7/107))*1%)</f>
        <v>41.50</v>
      </c>
      <c r="Y160" s="165" t="str">
        <f t="shared" ref="Y160:Y165" si="377">Q160*$C$3*(M160/30)</f>
        <v>0.00</v>
      </c>
      <c r="Z160" s="166">
        <v>0.29</v>
      </c>
      <c r="AA160" s="167">
        <v>83.0</v>
      </c>
      <c r="AB160" s="168" t="str">
        <f t="shared" ref="AB160:AB165" si="378">R160*$AB$6</f>
        <v>243.750</v>
      </c>
      <c r="AC160" s="168" t="str">
        <f t="shared" ref="AC160:AC165" si="379">V160*$AB$7</f>
        <v>19.758</v>
      </c>
      <c r="AD160" s="164" t="str">
        <f t="shared" ref="AD160:AD165" si="380">$AB$3*((100-AE160)/100)</f>
        <v>1.26</v>
      </c>
      <c r="AE160" s="164">
        <v>97.48</v>
      </c>
      <c r="AF160" s="164" t="str">
        <f t="shared" ref="AF160:AF165" si="381">$C$6*$C$7*_xlfn.CEILING.MATH(Z160)</f>
        <v>4.80</v>
      </c>
      <c r="AG160" s="165" t="str">
        <f>R160*$C$2</f>
        <v>75.00</v>
      </c>
      <c r="AH160" s="23"/>
      <c r="AI160" s="278">
        <v>0.1</v>
      </c>
      <c r="AJ160" s="24" t="str">
        <f t="shared" ref="AJ160:AJ165" si="382">R160-W160-X160-Y160-AA160-AB160-AC160-AD160-AF160-AG160-Q160</f>
        <v>18.67</v>
      </c>
      <c r="AK160" s="279" t="str">
        <f t="shared" ref="AK160:AK165" si="383">AJ160/Q160</f>
        <v>9.23%</v>
      </c>
      <c r="AL160" s="280">
        <v>200.0</v>
      </c>
      <c r="AM160" s="281" t="str">
        <f t="shared" si="360"/>
        <v>3,733.33</v>
      </c>
      <c r="AN160" s="280">
        <v>128.0</v>
      </c>
      <c r="AO160" s="282"/>
      <c r="AP160" s="283"/>
      <c r="AQ160" s="283" t="str">
        <f t="shared" si="361"/>
        <v>0.00</v>
      </c>
      <c r="AR160" s="283"/>
      <c r="AS160" s="284">
        <v>200.0</v>
      </c>
      <c r="AT160" s="285" t="str">
        <f t="shared" si="235"/>
        <v>3,733.33</v>
      </c>
      <c r="AU160" s="284">
        <v>94.0</v>
      </c>
      <c r="AV160" s="286">
        <v>0.0</v>
      </c>
      <c r="AW160" s="285">
        <v>13590.76</v>
      </c>
      <c r="AX160" s="284">
        <v>71.48</v>
      </c>
      <c r="AY160" s="26"/>
      <c r="AZ160" s="171" t="str">
        <f t="shared" ref="AZ160:AZ165" si="384">$AG$3</f>
        <v>0.00%</v>
      </c>
      <c r="BA160" s="172" t="str">
        <f t="shared" ref="BA160:BA165" si="385">Q160*AZ160</f>
        <v>0.00</v>
      </c>
      <c r="BB160" s="173" t="str">
        <f t="shared" ref="BB160:BB165" si="386">(Q160+W160+Y160+AA160+AD160+AF160+AI160+BA160)/(100%-($C$2+$C$8+$AB$6+$AB$7))</f>
        <v>764.98</v>
      </c>
      <c r="BC160" s="174" t="str">
        <f t="shared" ref="BC160:BC165" si="387">BB160-(BB160*$AG$1)</f>
        <v>543.13</v>
      </c>
    </row>
    <row r="161" ht="12.75" customHeight="1">
      <c r="A161" s="26"/>
      <c r="B161" s="190" t="s">
        <v>332</v>
      </c>
      <c r="C161" s="199">
        <v>2.07482718E8</v>
      </c>
      <c r="D161" s="152" t="s">
        <v>333</v>
      </c>
      <c r="E161" s="53" t="s">
        <v>77</v>
      </c>
      <c r="F161" s="154">
        <v>1.0</v>
      </c>
      <c r="G161" s="53"/>
      <c r="H161" s="53" t="str">
        <f t="shared" si="368"/>
        <v>0.00069</v>
      </c>
      <c r="I161" s="53" t="str">
        <f t="shared" si="369"/>
        <v>89</v>
      </c>
      <c r="J161" s="53" t="str">
        <f t="shared" si="370"/>
        <v>0</v>
      </c>
      <c r="K161" s="155" t="str">
        <f t="shared" si="371"/>
        <v>0.00</v>
      </c>
      <c r="L161" s="156" t="str">
        <f t="shared" si="372"/>
        <v>0.00 </v>
      </c>
      <c r="M161" s="132">
        <v>90.0</v>
      </c>
      <c r="N161" s="175">
        <v>202.27</v>
      </c>
      <c r="O161" s="277">
        <v>220.47</v>
      </c>
      <c r="P161" s="277">
        <v>214.41</v>
      </c>
      <c r="Q161" s="175">
        <v>202.27</v>
      </c>
      <c r="R161" s="158">
        <v>700.0</v>
      </c>
      <c r="S161" s="159" t="str">
        <f t="shared" si="373"/>
        <v>700.00</v>
      </c>
      <c r="T161" s="160">
        <v>530.0</v>
      </c>
      <c r="U161" s="161">
        <v>0.26</v>
      </c>
      <c r="V161" s="162" t="str">
        <f t="shared" si="374"/>
        <v>518.00</v>
      </c>
      <c r="W161" s="163" t="str">
        <f t="shared" si="375"/>
        <v>60.00</v>
      </c>
      <c r="X161" s="164" t="str">
        <f t="shared" si="376"/>
        <v>38.73</v>
      </c>
      <c r="Y161" s="165" t="str">
        <f t="shared" si="377"/>
        <v>0.00</v>
      </c>
      <c r="Z161" s="166">
        <v>0.29</v>
      </c>
      <c r="AA161" s="167">
        <v>83.0</v>
      </c>
      <c r="AB161" s="168" t="str">
        <f t="shared" si="378"/>
        <v>227.500</v>
      </c>
      <c r="AC161" s="168" t="str">
        <f t="shared" si="379"/>
        <v>18.441</v>
      </c>
      <c r="AD161" s="164" t="str">
        <f t="shared" si="380"/>
        <v>1.77</v>
      </c>
      <c r="AE161" s="164">
        <v>96.46</v>
      </c>
      <c r="AF161" s="164" t="str">
        <f t="shared" si="381"/>
        <v>4.80</v>
      </c>
      <c r="AG161" s="165">
        <v>28.0</v>
      </c>
      <c r="AH161" s="23"/>
      <c r="AI161" s="292">
        <v>0.04</v>
      </c>
      <c r="AJ161" s="24" t="str">
        <f t="shared" si="382"/>
        <v>35.49</v>
      </c>
      <c r="AK161" s="279" t="str">
        <f t="shared" si="383"/>
        <v>17.55%</v>
      </c>
      <c r="AL161" s="280">
        <v>2000.0</v>
      </c>
      <c r="AM161" s="281" t="str">
        <f t="shared" si="360"/>
        <v>70,980.46</v>
      </c>
      <c r="AN161" s="280">
        <v>797.0</v>
      </c>
      <c r="AO161" s="293" t="s">
        <v>683</v>
      </c>
      <c r="AP161" s="283">
        <v>26.61</v>
      </c>
      <c r="AQ161" s="283" t="str">
        <f t="shared" si="361"/>
        <v>21,208.17</v>
      </c>
      <c r="AR161" s="283">
        <v>12.54</v>
      </c>
      <c r="AS161" s="284">
        <v>1500.0</v>
      </c>
      <c r="AT161" s="285" t="str">
        <f t="shared" si="235"/>
        <v>53,235.34</v>
      </c>
      <c r="AU161" s="284">
        <v>555.0</v>
      </c>
      <c r="AV161" s="286">
        <v>0.0666</v>
      </c>
      <c r="AW161" s="285">
        <v>35221.39</v>
      </c>
      <c r="AX161" s="284">
        <v>31.37</v>
      </c>
      <c r="AY161" s="26"/>
      <c r="AZ161" s="171" t="str">
        <f t="shared" si="384"/>
        <v>0.00%</v>
      </c>
      <c r="BA161" s="172" t="str">
        <f t="shared" si="385"/>
        <v>0.00</v>
      </c>
      <c r="BB161" s="173" t="str">
        <f t="shared" si="386"/>
        <v>765.96</v>
      </c>
      <c r="BC161" s="174" t="str">
        <f t="shared" si="387"/>
        <v>543.83</v>
      </c>
    </row>
    <row r="162" ht="12.75" customHeight="1">
      <c r="A162" s="26"/>
      <c r="B162" s="190" t="s">
        <v>334</v>
      </c>
      <c r="C162" s="199">
        <v>2.07483179E8</v>
      </c>
      <c r="D162" s="152" t="s">
        <v>335</v>
      </c>
      <c r="E162" s="53" t="s">
        <v>77</v>
      </c>
      <c r="F162" s="154">
        <v>1.0</v>
      </c>
      <c r="G162" s="53"/>
      <c r="H162" s="53" t="str">
        <f t="shared" si="368"/>
        <v>0.00069</v>
      </c>
      <c r="I162" s="53" t="str">
        <f t="shared" si="369"/>
        <v>89</v>
      </c>
      <c r="J162" s="53" t="str">
        <f t="shared" si="370"/>
        <v>0</v>
      </c>
      <c r="K162" s="155" t="str">
        <f t="shared" si="371"/>
        <v>0.00</v>
      </c>
      <c r="L162" s="156" t="str">
        <f t="shared" si="372"/>
        <v>0.00 </v>
      </c>
      <c r="M162" s="132">
        <v>90.0</v>
      </c>
      <c r="N162" s="175">
        <v>185.86</v>
      </c>
      <c r="O162" s="277">
        <v>202.59</v>
      </c>
      <c r="P162" s="277">
        <v>197.01</v>
      </c>
      <c r="Q162" s="175">
        <v>185.86</v>
      </c>
      <c r="R162" s="158">
        <v>700.0</v>
      </c>
      <c r="S162" s="159" t="str">
        <f t="shared" si="373"/>
        <v>700.00</v>
      </c>
      <c r="T162" s="160">
        <v>600.0</v>
      </c>
      <c r="U162" s="161">
        <v>0.26</v>
      </c>
      <c r="V162" s="162" t="str">
        <f t="shared" si="374"/>
        <v>518.00</v>
      </c>
      <c r="W162" s="163" t="str">
        <f t="shared" si="375"/>
        <v>60.00</v>
      </c>
      <c r="X162" s="164" t="str">
        <f t="shared" si="376"/>
        <v>38.73</v>
      </c>
      <c r="Y162" s="165" t="str">
        <f t="shared" si="377"/>
        <v>0.00</v>
      </c>
      <c r="Z162" s="166">
        <v>0.45</v>
      </c>
      <c r="AA162" s="167">
        <v>86.0</v>
      </c>
      <c r="AB162" s="168" t="str">
        <f t="shared" si="378"/>
        <v>227.500</v>
      </c>
      <c r="AC162" s="168" t="str">
        <f t="shared" si="379"/>
        <v>18.441</v>
      </c>
      <c r="AD162" s="164" t="str">
        <f t="shared" si="380"/>
        <v>2.03</v>
      </c>
      <c r="AE162" s="164">
        <v>95.94</v>
      </c>
      <c r="AF162" s="164" t="str">
        <f t="shared" si="381"/>
        <v>4.80</v>
      </c>
      <c r="AG162" s="165" t="str">
        <f t="shared" ref="AG162:AG165" si="388">R162*$C$2</f>
        <v>70.00</v>
      </c>
      <c r="AH162" s="23"/>
      <c r="AI162" s="278">
        <v>0.1</v>
      </c>
      <c r="AJ162" s="24" t="str">
        <f t="shared" si="382"/>
        <v>6.64</v>
      </c>
      <c r="AK162" s="279" t="str">
        <f t="shared" si="383"/>
        <v>3.57%</v>
      </c>
      <c r="AL162" s="280">
        <v>200.0</v>
      </c>
      <c r="AM162" s="281" t="str">
        <f t="shared" si="360"/>
        <v>1,328.05</v>
      </c>
      <c r="AN162" s="280">
        <v>276.0</v>
      </c>
      <c r="AO162" s="282"/>
      <c r="AP162" s="283"/>
      <c r="AQ162" s="283" t="str">
        <f t="shared" si="361"/>
        <v>0.00</v>
      </c>
      <c r="AR162" s="283"/>
      <c r="AS162" s="284">
        <v>200.0</v>
      </c>
      <c r="AT162" s="285" t="str">
        <f t="shared" si="235"/>
        <v>1,328.05</v>
      </c>
      <c r="AU162" s="284">
        <v>202.0</v>
      </c>
      <c r="AV162" s="286">
        <v>0.061</v>
      </c>
      <c r="AW162" s="285">
        <v>15136.87</v>
      </c>
      <c r="AX162" s="284">
        <v>40.32</v>
      </c>
      <c r="AY162" s="26"/>
      <c r="AZ162" s="171" t="str">
        <f t="shared" si="384"/>
        <v>0.00%</v>
      </c>
      <c r="BA162" s="172" t="str">
        <f t="shared" si="385"/>
        <v>0.00</v>
      </c>
      <c r="BB162" s="173" t="str">
        <f t="shared" si="386"/>
        <v>737.46</v>
      </c>
      <c r="BC162" s="174" t="str">
        <f t="shared" si="387"/>
        <v>523.60</v>
      </c>
    </row>
    <row r="163" ht="12.75" customHeight="1">
      <c r="A163" s="26"/>
      <c r="B163" s="190" t="s">
        <v>336</v>
      </c>
      <c r="C163" s="192">
        <v>2.12753217E8</v>
      </c>
      <c r="D163" s="190" t="s">
        <v>337</v>
      </c>
      <c r="E163" s="53" t="s">
        <v>77</v>
      </c>
      <c r="F163" s="154">
        <v>1.0</v>
      </c>
      <c r="G163" s="53"/>
      <c r="H163" s="53" t="str">
        <f t="shared" si="368"/>
        <v>0.00069</v>
      </c>
      <c r="I163" s="53" t="str">
        <f t="shared" si="369"/>
        <v>89</v>
      </c>
      <c r="J163" s="53" t="str">
        <f t="shared" si="370"/>
        <v>0</v>
      </c>
      <c r="K163" s="155" t="str">
        <f t="shared" si="371"/>
        <v>0.00</v>
      </c>
      <c r="L163" s="156" t="str">
        <f t="shared" si="372"/>
        <v>0.00 </v>
      </c>
      <c r="M163" s="132">
        <v>90.0</v>
      </c>
      <c r="N163" s="157">
        <v>175.42</v>
      </c>
      <c r="O163" s="277">
        <v>191.21</v>
      </c>
      <c r="P163" s="277">
        <v>185.95</v>
      </c>
      <c r="Q163" s="157">
        <v>175.42</v>
      </c>
      <c r="R163" s="158">
        <v>750.0</v>
      </c>
      <c r="S163" s="159" t="str">
        <f t="shared" ref="S163:S165" si="389">BB163</f>
        <v>713.48</v>
      </c>
      <c r="T163" s="160"/>
      <c r="U163" s="161">
        <v>0.26</v>
      </c>
      <c r="V163" s="162" t="str">
        <f t="shared" si="374"/>
        <v>555.00</v>
      </c>
      <c r="W163" s="163" t="str">
        <f t="shared" si="375"/>
        <v>60.00</v>
      </c>
      <c r="X163" s="164" t="str">
        <f t="shared" si="376"/>
        <v>41.50</v>
      </c>
      <c r="Y163" s="165" t="str">
        <f t="shared" si="377"/>
        <v>0.00</v>
      </c>
      <c r="Z163" s="166">
        <v>0.65</v>
      </c>
      <c r="AA163" s="167">
        <v>86.0</v>
      </c>
      <c r="AB163" s="168" t="str">
        <f t="shared" si="378"/>
        <v>243.750</v>
      </c>
      <c r="AC163" s="168" t="str">
        <f t="shared" si="379"/>
        <v>19.758</v>
      </c>
      <c r="AD163" s="164" t="str">
        <f t="shared" si="380"/>
        <v>1.46</v>
      </c>
      <c r="AE163" s="164">
        <v>97.09</v>
      </c>
      <c r="AF163" s="164" t="str">
        <f t="shared" si="381"/>
        <v>4.80</v>
      </c>
      <c r="AG163" s="165" t="str">
        <f t="shared" si="388"/>
        <v>75.00</v>
      </c>
      <c r="AH163" s="23"/>
      <c r="AI163" s="278">
        <v>0.1</v>
      </c>
      <c r="AJ163" s="24" t="str">
        <f t="shared" si="382"/>
        <v>42.32</v>
      </c>
      <c r="AK163" s="279" t="str">
        <f t="shared" si="383"/>
        <v>24.13%</v>
      </c>
      <c r="AL163" s="280"/>
      <c r="AM163" s="281" t="str">
        <f t="shared" si="360"/>
        <v>0.00</v>
      </c>
      <c r="AN163" s="280"/>
      <c r="AO163" s="282"/>
      <c r="AP163" s="283"/>
      <c r="AQ163" s="283" t="str">
        <f t="shared" si="361"/>
        <v>0.00</v>
      </c>
      <c r="AR163" s="283"/>
      <c r="AS163" s="284">
        <v>38.0</v>
      </c>
      <c r="AT163" s="285" t="str">
        <f t="shared" si="235"/>
        <v>1,608.22</v>
      </c>
      <c r="AU163" s="284">
        <v>38.0</v>
      </c>
      <c r="AV163" s="286">
        <v>0.0</v>
      </c>
      <c r="AW163" s="285">
        <v>5859.4</v>
      </c>
      <c r="AX163" s="284">
        <v>87.9</v>
      </c>
      <c r="AY163" s="26"/>
      <c r="AZ163" s="171" t="str">
        <f t="shared" si="384"/>
        <v>0.00%</v>
      </c>
      <c r="BA163" s="172" t="str">
        <f t="shared" si="385"/>
        <v>0.00</v>
      </c>
      <c r="BB163" s="173" t="str">
        <f t="shared" si="386"/>
        <v>713.48</v>
      </c>
      <c r="BC163" s="174" t="str">
        <f t="shared" si="387"/>
        <v>506.57</v>
      </c>
    </row>
    <row r="164" ht="12.75" hidden="1" customHeight="1">
      <c r="A164" s="26"/>
      <c r="B164" s="190" t="s">
        <v>338</v>
      </c>
      <c r="C164" s="192">
        <v>2.12757955E8</v>
      </c>
      <c r="D164" s="152" t="s">
        <v>339</v>
      </c>
      <c r="E164" s="53" t="s">
        <v>77</v>
      </c>
      <c r="F164" s="154">
        <v>1.0</v>
      </c>
      <c r="G164" s="53"/>
      <c r="H164" s="53" t="str">
        <f t="shared" si="368"/>
        <v>0.00069</v>
      </c>
      <c r="I164" s="53" t="str">
        <f t="shared" si="369"/>
        <v>89</v>
      </c>
      <c r="J164" s="53" t="str">
        <f t="shared" si="370"/>
        <v>0</v>
      </c>
      <c r="K164" s="155" t="str">
        <f t="shared" si="371"/>
        <v>0.00</v>
      </c>
      <c r="L164" s="156" t="str">
        <f t="shared" si="372"/>
        <v>0.00 </v>
      </c>
      <c r="M164" s="132">
        <v>90.0</v>
      </c>
      <c r="N164" s="157">
        <v>0.0</v>
      </c>
      <c r="O164" s="277">
        <v>0.0</v>
      </c>
      <c r="P164" s="277" t="str">
        <f t="shared" ref="P164:P165" si="390">K164/E164</f>
        <v>#VALUE!</v>
      </c>
      <c r="Q164" s="157">
        <v>0.0</v>
      </c>
      <c r="R164" s="158">
        <v>536.1</v>
      </c>
      <c r="S164" s="159" t="str">
        <f t="shared" si="389"/>
        <v>327.12</v>
      </c>
      <c r="T164" s="160"/>
      <c r="U164" s="161">
        <v>0.26</v>
      </c>
      <c r="V164" s="162" t="str">
        <f t="shared" si="374"/>
        <v>396.71</v>
      </c>
      <c r="W164" s="163" t="str">
        <f t="shared" si="375"/>
        <v>60.00</v>
      </c>
      <c r="X164" s="164" t="str">
        <f t="shared" si="376"/>
        <v>29.66</v>
      </c>
      <c r="Y164" s="165" t="str">
        <f t="shared" si="377"/>
        <v>0.00</v>
      </c>
      <c r="Z164" s="166">
        <v>0.45</v>
      </c>
      <c r="AA164" s="167">
        <v>83.0</v>
      </c>
      <c r="AB164" s="168" t="str">
        <f t="shared" si="378"/>
        <v>174.233</v>
      </c>
      <c r="AC164" s="168" t="str">
        <f t="shared" si="379"/>
        <v>14.123</v>
      </c>
      <c r="AD164" s="164" t="str">
        <f t="shared" si="380"/>
        <v>2.38</v>
      </c>
      <c r="AE164" s="164">
        <v>95.24</v>
      </c>
      <c r="AF164" s="164" t="str">
        <f t="shared" si="381"/>
        <v>4.80</v>
      </c>
      <c r="AG164" s="165" t="str">
        <f t="shared" si="388"/>
        <v>53.61</v>
      </c>
      <c r="AH164" s="23"/>
      <c r="AI164" s="278">
        <v>0.1</v>
      </c>
      <c r="AJ164" s="24" t="str">
        <f t="shared" si="382"/>
        <v>114.29</v>
      </c>
      <c r="AK164" s="279" t="str">
        <f t="shared" si="383"/>
        <v>#DIV/0!</v>
      </c>
      <c r="AL164" s="280"/>
      <c r="AM164" s="281" t="str">
        <f t="shared" si="360"/>
        <v>0.00</v>
      </c>
      <c r="AN164" s="280"/>
      <c r="AO164" s="282"/>
      <c r="AP164" s="283"/>
      <c r="AQ164" s="283" t="str">
        <f t="shared" si="361"/>
        <v>0.00</v>
      </c>
      <c r="AR164" s="283"/>
      <c r="AS164" s="284"/>
      <c r="AT164" s="285" t="str">
        <f t="shared" si="235"/>
        <v>0.00</v>
      </c>
      <c r="AU164" s="284"/>
      <c r="AV164" s="286"/>
      <c r="AW164" s="285"/>
      <c r="AX164" s="284"/>
      <c r="AY164" s="26"/>
      <c r="AZ164" s="171" t="str">
        <f t="shared" si="384"/>
        <v>0.00%</v>
      </c>
      <c r="BA164" s="172" t="str">
        <f t="shared" si="385"/>
        <v>0.00</v>
      </c>
      <c r="BB164" s="173" t="str">
        <f t="shared" si="386"/>
        <v>327.12</v>
      </c>
      <c r="BC164" s="174" t="str">
        <f t="shared" si="387"/>
        <v>232.26</v>
      </c>
    </row>
    <row r="165" ht="12.75" hidden="1" customHeight="1">
      <c r="A165" s="26"/>
      <c r="B165" s="190" t="s">
        <v>340</v>
      </c>
      <c r="C165" s="192">
        <v>2.12759865E8</v>
      </c>
      <c r="D165" s="152" t="s">
        <v>341</v>
      </c>
      <c r="E165" s="53" t="s">
        <v>77</v>
      </c>
      <c r="F165" s="154">
        <v>1.0</v>
      </c>
      <c r="G165" s="53"/>
      <c r="H165" s="53" t="str">
        <f t="shared" si="368"/>
        <v>0.00069</v>
      </c>
      <c r="I165" s="53" t="str">
        <f t="shared" si="369"/>
        <v>89</v>
      </c>
      <c r="J165" s="53" t="str">
        <f t="shared" si="370"/>
        <v>0</v>
      </c>
      <c r="K165" s="155" t="str">
        <f t="shared" si="371"/>
        <v>0.00</v>
      </c>
      <c r="L165" s="156" t="str">
        <f t="shared" si="372"/>
        <v>0.00 </v>
      </c>
      <c r="M165" s="132">
        <v>90.0</v>
      </c>
      <c r="N165" s="157">
        <v>0.0</v>
      </c>
      <c r="O165" s="277">
        <v>0.0</v>
      </c>
      <c r="P165" s="277" t="str">
        <f t="shared" si="390"/>
        <v>#VALUE!</v>
      </c>
      <c r="Q165" s="157">
        <v>0.0</v>
      </c>
      <c r="R165" s="158">
        <v>536.1</v>
      </c>
      <c r="S165" s="159" t="str">
        <f t="shared" si="389"/>
        <v>324.07</v>
      </c>
      <c r="T165" s="160"/>
      <c r="U165" s="161">
        <v>0.26</v>
      </c>
      <c r="V165" s="162" t="str">
        <f t="shared" si="374"/>
        <v>396.71</v>
      </c>
      <c r="W165" s="163" t="str">
        <f t="shared" si="375"/>
        <v>60.00</v>
      </c>
      <c r="X165" s="164" t="str">
        <f t="shared" si="376"/>
        <v>29.66</v>
      </c>
      <c r="Y165" s="165" t="str">
        <f t="shared" si="377"/>
        <v>0.00</v>
      </c>
      <c r="Z165" s="166">
        <v>0.45</v>
      </c>
      <c r="AA165" s="167">
        <v>83.0</v>
      </c>
      <c r="AB165" s="168" t="str">
        <f t="shared" si="378"/>
        <v>174.233</v>
      </c>
      <c r="AC165" s="168" t="str">
        <f t="shared" si="379"/>
        <v>14.123</v>
      </c>
      <c r="AD165" s="164" t="str">
        <f t="shared" si="380"/>
        <v>0.98</v>
      </c>
      <c r="AE165" s="164">
        <v>98.04</v>
      </c>
      <c r="AF165" s="164" t="str">
        <f t="shared" si="381"/>
        <v>4.80</v>
      </c>
      <c r="AG165" s="165" t="str">
        <f t="shared" si="388"/>
        <v>53.61</v>
      </c>
      <c r="AH165" s="23"/>
      <c r="AI165" s="278">
        <v>0.1</v>
      </c>
      <c r="AJ165" s="24" t="str">
        <f t="shared" si="382"/>
        <v>115.69</v>
      </c>
      <c r="AK165" s="279" t="str">
        <f t="shared" si="383"/>
        <v>#DIV/0!</v>
      </c>
      <c r="AL165" s="280"/>
      <c r="AM165" s="281" t="str">
        <f t="shared" si="360"/>
        <v>0.00</v>
      </c>
      <c r="AN165" s="280"/>
      <c r="AO165" s="282"/>
      <c r="AP165" s="283"/>
      <c r="AQ165" s="283" t="str">
        <f t="shared" si="361"/>
        <v>0.00</v>
      </c>
      <c r="AR165" s="283"/>
      <c r="AS165" s="284"/>
      <c r="AT165" s="285" t="str">
        <f t="shared" si="235"/>
        <v>0.00</v>
      </c>
      <c r="AU165" s="284"/>
      <c r="AV165" s="286"/>
      <c r="AW165" s="285"/>
      <c r="AX165" s="284"/>
      <c r="AY165" s="26"/>
      <c r="AZ165" s="171" t="str">
        <f t="shared" si="384"/>
        <v>0.00%</v>
      </c>
      <c r="BA165" s="172" t="str">
        <f t="shared" si="385"/>
        <v>0.00</v>
      </c>
      <c r="BB165" s="173" t="str">
        <f t="shared" si="386"/>
        <v>324.07</v>
      </c>
      <c r="BC165" s="174" t="str">
        <f t="shared" si="387"/>
        <v>230.09</v>
      </c>
    </row>
    <row r="166" ht="12.75" customHeight="1">
      <c r="A166" s="26"/>
      <c r="B166" s="125" t="s">
        <v>342</v>
      </c>
      <c r="C166" s="126"/>
      <c r="D166" s="127"/>
      <c r="E166" s="128"/>
      <c r="F166" s="128"/>
      <c r="G166" s="128"/>
      <c r="H166" s="197"/>
      <c r="I166" s="197"/>
      <c r="J166" s="128"/>
      <c r="K166" s="130"/>
      <c r="L166" s="131"/>
      <c r="M166" s="132"/>
      <c r="N166" s="176"/>
      <c r="O166" s="133"/>
      <c r="P166" s="133"/>
      <c r="Q166" s="176"/>
      <c r="R166" s="134"/>
      <c r="S166" s="135"/>
      <c r="T166" s="135"/>
      <c r="U166" s="136"/>
      <c r="V166" s="137"/>
      <c r="W166" s="177"/>
      <c r="X166" s="178"/>
      <c r="Y166" s="179"/>
      <c r="Z166" s="180"/>
      <c r="AA166" s="181"/>
      <c r="AB166" s="182"/>
      <c r="AC166" s="182"/>
      <c r="AD166" s="178"/>
      <c r="AE166" s="178"/>
      <c r="AF166" s="178"/>
      <c r="AG166" s="179"/>
      <c r="AH166" s="183"/>
      <c r="AI166" s="271"/>
      <c r="AJ166" s="287"/>
      <c r="AK166" s="288"/>
      <c r="AL166" s="280"/>
      <c r="AM166" s="281" t="str">
        <f t="shared" si="360"/>
        <v>0.00</v>
      </c>
      <c r="AN166" s="280"/>
      <c r="AO166" s="282"/>
      <c r="AP166" s="283"/>
      <c r="AQ166" s="283" t="str">
        <f t="shared" si="361"/>
        <v>0.00</v>
      </c>
      <c r="AR166" s="283"/>
      <c r="AS166" s="284"/>
      <c r="AT166" s="285" t="str">
        <f t="shared" si="235"/>
        <v>0.00</v>
      </c>
      <c r="AU166" s="284"/>
      <c r="AV166" s="286"/>
      <c r="AW166" s="285"/>
      <c r="AX166" s="284"/>
      <c r="AY166" s="26"/>
      <c r="AZ166" s="186"/>
      <c r="BA166" s="187"/>
      <c r="BB166" s="188"/>
      <c r="BC166" s="189"/>
    </row>
    <row r="167" ht="18.0" customHeight="1">
      <c r="A167" s="26"/>
      <c r="B167" s="190" t="s">
        <v>343</v>
      </c>
      <c r="C167" s="199">
        <v>2.55574453E8</v>
      </c>
      <c r="D167" s="207" t="s">
        <v>344</v>
      </c>
      <c r="E167" s="53" t="s">
        <v>77</v>
      </c>
      <c r="F167" s="154">
        <v>1.0</v>
      </c>
      <c r="G167" s="53"/>
      <c r="H167" s="53" t="str">
        <f>$I$2</f>
        <v>0.00069</v>
      </c>
      <c r="I167" s="53" t="str">
        <f>$I$3</f>
        <v>89</v>
      </c>
      <c r="J167" s="53" t="str">
        <f>G167*H167*I167*F167</f>
        <v>0</v>
      </c>
      <c r="K167" s="155" t="str">
        <f>J167*$J$4</f>
        <v>0.00</v>
      </c>
      <c r="L167" s="156" t="str">
        <f>K167+J167</f>
        <v>0.00 </v>
      </c>
      <c r="M167" s="132">
        <v>90.0</v>
      </c>
      <c r="N167" s="175">
        <v>334.05</v>
      </c>
      <c r="O167" s="277">
        <v>364.11</v>
      </c>
      <c r="P167" s="277">
        <v>354.09</v>
      </c>
      <c r="Q167" s="175">
        <v>334.05</v>
      </c>
      <c r="R167" s="158">
        <v>1200.0</v>
      </c>
      <c r="S167" s="159" t="str">
        <f>R167</f>
        <v>1,200.00</v>
      </c>
      <c r="T167" s="160">
        <v>1015.0</v>
      </c>
      <c r="U167" s="161">
        <v>0.26</v>
      </c>
      <c r="V167" s="162" t="str">
        <f>R167-(R167*U167)</f>
        <v>888.00</v>
      </c>
      <c r="W167" s="163" t="str">
        <f>$C$1</f>
        <v>60.00</v>
      </c>
      <c r="X167" s="164" t="str">
        <f>(V167*7/107)+((V167-(V167*7/107))*1%)</f>
        <v>66.39</v>
      </c>
      <c r="Y167" s="165" t="str">
        <f>Q167*$C$3*(M167/30)</f>
        <v>0.00</v>
      </c>
      <c r="Z167" s="166">
        <v>1.19</v>
      </c>
      <c r="AA167" s="167">
        <v>88.0</v>
      </c>
      <c r="AB167" s="168" t="str">
        <f>R167*$AB$6</f>
        <v>390.000</v>
      </c>
      <c r="AC167" s="168" t="str">
        <f>V167*$AB$7</f>
        <v>31.613</v>
      </c>
      <c r="AD167" s="164" t="str">
        <f>$AB$3*((100-AE167)/100)</f>
        <v>1.50</v>
      </c>
      <c r="AE167" s="164">
        <v>97.0</v>
      </c>
      <c r="AF167" s="164" t="str">
        <f>$C$6*$C$7*_xlfn.CEILING.MATH(Z167)</f>
        <v>9.60</v>
      </c>
      <c r="AG167" s="165" t="str">
        <f>R167*$C$2</f>
        <v>120.00</v>
      </c>
      <c r="AH167" s="23"/>
      <c r="AI167" s="278">
        <v>0.1</v>
      </c>
      <c r="AJ167" s="24" t="str">
        <f>R167-W167-X167-Y167-AA167-AB167-AC167-AD167-AF167-AG167-Q167</f>
        <v>98.84</v>
      </c>
      <c r="AK167" s="279" t="str">
        <f>AJ167/Q167</f>
        <v>29.59%</v>
      </c>
      <c r="AL167" s="280">
        <v>300.0</v>
      </c>
      <c r="AM167" s="281" t="str">
        <f t="shared" si="360"/>
        <v>29,653.40</v>
      </c>
      <c r="AN167" s="280">
        <v>25.0</v>
      </c>
      <c r="AO167" s="282"/>
      <c r="AP167" s="283"/>
      <c r="AQ167" s="283" t="str">
        <f t="shared" si="361"/>
        <v>0.00</v>
      </c>
      <c r="AR167" s="283"/>
      <c r="AS167" s="284">
        <v>250.0</v>
      </c>
      <c r="AT167" s="285" t="str">
        <f t="shared" si="235"/>
        <v>24,711.17</v>
      </c>
      <c r="AU167" s="284">
        <v>23.0</v>
      </c>
      <c r="AV167" s="286">
        <v>0.0</v>
      </c>
      <c r="AW167" s="285">
        <v>4091.53</v>
      </c>
      <c r="AX167" s="284">
        <v>53.25</v>
      </c>
      <c r="AY167" s="26"/>
      <c r="AZ167" s="171" t="str">
        <f>$AG$3</f>
        <v>0.00%</v>
      </c>
      <c r="BA167" s="172" t="str">
        <f>Q167*AZ167</f>
        <v>0.00</v>
      </c>
      <c r="BB167" s="173" t="str">
        <f>(Q167+W167+Y167+AA167+AD167+AF167+AI167+BA167)/(100%-($C$2+$C$8+$AB$6+$AB$7))</f>
        <v>1,073.68</v>
      </c>
      <c r="BC167" s="174" t="str">
        <f>BB167-(BB167*$AG$1)</f>
        <v>762.31</v>
      </c>
    </row>
    <row r="168" ht="12.75" customHeight="1">
      <c r="A168" s="26"/>
      <c r="B168" s="125" t="s">
        <v>345</v>
      </c>
      <c r="C168" s="126"/>
      <c r="D168" s="127"/>
      <c r="E168" s="128"/>
      <c r="F168" s="128"/>
      <c r="G168" s="128"/>
      <c r="H168" s="197"/>
      <c r="I168" s="197"/>
      <c r="J168" s="128"/>
      <c r="K168" s="130"/>
      <c r="L168" s="131"/>
      <c r="M168" s="132"/>
      <c r="N168" s="176"/>
      <c r="O168" s="133"/>
      <c r="P168" s="133"/>
      <c r="Q168" s="176"/>
      <c r="R168" s="134"/>
      <c r="S168" s="135"/>
      <c r="T168" s="135"/>
      <c r="U168" s="136"/>
      <c r="V168" s="137"/>
      <c r="W168" s="177"/>
      <c r="X168" s="178"/>
      <c r="Y168" s="179"/>
      <c r="Z168" s="180"/>
      <c r="AA168" s="181"/>
      <c r="AB168" s="182"/>
      <c r="AC168" s="182"/>
      <c r="AD168" s="178"/>
      <c r="AE168" s="178"/>
      <c r="AF168" s="178"/>
      <c r="AG168" s="179"/>
      <c r="AH168" s="183"/>
      <c r="AI168" s="271"/>
      <c r="AJ168" s="287"/>
      <c r="AK168" s="288"/>
      <c r="AL168" s="280"/>
      <c r="AM168" s="281" t="str">
        <f t="shared" si="360"/>
        <v>0.00</v>
      </c>
      <c r="AN168" s="280"/>
      <c r="AO168" s="282"/>
      <c r="AP168" s="283"/>
      <c r="AQ168" s="283" t="str">
        <f t="shared" si="361"/>
        <v>0.00</v>
      </c>
      <c r="AR168" s="283"/>
      <c r="AS168" s="284"/>
      <c r="AT168" s="285" t="str">
        <f t="shared" si="235"/>
        <v>0.00</v>
      </c>
      <c r="AU168" s="284"/>
      <c r="AV168" s="286"/>
      <c r="AW168" s="285"/>
      <c r="AX168" s="284"/>
      <c r="AY168" s="26"/>
      <c r="AZ168" s="186"/>
      <c r="BA168" s="187"/>
      <c r="BB168" s="188"/>
      <c r="BC168" s="189"/>
    </row>
    <row r="169" ht="12.75" customHeight="1">
      <c r="A169" s="26"/>
      <c r="B169" s="190" t="s">
        <v>346</v>
      </c>
      <c r="C169" s="199">
        <v>2.1288309E8</v>
      </c>
      <c r="D169" s="152" t="s">
        <v>347</v>
      </c>
      <c r="E169" s="53" t="s">
        <v>77</v>
      </c>
      <c r="F169" s="154">
        <v>1.0</v>
      </c>
      <c r="G169" s="53"/>
      <c r="H169" s="53" t="str">
        <f t="shared" ref="H169:H173" si="391">$I$2</f>
        <v>0.00069</v>
      </c>
      <c r="I169" s="53" t="str">
        <f t="shared" ref="I169:I173" si="392">$I$3</f>
        <v>89</v>
      </c>
      <c r="J169" s="53" t="str">
        <f t="shared" ref="J169:J173" si="393">G169*H169*I169*F169</f>
        <v>0</v>
      </c>
      <c r="K169" s="155" t="str">
        <f t="shared" ref="K169:K173" si="394">J169*$J$4</f>
        <v>0.00</v>
      </c>
      <c r="L169" s="156" t="str">
        <f t="shared" ref="L169:L173" si="395">K169+J169</f>
        <v>0.00 </v>
      </c>
      <c r="M169" s="132">
        <v>90.0</v>
      </c>
      <c r="N169" s="157">
        <v>162.13</v>
      </c>
      <c r="O169" s="277">
        <v>176.72</v>
      </c>
      <c r="P169" s="277">
        <v>171.86</v>
      </c>
      <c r="Q169" s="175">
        <v>265.36</v>
      </c>
      <c r="R169" s="158">
        <v>960.0</v>
      </c>
      <c r="S169" s="159" t="str">
        <f t="shared" ref="S169:S172" si="396">R169</f>
        <v>960.00</v>
      </c>
      <c r="T169" s="160">
        <v>700.0</v>
      </c>
      <c r="U169" s="161">
        <v>0.26</v>
      </c>
      <c r="V169" s="162" t="str">
        <f t="shared" ref="V169:V173" si="397">R169-(R169*U169)</f>
        <v>710.40</v>
      </c>
      <c r="W169" s="163" t="str">
        <f t="shared" ref="W169:W173" si="398">$C$1</f>
        <v>60.00</v>
      </c>
      <c r="X169" s="164" t="str">
        <f t="shared" ref="X169:X173" si="399">(V169*7/107)+((V169-(V169*7/107))*1%)</f>
        <v>53.11</v>
      </c>
      <c r="Y169" s="165" t="str">
        <f t="shared" ref="Y169:Y173" si="400">Q169*$C$3*(M169/30)</f>
        <v>0.00</v>
      </c>
      <c r="Z169" s="166">
        <v>0.93</v>
      </c>
      <c r="AA169" s="167" t="str">
        <f>((_xlfn.CEILING.MATH(Z169)-1)*$C$5+$C$4)</f>
        <v>76</v>
      </c>
      <c r="AB169" s="168" t="str">
        <f t="shared" ref="AB169:AB173" si="401">R169*$AB$6</f>
        <v>312.000</v>
      </c>
      <c r="AC169" s="168" t="str">
        <f t="shared" ref="AC169:AC173" si="402">V169*$AB$7</f>
        <v>25.290</v>
      </c>
      <c r="AD169" s="164" t="str">
        <f t="shared" ref="AD169:AD173" si="403">$AB$3*((100-AE169)/100)</f>
        <v>0.00</v>
      </c>
      <c r="AE169" s="164">
        <v>100.0</v>
      </c>
      <c r="AF169" s="164" t="str">
        <f t="shared" ref="AF169:AF173" si="404">$C$6*$C$7*_xlfn.CEILING.MATH(Z169)</f>
        <v>4.80</v>
      </c>
      <c r="AG169" s="165" t="str">
        <f t="shared" ref="AG169:AG173" si="405">R169*$C$2</f>
        <v>96.00</v>
      </c>
      <c r="AH169" s="23"/>
      <c r="AI169" s="278">
        <v>0.1</v>
      </c>
      <c r="AJ169" s="24" t="str">
        <f t="shared" ref="AJ169:AJ173" si="406">R169-W169-X169-Y169-AA169-AB169-AC169-AD169-AF169-AG169-Q169</f>
        <v>67.44</v>
      </c>
      <c r="AK169" s="279" t="str">
        <f t="shared" ref="AK169:AK173" si="407">AJ169/Q169</f>
        <v>25.41%</v>
      </c>
      <c r="AL169" s="280">
        <v>100.0</v>
      </c>
      <c r="AM169" s="281" t="str">
        <f t="shared" si="360"/>
        <v>6,743.57</v>
      </c>
      <c r="AN169" s="280">
        <v>41.0</v>
      </c>
      <c r="AO169" s="282">
        <v>25.32</v>
      </c>
      <c r="AP169" s="283">
        <v>221.06</v>
      </c>
      <c r="AQ169" s="283" t="str">
        <f t="shared" si="361"/>
        <v>9,063.46</v>
      </c>
      <c r="AR169" s="283">
        <v>129.03</v>
      </c>
      <c r="AS169" s="284">
        <v>90.0</v>
      </c>
      <c r="AT169" s="285" t="str">
        <f t="shared" si="235"/>
        <v>6,069.22</v>
      </c>
      <c r="AU169" s="284">
        <v>50.0</v>
      </c>
      <c r="AV169" s="286">
        <v>0.0435</v>
      </c>
      <c r="AW169" s="285">
        <v>8256.59</v>
      </c>
      <c r="AX169" s="284">
        <v>65.28</v>
      </c>
      <c r="AY169" s="26"/>
      <c r="AZ169" s="171" t="str">
        <f t="shared" ref="AZ169:AZ173" si="408">$AG$3</f>
        <v>0.00%</v>
      </c>
      <c r="BA169" s="172" t="str">
        <f t="shared" ref="BA169:BA173" si="409">Q169*AZ169</f>
        <v>0.00</v>
      </c>
      <c r="BB169" s="173" t="str">
        <f t="shared" ref="BB169:BB173" si="410">(Q169+W169+Y169+AA169+AD169+AF169+AI169+BA169)/(100%-($C$2+$C$8+$AB$6+$AB$7))</f>
        <v>884.33</v>
      </c>
      <c r="BC169" s="174" t="str">
        <f t="shared" ref="BC169:BC173" si="411">BB169-(BB169*$AG$1)</f>
        <v>627.87</v>
      </c>
    </row>
    <row r="170" ht="12.75" customHeight="1">
      <c r="A170" s="26"/>
      <c r="B170" s="190" t="s">
        <v>348</v>
      </c>
      <c r="C170" s="199">
        <v>2.12757456E8</v>
      </c>
      <c r="D170" s="152" t="s">
        <v>349</v>
      </c>
      <c r="E170" s="53" t="s">
        <v>77</v>
      </c>
      <c r="F170" s="154">
        <v>1.0</v>
      </c>
      <c r="G170" s="53"/>
      <c r="H170" s="53" t="str">
        <f t="shared" si="391"/>
        <v>0.00069</v>
      </c>
      <c r="I170" s="53" t="str">
        <f t="shared" si="392"/>
        <v>89</v>
      </c>
      <c r="J170" s="53" t="str">
        <f t="shared" si="393"/>
        <v>0</v>
      </c>
      <c r="K170" s="155" t="str">
        <f t="shared" si="394"/>
        <v>0.00</v>
      </c>
      <c r="L170" s="156" t="str">
        <f t="shared" si="395"/>
        <v>0.00 </v>
      </c>
      <c r="M170" s="132">
        <v>90.0</v>
      </c>
      <c r="N170" s="175">
        <v>265.36</v>
      </c>
      <c r="O170" s="277">
        <v>289.24</v>
      </c>
      <c r="P170" s="277">
        <v>281.28</v>
      </c>
      <c r="Q170" s="175">
        <v>265.36</v>
      </c>
      <c r="R170" s="158">
        <v>960.0</v>
      </c>
      <c r="S170" s="159" t="str">
        <f t="shared" si="396"/>
        <v>960.00</v>
      </c>
      <c r="T170" s="160">
        <v>623.0</v>
      </c>
      <c r="U170" s="161">
        <v>0.26</v>
      </c>
      <c r="V170" s="162" t="str">
        <f t="shared" si="397"/>
        <v>710.40</v>
      </c>
      <c r="W170" s="163" t="str">
        <f t="shared" si="398"/>
        <v>60.00</v>
      </c>
      <c r="X170" s="164" t="str">
        <f t="shared" si="399"/>
        <v>53.11</v>
      </c>
      <c r="Y170" s="165" t="str">
        <f t="shared" si="400"/>
        <v>0.00</v>
      </c>
      <c r="Z170" s="166">
        <v>0.93</v>
      </c>
      <c r="AA170" s="167">
        <v>85.0</v>
      </c>
      <c r="AB170" s="168" t="str">
        <f t="shared" si="401"/>
        <v>312.000</v>
      </c>
      <c r="AC170" s="168" t="str">
        <f t="shared" si="402"/>
        <v>25.290</v>
      </c>
      <c r="AD170" s="164" t="str">
        <f t="shared" si="403"/>
        <v>1.90</v>
      </c>
      <c r="AE170" s="164">
        <v>96.21</v>
      </c>
      <c r="AF170" s="164" t="str">
        <f t="shared" si="404"/>
        <v>4.80</v>
      </c>
      <c r="AG170" s="165" t="str">
        <f t="shared" si="405"/>
        <v>96.00</v>
      </c>
      <c r="AH170" s="23"/>
      <c r="AI170" s="278">
        <v>0.1</v>
      </c>
      <c r="AJ170" s="24" t="str">
        <f t="shared" si="406"/>
        <v>56.54</v>
      </c>
      <c r="AK170" s="279" t="str">
        <f t="shared" si="407"/>
        <v>21.31%</v>
      </c>
      <c r="AL170" s="280">
        <v>350.0</v>
      </c>
      <c r="AM170" s="281" t="str">
        <f t="shared" si="360"/>
        <v>19,789.26</v>
      </c>
      <c r="AN170" s="280">
        <v>81.0</v>
      </c>
      <c r="AO170" s="282">
        <v>23.86</v>
      </c>
      <c r="AP170" s="283">
        <v>73.55</v>
      </c>
      <c r="AQ170" s="283" t="str">
        <f t="shared" si="361"/>
        <v>5,957.55</v>
      </c>
      <c r="AR170" s="283">
        <v>26.36</v>
      </c>
      <c r="AS170" s="284">
        <v>350.0</v>
      </c>
      <c r="AT170" s="285" t="str">
        <f t="shared" si="235"/>
        <v>19,789.26</v>
      </c>
      <c r="AU170" s="284">
        <v>191.0</v>
      </c>
      <c r="AV170" s="286">
        <v>0.1481</v>
      </c>
      <c r="AW170" s="285">
        <v>3125.55</v>
      </c>
      <c r="AX170" s="284">
        <v>6.17</v>
      </c>
      <c r="AY170" s="26"/>
      <c r="AZ170" s="171" t="str">
        <f t="shared" si="408"/>
        <v>0.00%</v>
      </c>
      <c r="BA170" s="172" t="str">
        <f t="shared" si="409"/>
        <v>0.00</v>
      </c>
      <c r="BB170" s="173" t="str">
        <f t="shared" si="410"/>
        <v>908.04</v>
      </c>
      <c r="BC170" s="174" t="str">
        <f t="shared" si="411"/>
        <v>644.71</v>
      </c>
    </row>
    <row r="171" ht="12.75" customHeight="1">
      <c r="A171" s="26"/>
      <c r="B171" s="190" t="s">
        <v>350</v>
      </c>
      <c r="C171" s="199">
        <v>2.12759698E8</v>
      </c>
      <c r="D171" s="152" t="s">
        <v>351</v>
      </c>
      <c r="E171" s="53" t="s">
        <v>77</v>
      </c>
      <c r="F171" s="154">
        <v>1.0</v>
      </c>
      <c r="G171" s="53"/>
      <c r="H171" s="53" t="str">
        <f t="shared" si="391"/>
        <v>0.00069</v>
      </c>
      <c r="I171" s="53" t="str">
        <f t="shared" si="392"/>
        <v>89</v>
      </c>
      <c r="J171" s="53" t="str">
        <f t="shared" si="393"/>
        <v>0</v>
      </c>
      <c r="K171" s="155" t="str">
        <f t="shared" si="394"/>
        <v>0.00</v>
      </c>
      <c r="L171" s="156" t="str">
        <f t="shared" si="395"/>
        <v>0.00 </v>
      </c>
      <c r="M171" s="132">
        <v>90.0</v>
      </c>
      <c r="N171" s="157">
        <v>166.42</v>
      </c>
      <c r="O171" s="277">
        <v>181.4</v>
      </c>
      <c r="P171" s="277">
        <v>176.41</v>
      </c>
      <c r="Q171" s="175">
        <v>265.36</v>
      </c>
      <c r="R171" s="158">
        <v>960.0</v>
      </c>
      <c r="S171" s="159" t="str">
        <f t="shared" si="396"/>
        <v>960.00</v>
      </c>
      <c r="T171" s="160">
        <v>678.0</v>
      </c>
      <c r="U171" s="161">
        <v>0.26</v>
      </c>
      <c r="V171" s="162" t="str">
        <f t="shared" si="397"/>
        <v>710.40</v>
      </c>
      <c r="W171" s="163" t="str">
        <f t="shared" si="398"/>
        <v>60.00</v>
      </c>
      <c r="X171" s="164" t="str">
        <f t="shared" si="399"/>
        <v>53.11</v>
      </c>
      <c r="Y171" s="165" t="str">
        <f t="shared" si="400"/>
        <v>0.00</v>
      </c>
      <c r="Z171" s="166">
        <v>0.93</v>
      </c>
      <c r="AA171" s="167" t="str">
        <f t="shared" ref="AA171:AA173" si="412">((_xlfn.CEILING.MATH(Z171)-1)*$C$5+$C$4)</f>
        <v>76</v>
      </c>
      <c r="AB171" s="168" t="str">
        <f t="shared" si="401"/>
        <v>312.000</v>
      </c>
      <c r="AC171" s="168" t="str">
        <f t="shared" si="402"/>
        <v>25.290</v>
      </c>
      <c r="AD171" s="164" t="str">
        <f t="shared" si="403"/>
        <v>2.71</v>
      </c>
      <c r="AE171" s="164">
        <v>94.59</v>
      </c>
      <c r="AF171" s="164" t="str">
        <f t="shared" si="404"/>
        <v>4.80</v>
      </c>
      <c r="AG171" s="165" t="str">
        <f t="shared" si="405"/>
        <v>96.00</v>
      </c>
      <c r="AH171" s="23"/>
      <c r="AI171" s="278">
        <v>0.1</v>
      </c>
      <c r="AJ171" s="24" t="str">
        <f t="shared" si="406"/>
        <v>64.73</v>
      </c>
      <c r="AK171" s="279" t="str">
        <f t="shared" si="407"/>
        <v>24.39%</v>
      </c>
      <c r="AL171" s="280">
        <v>200.0</v>
      </c>
      <c r="AM171" s="281" t="str">
        <f t="shared" si="360"/>
        <v>12,946.15</v>
      </c>
      <c r="AN171" s="280">
        <v>70.0</v>
      </c>
      <c r="AO171" s="282">
        <v>18.93</v>
      </c>
      <c r="AP171" s="283">
        <v>275.41</v>
      </c>
      <c r="AQ171" s="283" t="str">
        <f t="shared" si="361"/>
        <v>19,278.70</v>
      </c>
      <c r="AR171" s="283">
        <v>158.28</v>
      </c>
      <c r="AS171" s="284">
        <v>200.0</v>
      </c>
      <c r="AT171" s="285" t="str">
        <f t="shared" si="235"/>
        <v>12,946.15</v>
      </c>
      <c r="AU171" s="284">
        <v>47.0</v>
      </c>
      <c r="AV171" s="286">
        <v>0.1503</v>
      </c>
      <c r="AW171" s="285">
        <v>3277.52</v>
      </c>
      <c r="AX171" s="284">
        <v>26.49</v>
      </c>
      <c r="AY171" s="26"/>
      <c r="AZ171" s="171" t="str">
        <f t="shared" si="408"/>
        <v>0.00%</v>
      </c>
      <c r="BA171" s="172" t="str">
        <f t="shared" si="409"/>
        <v>0.00</v>
      </c>
      <c r="BB171" s="173" t="str">
        <f t="shared" si="410"/>
        <v>890.22</v>
      </c>
      <c r="BC171" s="174" t="str">
        <f t="shared" si="411"/>
        <v>632.05</v>
      </c>
    </row>
    <row r="172" ht="12.75" customHeight="1">
      <c r="A172" s="26"/>
      <c r="B172" s="190" t="s">
        <v>352</v>
      </c>
      <c r="C172" s="199">
        <v>2.12760119E8</v>
      </c>
      <c r="D172" s="152" t="s">
        <v>353</v>
      </c>
      <c r="E172" s="53" t="s">
        <v>77</v>
      </c>
      <c r="F172" s="154">
        <v>1.0</v>
      </c>
      <c r="G172" s="53"/>
      <c r="H172" s="53" t="str">
        <f t="shared" si="391"/>
        <v>0.00069</v>
      </c>
      <c r="I172" s="53" t="str">
        <f t="shared" si="392"/>
        <v>89</v>
      </c>
      <c r="J172" s="53" t="str">
        <f t="shared" si="393"/>
        <v>0</v>
      </c>
      <c r="K172" s="155" t="str">
        <f t="shared" si="394"/>
        <v>0.00</v>
      </c>
      <c r="L172" s="156" t="str">
        <f t="shared" si="395"/>
        <v>0.00 </v>
      </c>
      <c r="M172" s="132">
        <v>90.0</v>
      </c>
      <c r="N172" s="175">
        <v>265.36</v>
      </c>
      <c r="O172" s="277">
        <v>289.24</v>
      </c>
      <c r="P172" s="277">
        <v>281.28</v>
      </c>
      <c r="Q172" s="175">
        <v>265.36</v>
      </c>
      <c r="R172" s="158">
        <v>960.0</v>
      </c>
      <c r="S172" s="159" t="str">
        <f t="shared" si="396"/>
        <v>960.00</v>
      </c>
      <c r="T172" s="160">
        <v>615.0</v>
      </c>
      <c r="U172" s="161">
        <v>0.26</v>
      </c>
      <c r="V172" s="162" t="str">
        <f t="shared" si="397"/>
        <v>710.40</v>
      </c>
      <c r="W172" s="163" t="str">
        <f t="shared" si="398"/>
        <v>60.00</v>
      </c>
      <c r="X172" s="164" t="str">
        <f t="shared" si="399"/>
        <v>53.11</v>
      </c>
      <c r="Y172" s="165" t="str">
        <f t="shared" si="400"/>
        <v>0.00</v>
      </c>
      <c r="Z172" s="166">
        <v>0.93</v>
      </c>
      <c r="AA172" s="167" t="str">
        <f t="shared" si="412"/>
        <v>76</v>
      </c>
      <c r="AB172" s="168" t="str">
        <f t="shared" si="401"/>
        <v>312.000</v>
      </c>
      <c r="AC172" s="168" t="str">
        <f t="shared" si="402"/>
        <v>25.290</v>
      </c>
      <c r="AD172" s="164" t="str">
        <f t="shared" si="403"/>
        <v>1.01</v>
      </c>
      <c r="AE172" s="164">
        <v>97.98</v>
      </c>
      <c r="AF172" s="164" t="str">
        <f t="shared" si="404"/>
        <v>4.80</v>
      </c>
      <c r="AG172" s="165" t="str">
        <f t="shared" si="405"/>
        <v>96.00</v>
      </c>
      <c r="AH172" s="23"/>
      <c r="AI172" s="278">
        <v>0.1</v>
      </c>
      <c r="AJ172" s="24" t="str">
        <f t="shared" si="406"/>
        <v>66.43</v>
      </c>
      <c r="AK172" s="279" t="str">
        <f t="shared" si="407"/>
        <v>25.03%</v>
      </c>
      <c r="AL172" s="280">
        <v>350.0</v>
      </c>
      <c r="AM172" s="281" t="str">
        <f t="shared" si="360"/>
        <v>23,249.01</v>
      </c>
      <c r="AN172" s="280">
        <v>95.0</v>
      </c>
      <c r="AO172" s="282">
        <v>12.3</v>
      </c>
      <c r="AP172" s="283">
        <v>157.64</v>
      </c>
      <c r="AQ172" s="283" t="str">
        <f t="shared" si="361"/>
        <v>14,975.80</v>
      </c>
      <c r="AR172" s="283">
        <v>56.63</v>
      </c>
      <c r="AS172" s="284">
        <v>350.0</v>
      </c>
      <c r="AT172" s="285" t="str">
        <f t="shared" si="235"/>
        <v>23,249.01</v>
      </c>
      <c r="AU172" s="284">
        <v>109.0</v>
      </c>
      <c r="AV172" s="286">
        <v>0.0447</v>
      </c>
      <c r="AW172" s="285">
        <v>17594.62</v>
      </c>
      <c r="AX172" s="284">
        <v>60.83</v>
      </c>
      <c r="AY172" s="26"/>
      <c r="AZ172" s="171" t="str">
        <f t="shared" si="408"/>
        <v>0.00%</v>
      </c>
      <c r="BA172" s="172" t="str">
        <f t="shared" si="409"/>
        <v>0.00</v>
      </c>
      <c r="BB172" s="173" t="str">
        <f t="shared" si="410"/>
        <v>886.53</v>
      </c>
      <c r="BC172" s="174" t="str">
        <f t="shared" si="411"/>
        <v>629.43</v>
      </c>
    </row>
    <row r="173" ht="12.75" hidden="1" customHeight="1">
      <c r="A173" s="26"/>
      <c r="B173" s="190" t="s">
        <v>354</v>
      </c>
      <c r="C173" s="208">
        <v>2.12759049E8</v>
      </c>
      <c r="D173" s="152" t="s">
        <v>355</v>
      </c>
      <c r="E173" s="53" t="s">
        <v>77</v>
      </c>
      <c r="F173" s="154">
        <v>1.0</v>
      </c>
      <c r="G173" s="53"/>
      <c r="H173" s="53" t="str">
        <f t="shared" si="391"/>
        <v>0.00069</v>
      </c>
      <c r="I173" s="53" t="str">
        <f t="shared" si="392"/>
        <v>89</v>
      </c>
      <c r="J173" s="53" t="str">
        <f t="shared" si="393"/>
        <v>0</v>
      </c>
      <c r="K173" s="155" t="str">
        <f t="shared" si="394"/>
        <v>0.00</v>
      </c>
      <c r="L173" s="156" t="str">
        <f t="shared" si="395"/>
        <v>0.00 </v>
      </c>
      <c r="M173" s="132">
        <v>90.0</v>
      </c>
      <c r="N173" s="157">
        <v>0.0</v>
      </c>
      <c r="O173" s="277">
        <v>0.0</v>
      </c>
      <c r="P173" s="277" t="str">
        <f>K173/E173</f>
        <v>#VALUE!</v>
      </c>
      <c r="Q173" s="157">
        <v>0.0</v>
      </c>
      <c r="R173" s="158">
        <v>555.6</v>
      </c>
      <c r="S173" s="159" t="str">
        <f>BB173</f>
        <v>311.74</v>
      </c>
      <c r="T173" s="160"/>
      <c r="U173" s="161">
        <v>0.26</v>
      </c>
      <c r="V173" s="162" t="str">
        <f t="shared" si="397"/>
        <v>411.14</v>
      </c>
      <c r="W173" s="163" t="str">
        <f t="shared" si="398"/>
        <v>60.00</v>
      </c>
      <c r="X173" s="164" t="str">
        <f t="shared" si="399"/>
        <v>30.74</v>
      </c>
      <c r="Y173" s="165" t="str">
        <f t="shared" si="400"/>
        <v>0.00</v>
      </c>
      <c r="Z173" s="166">
        <v>0.93</v>
      </c>
      <c r="AA173" s="167" t="str">
        <f t="shared" si="412"/>
        <v>76</v>
      </c>
      <c r="AB173" s="168" t="str">
        <f t="shared" si="401"/>
        <v>180.570</v>
      </c>
      <c r="AC173" s="168" t="str">
        <f t="shared" si="402"/>
        <v>14.637</v>
      </c>
      <c r="AD173" s="164" t="str">
        <f t="shared" si="403"/>
        <v>2.32</v>
      </c>
      <c r="AE173" s="164">
        <v>95.37</v>
      </c>
      <c r="AF173" s="164" t="str">
        <f t="shared" si="404"/>
        <v>4.80</v>
      </c>
      <c r="AG173" s="165" t="str">
        <f t="shared" si="405"/>
        <v>55.56</v>
      </c>
      <c r="AH173" s="23"/>
      <c r="AI173" s="278">
        <v>0.1</v>
      </c>
      <c r="AJ173" s="24" t="str">
        <f t="shared" si="406"/>
        <v>130.98</v>
      </c>
      <c r="AK173" s="279" t="str">
        <f t="shared" si="407"/>
        <v>#DIV/0!</v>
      </c>
      <c r="AL173" s="280"/>
      <c r="AM173" s="281" t="str">
        <f t="shared" si="360"/>
        <v>0.00</v>
      </c>
      <c r="AN173" s="280"/>
      <c r="AO173" s="282"/>
      <c r="AP173" s="283"/>
      <c r="AQ173" s="283" t="str">
        <f t="shared" si="361"/>
        <v>0.00</v>
      </c>
      <c r="AR173" s="283"/>
      <c r="AS173" s="284"/>
      <c r="AT173" s="285" t="str">
        <f t="shared" si="235"/>
        <v>0.00</v>
      </c>
      <c r="AU173" s="284"/>
      <c r="AV173" s="286"/>
      <c r="AW173" s="285"/>
      <c r="AX173" s="284"/>
      <c r="AY173" s="26"/>
      <c r="AZ173" s="171" t="str">
        <f t="shared" si="408"/>
        <v>0.00%</v>
      </c>
      <c r="BA173" s="172" t="str">
        <f t="shared" si="409"/>
        <v>0.00</v>
      </c>
      <c r="BB173" s="173" t="str">
        <f t="shared" si="410"/>
        <v>311.74</v>
      </c>
      <c r="BC173" s="174" t="str">
        <f t="shared" si="411"/>
        <v>221.34</v>
      </c>
    </row>
    <row r="174" ht="12.75" customHeight="1">
      <c r="A174" s="26"/>
      <c r="B174" s="125" t="s">
        <v>356</v>
      </c>
      <c r="C174" s="126"/>
      <c r="D174" s="127"/>
      <c r="E174" s="128"/>
      <c r="F174" s="128"/>
      <c r="G174" s="128"/>
      <c r="H174" s="197"/>
      <c r="I174" s="197"/>
      <c r="J174" s="128"/>
      <c r="K174" s="130"/>
      <c r="L174" s="131"/>
      <c r="M174" s="132"/>
      <c r="N174" s="176"/>
      <c r="O174" s="133"/>
      <c r="P174" s="133"/>
      <c r="Q174" s="176"/>
      <c r="R174" s="134"/>
      <c r="S174" s="135"/>
      <c r="T174" s="135"/>
      <c r="U174" s="136"/>
      <c r="V174" s="137"/>
      <c r="W174" s="177"/>
      <c r="X174" s="178"/>
      <c r="Y174" s="179"/>
      <c r="Z174" s="180"/>
      <c r="AA174" s="181"/>
      <c r="AB174" s="182"/>
      <c r="AC174" s="182"/>
      <c r="AD174" s="178"/>
      <c r="AE174" s="178"/>
      <c r="AF174" s="178"/>
      <c r="AG174" s="179"/>
      <c r="AH174" s="183"/>
      <c r="AI174" s="271"/>
      <c r="AJ174" s="287"/>
      <c r="AK174" s="288"/>
      <c r="AL174" s="280"/>
      <c r="AM174" s="281" t="str">
        <f t="shared" si="360"/>
        <v>0.00</v>
      </c>
      <c r="AN174" s="280"/>
      <c r="AO174" s="282"/>
      <c r="AP174" s="283"/>
      <c r="AQ174" s="283" t="str">
        <f t="shared" si="361"/>
        <v>0.00</v>
      </c>
      <c r="AR174" s="283"/>
      <c r="AS174" s="284"/>
      <c r="AT174" s="285" t="str">
        <f t="shared" si="235"/>
        <v>0.00</v>
      </c>
      <c r="AU174" s="284"/>
      <c r="AV174" s="286"/>
      <c r="AW174" s="285"/>
      <c r="AX174" s="284"/>
      <c r="AY174" s="26"/>
      <c r="AZ174" s="186"/>
      <c r="BA174" s="187"/>
      <c r="BB174" s="188"/>
      <c r="BC174" s="189"/>
    </row>
    <row r="175" ht="12.75" hidden="1" customHeight="1">
      <c r="A175" s="26"/>
      <c r="B175" s="190" t="s">
        <v>357</v>
      </c>
      <c r="C175" s="199">
        <v>2.1271782E8</v>
      </c>
      <c r="D175" s="152" t="s">
        <v>358</v>
      </c>
      <c r="E175" s="53" t="s">
        <v>77</v>
      </c>
      <c r="F175" s="154">
        <v>1.0</v>
      </c>
      <c r="G175" s="53"/>
      <c r="H175" s="53" t="str">
        <f t="shared" ref="H175:H180" si="413">$I$2</f>
        <v>0.00069</v>
      </c>
      <c r="I175" s="53" t="str">
        <f t="shared" ref="I175:I180" si="414">$I$3</f>
        <v>89</v>
      </c>
      <c r="J175" s="53" t="str">
        <f t="shared" ref="J175:J180" si="415">G175*H175*I175*F175</f>
        <v>0</v>
      </c>
      <c r="K175" s="155" t="str">
        <f t="shared" ref="K175:K180" si="416">J175*$J$4</f>
        <v>0.00</v>
      </c>
      <c r="L175" s="156" t="str">
        <f t="shared" ref="L175:L180" si="417">K175+J175</f>
        <v>0.00 </v>
      </c>
      <c r="M175" s="132">
        <v>90.0</v>
      </c>
      <c r="N175" s="157">
        <v>427.75</v>
      </c>
      <c r="O175" s="277">
        <v>466.25</v>
      </c>
      <c r="P175" s="277">
        <v>453.42</v>
      </c>
      <c r="Q175" s="157">
        <v>427.75</v>
      </c>
      <c r="R175" s="158">
        <v>1311.0</v>
      </c>
      <c r="S175" s="159" t="str">
        <f t="shared" ref="S175:S177" si="418">R175</f>
        <v>1,311.00</v>
      </c>
      <c r="T175" s="160">
        <v>1538.5</v>
      </c>
      <c r="U175" s="161">
        <v>0.26</v>
      </c>
      <c r="V175" s="162" t="str">
        <f t="shared" ref="V175:V180" si="419">R175-(R175*U175)</f>
        <v>970.14</v>
      </c>
      <c r="W175" s="163" t="str">
        <f t="shared" ref="W175:W180" si="420">$C$1</f>
        <v>60.00</v>
      </c>
      <c r="X175" s="164" t="str">
        <f t="shared" ref="X175:X180" si="421">(V175*7/107)+((V175-(V175*7/107))*1%)</f>
        <v>72.53</v>
      </c>
      <c r="Y175" s="165" t="str">
        <f t="shared" ref="Y175:Y180" si="422">Q175*$C$3*(M175/30)</f>
        <v>0.00</v>
      </c>
      <c r="Z175" s="166">
        <v>0.23</v>
      </c>
      <c r="AA175" s="167" t="str">
        <f t="shared" ref="AA175:AA180" si="423">((_xlfn.CEILING.MATH(Z175)-1)*$C$5+$C$4)</f>
        <v>76</v>
      </c>
      <c r="AB175" s="168" t="str">
        <f t="shared" ref="AB175:AB180" si="424">R175*$AB$6</f>
        <v>426.075</v>
      </c>
      <c r="AC175" s="168" t="str">
        <f t="shared" ref="AC175:AC180" si="425">V175*$AB$7</f>
        <v>34.537</v>
      </c>
      <c r="AD175" s="164" t="str">
        <f t="shared" ref="AD175:AD180" si="426">$AB$3*((100-AE175)/100)</f>
        <v>3.71</v>
      </c>
      <c r="AE175" s="164">
        <v>92.59</v>
      </c>
      <c r="AF175" s="164" t="str">
        <f t="shared" ref="AF175:AF180" si="427">$C$6*$C$7*_xlfn.CEILING.MATH(Z175)</f>
        <v>4.80</v>
      </c>
      <c r="AG175" s="165" t="str">
        <f t="shared" ref="AG175:AG180" si="428">R175*$C$2</f>
        <v>131.10</v>
      </c>
      <c r="AH175" s="23"/>
      <c r="AI175" s="278">
        <v>0.1</v>
      </c>
      <c r="AJ175" s="24" t="str">
        <f t="shared" ref="AJ175:AJ180" si="429">R175-W175-X175-Y175-AA175-AB175-AC175-AD175-AF175-AG175-Q175</f>
        <v>74.50</v>
      </c>
      <c r="AK175" s="279" t="str">
        <f t="shared" ref="AK175:AK180" si="430">AJ175/Q175</f>
        <v>17.42%</v>
      </c>
      <c r="AL175" s="280"/>
      <c r="AM175" s="281" t="str">
        <f t="shared" si="360"/>
        <v>0.00</v>
      </c>
      <c r="AN175" s="280"/>
      <c r="AO175" s="282"/>
      <c r="AP175" s="283"/>
      <c r="AQ175" s="283" t="str">
        <f t="shared" si="361"/>
        <v>0.00</v>
      </c>
      <c r="AR175" s="283"/>
      <c r="AS175" s="284"/>
      <c r="AT175" s="285" t="str">
        <f t="shared" si="235"/>
        <v>0.00</v>
      </c>
      <c r="AU175" s="284"/>
      <c r="AV175" s="286"/>
      <c r="AW175" s="285"/>
      <c r="AX175" s="284"/>
      <c r="AY175" s="26"/>
      <c r="AZ175" s="171" t="str">
        <f t="shared" ref="AZ175:AZ180" si="431">$AG$3</f>
        <v>0.00%</v>
      </c>
      <c r="BA175" s="172" t="str">
        <f t="shared" ref="BA175:BA180" si="432">Q175*AZ175</f>
        <v>0.00</v>
      </c>
      <c r="BB175" s="173" t="str">
        <f t="shared" ref="BB175:BB180" si="433">(Q175+W175+Y175+AA175+AD175+AF175+AI175+BA175)/(100%-($C$2+$C$8+$AB$6+$AB$7))</f>
        <v>1,245.88</v>
      </c>
      <c r="BC175" s="174" t="str">
        <f t="shared" ref="BC175:BC180" si="434">BB175-(BB175*$AG$1)</f>
        <v>884.57</v>
      </c>
    </row>
    <row r="176" ht="12.75" hidden="1" customHeight="1">
      <c r="A176" s="26"/>
      <c r="B176" s="190" t="s">
        <v>359</v>
      </c>
      <c r="C176" s="199">
        <v>2.12713617E8</v>
      </c>
      <c r="D176" s="152" t="s">
        <v>360</v>
      </c>
      <c r="E176" s="53" t="s">
        <v>77</v>
      </c>
      <c r="F176" s="154">
        <v>1.0</v>
      </c>
      <c r="G176" s="53"/>
      <c r="H176" s="53" t="str">
        <f t="shared" si="413"/>
        <v>0.00069</v>
      </c>
      <c r="I176" s="53" t="str">
        <f t="shared" si="414"/>
        <v>89</v>
      </c>
      <c r="J176" s="53" t="str">
        <f t="shared" si="415"/>
        <v>0</v>
      </c>
      <c r="K176" s="155" t="str">
        <f t="shared" si="416"/>
        <v>0.00</v>
      </c>
      <c r="L176" s="156" t="str">
        <f t="shared" si="417"/>
        <v>0.00 </v>
      </c>
      <c r="M176" s="132">
        <v>90.0</v>
      </c>
      <c r="N176" s="157">
        <v>376.24</v>
      </c>
      <c r="O176" s="277">
        <v>410.1</v>
      </c>
      <c r="P176" s="277">
        <v>398.81</v>
      </c>
      <c r="Q176" s="157">
        <v>376.24</v>
      </c>
      <c r="R176" s="158">
        <v>1177.5</v>
      </c>
      <c r="S176" s="159" t="str">
        <f t="shared" si="418"/>
        <v>1,177.50</v>
      </c>
      <c r="T176" s="160">
        <v>1248.5</v>
      </c>
      <c r="U176" s="161">
        <v>0.26</v>
      </c>
      <c r="V176" s="162" t="str">
        <f t="shared" si="419"/>
        <v>871.35</v>
      </c>
      <c r="W176" s="163" t="str">
        <f t="shared" si="420"/>
        <v>60.00</v>
      </c>
      <c r="X176" s="164" t="str">
        <f t="shared" si="421"/>
        <v>65.15</v>
      </c>
      <c r="Y176" s="165" t="str">
        <f t="shared" si="422"/>
        <v>0.00</v>
      </c>
      <c r="Z176" s="166">
        <v>0.23</v>
      </c>
      <c r="AA176" s="167" t="str">
        <f t="shared" si="423"/>
        <v>76</v>
      </c>
      <c r="AB176" s="168" t="str">
        <f t="shared" si="424"/>
        <v>382.688</v>
      </c>
      <c r="AC176" s="168" t="str">
        <f t="shared" si="425"/>
        <v>31.020</v>
      </c>
      <c r="AD176" s="164" t="str">
        <f t="shared" si="426"/>
        <v>0.96</v>
      </c>
      <c r="AE176" s="164">
        <v>98.08</v>
      </c>
      <c r="AF176" s="164" t="str">
        <f t="shared" si="427"/>
        <v>4.80</v>
      </c>
      <c r="AG176" s="165" t="str">
        <f t="shared" si="428"/>
        <v>117.75</v>
      </c>
      <c r="AH176" s="23"/>
      <c r="AI176" s="278">
        <v>0.1</v>
      </c>
      <c r="AJ176" s="24" t="str">
        <f t="shared" si="429"/>
        <v>62.89</v>
      </c>
      <c r="AK176" s="279" t="str">
        <f t="shared" si="430"/>
        <v>16.72%</v>
      </c>
      <c r="AL176" s="280"/>
      <c r="AM176" s="281" t="str">
        <f t="shared" si="360"/>
        <v>0.00</v>
      </c>
      <c r="AN176" s="280"/>
      <c r="AO176" s="282"/>
      <c r="AP176" s="283"/>
      <c r="AQ176" s="283" t="str">
        <f t="shared" si="361"/>
        <v>0.00</v>
      </c>
      <c r="AR176" s="283"/>
      <c r="AS176" s="284"/>
      <c r="AT176" s="285" t="str">
        <f t="shared" si="235"/>
        <v>0.00</v>
      </c>
      <c r="AU176" s="284"/>
      <c r="AV176" s="286"/>
      <c r="AW176" s="285"/>
      <c r="AX176" s="284"/>
      <c r="AY176" s="26"/>
      <c r="AZ176" s="171" t="str">
        <f t="shared" si="431"/>
        <v>0.00%</v>
      </c>
      <c r="BA176" s="172" t="str">
        <f t="shared" si="432"/>
        <v>0.00</v>
      </c>
      <c r="BB176" s="173" t="str">
        <f t="shared" si="433"/>
        <v>1,127.78</v>
      </c>
      <c r="BC176" s="174" t="str">
        <f t="shared" si="434"/>
        <v>800.72</v>
      </c>
    </row>
    <row r="177" ht="12.75" hidden="1" customHeight="1">
      <c r="A177" s="26"/>
      <c r="B177" s="190" t="s">
        <v>361</v>
      </c>
      <c r="C177" s="199">
        <v>2.12713941E8</v>
      </c>
      <c r="D177" s="152" t="s">
        <v>362</v>
      </c>
      <c r="E177" s="53" t="s">
        <v>77</v>
      </c>
      <c r="F177" s="154">
        <v>1.0</v>
      </c>
      <c r="G177" s="53"/>
      <c r="H177" s="53" t="str">
        <f t="shared" si="413"/>
        <v>0.00069</v>
      </c>
      <c r="I177" s="53" t="str">
        <f t="shared" si="414"/>
        <v>89</v>
      </c>
      <c r="J177" s="53" t="str">
        <f t="shared" si="415"/>
        <v>0</v>
      </c>
      <c r="K177" s="155" t="str">
        <f t="shared" si="416"/>
        <v>0.00</v>
      </c>
      <c r="L177" s="156" t="str">
        <f t="shared" si="417"/>
        <v>0.00 </v>
      </c>
      <c r="M177" s="132">
        <v>90.0</v>
      </c>
      <c r="N177" s="157">
        <v>376.24</v>
      </c>
      <c r="O177" s="277">
        <v>410.1</v>
      </c>
      <c r="P177" s="277">
        <v>398.81</v>
      </c>
      <c r="Q177" s="157">
        <v>376.24</v>
      </c>
      <c r="R177" s="158">
        <v>1179.0</v>
      </c>
      <c r="S177" s="159" t="str">
        <f t="shared" si="418"/>
        <v>1,179.00</v>
      </c>
      <c r="T177" s="160">
        <v>1429.33</v>
      </c>
      <c r="U177" s="161">
        <v>0.26</v>
      </c>
      <c r="V177" s="162" t="str">
        <f t="shared" si="419"/>
        <v>872.46</v>
      </c>
      <c r="W177" s="163" t="str">
        <f t="shared" si="420"/>
        <v>60.00</v>
      </c>
      <c r="X177" s="164" t="str">
        <f t="shared" si="421"/>
        <v>65.23</v>
      </c>
      <c r="Y177" s="165" t="str">
        <f t="shared" si="422"/>
        <v>0.00</v>
      </c>
      <c r="Z177" s="166">
        <v>0.23</v>
      </c>
      <c r="AA177" s="167" t="str">
        <f t="shared" si="423"/>
        <v>76</v>
      </c>
      <c r="AB177" s="168" t="str">
        <f t="shared" si="424"/>
        <v>383.175</v>
      </c>
      <c r="AC177" s="168" t="str">
        <f t="shared" si="425"/>
        <v>31.060</v>
      </c>
      <c r="AD177" s="164" t="str">
        <f t="shared" si="426"/>
        <v>2.18</v>
      </c>
      <c r="AE177" s="164">
        <v>95.65</v>
      </c>
      <c r="AF177" s="164" t="str">
        <f t="shared" si="427"/>
        <v>4.80</v>
      </c>
      <c r="AG177" s="165" t="str">
        <f t="shared" si="428"/>
        <v>117.90</v>
      </c>
      <c r="AH177" s="23"/>
      <c r="AI177" s="278">
        <v>0.1</v>
      </c>
      <c r="AJ177" s="24" t="str">
        <f t="shared" si="429"/>
        <v>62.42</v>
      </c>
      <c r="AK177" s="279" t="str">
        <f t="shared" si="430"/>
        <v>16.59%</v>
      </c>
      <c r="AL177" s="280"/>
      <c r="AM177" s="281" t="str">
        <f t="shared" si="360"/>
        <v>0.00</v>
      </c>
      <c r="AN177" s="280"/>
      <c r="AO177" s="282"/>
      <c r="AP177" s="283"/>
      <c r="AQ177" s="283" t="str">
        <f t="shared" si="361"/>
        <v>0.00</v>
      </c>
      <c r="AR177" s="283"/>
      <c r="AS177" s="284"/>
      <c r="AT177" s="285" t="str">
        <f t="shared" si="235"/>
        <v>0.00</v>
      </c>
      <c r="AU177" s="284"/>
      <c r="AV177" s="286"/>
      <c r="AW177" s="285"/>
      <c r="AX177" s="284"/>
      <c r="AY177" s="26"/>
      <c r="AZ177" s="171" t="str">
        <f t="shared" si="431"/>
        <v>0.00%</v>
      </c>
      <c r="BA177" s="172" t="str">
        <f t="shared" si="432"/>
        <v>0.00</v>
      </c>
      <c r="BB177" s="173" t="str">
        <f t="shared" si="433"/>
        <v>1,130.42</v>
      </c>
      <c r="BC177" s="174" t="str">
        <f t="shared" si="434"/>
        <v>802.60</v>
      </c>
    </row>
    <row r="178" ht="12.75" hidden="1" customHeight="1">
      <c r="A178" s="26"/>
      <c r="B178" s="190" t="s">
        <v>363</v>
      </c>
      <c r="C178" s="192">
        <v>2.12714292E8</v>
      </c>
      <c r="D178" s="152" t="s">
        <v>364</v>
      </c>
      <c r="E178" s="53" t="s">
        <v>77</v>
      </c>
      <c r="F178" s="154">
        <v>1.0</v>
      </c>
      <c r="G178" s="53"/>
      <c r="H178" s="53" t="str">
        <f t="shared" si="413"/>
        <v>0.00069</v>
      </c>
      <c r="I178" s="53" t="str">
        <f t="shared" si="414"/>
        <v>89</v>
      </c>
      <c r="J178" s="53" t="str">
        <f t="shared" si="415"/>
        <v>0</v>
      </c>
      <c r="K178" s="155" t="str">
        <f t="shared" si="416"/>
        <v>0.00</v>
      </c>
      <c r="L178" s="156" t="str">
        <f t="shared" si="417"/>
        <v>0.00 </v>
      </c>
      <c r="M178" s="132">
        <v>90.0</v>
      </c>
      <c r="N178" s="157">
        <v>0.0</v>
      </c>
      <c r="O178" s="277">
        <v>0.0</v>
      </c>
      <c r="P178" s="277" t="str">
        <f t="shared" ref="P178:P180" si="435">K178/E178</f>
        <v>#VALUE!</v>
      </c>
      <c r="Q178" s="157">
        <v>0.0</v>
      </c>
      <c r="R178" s="158">
        <v>1052.1</v>
      </c>
      <c r="S178" s="159" t="str">
        <f t="shared" ref="S178:S180" si="436">BB178</f>
        <v>310.73</v>
      </c>
      <c r="T178" s="160"/>
      <c r="U178" s="161">
        <v>0.26</v>
      </c>
      <c r="V178" s="162" t="str">
        <f t="shared" si="419"/>
        <v>778.55</v>
      </c>
      <c r="W178" s="163" t="str">
        <f t="shared" si="420"/>
        <v>60.00</v>
      </c>
      <c r="X178" s="164" t="str">
        <f t="shared" si="421"/>
        <v>58.21</v>
      </c>
      <c r="Y178" s="165" t="str">
        <f t="shared" si="422"/>
        <v>0.00</v>
      </c>
      <c r="Z178" s="166">
        <v>0.23</v>
      </c>
      <c r="AA178" s="167" t="str">
        <f t="shared" si="423"/>
        <v>76</v>
      </c>
      <c r="AB178" s="168" t="str">
        <f t="shared" si="424"/>
        <v>341.933</v>
      </c>
      <c r="AC178" s="168" t="str">
        <f t="shared" si="425"/>
        <v>27.717</v>
      </c>
      <c r="AD178" s="164" t="str">
        <f t="shared" si="426"/>
        <v>1.85</v>
      </c>
      <c r="AE178" s="164">
        <v>96.3</v>
      </c>
      <c r="AF178" s="164" t="str">
        <f t="shared" si="427"/>
        <v>4.80</v>
      </c>
      <c r="AG178" s="165" t="str">
        <f t="shared" si="428"/>
        <v>105.21</v>
      </c>
      <c r="AH178" s="23"/>
      <c r="AI178" s="278">
        <v>0.1</v>
      </c>
      <c r="AJ178" s="24" t="str">
        <f t="shared" si="429"/>
        <v>376.38</v>
      </c>
      <c r="AK178" s="279" t="str">
        <f t="shared" si="430"/>
        <v>#DIV/0!</v>
      </c>
      <c r="AL178" s="280"/>
      <c r="AM178" s="281" t="str">
        <f t="shared" si="360"/>
        <v>0.00</v>
      </c>
      <c r="AN178" s="280"/>
      <c r="AO178" s="282"/>
      <c r="AP178" s="283"/>
      <c r="AQ178" s="283" t="str">
        <f t="shared" si="361"/>
        <v>0.00</v>
      </c>
      <c r="AR178" s="283"/>
      <c r="AS178" s="284"/>
      <c r="AT178" s="285" t="str">
        <f t="shared" si="235"/>
        <v>0.00</v>
      </c>
      <c r="AU178" s="284"/>
      <c r="AV178" s="286"/>
      <c r="AW178" s="285"/>
      <c r="AX178" s="284"/>
      <c r="AY178" s="26"/>
      <c r="AZ178" s="171" t="str">
        <f t="shared" si="431"/>
        <v>0.00%</v>
      </c>
      <c r="BA178" s="172" t="str">
        <f t="shared" si="432"/>
        <v>0.00</v>
      </c>
      <c r="BB178" s="173" t="str">
        <f t="shared" si="433"/>
        <v>310.73</v>
      </c>
      <c r="BC178" s="174" t="str">
        <f t="shared" si="434"/>
        <v>220.62</v>
      </c>
    </row>
    <row r="179" ht="12.75" hidden="1" customHeight="1">
      <c r="A179" s="26"/>
      <c r="B179" s="190" t="s">
        <v>365</v>
      </c>
      <c r="C179" s="192">
        <v>2.12715047E8</v>
      </c>
      <c r="D179" s="152" t="s">
        <v>366</v>
      </c>
      <c r="E179" s="53" t="s">
        <v>77</v>
      </c>
      <c r="F179" s="154">
        <v>1.0</v>
      </c>
      <c r="G179" s="53"/>
      <c r="H179" s="53" t="str">
        <f t="shared" si="413"/>
        <v>0.00069</v>
      </c>
      <c r="I179" s="53" t="str">
        <f t="shared" si="414"/>
        <v>89</v>
      </c>
      <c r="J179" s="53" t="str">
        <f t="shared" si="415"/>
        <v>0</v>
      </c>
      <c r="K179" s="155" t="str">
        <f t="shared" si="416"/>
        <v>0.00</v>
      </c>
      <c r="L179" s="156" t="str">
        <f t="shared" si="417"/>
        <v>0.00 </v>
      </c>
      <c r="M179" s="132">
        <v>90.0</v>
      </c>
      <c r="N179" s="157">
        <v>0.0</v>
      </c>
      <c r="O179" s="277">
        <v>0.0</v>
      </c>
      <c r="P179" s="277" t="str">
        <f t="shared" si="435"/>
        <v>#VALUE!</v>
      </c>
      <c r="Q179" s="157">
        <v>0.0</v>
      </c>
      <c r="R179" s="158">
        <v>1060.8</v>
      </c>
      <c r="S179" s="159" t="str">
        <f t="shared" si="436"/>
        <v>310.89</v>
      </c>
      <c r="T179" s="160"/>
      <c r="U179" s="161">
        <v>0.26</v>
      </c>
      <c r="V179" s="162" t="str">
        <f t="shared" si="419"/>
        <v>784.99</v>
      </c>
      <c r="W179" s="163" t="str">
        <f t="shared" si="420"/>
        <v>60.00</v>
      </c>
      <c r="X179" s="164" t="str">
        <f t="shared" si="421"/>
        <v>58.69</v>
      </c>
      <c r="Y179" s="165" t="str">
        <f t="shared" si="422"/>
        <v>0.00</v>
      </c>
      <c r="Z179" s="166">
        <v>0.23</v>
      </c>
      <c r="AA179" s="167" t="str">
        <f t="shared" si="423"/>
        <v>76</v>
      </c>
      <c r="AB179" s="168" t="str">
        <f t="shared" si="424"/>
        <v>344.760</v>
      </c>
      <c r="AC179" s="168" t="str">
        <f t="shared" si="425"/>
        <v>27.946</v>
      </c>
      <c r="AD179" s="164" t="str">
        <f t="shared" si="426"/>
        <v>1.93</v>
      </c>
      <c r="AE179" s="164">
        <v>96.15</v>
      </c>
      <c r="AF179" s="164" t="str">
        <f t="shared" si="427"/>
        <v>4.80</v>
      </c>
      <c r="AG179" s="165" t="str">
        <f t="shared" si="428"/>
        <v>106.08</v>
      </c>
      <c r="AH179" s="23"/>
      <c r="AI179" s="278">
        <v>0.1</v>
      </c>
      <c r="AJ179" s="24" t="str">
        <f t="shared" si="429"/>
        <v>380.60</v>
      </c>
      <c r="AK179" s="279" t="str">
        <f t="shared" si="430"/>
        <v>#DIV/0!</v>
      </c>
      <c r="AL179" s="280"/>
      <c r="AM179" s="281" t="str">
        <f t="shared" si="360"/>
        <v>0.00</v>
      </c>
      <c r="AN179" s="280"/>
      <c r="AO179" s="282"/>
      <c r="AP179" s="283"/>
      <c r="AQ179" s="283" t="str">
        <f t="shared" si="361"/>
        <v>0.00</v>
      </c>
      <c r="AR179" s="283"/>
      <c r="AS179" s="284"/>
      <c r="AT179" s="285" t="str">
        <f t="shared" si="235"/>
        <v>0.00</v>
      </c>
      <c r="AU179" s="284"/>
      <c r="AV179" s="286"/>
      <c r="AW179" s="285"/>
      <c r="AX179" s="284"/>
      <c r="AY179" s="26"/>
      <c r="AZ179" s="171" t="str">
        <f t="shared" si="431"/>
        <v>0.00%</v>
      </c>
      <c r="BA179" s="172" t="str">
        <f t="shared" si="432"/>
        <v>0.00</v>
      </c>
      <c r="BB179" s="173" t="str">
        <f t="shared" si="433"/>
        <v>310.89</v>
      </c>
      <c r="BC179" s="174" t="str">
        <f t="shared" si="434"/>
        <v>220.74</v>
      </c>
    </row>
    <row r="180" ht="12.75" hidden="1" customHeight="1">
      <c r="A180" s="26"/>
      <c r="B180" s="190" t="s">
        <v>367</v>
      </c>
      <c r="C180" s="192">
        <v>2.12718108E8</v>
      </c>
      <c r="D180" s="152" t="s">
        <v>368</v>
      </c>
      <c r="E180" s="53" t="s">
        <v>77</v>
      </c>
      <c r="F180" s="154">
        <v>1.0</v>
      </c>
      <c r="G180" s="53"/>
      <c r="H180" s="53" t="str">
        <f t="shared" si="413"/>
        <v>0.00069</v>
      </c>
      <c r="I180" s="53" t="str">
        <f t="shared" si="414"/>
        <v>89</v>
      </c>
      <c r="J180" s="53" t="str">
        <f t="shared" si="415"/>
        <v>0</v>
      </c>
      <c r="K180" s="155" t="str">
        <f t="shared" si="416"/>
        <v>0.00</v>
      </c>
      <c r="L180" s="156" t="str">
        <f t="shared" si="417"/>
        <v>0.00 </v>
      </c>
      <c r="M180" s="132">
        <v>90.0</v>
      </c>
      <c r="N180" s="157">
        <v>0.0</v>
      </c>
      <c r="O180" s="277">
        <v>0.0</v>
      </c>
      <c r="P180" s="277" t="str">
        <f t="shared" si="435"/>
        <v>#VALUE!</v>
      </c>
      <c r="Q180" s="157">
        <v>0.0</v>
      </c>
      <c r="R180" s="158">
        <v>1067.7</v>
      </c>
      <c r="S180" s="159" t="str">
        <f t="shared" si="436"/>
        <v>309.18</v>
      </c>
      <c r="T180" s="160"/>
      <c r="U180" s="161">
        <v>0.26</v>
      </c>
      <c r="V180" s="162" t="str">
        <f t="shared" si="419"/>
        <v>790.10</v>
      </c>
      <c r="W180" s="163" t="str">
        <f t="shared" si="420"/>
        <v>60.00</v>
      </c>
      <c r="X180" s="164" t="str">
        <f t="shared" si="421"/>
        <v>59.07</v>
      </c>
      <c r="Y180" s="165" t="str">
        <f t="shared" si="422"/>
        <v>0.00</v>
      </c>
      <c r="Z180" s="166">
        <v>0.23</v>
      </c>
      <c r="AA180" s="167" t="str">
        <f t="shared" si="423"/>
        <v>76</v>
      </c>
      <c r="AB180" s="168" t="str">
        <f t="shared" si="424"/>
        <v>347.003</v>
      </c>
      <c r="AC180" s="168" t="str">
        <f t="shared" si="425"/>
        <v>28.127</v>
      </c>
      <c r="AD180" s="164" t="str">
        <f t="shared" si="426"/>
        <v>1.14</v>
      </c>
      <c r="AE180" s="164">
        <v>97.73</v>
      </c>
      <c r="AF180" s="164" t="str">
        <f t="shared" si="427"/>
        <v>4.80</v>
      </c>
      <c r="AG180" s="165" t="str">
        <f t="shared" si="428"/>
        <v>106.77</v>
      </c>
      <c r="AH180" s="23"/>
      <c r="AI180" s="278">
        <v>0.1</v>
      </c>
      <c r="AJ180" s="24" t="str">
        <f t="shared" si="429"/>
        <v>384.79</v>
      </c>
      <c r="AK180" s="279" t="str">
        <f t="shared" si="430"/>
        <v>#DIV/0!</v>
      </c>
      <c r="AL180" s="280"/>
      <c r="AM180" s="281" t="str">
        <f t="shared" si="360"/>
        <v>0.00</v>
      </c>
      <c r="AN180" s="280"/>
      <c r="AO180" s="282"/>
      <c r="AP180" s="283"/>
      <c r="AQ180" s="283" t="str">
        <f t="shared" si="361"/>
        <v>0.00</v>
      </c>
      <c r="AR180" s="283"/>
      <c r="AS180" s="284"/>
      <c r="AT180" s="285" t="str">
        <f t="shared" si="235"/>
        <v>0.00</v>
      </c>
      <c r="AU180" s="284"/>
      <c r="AV180" s="286"/>
      <c r="AW180" s="285"/>
      <c r="AX180" s="284"/>
      <c r="AY180" s="26"/>
      <c r="AZ180" s="171" t="str">
        <f t="shared" si="431"/>
        <v>0.00%</v>
      </c>
      <c r="BA180" s="172" t="str">
        <f t="shared" si="432"/>
        <v>0.00</v>
      </c>
      <c r="BB180" s="173" t="str">
        <f t="shared" si="433"/>
        <v>309.18</v>
      </c>
      <c r="BC180" s="174" t="str">
        <f t="shared" si="434"/>
        <v>219.51</v>
      </c>
    </row>
    <row r="181" ht="12.75" customHeight="1">
      <c r="A181" s="26"/>
      <c r="B181" s="125" t="s">
        <v>369</v>
      </c>
      <c r="C181" s="126"/>
      <c r="D181" s="209"/>
      <c r="E181" s="128"/>
      <c r="F181" s="128"/>
      <c r="G181" s="128"/>
      <c r="H181" s="197"/>
      <c r="I181" s="197"/>
      <c r="J181" s="128"/>
      <c r="K181" s="130"/>
      <c r="L181" s="131"/>
      <c r="M181" s="132"/>
      <c r="N181" s="176"/>
      <c r="O181" s="133"/>
      <c r="P181" s="133"/>
      <c r="Q181" s="176"/>
      <c r="R181" s="134"/>
      <c r="S181" s="135"/>
      <c r="T181" s="135"/>
      <c r="U181" s="136"/>
      <c r="V181" s="137"/>
      <c r="W181" s="177"/>
      <c r="X181" s="178"/>
      <c r="Y181" s="179"/>
      <c r="Z181" s="180"/>
      <c r="AA181" s="181"/>
      <c r="AB181" s="182"/>
      <c r="AC181" s="182"/>
      <c r="AD181" s="178"/>
      <c r="AE181" s="178"/>
      <c r="AF181" s="178"/>
      <c r="AG181" s="179"/>
      <c r="AH181" s="183"/>
      <c r="AI181" s="271"/>
      <c r="AJ181" s="287"/>
      <c r="AK181" s="288"/>
      <c r="AL181" s="280"/>
      <c r="AM181" s="281" t="str">
        <f t="shared" si="360"/>
        <v>0.00</v>
      </c>
      <c r="AN181" s="280"/>
      <c r="AO181" s="282"/>
      <c r="AP181" s="283"/>
      <c r="AQ181" s="283" t="str">
        <f t="shared" si="361"/>
        <v>0.00</v>
      </c>
      <c r="AR181" s="283"/>
      <c r="AS181" s="284"/>
      <c r="AT181" s="285" t="str">
        <f t="shared" si="235"/>
        <v>0.00</v>
      </c>
      <c r="AU181" s="284"/>
      <c r="AV181" s="286"/>
      <c r="AW181" s="285"/>
      <c r="AX181" s="284"/>
      <c r="AY181" s="26"/>
      <c r="AZ181" s="186"/>
      <c r="BA181" s="187"/>
      <c r="BB181" s="188"/>
      <c r="BC181" s="189"/>
    </row>
    <row r="182" ht="12.75" customHeight="1">
      <c r="A182" s="26"/>
      <c r="B182" s="190" t="s">
        <v>370</v>
      </c>
      <c r="C182" s="199">
        <v>2.14977901E8</v>
      </c>
      <c r="D182" s="210" t="s">
        <v>371</v>
      </c>
      <c r="E182" s="211" t="s">
        <v>372</v>
      </c>
      <c r="F182" s="154">
        <v>1.0</v>
      </c>
      <c r="G182" s="211"/>
      <c r="H182" s="53" t="str">
        <f t="shared" ref="H182:H184" si="437">$I$2</f>
        <v>0.00069</v>
      </c>
      <c r="I182" s="53" t="str">
        <f t="shared" ref="I182:I184" si="438">$I$3</f>
        <v>89</v>
      </c>
      <c r="J182" s="53" t="str">
        <f t="shared" ref="J182:J184" si="439">G182*H182*I182*F182</f>
        <v>0</v>
      </c>
      <c r="K182" s="155" t="str">
        <f t="shared" ref="K182:K184" si="440">J182*$J$4</f>
        <v>0.00</v>
      </c>
      <c r="L182" s="156" t="str">
        <f t="shared" ref="L182:L184" si="441">K182+J182</f>
        <v>0.00 </v>
      </c>
      <c r="M182" s="132">
        <v>90.0</v>
      </c>
      <c r="N182" s="175">
        <v>463.2</v>
      </c>
      <c r="O182" s="277">
        <v>504.39</v>
      </c>
      <c r="P182" s="277">
        <v>490.99</v>
      </c>
      <c r="Q182" s="175">
        <v>463.2</v>
      </c>
      <c r="R182" s="158">
        <v>1500.0</v>
      </c>
      <c r="S182" s="159" t="str">
        <f>R182</f>
        <v>1,500.00</v>
      </c>
      <c r="T182" s="160">
        <v>1108.0</v>
      </c>
      <c r="U182" s="161">
        <v>0.26</v>
      </c>
      <c r="V182" s="162" t="str">
        <f t="shared" ref="V182:V184" si="442">R182-(R182*U182)</f>
        <v>1,110.00</v>
      </c>
      <c r="W182" s="163" t="str">
        <f t="shared" ref="W182:W184" si="443">$C$1</f>
        <v>60.00</v>
      </c>
      <c r="X182" s="164" t="str">
        <f t="shared" ref="X182:X184" si="444">(V182*7/107)+((V182-(V182*7/107))*1%)</f>
        <v>82.99</v>
      </c>
      <c r="Y182" s="165" t="str">
        <f t="shared" ref="Y182:Y184" si="445">Q182*$C$3*(M182/30)</f>
        <v>0.00</v>
      </c>
      <c r="Z182" s="166">
        <v>1.43</v>
      </c>
      <c r="AA182" s="167" t="str">
        <f t="shared" ref="AA182:AA184" si="446">((_xlfn.CEILING.MATH(Z182)-1)*$C$5+$C$4)</f>
        <v>95</v>
      </c>
      <c r="AB182" s="168" t="str">
        <f t="shared" ref="AB182:AB184" si="447">R182*$AB$6</f>
        <v>487.500</v>
      </c>
      <c r="AC182" s="168" t="str">
        <f t="shared" ref="AC182:AC184" si="448">V182*$AB$7</f>
        <v>39.516</v>
      </c>
      <c r="AD182" s="164" t="str">
        <f t="shared" ref="AD182:AD184" si="449">$AB$3*((100-AE182)/100)</f>
        <v>2.36</v>
      </c>
      <c r="AE182" s="164">
        <v>95.28</v>
      </c>
      <c r="AF182" s="164" t="str">
        <f t="shared" ref="AF182:AF184" si="450">$C$6*$C$7*_xlfn.CEILING.MATH(Z182)</f>
        <v>9.60</v>
      </c>
      <c r="AG182" s="165" t="str">
        <f t="shared" ref="AG182:AG184" si="451">R182*$C$2</f>
        <v>150.00</v>
      </c>
      <c r="AH182" s="23"/>
      <c r="AI182" s="278">
        <v>0.1</v>
      </c>
      <c r="AJ182" s="24" t="str">
        <f t="shared" ref="AJ182:AJ184" si="452">R182-W182-X182-Y182-AA182-AB182-AC182-AD182-AF182-AG182-Q182</f>
        <v>109.83</v>
      </c>
      <c r="AK182" s="279" t="str">
        <f t="shared" ref="AK182:AK184" si="453">AJ182/Q182</f>
        <v>23.71%</v>
      </c>
      <c r="AL182" s="280">
        <v>200.0</v>
      </c>
      <c r="AM182" s="281" t="str">
        <f t="shared" si="360"/>
        <v>21,966.67</v>
      </c>
      <c r="AN182" s="280">
        <v>248.0</v>
      </c>
      <c r="AO182" s="282">
        <v>9.95</v>
      </c>
      <c r="AP182" s="283">
        <v>-68.13</v>
      </c>
      <c r="AQ182" s="283" t="str">
        <f t="shared" si="361"/>
        <v>-16,896.24</v>
      </c>
      <c r="AR182" s="283">
        <v>-14.04</v>
      </c>
      <c r="AS182" s="284">
        <v>150.0</v>
      </c>
      <c r="AT182" s="285" t="str">
        <f t="shared" si="235"/>
        <v>16,475.00</v>
      </c>
      <c r="AU182" s="284">
        <v>27.0</v>
      </c>
      <c r="AV182" s="286">
        <v>0.0</v>
      </c>
      <c r="AW182" s="285">
        <v>3711.01</v>
      </c>
      <c r="AX182" s="284">
        <v>29.67</v>
      </c>
      <c r="AY182" s="26"/>
      <c r="AZ182" s="171" t="str">
        <f t="shared" ref="AZ182:AZ184" si="454">$AG$3</f>
        <v>0.00%</v>
      </c>
      <c r="BA182" s="172" t="str">
        <f t="shared" ref="BA182:BA184" si="455">Q182*AZ182</f>
        <v>0.00</v>
      </c>
      <c r="BB182" s="173" t="str">
        <f t="shared" ref="BB182:BB184" si="456">(Q182+W182+Y182+AA182+AD182+AF182+AI182+BA182)/(100%-($C$2+$C$8+$AB$6+$AB$7))</f>
        <v>1,371.92</v>
      </c>
      <c r="BC182" s="174" t="str">
        <f t="shared" ref="BC182:BC184" si="457">BB182-(BB182*$AG$1)</f>
        <v>974.06</v>
      </c>
    </row>
    <row r="183" ht="12.75" hidden="1" customHeight="1">
      <c r="A183" s="26"/>
      <c r="B183" s="190" t="s">
        <v>370</v>
      </c>
      <c r="C183" s="192">
        <v>2.76234188E8</v>
      </c>
      <c r="D183" s="210" t="s">
        <v>373</v>
      </c>
      <c r="E183" s="211" t="s">
        <v>372</v>
      </c>
      <c r="F183" s="154">
        <v>1.0</v>
      </c>
      <c r="G183" s="211"/>
      <c r="H183" s="53" t="str">
        <f t="shared" si="437"/>
        <v>0.00069</v>
      </c>
      <c r="I183" s="53" t="str">
        <f t="shared" si="438"/>
        <v>89</v>
      </c>
      <c r="J183" s="53" t="str">
        <f t="shared" si="439"/>
        <v>0</v>
      </c>
      <c r="K183" s="155" t="str">
        <f t="shared" si="440"/>
        <v>0.00</v>
      </c>
      <c r="L183" s="156" t="str">
        <f t="shared" si="441"/>
        <v>0.00 </v>
      </c>
      <c r="M183" s="132">
        <v>90.0</v>
      </c>
      <c r="N183" s="157">
        <v>0.0</v>
      </c>
      <c r="O183" s="277">
        <v>0.0</v>
      </c>
      <c r="P183" s="277" t="str">
        <f t="shared" ref="P183:P184" si="458">K183/E183</f>
        <v>#VALUE!</v>
      </c>
      <c r="Q183" s="157">
        <v>0.0</v>
      </c>
      <c r="R183" s="158">
        <v>725.7</v>
      </c>
      <c r="S183" s="159" t="str">
        <f t="shared" ref="S183:S184" si="459">BB183</f>
        <v>311.24</v>
      </c>
      <c r="T183" s="160"/>
      <c r="U183" s="161">
        <v>0.26</v>
      </c>
      <c r="V183" s="162" t="str">
        <f t="shared" si="442"/>
        <v>537.02</v>
      </c>
      <c r="W183" s="163" t="str">
        <f t="shared" si="443"/>
        <v>60.00</v>
      </c>
      <c r="X183" s="164" t="str">
        <f t="shared" si="444"/>
        <v>40.15</v>
      </c>
      <c r="Y183" s="165" t="str">
        <f t="shared" si="445"/>
        <v>0.00</v>
      </c>
      <c r="Z183" s="166">
        <v>0.99</v>
      </c>
      <c r="AA183" s="167" t="str">
        <f t="shared" si="446"/>
        <v>76</v>
      </c>
      <c r="AB183" s="168" t="str">
        <f t="shared" si="447"/>
        <v>235.853</v>
      </c>
      <c r="AC183" s="168" t="str">
        <f t="shared" si="448"/>
        <v>19.118</v>
      </c>
      <c r="AD183" s="164" t="str">
        <f t="shared" si="449"/>
        <v>2.09</v>
      </c>
      <c r="AE183" s="164">
        <v>95.83</v>
      </c>
      <c r="AF183" s="164" t="str">
        <f t="shared" si="450"/>
        <v>4.80</v>
      </c>
      <c r="AG183" s="165" t="str">
        <f t="shared" si="451"/>
        <v>72.57</v>
      </c>
      <c r="AH183" s="23"/>
      <c r="AI183" s="278">
        <v>0.1</v>
      </c>
      <c r="AJ183" s="24" t="str">
        <f t="shared" si="452"/>
        <v>215.12</v>
      </c>
      <c r="AK183" s="279" t="str">
        <f t="shared" si="453"/>
        <v>#DIV/0!</v>
      </c>
      <c r="AL183" s="280"/>
      <c r="AM183" s="281" t="str">
        <f t="shared" si="360"/>
        <v>0.00</v>
      </c>
      <c r="AN183" s="280"/>
      <c r="AO183" s="282"/>
      <c r="AP183" s="283"/>
      <c r="AQ183" s="283" t="str">
        <f t="shared" si="361"/>
        <v>0.00</v>
      </c>
      <c r="AR183" s="283"/>
      <c r="AS183" s="284"/>
      <c r="AT183" s="285" t="str">
        <f t="shared" si="235"/>
        <v>0.00</v>
      </c>
      <c r="AU183" s="284"/>
      <c r="AV183" s="286"/>
      <c r="AW183" s="285"/>
      <c r="AX183" s="284"/>
      <c r="AY183" s="26"/>
      <c r="AZ183" s="171" t="str">
        <f t="shared" si="454"/>
        <v>0.00%</v>
      </c>
      <c r="BA183" s="172" t="str">
        <f t="shared" si="455"/>
        <v>0.00</v>
      </c>
      <c r="BB183" s="173" t="str">
        <f t="shared" si="456"/>
        <v>311.24</v>
      </c>
      <c r="BC183" s="174" t="str">
        <f t="shared" si="457"/>
        <v>220.98</v>
      </c>
    </row>
    <row r="184" ht="12.75" hidden="1" customHeight="1">
      <c r="A184" s="26"/>
      <c r="B184" s="190" t="s">
        <v>370</v>
      </c>
      <c r="C184" s="192">
        <v>2.76234187E8</v>
      </c>
      <c r="D184" s="210" t="s">
        <v>374</v>
      </c>
      <c r="E184" s="211" t="s">
        <v>372</v>
      </c>
      <c r="F184" s="154">
        <v>1.0</v>
      </c>
      <c r="G184" s="211"/>
      <c r="H184" s="53" t="str">
        <f t="shared" si="437"/>
        <v>0.00069</v>
      </c>
      <c r="I184" s="53" t="str">
        <f t="shared" si="438"/>
        <v>89</v>
      </c>
      <c r="J184" s="53" t="str">
        <f t="shared" si="439"/>
        <v>0</v>
      </c>
      <c r="K184" s="155" t="str">
        <f t="shared" si="440"/>
        <v>0.00</v>
      </c>
      <c r="L184" s="156" t="str">
        <f t="shared" si="441"/>
        <v>0.00 </v>
      </c>
      <c r="M184" s="132">
        <v>90.0</v>
      </c>
      <c r="N184" s="157">
        <v>0.0</v>
      </c>
      <c r="O184" s="277">
        <v>0.0</v>
      </c>
      <c r="P184" s="277" t="str">
        <f t="shared" si="458"/>
        <v>#VALUE!</v>
      </c>
      <c r="Q184" s="157">
        <v>0.0</v>
      </c>
      <c r="R184" s="158">
        <v>595.8</v>
      </c>
      <c r="S184" s="159" t="str">
        <f t="shared" si="459"/>
        <v>306.70</v>
      </c>
      <c r="T184" s="160"/>
      <c r="U184" s="161">
        <v>0.26</v>
      </c>
      <c r="V184" s="162" t="str">
        <f t="shared" si="442"/>
        <v>440.89</v>
      </c>
      <c r="W184" s="163" t="str">
        <f t="shared" si="443"/>
        <v>60.00</v>
      </c>
      <c r="X184" s="164" t="str">
        <f t="shared" si="444"/>
        <v>32.96</v>
      </c>
      <c r="Y184" s="165" t="str">
        <f t="shared" si="445"/>
        <v>0.00</v>
      </c>
      <c r="Z184" s="166">
        <v>0.66</v>
      </c>
      <c r="AA184" s="167" t="str">
        <f t="shared" si="446"/>
        <v>76</v>
      </c>
      <c r="AB184" s="168" t="str">
        <f t="shared" si="447"/>
        <v>193.635</v>
      </c>
      <c r="AC184" s="168" t="str">
        <f t="shared" si="448"/>
        <v>15.696</v>
      </c>
      <c r="AD184" s="164" t="str">
        <f t="shared" si="449"/>
        <v>0.00</v>
      </c>
      <c r="AE184" s="164">
        <v>100.0</v>
      </c>
      <c r="AF184" s="164" t="str">
        <f t="shared" si="450"/>
        <v>4.80</v>
      </c>
      <c r="AG184" s="165" t="str">
        <f t="shared" si="451"/>
        <v>59.58</v>
      </c>
      <c r="AH184" s="23"/>
      <c r="AI184" s="278">
        <v>0.1</v>
      </c>
      <c r="AJ184" s="24" t="str">
        <f t="shared" si="452"/>
        <v>153.13</v>
      </c>
      <c r="AK184" s="279" t="str">
        <f t="shared" si="453"/>
        <v>#DIV/0!</v>
      </c>
      <c r="AL184" s="280"/>
      <c r="AM184" s="281" t="str">
        <f t="shared" si="360"/>
        <v>0.00</v>
      </c>
      <c r="AN184" s="280"/>
      <c r="AO184" s="282"/>
      <c r="AP184" s="283"/>
      <c r="AQ184" s="283" t="str">
        <f t="shared" si="361"/>
        <v>0.00</v>
      </c>
      <c r="AR184" s="283"/>
      <c r="AS184" s="284"/>
      <c r="AT184" s="285" t="str">
        <f t="shared" si="235"/>
        <v>0.00</v>
      </c>
      <c r="AU184" s="284"/>
      <c r="AV184" s="286"/>
      <c r="AW184" s="285"/>
      <c r="AX184" s="284"/>
      <c r="AY184" s="26"/>
      <c r="AZ184" s="171" t="str">
        <f t="shared" si="454"/>
        <v>0.00%</v>
      </c>
      <c r="BA184" s="172" t="str">
        <f t="shared" si="455"/>
        <v>0.00</v>
      </c>
      <c r="BB184" s="173" t="str">
        <f t="shared" si="456"/>
        <v>306.70</v>
      </c>
      <c r="BC184" s="174" t="str">
        <f t="shared" si="457"/>
        <v>217.76</v>
      </c>
    </row>
    <row r="185" ht="12.75" customHeight="1">
      <c r="A185" s="26"/>
      <c r="B185" s="125" t="s">
        <v>375</v>
      </c>
      <c r="C185" s="126"/>
      <c r="D185" s="127"/>
      <c r="E185" s="128"/>
      <c r="F185" s="128"/>
      <c r="G185" s="128"/>
      <c r="H185" s="197"/>
      <c r="I185" s="197"/>
      <c r="J185" s="128"/>
      <c r="K185" s="130"/>
      <c r="L185" s="131"/>
      <c r="M185" s="132"/>
      <c r="N185" s="176"/>
      <c r="O185" s="133"/>
      <c r="P185" s="133"/>
      <c r="Q185" s="176"/>
      <c r="R185" s="134"/>
      <c r="S185" s="135"/>
      <c r="T185" s="135"/>
      <c r="U185" s="136"/>
      <c r="V185" s="137"/>
      <c r="W185" s="177"/>
      <c r="X185" s="178"/>
      <c r="Y185" s="179"/>
      <c r="Z185" s="180"/>
      <c r="AA185" s="181"/>
      <c r="AB185" s="182"/>
      <c r="AC185" s="182"/>
      <c r="AD185" s="178"/>
      <c r="AE185" s="178"/>
      <c r="AF185" s="178"/>
      <c r="AG185" s="179"/>
      <c r="AH185" s="183"/>
      <c r="AI185" s="271"/>
      <c r="AJ185" s="287"/>
      <c r="AK185" s="288"/>
      <c r="AL185" s="280"/>
      <c r="AM185" s="281" t="str">
        <f t="shared" si="360"/>
        <v>0.00</v>
      </c>
      <c r="AN185" s="280"/>
      <c r="AO185" s="282"/>
      <c r="AP185" s="283">
        <v>31.81</v>
      </c>
      <c r="AQ185" s="283" t="str">
        <f t="shared" si="361"/>
        <v>0.00</v>
      </c>
      <c r="AR185" s="283"/>
      <c r="AS185" s="284"/>
      <c r="AT185" s="285" t="str">
        <f t="shared" si="235"/>
        <v>0.00</v>
      </c>
      <c r="AU185" s="284"/>
      <c r="AV185" s="286"/>
      <c r="AW185" s="285"/>
      <c r="AX185" s="284"/>
      <c r="AY185" s="26"/>
      <c r="AZ185" s="186"/>
      <c r="BA185" s="187"/>
      <c r="BB185" s="188"/>
      <c r="BC185" s="189"/>
    </row>
    <row r="186" ht="12.75" customHeight="1">
      <c r="A186" s="26"/>
      <c r="B186" s="190" t="s">
        <v>376</v>
      </c>
      <c r="C186" s="192">
        <v>2.14964091E8</v>
      </c>
      <c r="D186" s="212" t="s">
        <v>377</v>
      </c>
      <c r="E186" s="53" t="s">
        <v>372</v>
      </c>
      <c r="F186" s="154">
        <v>1.0</v>
      </c>
      <c r="G186" s="53"/>
      <c r="H186" s="53" t="str">
        <f>$I$2</f>
        <v>0.00069</v>
      </c>
      <c r="I186" s="53" t="str">
        <f>$I$3</f>
        <v>89</v>
      </c>
      <c r="J186" s="53" t="str">
        <f>G186*H186*I186*F186</f>
        <v>0</v>
      </c>
      <c r="K186" s="155" t="str">
        <f>J186*$J$4</f>
        <v>0.00</v>
      </c>
      <c r="L186" s="156" t="str">
        <f>K186+J186</f>
        <v>0.00 </v>
      </c>
      <c r="M186" s="132">
        <v>90.0</v>
      </c>
      <c r="N186" s="175">
        <v>463.2</v>
      </c>
      <c r="O186" s="277">
        <v>504.39</v>
      </c>
      <c r="P186" s="277">
        <v>490.99</v>
      </c>
      <c r="Q186" s="175">
        <v>463.2</v>
      </c>
      <c r="R186" s="158">
        <v>1700.0</v>
      </c>
      <c r="S186" s="159" t="str">
        <f>BB186</f>
        <v>1,377.17</v>
      </c>
      <c r="T186" s="160"/>
      <c r="U186" s="161">
        <v>0.26</v>
      </c>
      <c r="V186" s="162" t="str">
        <f>R186-(R186*U186)</f>
        <v>1,258.00</v>
      </c>
      <c r="W186" s="163" t="str">
        <f>$C$1</f>
        <v>60.00</v>
      </c>
      <c r="X186" s="164" t="str">
        <f>(V186*7/107)+((V186-(V186*7/107))*1%)</f>
        <v>94.06</v>
      </c>
      <c r="Y186" s="165" t="str">
        <f>Q186*$C$3*(M186/30)</f>
        <v>0.00</v>
      </c>
      <c r="Z186" s="166">
        <v>1.43</v>
      </c>
      <c r="AA186" s="167" t="str">
        <f>((_xlfn.CEILING.MATH(Z186)-1)*$C$5+$C$4)</f>
        <v>95</v>
      </c>
      <c r="AB186" s="168" t="str">
        <f>R186*$AB$6</f>
        <v>552.500</v>
      </c>
      <c r="AC186" s="168" t="str">
        <f>V186*$AB$7</f>
        <v>44.785</v>
      </c>
      <c r="AD186" s="164" t="str">
        <f>$AB$3*((100-AE186)/100)</f>
        <v>4.77</v>
      </c>
      <c r="AE186" s="164">
        <v>90.46</v>
      </c>
      <c r="AF186" s="164" t="str">
        <f>$C$6*$C$7*_xlfn.CEILING.MATH(Z186)</f>
        <v>9.60</v>
      </c>
      <c r="AG186" s="165" t="str">
        <f>R186*$C$2</f>
        <v>170.00</v>
      </c>
      <c r="AH186" s="23"/>
      <c r="AI186" s="278">
        <v>0.1</v>
      </c>
      <c r="AJ186" s="24" t="str">
        <f>R186-W186-X186-Y186-AA186-AB186-AC186-AD186-AF186-AG186-Q186</f>
        <v>206.09</v>
      </c>
      <c r="AK186" s="279" t="str">
        <f>AJ186/Q186</f>
        <v>44.49%</v>
      </c>
      <c r="AL186" s="280"/>
      <c r="AM186" s="281" t="str">
        <f t="shared" si="360"/>
        <v>0.00</v>
      </c>
      <c r="AN186" s="280"/>
      <c r="AO186" s="282">
        <v>3.11</v>
      </c>
      <c r="AP186" s="283">
        <v>57.46</v>
      </c>
      <c r="AQ186" s="283" t="str">
        <f t="shared" si="361"/>
        <v>0.00</v>
      </c>
      <c r="AR186" s="283">
        <v>6.53</v>
      </c>
      <c r="AS186" s="284">
        <v>170.0</v>
      </c>
      <c r="AT186" s="285" t="str">
        <f t="shared" si="235"/>
        <v>35,035.15</v>
      </c>
      <c r="AU186" s="284">
        <v>170.0</v>
      </c>
      <c r="AV186" s="286">
        <v>0.0</v>
      </c>
      <c r="AW186" s="285">
        <v>13921.44</v>
      </c>
      <c r="AX186" s="284">
        <v>17.68</v>
      </c>
      <c r="AY186" s="26"/>
      <c r="AZ186" s="171" t="str">
        <f>$AG$3</f>
        <v>0.00%</v>
      </c>
      <c r="BA186" s="172" t="str">
        <f>Q186*AZ186</f>
        <v>0.00</v>
      </c>
      <c r="BB186" s="173" t="str">
        <f>(Q186+W186+Y186+AA186+AD186+AF186+AI186+BA186)/(100%-($C$2+$C$8+$AB$6+$AB$7))</f>
        <v>1,377.17</v>
      </c>
      <c r="BC186" s="174" t="str">
        <f>BB186-(BB186*$AG$1)</f>
        <v>977.79</v>
      </c>
    </row>
    <row r="187" ht="12.75" hidden="1" customHeight="1">
      <c r="A187" s="26"/>
      <c r="B187" s="125" t="s">
        <v>378</v>
      </c>
      <c r="C187" s="126"/>
      <c r="D187" s="127"/>
      <c r="E187" s="128"/>
      <c r="F187" s="154">
        <v>1.0</v>
      </c>
      <c r="G187" s="128"/>
      <c r="H187" s="197"/>
      <c r="I187" s="197"/>
      <c r="J187" s="128"/>
      <c r="K187" s="130"/>
      <c r="L187" s="131"/>
      <c r="M187" s="132"/>
      <c r="N187" s="176"/>
      <c r="O187" s="133"/>
      <c r="P187" s="133"/>
      <c r="Q187" s="176"/>
      <c r="R187" s="134"/>
      <c r="S187" s="135"/>
      <c r="T187" s="135"/>
      <c r="U187" s="136"/>
      <c r="V187" s="137"/>
      <c r="W187" s="177"/>
      <c r="X187" s="178"/>
      <c r="Y187" s="179"/>
      <c r="Z187" s="180"/>
      <c r="AA187" s="181"/>
      <c r="AB187" s="182"/>
      <c r="AC187" s="182"/>
      <c r="AD187" s="178"/>
      <c r="AE187" s="178"/>
      <c r="AF187" s="178"/>
      <c r="AG187" s="179"/>
      <c r="AH187" s="183"/>
      <c r="AI187" s="271"/>
      <c r="AJ187" s="287"/>
      <c r="AK187" s="288"/>
      <c r="AL187" s="280"/>
      <c r="AM187" s="281" t="str">
        <f t="shared" si="360"/>
        <v>0.00</v>
      </c>
      <c r="AN187" s="280"/>
      <c r="AO187" s="282"/>
      <c r="AP187" s="283"/>
      <c r="AQ187" s="283" t="str">
        <f t="shared" si="361"/>
        <v>0.00</v>
      </c>
      <c r="AR187" s="283"/>
      <c r="AS187" s="284"/>
      <c r="AT187" s="285" t="str">
        <f t="shared" si="235"/>
        <v>0.00</v>
      </c>
      <c r="AU187" s="284"/>
      <c r="AV187" s="286"/>
      <c r="AW187" s="285"/>
      <c r="AX187" s="284"/>
      <c r="AY187" s="26"/>
      <c r="AZ187" s="186"/>
      <c r="BA187" s="187"/>
      <c r="BB187" s="188"/>
      <c r="BC187" s="189"/>
    </row>
    <row r="188" ht="12.75" hidden="1" customHeight="1">
      <c r="A188" s="26"/>
      <c r="B188" s="190" t="s">
        <v>379</v>
      </c>
      <c r="C188" s="199">
        <v>2.36822518E8</v>
      </c>
      <c r="D188" s="152" t="s">
        <v>380</v>
      </c>
      <c r="E188" s="53" t="s">
        <v>372</v>
      </c>
      <c r="F188" s="154">
        <v>1.0</v>
      </c>
      <c r="G188" s="53"/>
      <c r="H188" s="53" t="str">
        <f t="shared" ref="H188:H190" si="460">$I$2</f>
        <v>0.00069</v>
      </c>
      <c r="I188" s="53" t="str">
        <f t="shared" ref="I188:I190" si="461">$I$3</f>
        <v>89</v>
      </c>
      <c r="J188" s="53" t="str">
        <f t="shared" ref="J188:J190" si="462">G188*H188*I188*F188</f>
        <v>0</v>
      </c>
      <c r="K188" s="155" t="str">
        <f t="shared" ref="K188:K190" si="463">J188*$J$4</f>
        <v>0.00</v>
      </c>
      <c r="L188" s="156" t="str">
        <f t="shared" ref="L188:L190" si="464">K188+J188</f>
        <v>0.00 </v>
      </c>
      <c r="M188" s="132">
        <v>90.0</v>
      </c>
      <c r="N188" s="157">
        <v>354.38</v>
      </c>
      <c r="O188" s="277">
        <v>386.27</v>
      </c>
      <c r="P188" s="277">
        <v>375.64</v>
      </c>
      <c r="Q188" s="157">
        <v>354.38</v>
      </c>
      <c r="R188" s="158">
        <v>1037.0</v>
      </c>
      <c r="S188" s="159" t="str">
        <f t="shared" ref="S188:S189" si="465">R188</f>
        <v>1,037.00</v>
      </c>
      <c r="T188" s="160" t="s">
        <v>78</v>
      </c>
      <c r="U188" s="161">
        <v>0.26</v>
      </c>
      <c r="V188" s="162" t="str">
        <f t="shared" ref="V188:V190" si="466">R188-(R188*U188)</f>
        <v>767.38</v>
      </c>
      <c r="W188" s="163" t="str">
        <f t="shared" ref="W188:W190" si="467">$C$1</f>
        <v>60.00</v>
      </c>
      <c r="X188" s="164" t="str">
        <f t="shared" ref="X188:X190" si="468">(V188*7/107)+((V188-(V188*7/107))*1%)</f>
        <v>57.37</v>
      </c>
      <c r="Y188" s="165" t="str">
        <f t="shared" ref="Y188:Y190" si="469">Q188*$C$3*(M188/30)</f>
        <v>0.00</v>
      </c>
      <c r="Z188" s="166">
        <v>1.5</v>
      </c>
      <c r="AA188" s="167" t="str">
        <f t="shared" ref="AA188:AA190" si="470">((_xlfn.CEILING.MATH(Z188)-1)*$C$5+$C$4)</f>
        <v>95</v>
      </c>
      <c r="AB188" s="168" t="str">
        <f t="shared" ref="AB188:AB190" si="471">R188*$AB$6</f>
        <v>337.025</v>
      </c>
      <c r="AC188" s="168" t="str">
        <f t="shared" ref="AC188:AC190" si="472">V188*$AB$7</f>
        <v>27.319</v>
      </c>
      <c r="AD188" s="164" t="str">
        <f t="shared" ref="AD188:AD190" si="473">$AB$3*((100-AE188)/100)</f>
        <v>3.95</v>
      </c>
      <c r="AE188" s="164">
        <v>92.11</v>
      </c>
      <c r="AF188" s="164" t="str">
        <f t="shared" ref="AF188:AF190" si="474">$C$6*$C$7*_xlfn.CEILING.MATH(Z188)</f>
        <v>9.60</v>
      </c>
      <c r="AG188" s="165" t="str">
        <f t="shared" ref="AG188:AG190" si="475">R188*$C$2</f>
        <v>103.70</v>
      </c>
      <c r="AH188" s="23"/>
      <c r="AI188" s="278">
        <v>0.1</v>
      </c>
      <c r="AJ188" s="24" t="str">
        <f t="shared" ref="AJ188:AJ190" si="476">R188-W188-X188-Y188-AA188-AB188-AC188-AD188-AF188-AG188-Q188</f>
        <v>-11.34</v>
      </c>
      <c r="AK188" s="279" t="str">
        <f t="shared" ref="AK188:AK190" si="477">AJ188/Q188</f>
        <v>-3.20%</v>
      </c>
      <c r="AL188" s="280"/>
      <c r="AM188" s="281" t="str">
        <f t="shared" si="360"/>
        <v>0.00</v>
      </c>
      <c r="AN188" s="280"/>
      <c r="AO188" s="282"/>
      <c r="AP188" s="283"/>
      <c r="AQ188" s="283" t="str">
        <f t="shared" si="361"/>
        <v>0.00</v>
      </c>
      <c r="AR188" s="283"/>
      <c r="AS188" s="284"/>
      <c r="AT188" s="285" t="str">
        <f t="shared" si="235"/>
        <v>0.00</v>
      </c>
      <c r="AU188" s="284"/>
      <c r="AV188" s="286"/>
      <c r="AW188" s="285"/>
      <c r="AX188" s="284"/>
      <c r="AY188" s="26"/>
      <c r="AZ188" s="171" t="str">
        <f t="shared" ref="AZ188:AZ190" si="478">$AG$3</f>
        <v>0.00%</v>
      </c>
      <c r="BA188" s="172" t="str">
        <f t="shared" ref="BA188:BA190" si="479">Q188*AZ188</f>
        <v>0.00</v>
      </c>
      <c r="BB188" s="173" t="str">
        <f t="shared" ref="BB188:BB190" si="480">(Q188+W188+Y188+AA188+AD188+AF188+AI188+BA188)/(100%-($C$2+$C$8+$AB$6+$AB$7))</f>
        <v>1,138.50</v>
      </c>
      <c r="BC188" s="174" t="str">
        <f t="shared" ref="BC188:BC190" si="481">BB188-(BB188*$AG$1)</f>
        <v>808.33</v>
      </c>
    </row>
    <row r="189" ht="12.75" hidden="1" customHeight="1">
      <c r="A189" s="26"/>
      <c r="B189" s="190" t="s">
        <v>381</v>
      </c>
      <c r="C189" s="199">
        <v>2.36825103E8</v>
      </c>
      <c r="D189" s="152" t="s">
        <v>382</v>
      </c>
      <c r="E189" s="53" t="s">
        <v>372</v>
      </c>
      <c r="F189" s="154">
        <v>1.0</v>
      </c>
      <c r="G189" s="53"/>
      <c r="H189" s="53" t="str">
        <f t="shared" si="460"/>
        <v>0.00069</v>
      </c>
      <c r="I189" s="53" t="str">
        <f t="shared" si="461"/>
        <v>89</v>
      </c>
      <c r="J189" s="53" t="str">
        <f t="shared" si="462"/>
        <v>0</v>
      </c>
      <c r="K189" s="155" t="str">
        <f t="shared" si="463"/>
        <v>0.00</v>
      </c>
      <c r="L189" s="156" t="str">
        <f t="shared" si="464"/>
        <v>0.00 </v>
      </c>
      <c r="M189" s="132">
        <v>90.0</v>
      </c>
      <c r="N189" s="157">
        <v>367.85</v>
      </c>
      <c r="O189" s="277">
        <v>400.96</v>
      </c>
      <c r="P189" s="277">
        <v>389.92</v>
      </c>
      <c r="Q189" s="157">
        <v>367.85</v>
      </c>
      <c r="R189" s="158">
        <v>1340.0</v>
      </c>
      <c r="S189" s="159" t="str">
        <f t="shared" si="465"/>
        <v>1,340.00</v>
      </c>
      <c r="T189" s="160" t="s">
        <v>78</v>
      </c>
      <c r="U189" s="161">
        <v>0.26</v>
      </c>
      <c r="V189" s="162" t="str">
        <f t="shared" si="466"/>
        <v>991.60</v>
      </c>
      <c r="W189" s="163" t="str">
        <f t="shared" si="467"/>
        <v>60.00</v>
      </c>
      <c r="X189" s="164" t="str">
        <f t="shared" si="468"/>
        <v>74.14</v>
      </c>
      <c r="Y189" s="165" t="str">
        <f t="shared" si="469"/>
        <v>0.00</v>
      </c>
      <c r="Z189" s="166">
        <v>1.5</v>
      </c>
      <c r="AA189" s="167" t="str">
        <f t="shared" si="470"/>
        <v>95</v>
      </c>
      <c r="AB189" s="168" t="str">
        <f t="shared" si="471"/>
        <v>435.500</v>
      </c>
      <c r="AC189" s="168" t="str">
        <f t="shared" si="472"/>
        <v>35.301</v>
      </c>
      <c r="AD189" s="164" t="str">
        <f t="shared" si="473"/>
        <v>1.67</v>
      </c>
      <c r="AE189" s="164">
        <v>96.67</v>
      </c>
      <c r="AF189" s="164" t="str">
        <f t="shared" si="474"/>
        <v>9.60</v>
      </c>
      <c r="AG189" s="165" t="str">
        <f t="shared" si="475"/>
        <v>134.00</v>
      </c>
      <c r="AH189" s="23"/>
      <c r="AI189" s="278">
        <v>0.1</v>
      </c>
      <c r="AJ189" s="24" t="str">
        <f t="shared" si="476"/>
        <v>126.95</v>
      </c>
      <c r="AK189" s="279" t="str">
        <f t="shared" si="477"/>
        <v>34.51%</v>
      </c>
      <c r="AL189" s="280"/>
      <c r="AM189" s="281" t="str">
        <f t="shared" si="360"/>
        <v>0.00</v>
      </c>
      <c r="AN189" s="280"/>
      <c r="AO189" s="282">
        <v>0.45</v>
      </c>
      <c r="AP189" s="283">
        <v>184.97</v>
      </c>
      <c r="AQ189" s="283" t="str">
        <f t="shared" si="361"/>
        <v>0.00</v>
      </c>
      <c r="AR189" s="283">
        <v>50.28</v>
      </c>
      <c r="AS189" s="284"/>
      <c r="AT189" s="285" t="str">
        <f t="shared" si="235"/>
        <v>0.00</v>
      </c>
      <c r="AU189" s="284"/>
      <c r="AV189" s="286"/>
      <c r="AW189" s="285"/>
      <c r="AX189" s="284"/>
      <c r="AY189" s="26"/>
      <c r="AZ189" s="171" t="str">
        <f t="shared" si="478"/>
        <v>0.00%</v>
      </c>
      <c r="BA189" s="172" t="str">
        <f t="shared" si="479"/>
        <v>0.00</v>
      </c>
      <c r="BB189" s="173" t="str">
        <f t="shared" si="480"/>
        <v>1,162.85</v>
      </c>
      <c r="BC189" s="174" t="str">
        <f t="shared" si="481"/>
        <v>825.63</v>
      </c>
    </row>
    <row r="190" ht="12.75" hidden="1" customHeight="1">
      <c r="A190" s="26"/>
      <c r="B190" s="190" t="s">
        <v>383</v>
      </c>
      <c r="C190" s="192">
        <v>2.36818852E8</v>
      </c>
      <c r="D190" s="152" t="s">
        <v>384</v>
      </c>
      <c r="E190" s="53" t="s">
        <v>372</v>
      </c>
      <c r="F190" s="154">
        <v>1.0</v>
      </c>
      <c r="G190" s="53"/>
      <c r="H190" s="53" t="str">
        <f t="shared" si="460"/>
        <v>0.00069</v>
      </c>
      <c r="I190" s="53" t="str">
        <f t="shared" si="461"/>
        <v>89</v>
      </c>
      <c r="J190" s="53" t="str">
        <f t="shared" si="462"/>
        <v>0</v>
      </c>
      <c r="K190" s="155" t="str">
        <f t="shared" si="463"/>
        <v>0.00</v>
      </c>
      <c r="L190" s="156" t="str">
        <f t="shared" si="464"/>
        <v>0.00 </v>
      </c>
      <c r="M190" s="132">
        <v>90.0</v>
      </c>
      <c r="N190" s="157">
        <v>0.0</v>
      </c>
      <c r="O190" s="277">
        <v>0.0</v>
      </c>
      <c r="P190" s="277" t="str">
        <f>K190/E190</f>
        <v>#VALUE!</v>
      </c>
      <c r="Q190" s="157">
        <v>0.0</v>
      </c>
      <c r="R190" s="158">
        <v>871.8</v>
      </c>
      <c r="S190" s="159" t="str">
        <f>BB190</f>
        <v>367.01</v>
      </c>
      <c r="T190" s="160"/>
      <c r="U190" s="161">
        <v>0.26</v>
      </c>
      <c r="V190" s="162" t="str">
        <f t="shared" si="466"/>
        <v>645.13</v>
      </c>
      <c r="W190" s="163" t="str">
        <f t="shared" si="467"/>
        <v>60.00</v>
      </c>
      <c r="X190" s="164" t="str">
        <f t="shared" si="468"/>
        <v>48.23</v>
      </c>
      <c r="Y190" s="165" t="str">
        <f t="shared" si="469"/>
        <v>0.00</v>
      </c>
      <c r="Z190" s="166">
        <v>1.5</v>
      </c>
      <c r="AA190" s="167" t="str">
        <f t="shared" si="470"/>
        <v>95</v>
      </c>
      <c r="AB190" s="168" t="str">
        <f t="shared" si="471"/>
        <v>283.335</v>
      </c>
      <c r="AC190" s="168" t="str">
        <f t="shared" si="472"/>
        <v>22.967</v>
      </c>
      <c r="AD190" s="164" t="str">
        <f t="shared" si="473"/>
        <v>3.91</v>
      </c>
      <c r="AE190" s="164">
        <v>92.19</v>
      </c>
      <c r="AF190" s="164" t="str">
        <f t="shared" si="474"/>
        <v>9.60</v>
      </c>
      <c r="AG190" s="165" t="str">
        <f t="shared" si="475"/>
        <v>87.18</v>
      </c>
      <c r="AH190" s="23"/>
      <c r="AI190" s="278">
        <v>0.1</v>
      </c>
      <c r="AJ190" s="24" t="str">
        <f t="shared" si="476"/>
        <v>261.58</v>
      </c>
      <c r="AK190" s="279" t="str">
        <f t="shared" si="477"/>
        <v>#DIV/0!</v>
      </c>
      <c r="AL190" s="280"/>
      <c r="AM190" s="281" t="str">
        <f t="shared" si="360"/>
        <v>0.00</v>
      </c>
      <c r="AN190" s="280"/>
      <c r="AO190" s="282"/>
      <c r="AP190" s="283"/>
      <c r="AQ190" s="283" t="str">
        <f t="shared" si="361"/>
        <v>0.00</v>
      </c>
      <c r="AR190" s="283"/>
      <c r="AS190" s="284"/>
      <c r="AT190" s="285" t="str">
        <f t="shared" si="235"/>
        <v>0.00</v>
      </c>
      <c r="AU190" s="284"/>
      <c r="AV190" s="286"/>
      <c r="AW190" s="285"/>
      <c r="AX190" s="284"/>
      <c r="AY190" s="26"/>
      <c r="AZ190" s="171" t="str">
        <f t="shared" si="478"/>
        <v>0.00%</v>
      </c>
      <c r="BA190" s="172" t="str">
        <f t="shared" si="479"/>
        <v>0.00</v>
      </c>
      <c r="BB190" s="173" t="str">
        <f t="shared" si="480"/>
        <v>367.01</v>
      </c>
      <c r="BC190" s="174" t="str">
        <f t="shared" si="481"/>
        <v>260.58</v>
      </c>
    </row>
    <row r="191" ht="12.75" customHeight="1">
      <c r="A191" s="26"/>
      <c r="B191" s="125" t="s">
        <v>385</v>
      </c>
      <c r="C191" s="126"/>
      <c r="D191" s="127"/>
      <c r="E191" s="128"/>
      <c r="F191" s="128"/>
      <c r="G191" s="128"/>
      <c r="H191" s="197"/>
      <c r="I191" s="197"/>
      <c r="J191" s="128"/>
      <c r="K191" s="130"/>
      <c r="L191" s="131"/>
      <c r="M191" s="132"/>
      <c r="N191" s="176"/>
      <c r="O191" s="133"/>
      <c r="P191" s="133"/>
      <c r="Q191" s="176"/>
      <c r="R191" s="134"/>
      <c r="S191" s="135"/>
      <c r="T191" s="135"/>
      <c r="U191" s="136"/>
      <c r="V191" s="137"/>
      <c r="W191" s="177"/>
      <c r="X191" s="178"/>
      <c r="Y191" s="179"/>
      <c r="Z191" s="180"/>
      <c r="AA191" s="181"/>
      <c r="AB191" s="182"/>
      <c r="AC191" s="182"/>
      <c r="AD191" s="178"/>
      <c r="AE191" s="178"/>
      <c r="AF191" s="178"/>
      <c r="AG191" s="179"/>
      <c r="AH191" s="183"/>
      <c r="AI191" s="271"/>
      <c r="AJ191" s="287"/>
      <c r="AK191" s="288"/>
      <c r="AL191" s="280"/>
      <c r="AM191" s="281" t="str">
        <f t="shared" si="360"/>
        <v>0.00</v>
      </c>
      <c r="AN191" s="280"/>
      <c r="AO191" s="282"/>
      <c r="AP191" s="283"/>
      <c r="AQ191" s="283" t="str">
        <f t="shared" si="361"/>
        <v>0.00</v>
      </c>
      <c r="AR191" s="283"/>
      <c r="AS191" s="284"/>
      <c r="AT191" s="285" t="str">
        <f t="shared" si="235"/>
        <v>0.00</v>
      </c>
      <c r="AU191" s="284"/>
      <c r="AV191" s="286"/>
      <c r="AW191" s="285"/>
      <c r="AX191" s="284"/>
      <c r="AY191" s="26"/>
      <c r="AZ191" s="186"/>
      <c r="BA191" s="187"/>
      <c r="BB191" s="188"/>
      <c r="BC191" s="189"/>
    </row>
    <row r="192" ht="12.75" hidden="1" customHeight="1">
      <c r="A192" s="26"/>
      <c r="B192" s="190" t="s">
        <v>386</v>
      </c>
      <c r="C192" s="191">
        <v>2.12885318E8</v>
      </c>
      <c r="D192" s="152" t="s">
        <v>387</v>
      </c>
      <c r="E192" s="53" t="s">
        <v>77</v>
      </c>
      <c r="F192" s="154">
        <v>1.0</v>
      </c>
      <c r="G192" s="53"/>
      <c r="H192" s="53" t="str">
        <f t="shared" ref="H192:H199" si="482">$I$2</f>
        <v>0.00069</v>
      </c>
      <c r="I192" s="53" t="str">
        <f t="shared" ref="I192:I199" si="483">$I$3</f>
        <v>89</v>
      </c>
      <c r="J192" s="53" t="str">
        <f t="shared" ref="J192:J199" si="484">G192*H192*I192*F192</f>
        <v>0</v>
      </c>
      <c r="K192" s="155" t="str">
        <f t="shared" ref="K192:K199" si="485">J192*$J$4</f>
        <v>0.00</v>
      </c>
      <c r="L192" s="156" t="str">
        <f t="shared" ref="L192:L199" si="486">K192+J192</f>
        <v>0.00 </v>
      </c>
      <c r="M192" s="132">
        <v>90.0</v>
      </c>
      <c r="N192" s="157">
        <v>0.0</v>
      </c>
      <c r="O192" s="277">
        <v>0.0</v>
      </c>
      <c r="P192" s="277" t="str">
        <f t="shared" ref="P192:P199" si="487">K192/E192</f>
        <v>#VALUE!</v>
      </c>
      <c r="Q192" s="157">
        <v>0.0</v>
      </c>
      <c r="R192" s="158">
        <v>1057.2</v>
      </c>
      <c r="S192" s="159" t="str">
        <f t="shared" ref="S192:S199" si="488">BB192</f>
        <v>361.86</v>
      </c>
      <c r="T192" s="160"/>
      <c r="U192" s="161">
        <v>0.26</v>
      </c>
      <c r="V192" s="162" t="str">
        <f t="shared" ref="V192:V199" si="489">R192-(R192*U192)</f>
        <v>782.33</v>
      </c>
      <c r="W192" s="163" t="str">
        <f t="shared" ref="W192:W199" si="490">$C$1</f>
        <v>60.00</v>
      </c>
      <c r="X192" s="164" t="str">
        <f t="shared" ref="X192:X199" si="491">(V192*7/107)+((V192-(V192*7/107))*1%)</f>
        <v>58.49</v>
      </c>
      <c r="Y192" s="165" t="str">
        <f t="shared" ref="Y192:Y199" si="492">Q192*$C$3*(M192/30)</f>
        <v>0.00</v>
      </c>
      <c r="Z192" s="166">
        <v>1.03</v>
      </c>
      <c r="AA192" s="167" t="str">
        <f t="shared" ref="AA192:AA199" si="493">((_xlfn.CEILING.MATH(Z192)-1)*$C$5+$C$4)</f>
        <v>95</v>
      </c>
      <c r="AB192" s="168" t="str">
        <f t="shared" ref="AB192:AB199" si="494">R192*$AB$6</f>
        <v>343.590</v>
      </c>
      <c r="AC192" s="168" t="str">
        <f t="shared" ref="AC192:AC199" si="495">V192*$AB$7</f>
        <v>27.851</v>
      </c>
      <c r="AD192" s="164" t="str">
        <f t="shared" ref="AD192:AD199" si="496">$AB$3*((100-AE192)/100)</f>
        <v>1.54</v>
      </c>
      <c r="AE192" s="164">
        <v>96.92</v>
      </c>
      <c r="AF192" s="164" t="str">
        <f t="shared" ref="AF192:AF199" si="497">$C$6*$C$7*_xlfn.CEILING.MATH(Z192)</f>
        <v>9.60</v>
      </c>
      <c r="AG192" s="165" t="str">
        <f t="shared" ref="AG192:AG199" si="498">R192*$C$2</f>
        <v>105.72</v>
      </c>
      <c r="AH192" s="23"/>
      <c r="AI192" s="278">
        <v>0.1</v>
      </c>
      <c r="AJ192" s="24" t="str">
        <f t="shared" ref="AJ192:AJ199" si="499">R192-W192-X192-Y192-AA192-AB192-AC192-AD192-AF192-AG192-Q192</f>
        <v>355.41</v>
      </c>
      <c r="AK192" s="279" t="str">
        <f t="shared" ref="AK192:AK199" si="500">AJ192/Q192</f>
        <v>#DIV/0!</v>
      </c>
      <c r="AL192" s="280"/>
      <c r="AM192" s="281" t="str">
        <f t="shared" si="360"/>
        <v>0.00</v>
      </c>
      <c r="AN192" s="280"/>
      <c r="AO192" s="282"/>
      <c r="AP192" s="283"/>
      <c r="AQ192" s="283" t="str">
        <f t="shared" si="361"/>
        <v>0.00</v>
      </c>
      <c r="AR192" s="283"/>
      <c r="AS192" s="284"/>
      <c r="AT192" s="285" t="str">
        <f t="shared" si="235"/>
        <v>0.00</v>
      </c>
      <c r="AU192" s="284"/>
      <c r="AV192" s="286"/>
      <c r="AW192" s="285"/>
      <c r="AX192" s="284"/>
      <c r="AY192" s="26"/>
      <c r="AZ192" s="171" t="str">
        <f t="shared" ref="AZ192:AZ199" si="501">$AG$3</f>
        <v>0.00%</v>
      </c>
      <c r="BA192" s="172" t="str">
        <f t="shared" ref="BA192:BA199" si="502">Q192*AZ192</f>
        <v>0.00</v>
      </c>
      <c r="BB192" s="173" t="str">
        <f t="shared" ref="BB192:BB199" si="503">(Q192+W192+Y192+AA192+AD192+AF192+AI192+BA192)/(100%-($C$2+$C$8+$AB$6+$AB$7))</f>
        <v>361.86</v>
      </c>
      <c r="BC192" s="174" t="str">
        <f t="shared" ref="BC192:BC199" si="504">BB192-(BB192*$AG$1)</f>
        <v>256.92</v>
      </c>
    </row>
    <row r="193" ht="12.75" hidden="1" customHeight="1">
      <c r="A193" s="26"/>
      <c r="B193" s="190" t="s">
        <v>388</v>
      </c>
      <c r="C193" s="192">
        <v>2.14311702E8</v>
      </c>
      <c r="D193" s="152" t="s">
        <v>389</v>
      </c>
      <c r="E193" s="53" t="s">
        <v>77</v>
      </c>
      <c r="F193" s="154">
        <v>1.0</v>
      </c>
      <c r="G193" s="53"/>
      <c r="H193" s="53" t="str">
        <f t="shared" si="482"/>
        <v>0.00069</v>
      </c>
      <c r="I193" s="53" t="str">
        <f t="shared" si="483"/>
        <v>89</v>
      </c>
      <c r="J193" s="53" t="str">
        <f t="shared" si="484"/>
        <v>0</v>
      </c>
      <c r="K193" s="155" t="str">
        <f t="shared" si="485"/>
        <v>0.00</v>
      </c>
      <c r="L193" s="156" t="str">
        <f t="shared" si="486"/>
        <v>0.00 </v>
      </c>
      <c r="M193" s="132">
        <v>90.0</v>
      </c>
      <c r="N193" s="157">
        <v>0.0</v>
      </c>
      <c r="O193" s="277">
        <v>0.0</v>
      </c>
      <c r="P193" s="277" t="str">
        <f t="shared" si="487"/>
        <v>#VALUE!</v>
      </c>
      <c r="Q193" s="157">
        <v>0.0</v>
      </c>
      <c r="R193" s="158">
        <v>767.7</v>
      </c>
      <c r="S193" s="159" t="str">
        <f t="shared" si="488"/>
        <v>364.24</v>
      </c>
      <c r="T193" s="160"/>
      <c r="U193" s="161">
        <v>0.26</v>
      </c>
      <c r="V193" s="162" t="str">
        <f t="shared" si="489"/>
        <v>568.10</v>
      </c>
      <c r="W193" s="163" t="str">
        <f t="shared" si="490"/>
        <v>60.00</v>
      </c>
      <c r="X193" s="164" t="str">
        <f t="shared" si="491"/>
        <v>42.47</v>
      </c>
      <c r="Y193" s="165" t="str">
        <f t="shared" si="492"/>
        <v>0.00</v>
      </c>
      <c r="Z193" s="166">
        <v>1.46</v>
      </c>
      <c r="AA193" s="167" t="str">
        <f t="shared" si="493"/>
        <v>95</v>
      </c>
      <c r="AB193" s="168" t="str">
        <f t="shared" si="494"/>
        <v>249.503</v>
      </c>
      <c r="AC193" s="168" t="str">
        <f t="shared" si="495"/>
        <v>20.224</v>
      </c>
      <c r="AD193" s="164" t="str">
        <f t="shared" si="496"/>
        <v>2.63</v>
      </c>
      <c r="AE193" s="164">
        <v>94.74</v>
      </c>
      <c r="AF193" s="164" t="str">
        <f t="shared" si="497"/>
        <v>9.60</v>
      </c>
      <c r="AG193" s="165" t="str">
        <f t="shared" si="498"/>
        <v>76.77</v>
      </c>
      <c r="AH193" s="23"/>
      <c r="AI193" s="278">
        <v>0.1</v>
      </c>
      <c r="AJ193" s="24" t="str">
        <f t="shared" si="499"/>
        <v>211.50</v>
      </c>
      <c r="AK193" s="279" t="str">
        <f t="shared" si="500"/>
        <v>#DIV/0!</v>
      </c>
      <c r="AL193" s="280"/>
      <c r="AM193" s="281" t="str">
        <f t="shared" si="360"/>
        <v>0.00</v>
      </c>
      <c r="AN193" s="280"/>
      <c r="AO193" s="282"/>
      <c r="AP193" s="283"/>
      <c r="AQ193" s="283" t="str">
        <f t="shared" si="361"/>
        <v>0.00</v>
      </c>
      <c r="AR193" s="283"/>
      <c r="AS193" s="284"/>
      <c r="AT193" s="285" t="str">
        <f t="shared" si="235"/>
        <v>0.00</v>
      </c>
      <c r="AU193" s="284"/>
      <c r="AV193" s="286"/>
      <c r="AW193" s="285"/>
      <c r="AX193" s="284"/>
      <c r="AY193" s="26"/>
      <c r="AZ193" s="171" t="str">
        <f t="shared" si="501"/>
        <v>0.00%</v>
      </c>
      <c r="BA193" s="172" t="str">
        <f t="shared" si="502"/>
        <v>0.00</v>
      </c>
      <c r="BB193" s="173" t="str">
        <f t="shared" si="503"/>
        <v>364.24</v>
      </c>
      <c r="BC193" s="174" t="str">
        <f t="shared" si="504"/>
        <v>258.61</v>
      </c>
    </row>
    <row r="194" ht="12.75" hidden="1" customHeight="1">
      <c r="A194" s="26"/>
      <c r="B194" s="190" t="s">
        <v>390</v>
      </c>
      <c r="C194" s="192">
        <v>2.12885319E8</v>
      </c>
      <c r="D194" s="152" t="s">
        <v>391</v>
      </c>
      <c r="E194" s="53" t="s">
        <v>77</v>
      </c>
      <c r="F194" s="154">
        <v>1.0</v>
      </c>
      <c r="G194" s="53"/>
      <c r="H194" s="53" t="str">
        <f t="shared" si="482"/>
        <v>0.00069</v>
      </c>
      <c r="I194" s="53" t="str">
        <f t="shared" si="483"/>
        <v>89</v>
      </c>
      <c r="J194" s="53" t="str">
        <f t="shared" si="484"/>
        <v>0</v>
      </c>
      <c r="K194" s="155" t="str">
        <f t="shared" si="485"/>
        <v>0.00</v>
      </c>
      <c r="L194" s="156" t="str">
        <f t="shared" si="486"/>
        <v>0.00 </v>
      </c>
      <c r="M194" s="132">
        <v>90.0</v>
      </c>
      <c r="N194" s="157">
        <v>0.0</v>
      </c>
      <c r="O194" s="277">
        <v>0.0</v>
      </c>
      <c r="P194" s="277" t="str">
        <f t="shared" si="487"/>
        <v>#VALUE!</v>
      </c>
      <c r="Q194" s="157">
        <v>0.0</v>
      </c>
      <c r="R194" s="158">
        <v>1057.2</v>
      </c>
      <c r="S194" s="159" t="str">
        <f t="shared" si="488"/>
        <v>361.91</v>
      </c>
      <c r="T194" s="160"/>
      <c r="U194" s="161">
        <v>0.26</v>
      </c>
      <c r="V194" s="162" t="str">
        <f t="shared" si="489"/>
        <v>782.33</v>
      </c>
      <c r="W194" s="163" t="str">
        <f t="shared" si="490"/>
        <v>60.00</v>
      </c>
      <c r="X194" s="164" t="str">
        <f t="shared" si="491"/>
        <v>58.49</v>
      </c>
      <c r="Y194" s="165" t="str">
        <f t="shared" si="492"/>
        <v>0.00</v>
      </c>
      <c r="Z194" s="166">
        <v>1.03</v>
      </c>
      <c r="AA194" s="167" t="str">
        <f t="shared" si="493"/>
        <v>95</v>
      </c>
      <c r="AB194" s="168" t="str">
        <f t="shared" si="494"/>
        <v>343.590</v>
      </c>
      <c r="AC194" s="168" t="str">
        <f t="shared" si="495"/>
        <v>27.851</v>
      </c>
      <c r="AD194" s="164" t="str">
        <f t="shared" si="496"/>
        <v>1.56</v>
      </c>
      <c r="AE194" s="164">
        <v>96.88</v>
      </c>
      <c r="AF194" s="164" t="str">
        <f t="shared" si="497"/>
        <v>9.60</v>
      </c>
      <c r="AG194" s="165" t="str">
        <f t="shared" si="498"/>
        <v>105.72</v>
      </c>
      <c r="AH194" s="23"/>
      <c r="AI194" s="278">
        <v>0.1</v>
      </c>
      <c r="AJ194" s="24" t="str">
        <f t="shared" si="499"/>
        <v>355.39</v>
      </c>
      <c r="AK194" s="279" t="str">
        <f t="shared" si="500"/>
        <v>#DIV/0!</v>
      </c>
      <c r="AL194" s="280"/>
      <c r="AM194" s="281" t="str">
        <f t="shared" si="360"/>
        <v>0.00</v>
      </c>
      <c r="AN194" s="280"/>
      <c r="AO194" s="282"/>
      <c r="AP194" s="283"/>
      <c r="AQ194" s="283" t="str">
        <f t="shared" si="361"/>
        <v>0.00</v>
      </c>
      <c r="AR194" s="283"/>
      <c r="AS194" s="284"/>
      <c r="AT194" s="285" t="str">
        <f t="shared" si="235"/>
        <v>0.00</v>
      </c>
      <c r="AU194" s="284"/>
      <c r="AV194" s="286"/>
      <c r="AW194" s="285"/>
      <c r="AX194" s="284"/>
      <c r="AY194" s="26"/>
      <c r="AZ194" s="171" t="str">
        <f t="shared" si="501"/>
        <v>0.00%</v>
      </c>
      <c r="BA194" s="172" t="str">
        <f t="shared" si="502"/>
        <v>0.00</v>
      </c>
      <c r="BB194" s="173" t="str">
        <f t="shared" si="503"/>
        <v>361.91</v>
      </c>
      <c r="BC194" s="174" t="str">
        <f t="shared" si="504"/>
        <v>256.95</v>
      </c>
    </row>
    <row r="195" ht="12.75" hidden="1" customHeight="1">
      <c r="A195" s="26"/>
      <c r="B195" s="190" t="s">
        <v>392</v>
      </c>
      <c r="C195" s="192">
        <v>2.12885313E8</v>
      </c>
      <c r="D195" s="152" t="s">
        <v>393</v>
      </c>
      <c r="E195" s="53" t="s">
        <v>77</v>
      </c>
      <c r="F195" s="154">
        <v>1.0</v>
      </c>
      <c r="G195" s="53"/>
      <c r="H195" s="53" t="str">
        <f t="shared" si="482"/>
        <v>0.00069</v>
      </c>
      <c r="I195" s="53" t="str">
        <f t="shared" si="483"/>
        <v>89</v>
      </c>
      <c r="J195" s="53" t="str">
        <f t="shared" si="484"/>
        <v>0</v>
      </c>
      <c r="K195" s="155" t="str">
        <f t="shared" si="485"/>
        <v>0.00</v>
      </c>
      <c r="L195" s="156" t="str">
        <f t="shared" si="486"/>
        <v>0.00 </v>
      </c>
      <c r="M195" s="132">
        <v>90.0</v>
      </c>
      <c r="N195" s="157">
        <v>0.0</v>
      </c>
      <c r="O195" s="277">
        <v>0.0</v>
      </c>
      <c r="P195" s="277" t="str">
        <f t="shared" si="487"/>
        <v>#VALUE!</v>
      </c>
      <c r="Q195" s="157">
        <v>0.0</v>
      </c>
      <c r="R195" s="158">
        <v>1060.8</v>
      </c>
      <c r="S195" s="159" t="str">
        <f t="shared" si="488"/>
        <v>362.14</v>
      </c>
      <c r="T195" s="160"/>
      <c r="U195" s="161">
        <v>0.26</v>
      </c>
      <c r="V195" s="162" t="str">
        <f t="shared" si="489"/>
        <v>784.99</v>
      </c>
      <c r="W195" s="163" t="str">
        <f t="shared" si="490"/>
        <v>60.00</v>
      </c>
      <c r="X195" s="164" t="str">
        <f t="shared" si="491"/>
        <v>58.69</v>
      </c>
      <c r="Y195" s="165" t="str">
        <f t="shared" si="492"/>
        <v>0.00</v>
      </c>
      <c r="Z195" s="166">
        <v>1.34</v>
      </c>
      <c r="AA195" s="167" t="str">
        <f t="shared" si="493"/>
        <v>95</v>
      </c>
      <c r="AB195" s="168" t="str">
        <f t="shared" si="494"/>
        <v>344.760</v>
      </c>
      <c r="AC195" s="168" t="str">
        <f t="shared" si="495"/>
        <v>27.946</v>
      </c>
      <c r="AD195" s="164" t="str">
        <f t="shared" si="496"/>
        <v>1.67</v>
      </c>
      <c r="AE195" s="164">
        <v>96.67</v>
      </c>
      <c r="AF195" s="164" t="str">
        <f t="shared" si="497"/>
        <v>9.60</v>
      </c>
      <c r="AG195" s="165" t="str">
        <f t="shared" si="498"/>
        <v>106.08</v>
      </c>
      <c r="AH195" s="23"/>
      <c r="AI195" s="278">
        <v>0.1</v>
      </c>
      <c r="AJ195" s="24" t="str">
        <f t="shared" si="499"/>
        <v>357.06</v>
      </c>
      <c r="AK195" s="279" t="str">
        <f t="shared" si="500"/>
        <v>#DIV/0!</v>
      </c>
      <c r="AL195" s="280"/>
      <c r="AM195" s="281" t="str">
        <f t="shared" si="360"/>
        <v>0.00</v>
      </c>
      <c r="AN195" s="280"/>
      <c r="AO195" s="282"/>
      <c r="AP195" s="283"/>
      <c r="AQ195" s="283" t="str">
        <f t="shared" si="361"/>
        <v>0.00</v>
      </c>
      <c r="AR195" s="283"/>
      <c r="AS195" s="284"/>
      <c r="AT195" s="285" t="str">
        <f t="shared" si="235"/>
        <v>0.00</v>
      </c>
      <c r="AU195" s="284"/>
      <c r="AV195" s="286"/>
      <c r="AW195" s="285"/>
      <c r="AX195" s="284"/>
      <c r="AY195" s="26"/>
      <c r="AZ195" s="171" t="str">
        <f t="shared" si="501"/>
        <v>0.00%</v>
      </c>
      <c r="BA195" s="172" t="str">
        <f t="shared" si="502"/>
        <v>0.00</v>
      </c>
      <c r="BB195" s="173" t="str">
        <f t="shared" si="503"/>
        <v>362.14</v>
      </c>
      <c r="BC195" s="174" t="str">
        <f t="shared" si="504"/>
        <v>257.12</v>
      </c>
    </row>
    <row r="196" ht="12.75" hidden="1" customHeight="1">
      <c r="A196" s="26"/>
      <c r="B196" s="190" t="s">
        <v>394</v>
      </c>
      <c r="C196" s="192">
        <v>2.12885317E8</v>
      </c>
      <c r="D196" s="152" t="s">
        <v>395</v>
      </c>
      <c r="E196" s="53" t="s">
        <v>77</v>
      </c>
      <c r="F196" s="154">
        <v>1.0</v>
      </c>
      <c r="G196" s="53"/>
      <c r="H196" s="53" t="str">
        <f t="shared" si="482"/>
        <v>0.00069</v>
      </c>
      <c r="I196" s="53" t="str">
        <f t="shared" si="483"/>
        <v>89</v>
      </c>
      <c r="J196" s="53" t="str">
        <f t="shared" si="484"/>
        <v>0</v>
      </c>
      <c r="K196" s="155" t="str">
        <f t="shared" si="485"/>
        <v>0.00</v>
      </c>
      <c r="L196" s="156" t="str">
        <f t="shared" si="486"/>
        <v>0.00 </v>
      </c>
      <c r="M196" s="132">
        <v>90.0</v>
      </c>
      <c r="N196" s="157">
        <v>0.0</v>
      </c>
      <c r="O196" s="277">
        <v>0.0</v>
      </c>
      <c r="P196" s="277" t="str">
        <f t="shared" si="487"/>
        <v>#VALUE!</v>
      </c>
      <c r="Q196" s="157">
        <v>0.0</v>
      </c>
      <c r="R196" s="158">
        <v>1060.8</v>
      </c>
      <c r="S196" s="159" t="str">
        <f t="shared" si="488"/>
        <v>366.88</v>
      </c>
      <c r="T196" s="160"/>
      <c r="U196" s="161">
        <v>0.26</v>
      </c>
      <c r="V196" s="162" t="str">
        <f t="shared" si="489"/>
        <v>784.99</v>
      </c>
      <c r="W196" s="163" t="str">
        <f t="shared" si="490"/>
        <v>60.00</v>
      </c>
      <c r="X196" s="164" t="str">
        <f t="shared" si="491"/>
        <v>58.69</v>
      </c>
      <c r="Y196" s="165" t="str">
        <f t="shared" si="492"/>
        <v>0.00</v>
      </c>
      <c r="Z196" s="166">
        <v>1.34</v>
      </c>
      <c r="AA196" s="167" t="str">
        <f t="shared" si="493"/>
        <v>95</v>
      </c>
      <c r="AB196" s="168" t="str">
        <f t="shared" si="494"/>
        <v>344.760</v>
      </c>
      <c r="AC196" s="168" t="str">
        <f t="shared" si="495"/>
        <v>27.946</v>
      </c>
      <c r="AD196" s="164" t="str">
        <f t="shared" si="496"/>
        <v>3.85</v>
      </c>
      <c r="AE196" s="164">
        <v>92.31</v>
      </c>
      <c r="AF196" s="164" t="str">
        <f t="shared" si="497"/>
        <v>9.60</v>
      </c>
      <c r="AG196" s="165" t="str">
        <f t="shared" si="498"/>
        <v>106.08</v>
      </c>
      <c r="AH196" s="23"/>
      <c r="AI196" s="278">
        <v>0.1</v>
      </c>
      <c r="AJ196" s="24" t="str">
        <f t="shared" si="499"/>
        <v>354.88</v>
      </c>
      <c r="AK196" s="279" t="str">
        <f t="shared" si="500"/>
        <v>#DIV/0!</v>
      </c>
      <c r="AL196" s="280"/>
      <c r="AM196" s="281" t="str">
        <f t="shared" si="360"/>
        <v>0.00</v>
      </c>
      <c r="AN196" s="280"/>
      <c r="AO196" s="282"/>
      <c r="AP196" s="283"/>
      <c r="AQ196" s="283" t="str">
        <f t="shared" si="361"/>
        <v>0.00</v>
      </c>
      <c r="AR196" s="283"/>
      <c r="AS196" s="284"/>
      <c r="AT196" s="285" t="str">
        <f t="shared" si="235"/>
        <v>0.00</v>
      </c>
      <c r="AU196" s="284"/>
      <c r="AV196" s="286"/>
      <c r="AW196" s="285"/>
      <c r="AX196" s="284"/>
      <c r="AY196" s="26"/>
      <c r="AZ196" s="171" t="str">
        <f t="shared" si="501"/>
        <v>0.00%</v>
      </c>
      <c r="BA196" s="172" t="str">
        <f t="shared" si="502"/>
        <v>0.00</v>
      </c>
      <c r="BB196" s="173" t="str">
        <f t="shared" si="503"/>
        <v>366.88</v>
      </c>
      <c r="BC196" s="174" t="str">
        <f t="shared" si="504"/>
        <v>260.49</v>
      </c>
    </row>
    <row r="197" ht="12.75" hidden="1" customHeight="1">
      <c r="A197" s="26"/>
      <c r="B197" s="190" t="s">
        <v>396</v>
      </c>
      <c r="C197" s="192">
        <v>2.12885315E8</v>
      </c>
      <c r="D197" s="152" t="s">
        <v>397</v>
      </c>
      <c r="E197" s="53" t="s">
        <v>77</v>
      </c>
      <c r="F197" s="154">
        <v>1.0</v>
      </c>
      <c r="G197" s="53"/>
      <c r="H197" s="53" t="str">
        <f t="shared" si="482"/>
        <v>0.00069</v>
      </c>
      <c r="I197" s="53" t="str">
        <f t="shared" si="483"/>
        <v>89</v>
      </c>
      <c r="J197" s="53" t="str">
        <f t="shared" si="484"/>
        <v>0</v>
      </c>
      <c r="K197" s="155" t="str">
        <f t="shared" si="485"/>
        <v>0.00</v>
      </c>
      <c r="L197" s="156" t="str">
        <f t="shared" si="486"/>
        <v>0.00 </v>
      </c>
      <c r="M197" s="132">
        <v>90.0</v>
      </c>
      <c r="N197" s="157">
        <v>0.0</v>
      </c>
      <c r="O197" s="277">
        <v>0.0</v>
      </c>
      <c r="P197" s="277" t="str">
        <f t="shared" si="487"/>
        <v>#VALUE!</v>
      </c>
      <c r="Q197" s="157">
        <v>0.0</v>
      </c>
      <c r="R197" s="158">
        <v>1060.8</v>
      </c>
      <c r="S197" s="159" t="str">
        <f t="shared" si="488"/>
        <v>361.01</v>
      </c>
      <c r="T197" s="160"/>
      <c r="U197" s="161">
        <v>0.26</v>
      </c>
      <c r="V197" s="162" t="str">
        <f t="shared" si="489"/>
        <v>784.99</v>
      </c>
      <c r="W197" s="163" t="str">
        <f t="shared" si="490"/>
        <v>60.00</v>
      </c>
      <c r="X197" s="164" t="str">
        <f t="shared" si="491"/>
        <v>58.69</v>
      </c>
      <c r="Y197" s="165" t="str">
        <f t="shared" si="492"/>
        <v>0.00</v>
      </c>
      <c r="Z197" s="166">
        <v>1.34</v>
      </c>
      <c r="AA197" s="167" t="str">
        <f t="shared" si="493"/>
        <v>95</v>
      </c>
      <c r="AB197" s="168" t="str">
        <f t="shared" si="494"/>
        <v>344.760</v>
      </c>
      <c r="AC197" s="168" t="str">
        <f t="shared" si="495"/>
        <v>27.946</v>
      </c>
      <c r="AD197" s="164" t="str">
        <f t="shared" si="496"/>
        <v>1.15</v>
      </c>
      <c r="AE197" s="164">
        <v>97.7</v>
      </c>
      <c r="AF197" s="164" t="str">
        <f t="shared" si="497"/>
        <v>9.60</v>
      </c>
      <c r="AG197" s="165" t="str">
        <f t="shared" si="498"/>
        <v>106.08</v>
      </c>
      <c r="AH197" s="23"/>
      <c r="AI197" s="278">
        <v>0.1</v>
      </c>
      <c r="AJ197" s="24" t="str">
        <f t="shared" si="499"/>
        <v>357.57</v>
      </c>
      <c r="AK197" s="279" t="str">
        <f t="shared" si="500"/>
        <v>#DIV/0!</v>
      </c>
      <c r="AL197" s="280"/>
      <c r="AM197" s="281" t="str">
        <f t="shared" si="360"/>
        <v>0.00</v>
      </c>
      <c r="AN197" s="280"/>
      <c r="AO197" s="282"/>
      <c r="AP197" s="283"/>
      <c r="AQ197" s="283" t="str">
        <f t="shared" si="361"/>
        <v>0.00</v>
      </c>
      <c r="AR197" s="283"/>
      <c r="AS197" s="284"/>
      <c r="AT197" s="285" t="str">
        <f t="shared" si="235"/>
        <v>0.00</v>
      </c>
      <c r="AU197" s="284"/>
      <c r="AV197" s="286"/>
      <c r="AW197" s="285"/>
      <c r="AX197" s="284"/>
      <c r="AY197" s="26"/>
      <c r="AZ197" s="171" t="str">
        <f t="shared" si="501"/>
        <v>0.00%</v>
      </c>
      <c r="BA197" s="172" t="str">
        <f t="shared" si="502"/>
        <v>0.00</v>
      </c>
      <c r="BB197" s="173" t="str">
        <f t="shared" si="503"/>
        <v>361.01</v>
      </c>
      <c r="BC197" s="174" t="str">
        <f t="shared" si="504"/>
        <v>256.32</v>
      </c>
    </row>
    <row r="198" ht="12.75" hidden="1" customHeight="1">
      <c r="A198" s="26"/>
      <c r="B198" s="190" t="s">
        <v>398</v>
      </c>
      <c r="C198" s="192">
        <v>2.12885316E8</v>
      </c>
      <c r="D198" s="152" t="s">
        <v>399</v>
      </c>
      <c r="E198" s="53" t="s">
        <v>77</v>
      </c>
      <c r="F198" s="154">
        <v>1.0</v>
      </c>
      <c r="G198" s="53"/>
      <c r="H198" s="53" t="str">
        <f t="shared" si="482"/>
        <v>0.00069</v>
      </c>
      <c r="I198" s="53" t="str">
        <f t="shared" si="483"/>
        <v>89</v>
      </c>
      <c r="J198" s="53" t="str">
        <f t="shared" si="484"/>
        <v>0</v>
      </c>
      <c r="K198" s="155" t="str">
        <f t="shared" si="485"/>
        <v>0.00</v>
      </c>
      <c r="L198" s="156" t="str">
        <f t="shared" si="486"/>
        <v>0.00 </v>
      </c>
      <c r="M198" s="132">
        <v>90.0</v>
      </c>
      <c r="N198" s="157">
        <v>0.0</v>
      </c>
      <c r="O198" s="277">
        <v>0.0</v>
      </c>
      <c r="P198" s="277" t="str">
        <f t="shared" si="487"/>
        <v>#VALUE!</v>
      </c>
      <c r="Q198" s="157">
        <v>0.0</v>
      </c>
      <c r="R198" s="158">
        <v>1146.6</v>
      </c>
      <c r="S198" s="159" t="str">
        <f t="shared" si="488"/>
        <v>361.35</v>
      </c>
      <c r="T198" s="160"/>
      <c r="U198" s="161">
        <v>0.26</v>
      </c>
      <c r="V198" s="162" t="str">
        <f t="shared" si="489"/>
        <v>848.48</v>
      </c>
      <c r="W198" s="163" t="str">
        <f t="shared" si="490"/>
        <v>60.00</v>
      </c>
      <c r="X198" s="164" t="str">
        <f t="shared" si="491"/>
        <v>63.44</v>
      </c>
      <c r="Y198" s="165" t="str">
        <f t="shared" si="492"/>
        <v>0.00</v>
      </c>
      <c r="Z198" s="166">
        <v>1.34</v>
      </c>
      <c r="AA198" s="167" t="str">
        <f t="shared" si="493"/>
        <v>95</v>
      </c>
      <c r="AB198" s="168" t="str">
        <f t="shared" si="494"/>
        <v>372.645</v>
      </c>
      <c r="AC198" s="168" t="str">
        <f t="shared" si="495"/>
        <v>30.206</v>
      </c>
      <c r="AD198" s="164" t="str">
        <f t="shared" si="496"/>
        <v>1.31</v>
      </c>
      <c r="AE198" s="164">
        <v>97.39</v>
      </c>
      <c r="AF198" s="164" t="str">
        <f t="shared" si="497"/>
        <v>9.60</v>
      </c>
      <c r="AG198" s="165" t="str">
        <f t="shared" si="498"/>
        <v>114.66</v>
      </c>
      <c r="AH198" s="23"/>
      <c r="AI198" s="278">
        <v>0.1</v>
      </c>
      <c r="AJ198" s="24" t="str">
        <f t="shared" si="499"/>
        <v>399.75</v>
      </c>
      <c r="AK198" s="279" t="str">
        <f t="shared" si="500"/>
        <v>#DIV/0!</v>
      </c>
      <c r="AL198" s="280"/>
      <c r="AM198" s="281" t="str">
        <f t="shared" si="360"/>
        <v>0.00</v>
      </c>
      <c r="AN198" s="280"/>
      <c r="AO198" s="282"/>
      <c r="AP198" s="283"/>
      <c r="AQ198" s="283" t="str">
        <f t="shared" si="361"/>
        <v>0.00</v>
      </c>
      <c r="AR198" s="283"/>
      <c r="AS198" s="284"/>
      <c r="AT198" s="285" t="str">
        <f t="shared" si="235"/>
        <v>0.00</v>
      </c>
      <c r="AU198" s="284"/>
      <c r="AV198" s="286"/>
      <c r="AW198" s="285"/>
      <c r="AX198" s="284"/>
      <c r="AY198" s="26"/>
      <c r="AZ198" s="171" t="str">
        <f t="shared" si="501"/>
        <v>0.00%</v>
      </c>
      <c r="BA198" s="172" t="str">
        <f t="shared" si="502"/>
        <v>0.00</v>
      </c>
      <c r="BB198" s="173" t="str">
        <f t="shared" si="503"/>
        <v>361.35</v>
      </c>
      <c r="BC198" s="174" t="str">
        <f t="shared" si="504"/>
        <v>256.56</v>
      </c>
    </row>
    <row r="199" ht="12.75" hidden="1" customHeight="1">
      <c r="A199" s="26"/>
      <c r="B199" s="190" t="s">
        <v>400</v>
      </c>
      <c r="C199" s="192">
        <v>2.12885314E8</v>
      </c>
      <c r="D199" s="152" t="s">
        <v>401</v>
      </c>
      <c r="E199" s="53" t="s">
        <v>77</v>
      </c>
      <c r="F199" s="154">
        <v>1.0</v>
      </c>
      <c r="G199" s="53"/>
      <c r="H199" s="53" t="str">
        <f t="shared" si="482"/>
        <v>0.00069</v>
      </c>
      <c r="I199" s="53" t="str">
        <f t="shared" si="483"/>
        <v>89</v>
      </c>
      <c r="J199" s="53" t="str">
        <f t="shared" si="484"/>
        <v>0</v>
      </c>
      <c r="K199" s="155" t="str">
        <f t="shared" si="485"/>
        <v>0.00</v>
      </c>
      <c r="L199" s="156" t="str">
        <f t="shared" si="486"/>
        <v>0.00 </v>
      </c>
      <c r="M199" s="132">
        <v>90.0</v>
      </c>
      <c r="N199" s="157">
        <v>0.0</v>
      </c>
      <c r="O199" s="277">
        <v>0.0</v>
      </c>
      <c r="P199" s="277" t="str">
        <f t="shared" si="487"/>
        <v>#VALUE!</v>
      </c>
      <c r="Q199" s="157">
        <v>0.0</v>
      </c>
      <c r="R199" s="158">
        <v>1060.8</v>
      </c>
      <c r="S199" s="159" t="str">
        <f t="shared" si="488"/>
        <v>365.25</v>
      </c>
      <c r="T199" s="160"/>
      <c r="U199" s="161">
        <v>0.26</v>
      </c>
      <c r="V199" s="162" t="str">
        <f t="shared" si="489"/>
        <v>784.99</v>
      </c>
      <c r="W199" s="163" t="str">
        <f t="shared" si="490"/>
        <v>60.00</v>
      </c>
      <c r="X199" s="164" t="str">
        <f t="shared" si="491"/>
        <v>58.69</v>
      </c>
      <c r="Y199" s="165" t="str">
        <f t="shared" si="492"/>
        <v>0.00</v>
      </c>
      <c r="Z199" s="166">
        <v>1.34</v>
      </c>
      <c r="AA199" s="167" t="str">
        <f t="shared" si="493"/>
        <v>95</v>
      </c>
      <c r="AB199" s="168" t="str">
        <f t="shared" si="494"/>
        <v>344.760</v>
      </c>
      <c r="AC199" s="168" t="str">
        <f t="shared" si="495"/>
        <v>27.946</v>
      </c>
      <c r="AD199" s="164" t="str">
        <f t="shared" si="496"/>
        <v>3.10</v>
      </c>
      <c r="AE199" s="164">
        <v>93.81</v>
      </c>
      <c r="AF199" s="164" t="str">
        <f t="shared" si="497"/>
        <v>9.60</v>
      </c>
      <c r="AG199" s="165" t="str">
        <f t="shared" si="498"/>
        <v>106.08</v>
      </c>
      <c r="AH199" s="23"/>
      <c r="AI199" s="278">
        <v>0.1</v>
      </c>
      <c r="AJ199" s="24" t="str">
        <f t="shared" si="499"/>
        <v>355.63</v>
      </c>
      <c r="AK199" s="279" t="str">
        <f t="shared" si="500"/>
        <v>#DIV/0!</v>
      </c>
      <c r="AL199" s="280"/>
      <c r="AM199" s="281" t="str">
        <f t="shared" si="360"/>
        <v>0.00</v>
      </c>
      <c r="AN199" s="280"/>
      <c r="AO199" s="282"/>
      <c r="AP199" s="283"/>
      <c r="AQ199" s="283" t="str">
        <f t="shared" si="361"/>
        <v>0.00</v>
      </c>
      <c r="AR199" s="283"/>
      <c r="AS199" s="284"/>
      <c r="AT199" s="285" t="str">
        <f t="shared" si="235"/>
        <v>0.00</v>
      </c>
      <c r="AU199" s="284"/>
      <c r="AV199" s="286"/>
      <c r="AW199" s="285"/>
      <c r="AX199" s="284"/>
      <c r="AY199" s="26"/>
      <c r="AZ199" s="171" t="str">
        <f t="shared" si="501"/>
        <v>0.00%</v>
      </c>
      <c r="BA199" s="172" t="str">
        <f t="shared" si="502"/>
        <v>0.00</v>
      </c>
      <c r="BB199" s="173" t="str">
        <f t="shared" si="503"/>
        <v>365.25</v>
      </c>
      <c r="BC199" s="174" t="str">
        <f t="shared" si="504"/>
        <v>259.33</v>
      </c>
    </row>
    <row r="200" ht="12.75" hidden="1" customHeight="1">
      <c r="A200" s="26"/>
      <c r="B200" s="125" t="s">
        <v>402</v>
      </c>
      <c r="C200" s="126"/>
      <c r="D200" s="127"/>
      <c r="E200" s="128"/>
      <c r="F200" s="128"/>
      <c r="G200" s="128"/>
      <c r="H200" s="197"/>
      <c r="I200" s="197"/>
      <c r="J200" s="128"/>
      <c r="K200" s="130"/>
      <c r="L200" s="131"/>
      <c r="M200" s="132"/>
      <c r="N200" s="176"/>
      <c r="O200" s="133"/>
      <c r="P200" s="133"/>
      <c r="Q200" s="176"/>
      <c r="R200" s="134"/>
      <c r="S200" s="135"/>
      <c r="T200" s="135"/>
      <c r="U200" s="136"/>
      <c r="V200" s="137"/>
      <c r="W200" s="177"/>
      <c r="X200" s="178"/>
      <c r="Y200" s="179"/>
      <c r="Z200" s="180"/>
      <c r="AA200" s="181"/>
      <c r="AB200" s="182"/>
      <c r="AC200" s="182"/>
      <c r="AD200" s="178"/>
      <c r="AE200" s="178"/>
      <c r="AF200" s="178"/>
      <c r="AG200" s="179"/>
      <c r="AH200" s="183"/>
      <c r="AI200" s="271"/>
      <c r="AJ200" s="287"/>
      <c r="AK200" s="288"/>
      <c r="AL200" s="280"/>
      <c r="AM200" s="281" t="str">
        <f t="shared" si="360"/>
        <v>0.00</v>
      </c>
      <c r="AN200" s="280"/>
      <c r="AO200" s="282"/>
      <c r="AP200" s="283"/>
      <c r="AQ200" s="283" t="str">
        <f t="shared" si="361"/>
        <v>0.00</v>
      </c>
      <c r="AR200" s="283"/>
      <c r="AS200" s="284"/>
      <c r="AT200" s="285" t="str">
        <f t="shared" si="235"/>
        <v>0.00</v>
      </c>
      <c r="AU200" s="284"/>
      <c r="AV200" s="286"/>
      <c r="AW200" s="285"/>
      <c r="AX200" s="284"/>
      <c r="AY200" s="26"/>
      <c r="AZ200" s="186"/>
      <c r="BA200" s="187"/>
      <c r="BB200" s="188"/>
      <c r="BC200" s="189"/>
    </row>
    <row r="201" ht="12.75" hidden="1" customHeight="1">
      <c r="A201" s="26"/>
      <c r="B201" s="190" t="s">
        <v>403</v>
      </c>
      <c r="C201" s="199">
        <v>1.80709801E8</v>
      </c>
      <c r="D201" s="152" t="s">
        <v>404</v>
      </c>
      <c r="E201" s="53" t="s">
        <v>77</v>
      </c>
      <c r="F201" s="154">
        <v>1.0</v>
      </c>
      <c r="G201" s="53"/>
      <c r="H201" s="53" t="str">
        <f t="shared" ref="H201:H203" si="505">$I$2</f>
        <v>0.00069</v>
      </c>
      <c r="I201" s="53" t="str">
        <f t="shared" ref="I201:I203" si="506">$I$3</f>
        <v>89</v>
      </c>
      <c r="J201" s="53" t="str">
        <f t="shared" ref="J201:J203" si="507">G201*H201*I201*F201</f>
        <v>0</v>
      </c>
      <c r="K201" s="155" t="str">
        <f t="shared" ref="K201:K203" si="508">J201*$J$4</f>
        <v>0.00</v>
      </c>
      <c r="L201" s="156" t="str">
        <f t="shared" ref="L201:L203" si="509">K201+J201</f>
        <v>0.00 </v>
      </c>
      <c r="M201" s="132">
        <v>90.0</v>
      </c>
      <c r="N201" s="157">
        <v>415.46</v>
      </c>
      <c r="O201" s="277">
        <v>452.85</v>
      </c>
      <c r="P201" s="277">
        <v>440.39</v>
      </c>
      <c r="Q201" s="157">
        <v>415.46</v>
      </c>
      <c r="R201" s="158">
        <v>1290.0</v>
      </c>
      <c r="S201" s="159" t="str">
        <f t="shared" ref="S201:S202" si="510">R201</f>
        <v>1,290.00</v>
      </c>
      <c r="T201" s="160">
        <v>1290.0</v>
      </c>
      <c r="U201" s="161">
        <v>0.26</v>
      </c>
      <c r="V201" s="162" t="str">
        <f t="shared" ref="V201:V203" si="511">R201-(R201*U201)</f>
        <v>954.60</v>
      </c>
      <c r="W201" s="163" t="str">
        <f t="shared" ref="W201:W203" si="512">$C$1</f>
        <v>60.00</v>
      </c>
      <c r="X201" s="164" t="str">
        <f t="shared" ref="X201:X203" si="513">(V201*7/107)+((V201-(V201*7/107))*1%)</f>
        <v>71.37</v>
      </c>
      <c r="Y201" s="165" t="str">
        <f t="shared" ref="Y201:Y203" si="514">Q201*$C$3*(M201/30)</f>
        <v>0.00</v>
      </c>
      <c r="Z201" s="166">
        <v>0.36</v>
      </c>
      <c r="AA201" s="167" t="str">
        <f t="shared" ref="AA201:AA203" si="515">((_xlfn.CEILING.MATH(Z201)-1)*$C$5+$C$4)</f>
        <v>76</v>
      </c>
      <c r="AB201" s="168" t="str">
        <f t="shared" ref="AB201:AB203" si="516">R201*$AB$6</f>
        <v>419.250</v>
      </c>
      <c r="AC201" s="168" t="str">
        <f t="shared" ref="AC201:AC203" si="517">V201*$AB$7</f>
        <v>33.984</v>
      </c>
      <c r="AD201" s="164" t="str">
        <f t="shared" ref="AD201:AD203" si="518">$AB$3*((100-AE201)/100)</f>
        <v>3.19</v>
      </c>
      <c r="AE201" s="164">
        <v>93.62</v>
      </c>
      <c r="AF201" s="164" t="str">
        <f t="shared" ref="AF201:AF203" si="519">$C$6*$C$7*_xlfn.CEILING.MATH(Z201)</f>
        <v>4.80</v>
      </c>
      <c r="AG201" s="165" t="str">
        <f t="shared" ref="AG201:AG203" si="520">R201*$C$2</f>
        <v>129.00</v>
      </c>
      <c r="AH201" s="23"/>
      <c r="AI201" s="278">
        <v>0.1</v>
      </c>
      <c r="AJ201" s="24" t="str">
        <f t="shared" ref="AJ201:AJ203" si="521">R201-W201-X201-Y201-AA201-AB201-AC201-AD201-AF201-AG201-Q201</f>
        <v>76.94</v>
      </c>
      <c r="AK201" s="279" t="str">
        <f t="shared" ref="AK201:AK203" si="522">AJ201/Q201</f>
        <v>18.52%</v>
      </c>
      <c r="AL201" s="280"/>
      <c r="AM201" s="281" t="str">
        <f t="shared" si="360"/>
        <v>0.00</v>
      </c>
      <c r="AN201" s="280"/>
      <c r="AO201" s="282"/>
      <c r="AP201" s="283"/>
      <c r="AQ201" s="283" t="str">
        <f t="shared" si="361"/>
        <v>0.00</v>
      </c>
      <c r="AR201" s="283"/>
      <c r="AS201" s="284"/>
      <c r="AT201" s="285" t="str">
        <f t="shared" si="235"/>
        <v>0.00</v>
      </c>
      <c r="AU201" s="284"/>
      <c r="AV201" s="286"/>
      <c r="AW201" s="285"/>
      <c r="AX201" s="284"/>
      <c r="AY201" s="26"/>
      <c r="AZ201" s="171" t="str">
        <f t="shared" ref="AZ201:AZ203" si="523">$AG$3</f>
        <v>0.00%</v>
      </c>
      <c r="BA201" s="172" t="str">
        <f t="shared" ref="BA201:BA203" si="524">Q201*AZ201</f>
        <v>0.00</v>
      </c>
      <c r="BB201" s="173" t="str">
        <f t="shared" ref="BB201:BB203" si="525">(Q201+W201+Y201+AA201+AD201+AF201+AI201+BA201)/(100%-($C$2+$C$8+$AB$6+$AB$7))</f>
        <v>1,218.00</v>
      </c>
      <c r="BC201" s="174" t="str">
        <f t="shared" ref="BC201:BC203" si="526">BB201-(BB201*$AG$1)</f>
        <v>864.78</v>
      </c>
    </row>
    <row r="202" ht="12.75" hidden="1" customHeight="1">
      <c r="A202" s="26"/>
      <c r="B202" s="190" t="s">
        <v>405</v>
      </c>
      <c r="C202" s="199">
        <v>1.79611284E8</v>
      </c>
      <c r="D202" s="152" t="s">
        <v>406</v>
      </c>
      <c r="E202" s="53" t="s">
        <v>77</v>
      </c>
      <c r="F202" s="154">
        <v>1.0</v>
      </c>
      <c r="G202" s="53"/>
      <c r="H202" s="53" t="str">
        <f t="shared" si="505"/>
        <v>0.00069</v>
      </c>
      <c r="I202" s="53" t="str">
        <f t="shared" si="506"/>
        <v>89</v>
      </c>
      <c r="J202" s="53" t="str">
        <f t="shared" si="507"/>
        <v>0</v>
      </c>
      <c r="K202" s="155" t="str">
        <f t="shared" si="508"/>
        <v>0.00</v>
      </c>
      <c r="L202" s="156" t="str">
        <f t="shared" si="509"/>
        <v>0.00 </v>
      </c>
      <c r="M202" s="132">
        <v>90.0</v>
      </c>
      <c r="N202" s="157">
        <v>415.46</v>
      </c>
      <c r="O202" s="277">
        <v>452.85</v>
      </c>
      <c r="P202" s="277">
        <v>440.39</v>
      </c>
      <c r="Q202" s="157">
        <v>415.46</v>
      </c>
      <c r="R202" s="158">
        <v>1290.0</v>
      </c>
      <c r="S202" s="159" t="str">
        <f t="shared" si="510"/>
        <v>1,290.00</v>
      </c>
      <c r="T202" s="160" t="s">
        <v>78</v>
      </c>
      <c r="U202" s="161">
        <v>0.26</v>
      </c>
      <c r="V202" s="162" t="str">
        <f t="shared" si="511"/>
        <v>954.60</v>
      </c>
      <c r="W202" s="163" t="str">
        <f t="shared" si="512"/>
        <v>60.00</v>
      </c>
      <c r="X202" s="164" t="str">
        <f t="shared" si="513"/>
        <v>71.37</v>
      </c>
      <c r="Y202" s="165" t="str">
        <f t="shared" si="514"/>
        <v>0.00</v>
      </c>
      <c r="Z202" s="166">
        <v>0.36</v>
      </c>
      <c r="AA202" s="167" t="str">
        <f t="shared" si="515"/>
        <v>76</v>
      </c>
      <c r="AB202" s="168" t="str">
        <f t="shared" si="516"/>
        <v>419.250</v>
      </c>
      <c r="AC202" s="168" t="str">
        <f t="shared" si="517"/>
        <v>33.984</v>
      </c>
      <c r="AD202" s="164" t="str">
        <f t="shared" si="518"/>
        <v>4.00</v>
      </c>
      <c r="AE202" s="164">
        <v>92.0</v>
      </c>
      <c r="AF202" s="164" t="str">
        <f t="shared" si="519"/>
        <v>4.80</v>
      </c>
      <c r="AG202" s="165" t="str">
        <f t="shared" si="520"/>
        <v>129.00</v>
      </c>
      <c r="AH202" s="23"/>
      <c r="AI202" s="278">
        <v>0.1</v>
      </c>
      <c r="AJ202" s="24" t="str">
        <f t="shared" si="521"/>
        <v>76.13</v>
      </c>
      <c r="AK202" s="279" t="str">
        <f t="shared" si="522"/>
        <v>18.33%</v>
      </c>
      <c r="AL202" s="280"/>
      <c r="AM202" s="281" t="str">
        <f t="shared" si="360"/>
        <v>0.00</v>
      </c>
      <c r="AN202" s="280"/>
      <c r="AO202" s="282"/>
      <c r="AP202" s="283"/>
      <c r="AQ202" s="283" t="str">
        <f t="shared" si="361"/>
        <v>0.00</v>
      </c>
      <c r="AR202" s="283"/>
      <c r="AS202" s="284"/>
      <c r="AT202" s="285" t="str">
        <f t="shared" si="235"/>
        <v>0.00</v>
      </c>
      <c r="AU202" s="284"/>
      <c r="AV202" s="286"/>
      <c r="AW202" s="285"/>
      <c r="AX202" s="284"/>
      <c r="AY202" s="26"/>
      <c r="AZ202" s="171" t="str">
        <f t="shared" si="523"/>
        <v>0.00%</v>
      </c>
      <c r="BA202" s="172" t="str">
        <f t="shared" si="524"/>
        <v>0.00</v>
      </c>
      <c r="BB202" s="173" t="str">
        <f t="shared" si="525"/>
        <v>1,219.76</v>
      </c>
      <c r="BC202" s="174" t="str">
        <f t="shared" si="526"/>
        <v>866.03</v>
      </c>
    </row>
    <row r="203" ht="12.75" hidden="1" customHeight="1">
      <c r="A203" s="26"/>
      <c r="B203" s="190" t="s">
        <v>407</v>
      </c>
      <c r="C203" s="192">
        <v>1.79611266E8</v>
      </c>
      <c r="D203" s="152" t="s">
        <v>408</v>
      </c>
      <c r="E203" s="53" t="s">
        <v>77</v>
      </c>
      <c r="F203" s="154">
        <v>1.0</v>
      </c>
      <c r="G203" s="53"/>
      <c r="H203" s="53" t="str">
        <f t="shared" si="505"/>
        <v>0.00069</v>
      </c>
      <c r="I203" s="53" t="str">
        <f t="shared" si="506"/>
        <v>89</v>
      </c>
      <c r="J203" s="53" t="str">
        <f t="shared" si="507"/>
        <v>0</v>
      </c>
      <c r="K203" s="155" t="str">
        <f t="shared" si="508"/>
        <v>0.00</v>
      </c>
      <c r="L203" s="156" t="str">
        <f t="shared" si="509"/>
        <v>0.00 </v>
      </c>
      <c r="M203" s="132">
        <v>90.0</v>
      </c>
      <c r="N203" s="157">
        <v>0.0</v>
      </c>
      <c r="O203" s="277">
        <v>0.0</v>
      </c>
      <c r="P203" s="277" t="str">
        <f>K203/E203</f>
        <v>#VALUE!</v>
      </c>
      <c r="Q203" s="157">
        <v>0.0</v>
      </c>
      <c r="R203" s="158">
        <v>1116.9</v>
      </c>
      <c r="S203" s="159" t="str">
        <f>BB203</f>
        <v>316.60</v>
      </c>
      <c r="T203" s="160"/>
      <c r="U203" s="161">
        <v>0.26</v>
      </c>
      <c r="V203" s="162" t="str">
        <f t="shared" si="511"/>
        <v>826.51</v>
      </c>
      <c r="W203" s="163" t="str">
        <f t="shared" si="512"/>
        <v>60.00</v>
      </c>
      <c r="X203" s="164" t="str">
        <f t="shared" si="513"/>
        <v>61.79</v>
      </c>
      <c r="Y203" s="165" t="str">
        <f t="shared" si="514"/>
        <v>0.00</v>
      </c>
      <c r="Z203" s="166">
        <v>0.36</v>
      </c>
      <c r="AA203" s="167" t="str">
        <f t="shared" si="515"/>
        <v>76</v>
      </c>
      <c r="AB203" s="168" t="str">
        <f t="shared" si="516"/>
        <v>362.993</v>
      </c>
      <c r="AC203" s="168" t="str">
        <f t="shared" si="517"/>
        <v>29.424</v>
      </c>
      <c r="AD203" s="164" t="str">
        <f t="shared" si="518"/>
        <v>4.55</v>
      </c>
      <c r="AE203" s="164">
        <v>90.91</v>
      </c>
      <c r="AF203" s="164" t="str">
        <f t="shared" si="519"/>
        <v>4.80</v>
      </c>
      <c r="AG203" s="165" t="str">
        <f t="shared" si="520"/>
        <v>111.69</v>
      </c>
      <c r="AH203" s="23"/>
      <c r="AI203" s="278">
        <v>0.1</v>
      </c>
      <c r="AJ203" s="24" t="str">
        <f t="shared" si="521"/>
        <v>405.65</v>
      </c>
      <c r="AK203" s="279" t="str">
        <f t="shared" si="522"/>
        <v>#DIV/0!</v>
      </c>
      <c r="AL203" s="280"/>
      <c r="AM203" s="281" t="str">
        <f t="shared" si="360"/>
        <v>0.00</v>
      </c>
      <c r="AN203" s="280"/>
      <c r="AO203" s="282"/>
      <c r="AP203" s="283"/>
      <c r="AQ203" s="283" t="str">
        <f t="shared" si="361"/>
        <v>0.00</v>
      </c>
      <c r="AR203" s="283"/>
      <c r="AS203" s="284"/>
      <c r="AT203" s="285" t="str">
        <f t="shared" si="235"/>
        <v>0.00</v>
      </c>
      <c r="AU203" s="284"/>
      <c r="AV203" s="286"/>
      <c r="AW203" s="285"/>
      <c r="AX203" s="284"/>
      <c r="AY203" s="26"/>
      <c r="AZ203" s="171" t="str">
        <f t="shared" si="523"/>
        <v>0.00%</v>
      </c>
      <c r="BA203" s="172" t="str">
        <f t="shared" si="524"/>
        <v>0.00</v>
      </c>
      <c r="BB203" s="173" t="str">
        <f t="shared" si="525"/>
        <v>316.60</v>
      </c>
      <c r="BC203" s="174" t="str">
        <f t="shared" si="526"/>
        <v>224.78</v>
      </c>
    </row>
    <row r="204" ht="12.75" customHeight="1">
      <c r="A204" s="26"/>
      <c r="B204" s="125" t="s">
        <v>409</v>
      </c>
      <c r="C204" s="126"/>
      <c r="D204" s="127"/>
      <c r="E204" s="128"/>
      <c r="F204" s="128"/>
      <c r="G204" s="128"/>
      <c r="H204" s="197"/>
      <c r="I204" s="197"/>
      <c r="J204" s="128"/>
      <c r="K204" s="130"/>
      <c r="L204" s="131"/>
      <c r="M204" s="132"/>
      <c r="N204" s="176"/>
      <c r="O204" s="133"/>
      <c r="P204" s="133"/>
      <c r="Q204" s="176"/>
      <c r="R204" s="134"/>
      <c r="S204" s="135"/>
      <c r="T204" s="135"/>
      <c r="U204" s="136"/>
      <c r="V204" s="137"/>
      <c r="W204" s="177"/>
      <c r="X204" s="178"/>
      <c r="Y204" s="179"/>
      <c r="Z204" s="180"/>
      <c r="AA204" s="181"/>
      <c r="AB204" s="182"/>
      <c r="AC204" s="182"/>
      <c r="AD204" s="178"/>
      <c r="AE204" s="178"/>
      <c r="AF204" s="178"/>
      <c r="AG204" s="179"/>
      <c r="AH204" s="183"/>
      <c r="AI204" s="271"/>
      <c r="AJ204" s="287"/>
      <c r="AK204" s="288"/>
      <c r="AL204" s="280"/>
      <c r="AM204" s="281" t="str">
        <f t="shared" si="360"/>
        <v>0.00</v>
      </c>
      <c r="AN204" s="280"/>
      <c r="AO204" s="282"/>
      <c r="AP204" s="283"/>
      <c r="AQ204" s="283" t="str">
        <f t="shared" si="361"/>
        <v>0.00</v>
      </c>
      <c r="AR204" s="283"/>
      <c r="AS204" s="284"/>
      <c r="AT204" s="285" t="str">
        <f t="shared" si="235"/>
        <v>0.00</v>
      </c>
      <c r="AU204" s="284"/>
      <c r="AV204" s="286"/>
      <c r="AW204" s="285"/>
      <c r="AX204" s="284"/>
      <c r="AY204" s="26"/>
      <c r="AZ204" s="186"/>
      <c r="BA204" s="187"/>
      <c r="BB204" s="188"/>
      <c r="BC204" s="189"/>
    </row>
    <row r="205" ht="12.75" customHeight="1">
      <c r="A205" s="26"/>
      <c r="B205" s="190" t="s">
        <v>410</v>
      </c>
      <c r="C205" s="199">
        <v>8.6876153E8</v>
      </c>
      <c r="D205" s="213" t="s">
        <v>411</v>
      </c>
      <c r="E205" s="53"/>
      <c r="F205" s="154">
        <v>1.0</v>
      </c>
      <c r="G205" s="53"/>
      <c r="H205" s="53" t="str">
        <f>$I$2</f>
        <v>0.00069</v>
      </c>
      <c r="I205" s="53" t="str">
        <f>$I$3</f>
        <v>89</v>
      </c>
      <c r="J205" s="53" t="str">
        <f>G205*H205*I205*F205</f>
        <v>0</v>
      </c>
      <c r="K205" s="155" t="str">
        <f>J205*$J$4</f>
        <v>0.00</v>
      </c>
      <c r="L205" s="156" t="str">
        <f>K205+J205</f>
        <v>0.00 </v>
      </c>
      <c r="M205" s="132">
        <v>90.0</v>
      </c>
      <c r="N205" s="157">
        <v>130.86</v>
      </c>
      <c r="O205" s="277">
        <v>142.64</v>
      </c>
      <c r="P205" s="277">
        <v>138.71</v>
      </c>
      <c r="Q205" s="157">
        <v>130.86</v>
      </c>
      <c r="R205" s="158">
        <v>645.0</v>
      </c>
      <c r="S205" s="159" t="str">
        <f>BB205</f>
        <v>648.59</v>
      </c>
      <c r="T205" s="160"/>
      <c r="U205" s="161">
        <v>0.26</v>
      </c>
      <c r="V205" s="162" t="str">
        <f>R205-(R205*U205)</f>
        <v>477.30</v>
      </c>
      <c r="W205" s="163" t="str">
        <f>$C$1</f>
        <v>60.00</v>
      </c>
      <c r="X205" s="164" t="str">
        <f>(V205*7/107)+((V205-(V205*7/107))*1%)</f>
        <v>35.69</v>
      </c>
      <c r="Y205" s="165" t="str">
        <f>Q205*$C$3*(M205/30)</f>
        <v>0.00</v>
      </c>
      <c r="Z205" s="166"/>
      <c r="AA205" s="167" t="str">
        <f>((_xlfn.CEILING.MATH(Z205)-1)*$C$5+$C$4)</f>
        <v>57</v>
      </c>
      <c r="AB205" s="168" t="str">
        <f>R205*$AB$6</f>
        <v>209.625</v>
      </c>
      <c r="AC205" s="168" t="str">
        <f>V205*$AB$7</f>
        <v>16.992</v>
      </c>
      <c r="AD205" s="164" t="str">
        <f>$AB$3*((100-AE205)/100)</f>
        <v>50.00</v>
      </c>
      <c r="AE205" s="164"/>
      <c r="AF205" s="164" t="str">
        <f>$C$6*$C$7*_xlfn.CEILING.MATH(Z205)</f>
        <v>0.00</v>
      </c>
      <c r="AG205" s="165" t="str">
        <f>R205*$C$2</f>
        <v>64.50</v>
      </c>
      <c r="AH205" s="23"/>
      <c r="AI205" s="278">
        <v>0.1</v>
      </c>
      <c r="AJ205" s="24" t="str">
        <f>R205-W205-X205-Y205-AA205-AB205-AC205-AD205-AF205-AG205-Q205</f>
        <v>20.34</v>
      </c>
      <c r="AK205" s="279" t="str">
        <f>AJ205/Q205</f>
        <v>15.54%</v>
      </c>
      <c r="AL205" s="280"/>
      <c r="AM205" s="281" t="str">
        <f t="shared" si="360"/>
        <v>0.00</v>
      </c>
      <c r="AN205" s="280"/>
      <c r="AO205" s="282">
        <v>54.11</v>
      </c>
      <c r="AP205" s="283">
        <v>-108.4</v>
      </c>
      <c r="AQ205" s="283" t="str">
        <f t="shared" si="361"/>
        <v>0.00</v>
      </c>
      <c r="AR205" s="283">
        <v>-78.15</v>
      </c>
      <c r="AS205" s="284">
        <v>400.0</v>
      </c>
      <c r="AT205" s="285" t="str">
        <f t="shared" si="235"/>
        <v>8,134.86</v>
      </c>
      <c r="AU205" s="284">
        <v>220.0</v>
      </c>
      <c r="AV205" s="286">
        <v>0.1455</v>
      </c>
      <c r="AW205" s="285">
        <v>8730.89</v>
      </c>
      <c r="AX205" s="284">
        <v>30.33</v>
      </c>
      <c r="AY205" s="26"/>
      <c r="AZ205" s="171" t="str">
        <f>$AG$3</f>
        <v>0.00%</v>
      </c>
      <c r="BA205" s="172" t="str">
        <f>Q205*AZ205</f>
        <v>0.00</v>
      </c>
      <c r="BB205" s="173" t="str">
        <f>(Q205+W205+Y205+AA205+AD205+AF205+AI205+BA205)/(100%-($C$2+$C$8+$AB$6+$AB$7))</f>
        <v>648.59</v>
      </c>
      <c r="BC205" s="174" t="str">
        <f>BB205-(BB205*$AG$1)</f>
        <v>460.50</v>
      </c>
    </row>
    <row r="206" ht="12.75" customHeight="1">
      <c r="A206" s="26"/>
      <c r="B206" s="125" t="s">
        <v>412</v>
      </c>
      <c r="C206" s="126"/>
      <c r="D206" s="127"/>
      <c r="E206" s="128"/>
      <c r="F206" s="128"/>
      <c r="G206" s="128"/>
      <c r="H206" s="197"/>
      <c r="I206" s="197"/>
      <c r="J206" s="128"/>
      <c r="K206" s="130"/>
      <c r="L206" s="131"/>
      <c r="M206" s="132"/>
      <c r="N206" s="176"/>
      <c r="O206" s="133"/>
      <c r="P206" s="133"/>
      <c r="Q206" s="176"/>
      <c r="R206" s="134"/>
      <c r="S206" s="135"/>
      <c r="T206" s="135"/>
      <c r="U206" s="136"/>
      <c r="V206" s="137"/>
      <c r="W206" s="177"/>
      <c r="X206" s="178"/>
      <c r="Y206" s="179"/>
      <c r="Z206" s="180"/>
      <c r="AA206" s="181"/>
      <c r="AB206" s="182"/>
      <c r="AC206" s="182"/>
      <c r="AD206" s="178"/>
      <c r="AE206" s="178"/>
      <c r="AF206" s="178"/>
      <c r="AG206" s="179"/>
      <c r="AH206" s="183"/>
      <c r="AI206" s="271"/>
      <c r="AJ206" s="287"/>
      <c r="AK206" s="288"/>
      <c r="AL206" s="280"/>
      <c r="AM206" s="281" t="str">
        <f t="shared" si="360"/>
        <v>0.00</v>
      </c>
      <c r="AN206" s="280"/>
      <c r="AO206" s="282"/>
      <c r="AP206" s="283"/>
      <c r="AQ206" s="283" t="str">
        <f t="shared" si="361"/>
        <v>0.00</v>
      </c>
      <c r="AR206" s="283"/>
      <c r="AS206" s="284"/>
      <c r="AT206" s="285" t="str">
        <f t="shared" si="235"/>
        <v>0.00</v>
      </c>
      <c r="AU206" s="284"/>
      <c r="AV206" s="286"/>
      <c r="AW206" s="285"/>
      <c r="AX206" s="284"/>
      <c r="AY206" s="26"/>
      <c r="AZ206" s="186"/>
      <c r="BA206" s="187"/>
      <c r="BB206" s="188"/>
      <c r="BC206" s="189"/>
    </row>
    <row r="207" ht="12.75" customHeight="1">
      <c r="A207" s="26"/>
      <c r="B207" s="190" t="s">
        <v>413</v>
      </c>
      <c r="C207" s="199">
        <v>2.07818642E8</v>
      </c>
      <c r="D207" s="152" t="s">
        <v>414</v>
      </c>
      <c r="E207" s="53" t="s">
        <v>77</v>
      </c>
      <c r="F207" s="154">
        <v>1.0</v>
      </c>
      <c r="G207" s="53"/>
      <c r="H207" s="53" t="str">
        <f t="shared" ref="H207:H216" si="527">$I$2</f>
        <v>0.00069</v>
      </c>
      <c r="I207" s="53" t="str">
        <f t="shared" ref="I207:I216" si="528">$I$3</f>
        <v>89</v>
      </c>
      <c r="J207" s="53" t="str">
        <f t="shared" ref="J207:J216" si="529">G207*H207*I207*F207</f>
        <v>0</v>
      </c>
      <c r="K207" s="155" t="str">
        <f t="shared" ref="K207:K216" si="530">J207*$J$4</f>
        <v>0.00</v>
      </c>
      <c r="L207" s="156" t="str">
        <f t="shared" ref="L207:L216" si="531">K207+J207</f>
        <v>0.00 </v>
      </c>
      <c r="M207" s="132">
        <v>90.0</v>
      </c>
      <c r="N207" s="157">
        <v>108.15</v>
      </c>
      <c r="O207" s="277">
        <v>117.88</v>
      </c>
      <c r="P207" s="277">
        <v>114.64</v>
      </c>
      <c r="Q207" s="157">
        <v>108.15</v>
      </c>
      <c r="R207" s="158">
        <v>601.0</v>
      </c>
      <c r="S207" s="159" t="str">
        <f t="shared" ref="S207:S209" si="532">R207</f>
        <v>601.00</v>
      </c>
      <c r="T207" s="160">
        <v>540.0</v>
      </c>
      <c r="U207" s="161">
        <v>0.26</v>
      </c>
      <c r="V207" s="162" t="str">
        <f t="shared" ref="V207:V216" si="533">R207-(R207*U207)</f>
        <v>444.74</v>
      </c>
      <c r="W207" s="163" t="str">
        <f t="shared" ref="W207:W216" si="534">$C$1</f>
        <v>60.00</v>
      </c>
      <c r="X207" s="164" t="str">
        <f t="shared" ref="X207:X216" si="535">(V207*7/107)+((V207-(V207*7/107))*1%)</f>
        <v>33.25</v>
      </c>
      <c r="Y207" s="165" t="str">
        <f t="shared" ref="Y207:Y216" si="536">Q207*$C$3*(M207/30)</f>
        <v>0.00</v>
      </c>
      <c r="Z207" s="166">
        <v>0.27</v>
      </c>
      <c r="AA207" s="167" t="str">
        <f t="shared" ref="AA207:AA216" si="537">((_xlfn.CEILING.MATH(Z207)-1)*$C$5+$C$4)</f>
        <v>76</v>
      </c>
      <c r="AB207" s="168" t="str">
        <f t="shared" ref="AB207:AB216" si="538">R207*$AB$6</f>
        <v>195.325</v>
      </c>
      <c r="AC207" s="168" t="str">
        <f t="shared" ref="AC207:AC216" si="539">V207*$AB$7</f>
        <v>15.833</v>
      </c>
      <c r="AD207" s="164" t="str">
        <f t="shared" ref="AD207:AD216" si="540">$AB$3*((100-AE207)/100)</f>
        <v>0.00</v>
      </c>
      <c r="AE207" s="164">
        <v>100.0</v>
      </c>
      <c r="AF207" s="164" t="str">
        <f t="shared" ref="AF207:AF216" si="541">$C$6*$C$7*_xlfn.CEILING.MATH(Z207)</f>
        <v>4.80</v>
      </c>
      <c r="AG207" s="165" t="str">
        <f t="shared" ref="AG207:AG216" si="542">R207*$C$2</f>
        <v>60.10</v>
      </c>
      <c r="AH207" s="23"/>
      <c r="AI207" s="278">
        <v>0.1</v>
      </c>
      <c r="AJ207" s="24" t="str">
        <f t="shared" ref="AJ207:AJ216" si="543">R207-W207-X207-Y207-AA207-AB207-AC207-AD207-AF207-AG207-Q207</f>
        <v>47.54</v>
      </c>
      <c r="AK207" s="279" t="str">
        <f t="shared" ref="AK207:AK216" si="544">AJ207/Q207</f>
        <v>43.96%</v>
      </c>
      <c r="AL207" s="280"/>
      <c r="AM207" s="281" t="str">
        <f t="shared" si="360"/>
        <v>0.00</v>
      </c>
      <c r="AN207" s="280"/>
      <c r="AO207" s="282">
        <v>11.24</v>
      </c>
      <c r="AP207" s="283">
        <v>72.59</v>
      </c>
      <c r="AQ207" s="283" t="str">
        <f t="shared" si="361"/>
        <v>0.00</v>
      </c>
      <c r="AR207" s="283">
        <v>66.08</v>
      </c>
      <c r="AS207" s="284">
        <v>13.0</v>
      </c>
      <c r="AT207" s="285" t="str">
        <f t="shared" si="235"/>
        <v>618.03</v>
      </c>
      <c r="AU207" s="294">
        <v>13.0</v>
      </c>
      <c r="AV207" s="295">
        <v>0.0</v>
      </c>
      <c r="AW207" s="285">
        <v>1365.29</v>
      </c>
      <c r="AX207" s="284">
        <v>97.11</v>
      </c>
      <c r="AY207" s="26"/>
      <c r="AZ207" s="171" t="str">
        <f t="shared" ref="AZ207:AZ216" si="545">$AG$3</f>
        <v>0.00%</v>
      </c>
      <c r="BA207" s="172" t="str">
        <f t="shared" ref="BA207:BA216" si="546">Q207*AZ207</f>
        <v>0.00</v>
      </c>
      <c r="BB207" s="173" t="str">
        <f t="shared" ref="BB207:BB216" si="547">(Q207+W207+Y207+AA207+AD207+AF207+AI207+BA207)/(100%-($C$2+$C$8+$AB$6+$AB$7))</f>
        <v>542.12</v>
      </c>
      <c r="BC207" s="174" t="str">
        <f t="shared" ref="BC207:BC216" si="548">BB207-(BB207*$AG$1)</f>
        <v>384.91</v>
      </c>
    </row>
    <row r="208" ht="12.75" customHeight="1">
      <c r="A208" s="26"/>
      <c r="B208" s="190" t="s">
        <v>415</v>
      </c>
      <c r="C208" s="199">
        <v>2.10575566E8</v>
      </c>
      <c r="D208" s="152" t="s">
        <v>416</v>
      </c>
      <c r="E208" s="53" t="s">
        <v>77</v>
      </c>
      <c r="F208" s="154">
        <v>1.0</v>
      </c>
      <c r="G208" s="53"/>
      <c r="H208" s="53" t="str">
        <f t="shared" si="527"/>
        <v>0.00069</v>
      </c>
      <c r="I208" s="53" t="str">
        <f t="shared" si="528"/>
        <v>89</v>
      </c>
      <c r="J208" s="53" t="str">
        <f t="shared" si="529"/>
        <v>0</v>
      </c>
      <c r="K208" s="155" t="str">
        <f t="shared" si="530"/>
        <v>0.00</v>
      </c>
      <c r="L208" s="156" t="str">
        <f t="shared" si="531"/>
        <v>0.00 </v>
      </c>
      <c r="M208" s="132">
        <v>90.0</v>
      </c>
      <c r="N208" s="157">
        <v>108.15</v>
      </c>
      <c r="O208" s="277">
        <v>117.88</v>
      </c>
      <c r="P208" s="277">
        <v>114.64</v>
      </c>
      <c r="Q208" s="157">
        <v>108.15</v>
      </c>
      <c r="R208" s="158">
        <v>675.0</v>
      </c>
      <c r="S208" s="159" t="str">
        <f t="shared" si="532"/>
        <v>675.00</v>
      </c>
      <c r="T208" s="160">
        <v>680.0</v>
      </c>
      <c r="U208" s="161">
        <v>0.26</v>
      </c>
      <c r="V208" s="162" t="str">
        <f t="shared" si="533"/>
        <v>499.50</v>
      </c>
      <c r="W208" s="163" t="str">
        <f t="shared" si="534"/>
        <v>60.00</v>
      </c>
      <c r="X208" s="164" t="str">
        <f t="shared" si="535"/>
        <v>37.35</v>
      </c>
      <c r="Y208" s="165" t="str">
        <f t="shared" si="536"/>
        <v>0.00</v>
      </c>
      <c r="Z208" s="166">
        <v>0.27</v>
      </c>
      <c r="AA208" s="167" t="str">
        <f t="shared" si="537"/>
        <v>76</v>
      </c>
      <c r="AB208" s="168" t="str">
        <f t="shared" si="538"/>
        <v>219.375</v>
      </c>
      <c r="AC208" s="168" t="str">
        <f t="shared" si="539"/>
        <v>17.782</v>
      </c>
      <c r="AD208" s="164" t="str">
        <f t="shared" si="540"/>
        <v>0.58</v>
      </c>
      <c r="AE208" s="164">
        <v>98.85</v>
      </c>
      <c r="AF208" s="164" t="str">
        <f t="shared" si="541"/>
        <v>4.80</v>
      </c>
      <c r="AG208" s="165" t="str">
        <f t="shared" si="542"/>
        <v>67.50</v>
      </c>
      <c r="AH208" s="23"/>
      <c r="AI208" s="278">
        <v>0.1</v>
      </c>
      <c r="AJ208" s="24" t="str">
        <f t="shared" si="543"/>
        <v>83.47</v>
      </c>
      <c r="AK208" s="279" t="str">
        <f t="shared" si="544"/>
        <v>77.18%</v>
      </c>
      <c r="AL208" s="280"/>
      <c r="AM208" s="281" t="str">
        <f t="shared" si="360"/>
        <v>0.00</v>
      </c>
      <c r="AN208" s="280"/>
      <c r="AO208" s="282">
        <v>32.84</v>
      </c>
      <c r="AP208" s="283">
        <v>52.47</v>
      </c>
      <c r="AQ208" s="283" t="str">
        <f t="shared" si="361"/>
        <v>0.00</v>
      </c>
      <c r="AR208" s="283">
        <v>47.94</v>
      </c>
      <c r="AS208" s="284">
        <v>20.0</v>
      </c>
      <c r="AT208" s="285" t="str">
        <f t="shared" si="235"/>
        <v>1,669.44</v>
      </c>
      <c r="AU208" s="294">
        <v>20.0</v>
      </c>
      <c r="AV208" s="295">
        <v>0.1257</v>
      </c>
      <c r="AW208" s="285">
        <v>2041.17</v>
      </c>
      <c r="AX208" s="284">
        <v>94.37</v>
      </c>
      <c r="AY208" s="26"/>
      <c r="AZ208" s="171" t="str">
        <f t="shared" si="545"/>
        <v>0.00%</v>
      </c>
      <c r="BA208" s="172" t="str">
        <f t="shared" si="546"/>
        <v>0.00</v>
      </c>
      <c r="BB208" s="173" t="str">
        <f t="shared" si="547"/>
        <v>543.37</v>
      </c>
      <c r="BC208" s="174" t="str">
        <f t="shared" si="548"/>
        <v>385.79</v>
      </c>
    </row>
    <row r="209" ht="12.75" customHeight="1">
      <c r="A209" s="26"/>
      <c r="B209" s="190" t="s">
        <v>417</v>
      </c>
      <c r="C209" s="199">
        <v>2.10579932E8</v>
      </c>
      <c r="D209" s="152" t="s">
        <v>418</v>
      </c>
      <c r="E209" s="53" t="s">
        <v>77</v>
      </c>
      <c r="F209" s="154">
        <v>1.0</v>
      </c>
      <c r="G209" s="53"/>
      <c r="H209" s="53" t="str">
        <f t="shared" si="527"/>
        <v>0.00069</v>
      </c>
      <c r="I209" s="53" t="str">
        <f t="shared" si="528"/>
        <v>89</v>
      </c>
      <c r="J209" s="53" t="str">
        <f t="shared" si="529"/>
        <v>0</v>
      </c>
      <c r="K209" s="155" t="str">
        <f t="shared" si="530"/>
        <v>0.00</v>
      </c>
      <c r="L209" s="156" t="str">
        <f t="shared" si="531"/>
        <v>0.00 </v>
      </c>
      <c r="M209" s="132">
        <v>90.0</v>
      </c>
      <c r="N209" s="157">
        <v>108.15</v>
      </c>
      <c r="O209" s="277">
        <v>117.88</v>
      </c>
      <c r="P209" s="277">
        <v>114.64</v>
      </c>
      <c r="Q209" s="157">
        <v>108.15</v>
      </c>
      <c r="R209" s="158">
        <v>601.0</v>
      </c>
      <c r="S209" s="159" t="str">
        <f t="shared" si="532"/>
        <v>601.00</v>
      </c>
      <c r="T209" s="160">
        <v>606.0</v>
      </c>
      <c r="U209" s="161">
        <v>0.26</v>
      </c>
      <c r="V209" s="162" t="str">
        <f t="shared" si="533"/>
        <v>444.74</v>
      </c>
      <c r="W209" s="163" t="str">
        <f t="shared" si="534"/>
        <v>60.00</v>
      </c>
      <c r="X209" s="164" t="str">
        <f t="shared" si="535"/>
        <v>33.25</v>
      </c>
      <c r="Y209" s="165" t="str">
        <f t="shared" si="536"/>
        <v>0.00</v>
      </c>
      <c r="Z209" s="166">
        <v>0.27</v>
      </c>
      <c r="AA209" s="167" t="str">
        <f t="shared" si="537"/>
        <v>76</v>
      </c>
      <c r="AB209" s="168" t="str">
        <f t="shared" si="538"/>
        <v>195.325</v>
      </c>
      <c r="AC209" s="168" t="str">
        <f t="shared" si="539"/>
        <v>15.833</v>
      </c>
      <c r="AD209" s="164" t="str">
        <f t="shared" si="540"/>
        <v>1.14</v>
      </c>
      <c r="AE209" s="164">
        <v>97.73</v>
      </c>
      <c r="AF209" s="164" t="str">
        <f t="shared" si="541"/>
        <v>4.80</v>
      </c>
      <c r="AG209" s="165" t="str">
        <f t="shared" si="542"/>
        <v>60.10</v>
      </c>
      <c r="AH209" s="23"/>
      <c r="AI209" s="278">
        <v>0.1</v>
      </c>
      <c r="AJ209" s="24" t="str">
        <f t="shared" si="543"/>
        <v>46.41</v>
      </c>
      <c r="AK209" s="279" t="str">
        <f t="shared" si="544"/>
        <v>42.91%</v>
      </c>
      <c r="AL209" s="280"/>
      <c r="AM209" s="281" t="str">
        <f t="shared" si="360"/>
        <v>0.00</v>
      </c>
      <c r="AN209" s="280"/>
      <c r="AO209" s="282">
        <v>11.19</v>
      </c>
      <c r="AP209" s="283">
        <v>88.8</v>
      </c>
      <c r="AQ209" s="283" t="str">
        <f t="shared" si="361"/>
        <v>0.00</v>
      </c>
      <c r="AR209" s="283">
        <v>81.0</v>
      </c>
      <c r="AS209" s="284">
        <v>16.0</v>
      </c>
      <c r="AT209" s="285" t="str">
        <f t="shared" si="235"/>
        <v>742.49</v>
      </c>
      <c r="AU209" s="294">
        <v>16.0</v>
      </c>
      <c r="AV209" s="295">
        <v>0.0</v>
      </c>
      <c r="AW209" s="285">
        <v>1628.21</v>
      </c>
      <c r="AX209" s="284">
        <v>94.09</v>
      </c>
      <c r="AY209" s="26"/>
      <c r="AZ209" s="171" t="str">
        <f t="shared" si="545"/>
        <v>0.00%</v>
      </c>
      <c r="BA209" s="172" t="str">
        <f t="shared" si="546"/>
        <v>0.00</v>
      </c>
      <c r="BB209" s="173" t="str">
        <f t="shared" si="547"/>
        <v>544.59</v>
      </c>
      <c r="BC209" s="174" t="str">
        <f t="shared" si="548"/>
        <v>386.66</v>
      </c>
    </row>
    <row r="210" ht="12.75" hidden="1" customHeight="1">
      <c r="A210" s="26"/>
      <c r="B210" s="190" t="s">
        <v>419</v>
      </c>
      <c r="C210" s="192">
        <v>2.10573611E8</v>
      </c>
      <c r="D210" s="152" t="s">
        <v>420</v>
      </c>
      <c r="E210" s="53" t="s">
        <v>77</v>
      </c>
      <c r="F210" s="154">
        <v>1.0</v>
      </c>
      <c r="G210" s="53"/>
      <c r="H210" s="53" t="str">
        <f t="shared" si="527"/>
        <v>0.00069</v>
      </c>
      <c r="I210" s="53" t="str">
        <f t="shared" si="528"/>
        <v>89</v>
      </c>
      <c r="J210" s="53" t="str">
        <f t="shared" si="529"/>
        <v>0</v>
      </c>
      <c r="K210" s="155" t="str">
        <f t="shared" si="530"/>
        <v>0.00</v>
      </c>
      <c r="L210" s="156" t="str">
        <f t="shared" si="531"/>
        <v>0.00 </v>
      </c>
      <c r="M210" s="132">
        <v>90.0</v>
      </c>
      <c r="N210" s="157">
        <v>0.0</v>
      </c>
      <c r="O210" s="277">
        <v>0.0</v>
      </c>
      <c r="P210" s="277" t="str">
        <f t="shared" ref="P210:P216" si="549">K210/E210</f>
        <v>#VALUE!</v>
      </c>
      <c r="Q210" s="157">
        <v>0.0</v>
      </c>
      <c r="R210" s="158">
        <v>460.8</v>
      </c>
      <c r="S210" s="159" t="str">
        <f t="shared" ref="S210:S216" si="550">BB210</f>
        <v>313.10</v>
      </c>
      <c r="T210" s="160"/>
      <c r="U210" s="161">
        <v>0.26</v>
      </c>
      <c r="V210" s="162" t="str">
        <f t="shared" si="533"/>
        <v>340.99</v>
      </c>
      <c r="W210" s="163" t="str">
        <f t="shared" si="534"/>
        <v>60.00</v>
      </c>
      <c r="X210" s="164" t="str">
        <f t="shared" si="535"/>
        <v>25.49</v>
      </c>
      <c r="Y210" s="165" t="str">
        <f t="shared" si="536"/>
        <v>0.00</v>
      </c>
      <c r="Z210" s="166">
        <v>0.27</v>
      </c>
      <c r="AA210" s="167" t="str">
        <f t="shared" si="537"/>
        <v>76</v>
      </c>
      <c r="AB210" s="168" t="str">
        <f t="shared" si="538"/>
        <v>149.760</v>
      </c>
      <c r="AC210" s="168" t="str">
        <f t="shared" si="539"/>
        <v>12.139</v>
      </c>
      <c r="AD210" s="164" t="str">
        <f t="shared" si="540"/>
        <v>2.94</v>
      </c>
      <c r="AE210" s="164">
        <v>94.12</v>
      </c>
      <c r="AF210" s="164" t="str">
        <f t="shared" si="541"/>
        <v>4.80</v>
      </c>
      <c r="AG210" s="165" t="str">
        <f t="shared" si="542"/>
        <v>46.08</v>
      </c>
      <c r="AH210" s="23"/>
      <c r="AI210" s="278">
        <v>0.1</v>
      </c>
      <c r="AJ210" s="24" t="str">
        <f t="shared" si="543"/>
        <v>83.59</v>
      </c>
      <c r="AK210" s="279" t="str">
        <f t="shared" si="544"/>
        <v>#DIV/0!</v>
      </c>
      <c r="AL210" s="280"/>
      <c r="AM210" s="281" t="str">
        <f t="shared" si="360"/>
        <v>0.00</v>
      </c>
      <c r="AN210" s="280"/>
      <c r="AO210" s="282"/>
      <c r="AP210" s="283"/>
      <c r="AQ210" s="283" t="str">
        <f t="shared" si="361"/>
        <v>0.00</v>
      </c>
      <c r="AR210" s="283"/>
      <c r="AS210" s="284"/>
      <c r="AT210" s="285" t="str">
        <f t="shared" si="235"/>
        <v>0.00</v>
      </c>
      <c r="AU210" s="284"/>
      <c r="AV210" s="286"/>
      <c r="AW210" s="285"/>
      <c r="AX210" s="284"/>
      <c r="AY210" s="26"/>
      <c r="AZ210" s="171" t="str">
        <f t="shared" si="545"/>
        <v>0.00%</v>
      </c>
      <c r="BA210" s="172" t="str">
        <f t="shared" si="546"/>
        <v>0.00</v>
      </c>
      <c r="BB210" s="173" t="str">
        <f t="shared" si="547"/>
        <v>313.10</v>
      </c>
      <c r="BC210" s="174" t="str">
        <f t="shared" si="548"/>
        <v>222.30</v>
      </c>
    </row>
    <row r="211" ht="12.75" hidden="1" customHeight="1">
      <c r="A211" s="26"/>
      <c r="B211" s="190" t="s">
        <v>421</v>
      </c>
      <c r="C211" s="191">
        <v>2.0781902E8</v>
      </c>
      <c r="D211" s="152" t="s">
        <v>422</v>
      </c>
      <c r="E211" s="53" t="s">
        <v>77</v>
      </c>
      <c r="F211" s="154">
        <v>1.0</v>
      </c>
      <c r="G211" s="53"/>
      <c r="H211" s="53" t="str">
        <f t="shared" si="527"/>
        <v>0.00069</v>
      </c>
      <c r="I211" s="53" t="str">
        <f t="shared" si="528"/>
        <v>89</v>
      </c>
      <c r="J211" s="53" t="str">
        <f t="shared" si="529"/>
        <v>0</v>
      </c>
      <c r="K211" s="155" t="str">
        <f t="shared" si="530"/>
        <v>0.00</v>
      </c>
      <c r="L211" s="156" t="str">
        <f t="shared" si="531"/>
        <v>0.00 </v>
      </c>
      <c r="M211" s="132">
        <v>90.0</v>
      </c>
      <c r="N211" s="157">
        <v>0.0</v>
      </c>
      <c r="O211" s="277">
        <v>0.0</v>
      </c>
      <c r="P211" s="277" t="str">
        <f t="shared" si="549"/>
        <v>#VALUE!</v>
      </c>
      <c r="Q211" s="157">
        <v>0.0</v>
      </c>
      <c r="R211" s="158">
        <v>413.4</v>
      </c>
      <c r="S211" s="159" t="str">
        <f t="shared" si="550"/>
        <v>308.04</v>
      </c>
      <c r="T211" s="160"/>
      <c r="U211" s="161">
        <v>0.26</v>
      </c>
      <c r="V211" s="162" t="str">
        <f t="shared" si="533"/>
        <v>305.92</v>
      </c>
      <c r="W211" s="163" t="str">
        <f t="shared" si="534"/>
        <v>60.00</v>
      </c>
      <c r="X211" s="164" t="str">
        <f t="shared" si="535"/>
        <v>22.87</v>
      </c>
      <c r="Y211" s="165" t="str">
        <f t="shared" si="536"/>
        <v>0.00</v>
      </c>
      <c r="Z211" s="166">
        <v>0.32</v>
      </c>
      <c r="AA211" s="167" t="str">
        <f t="shared" si="537"/>
        <v>76</v>
      </c>
      <c r="AB211" s="168" t="str">
        <f t="shared" si="538"/>
        <v>134.355</v>
      </c>
      <c r="AC211" s="168" t="str">
        <f t="shared" si="539"/>
        <v>10.891</v>
      </c>
      <c r="AD211" s="164" t="str">
        <f t="shared" si="540"/>
        <v>0.62</v>
      </c>
      <c r="AE211" s="164">
        <v>98.77</v>
      </c>
      <c r="AF211" s="164" t="str">
        <f t="shared" si="541"/>
        <v>4.80</v>
      </c>
      <c r="AG211" s="165" t="str">
        <f t="shared" si="542"/>
        <v>41.34</v>
      </c>
      <c r="AH211" s="23"/>
      <c r="AI211" s="278">
        <v>0.1</v>
      </c>
      <c r="AJ211" s="24" t="str">
        <f t="shared" si="543"/>
        <v>62.53</v>
      </c>
      <c r="AK211" s="279" t="str">
        <f t="shared" si="544"/>
        <v>#DIV/0!</v>
      </c>
      <c r="AL211" s="280"/>
      <c r="AM211" s="281" t="str">
        <f t="shared" si="360"/>
        <v>0.00</v>
      </c>
      <c r="AN211" s="280"/>
      <c r="AO211" s="282"/>
      <c r="AP211" s="283"/>
      <c r="AQ211" s="283" t="str">
        <f t="shared" si="361"/>
        <v>0.00</v>
      </c>
      <c r="AR211" s="283"/>
      <c r="AS211" s="284"/>
      <c r="AT211" s="285" t="str">
        <f t="shared" si="235"/>
        <v>0.00</v>
      </c>
      <c r="AU211" s="284"/>
      <c r="AV211" s="286"/>
      <c r="AW211" s="285"/>
      <c r="AX211" s="284"/>
      <c r="AY211" s="26"/>
      <c r="AZ211" s="171" t="str">
        <f t="shared" si="545"/>
        <v>0.00%</v>
      </c>
      <c r="BA211" s="172" t="str">
        <f t="shared" si="546"/>
        <v>0.00</v>
      </c>
      <c r="BB211" s="173" t="str">
        <f t="shared" si="547"/>
        <v>308.04</v>
      </c>
      <c r="BC211" s="174" t="str">
        <f t="shared" si="548"/>
        <v>218.71</v>
      </c>
    </row>
    <row r="212" ht="12.75" hidden="1" customHeight="1">
      <c r="A212" s="26"/>
      <c r="B212" s="190" t="s">
        <v>423</v>
      </c>
      <c r="C212" s="192">
        <v>2.07818475E8</v>
      </c>
      <c r="D212" s="152" t="s">
        <v>424</v>
      </c>
      <c r="E212" s="53" t="s">
        <v>77</v>
      </c>
      <c r="F212" s="154">
        <v>1.0</v>
      </c>
      <c r="G212" s="53"/>
      <c r="H212" s="53" t="str">
        <f t="shared" si="527"/>
        <v>0.00069</v>
      </c>
      <c r="I212" s="53" t="str">
        <f t="shared" si="528"/>
        <v>89</v>
      </c>
      <c r="J212" s="53" t="str">
        <f t="shared" si="529"/>
        <v>0</v>
      </c>
      <c r="K212" s="155" t="str">
        <f t="shared" si="530"/>
        <v>0.00</v>
      </c>
      <c r="L212" s="156" t="str">
        <f t="shared" si="531"/>
        <v>0.00 </v>
      </c>
      <c r="M212" s="132">
        <v>90.0</v>
      </c>
      <c r="N212" s="157">
        <v>0.0</v>
      </c>
      <c r="O212" s="277">
        <v>0.0</v>
      </c>
      <c r="P212" s="277" t="str">
        <f t="shared" si="549"/>
        <v>#VALUE!</v>
      </c>
      <c r="Q212" s="157">
        <v>0.0</v>
      </c>
      <c r="R212" s="158">
        <v>413.4</v>
      </c>
      <c r="S212" s="159" t="str">
        <f t="shared" si="550"/>
        <v>311.28</v>
      </c>
      <c r="T212" s="160"/>
      <c r="U212" s="161">
        <v>0.26</v>
      </c>
      <c r="V212" s="162" t="str">
        <f t="shared" si="533"/>
        <v>305.92</v>
      </c>
      <c r="W212" s="163" t="str">
        <f t="shared" si="534"/>
        <v>60.00</v>
      </c>
      <c r="X212" s="164" t="str">
        <f t="shared" si="535"/>
        <v>22.87</v>
      </c>
      <c r="Y212" s="165" t="str">
        <f t="shared" si="536"/>
        <v>0.00</v>
      </c>
      <c r="Z212" s="166">
        <v>0.32</v>
      </c>
      <c r="AA212" s="167" t="str">
        <f t="shared" si="537"/>
        <v>76</v>
      </c>
      <c r="AB212" s="168" t="str">
        <f t="shared" si="538"/>
        <v>134.355</v>
      </c>
      <c r="AC212" s="168" t="str">
        <f t="shared" si="539"/>
        <v>10.891</v>
      </c>
      <c r="AD212" s="164" t="str">
        <f t="shared" si="540"/>
        <v>2.10</v>
      </c>
      <c r="AE212" s="164">
        <v>95.8</v>
      </c>
      <c r="AF212" s="164" t="str">
        <f t="shared" si="541"/>
        <v>4.80</v>
      </c>
      <c r="AG212" s="165" t="str">
        <f t="shared" si="542"/>
        <v>41.34</v>
      </c>
      <c r="AH212" s="23"/>
      <c r="AI212" s="278">
        <v>0.1</v>
      </c>
      <c r="AJ212" s="24" t="str">
        <f t="shared" si="543"/>
        <v>61.04</v>
      </c>
      <c r="AK212" s="279" t="str">
        <f t="shared" si="544"/>
        <v>#DIV/0!</v>
      </c>
      <c r="AL212" s="280"/>
      <c r="AM212" s="281" t="str">
        <f t="shared" si="360"/>
        <v>0.00</v>
      </c>
      <c r="AN212" s="280"/>
      <c r="AO212" s="282"/>
      <c r="AP212" s="283"/>
      <c r="AQ212" s="283" t="str">
        <f t="shared" si="361"/>
        <v>0.00</v>
      </c>
      <c r="AR212" s="283"/>
      <c r="AS212" s="284"/>
      <c r="AT212" s="285" t="str">
        <f t="shared" si="235"/>
        <v>0.00</v>
      </c>
      <c r="AU212" s="284"/>
      <c r="AV212" s="286"/>
      <c r="AW212" s="285"/>
      <c r="AX212" s="284"/>
      <c r="AY212" s="26"/>
      <c r="AZ212" s="171" t="str">
        <f t="shared" si="545"/>
        <v>0.00%</v>
      </c>
      <c r="BA212" s="172" t="str">
        <f t="shared" si="546"/>
        <v>0.00</v>
      </c>
      <c r="BB212" s="173" t="str">
        <f t="shared" si="547"/>
        <v>311.28</v>
      </c>
      <c r="BC212" s="174" t="str">
        <f t="shared" si="548"/>
        <v>221.01</v>
      </c>
    </row>
    <row r="213" ht="12.75" hidden="1" customHeight="1">
      <c r="A213" s="26"/>
      <c r="B213" s="190" t="s">
        <v>425</v>
      </c>
      <c r="C213" s="192">
        <v>2.07819733E8</v>
      </c>
      <c r="D213" s="152" t="s">
        <v>426</v>
      </c>
      <c r="E213" s="53" t="s">
        <v>77</v>
      </c>
      <c r="F213" s="154">
        <v>1.0</v>
      </c>
      <c r="G213" s="53"/>
      <c r="H213" s="53" t="str">
        <f t="shared" si="527"/>
        <v>0.00069</v>
      </c>
      <c r="I213" s="53" t="str">
        <f t="shared" si="528"/>
        <v>89</v>
      </c>
      <c r="J213" s="53" t="str">
        <f t="shared" si="529"/>
        <v>0</v>
      </c>
      <c r="K213" s="155" t="str">
        <f t="shared" si="530"/>
        <v>0.00</v>
      </c>
      <c r="L213" s="156" t="str">
        <f t="shared" si="531"/>
        <v>0.00 </v>
      </c>
      <c r="M213" s="132">
        <v>90.0</v>
      </c>
      <c r="N213" s="157">
        <v>0.0</v>
      </c>
      <c r="O213" s="277">
        <v>0.0</v>
      </c>
      <c r="P213" s="277" t="str">
        <f t="shared" si="549"/>
        <v>#VALUE!</v>
      </c>
      <c r="Q213" s="157">
        <v>0.0</v>
      </c>
      <c r="R213" s="158">
        <v>413.4</v>
      </c>
      <c r="S213" s="159" t="str">
        <f t="shared" si="550"/>
        <v>311.32</v>
      </c>
      <c r="T213" s="160"/>
      <c r="U213" s="161">
        <v>0.26</v>
      </c>
      <c r="V213" s="162" t="str">
        <f t="shared" si="533"/>
        <v>305.92</v>
      </c>
      <c r="W213" s="163" t="str">
        <f t="shared" si="534"/>
        <v>60.00</v>
      </c>
      <c r="X213" s="164" t="str">
        <f t="shared" si="535"/>
        <v>22.87</v>
      </c>
      <c r="Y213" s="165" t="str">
        <f t="shared" si="536"/>
        <v>0.00</v>
      </c>
      <c r="Z213" s="166">
        <v>0.32</v>
      </c>
      <c r="AA213" s="167" t="str">
        <f t="shared" si="537"/>
        <v>76</v>
      </c>
      <c r="AB213" s="168" t="str">
        <f t="shared" si="538"/>
        <v>134.355</v>
      </c>
      <c r="AC213" s="168" t="str">
        <f t="shared" si="539"/>
        <v>10.891</v>
      </c>
      <c r="AD213" s="164" t="str">
        <f t="shared" si="540"/>
        <v>2.12</v>
      </c>
      <c r="AE213" s="164">
        <v>95.76</v>
      </c>
      <c r="AF213" s="164" t="str">
        <f t="shared" si="541"/>
        <v>4.80</v>
      </c>
      <c r="AG213" s="165" t="str">
        <f t="shared" si="542"/>
        <v>41.34</v>
      </c>
      <c r="AH213" s="23"/>
      <c r="AI213" s="278">
        <v>0.1</v>
      </c>
      <c r="AJ213" s="24" t="str">
        <f t="shared" si="543"/>
        <v>61.02</v>
      </c>
      <c r="AK213" s="279" t="str">
        <f t="shared" si="544"/>
        <v>#DIV/0!</v>
      </c>
      <c r="AL213" s="280"/>
      <c r="AM213" s="281" t="str">
        <f t="shared" si="360"/>
        <v>0.00</v>
      </c>
      <c r="AN213" s="280"/>
      <c r="AO213" s="282"/>
      <c r="AP213" s="283"/>
      <c r="AQ213" s="283" t="str">
        <f t="shared" si="361"/>
        <v>0.00</v>
      </c>
      <c r="AR213" s="283"/>
      <c r="AS213" s="284"/>
      <c r="AT213" s="285" t="str">
        <f t="shared" si="235"/>
        <v>0.00</v>
      </c>
      <c r="AU213" s="284"/>
      <c r="AV213" s="286"/>
      <c r="AW213" s="285"/>
      <c r="AX213" s="284"/>
      <c r="AY213" s="26"/>
      <c r="AZ213" s="171" t="str">
        <f t="shared" si="545"/>
        <v>0.00%</v>
      </c>
      <c r="BA213" s="172" t="str">
        <f t="shared" si="546"/>
        <v>0.00</v>
      </c>
      <c r="BB213" s="173" t="str">
        <f t="shared" si="547"/>
        <v>311.32</v>
      </c>
      <c r="BC213" s="174" t="str">
        <f t="shared" si="548"/>
        <v>221.04</v>
      </c>
    </row>
    <row r="214" ht="12.75" hidden="1" customHeight="1">
      <c r="A214" s="26"/>
      <c r="B214" s="190" t="s">
        <v>427</v>
      </c>
      <c r="C214" s="214">
        <v>1.65008074E8</v>
      </c>
      <c r="D214" s="152" t="s">
        <v>428</v>
      </c>
      <c r="E214" s="53" t="s">
        <v>77</v>
      </c>
      <c r="F214" s="154">
        <v>1.0</v>
      </c>
      <c r="G214" s="53"/>
      <c r="H214" s="53" t="str">
        <f t="shared" si="527"/>
        <v>0.00069</v>
      </c>
      <c r="I214" s="53" t="str">
        <f t="shared" si="528"/>
        <v>89</v>
      </c>
      <c r="J214" s="53" t="str">
        <f t="shared" si="529"/>
        <v>0</v>
      </c>
      <c r="K214" s="155" t="str">
        <f t="shared" si="530"/>
        <v>0.00</v>
      </c>
      <c r="L214" s="156" t="str">
        <f t="shared" si="531"/>
        <v>0.00 </v>
      </c>
      <c r="M214" s="132">
        <v>90.0</v>
      </c>
      <c r="N214" s="157">
        <v>0.0</v>
      </c>
      <c r="O214" s="277">
        <v>0.0</v>
      </c>
      <c r="P214" s="277" t="str">
        <f t="shared" si="549"/>
        <v>#VALUE!</v>
      </c>
      <c r="Q214" s="157">
        <v>0.0</v>
      </c>
      <c r="R214" s="158">
        <v>462.6</v>
      </c>
      <c r="S214" s="159" t="str">
        <f t="shared" si="550"/>
        <v>317.59</v>
      </c>
      <c r="T214" s="160"/>
      <c r="U214" s="161">
        <v>0.26</v>
      </c>
      <c r="V214" s="162" t="str">
        <f t="shared" si="533"/>
        <v>342.32</v>
      </c>
      <c r="W214" s="163" t="str">
        <f t="shared" si="534"/>
        <v>60.00</v>
      </c>
      <c r="X214" s="164" t="str">
        <f t="shared" si="535"/>
        <v>25.59</v>
      </c>
      <c r="Y214" s="165" t="str">
        <f t="shared" si="536"/>
        <v>0.00</v>
      </c>
      <c r="Z214" s="166">
        <v>0.16</v>
      </c>
      <c r="AA214" s="167" t="str">
        <f t="shared" si="537"/>
        <v>76</v>
      </c>
      <c r="AB214" s="168" t="str">
        <f t="shared" si="538"/>
        <v>150.345</v>
      </c>
      <c r="AC214" s="168" t="str">
        <f t="shared" si="539"/>
        <v>12.187</v>
      </c>
      <c r="AD214" s="164" t="str">
        <f t="shared" si="540"/>
        <v>5.00</v>
      </c>
      <c r="AE214" s="164">
        <v>90.0</v>
      </c>
      <c r="AF214" s="164" t="str">
        <f t="shared" si="541"/>
        <v>4.80</v>
      </c>
      <c r="AG214" s="165" t="str">
        <f t="shared" si="542"/>
        <v>46.26</v>
      </c>
      <c r="AH214" s="23"/>
      <c r="AI214" s="278">
        <v>0.1</v>
      </c>
      <c r="AJ214" s="24" t="str">
        <f t="shared" si="543"/>
        <v>82.41</v>
      </c>
      <c r="AK214" s="279" t="str">
        <f t="shared" si="544"/>
        <v>#DIV/0!</v>
      </c>
      <c r="AL214" s="280"/>
      <c r="AM214" s="281" t="str">
        <f t="shared" si="360"/>
        <v>0.00</v>
      </c>
      <c r="AN214" s="280"/>
      <c r="AO214" s="282"/>
      <c r="AP214" s="283"/>
      <c r="AQ214" s="283" t="str">
        <f t="shared" si="361"/>
        <v>0.00</v>
      </c>
      <c r="AR214" s="283"/>
      <c r="AS214" s="284"/>
      <c r="AT214" s="285" t="str">
        <f t="shared" si="235"/>
        <v>0.00</v>
      </c>
      <c r="AU214" s="284"/>
      <c r="AV214" s="286"/>
      <c r="AW214" s="285"/>
      <c r="AX214" s="284"/>
      <c r="AY214" s="26"/>
      <c r="AZ214" s="171" t="str">
        <f t="shared" si="545"/>
        <v>0.00%</v>
      </c>
      <c r="BA214" s="172" t="str">
        <f t="shared" si="546"/>
        <v>0.00</v>
      </c>
      <c r="BB214" s="173" t="str">
        <f t="shared" si="547"/>
        <v>317.59</v>
      </c>
      <c r="BC214" s="174" t="str">
        <f t="shared" si="548"/>
        <v>225.49</v>
      </c>
    </row>
    <row r="215" ht="12.75" hidden="1" customHeight="1">
      <c r="A215" s="26"/>
      <c r="B215" s="190" t="s">
        <v>429</v>
      </c>
      <c r="C215" s="214">
        <v>1.65008162E8</v>
      </c>
      <c r="D215" s="152" t="s">
        <v>430</v>
      </c>
      <c r="E215" s="53" t="s">
        <v>77</v>
      </c>
      <c r="F215" s="154">
        <v>1.0</v>
      </c>
      <c r="G215" s="53"/>
      <c r="H215" s="53" t="str">
        <f t="shared" si="527"/>
        <v>0.00069</v>
      </c>
      <c r="I215" s="53" t="str">
        <f t="shared" si="528"/>
        <v>89</v>
      </c>
      <c r="J215" s="53" t="str">
        <f t="shared" si="529"/>
        <v>0</v>
      </c>
      <c r="K215" s="155" t="str">
        <f t="shared" si="530"/>
        <v>0.00</v>
      </c>
      <c r="L215" s="156" t="str">
        <f t="shared" si="531"/>
        <v>0.00 </v>
      </c>
      <c r="M215" s="132">
        <v>90.0</v>
      </c>
      <c r="N215" s="157">
        <v>0.0</v>
      </c>
      <c r="O215" s="277">
        <v>0.0</v>
      </c>
      <c r="P215" s="277" t="str">
        <f t="shared" si="549"/>
        <v>#VALUE!</v>
      </c>
      <c r="Q215" s="157">
        <v>0.0</v>
      </c>
      <c r="R215" s="158">
        <v>460.8</v>
      </c>
      <c r="S215" s="159" t="str">
        <f t="shared" si="550"/>
        <v>313.96</v>
      </c>
      <c r="T215" s="160"/>
      <c r="U215" s="161">
        <v>0.26</v>
      </c>
      <c r="V215" s="162" t="str">
        <f t="shared" si="533"/>
        <v>340.99</v>
      </c>
      <c r="W215" s="163" t="str">
        <f t="shared" si="534"/>
        <v>60.00</v>
      </c>
      <c r="X215" s="164" t="str">
        <f t="shared" si="535"/>
        <v>25.49</v>
      </c>
      <c r="Y215" s="165" t="str">
        <f t="shared" si="536"/>
        <v>0.00</v>
      </c>
      <c r="Z215" s="166">
        <v>0.16</v>
      </c>
      <c r="AA215" s="167" t="str">
        <f t="shared" si="537"/>
        <v>76</v>
      </c>
      <c r="AB215" s="168" t="str">
        <f t="shared" si="538"/>
        <v>149.760</v>
      </c>
      <c r="AC215" s="168" t="str">
        <f t="shared" si="539"/>
        <v>12.139</v>
      </c>
      <c r="AD215" s="164" t="str">
        <f t="shared" si="540"/>
        <v>3.34</v>
      </c>
      <c r="AE215" s="164">
        <v>93.33</v>
      </c>
      <c r="AF215" s="164" t="str">
        <f t="shared" si="541"/>
        <v>4.80</v>
      </c>
      <c r="AG215" s="165" t="str">
        <f t="shared" si="542"/>
        <v>46.08</v>
      </c>
      <c r="AH215" s="23"/>
      <c r="AI215" s="278">
        <v>0.1</v>
      </c>
      <c r="AJ215" s="24" t="str">
        <f t="shared" si="543"/>
        <v>83.19</v>
      </c>
      <c r="AK215" s="279" t="str">
        <f t="shared" si="544"/>
        <v>#DIV/0!</v>
      </c>
      <c r="AL215" s="280"/>
      <c r="AM215" s="281" t="str">
        <f t="shared" si="360"/>
        <v>0.00</v>
      </c>
      <c r="AN215" s="280"/>
      <c r="AO215" s="282"/>
      <c r="AP215" s="283"/>
      <c r="AQ215" s="283" t="str">
        <f t="shared" si="361"/>
        <v>0.00</v>
      </c>
      <c r="AR215" s="283"/>
      <c r="AS215" s="284"/>
      <c r="AT215" s="285" t="str">
        <f t="shared" si="235"/>
        <v>0.00</v>
      </c>
      <c r="AU215" s="284"/>
      <c r="AV215" s="286"/>
      <c r="AW215" s="285"/>
      <c r="AX215" s="284"/>
      <c r="AY215" s="26"/>
      <c r="AZ215" s="171" t="str">
        <f t="shared" si="545"/>
        <v>0.00%</v>
      </c>
      <c r="BA215" s="172" t="str">
        <f t="shared" si="546"/>
        <v>0.00</v>
      </c>
      <c r="BB215" s="173" t="str">
        <f t="shared" si="547"/>
        <v>313.96</v>
      </c>
      <c r="BC215" s="174" t="str">
        <f t="shared" si="548"/>
        <v>222.91</v>
      </c>
    </row>
    <row r="216" ht="12.75" hidden="1" customHeight="1">
      <c r="A216" s="26"/>
      <c r="B216" s="190" t="s">
        <v>431</v>
      </c>
      <c r="C216" s="191">
        <v>1.65007944E8</v>
      </c>
      <c r="D216" s="152" t="s">
        <v>432</v>
      </c>
      <c r="E216" s="53" t="s">
        <v>77</v>
      </c>
      <c r="F216" s="154">
        <v>1.0</v>
      </c>
      <c r="G216" s="53"/>
      <c r="H216" s="53" t="str">
        <f t="shared" si="527"/>
        <v>0.00069</v>
      </c>
      <c r="I216" s="53" t="str">
        <f t="shared" si="528"/>
        <v>89</v>
      </c>
      <c r="J216" s="53" t="str">
        <f t="shared" si="529"/>
        <v>0</v>
      </c>
      <c r="K216" s="155" t="str">
        <f t="shared" si="530"/>
        <v>0.00</v>
      </c>
      <c r="L216" s="156" t="str">
        <f t="shared" si="531"/>
        <v>0.00 </v>
      </c>
      <c r="M216" s="132">
        <v>90.0</v>
      </c>
      <c r="N216" s="157">
        <v>0.0</v>
      </c>
      <c r="O216" s="277">
        <v>0.0</v>
      </c>
      <c r="P216" s="277" t="str">
        <f t="shared" si="549"/>
        <v>#VALUE!</v>
      </c>
      <c r="Q216" s="157">
        <v>0.0</v>
      </c>
      <c r="R216" s="158">
        <v>462.6</v>
      </c>
      <c r="S216" s="159" t="str">
        <f t="shared" si="550"/>
        <v>318.16</v>
      </c>
      <c r="T216" s="160"/>
      <c r="U216" s="161">
        <v>0.26</v>
      </c>
      <c r="V216" s="162" t="str">
        <f t="shared" si="533"/>
        <v>342.32</v>
      </c>
      <c r="W216" s="163" t="str">
        <f t="shared" si="534"/>
        <v>60.00</v>
      </c>
      <c r="X216" s="164" t="str">
        <f t="shared" si="535"/>
        <v>25.59</v>
      </c>
      <c r="Y216" s="165" t="str">
        <f t="shared" si="536"/>
        <v>0.00</v>
      </c>
      <c r="Z216" s="166">
        <v>0.16</v>
      </c>
      <c r="AA216" s="167" t="str">
        <f t="shared" si="537"/>
        <v>76</v>
      </c>
      <c r="AB216" s="168" t="str">
        <f t="shared" si="538"/>
        <v>150.345</v>
      </c>
      <c r="AC216" s="168" t="str">
        <f t="shared" si="539"/>
        <v>12.187</v>
      </c>
      <c r="AD216" s="164" t="str">
        <f t="shared" si="540"/>
        <v>5.27</v>
      </c>
      <c r="AE216" s="164">
        <v>89.47</v>
      </c>
      <c r="AF216" s="164" t="str">
        <f t="shared" si="541"/>
        <v>4.80</v>
      </c>
      <c r="AG216" s="165" t="str">
        <f t="shared" si="542"/>
        <v>46.26</v>
      </c>
      <c r="AH216" s="23"/>
      <c r="AI216" s="278">
        <v>0.1</v>
      </c>
      <c r="AJ216" s="24" t="str">
        <f t="shared" si="543"/>
        <v>82.15</v>
      </c>
      <c r="AK216" s="279" t="str">
        <f t="shared" si="544"/>
        <v>#DIV/0!</v>
      </c>
      <c r="AL216" s="280"/>
      <c r="AM216" s="281" t="str">
        <f t="shared" si="360"/>
        <v>0.00</v>
      </c>
      <c r="AN216" s="280"/>
      <c r="AO216" s="282"/>
      <c r="AP216" s="283"/>
      <c r="AQ216" s="283" t="str">
        <f t="shared" si="361"/>
        <v>0.00</v>
      </c>
      <c r="AR216" s="283"/>
      <c r="AS216" s="284"/>
      <c r="AT216" s="285" t="str">
        <f t="shared" si="235"/>
        <v>0.00</v>
      </c>
      <c r="AU216" s="284"/>
      <c r="AV216" s="286"/>
      <c r="AW216" s="285"/>
      <c r="AX216" s="284"/>
      <c r="AY216" s="26"/>
      <c r="AZ216" s="171" t="str">
        <f t="shared" si="545"/>
        <v>0.00%</v>
      </c>
      <c r="BA216" s="172" t="str">
        <f t="shared" si="546"/>
        <v>0.00</v>
      </c>
      <c r="BB216" s="173" t="str">
        <f t="shared" si="547"/>
        <v>318.16</v>
      </c>
      <c r="BC216" s="174" t="str">
        <f t="shared" si="548"/>
        <v>225.90</v>
      </c>
    </row>
    <row r="217" ht="12.75" customHeight="1">
      <c r="A217" s="26"/>
      <c r="B217" s="125" t="s">
        <v>433</v>
      </c>
      <c r="C217" s="126"/>
      <c r="D217" s="127"/>
      <c r="E217" s="128"/>
      <c r="F217" s="128"/>
      <c r="G217" s="128"/>
      <c r="H217" s="197"/>
      <c r="I217" s="197"/>
      <c r="J217" s="128"/>
      <c r="K217" s="130"/>
      <c r="L217" s="131"/>
      <c r="M217" s="132"/>
      <c r="N217" s="176"/>
      <c r="O217" s="133"/>
      <c r="P217" s="133"/>
      <c r="Q217" s="176"/>
      <c r="R217" s="134"/>
      <c r="S217" s="135"/>
      <c r="T217" s="135"/>
      <c r="U217" s="136"/>
      <c r="V217" s="137"/>
      <c r="W217" s="177"/>
      <c r="X217" s="178"/>
      <c r="Y217" s="179"/>
      <c r="Z217" s="180"/>
      <c r="AA217" s="181"/>
      <c r="AB217" s="182"/>
      <c r="AC217" s="182"/>
      <c r="AD217" s="178"/>
      <c r="AE217" s="178"/>
      <c r="AF217" s="178"/>
      <c r="AG217" s="179"/>
      <c r="AH217" s="183"/>
      <c r="AI217" s="271"/>
      <c r="AJ217" s="287"/>
      <c r="AK217" s="288"/>
      <c r="AL217" s="280"/>
      <c r="AM217" s="281" t="str">
        <f t="shared" si="360"/>
        <v>0.00</v>
      </c>
      <c r="AN217" s="280"/>
      <c r="AO217" s="282"/>
      <c r="AP217" s="283"/>
      <c r="AQ217" s="283" t="str">
        <f t="shared" si="361"/>
        <v>0.00</v>
      </c>
      <c r="AR217" s="283"/>
      <c r="AS217" s="284"/>
      <c r="AT217" s="285" t="str">
        <f t="shared" si="235"/>
        <v>0.00</v>
      </c>
      <c r="AU217" s="284"/>
      <c r="AV217" s="286"/>
      <c r="AW217" s="285"/>
      <c r="AX217" s="284"/>
      <c r="AY217" s="26"/>
      <c r="AZ217" s="186"/>
      <c r="BA217" s="187"/>
      <c r="BB217" s="188"/>
      <c r="BC217" s="189"/>
    </row>
    <row r="218" ht="12.75" customHeight="1">
      <c r="A218" s="26"/>
      <c r="B218" s="190" t="s">
        <v>434</v>
      </c>
      <c r="C218" s="199">
        <v>1.98143251E8</v>
      </c>
      <c r="D218" s="152" t="s">
        <v>435</v>
      </c>
      <c r="E218" s="53" t="s">
        <v>77</v>
      </c>
      <c r="F218" s="154">
        <v>1.0</v>
      </c>
      <c r="G218" s="53"/>
      <c r="H218" s="53" t="str">
        <f t="shared" ref="H218:H226" si="551">$I$2</f>
        <v>0.00069</v>
      </c>
      <c r="I218" s="53" t="str">
        <f t="shared" ref="I218:I226" si="552">$I$3</f>
        <v>89</v>
      </c>
      <c r="J218" s="53" t="str">
        <f t="shared" ref="J218:J226" si="553">G218*H218*I218*F218</f>
        <v>0</v>
      </c>
      <c r="K218" s="155" t="str">
        <f t="shared" ref="K218:K226" si="554">J218*$J$4</f>
        <v>0.00</v>
      </c>
      <c r="L218" s="156" t="str">
        <f t="shared" ref="L218:L226" si="555">K218+J218</f>
        <v>0.00 </v>
      </c>
      <c r="M218" s="132">
        <v>90.0</v>
      </c>
      <c r="N218" s="157">
        <v>735.34</v>
      </c>
      <c r="O218" s="277">
        <v>801.52</v>
      </c>
      <c r="P218" s="277">
        <v>779.46</v>
      </c>
      <c r="Q218" s="157">
        <v>735.34</v>
      </c>
      <c r="R218" s="158">
        <v>2100.0</v>
      </c>
      <c r="S218" s="159" t="str">
        <f t="shared" ref="S218:S219" si="556">R218</f>
        <v>2,100.00</v>
      </c>
      <c r="T218" s="160"/>
      <c r="U218" s="161">
        <v>0.26</v>
      </c>
      <c r="V218" s="162" t="str">
        <f t="shared" ref="V218:V226" si="557">R218-(R218*U218)</f>
        <v>1,554.00</v>
      </c>
      <c r="W218" s="163" t="str">
        <f t="shared" ref="W218:W226" si="558">$C$1</f>
        <v>60.00</v>
      </c>
      <c r="X218" s="164" t="str">
        <f t="shared" ref="X218:X226" si="559">(V218*7/107)+((V218-(V218*7/107))*1%)</f>
        <v>116.19</v>
      </c>
      <c r="Y218" s="165" t="str">
        <f t="shared" ref="Y218:Y226" si="560">Q218*$C$3*(M218/30)</f>
        <v>0.00</v>
      </c>
      <c r="Z218" s="166">
        <v>0.61</v>
      </c>
      <c r="AA218" s="167" t="str">
        <f t="shared" ref="AA218:AA219" si="561">((_xlfn.CEILING.MATH(Z218)-1)*$C$5+$C$4)</f>
        <v>76</v>
      </c>
      <c r="AB218" s="168" t="str">
        <f t="shared" ref="AB218:AB226" si="562">R218*$AB$6</f>
        <v>682.500</v>
      </c>
      <c r="AC218" s="168" t="str">
        <f t="shared" ref="AC218:AC226" si="563">V218*$AB$7</f>
        <v>55.322</v>
      </c>
      <c r="AD218" s="164" t="str">
        <f t="shared" ref="AD218:AD219" si="564">$AB$3*((100-AE218)/100)</f>
        <v>5.83</v>
      </c>
      <c r="AE218" s="164">
        <v>88.34</v>
      </c>
      <c r="AF218" s="164" t="str">
        <f t="shared" ref="AF218:AF226" si="565">$C$6*$C$7*_xlfn.CEILING.MATH(Z218)</f>
        <v>4.80</v>
      </c>
      <c r="AG218" s="165" t="str">
        <f>R218*$C$2</f>
        <v>210.00</v>
      </c>
      <c r="AH218" s="23"/>
      <c r="AI218" s="278">
        <v>0.1</v>
      </c>
      <c r="AJ218" s="24" t="str">
        <f t="shared" ref="AJ218:AJ226" si="566">R218-W218-X218-Y218-AA218-AB218-AC218-AD218-AF218-AG218-Q218</f>
        <v>154.02</v>
      </c>
      <c r="AK218" s="279" t="str">
        <f t="shared" ref="AK218:AK226" si="567">AJ218/Q218</f>
        <v>20.95%</v>
      </c>
      <c r="AL218" s="280">
        <v>200.0</v>
      </c>
      <c r="AM218" s="281" t="str">
        <f t="shared" si="360"/>
        <v>30,804.14</v>
      </c>
      <c r="AN218" s="280">
        <v>1.0</v>
      </c>
      <c r="AO218" s="282"/>
      <c r="AP218" s="283">
        <v>-282.93</v>
      </c>
      <c r="AQ218" s="283" t="str">
        <f t="shared" si="361"/>
        <v>-282.93</v>
      </c>
      <c r="AR218" s="283">
        <v>-38.48</v>
      </c>
      <c r="AS218" s="284">
        <v>150.0</v>
      </c>
      <c r="AT218" s="285" t="str">
        <f t="shared" si="235"/>
        <v>23,103.10</v>
      </c>
      <c r="AU218" s="284">
        <v>109.0</v>
      </c>
      <c r="AV218" s="286">
        <v>0.0046</v>
      </c>
      <c r="AW218" s="285">
        <v>41045.34</v>
      </c>
      <c r="AX218" s="284">
        <v>51.21</v>
      </c>
      <c r="AY218" s="26"/>
      <c r="AZ218" s="171" t="str">
        <f t="shared" ref="AZ218:AZ226" si="568">$AG$3</f>
        <v>0.00%</v>
      </c>
      <c r="BA218" s="172" t="str">
        <f t="shared" ref="BA218:BA226" si="569">Q218*AZ218</f>
        <v>0.00</v>
      </c>
      <c r="BB218" s="173" t="str">
        <f t="shared" ref="BB218:BB226" si="570">(Q218+W218+Y218+AA218+AD218+AF218+AI218+BA218)/(100%-($C$2+$C$8+$AB$6+$AB$7))</f>
        <v>1,920.05</v>
      </c>
      <c r="BC218" s="174" t="str">
        <f t="shared" ref="BC218:BC226" si="571">BB218-(BB218*$AG$1)</f>
        <v>1,363.23</v>
      </c>
    </row>
    <row r="219" ht="12.75" customHeight="1">
      <c r="A219" s="26"/>
      <c r="B219" s="190" t="s">
        <v>436</v>
      </c>
      <c r="C219" s="199">
        <v>2.05054338E8</v>
      </c>
      <c r="D219" s="152" t="s">
        <v>437</v>
      </c>
      <c r="E219" s="53" t="s">
        <v>77</v>
      </c>
      <c r="F219" s="154">
        <v>1.0</v>
      </c>
      <c r="G219" s="53"/>
      <c r="H219" s="53" t="str">
        <f t="shared" si="551"/>
        <v>0.00069</v>
      </c>
      <c r="I219" s="53" t="str">
        <f t="shared" si="552"/>
        <v>89</v>
      </c>
      <c r="J219" s="53" t="str">
        <f t="shared" si="553"/>
        <v>0</v>
      </c>
      <c r="K219" s="155" t="str">
        <f t="shared" si="554"/>
        <v>0.00</v>
      </c>
      <c r="L219" s="156" t="str">
        <f t="shared" si="555"/>
        <v>0.00 </v>
      </c>
      <c r="M219" s="132">
        <v>90.0</v>
      </c>
      <c r="N219" s="157">
        <v>828.47</v>
      </c>
      <c r="O219" s="277">
        <v>903.03</v>
      </c>
      <c r="P219" s="277">
        <v>878.18</v>
      </c>
      <c r="Q219" s="157">
        <v>828.47</v>
      </c>
      <c r="R219" s="158">
        <v>2250.0</v>
      </c>
      <c r="S219" s="159" t="str">
        <f t="shared" si="556"/>
        <v>2,250.00</v>
      </c>
      <c r="T219" s="160"/>
      <c r="U219" s="161">
        <v>0.26</v>
      </c>
      <c r="V219" s="162" t="str">
        <f t="shared" si="557"/>
        <v>1,665.00</v>
      </c>
      <c r="W219" s="163" t="str">
        <f t="shared" si="558"/>
        <v>60.00</v>
      </c>
      <c r="X219" s="164" t="str">
        <f t="shared" si="559"/>
        <v>124.49</v>
      </c>
      <c r="Y219" s="165" t="str">
        <f t="shared" si="560"/>
        <v>0.00</v>
      </c>
      <c r="Z219" s="166">
        <v>0.93</v>
      </c>
      <c r="AA219" s="167" t="str">
        <f t="shared" si="561"/>
        <v>76</v>
      </c>
      <c r="AB219" s="168" t="str">
        <f t="shared" si="562"/>
        <v>731.250</v>
      </c>
      <c r="AC219" s="168" t="str">
        <f t="shared" si="563"/>
        <v>59.274</v>
      </c>
      <c r="AD219" s="164" t="str">
        <f t="shared" si="564"/>
        <v>2.79</v>
      </c>
      <c r="AE219" s="164">
        <v>94.43</v>
      </c>
      <c r="AF219" s="164" t="str">
        <f t="shared" si="565"/>
        <v>4.80</v>
      </c>
      <c r="AG219" s="165">
        <v>112.5</v>
      </c>
      <c r="AH219" s="23"/>
      <c r="AI219" s="292">
        <v>0.05</v>
      </c>
      <c r="AJ219" s="24" t="str">
        <f t="shared" si="566"/>
        <v>250.44</v>
      </c>
      <c r="AK219" s="279" t="str">
        <f t="shared" si="567"/>
        <v>30.23%</v>
      </c>
      <c r="AL219" s="280">
        <v>130.0</v>
      </c>
      <c r="AM219" s="281" t="str">
        <f t="shared" si="360"/>
        <v>32,556.55</v>
      </c>
      <c r="AN219" s="280">
        <v>442.0</v>
      </c>
      <c r="AO219" s="293" t="s">
        <v>684</v>
      </c>
      <c r="AP219" s="283">
        <v>340.19</v>
      </c>
      <c r="AQ219" s="283" t="str">
        <f t="shared" si="361"/>
        <v>150,363.98</v>
      </c>
      <c r="AR219" s="283">
        <v>40.54</v>
      </c>
      <c r="AS219" s="284">
        <v>100.0</v>
      </c>
      <c r="AT219" s="285" t="str">
        <f t="shared" si="235"/>
        <v>25,043.50</v>
      </c>
      <c r="AU219" s="284">
        <v>2.0</v>
      </c>
      <c r="AV219" s="286">
        <v>0.0056</v>
      </c>
      <c r="AW219" s="285">
        <v>1274.57</v>
      </c>
      <c r="AX219" s="284">
        <v>76.93</v>
      </c>
      <c r="AY219" s="26"/>
      <c r="AZ219" s="171" t="str">
        <f t="shared" si="568"/>
        <v>0.00%</v>
      </c>
      <c r="BA219" s="172" t="str">
        <f t="shared" si="569"/>
        <v>0.00</v>
      </c>
      <c r="BB219" s="173" t="str">
        <f t="shared" si="570"/>
        <v>2,116.03</v>
      </c>
      <c r="BC219" s="174" t="str">
        <f t="shared" si="571"/>
        <v>1,502.38</v>
      </c>
    </row>
    <row r="220" ht="12.75" customHeight="1">
      <c r="A220" s="26"/>
      <c r="B220" s="190"/>
      <c r="C220" s="199">
        <v>8.68575374E8</v>
      </c>
      <c r="D220" s="152" t="s">
        <v>438</v>
      </c>
      <c r="E220" s="53"/>
      <c r="F220" s="154">
        <v>1.0</v>
      </c>
      <c r="G220" s="53"/>
      <c r="H220" s="53" t="str">
        <f t="shared" si="551"/>
        <v>0.00069</v>
      </c>
      <c r="I220" s="53" t="str">
        <f t="shared" si="552"/>
        <v>89</v>
      </c>
      <c r="J220" s="53" t="str">
        <f t="shared" si="553"/>
        <v>0</v>
      </c>
      <c r="K220" s="155" t="str">
        <f t="shared" si="554"/>
        <v>0.00</v>
      </c>
      <c r="L220" s="156" t="str">
        <f t="shared" si="555"/>
        <v>0.00 </v>
      </c>
      <c r="M220" s="132">
        <v>90.0</v>
      </c>
      <c r="N220" s="157">
        <v>739.91</v>
      </c>
      <c r="O220" s="277">
        <v>806.5</v>
      </c>
      <c r="P220" s="277">
        <v>784.3</v>
      </c>
      <c r="Q220" s="157">
        <v>739.91</v>
      </c>
      <c r="R220" s="158">
        <v>3000.0</v>
      </c>
      <c r="S220" s="159"/>
      <c r="T220" s="160"/>
      <c r="U220" s="161">
        <v>0.26</v>
      </c>
      <c r="V220" s="162" t="str">
        <f t="shared" si="557"/>
        <v>2,220.00</v>
      </c>
      <c r="W220" s="163" t="str">
        <f t="shared" si="558"/>
        <v>60.00</v>
      </c>
      <c r="X220" s="164" t="str">
        <f t="shared" si="559"/>
        <v>165.98</v>
      </c>
      <c r="Y220" s="165" t="str">
        <f t="shared" si="560"/>
        <v>0.00</v>
      </c>
      <c r="Z220" s="166">
        <v>0.19</v>
      </c>
      <c r="AA220" s="167">
        <v>100.0</v>
      </c>
      <c r="AB220" s="168" t="str">
        <f t="shared" si="562"/>
        <v>975.000</v>
      </c>
      <c r="AC220" s="168" t="str">
        <f t="shared" si="563"/>
        <v>79.032</v>
      </c>
      <c r="AD220" s="164">
        <v>2.79</v>
      </c>
      <c r="AE220" s="164">
        <v>94.43</v>
      </c>
      <c r="AF220" s="164" t="str">
        <f t="shared" si="565"/>
        <v>4.80</v>
      </c>
      <c r="AG220" s="165">
        <v>450.0</v>
      </c>
      <c r="AH220" s="23"/>
      <c r="AI220" s="278">
        <v>0.1</v>
      </c>
      <c r="AJ220" s="24" t="str">
        <f t="shared" si="566"/>
        <v>422.49</v>
      </c>
      <c r="AK220" s="279" t="str">
        <f t="shared" si="567"/>
        <v>57.10%</v>
      </c>
      <c r="AL220" s="280">
        <v>200.0</v>
      </c>
      <c r="AM220" s="281" t="str">
        <f t="shared" si="360"/>
        <v>84,497.34</v>
      </c>
      <c r="AN220" s="280">
        <v>3.0</v>
      </c>
      <c r="AO220" s="282">
        <v>34.45</v>
      </c>
      <c r="AP220" s="283">
        <v>-878.46</v>
      </c>
      <c r="AQ220" s="283" t="str">
        <f t="shared" si="361"/>
        <v>-2,635.38</v>
      </c>
      <c r="AR220" s="283">
        <v>-112.01</v>
      </c>
      <c r="AS220" s="284">
        <v>85.0</v>
      </c>
      <c r="AT220" s="285" t="str">
        <f t="shared" si="235"/>
        <v>35,911.37</v>
      </c>
      <c r="AU220" s="284">
        <v>87.0</v>
      </c>
      <c r="AV220" s="286">
        <v>0.0971</v>
      </c>
      <c r="AW220" s="285">
        <v>47343.81</v>
      </c>
      <c r="AX220" s="284">
        <v>73.55</v>
      </c>
      <c r="AY220" s="26"/>
      <c r="AZ220" s="171" t="str">
        <f t="shared" si="568"/>
        <v>0.00%</v>
      </c>
      <c r="BA220" s="172" t="str">
        <f t="shared" si="569"/>
        <v>0.00</v>
      </c>
      <c r="BB220" s="173" t="str">
        <f t="shared" si="570"/>
        <v>1,975.62</v>
      </c>
      <c r="BC220" s="174" t="str">
        <f t="shared" si="571"/>
        <v>1,402.69</v>
      </c>
    </row>
    <row r="221" ht="12.75" customHeight="1">
      <c r="A221" s="26"/>
      <c r="B221" s="190"/>
      <c r="C221" s="199">
        <v>8.68700077E8</v>
      </c>
      <c r="D221" s="152" t="s">
        <v>439</v>
      </c>
      <c r="E221" s="53"/>
      <c r="F221" s="154">
        <v>1.0</v>
      </c>
      <c r="G221" s="53"/>
      <c r="H221" s="53" t="str">
        <f t="shared" si="551"/>
        <v>0.00069</v>
      </c>
      <c r="I221" s="53" t="str">
        <f t="shared" si="552"/>
        <v>89</v>
      </c>
      <c r="J221" s="53" t="str">
        <f t="shared" si="553"/>
        <v>0</v>
      </c>
      <c r="K221" s="155" t="str">
        <f t="shared" si="554"/>
        <v>0.00</v>
      </c>
      <c r="L221" s="156" t="str">
        <f t="shared" si="555"/>
        <v>0.00 </v>
      </c>
      <c r="M221" s="132">
        <v>90.0</v>
      </c>
      <c r="N221" s="157">
        <v>996.75</v>
      </c>
      <c r="O221" s="277">
        <v>1086.45</v>
      </c>
      <c r="P221" s="277">
        <v>1056.56</v>
      </c>
      <c r="Q221" s="157">
        <v>996.75</v>
      </c>
      <c r="R221" s="158">
        <v>4050.0</v>
      </c>
      <c r="S221" s="159"/>
      <c r="T221" s="160"/>
      <c r="U221" s="161">
        <v>0.26</v>
      </c>
      <c r="V221" s="162" t="str">
        <f t="shared" si="557"/>
        <v>2,997.00</v>
      </c>
      <c r="W221" s="163" t="str">
        <f t="shared" si="558"/>
        <v>60.00</v>
      </c>
      <c r="X221" s="164" t="str">
        <f t="shared" si="559"/>
        <v>224.07</v>
      </c>
      <c r="Y221" s="165" t="str">
        <f t="shared" si="560"/>
        <v>0.00</v>
      </c>
      <c r="Z221" s="166">
        <v>0.19</v>
      </c>
      <c r="AA221" s="167" t="str">
        <f t="shared" ref="AA221:AA226" si="572">((_xlfn.CEILING.MATH(Z221)-1)*$C$5+$C$4)</f>
        <v>76</v>
      </c>
      <c r="AB221" s="168" t="str">
        <f t="shared" si="562"/>
        <v>1,316.250</v>
      </c>
      <c r="AC221" s="168" t="str">
        <f t="shared" si="563"/>
        <v>106.693</v>
      </c>
      <c r="AD221" s="164">
        <v>2.44</v>
      </c>
      <c r="AE221" s="164">
        <v>95.12</v>
      </c>
      <c r="AF221" s="164" t="str">
        <f t="shared" si="565"/>
        <v>4.80</v>
      </c>
      <c r="AG221" s="165">
        <v>600.0</v>
      </c>
      <c r="AH221" s="23"/>
      <c r="AI221" s="278">
        <v>0.1</v>
      </c>
      <c r="AJ221" s="24" t="str">
        <f t="shared" si="566"/>
        <v>662.99</v>
      </c>
      <c r="AK221" s="279" t="str">
        <f t="shared" si="567"/>
        <v>66.52%</v>
      </c>
      <c r="AL221" s="280">
        <v>150.0</v>
      </c>
      <c r="AM221" s="281" t="str">
        <f t="shared" si="360"/>
        <v>99,448.81</v>
      </c>
      <c r="AN221" s="280">
        <v>28.0</v>
      </c>
      <c r="AO221" s="282">
        <v>8.4</v>
      </c>
      <c r="AP221" s="283">
        <v>1048.79</v>
      </c>
      <c r="AQ221" s="283" t="str">
        <f t="shared" si="361"/>
        <v>29,366.12</v>
      </c>
      <c r="AR221" s="283">
        <v>99.26</v>
      </c>
      <c r="AS221" s="284">
        <v>100.0</v>
      </c>
      <c r="AT221" s="285" t="str">
        <f t="shared" si="235"/>
        <v>66,299.20</v>
      </c>
      <c r="AU221" s="284">
        <v>40.0</v>
      </c>
      <c r="AV221" s="286">
        <v>0.0665</v>
      </c>
      <c r="AW221" s="285">
        <v>38636.81</v>
      </c>
      <c r="AX221" s="284">
        <v>96.91</v>
      </c>
      <c r="AY221" s="26"/>
      <c r="AZ221" s="171" t="str">
        <f t="shared" si="568"/>
        <v>0.00%</v>
      </c>
      <c r="BA221" s="172" t="str">
        <f t="shared" si="569"/>
        <v>0.00</v>
      </c>
      <c r="BB221" s="173" t="str">
        <f t="shared" si="570"/>
        <v>2,481.69</v>
      </c>
      <c r="BC221" s="174" t="str">
        <f t="shared" si="571"/>
        <v>1,762.00</v>
      </c>
    </row>
    <row r="222" ht="12.75" customHeight="1">
      <c r="A222" s="26"/>
      <c r="B222" s="190" t="s">
        <v>440</v>
      </c>
      <c r="C222" s="199">
        <v>1.98147185E8</v>
      </c>
      <c r="D222" s="152" t="s">
        <v>441</v>
      </c>
      <c r="E222" s="53" t="s">
        <v>77</v>
      </c>
      <c r="F222" s="154">
        <v>1.0</v>
      </c>
      <c r="G222" s="53"/>
      <c r="H222" s="53" t="str">
        <f t="shared" si="551"/>
        <v>0.00069</v>
      </c>
      <c r="I222" s="53" t="str">
        <f t="shared" si="552"/>
        <v>89</v>
      </c>
      <c r="J222" s="53" t="str">
        <f t="shared" si="553"/>
        <v>0</v>
      </c>
      <c r="K222" s="155" t="str">
        <f t="shared" si="554"/>
        <v>0.00</v>
      </c>
      <c r="L222" s="156" t="str">
        <f t="shared" si="555"/>
        <v>0.00 </v>
      </c>
      <c r="M222" s="132">
        <v>90.0</v>
      </c>
      <c r="N222" s="157">
        <v>899.78</v>
      </c>
      <c r="O222" s="277">
        <v>980.76</v>
      </c>
      <c r="P222" s="277">
        <v>953.77</v>
      </c>
      <c r="Q222" s="157">
        <v>899.78</v>
      </c>
      <c r="R222" s="158">
        <v>3504.0</v>
      </c>
      <c r="S222" s="159" t="str">
        <f t="shared" ref="S222:S226" si="573">R222</f>
        <v>3,504.00</v>
      </c>
      <c r="T222" s="160"/>
      <c r="U222" s="161">
        <v>0.26</v>
      </c>
      <c r="V222" s="162" t="str">
        <f t="shared" si="557"/>
        <v>2,592.96</v>
      </c>
      <c r="W222" s="163" t="str">
        <f t="shared" si="558"/>
        <v>60.00</v>
      </c>
      <c r="X222" s="164" t="str">
        <f t="shared" si="559"/>
        <v>193.87</v>
      </c>
      <c r="Y222" s="165" t="str">
        <f t="shared" si="560"/>
        <v>0.00</v>
      </c>
      <c r="Z222" s="166">
        <v>0.3</v>
      </c>
      <c r="AA222" s="167" t="str">
        <f t="shared" si="572"/>
        <v>76</v>
      </c>
      <c r="AB222" s="168" t="str">
        <f t="shared" si="562"/>
        <v>1,138.800</v>
      </c>
      <c r="AC222" s="168" t="str">
        <f t="shared" si="563"/>
        <v>92.309</v>
      </c>
      <c r="AD222" s="164" t="str">
        <f t="shared" ref="AD222:AD226" si="574">$AB$3*((100-AE222)/100)</f>
        <v>18.75</v>
      </c>
      <c r="AE222" s="164">
        <v>62.5</v>
      </c>
      <c r="AF222" s="164" t="str">
        <f t="shared" si="565"/>
        <v>4.80</v>
      </c>
      <c r="AG222" s="165" t="str">
        <f t="shared" ref="AG222:AG223" si="575">R222*$C$2</f>
        <v>350.40</v>
      </c>
      <c r="AH222" s="23"/>
      <c r="AI222" s="278">
        <v>0.1</v>
      </c>
      <c r="AJ222" s="24" t="str">
        <f t="shared" si="566"/>
        <v>669.29</v>
      </c>
      <c r="AK222" s="279" t="str">
        <f t="shared" si="567"/>
        <v>74.38%</v>
      </c>
      <c r="AL222" s="280">
        <v>350.0</v>
      </c>
      <c r="AM222" s="281" t="str">
        <f t="shared" si="360"/>
        <v>234,253.06</v>
      </c>
      <c r="AN222" s="280">
        <v>201.0</v>
      </c>
      <c r="AO222" s="282">
        <v>0.38</v>
      </c>
      <c r="AP222" s="283">
        <v>1169.07</v>
      </c>
      <c r="AQ222" s="283" t="str">
        <f t="shared" si="361"/>
        <v>234,983.07</v>
      </c>
      <c r="AR222" s="283">
        <v>124.03</v>
      </c>
      <c r="AS222" s="284">
        <v>350.0</v>
      </c>
      <c r="AT222" s="285" t="str">
        <f t="shared" si="235"/>
        <v>234,253.06</v>
      </c>
      <c r="AU222" s="284">
        <v>142.0</v>
      </c>
      <c r="AV222" s="286">
        <v>0.0</v>
      </c>
      <c r="AW222" s="285">
        <v>162334.25</v>
      </c>
      <c r="AX222" s="284">
        <v>127.05</v>
      </c>
      <c r="AY222" s="26"/>
      <c r="AZ222" s="171" t="str">
        <f t="shared" si="568"/>
        <v>0.00%</v>
      </c>
      <c r="BA222" s="172" t="str">
        <f t="shared" si="569"/>
        <v>0.00</v>
      </c>
      <c r="BB222" s="173" t="str">
        <f t="shared" si="570"/>
        <v>2,306.12</v>
      </c>
      <c r="BC222" s="174" t="str">
        <f t="shared" si="571"/>
        <v>1,637.34</v>
      </c>
    </row>
    <row r="223" ht="12.75" hidden="1" customHeight="1">
      <c r="A223" s="26"/>
      <c r="B223" s="190" t="s">
        <v>442</v>
      </c>
      <c r="C223" s="199">
        <v>1.98148122E8</v>
      </c>
      <c r="D223" s="152" t="s">
        <v>443</v>
      </c>
      <c r="E223" s="53" t="s">
        <v>77</v>
      </c>
      <c r="F223" s="154">
        <v>1.0</v>
      </c>
      <c r="G223" s="53"/>
      <c r="H223" s="53" t="str">
        <f t="shared" si="551"/>
        <v>0.00069</v>
      </c>
      <c r="I223" s="53" t="str">
        <f t="shared" si="552"/>
        <v>89</v>
      </c>
      <c r="J223" s="53" t="str">
        <f t="shared" si="553"/>
        <v>0</v>
      </c>
      <c r="K223" s="155" t="str">
        <f t="shared" si="554"/>
        <v>0.00</v>
      </c>
      <c r="L223" s="156" t="str">
        <f t="shared" si="555"/>
        <v>0.00 </v>
      </c>
      <c r="M223" s="132">
        <v>90.0</v>
      </c>
      <c r="N223" s="157">
        <v>1417.23</v>
      </c>
      <c r="O223" s="277">
        <v>1544.78</v>
      </c>
      <c r="P223" s="277">
        <v>1502.26</v>
      </c>
      <c r="Q223" s="157">
        <v>1417.23</v>
      </c>
      <c r="R223" s="158">
        <v>3300.0</v>
      </c>
      <c r="S223" s="159" t="str">
        <f t="shared" si="573"/>
        <v>3,300.00</v>
      </c>
      <c r="T223" s="160"/>
      <c r="U223" s="161">
        <v>0.26</v>
      </c>
      <c r="V223" s="162" t="str">
        <f t="shared" si="557"/>
        <v>2,442.00</v>
      </c>
      <c r="W223" s="163" t="str">
        <f t="shared" si="558"/>
        <v>60.00</v>
      </c>
      <c r="X223" s="164" t="str">
        <f t="shared" si="559"/>
        <v>182.58</v>
      </c>
      <c r="Y223" s="165" t="str">
        <f t="shared" si="560"/>
        <v>0.00</v>
      </c>
      <c r="Z223" s="166">
        <v>0.25</v>
      </c>
      <c r="AA223" s="167" t="str">
        <f t="shared" si="572"/>
        <v>76</v>
      </c>
      <c r="AB223" s="168" t="str">
        <f t="shared" si="562"/>
        <v>1,072.500</v>
      </c>
      <c r="AC223" s="168" t="str">
        <f t="shared" si="563"/>
        <v>86.935</v>
      </c>
      <c r="AD223" s="164" t="str">
        <f t="shared" si="574"/>
        <v>2.44</v>
      </c>
      <c r="AE223" s="164">
        <v>95.12</v>
      </c>
      <c r="AF223" s="164" t="str">
        <f t="shared" si="565"/>
        <v>4.80</v>
      </c>
      <c r="AG223" s="165" t="str">
        <f t="shared" si="575"/>
        <v>330.00</v>
      </c>
      <c r="AH223" s="23"/>
      <c r="AI223" s="278">
        <v>0.1</v>
      </c>
      <c r="AJ223" s="24" t="str">
        <f t="shared" si="566"/>
        <v>67.52</v>
      </c>
      <c r="AK223" s="279" t="str">
        <f t="shared" si="567"/>
        <v>4.76%</v>
      </c>
      <c r="AL223" s="280"/>
      <c r="AM223" s="281" t="str">
        <f t="shared" si="360"/>
        <v>0.00</v>
      </c>
      <c r="AN223" s="280"/>
      <c r="AO223" s="282"/>
      <c r="AP223" s="283"/>
      <c r="AQ223" s="283" t="str">
        <f t="shared" si="361"/>
        <v>0.00</v>
      </c>
      <c r="AR223" s="283"/>
      <c r="AS223" s="284"/>
      <c r="AT223" s="285" t="str">
        <f t="shared" si="235"/>
        <v>0.00</v>
      </c>
      <c r="AU223" s="284"/>
      <c r="AV223" s="286"/>
      <c r="AW223" s="285"/>
      <c r="AX223" s="284"/>
      <c r="AY223" s="26"/>
      <c r="AZ223" s="171" t="str">
        <f t="shared" si="568"/>
        <v>0.00%</v>
      </c>
      <c r="BA223" s="172" t="str">
        <f t="shared" si="569"/>
        <v>0.00</v>
      </c>
      <c r="BB223" s="173" t="str">
        <f t="shared" si="570"/>
        <v>3,396.97</v>
      </c>
      <c r="BC223" s="174" t="str">
        <f t="shared" si="571"/>
        <v>2,411.85</v>
      </c>
    </row>
    <row r="224" ht="12.75" customHeight="1">
      <c r="A224" s="26"/>
      <c r="B224" s="190" t="s">
        <v>444</v>
      </c>
      <c r="C224" s="199">
        <v>1.98156472E8</v>
      </c>
      <c r="D224" s="152" t="s">
        <v>445</v>
      </c>
      <c r="E224" s="53" t="s">
        <v>77</v>
      </c>
      <c r="F224" s="154">
        <v>1.0</v>
      </c>
      <c r="G224" s="53"/>
      <c r="H224" s="53" t="str">
        <f t="shared" si="551"/>
        <v>0.00069</v>
      </c>
      <c r="I224" s="53" t="str">
        <f t="shared" si="552"/>
        <v>89</v>
      </c>
      <c r="J224" s="53" t="str">
        <f t="shared" si="553"/>
        <v>0</v>
      </c>
      <c r="K224" s="155" t="str">
        <f t="shared" si="554"/>
        <v>0.00</v>
      </c>
      <c r="L224" s="156" t="str">
        <f t="shared" si="555"/>
        <v>0.00 </v>
      </c>
      <c r="M224" s="132">
        <v>90.0</v>
      </c>
      <c r="N224" s="157">
        <v>646.83</v>
      </c>
      <c r="O224" s="277">
        <v>705.04</v>
      </c>
      <c r="P224" s="277">
        <v>685.64</v>
      </c>
      <c r="Q224" s="157">
        <v>646.83</v>
      </c>
      <c r="R224" s="158">
        <v>2050.0</v>
      </c>
      <c r="S224" s="159" t="str">
        <f t="shared" si="573"/>
        <v>2,050.00</v>
      </c>
      <c r="T224" s="160"/>
      <c r="U224" s="161">
        <v>0.26</v>
      </c>
      <c r="V224" s="162" t="str">
        <f t="shared" si="557"/>
        <v>1,517.00</v>
      </c>
      <c r="W224" s="163" t="str">
        <f t="shared" si="558"/>
        <v>60.00</v>
      </c>
      <c r="X224" s="164" t="str">
        <f t="shared" si="559"/>
        <v>113.42</v>
      </c>
      <c r="Y224" s="165" t="str">
        <f t="shared" si="560"/>
        <v>0.00</v>
      </c>
      <c r="Z224" s="166">
        <v>0.19</v>
      </c>
      <c r="AA224" s="167" t="str">
        <f t="shared" si="572"/>
        <v>76</v>
      </c>
      <c r="AB224" s="168" t="str">
        <f t="shared" si="562"/>
        <v>666.250</v>
      </c>
      <c r="AC224" s="168" t="str">
        <f t="shared" si="563"/>
        <v>54.005</v>
      </c>
      <c r="AD224" s="164" t="str">
        <f t="shared" si="574"/>
        <v>4.11</v>
      </c>
      <c r="AE224" s="164">
        <v>91.78</v>
      </c>
      <c r="AF224" s="164" t="str">
        <f t="shared" si="565"/>
        <v>4.80</v>
      </c>
      <c r="AG224" s="165">
        <v>82.0</v>
      </c>
      <c r="AH224" s="23"/>
      <c r="AI224" s="292">
        <v>0.04</v>
      </c>
      <c r="AJ224" s="24" t="str">
        <f t="shared" si="566"/>
        <v>342.58</v>
      </c>
      <c r="AK224" s="279" t="str">
        <f t="shared" si="567"/>
        <v>52.96%</v>
      </c>
      <c r="AL224" s="280">
        <v>350.0</v>
      </c>
      <c r="AM224" s="281" t="str">
        <f t="shared" si="360"/>
        <v>119,904.48</v>
      </c>
      <c r="AN224" s="280">
        <v>345.0</v>
      </c>
      <c r="AO224" s="293" t="s">
        <v>685</v>
      </c>
      <c r="AP224" s="283">
        <v>376.19</v>
      </c>
      <c r="AQ224" s="283" t="str">
        <f t="shared" si="361"/>
        <v>129,785.55</v>
      </c>
      <c r="AR224" s="283">
        <v>55.63</v>
      </c>
      <c r="AS224" s="284">
        <v>350.0</v>
      </c>
      <c r="AT224" s="285" t="str">
        <f t="shared" si="235"/>
        <v>119,904.48</v>
      </c>
      <c r="AU224" s="284">
        <v>199.0</v>
      </c>
      <c r="AV224" s="286">
        <v>0.0</v>
      </c>
      <c r="AW224" s="285">
        <v>132406.56</v>
      </c>
      <c r="AX224" s="284">
        <v>102.86</v>
      </c>
      <c r="AY224" s="26"/>
      <c r="AZ224" s="171" t="str">
        <f t="shared" si="568"/>
        <v>0.00%</v>
      </c>
      <c r="BA224" s="172" t="str">
        <f t="shared" si="569"/>
        <v>0.00</v>
      </c>
      <c r="BB224" s="173" t="str">
        <f t="shared" si="570"/>
        <v>1,723.51</v>
      </c>
      <c r="BC224" s="174" t="str">
        <f t="shared" si="571"/>
        <v>1,223.69</v>
      </c>
    </row>
    <row r="225" ht="12.75" hidden="1" customHeight="1">
      <c r="A225" s="26"/>
      <c r="B225" s="190" t="s">
        <v>446</v>
      </c>
      <c r="C225" s="199">
        <v>1.98156358E8</v>
      </c>
      <c r="D225" s="152" t="s">
        <v>447</v>
      </c>
      <c r="E225" s="53" t="s">
        <v>77</v>
      </c>
      <c r="F225" s="154">
        <v>1.0</v>
      </c>
      <c r="G225" s="53"/>
      <c r="H225" s="53" t="str">
        <f t="shared" si="551"/>
        <v>0.00069</v>
      </c>
      <c r="I225" s="53" t="str">
        <f t="shared" si="552"/>
        <v>89</v>
      </c>
      <c r="J225" s="53" t="str">
        <f t="shared" si="553"/>
        <v>0</v>
      </c>
      <c r="K225" s="155" t="str">
        <f t="shared" si="554"/>
        <v>0.00</v>
      </c>
      <c r="L225" s="156" t="str">
        <f t="shared" si="555"/>
        <v>0.00 </v>
      </c>
      <c r="M225" s="132">
        <v>90.0</v>
      </c>
      <c r="N225" s="157">
        <v>413.71</v>
      </c>
      <c r="O225" s="277">
        <v>450.94</v>
      </c>
      <c r="P225" s="277">
        <v>438.53</v>
      </c>
      <c r="Q225" s="157">
        <v>413.71</v>
      </c>
      <c r="R225" s="158">
        <v>1275.0</v>
      </c>
      <c r="S225" s="159" t="str">
        <f t="shared" si="573"/>
        <v>1,275.00</v>
      </c>
      <c r="T225" s="160"/>
      <c r="U225" s="161">
        <v>0.26</v>
      </c>
      <c r="V225" s="162" t="str">
        <f t="shared" si="557"/>
        <v>943.50</v>
      </c>
      <c r="W225" s="163" t="str">
        <f t="shared" si="558"/>
        <v>60.00</v>
      </c>
      <c r="X225" s="164" t="str">
        <f t="shared" si="559"/>
        <v>70.54</v>
      </c>
      <c r="Y225" s="165" t="str">
        <f t="shared" si="560"/>
        <v>0.00</v>
      </c>
      <c r="Z225" s="166">
        <v>0.43</v>
      </c>
      <c r="AA225" s="167" t="str">
        <f t="shared" si="572"/>
        <v>76</v>
      </c>
      <c r="AB225" s="168" t="str">
        <f t="shared" si="562"/>
        <v>414.375</v>
      </c>
      <c r="AC225" s="168" t="str">
        <f t="shared" si="563"/>
        <v>33.589</v>
      </c>
      <c r="AD225" s="164" t="str">
        <f t="shared" si="574"/>
        <v>3.19</v>
      </c>
      <c r="AE225" s="164">
        <v>93.63</v>
      </c>
      <c r="AF225" s="164" t="str">
        <f t="shared" si="565"/>
        <v>4.80</v>
      </c>
      <c r="AG225" s="165" t="str">
        <f>R225*$C$2</f>
        <v>127.50</v>
      </c>
      <c r="AH225" s="23"/>
      <c r="AI225" s="278">
        <v>0.1</v>
      </c>
      <c r="AJ225" s="24" t="str">
        <f t="shared" si="566"/>
        <v>71.30</v>
      </c>
      <c r="AK225" s="279" t="str">
        <f t="shared" si="567"/>
        <v>17.23%</v>
      </c>
      <c r="AL225" s="280"/>
      <c r="AM225" s="281" t="str">
        <f t="shared" si="360"/>
        <v>0.00</v>
      </c>
      <c r="AN225" s="280"/>
      <c r="AO225" s="282"/>
      <c r="AP225" s="283"/>
      <c r="AQ225" s="283" t="str">
        <f t="shared" si="361"/>
        <v>0.00</v>
      </c>
      <c r="AR225" s="283"/>
      <c r="AS225" s="284"/>
      <c r="AT225" s="285" t="str">
        <f t="shared" si="235"/>
        <v>0.00</v>
      </c>
      <c r="AU225" s="284"/>
      <c r="AV225" s="286"/>
      <c r="AW225" s="285"/>
      <c r="AX225" s="284"/>
      <c r="AY225" s="26"/>
      <c r="AZ225" s="171" t="str">
        <f t="shared" si="568"/>
        <v>0.00%</v>
      </c>
      <c r="BA225" s="172" t="str">
        <f t="shared" si="569"/>
        <v>0.00</v>
      </c>
      <c r="BB225" s="173" t="str">
        <f t="shared" si="570"/>
        <v>1,214.18</v>
      </c>
      <c r="BC225" s="174" t="str">
        <f t="shared" si="571"/>
        <v>862.07</v>
      </c>
    </row>
    <row r="226" ht="12.75" customHeight="1">
      <c r="A226" s="26"/>
      <c r="B226" s="190" t="s">
        <v>448</v>
      </c>
      <c r="C226" s="199">
        <v>1.98156698E8</v>
      </c>
      <c r="D226" s="152" t="s">
        <v>449</v>
      </c>
      <c r="E226" s="53" t="s">
        <v>77</v>
      </c>
      <c r="F226" s="154">
        <v>1.0</v>
      </c>
      <c r="G226" s="53"/>
      <c r="H226" s="53" t="str">
        <f t="shared" si="551"/>
        <v>0.00069</v>
      </c>
      <c r="I226" s="53" t="str">
        <f t="shared" si="552"/>
        <v>89</v>
      </c>
      <c r="J226" s="53" t="str">
        <f t="shared" si="553"/>
        <v>0</v>
      </c>
      <c r="K226" s="155" t="str">
        <f t="shared" si="554"/>
        <v>0.00</v>
      </c>
      <c r="L226" s="156" t="str">
        <f t="shared" si="555"/>
        <v>0.00 </v>
      </c>
      <c r="M226" s="132">
        <v>90.0</v>
      </c>
      <c r="N226" s="157">
        <v>853.0</v>
      </c>
      <c r="O226" s="277">
        <v>929.77</v>
      </c>
      <c r="P226" s="277">
        <v>904.18</v>
      </c>
      <c r="Q226" s="157">
        <v>853.0</v>
      </c>
      <c r="R226" s="158">
        <v>2999.0</v>
      </c>
      <c r="S226" s="159" t="str">
        <f t="shared" si="573"/>
        <v>2,999.00</v>
      </c>
      <c r="T226" s="160"/>
      <c r="U226" s="161">
        <v>0.26</v>
      </c>
      <c r="V226" s="162" t="str">
        <f t="shared" si="557"/>
        <v>2,219.26</v>
      </c>
      <c r="W226" s="163" t="str">
        <f t="shared" si="558"/>
        <v>60.00</v>
      </c>
      <c r="X226" s="164" t="str">
        <f t="shared" si="559"/>
        <v>165.93</v>
      </c>
      <c r="Y226" s="165" t="str">
        <f t="shared" si="560"/>
        <v>0.00</v>
      </c>
      <c r="Z226" s="166">
        <v>0.5</v>
      </c>
      <c r="AA226" s="167" t="str">
        <f t="shared" si="572"/>
        <v>76</v>
      </c>
      <c r="AB226" s="168" t="str">
        <f t="shared" si="562"/>
        <v>974.675</v>
      </c>
      <c r="AC226" s="168" t="str">
        <f t="shared" si="563"/>
        <v>79.006</v>
      </c>
      <c r="AD226" s="164" t="str">
        <f t="shared" si="574"/>
        <v>11.54</v>
      </c>
      <c r="AE226" s="164">
        <v>76.92</v>
      </c>
      <c r="AF226" s="164" t="str">
        <f t="shared" si="565"/>
        <v>4.80</v>
      </c>
      <c r="AG226" s="165">
        <v>120.0</v>
      </c>
      <c r="AH226" s="23"/>
      <c r="AI226" s="292">
        <v>0.04</v>
      </c>
      <c r="AJ226" s="24" t="str">
        <f t="shared" si="566"/>
        <v>654.05</v>
      </c>
      <c r="AK226" s="279" t="str">
        <f t="shared" si="567"/>
        <v>76.68%</v>
      </c>
      <c r="AL226" s="280">
        <v>200.0</v>
      </c>
      <c r="AM226" s="281" t="str">
        <f t="shared" si="360"/>
        <v>130,810.67</v>
      </c>
      <c r="AN226" s="280">
        <v>127.0</v>
      </c>
      <c r="AO226" s="293" t="s">
        <v>686</v>
      </c>
      <c r="AP226" s="283">
        <v>844.6</v>
      </c>
      <c r="AQ226" s="283" t="str">
        <f t="shared" si="361"/>
        <v>107,264.20</v>
      </c>
      <c r="AR226" s="283">
        <v>94.96</v>
      </c>
      <c r="AS226" s="284">
        <v>150.0</v>
      </c>
      <c r="AT226" s="285" t="str">
        <f t="shared" si="235"/>
        <v>98,108.00</v>
      </c>
      <c r="AU226" s="284">
        <v>91.0</v>
      </c>
      <c r="AV226" s="286">
        <v>0.0441</v>
      </c>
      <c r="AW226" s="285">
        <v>74183.14</v>
      </c>
      <c r="AX226" s="284">
        <v>95.57</v>
      </c>
      <c r="AY226" s="26"/>
      <c r="AZ226" s="171" t="str">
        <f t="shared" si="568"/>
        <v>0.00%</v>
      </c>
      <c r="BA226" s="172" t="str">
        <f t="shared" si="569"/>
        <v>0.00</v>
      </c>
      <c r="BB226" s="173" t="str">
        <f t="shared" si="570"/>
        <v>2,188.46</v>
      </c>
      <c r="BC226" s="174" t="str">
        <f t="shared" si="571"/>
        <v>1,553.81</v>
      </c>
    </row>
    <row r="227" ht="12.75" hidden="1" customHeight="1">
      <c r="A227" s="26"/>
      <c r="B227" s="125" t="s">
        <v>450</v>
      </c>
      <c r="C227" s="126"/>
      <c r="D227" s="127"/>
      <c r="E227" s="128"/>
      <c r="F227" s="128"/>
      <c r="G227" s="128"/>
      <c r="H227" s="197"/>
      <c r="I227" s="197"/>
      <c r="J227" s="128"/>
      <c r="K227" s="130"/>
      <c r="L227" s="131"/>
      <c r="M227" s="132"/>
      <c r="N227" s="176"/>
      <c r="O227" s="133"/>
      <c r="P227" s="133"/>
      <c r="Q227" s="176"/>
      <c r="R227" s="134"/>
      <c r="S227" s="135"/>
      <c r="T227" s="135"/>
      <c r="U227" s="136"/>
      <c r="V227" s="137"/>
      <c r="W227" s="177"/>
      <c r="X227" s="178"/>
      <c r="Y227" s="179"/>
      <c r="Z227" s="180"/>
      <c r="AA227" s="181"/>
      <c r="AB227" s="182"/>
      <c r="AC227" s="182"/>
      <c r="AD227" s="178"/>
      <c r="AE227" s="178"/>
      <c r="AF227" s="178"/>
      <c r="AG227" s="179"/>
      <c r="AH227" s="183"/>
      <c r="AI227" s="271"/>
      <c r="AJ227" s="287"/>
      <c r="AK227" s="288"/>
      <c r="AL227" s="280"/>
      <c r="AM227" s="281" t="str">
        <f t="shared" si="360"/>
        <v>0.00</v>
      </c>
      <c r="AN227" s="280"/>
      <c r="AO227" s="282"/>
      <c r="AP227" s="283"/>
      <c r="AQ227" s="283" t="str">
        <f t="shared" si="361"/>
        <v>0.00</v>
      </c>
      <c r="AR227" s="283"/>
      <c r="AS227" s="284"/>
      <c r="AT227" s="285" t="str">
        <f t="shared" si="235"/>
        <v>0.00</v>
      </c>
      <c r="AU227" s="284"/>
      <c r="AV227" s="286"/>
      <c r="AW227" s="285"/>
      <c r="AX227" s="284"/>
      <c r="AY227" s="26"/>
      <c r="AZ227" s="186"/>
      <c r="BA227" s="187"/>
      <c r="BB227" s="188"/>
      <c r="BC227" s="189"/>
    </row>
    <row r="228" ht="12.75" hidden="1" customHeight="1">
      <c r="A228" s="26"/>
      <c r="B228" s="190" t="s">
        <v>451</v>
      </c>
      <c r="C228" s="191">
        <v>1.68956857E8</v>
      </c>
      <c r="D228" s="152" t="s">
        <v>452</v>
      </c>
      <c r="E228" s="53" t="s">
        <v>77</v>
      </c>
      <c r="F228" s="154">
        <v>1.0</v>
      </c>
      <c r="G228" s="53"/>
      <c r="H228" s="53" t="str">
        <f t="shared" ref="H228:H256" si="576">$I$2</f>
        <v>0.00069</v>
      </c>
      <c r="I228" s="53" t="str">
        <f t="shared" ref="I228:I256" si="577">$I$3</f>
        <v>89</v>
      </c>
      <c r="J228" s="53" t="str">
        <f t="shared" ref="J228:J256" si="578">G228*H228*I228*F228</f>
        <v>0</v>
      </c>
      <c r="K228" s="155" t="str">
        <f t="shared" ref="K228:K256" si="579">J228*$J$4</f>
        <v>0.00</v>
      </c>
      <c r="L228" s="156" t="str">
        <f t="shared" ref="L228:L256" si="580">K228+J228</f>
        <v>0.00 </v>
      </c>
      <c r="M228" s="132">
        <v>90.0</v>
      </c>
      <c r="N228" s="157">
        <v>0.0</v>
      </c>
      <c r="O228" s="277">
        <v>0.0</v>
      </c>
      <c r="P228" s="277" t="str">
        <f t="shared" ref="P228:P256" si="581">K228/E228</f>
        <v>#VALUE!</v>
      </c>
      <c r="Q228" s="157">
        <v>0.0</v>
      </c>
      <c r="R228" s="158">
        <v>1246.8</v>
      </c>
      <c r="S228" s="159" t="str">
        <f t="shared" ref="S228:S256" si="582">BB228</f>
        <v>363.91</v>
      </c>
      <c r="T228" s="160"/>
      <c r="U228" s="161">
        <v>0.26</v>
      </c>
      <c r="V228" s="162" t="str">
        <f t="shared" ref="V228:V238" si="583">R228-(R228*U228)</f>
        <v>922.63</v>
      </c>
      <c r="W228" s="163" t="str">
        <f t="shared" ref="W228:W238" si="584">$C$1</f>
        <v>60.00</v>
      </c>
      <c r="X228" s="164" t="str">
        <f t="shared" ref="X228:X256" si="585">(V228*7/107)+((V228-(V228*7/107))*1%)</f>
        <v>68.98</v>
      </c>
      <c r="Y228" s="165" t="str">
        <f t="shared" ref="Y228:Y238" si="586">Q228*$C$3*(M228/30)</f>
        <v>0.00</v>
      </c>
      <c r="Z228" s="166">
        <v>1.46</v>
      </c>
      <c r="AA228" s="167" t="str">
        <f t="shared" ref="AA228:AA238" si="587">((_xlfn.CEILING.MATH(Z228)-1)*$C$5+$C$4)</f>
        <v>95</v>
      </c>
      <c r="AB228" s="168" t="str">
        <f t="shared" ref="AB228:AB238" si="588">R228*$AB$6</f>
        <v>405.210</v>
      </c>
      <c r="AC228" s="168" t="str">
        <f t="shared" ref="AC228:AC238" si="589">V228*$AB$7</f>
        <v>32.846</v>
      </c>
      <c r="AD228" s="164" t="str">
        <f t="shared" ref="AD228:AD238" si="590">$AB$3*((100-AE228)/100)</f>
        <v>2.48</v>
      </c>
      <c r="AE228" s="164">
        <v>95.04</v>
      </c>
      <c r="AF228" s="164" t="str">
        <f t="shared" ref="AF228:AF238" si="591">$C$6*$C$7*_xlfn.CEILING.MATH(Z228)</f>
        <v>9.60</v>
      </c>
      <c r="AG228" s="165" t="str">
        <f t="shared" ref="AG228:AG238" si="592">R228*$C$2</f>
        <v>124.68</v>
      </c>
      <c r="AH228" s="23"/>
      <c r="AI228" s="278">
        <v>0.1</v>
      </c>
      <c r="AJ228" s="24" t="str">
        <f t="shared" ref="AJ228:AJ238" si="593">R228-W228-X228-Y228-AA228-AB228-AC228-AD228-AF228-AG228-Q228</f>
        <v>448.00</v>
      </c>
      <c r="AK228" s="279" t="str">
        <f t="shared" ref="AK228:AK238" si="594">AJ228/Q228</f>
        <v>#DIV/0!</v>
      </c>
      <c r="AL228" s="280"/>
      <c r="AM228" s="281" t="str">
        <f t="shared" si="360"/>
        <v>0.00</v>
      </c>
      <c r="AN228" s="280"/>
      <c r="AO228" s="282"/>
      <c r="AP228" s="283"/>
      <c r="AQ228" s="283" t="str">
        <f t="shared" si="361"/>
        <v>0.00</v>
      </c>
      <c r="AR228" s="283"/>
      <c r="AS228" s="284"/>
      <c r="AT228" s="285" t="str">
        <f t="shared" si="235"/>
        <v>0.00</v>
      </c>
      <c r="AU228" s="284"/>
      <c r="AV228" s="286"/>
      <c r="AW228" s="285"/>
      <c r="AX228" s="284"/>
      <c r="AY228" s="26"/>
      <c r="AZ228" s="171" t="str">
        <f t="shared" ref="AZ228:AZ238" si="595">$AG$3</f>
        <v>0.00%</v>
      </c>
      <c r="BA228" s="172" t="str">
        <f t="shared" ref="BA228:BA238" si="596">Q228*AZ228</f>
        <v>0.00</v>
      </c>
      <c r="BB228" s="173" t="str">
        <f t="shared" ref="BB228:BB238" si="597">(Q228+W228+Y228+AA228+AD228+AF228+AI228+BA228)/(100%-($C$2+$C$8+$AB$6+$AB$7))</f>
        <v>363.91</v>
      </c>
      <c r="BC228" s="174" t="str">
        <f t="shared" ref="BC228:BC238" si="598">BB228-(BB228*$AG$1)</f>
        <v>258.38</v>
      </c>
    </row>
    <row r="229" ht="12.75" hidden="1" customHeight="1">
      <c r="A229" s="26"/>
      <c r="B229" s="190" t="s">
        <v>453</v>
      </c>
      <c r="C229" s="192">
        <v>1.88818E8</v>
      </c>
      <c r="D229" s="152" t="s">
        <v>454</v>
      </c>
      <c r="E229" s="53" t="s">
        <v>455</v>
      </c>
      <c r="F229" s="154">
        <v>1.0</v>
      </c>
      <c r="G229" s="53"/>
      <c r="H229" s="53" t="str">
        <f t="shared" si="576"/>
        <v>0.00069</v>
      </c>
      <c r="I229" s="53" t="str">
        <f t="shared" si="577"/>
        <v>89</v>
      </c>
      <c r="J229" s="53" t="str">
        <f t="shared" si="578"/>
        <v>0</v>
      </c>
      <c r="K229" s="155" t="str">
        <f t="shared" si="579"/>
        <v>0.00</v>
      </c>
      <c r="L229" s="156" t="str">
        <f t="shared" si="580"/>
        <v>0.00 </v>
      </c>
      <c r="M229" s="132">
        <v>90.0</v>
      </c>
      <c r="N229" s="157">
        <v>0.0</v>
      </c>
      <c r="O229" s="277">
        <v>0.0</v>
      </c>
      <c r="P229" s="277" t="str">
        <f t="shared" si="581"/>
        <v>#VALUE!</v>
      </c>
      <c r="Q229" s="157">
        <v>0.0</v>
      </c>
      <c r="R229" s="158">
        <v>816.0</v>
      </c>
      <c r="S229" s="159" t="str">
        <f t="shared" si="582"/>
        <v>319.95</v>
      </c>
      <c r="T229" s="160"/>
      <c r="U229" s="161">
        <v>0.26</v>
      </c>
      <c r="V229" s="162" t="str">
        <f t="shared" si="583"/>
        <v>603.84</v>
      </c>
      <c r="W229" s="163" t="str">
        <f t="shared" si="584"/>
        <v>60.00</v>
      </c>
      <c r="X229" s="164" t="str">
        <f t="shared" si="585"/>
        <v>45.15</v>
      </c>
      <c r="Y229" s="165" t="str">
        <f t="shared" si="586"/>
        <v>0.00</v>
      </c>
      <c r="Z229" s="166">
        <v>0.61</v>
      </c>
      <c r="AA229" s="167" t="str">
        <f t="shared" si="587"/>
        <v>76</v>
      </c>
      <c r="AB229" s="168" t="str">
        <f t="shared" si="588"/>
        <v>265.200</v>
      </c>
      <c r="AC229" s="168" t="str">
        <f t="shared" si="589"/>
        <v>21.497</v>
      </c>
      <c r="AD229" s="164" t="str">
        <f t="shared" si="590"/>
        <v>6.09</v>
      </c>
      <c r="AE229" s="164">
        <v>87.83</v>
      </c>
      <c r="AF229" s="164" t="str">
        <f t="shared" si="591"/>
        <v>4.80</v>
      </c>
      <c r="AG229" s="165" t="str">
        <f t="shared" si="592"/>
        <v>81.60</v>
      </c>
      <c r="AH229" s="23"/>
      <c r="AI229" s="278">
        <v>0.1</v>
      </c>
      <c r="AJ229" s="24" t="str">
        <f t="shared" si="593"/>
        <v>255.67</v>
      </c>
      <c r="AK229" s="279" t="str">
        <f t="shared" si="594"/>
        <v>#DIV/0!</v>
      </c>
      <c r="AL229" s="280"/>
      <c r="AM229" s="281" t="str">
        <f t="shared" si="360"/>
        <v>0.00</v>
      </c>
      <c r="AN229" s="280"/>
      <c r="AO229" s="282"/>
      <c r="AP229" s="283"/>
      <c r="AQ229" s="283" t="str">
        <f t="shared" si="361"/>
        <v>0.00</v>
      </c>
      <c r="AR229" s="283"/>
      <c r="AS229" s="284"/>
      <c r="AT229" s="285" t="str">
        <f t="shared" si="235"/>
        <v>0.00</v>
      </c>
      <c r="AU229" s="284"/>
      <c r="AV229" s="286"/>
      <c r="AW229" s="285"/>
      <c r="AX229" s="284"/>
      <c r="AY229" s="26"/>
      <c r="AZ229" s="171" t="str">
        <f t="shared" si="595"/>
        <v>0.00%</v>
      </c>
      <c r="BA229" s="172" t="str">
        <f t="shared" si="596"/>
        <v>0.00</v>
      </c>
      <c r="BB229" s="173" t="str">
        <f t="shared" si="597"/>
        <v>319.95</v>
      </c>
      <c r="BC229" s="174" t="str">
        <f t="shared" si="598"/>
        <v>227.16</v>
      </c>
    </row>
    <row r="230" ht="12.75" hidden="1" customHeight="1">
      <c r="A230" s="26"/>
      <c r="B230" s="190" t="s">
        <v>456</v>
      </c>
      <c r="C230" s="215">
        <v>1.88823064E8</v>
      </c>
      <c r="D230" s="152" t="s">
        <v>457</v>
      </c>
      <c r="E230" s="53" t="s">
        <v>77</v>
      </c>
      <c r="F230" s="154">
        <v>1.0</v>
      </c>
      <c r="G230" s="53"/>
      <c r="H230" s="53" t="str">
        <f t="shared" si="576"/>
        <v>0.00069</v>
      </c>
      <c r="I230" s="53" t="str">
        <f t="shared" si="577"/>
        <v>89</v>
      </c>
      <c r="J230" s="53" t="str">
        <f t="shared" si="578"/>
        <v>0</v>
      </c>
      <c r="K230" s="155" t="str">
        <f t="shared" si="579"/>
        <v>0.00</v>
      </c>
      <c r="L230" s="156" t="str">
        <f t="shared" si="580"/>
        <v>0.00 </v>
      </c>
      <c r="M230" s="132">
        <v>90.0</v>
      </c>
      <c r="N230" s="157">
        <v>0.0</v>
      </c>
      <c r="O230" s="277">
        <v>0.0</v>
      </c>
      <c r="P230" s="277" t="str">
        <f t="shared" si="581"/>
        <v>#VALUE!</v>
      </c>
      <c r="Q230" s="157">
        <v>0.0</v>
      </c>
      <c r="R230" s="158">
        <v>729.9</v>
      </c>
      <c r="S230" s="159" t="str">
        <f t="shared" si="582"/>
        <v>362.70</v>
      </c>
      <c r="T230" s="160"/>
      <c r="U230" s="161">
        <v>0.26</v>
      </c>
      <c r="V230" s="162" t="str">
        <f t="shared" si="583"/>
        <v>540.13</v>
      </c>
      <c r="W230" s="163" t="str">
        <f t="shared" si="584"/>
        <v>60.00</v>
      </c>
      <c r="X230" s="164" t="str">
        <f t="shared" si="585"/>
        <v>40.38</v>
      </c>
      <c r="Y230" s="165" t="str">
        <f t="shared" si="586"/>
        <v>0.00</v>
      </c>
      <c r="Z230" s="166">
        <v>1.08</v>
      </c>
      <c r="AA230" s="167" t="str">
        <f t="shared" si="587"/>
        <v>95</v>
      </c>
      <c r="AB230" s="168" t="str">
        <f t="shared" si="588"/>
        <v>237.218</v>
      </c>
      <c r="AC230" s="168" t="str">
        <f t="shared" si="589"/>
        <v>19.228</v>
      </c>
      <c r="AD230" s="164" t="str">
        <f t="shared" si="590"/>
        <v>1.93</v>
      </c>
      <c r="AE230" s="164">
        <v>96.15</v>
      </c>
      <c r="AF230" s="164" t="str">
        <f t="shared" si="591"/>
        <v>9.60</v>
      </c>
      <c r="AG230" s="165" t="str">
        <f t="shared" si="592"/>
        <v>72.99</v>
      </c>
      <c r="AH230" s="23"/>
      <c r="AI230" s="278">
        <v>0.1</v>
      </c>
      <c r="AJ230" s="24" t="str">
        <f t="shared" si="593"/>
        <v>193.56</v>
      </c>
      <c r="AK230" s="279" t="str">
        <f t="shared" si="594"/>
        <v>#DIV/0!</v>
      </c>
      <c r="AL230" s="280"/>
      <c r="AM230" s="281" t="str">
        <f t="shared" si="360"/>
        <v>0.00</v>
      </c>
      <c r="AN230" s="280"/>
      <c r="AO230" s="282"/>
      <c r="AP230" s="283"/>
      <c r="AQ230" s="283" t="str">
        <f t="shared" si="361"/>
        <v>0.00</v>
      </c>
      <c r="AR230" s="283"/>
      <c r="AS230" s="284"/>
      <c r="AT230" s="285" t="str">
        <f t="shared" si="235"/>
        <v>0.00</v>
      </c>
      <c r="AU230" s="284"/>
      <c r="AV230" s="286"/>
      <c r="AW230" s="285"/>
      <c r="AX230" s="284"/>
      <c r="AY230" s="26"/>
      <c r="AZ230" s="171" t="str">
        <f t="shared" si="595"/>
        <v>0.00%</v>
      </c>
      <c r="BA230" s="172" t="str">
        <f t="shared" si="596"/>
        <v>0.00</v>
      </c>
      <c r="BB230" s="173" t="str">
        <f t="shared" si="597"/>
        <v>362.70</v>
      </c>
      <c r="BC230" s="174" t="str">
        <f t="shared" si="598"/>
        <v>257.52</v>
      </c>
    </row>
    <row r="231" ht="12.75" hidden="1" customHeight="1">
      <c r="A231" s="26"/>
      <c r="B231" s="190" t="s">
        <v>458</v>
      </c>
      <c r="C231" s="191">
        <v>1.99544883E8</v>
      </c>
      <c r="D231" s="152" t="s">
        <v>459</v>
      </c>
      <c r="E231" s="53" t="s">
        <v>77</v>
      </c>
      <c r="F231" s="154">
        <v>1.0</v>
      </c>
      <c r="G231" s="53"/>
      <c r="H231" s="53" t="str">
        <f t="shared" si="576"/>
        <v>0.00069</v>
      </c>
      <c r="I231" s="53" t="str">
        <f t="shared" si="577"/>
        <v>89</v>
      </c>
      <c r="J231" s="53" t="str">
        <f t="shared" si="578"/>
        <v>0</v>
      </c>
      <c r="K231" s="155" t="str">
        <f t="shared" si="579"/>
        <v>0.00</v>
      </c>
      <c r="L231" s="156" t="str">
        <f t="shared" si="580"/>
        <v>0.00 </v>
      </c>
      <c r="M231" s="132">
        <v>90.0</v>
      </c>
      <c r="N231" s="157">
        <v>0.0</v>
      </c>
      <c r="O231" s="277">
        <v>0.0</v>
      </c>
      <c r="P231" s="277" t="str">
        <f t="shared" si="581"/>
        <v>#VALUE!</v>
      </c>
      <c r="Q231" s="157">
        <v>0.0</v>
      </c>
      <c r="R231" s="158">
        <v>1809.9</v>
      </c>
      <c r="S231" s="159" t="str">
        <f t="shared" si="582"/>
        <v>414.44</v>
      </c>
      <c r="T231" s="160"/>
      <c r="U231" s="161">
        <v>0.26</v>
      </c>
      <c r="V231" s="162" t="str">
        <f t="shared" si="583"/>
        <v>1,339.33</v>
      </c>
      <c r="W231" s="163" t="str">
        <f t="shared" si="584"/>
        <v>60.00</v>
      </c>
      <c r="X231" s="164" t="str">
        <f t="shared" si="585"/>
        <v>100.14</v>
      </c>
      <c r="Y231" s="165" t="str">
        <f t="shared" si="586"/>
        <v>0.00</v>
      </c>
      <c r="Z231" s="166">
        <v>2.64</v>
      </c>
      <c r="AA231" s="167" t="str">
        <f t="shared" si="587"/>
        <v>114</v>
      </c>
      <c r="AB231" s="168" t="str">
        <f t="shared" si="588"/>
        <v>588.218</v>
      </c>
      <c r="AC231" s="168" t="str">
        <f t="shared" si="589"/>
        <v>47.680</v>
      </c>
      <c r="AD231" s="164" t="str">
        <f t="shared" si="590"/>
        <v>1.90</v>
      </c>
      <c r="AE231" s="164">
        <v>96.21</v>
      </c>
      <c r="AF231" s="164" t="str">
        <f t="shared" si="591"/>
        <v>14.40</v>
      </c>
      <c r="AG231" s="165" t="str">
        <f t="shared" si="592"/>
        <v>180.99</v>
      </c>
      <c r="AH231" s="23"/>
      <c r="AI231" s="278">
        <v>0.1</v>
      </c>
      <c r="AJ231" s="24" t="str">
        <f t="shared" si="593"/>
        <v>702.58</v>
      </c>
      <c r="AK231" s="279" t="str">
        <f t="shared" si="594"/>
        <v>#DIV/0!</v>
      </c>
      <c r="AL231" s="280"/>
      <c r="AM231" s="281" t="str">
        <f t="shared" si="360"/>
        <v>0.00</v>
      </c>
      <c r="AN231" s="280"/>
      <c r="AO231" s="282"/>
      <c r="AP231" s="283"/>
      <c r="AQ231" s="283" t="str">
        <f t="shared" si="361"/>
        <v>0.00</v>
      </c>
      <c r="AR231" s="283"/>
      <c r="AS231" s="284"/>
      <c r="AT231" s="285" t="str">
        <f t="shared" si="235"/>
        <v>0.00</v>
      </c>
      <c r="AU231" s="284"/>
      <c r="AV231" s="286"/>
      <c r="AW231" s="285"/>
      <c r="AX231" s="284"/>
      <c r="AY231" s="26"/>
      <c r="AZ231" s="171" t="str">
        <f t="shared" si="595"/>
        <v>0.00%</v>
      </c>
      <c r="BA231" s="172" t="str">
        <f t="shared" si="596"/>
        <v>0.00</v>
      </c>
      <c r="BB231" s="173" t="str">
        <f t="shared" si="597"/>
        <v>414.44</v>
      </c>
      <c r="BC231" s="174" t="str">
        <f t="shared" si="598"/>
        <v>294.25</v>
      </c>
    </row>
    <row r="232" ht="12.75" hidden="1" customHeight="1">
      <c r="A232" s="26"/>
      <c r="B232" s="190" t="s">
        <v>460</v>
      </c>
      <c r="C232" s="192">
        <v>1.6895673E8</v>
      </c>
      <c r="D232" s="152" t="s">
        <v>461</v>
      </c>
      <c r="E232" s="53" t="s">
        <v>77</v>
      </c>
      <c r="F232" s="154">
        <v>1.0</v>
      </c>
      <c r="G232" s="53"/>
      <c r="H232" s="53" t="str">
        <f t="shared" si="576"/>
        <v>0.00069</v>
      </c>
      <c r="I232" s="53" t="str">
        <f t="shared" si="577"/>
        <v>89</v>
      </c>
      <c r="J232" s="53" t="str">
        <f t="shared" si="578"/>
        <v>0</v>
      </c>
      <c r="K232" s="155" t="str">
        <f t="shared" si="579"/>
        <v>0.00</v>
      </c>
      <c r="L232" s="156" t="str">
        <f t="shared" si="580"/>
        <v>0.00 </v>
      </c>
      <c r="M232" s="132">
        <v>90.0</v>
      </c>
      <c r="N232" s="157">
        <v>0.0</v>
      </c>
      <c r="O232" s="277">
        <v>0.0</v>
      </c>
      <c r="P232" s="277" t="str">
        <f t="shared" si="581"/>
        <v>#VALUE!</v>
      </c>
      <c r="Q232" s="157">
        <v>0.0</v>
      </c>
      <c r="R232" s="158">
        <v>880.2</v>
      </c>
      <c r="S232" s="159" t="str">
        <f t="shared" si="582"/>
        <v>308.89</v>
      </c>
      <c r="T232" s="160"/>
      <c r="U232" s="161">
        <v>0.26</v>
      </c>
      <c r="V232" s="162" t="str">
        <f t="shared" si="583"/>
        <v>651.35</v>
      </c>
      <c r="W232" s="163" t="str">
        <f t="shared" si="584"/>
        <v>60.00</v>
      </c>
      <c r="X232" s="164" t="str">
        <f t="shared" si="585"/>
        <v>48.70</v>
      </c>
      <c r="Y232" s="165" t="str">
        <f t="shared" si="586"/>
        <v>0.00</v>
      </c>
      <c r="Z232" s="166">
        <v>0.69</v>
      </c>
      <c r="AA232" s="167" t="str">
        <f t="shared" si="587"/>
        <v>76</v>
      </c>
      <c r="AB232" s="168" t="str">
        <f t="shared" si="588"/>
        <v>286.065</v>
      </c>
      <c r="AC232" s="168" t="str">
        <f t="shared" si="589"/>
        <v>23.188</v>
      </c>
      <c r="AD232" s="164" t="str">
        <f t="shared" si="590"/>
        <v>1.01</v>
      </c>
      <c r="AE232" s="164">
        <v>97.99</v>
      </c>
      <c r="AF232" s="164" t="str">
        <f t="shared" si="591"/>
        <v>4.80</v>
      </c>
      <c r="AG232" s="165" t="str">
        <f t="shared" si="592"/>
        <v>88.02</v>
      </c>
      <c r="AH232" s="23"/>
      <c r="AI232" s="278">
        <v>0.1</v>
      </c>
      <c r="AJ232" s="24" t="str">
        <f t="shared" si="593"/>
        <v>292.42</v>
      </c>
      <c r="AK232" s="279" t="str">
        <f t="shared" si="594"/>
        <v>#DIV/0!</v>
      </c>
      <c r="AL232" s="280"/>
      <c r="AM232" s="281" t="str">
        <f t="shared" si="360"/>
        <v>0.00</v>
      </c>
      <c r="AN232" s="280"/>
      <c r="AO232" s="282"/>
      <c r="AP232" s="283"/>
      <c r="AQ232" s="283" t="str">
        <f t="shared" si="361"/>
        <v>0.00</v>
      </c>
      <c r="AR232" s="283"/>
      <c r="AS232" s="284"/>
      <c r="AT232" s="285" t="str">
        <f t="shared" si="235"/>
        <v>0.00</v>
      </c>
      <c r="AU232" s="284"/>
      <c r="AV232" s="286"/>
      <c r="AW232" s="285"/>
      <c r="AX232" s="284"/>
      <c r="AY232" s="26"/>
      <c r="AZ232" s="171" t="str">
        <f t="shared" si="595"/>
        <v>0.00%</v>
      </c>
      <c r="BA232" s="172" t="str">
        <f t="shared" si="596"/>
        <v>0.00</v>
      </c>
      <c r="BB232" s="173" t="str">
        <f t="shared" si="597"/>
        <v>308.89</v>
      </c>
      <c r="BC232" s="174" t="str">
        <f t="shared" si="598"/>
        <v>219.31</v>
      </c>
    </row>
    <row r="233" ht="12.75" hidden="1" customHeight="1">
      <c r="A233" s="26"/>
      <c r="B233" s="190" t="s">
        <v>462</v>
      </c>
      <c r="C233" s="192">
        <v>1.90158095E8</v>
      </c>
      <c r="D233" s="152" t="s">
        <v>463</v>
      </c>
      <c r="E233" s="53" t="s">
        <v>77</v>
      </c>
      <c r="F233" s="154">
        <v>1.0</v>
      </c>
      <c r="G233" s="53"/>
      <c r="H233" s="53" t="str">
        <f t="shared" si="576"/>
        <v>0.00069</v>
      </c>
      <c r="I233" s="53" t="str">
        <f t="shared" si="577"/>
        <v>89</v>
      </c>
      <c r="J233" s="53" t="str">
        <f t="shared" si="578"/>
        <v>0</v>
      </c>
      <c r="K233" s="155" t="str">
        <f t="shared" si="579"/>
        <v>0.00</v>
      </c>
      <c r="L233" s="156" t="str">
        <f t="shared" si="580"/>
        <v>0.00 </v>
      </c>
      <c r="M233" s="132">
        <v>90.0</v>
      </c>
      <c r="N233" s="157">
        <v>0.0</v>
      </c>
      <c r="O233" s="277">
        <v>0.0</v>
      </c>
      <c r="P233" s="277" t="str">
        <f t="shared" si="581"/>
        <v>#VALUE!</v>
      </c>
      <c r="Q233" s="157">
        <v>0.0</v>
      </c>
      <c r="R233" s="158">
        <v>959.1</v>
      </c>
      <c r="S233" s="159" t="str">
        <f t="shared" si="582"/>
        <v>306.70</v>
      </c>
      <c r="T233" s="160"/>
      <c r="U233" s="161">
        <v>0.26</v>
      </c>
      <c r="V233" s="162" t="str">
        <f t="shared" si="583"/>
        <v>709.73</v>
      </c>
      <c r="W233" s="163" t="str">
        <f t="shared" si="584"/>
        <v>60.00</v>
      </c>
      <c r="X233" s="164" t="str">
        <f t="shared" si="585"/>
        <v>53.06</v>
      </c>
      <c r="Y233" s="165" t="str">
        <f t="shared" si="586"/>
        <v>0.00</v>
      </c>
      <c r="Z233" s="166">
        <v>0.36</v>
      </c>
      <c r="AA233" s="167" t="str">
        <f t="shared" si="587"/>
        <v>76</v>
      </c>
      <c r="AB233" s="168" t="str">
        <f t="shared" si="588"/>
        <v>311.708</v>
      </c>
      <c r="AC233" s="168" t="str">
        <f t="shared" si="589"/>
        <v>25.267</v>
      </c>
      <c r="AD233" s="164" t="str">
        <f t="shared" si="590"/>
        <v>0.00</v>
      </c>
      <c r="AE233" s="164">
        <v>100.0</v>
      </c>
      <c r="AF233" s="164" t="str">
        <f t="shared" si="591"/>
        <v>4.80</v>
      </c>
      <c r="AG233" s="165" t="str">
        <f t="shared" si="592"/>
        <v>95.91</v>
      </c>
      <c r="AH233" s="23"/>
      <c r="AI233" s="278">
        <v>0.1</v>
      </c>
      <c r="AJ233" s="24" t="str">
        <f t="shared" si="593"/>
        <v>332.35</v>
      </c>
      <c r="AK233" s="279" t="str">
        <f t="shared" si="594"/>
        <v>#DIV/0!</v>
      </c>
      <c r="AL233" s="280"/>
      <c r="AM233" s="281" t="str">
        <f t="shared" si="360"/>
        <v>0.00</v>
      </c>
      <c r="AN233" s="280"/>
      <c r="AO233" s="282"/>
      <c r="AP233" s="283"/>
      <c r="AQ233" s="283" t="str">
        <f t="shared" si="361"/>
        <v>0.00</v>
      </c>
      <c r="AR233" s="283"/>
      <c r="AS233" s="284"/>
      <c r="AT233" s="285" t="str">
        <f t="shared" si="235"/>
        <v>0.00</v>
      </c>
      <c r="AU233" s="284"/>
      <c r="AV233" s="286"/>
      <c r="AW233" s="285"/>
      <c r="AX233" s="284"/>
      <c r="AY233" s="26"/>
      <c r="AZ233" s="171" t="str">
        <f t="shared" si="595"/>
        <v>0.00%</v>
      </c>
      <c r="BA233" s="172" t="str">
        <f t="shared" si="596"/>
        <v>0.00</v>
      </c>
      <c r="BB233" s="173" t="str">
        <f t="shared" si="597"/>
        <v>306.70</v>
      </c>
      <c r="BC233" s="174" t="str">
        <f t="shared" si="598"/>
        <v>217.76</v>
      </c>
    </row>
    <row r="234" ht="12.75" hidden="1" customHeight="1">
      <c r="A234" s="26"/>
      <c r="B234" s="190" t="s">
        <v>464</v>
      </c>
      <c r="C234" s="191">
        <v>1.90158096E8</v>
      </c>
      <c r="D234" s="152" t="s">
        <v>465</v>
      </c>
      <c r="E234" s="53" t="s">
        <v>77</v>
      </c>
      <c r="F234" s="154">
        <v>1.0</v>
      </c>
      <c r="G234" s="53"/>
      <c r="H234" s="53" t="str">
        <f t="shared" si="576"/>
        <v>0.00069</v>
      </c>
      <c r="I234" s="53" t="str">
        <f t="shared" si="577"/>
        <v>89</v>
      </c>
      <c r="J234" s="53" t="str">
        <f t="shared" si="578"/>
        <v>0</v>
      </c>
      <c r="K234" s="155" t="str">
        <f t="shared" si="579"/>
        <v>0.00</v>
      </c>
      <c r="L234" s="156" t="str">
        <f t="shared" si="580"/>
        <v>0.00 </v>
      </c>
      <c r="M234" s="132">
        <v>90.0</v>
      </c>
      <c r="N234" s="157">
        <v>0.0</v>
      </c>
      <c r="O234" s="277">
        <v>0.0</v>
      </c>
      <c r="P234" s="277" t="str">
        <f t="shared" si="581"/>
        <v>#VALUE!</v>
      </c>
      <c r="Q234" s="157">
        <v>0.0</v>
      </c>
      <c r="R234" s="158">
        <v>959.1</v>
      </c>
      <c r="S234" s="159" t="str">
        <f t="shared" si="582"/>
        <v>310.59</v>
      </c>
      <c r="T234" s="160"/>
      <c r="U234" s="161">
        <v>0.26</v>
      </c>
      <c r="V234" s="162" t="str">
        <f t="shared" si="583"/>
        <v>709.73</v>
      </c>
      <c r="W234" s="163" t="str">
        <f t="shared" si="584"/>
        <v>60.00</v>
      </c>
      <c r="X234" s="164" t="str">
        <f t="shared" si="585"/>
        <v>53.06</v>
      </c>
      <c r="Y234" s="165" t="str">
        <f t="shared" si="586"/>
        <v>0.00</v>
      </c>
      <c r="Z234" s="166">
        <v>0.36</v>
      </c>
      <c r="AA234" s="167" t="str">
        <f t="shared" si="587"/>
        <v>76</v>
      </c>
      <c r="AB234" s="168" t="str">
        <f t="shared" si="588"/>
        <v>311.708</v>
      </c>
      <c r="AC234" s="168" t="str">
        <f t="shared" si="589"/>
        <v>25.267</v>
      </c>
      <c r="AD234" s="164" t="str">
        <f t="shared" si="590"/>
        <v>1.79</v>
      </c>
      <c r="AE234" s="164">
        <v>96.43</v>
      </c>
      <c r="AF234" s="164" t="str">
        <f t="shared" si="591"/>
        <v>4.80</v>
      </c>
      <c r="AG234" s="165" t="str">
        <f t="shared" si="592"/>
        <v>95.91</v>
      </c>
      <c r="AH234" s="23"/>
      <c r="AI234" s="278">
        <v>0.1</v>
      </c>
      <c r="AJ234" s="24" t="str">
        <f t="shared" si="593"/>
        <v>330.57</v>
      </c>
      <c r="AK234" s="279" t="str">
        <f t="shared" si="594"/>
        <v>#DIV/0!</v>
      </c>
      <c r="AL234" s="280"/>
      <c r="AM234" s="281" t="str">
        <f t="shared" si="360"/>
        <v>0.00</v>
      </c>
      <c r="AN234" s="280"/>
      <c r="AO234" s="282"/>
      <c r="AP234" s="283"/>
      <c r="AQ234" s="283" t="str">
        <f t="shared" si="361"/>
        <v>0.00</v>
      </c>
      <c r="AR234" s="283"/>
      <c r="AS234" s="284"/>
      <c r="AT234" s="285" t="str">
        <f t="shared" si="235"/>
        <v>0.00</v>
      </c>
      <c r="AU234" s="284"/>
      <c r="AV234" s="286"/>
      <c r="AW234" s="285"/>
      <c r="AX234" s="284"/>
      <c r="AY234" s="26"/>
      <c r="AZ234" s="171" t="str">
        <f t="shared" si="595"/>
        <v>0.00%</v>
      </c>
      <c r="BA234" s="172" t="str">
        <f t="shared" si="596"/>
        <v>0.00</v>
      </c>
      <c r="BB234" s="173" t="str">
        <f t="shared" si="597"/>
        <v>310.59</v>
      </c>
      <c r="BC234" s="174" t="str">
        <f t="shared" si="598"/>
        <v>220.52</v>
      </c>
    </row>
    <row r="235" ht="12.75" hidden="1" customHeight="1">
      <c r="A235" s="26"/>
      <c r="B235" s="190" t="s">
        <v>466</v>
      </c>
      <c r="C235" s="191">
        <v>1.90158094E8</v>
      </c>
      <c r="D235" s="152" t="s">
        <v>467</v>
      </c>
      <c r="E235" s="53" t="s">
        <v>77</v>
      </c>
      <c r="F235" s="154">
        <v>1.0</v>
      </c>
      <c r="G235" s="53"/>
      <c r="H235" s="53" t="str">
        <f t="shared" si="576"/>
        <v>0.00069</v>
      </c>
      <c r="I235" s="53" t="str">
        <f t="shared" si="577"/>
        <v>89</v>
      </c>
      <c r="J235" s="53" t="str">
        <f t="shared" si="578"/>
        <v>0</v>
      </c>
      <c r="K235" s="155" t="str">
        <f t="shared" si="579"/>
        <v>0.00</v>
      </c>
      <c r="L235" s="156" t="str">
        <f t="shared" si="580"/>
        <v>0.00 </v>
      </c>
      <c r="M235" s="132">
        <v>90.0</v>
      </c>
      <c r="N235" s="157">
        <v>0.0</v>
      </c>
      <c r="O235" s="277">
        <v>0.0</v>
      </c>
      <c r="P235" s="277" t="str">
        <f t="shared" si="581"/>
        <v>#VALUE!</v>
      </c>
      <c r="Q235" s="157">
        <v>0.0</v>
      </c>
      <c r="R235" s="158">
        <v>959.1</v>
      </c>
      <c r="S235" s="159" t="str">
        <f t="shared" si="582"/>
        <v>313.92</v>
      </c>
      <c r="T235" s="160"/>
      <c r="U235" s="161">
        <v>0.26</v>
      </c>
      <c r="V235" s="162" t="str">
        <f t="shared" si="583"/>
        <v>709.73</v>
      </c>
      <c r="W235" s="163" t="str">
        <f t="shared" si="584"/>
        <v>60.00</v>
      </c>
      <c r="X235" s="164" t="str">
        <f t="shared" si="585"/>
        <v>53.06</v>
      </c>
      <c r="Y235" s="165" t="str">
        <f t="shared" si="586"/>
        <v>0.00</v>
      </c>
      <c r="Z235" s="166">
        <v>0.36</v>
      </c>
      <c r="AA235" s="167" t="str">
        <f t="shared" si="587"/>
        <v>76</v>
      </c>
      <c r="AB235" s="168" t="str">
        <f t="shared" si="588"/>
        <v>311.708</v>
      </c>
      <c r="AC235" s="168" t="str">
        <f t="shared" si="589"/>
        <v>25.267</v>
      </c>
      <c r="AD235" s="164" t="str">
        <f t="shared" si="590"/>
        <v>3.32</v>
      </c>
      <c r="AE235" s="164">
        <v>93.37</v>
      </c>
      <c r="AF235" s="164" t="str">
        <f t="shared" si="591"/>
        <v>4.80</v>
      </c>
      <c r="AG235" s="165" t="str">
        <f t="shared" si="592"/>
        <v>95.91</v>
      </c>
      <c r="AH235" s="23"/>
      <c r="AI235" s="278">
        <v>0.1</v>
      </c>
      <c r="AJ235" s="24" t="str">
        <f t="shared" si="593"/>
        <v>329.04</v>
      </c>
      <c r="AK235" s="279" t="str">
        <f t="shared" si="594"/>
        <v>#DIV/0!</v>
      </c>
      <c r="AL235" s="280"/>
      <c r="AM235" s="281" t="str">
        <f t="shared" si="360"/>
        <v>0.00</v>
      </c>
      <c r="AN235" s="280"/>
      <c r="AO235" s="282"/>
      <c r="AP235" s="283"/>
      <c r="AQ235" s="283" t="str">
        <f t="shared" si="361"/>
        <v>0.00</v>
      </c>
      <c r="AR235" s="283"/>
      <c r="AS235" s="284"/>
      <c r="AT235" s="285" t="str">
        <f t="shared" si="235"/>
        <v>0.00</v>
      </c>
      <c r="AU235" s="284"/>
      <c r="AV235" s="286"/>
      <c r="AW235" s="285"/>
      <c r="AX235" s="284"/>
      <c r="AY235" s="26"/>
      <c r="AZ235" s="171" t="str">
        <f t="shared" si="595"/>
        <v>0.00%</v>
      </c>
      <c r="BA235" s="172" t="str">
        <f t="shared" si="596"/>
        <v>0.00</v>
      </c>
      <c r="BB235" s="173" t="str">
        <f t="shared" si="597"/>
        <v>313.92</v>
      </c>
      <c r="BC235" s="174" t="str">
        <f t="shared" si="598"/>
        <v>222.88</v>
      </c>
    </row>
    <row r="236" ht="12.75" hidden="1" customHeight="1">
      <c r="A236" s="26"/>
      <c r="B236" s="190" t="s">
        <v>468</v>
      </c>
      <c r="C236" s="191">
        <v>1.90158097E8</v>
      </c>
      <c r="D236" s="152" t="s">
        <v>469</v>
      </c>
      <c r="E236" s="53" t="s">
        <v>77</v>
      </c>
      <c r="F236" s="154">
        <v>1.0</v>
      </c>
      <c r="G236" s="53"/>
      <c r="H236" s="53" t="str">
        <f t="shared" si="576"/>
        <v>0.00069</v>
      </c>
      <c r="I236" s="53" t="str">
        <f t="shared" si="577"/>
        <v>89</v>
      </c>
      <c r="J236" s="53" t="str">
        <f t="shared" si="578"/>
        <v>0</v>
      </c>
      <c r="K236" s="155" t="str">
        <f t="shared" si="579"/>
        <v>0.00</v>
      </c>
      <c r="L236" s="156" t="str">
        <f t="shared" si="580"/>
        <v>0.00 </v>
      </c>
      <c r="M236" s="132">
        <v>90.0</v>
      </c>
      <c r="N236" s="157">
        <v>0.0</v>
      </c>
      <c r="O236" s="277">
        <v>0.0</v>
      </c>
      <c r="P236" s="277" t="str">
        <f t="shared" si="581"/>
        <v>#VALUE!</v>
      </c>
      <c r="Q236" s="157">
        <v>0.0</v>
      </c>
      <c r="R236" s="158">
        <v>959.1</v>
      </c>
      <c r="S236" s="159" t="str">
        <f t="shared" si="582"/>
        <v>308.29</v>
      </c>
      <c r="T236" s="160"/>
      <c r="U236" s="161">
        <v>0.26</v>
      </c>
      <c r="V236" s="162" t="str">
        <f t="shared" si="583"/>
        <v>709.73</v>
      </c>
      <c r="W236" s="163" t="str">
        <f t="shared" si="584"/>
        <v>60.00</v>
      </c>
      <c r="X236" s="164" t="str">
        <f t="shared" si="585"/>
        <v>53.06</v>
      </c>
      <c r="Y236" s="165" t="str">
        <f t="shared" si="586"/>
        <v>0.00</v>
      </c>
      <c r="Z236" s="166">
        <v>0.36</v>
      </c>
      <c r="AA236" s="167" t="str">
        <f t="shared" si="587"/>
        <v>76</v>
      </c>
      <c r="AB236" s="168" t="str">
        <f t="shared" si="588"/>
        <v>311.708</v>
      </c>
      <c r="AC236" s="168" t="str">
        <f t="shared" si="589"/>
        <v>25.267</v>
      </c>
      <c r="AD236" s="164" t="str">
        <f t="shared" si="590"/>
        <v>0.73</v>
      </c>
      <c r="AE236" s="164">
        <v>98.54</v>
      </c>
      <c r="AF236" s="164" t="str">
        <f t="shared" si="591"/>
        <v>4.80</v>
      </c>
      <c r="AG236" s="165" t="str">
        <f t="shared" si="592"/>
        <v>95.91</v>
      </c>
      <c r="AH236" s="23"/>
      <c r="AI236" s="278">
        <v>0.1</v>
      </c>
      <c r="AJ236" s="24" t="str">
        <f t="shared" si="593"/>
        <v>331.62</v>
      </c>
      <c r="AK236" s="279" t="str">
        <f t="shared" si="594"/>
        <v>#DIV/0!</v>
      </c>
      <c r="AL236" s="280"/>
      <c r="AM236" s="281" t="str">
        <f t="shared" si="360"/>
        <v>0.00</v>
      </c>
      <c r="AN236" s="280"/>
      <c r="AO236" s="282"/>
      <c r="AP236" s="283"/>
      <c r="AQ236" s="283" t="str">
        <f t="shared" si="361"/>
        <v>0.00</v>
      </c>
      <c r="AR236" s="283"/>
      <c r="AS236" s="284"/>
      <c r="AT236" s="285" t="str">
        <f t="shared" si="235"/>
        <v>0.00</v>
      </c>
      <c r="AU236" s="284"/>
      <c r="AV236" s="286"/>
      <c r="AW236" s="285"/>
      <c r="AX236" s="284"/>
      <c r="AY236" s="26"/>
      <c r="AZ236" s="171" t="str">
        <f t="shared" si="595"/>
        <v>0.00%</v>
      </c>
      <c r="BA236" s="172" t="str">
        <f t="shared" si="596"/>
        <v>0.00</v>
      </c>
      <c r="BB236" s="173" t="str">
        <f t="shared" si="597"/>
        <v>308.29</v>
      </c>
      <c r="BC236" s="174" t="str">
        <f t="shared" si="598"/>
        <v>218.89</v>
      </c>
    </row>
    <row r="237" ht="12.75" hidden="1" customHeight="1">
      <c r="A237" s="26"/>
      <c r="B237" s="190" t="s">
        <v>470</v>
      </c>
      <c r="C237" s="191">
        <v>1.90158093E8</v>
      </c>
      <c r="D237" s="152" t="s">
        <v>471</v>
      </c>
      <c r="E237" s="53" t="s">
        <v>77</v>
      </c>
      <c r="F237" s="154">
        <v>1.0</v>
      </c>
      <c r="G237" s="53"/>
      <c r="H237" s="53" t="str">
        <f t="shared" si="576"/>
        <v>0.00069</v>
      </c>
      <c r="I237" s="53" t="str">
        <f t="shared" si="577"/>
        <v>89</v>
      </c>
      <c r="J237" s="53" t="str">
        <f t="shared" si="578"/>
        <v>0</v>
      </c>
      <c r="K237" s="155" t="str">
        <f t="shared" si="579"/>
        <v>0.00</v>
      </c>
      <c r="L237" s="156" t="str">
        <f t="shared" si="580"/>
        <v>0.00 </v>
      </c>
      <c r="M237" s="132">
        <v>90.0</v>
      </c>
      <c r="N237" s="157">
        <v>0.0</v>
      </c>
      <c r="O237" s="277">
        <v>0.0</v>
      </c>
      <c r="P237" s="277" t="str">
        <f t="shared" si="581"/>
        <v>#VALUE!</v>
      </c>
      <c r="Q237" s="157">
        <v>0.0</v>
      </c>
      <c r="R237" s="158">
        <v>959.1</v>
      </c>
      <c r="S237" s="159" t="str">
        <f t="shared" si="582"/>
        <v>312.96</v>
      </c>
      <c r="T237" s="160"/>
      <c r="U237" s="161">
        <v>0.26</v>
      </c>
      <c r="V237" s="162" t="str">
        <f t="shared" si="583"/>
        <v>709.73</v>
      </c>
      <c r="W237" s="163" t="str">
        <f t="shared" si="584"/>
        <v>60.00</v>
      </c>
      <c r="X237" s="164" t="str">
        <f t="shared" si="585"/>
        <v>53.06</v>
      </c>
      <c r="Y237" s="165" t="str">
        <f t="shared" si="586"/>
        <v>0.00</v>
      </c>
      <c r="Z237" s="166">
        <v>0.36</v>
      </c>
      <c r="AA237" s="167" t="str">
        <f t="shared" si="587"/>
        <v>76</v>
      </c>
      <c r="AB237" s="168" t="str">
        <f t="shared" si="588"/>
        <v>311.708</v>
      </c>
      <c r="AC237" s="168" t="str">
        <f t="shared" si="589"/>
        <v>25.267</v>
      </c>
      <c r="AD237" s="164" t="str">
        <f t="shared" si="590"/>
        <v>2.88</v>
      </c>
      <c r="AE237" s="164">
        <v>94.25</v>
      </c>
      <c r="AF237" s="164" t="str">
        <f t="shared" si="591"/>
        <v>4.80</v>
      </c>
      <c r="AG237" s="165" t="str">
        <f t="shared" si="592"/>
        <v>95.91</v>
      </c>
      <c r="AH237" s="23"/>
      <c r="AI237" s="278">
        <v>0.1</v>
      </c>
      <c r="AJ237" s="24" t="str">
        <f t="shared" si="593"/>
        <v>329.48</v>
      </c>
      <c r="AK237" s="279" t="str">
        <f t="shared" si="594"/>
        <v>#DIV/0!</v>
      </c>
      <c r="AL237" s="280"/>
      <c r="AM237" s="281" t="str">
        <f t="shared" si="360"/>
        <v>0.00</v>
      </c>
      <c r="AN237" s="280"/>
      <c r="AO237" s="282"/>
      <c r="AP237" s="283"/>
      <c r="AQ237" s="283" t="str">
        <f t="shared" si="361"/>
        <v>0.00</v>
      </c>
      <c r="AR237" s="283"/>
      <c r="AS237" s="284"/>
      <c r="AT237" s="285" t="str">
        <f t="shared" si="235"/>
        <v>0.00</v>
      </c>
      <c r="AU237" s="284"/>
      <c r="AV237" s="286"/>
      <c r="AW237" s="285"/>
      <c r="AX237" s="284"/>
      <c r="AY237" s="26"/>
      <c r="AZ237" s="171" t="str">
        <f t="shared" si="595"/>
        <v>0.00%</v>
      </c>
      <c r="BA237" s="172" t="str">
        <f t="shared" si="596"/>
        <v>0.00</v>
      </c>
      <c r="BB237" s="173" t="str">
        <f t="shared" si="597"/>
        <v>312.96</v>
      </c>
      <c r="BC237" s="174" t="str">
        <f t="shared" si="598"/>
        <v>222.20</v>
      </c>
    </row>
    <row r="238" ht="12.75" hidden="1" customHeight="1">
      <c r="A238" s="26"/>
      <c r="B238" s="190" t="s">
        <v>472</v>
      </c>
      <c r="C238" s="191">
        <v>1.8302882E8</v>
      </c>
      <c r="D238" s="152" t="s">
        <v>473</v>
      </c>
      <c r="E238" s="53" t="s">
        <v>77</v>
      </c>
      <c r="F238" s="154">
        <v>1.0</v>
      </c>
      <c r="G238" s="53"/>
      <c r="H238" s="53" t="str">
        <f t="shared" si="576"/>
        <v>0.00069</v>
      </c>
      <c r="I238" s="53" t="str">
        <f t="shared" si="577"/>
        <v>89</v>
      </c>
      <c r="J238" s="53" t="str">
        <f t="shared" si="578"/>
        <v>0</v>
      </c>
      <c r="K238" s="155" t="str">
        <f t="shared" si="579"/>
        <v>0.00</v>
      </c>
      <c r="L238" s="156" t="str">
        <f t="shared" si="580"/>
        <v>0.00 </v>
      </c>
      <c r="M238" s="132">
        <v>90.0</v>
      </c>
      <c r="N238" s="157">
        <v>0.0</v>
      </c>
      <c r="O238" s="277">
        <v>0.0</v>
      </c>
      <c r="P238" s="277" t="str">
        <f t="shared" si="581"/>
        <v>#VALUE!</v>
      </c>
      <c r="Q238" s="157">
        <v>0.0</v>
      </c>
      <c r="R238" s="158">
        <v>1173.0</v>
      </c>
      <c r="S238" s="159" t="str">
        <f t="shared" si="582"/>
        <v>310.45</v>
      </c>
      <c r="T238" s="160"/>
      <c r="U238" s="161">
        <v>0.26</v>
      </c>
      <c r="V238" s="162" t="str">
        <f t="shared" si="583"/>
        <v>868.02</v>
      </c>
      <c r="W238" s="163" t="str">
        <f t="shared" si="584"/>
        <v>60.00</v>
      </c>
      <c r="X238" s="164" t="str">
        <f t="shared" si="585"/>
        <v>64.90</v>
      </c>
      <c r="Y238" s="165" t="str">
        <f t="shared" si="586"/>
        <v>0.00</v>
      </c>
      <c r="Z238" s="166">
        <v>0.68</v>
      </c>
      <c r="AA238" s="167" t="str">
        <f t="shared" si="587"/>
        <v>76</v>
      </c>
      <c r="AB238" s="168" t="str">
        <f t="shared" si="588"/>
        <v>381.225</v>
      </c>
      <c r="AC238" s="168" t="str">
        <f t="shared" si="589"/>
        <v>30.902</v>
      </c>
      <c r="AD238" s="164" t="str">
        <f t="shared" si="590"/>
        <v>1.72</v>
      </c>
      <c r="AE238" s="164">
        <v>96.56</v>
      </c>
      <c r="AF238" s="164" t="str">
        <f t="shared" si="591"/>
        <v>4.80</v>
      </c>
      <c r="AG238" s="165" t="str">
        <f t="shared" si="592"/>
        <v>117.30</v>
      </c>
      <c r="AH238" s="23"/>
      <c r="AI238" s="278">
        <v>0.1</v>
      </c>
      <c r="AJ238" s="24" t="str">
        <f t="shared" si="593"/>
        <v>436.15</v>
      </c>
      <c r="AK238" s="279" t="str">
        <f t="shared" si="594"/>
        <v>#DIV/0!</v>
      </c>
      <c r="AL238" s="280"/>
      <c r="AM238" s="281" t="str">
        <f t="shared" si="360"/>
        <v>0.00</v>
      </c>
      <c r="AN238" s="280"/>
      <c r="AO238" s="282"/>
      <c r="AP238" s="283"/>
      <c r="AQ238" s="283" t="str">
        <f t="shared" si="361"/>
        <v>0.00</v>
      </c>
      <c r="AR238" s="283"/>
      <c r="AS238" s="284"/>
      <c r="AT238" s="285" t="str">
        <f t="shared" si="235"/>
        <v>0.00</v>
      </c>
      <c r="AU238" s="284"/>
      <c r="AV238" s="286"/>
      <c r="AW238" s="285"/>
      <c r="AX238" s="284"/>
      <c r="AY238" s="26"/>
      <c r="AZ238" s="171" t="str">
        <f t="shared" si="595"/>
        <v>0.00%</v>
      </c>
      <c r="BA238" s="172" t="str">
        <f t="shared" si="596"/>
        <v>0.00</v>
      </c>
      <c r="BB238" s="173" t="str">
        <f t="shared" si="597"/>
        <v>310.45</v>
      </c>
      <c r="BC238" s="174" t="str">
        <f t="shared" si="598"/>
        <v>220.42</v>
      </c>
    </row>
    <row r="239" ht="12.75" hidden="1" customHeight="1">
      <c r="A239" s="26"/>
      <c r="B239" s="190" t="s">
        <v>474</v>
      </c>
      <c r="C239" s="216"/>
      <c r="D239" s="217" t="s">
        <v>475</v>
      </c>
      <c r="E239" s="53" t="s">
        <v>77</v>
      </c>
      <c r="F239" s="154">
        <v>1.0</v>
      </c>
      <c r="G239" s="53"/>
      <c r="H239" s="53" t="str">
        <f t="shared" si="576"/>
        <v>0.00069</v>
      </c>
      <c r="I239" s="53" t="str">
        <f t="shared" si="577"/>
        <v>89</v>
      </c>
      <c r="J239" s="53" t="str">
        <f t="shared" si="578"/>
        <v>0</v>
      </c>
      <c r="K239" s="155" t="str">
        <f t="shared" si="579"/>
        <v>0.00</v>
      </c>
      <c r="L239" s="156" t="str">
        <f t="shared" si="580"/>
        <v>0.00 </v>
      </c>
      <c r="M239" s="132">
        <v>90.0</v>
      </c>
      <c r="N239" s="157">
        <v>0.0</v>
      </c>
      <c r="O239" s="277">
        <v>0.0</v>
      </c>
      <c r="P239" s="277" t="str">
        <f t="shared" si="581"/>
        <v>#VALUE!</v>
      </c>
      <c r="Q239" s="157">
        <v>0.0</v>
      </c>
      <c r="R239" s="158"/>
      <c r="S239" s="159" t="str">
        <f t="shared" si="582"/>
        <v/>
      </c>
      <c r="T239" s="160"/>
      <c r="U239" s="161"/>
      <c r="V239" s="162"/>
      <c r="W239" s="163"/>
      <c r="X239" s="164" t="str">
        <f t="shared" si="585"/>
        <v>0.00</v>
      </c>
      <c r="Y239" s="165"/>
      <c r="Z239" s="166"/>
      <c r="AA239" s="167"/>
      <c r="AB239" s="168"/>
      <c r="AC239" s="168"/>
      <c r="AD239" s="164"/>
      <c r="AE239" s="164"/>
      <c r="AF239" s="164"/>
      <c r="AG239" s="165"/>
      <c r="AH239" s="23"/>
      <c r="AI239" s="278">
        <v>0.1</v>
      </c>
      <c r="AJ239" s="24"/>
      <c r="AK239" s="279"/>
      <c r="AL239" s="280"/>
      <c r="AM239" s="281" t="str">
        <f t="shared" si="360"/>
        <v>0.00</v>
      </c>
      <c r="AN239" s="280"/>
      <c r="AO239" s="282"/>
      <c r="AP239" s="283"/>
      <c r="AQ239" s="283" t="str">
        <f t="shared" si="361"/>
        <v>0.00</v>
      </c>
      <c r="AR239" s="283"/>
      <c r="AS239" s="284"/>
      <c r="AT239" s="285" t="str">
        <f t="shared" si="235"/>
        <v>0.00</v>
      </c>
      <c r="AU239" s="284"/>
      <c r="AV239" s="286"/>
      <c r="AW239" s="285"/>
      <c r="AX239" s="284"/>
      <c r="AY239" s="26"/>
      <c r="AZ239" s="171"/>
      <c r="BA239" s="172"/>
      <c r="BB239" s="219"/>
      <c r="BC239" s="174"/>
    </row>
    <row r="240" ht="12.75" hidden="1" customHeight="1">
      <c r="A240" s="26"/>
      <c r="B240" s="190" t="s">
        <v>474</v>
      </c>
      <c r="C240" s="220"/>
      <c r="D240" s="221" t="s">
        <v>476</v>
      </c>
      <c r="E240" s="211" t="s">
        <v>77</v>
      </c>
      <c r="F240" s="154">
        <v>1.0</v>
      </c>
      <c r="G240" s="211"/>
      <c r="H240" s="53" t="str">
        <f t="shared" si="576"/>
        <v>0.00069</v>
      </c>
      <c r="I240" s="53" t="str">
        <f t="shared" si="577"/>
        <v>89</v>
      </c>
      <c r="J240" s="53" t="str">
        <f t="shared" si="578"/>
        <v>0</v>
      </c>
      <c r="K240" s="155" t="str">
        <f t="shared" si="579"/>
        <v>0.00</v>
      </c>
      <c r="L240" s="156" t="str">
        <f t="shared" si="580"/>
        <v>0.00 </v>
      </c>
      <c r="M240" s="132">
        <v>90.0</v>
      </c>
      <c r="N240" s="157">
        <v>0.0</v>
      </c>
      <c r="O240" s="277">
        <v>0.0</v>
      </c>
      <c r="P240" s="277" t="str">
        <f t="shared" si="581"/>
        <v>#VALUE!</v>
      </c>
      <c r="Q240" s="157">
        <v>0.0</v>
      </c>
      <c r="R240" s="158">
        <v>481.8</v>
      </c>
      <c r="S240" s="159" t="str">
        <f t="shared" si="582"/>
        <v>306.70</v>
      </c>
      <c r="T240" s="160"/>
      <c r="U240" s="161">
        <v>0.26</v>
      </c>
      <c r="V240" s="162" t="str">
        <f t="shared" ref="V240:V244" si="599">R240-(R240*U240)</f>
        <v>356.53</v>
      </c>
      <c r="W240" s="163" t="str">
        <f t="shared" ref="W240:W244" si="600">$C$1</f>
        <v>60.00</v>
      </c>
      <c r="X240" s="164" t="str">
        <f t="shared" si="585"/>
        <v>26.66</v>
      </c>
      <c r="Y240" s="165" t="str">
        <f t="shared" ref="Y240:Y244" si="601">Q240*$C$3*(M240/30)</f>
        <v>0.00</v>
      </c>
      <c r="Z240" s="166">
        <v>0.68</v>
      </c>
      <c r="AA240" s="167" t="str">
        <f t="shared" ref="AA240:AA244" si="602">((_xlfn.CEILING.MATH(Z240)-1)*$C$5+$C$4)</f>
        <v>76</v>
      </c>
      <c r="AB240" s="168" t="str">
        <f t="shared" ref="AB240:AB244" si="603">R240*$AB$6</f>
        <v>156.585</v>
      </c>
      <c r="AC240" s="168" t="str">
        <f t="shared" ref="AC240:AC244" si="604">V240*$AB$7</f>
        <v>12.693</v>
      </c>
      <c r="AD240" s="164" t="str">
        <f t="shared" ref="AD240:AD244" si="605">$AB$3*((100-AE240)/100)</f>
        <v>0.00</v>
      </c>
      <c r="AE240" s="164">
        <v>100.0</v>
      </c>
      <c r="AF240" s="164" t="str">
        <f t="shared" ref="AF240:AF244" si="606">$C$6*$C$7*_xlfn.CEILING.MATH(Z240)</f>
        <v>4.80</v>
      </c>
      <c r="AG240" s="165" t="str">
        <f t="shared" ref="AG240:AG244" si="607">R240*$C$2</f>
        <v>48.18</v>
      </c>
      <c r="AH240" s="23"/>
      <c r="AI240" s="278">
        <v>0.1</v>
      </c>
      <c r="AJ240" s="24" t="str">
        <f t="shared" ref="AJ240:AJ244" si="608">R240-W240-X240-Y240-AA240-AB240-AC240-AD240-AF240-AG240-Q240</f>
        <v>96.89</v>
      </c>
      <c r="AK240" s="279" t="str">
        <f t="shared" ref="AK240:AK244" si="609">AJ240/Q240</f>
        <v>#DIV/0!</v>
      </c>
      <c r="AL240" s="280"/>
      <c r="AM240" s="281" t="str">
        <f t="shared" si="360"/>
        <v>0.00</v>
      </c>
      <c r="AN240" s="280"/>
      <c r="AO240" s="282"/>
      <c r="AP240" s="283"/>
      <c r="AQ240" s="283" t="str">
        <f t="shared" si="361"/>
        <v>0.00</v>
      </c>
      <c r="AR240" s="283"/>
      <c r="AS240" s="284"/>
      <c r="AT240" s="285" t="str">
        <f t="shared" si="235"/>
        <v>0.00</v>
      </c>
      <c r="AU240" s="284"/>
      <c r="AV240" s="286"/>
      <c r="AW240" s="285"/>
      <c r="AX240" s="284"/>
      <c r="AY240" s="26"/>
      <c r="AZ240" s="171" t="str">
        <f t="shared" ref="AZ240:AZ244" si="610">$AG$3</f>
        <v>0.00%</v>
      </c>
      <c r="BA240" s="172" t="str">
        <f t="shared" ref="BA240:BA244" si="611">Q240*AZ240</f>
        <v>0.00</v>
      </c>
      <c r="BB240" s="173" t="str">
        <f t="shared" ref="BB240:BB244" si="612">(Q240+W240+Y240+AA240+AD240+AF240+AI240+BA240)/(100%-($C$2+$C$8+$AB$6+$AB$7))</f>
        <v>306.70</v>
      </c>
      <c r="BC240" s="174" t="str">
        <f t="shared" ref="BC240:BC249" si="613">BB240-(BB240*$AG$1)</f>
        <v>217.76</v>
      </c>
    </row>
    <row r="241" ht="12.75" hidden="1" customHeight="1">
      <c r="A241" s="26"/>
      <c r="B241" s="190" t="s">
        <v>474</v>
      </c>
      <c r="C241" s="220"/>
      <c r="D241" s="221" t="s">
        <v>477</v>
      </c>
      <c r="E241" s="211" t="s">
        <v>77</v>
      </c>
      <c r="F241" s="154">
        <v>1.0</v>
      </c>
      <c r="G241" s="211"/>
      <c r="H241" s="53" t="str">
        <f t="shared" si="576"/>
        <v>0.00069</v>
      </c>
      <c r="I241" s="53" t="str">
        <f t="shared" si="577"/>
        <v>89</v>
      </c>
      <c r="J241" s="53" t="str">
        <f t="shared" si="578"/>
        <v>0</v>
      </c>
      <c r="K241" s="155" t="str">
        <f t="shared" si="579"/>
        <v>0.00</v>
      </c>
      <c r="L241" s="156" t="str">
        <f t="shared" si="580"/>
        <v>0.00 </v>
      </c>
      <c r="M241" s="132">
        <v>90.0</v>
      </c>
      <c r="N241" s="157">
        <v>0.0</v>
      </c>
      <c r="O241" s="277">
        <v>0.0</v>
      </c>
      <c r="P241" s="277" t="str">
        <f t="shared" si="581"/>
        <v>#VALUE!</v>
      </c>
      <c r="Q241" s="157">
        <v>0.0</v>
      </c>
      <c r="R241" s="158">
        <v>511.2</v>
      </c>
      <c r="S241" s="159" t="str">
        <f t="shared" si="582"/>
        <v>322.26</v>
      </c>
      <c r="T241" s="160"/>
      <c r="U241" s="161">
        <v>0.26</v>
      </c>
      <c r="V241" s="162" t="str">
        <f t="shared" si="599"/>
        <v>378.29</v>
      </c>
      <c r="W241" s="163" t="str">
        <f t="shared" si="600"/>
        <v>60.00</v>
      </c>
      <c r="X241" s="164" t="str">
        <f t="shared" si="585"/>
        <v>28.28</v>
      </c>
      <c r="Y241" s="165" t="str">
        <f t="shared" si="601"/>
        <v>0.00</v>
      </c>
      <c r="Z241" s="166">
        <v>0.77</v>
      </c>
      <c r="AA241" s="167" t="str">
        <f t="shared" si="602"/>
        <v>76</v>
      </c>
      <c r="AB241" s="168" t="str">
        <f t="shared" si="603"/>
        <v>166.140</v>
      </c>
      <c r="AC241" s="168" t="str">
        <f t="shared" si="604"/>
        <v>13.467</v>
      </c>
      <c r="AD241" s="164" t="str">
        <f t="shared" si="605"/>
        <v>7.15</v>
      </c>
      <c r="AE241" s="164">
        <v>85.71</v>
      </c>
      <c r="AF241" s="164" t="str">
        <f t="shared" si="606"/>
        <v>4.80</v>
      </c>
      <c r="AG241" s="165" t="str">
        <f t="shared" si="607"/>
        <v>51.12</v>
      </c>
      <c r="AH241" s="23"/>
      <c r="AI241" s="278">
        <v>0.1</v>
      </c>
      <c r="AJ241" s="24" t="str">
        <f t="shared" si="608"/>
        <v>104.24</v>
      </c>
      <c r="AK241" s="279" t="str">
        <f t="shared" si="609"/>
        <v>#DIV/0!</v>
      </c>
      <c r="AL241" s="280"/>
      <c r="AM241" s="281" t="str">
        <f t="shared" si="360"/>
        <v>0.00</v>
      </c>
      <c r="AN241" s="280"/>
      <c r="AO241" s="282"/>
      <c r="AP241" s="283"/>
      <c r="AQ241" s="283" t="str">
        <f t="shared" si="361"/>
        <v>0.00</v>
      </c>
      <c r="AR241" s="283"/>
      <c r="AS241" s="284"/>
      <c r="AT241" s="285" t="str">
        <f t="shared" si="235"/>
        <v>0.00</v>
      </c>
      <c r="AU241" s="284"/>
      <c r="AV241" s="286"/>
      <c r="AW241" s="285"/>
      <c r="AX241" s="284"/>
      <c r="AY241" s="26"/>
      <c r="AZ241" s="171" t="str">
        <f t="shared" si="610"/>
        <v>0.00%</v>
      </c>
      <c r="BA241" s="172" t="str">
        <f t="shared" si="611"/>
        <v>0.00</v>
      </c>
      <c r="BB241" s="173" t="str">
        <f t="shared" si="612"/>
        <v>322.26</v>
      </c>
      <c r="BC241" s="174" t="str">
        <f t="shared" si="613"/>
        <v>228.80</v>
      </c>
    </row>
    <row r="242" ht="12.75" hidden="1" customHeight="1">
      <c r="A242" s="26"/>
      <c r="B242" s="190" t="s">
        <v>474</v>
      </c>
      <c r="C242" s="220"/>
      <c r="D242" s="221" t="s">
        <v>478</v>
      </c>
      <c r="E242" s="211" t="s">
        <v>77</v>
      </c>
      <c r="F242" s="154">
        <v>1.0</v>
      </c>
      <c r="G242" s="211"/>
      <c r="H242" s="53" t="str">
        <f t="shared" si="576"/>
        <v>0.00069</v>
      </c>
      <c r="I242" s="53" t="str">
        <f t="shared" si="577"/>
        <v>89</v>
      </c>
      <c r="J242" s="53" t="str">
        <f t="shared" si="578"/>
        <v>0</v>
      </c>
      <c r="K242" s="155" t="str">
        <f t="shared" si="579"/>
        <v>0.00</v>
      </c>
      <c r="L242" s="156" t="str">
        <f t="shared" si="580"/>
        <v>0.00 </v>
      </c>
      <c r="M242" s="132">
        <v>90.0</v>
      </c>
      <c r="N242" s="157">
        <v>0.0</v>
      </c>
      <c r="O242" s="277">
        <v>0.0</v>
      </c>
      <c r="P242" s="277" t="str">
        <f t="shared" si="581"/>
        <v>#VALUE!</v>
      </c>
      <c r="Q242" s="157">
        <v>0.0</v>
      </c>
      <c r="R242" s="158">
        <v>900.0</v>
      </c>
      <c r="S242" s="159" t="str">
        <f t="shared" si="582"/>
        <v>310.95</v>
      </c>
      <c r="T242" s="160"/>
      <c r="U242" s="161">
        <v>0.26</v>
      </c>
      <c r="V242" s="162" t="str">
        <f t="shared" si="599"/>
        <v>666.00</v>
      </c>
      <c r="W242" s="163" t="str">
        <f t="shared" si="600"/>
        <v>60.00</v>
      </c>
      <c r="X242" s="164" t="str">
        <f t="shared" si="585"/>
        <v>49.79</v>
      </c>
      <c r="Y242" s="165" t="str">
        <f t="shared" si="601"/>
        <v>0.00</v>
      </c>
      <c r="Z242" s="166">
        <v>0.68</v>
      </c>
      <c r="AA242" s="167" t="str">
        <f t="shared" si="602"/>
        <v>76</v>
      </c>
      <c r="AB242" s="168" t="str">
        <f t="shared" si="603"/>
        <v>292.500</v>
      </c>
      <c r="AC242" s="168" t="str">
        <f t="shared" si="604"/>
        <v>23.710</v>
      </c>
      <c r="AD242" s="164" t="str">
        <f t="shared" si="605"/>
        <v>1.95</v>
      </c>
      <c r="AE242" s="164">
        <v>96.1</v>
      </c>
      <c r="AF242" s="164" t="str">
        <f t="shared" si="606"/>
        <v>4.80</v>
      </c>
      <c r="AG242" s="165" t="str">
        <f t="shared" si="607"/>
        <v>90.00</v>
      </c>
      <c r="AH242" s="23"/>
      <c r="AI242" s="278">
        <v>0.1</v>
      </c>
      <c r="AJ242" s="24" t="str">
        <f t="shared" si="608"/>
        <v>301.25</v>
      </c>
      <c r="AK242" s="279" t="str">
        <f t="shared" si="609"/>
        <v>#DIV/0!</v>
      </c>
      <c r="AL242" s="280"/>
      <c r="AM242" s="281" t="str">
        <f t="shared" si="360"/>
        <v>0.00</v>
      </c>
      <c r="AN242" s="280"/>
      <c r="AO242" s="282"/>
      <c r="AP242" s="283"/>
      <c r="AQ242" s="283" t="str">
        <f t="shared" si="361"/>
        <v>0.00</v>
      </c>
      <c r="AR242" s="283"/>
      <c r="AS242" s="284"/>
      <c r="AT242" s="285" t="str">
        <f t="shared" si="235"/>
        <v>0.00</v>
      </c>
      <c r="AU242" s="284"/>
      <c r="AV242" s="286"/>
      <c r="AW242" s="285"/>
      <c r="AX242" s="284"/>
      <c r="AY242" s="26"/>
      <c r="AZ242" s="171" t="str">
        <f t="shared" si="610"/>
        <v>0.00%</v>
      </c>
      <c r="BA242" s="172" t="str">
        <f t="shared" si="611"/>
        <v>0.00</v>
      </c>
      <c r="BB242" s="173" t="str">
        <f t="shared" si="612"/>
        <v>310.95</v>
      </c>
      <c r="BC242" s="174" t="str">
        <f t="shared" si="613"/>
        <v>220.77</v>
      </c>
    </row>
    <row r="243" ht="12.75" hidden="1" customHeight="1">
      <c r="A243" s="26"/>
      <c r="B243" s="190" t="s">
        <v>479</v>
      </c>
      <c r="C243" s="191">
        <v>1.65308892E8</v>
      </c>
      <c r="D243" s="222" t="s">
        <v>480</v>
      </c>
      <c r="E243" s="53" t="s">
        <v>77</v>
      </c>
      <c r="F243" s="154">
        <v>1.0</v>
      </c>
      <c r="G243" s="53"/>
      <c r="H243" s="53" t="str">
        <f t="shared" si="576"/>
        <v>0.00069</v>
      </c>
      <c r="I243" s="53" t="str">
        <f t="shared" si="577"/>
        <v>89</v>
      </c>
      <c r="J243" s="53" t="str">
        <f t="shared" si="578"/>
        <v>0</v>
      </c>
      <c r="K243" s="155" t="str">
        <f t="shared" si="579"/>
        <v>0.00</v>
      </c>
      <c r="L243" s="156" t="str">
        <f t="shared" si="580"/>
        <v>0.00 </v>
      </c>
      <c r="M243" s="132">
        <v>90.0</v>
      </c>
      <c r="N243" s="157">
        <v>0.0</v>
      </c>
      <c r="O243" s="277">
        <v>0.0</v>
      </c>
      <c r="P243" s="277" t="str">
        <f t="shared" si="581"/>
        <v>#VALUE!</v>
      </c>
      <c r="Q243" s="157">
        <v>0.0</v>
      </c>
      <c r="R243" s="158">
        <v>1302.9</v>
      </c>
      <c r="S243" s="159" t="str">
        <f t="shared" si="582"/>
        <v>312.88</v>
      </c>
      <c r="T243" s="160"/>
      <c r="U243" s="161">
        <v>0.26</v>
      </c>
      <c r="V243" s="162" t="str">
        <f t="shared" si="599"/>
        <v>964.15</v>
      </c>
      <c r="W243" s="163" t="str">
        <f t="shared" si="600"/>
        <v>60.00</v>
      </c>
      <c r="X243" s="164" t="str">
        <f t="shared" si="585"/>
        <v>72.09</v>
      </c>
      <c r="Y243" s="165" t="str">
        <f t="shared" si="601"/>
        <v>0.00</v>
      </c>
      <c r="Z243" s="166">
        <v>0.43</v>
      </c>
      <c r="AA243" s="167" t="str">
        <f t="shared" si="602"/>
        <v>76</v>
      </c>
      <c r="AB243" s="168" t="str">
        <f t="shared" si="603"/>
        <v>423.443</v>
      </c>
      <c r="AC243" s="168" t="str">
        <f t="shared" si="604"/>
        <v>34.324</v>
      </c>
      <c r="AD243" s="164" t="str">
        <f t="shared" si="605"/>
        <v>2.84</v>
      </c>
      <c r="AE243" s="164">
        <v>94.33</v>
      </c>
      <c r="AF243" s="164" t="str">
        <f t="shared" si="606"/>
        <v>4.80</v>
      </c>
      <c r="AG243" s="165" t="str">
        <f t="shared" si="607"/>
        <v>130.29</v>
      </c>
      <c r="AH243" s="23"/>
      <c r="AI243" s="278">
        <v>0.1</v>
      </c>
      <c r="AJ243" s="24" t="str">
        <f t="shared" si="608"/>
        <v>499.12</v>
      </c>
      <c r="AK243" s="279" t="str">
        <f t="shared" si="609"/>
        <v>#DIV/0!</v>
      </c>
      <c r="AL243" s="280"/>
      <c r="AM243" s="281" t="str">
        <f t="shared" si="360"/>
        <v>0.00</v>
      </c>
      <c r="AN243" s="280"/>
      <c r="AO243" s="282"/>
      <c r="AP243" s="283"/>
      <c r="AQ243" s="283" t="str">
        <f t="shared" si="361"/>
        <v>0.00</v>
      </c>
      <c r="AR243" s="283"/>
      <c r="AS243" s="284"/>
      <c r="AT243" s="285" t="str">
        <f t="shared" si="235"/>
        <v>0.00</v>
      </c>
      <c r="AU243" s="284"/>
      <c r="AV243" s="286"/>
      <c r="AW243" s="285"/>
      <c r="AX243" s="284"/>
      <c r="AY243" s="26"/>
      <c r="AZ243" s="171" t="str">
        <f t="shared" si="610"/>
        <v>0.00%</v>
      </c>
      <c r="BA243" s="172" t="str">
        <f t="shared" si="611"/>
        <v>0.00</v>
      </c>
      <c r="BB243" s="173" t="str">
        <f t="shared" si="612"/>
        <v>312.88</v>
      </c>
      <c r="BC243" s="174" t="str">
        <f t="shared" si="613"/>
        <v>222.14</v>
      </c>
    </row>
    <row r="244" ht="12.75" hidden="1" customHeight="1">
      <c r="A244" s="26"/>
      <c r="B244" s="190" t="s">
        <v>481</v>
      </c>
      <c r="C244" s="202">
        <v>1.8303083E8</v>
      </c>
      <c r="D244" s="152" t="s">
        <v>482</v>
      </c>
      <c r="E244" s="53" t="s">
        <v>77</v>
      </c>
      <c r="F244" s="154">
        <v>1.0</v>
      </c>
      <c r="G244" s="53"/>
      <c r="H244" s="53" t="str">
        <f t="shared" si="576"/>
        <v>0.00069</v>
      </c>
      <c r="I244" s="53" t="str">
        <f t="shared" si="577"/>
        <v>89</v>
      </c>
      <c r="J244" s="53" t="str">
        <f t="shared" si="578"/>
        <v>0</v>
      </c>
      <c r="K244" s="155" t="str">
        <f t="shared" si="579"/>
        <v>0.00</v>
      </c>
      <c r="L244" s="156" t="str">
        <f t="shared" si="580"/>
        <v>0.00 </v>
      </c>
      <c r="M244" s="132">
        <v>90.0</v>
      </c>
      <c r="N244" s="157">
        <v>0.0</v>
      </c>
      <c r="O244" s="277">
        <v>0.0</v>
      </c>
      <c r="P244" s="277" t="str">
        <f t="shared" si="581"/>
        <v>#VALUE!</v>
      </c>
      <c r="Q244" s="157">
        <v>669.05</v>
      </c>
      <c r="R244" s="158">
        <v>1398.38</v>
      </c>
      <c r="S244" s="159" t="str">
        <f t="shared" si="582"/>
        <v>1,875.74</v>
      </c>
      <c r="T244" s="160"/>
      <c r="U244" s="161">
        <v>0.26</v>
      </c>
      <c r="V244" s="162" t="str">
        <f t="shared" si="599"/>
        <v>1,034.80</v>
      </c>
      <c r="W244" s="163" t="str">
        <f t="shared" si="600"/>
        <v>60.00</v>
      </c>
      <c r="X244" s="164" t="str">
        <f t="shared" si="585"/>
        <v>77.37</v>
      </c>
      <c r="Y244" s="165" t="str">
        <f t="shared" si="601"/>
        <v>0.00</v>
      </c>
      <c r="Z244" s="166">
        <v>2.11</v>
      </c>
      <c r="AA244" s="167" t="str">
        <f t="shared" si="602"/>
        <v>114</v>
      </c>
      <c r="AB244" s="168" t="str">
        <f t="shared" si="603"/>
        <v>454.474</v>
      </c>
      <c r="AC244" s="168" t="str">
        <f t="shared" si="604"/>
        <v>36.839</v>
      </c>
      <c r="AD244" s="164" t="str">
        <f t="shared" si="605"/>
        <v>4.17</v>
      </c>
      <c r="AE244" s="164">
        <v>91.67</v>
      </c>
      <c r="AF244" s="164" t="str">
        <f t="shared" si="606"/>
        <v>14.40</v>
      </c>
      <c r="AG244" s="165" t="str">
        <f t="shared" si="607"/>
        <v>139.84</v>
      </c>
      <c r="AH244" s="23"/>
      <c r="AI244" s="278">
        <v>0.1</v>
      </c>
      <c r="AJ244" s="24" t="str">
        <f t="shared" si="608"/>
        <v>-171.75</v>
      </c>
      <c r="AK244" s="279" t="str">
        <f t="shared" si="609"/>
        <v>-25.67%</v>
      </c>
      <c r="AL244" s="280"/>
      <c r="AM244" s="281" t="str">
        <f t="shared" si="360"/>
        <v>0.00</v>
      </c>
      <c r="AN244" s="280"/>
      <c r="AO244" s="282">
        <v>59.11</v>
      </c>
      <c r="AP244" s="283">
        <v>-343.22</v>
      </c>
      <c r="AQ244" s="283" t="str">
        <f t="shared" si="361"/>
        <v>0.00</v>
      </c>
      <c r="AR244" s="283">
        <v>-49.11</v>
      </c>
      <c r="AS244" s="284"/>
      <c r="AT244" s="285" t="str">
        <f t="shared" si="235"/>
        <v>0.00</v>
      </c>
      <c r="AU244" s="284"/>
      <c r="AV244" s="286"/>
      <c r="AW244" s="285"/>
      <c r="AX244" s="284"/>
      <c r="AY244" s="26"/>
      <c r="AZ244" s="171" t="str">
        <f t="shared" si="610"/>
        <v>0.00%</v>
      </c>
      <c r="BA244" s="172" t="str">
        <f t="shared" si="611"/>
        <v>0.00</v>
      </c>
      <c r="BB244" s="173" t="str">
        <f t="shared" si="612"/>
        <v>1,875.74</v>
      </c>
      <c r="BC244" s="174" t="str">
        <f t="shared" si="613"/>
        <v>1,331.78</v>
      </c>
    </row>
    <row r="245" ht="12.75" hidden="1" customHeight="1">
      <c r="A245" s="26"/>
      <c r="B245" s="190" t="s">
        <v>483</v>
      </c>
      <c r="C245" s="216"/>
      <c r="D245" s="217" t="s">
        <v>484</v>
      </c>
      <c r="E245" s="53" t="s">
        <v>77</v>
      </c>
      <c r="F245" s="154">
        <v>1.0</v>
      </c>
      <c r="G245" s="53"/>
      <c r="H245" s="53" t="str">
        <f t="shared" si="576"/>
        <v>0.00069</v>
      </c>
      <c r="I245" s="53" t="str">
        <f t="shared" si="577"/>
        <v>89</v>
      </c>
      <c r="J245" s="53" t="str">
        <f t="shared" si="578"/>
        <v>0</v>
      </c>
      <c r="K245" s="155" t="str">
        <f t="shared" si="579"/>
        <v>0.00</v>
      </c>
      <c r="L245" s="156" t="str">
        <f t="shared" si="580"/>
        <v>0.00 </v>
      </c>
      <c r="M245" s="132">
        <v>90.0</v>
      </c>
      <c r="N245" s="157">
        <v>0.0</v>
      </c>
      <c r="O245" s="277">
        <v>0.0</v>
      </c>
      <c r="P245" s="277" t="str">
        <f t="shared" si="581"/>
        <v>#VALUE!</v>
      </c>
      <c r="Q245" s="157">
        <v>0.0</v>
      </c>
      <c r="R245" s="158"/>
      <c r="S245" s="159" t="str">
        <f t="shared" si="582"/>
        <v/>
      </c>
      <c r="T245" s="160"/>
      <c r="U245" s="161"/>
      <c r="V245" s="162"/>
      <c r="W245" s="163"/>
      <c r="X245" s="164" t="str">
        <f t="shared" si="585"/>
        <v>0.00</v>
      </c>
      <c r="Y245" s="165"/>
      <c r="Z245" s="166"/>
      <c r="AA245" s="167"/>
      <c r="AB245" s="168"/>
      <c r="AC245" s="168"/>
      <c r="AD245" s="164"/>
      <c r="AE245" s="164"/>
      <c r="AF245" s="164"/>
      <c r="AG245" s="165"/>
      <c r="AH245" s="23"/>
      <c r="AI245" s="278">
        <v>0.1</v>
      </c>
      <c r="AJ245" s="24"/>
      <c r="AK245" s="279"/>
      <c r="AL245" s="280"/>
      <c r="AM245" s="281" t="str">
        <f t="shared" si="360"/>
        <v>0.00</v>
      </c>
      <c r="AN245" s="280"/>
      <c r="AO245" s="282"/>
      <c r="AP245" s="283"/>
      <c r="AQ245" s="283" t="str">
        <f t="shared" si="361"/>
        <v>0.00</v>
      </c>
      <c r="AR245" s="283"/>
      <c r="AS245" s="284"/>
      <c r="AT245" s="285" t="str">
        <f t="shared" si="235"/>
        <v>0.00</v>
      </c>
      <c r="AU245" s="284"/>
      <c r="AV245" s="286"/>
      <c r="AW245" s="285"/>
      <c r="AX245" s="284"/>
      <c r="AY245" s="26"/>
      <c r="AZ245" s="171"/>
      <c r="BA245" s="172"/>
      <c r="BB245" s="219"/>
      <c r="BC245" s="174" t="str">
        <f t="shared" si="613"/>
        <v>0.00</v>
      </c>
    </row>
    <row r="246" ht="12.75" hidden="1" customHeight="1">
      <c r="A246" s="26"/>
      <c r="B246" s="190" t="s">
        <v>474</v>
      </c>
      <c r="C246" s="220"/>
      <c r="D246" s="223" t="s">
        <v>485</v>
      </c>
      <c r="E246" s="211" t="s">
        <v>77</v>
      </c>
      <c r="F246" s="154">
        <v>1.0</v>
      </c>
      <c r="G246" s="211"/>
      <c r="H246" s="53" t="str">
        <f t="shared" si="576"/>
        <v>0.00069</v>
      </c>
      <c r="I246" s="53" t="str">
        <f t="shared" si="577"/>
        <v>89</v>
      </c>
      <c r="J246" s="53" t="str">
        <f t="shared" si="578"/>
        <v>0</v>
      </c>
      <c r="K246" s="155" t="str">
        <f t="shared" si="579"/>
        <v>0.00</v>
      </c>
      <c r="L246" s="156" t="str">
        <f t="shared" si="580"/>
        <v>0.00 </v>
      </c>
      <c r="M246" s="132">
        <v>90.0</v>
      </c>
      <c r="N246" s="157">
        <v>0.0</v>
      </c>
      <c r="O246" s="277">
        <v>0.0</v>
      </c>
      <c r="P246" s="277" t="str">
        <f t="shared" si="581"/>
        <v>#VALUE!</v>
      </c>
      <c r="Q246" s="157">
        <v>0.0</v>
      </c>
      <c r="R246" s="158">
        <v>403.0</v>
      </c>
      <c r="S246" s="159" t="str">
        <f t="shared" si="582"/>
        <v>312.45</v>
      </c>
      <c r="T246" s="160"/>
      <c r="U246" s="161">
        <v>0.26</v>
      </c>
      <c r="V246" s="162" t="str">
        <f t="shared" ref="V246:V249" si="614">R246-(R246*U246)</f>
        <v>298.22</v>
      </c>
      <c r="W246" s="163" t="str">
        <f t="shared" ref="W246:W249" si="615">$C$1</f>
        <v>60.00</v>
      </c>
      <c r="X246" s="164" t="str">
        <f t="shared" si="585"/>
        <v>22.30</v>
      </c>
      <c r="Y246" s="165" t="str">
        <f t="shared" ref="Y246:Y249" si="616">Q246*$C$3*(M246/30)</f>
        <v>0.00</v>
      </c>
      <c r="Z246" s="166">
        <v>0.68</v>
      </c>
      <c r="AA246" s="167" t="str">
        <f t="shared" ref="AA246:AA249" si="617">((_xlfn.CEILING.MATH(Z246)-1)*$C$5+$C$4)</f>
        <v>76</v>
      </c>
      <c r="AB246" s="168" t="str">
        <f t="shared" ref="AB246:AB249" si="618">R246*$AB$6</f>
        <v>130.975</v>
      </c>
      <c r="AC246" s="168" t="str">
        <f t="shared" ref="AC246:AC249" si="619">V246*$AB$7</f>
        <v>10.617</v>
      </c>
      <c r="AD246" s="164" t="str">
        <f t="shared" ref="AD246:AD249" si="620">$AB$3*((100-AE246)/100)</f>
        <v>2.64</v>
      </c>
      <c r="AE246" s="164">
        <v>94.72</v>
      </c>
      <c r="AF246" s="164" t="str">
        <f t="shared" ref="AF246:AF249" si="621">$C$6*$C$7*_xlfn.CEILING.MATH(Z246)</f>
        <v>4.80</v>
      </c>
      <c r="AG246" s="165" t="str">
        <f t="shared" ref="AG246:AG249" si="622">R246*$C$2</f>
        <v>40.30</v>
      </c>
      <c r="AH246" s="23"/>
      <c r="AI246" s="278">
        <v>0.1</v>
      </c>
      <c r="AJ246" s="24" t="str">
        <f t="shared" ref="AJ246:AJ249" si="623">R246-W246-X246-Y246-AA246-AB246-AC246-AD246-AF246-AG246-Q246</f>
        <v>55.37</v>
      </c>
      <c r="AK246" s="279" t="str">
        <f t="shared" ref="AK246:AK249" si="624">AJ246/Q246</f>
        <v>#DIV/0!</v>
      </c>
      <c r="AL246" s="280"/>
      <c r="AM246" s="281" t="str">
        <f t="shared" si="360"/>
        <v>0.00</v>
      </c>
      <c r="AN246" s="280"/>
      <c r="AO246" s="282"/>
      <c r="AP246" s="283"/>
      <c r="AQ246" s="283" t="str">
        <f t="shared" si="361"/>
        <v>0.00</v>
      </c>
      <c r="AR246" s="283"/>
      <c r="AS246" s="284"/>
      <c r="AT246" s="285" t="str">
        <f t="shared" si="235"/>
        <v>0.00</v>
      </c>
      <c r="AU246" s="284"/>
      <c r="AV246" s="286"/>
      <c r="AW246" s="285"/>
      <c r="AX246" s="284"/>
      <c r="AY246" s="26"/>
      <c r="AZ246" s="171" t="str">
        <f t="shared" ref="AZ246:AZ249" si="625">$AG$3</f>
        <v>0.00%</v>
      </c>
      <c r="BA246" s="172" t="str">
        <f t="shared" ref="BA246:BA249" si="626">Q246*AZ246</f>
        <v>0.00</v>
      </c>
      <c r="BB246" s="173" t="str">
        <f t="shared" ref="BB246:BB249" si="627">(Q246+W246+Y246+AA246+AD246+AF246+AI246+BA246)/(100%-($C$2+$C$8+$AB$6+$AB$7))</f>
        <v>312.45</v>
      </c>
      <c r="BC246" s="174" t="str">
        <f t="shared" si="613"/>
        <v>221.84</v>
      </c>
    </row>
    <row r="247" ht="12.75" hidden="1" customHeight="1">
      <c r="A247" s="26"/>
      <c r="B247" s="190" t="s">
        <v>474</v>
      </c>
      <c r="C247" s="220"/>
      <c r="D247" s="223" t="s">
        <v>486</v>
      </c>
      <c r="E247" s="211" t="s">
        <v>77</v>
      </c>
      <c r="F247" s="154">
        <v>1.0</v>
      </c>
      <c r="G247" s="211"/>
      <c r="H247" s="53" t="str">
        <f t="shared" si="576"/>
        <v>0.00069</v>
      </c>
      <c r="I247" s="53" t="str">
        <f t="shared" si="577"/>
        <v>89</v>
      </c>
      <c r="J247" s="53" t="str">
        <f t="shared" si="578"/>
        <v>0</v>
      </c>
      <c r="K247" s="155" t="str">
        <f t="shared" si="579"/>
        <v>0.00</v>
      </c>
      <c r="L247" s="156" t="str">
        <f t="shared" si="580"/>
        <v>0.00 </v>
      </c>
      <c r="M247" s="132">
        <v>90.0</v>
      </c>
      <c r="N247" s="157">
        <v>0.0</v>
      </c>
      <c r="O247" s="277">
        <v>0.0</v>
      </c>
      <c r="P247" s="277" t="str">
        <f t="shared" si="581"/>
        <v>#VALUE!</v>
      </c>
      <c r="Q247" s="157">
        <v>0.0</v>
      </c>
      <c r="R247" s="158">
        <v>528.5</v>
      </c>
      <c r="S247" s="159" t="str">
        <f t="shared" si="582"/>
        <v>313.39</v>
      </c>
      <c r="T247" s="160"/>
      <c r="U247" s="161">
        <v>0.26</v>
      </c>
      <c r="V247" s="162" t="str">
        <f t="shared" si="614"/>
        <v>391.09</v>
      </c>
      <c r="W247" s="163" t="str">
        <f t="shared" si="615"/>
        <v>60.00</v>
      </c>
      <c r="X247" s="164" t="str">
        <f t="shared" si="585"/>
        <v>29.24</v>
      </c>
      <c r="Y247" s="165" t="str">
        <f t="shared" si="616"/>
        <v>0.00</v>
      </c>
      <c r="Z247" s="166">
        <v>0.77</v>
      </c>
      <c r="AA247" s="167" t="str">
        <f t="shared" si="617"/>
        <v>76</v>
      </c>
      <c r="AB247" s="168" t="str">
        <f t="shared" si="618"/>
        <v>171.763</v>
      </c>
      <c r="AC247" s="168" t="str">
        <f t="shared" si="619"/>
        <v>13.923</v>
      </c>
      <c r="AD247" s="164" t="str">
        <f t="shared" si="620"/>
        <v>3.07</v>
      </c>
      <c r="AE247" s="164">
        <v>93.86</v>
      </c>
      <c r="AF247" s="164" t="str">
        <f t="shared" si="621"/>
        <v>4.80</v>
      </c>
      <c r="AG247" s="165" t="str">
        <f t="shared" si="622"/>
        <v>52.85</v>
      </c>
      <c r="AH247" s="23"/>
      <c r="AI247" s="278">
        <v>0.1</v>
      </c>
      <c r="AJ247" s="24" t="str">
        <f t="shared" si="623"/>
        <v>116.85</v>
      </c>
      <c r="AK247" s="279" t="str">
        <f t="shared" si="624"/>
        <v>#DIV/0!</v>
      </c>
      <c r="AL247" s="280"/>
      <c r="AM247" s="281" t="str">
        <f t="shared" si="360"/>
        <v>0.00</v>
      </c>
      <c r="AN247" s="280"/>
      <c r="AO247" s="282"/>
      <c r="AP247" s="283"/>
      <c r="AQ247" s="283" t="str">
        <f t="shared" si="361"/>
        <v>0.00</v>
      </c>
      <c r="AR247" s="283"/>
      <c r="AS247" s="284"/>
      <c r="AT247" s="285" t="str">
        <f t="shared" si="235"/>
        <v>0.00</v>
      </c>
      <c r="AU247" s="284"/>
      <c r="AV247" s="286"/>
      <c r="AW247" s="285"/>
      <c r="AX247" s="284"/>
      <c r="AY247" s="26"/>
      <c r="AZ247" s="171" t="str">
        <f t="shared" si="625"/>
        <v>0.00%</v>
      </c>
      <c r="BA247" s="172" t="str">
        <f t="shared" si="626"/>
        <v>0.00</v>
      </c>
      <c r="BB247" s="173" t="str">
        <f t="shared" si="627"/>
        <v>313.39</v>
      </c>
      <c r="BC247" s="174" t="str">
        <f t="shared" si="613"/>
        <v>222.50</v>
      </c>
    </row>
    <row r="248" ht="12.75" hidden="1" customHeight="1">
      <c r="A248" s="26"/>
      <c r="B248" s="190" t="s">
        <v>474</v>
      </c>
      <c r="C248" s="220"/>
      <c r="D248" s="223" t="s">
        <v>487</v>
      </c>
      <c r="E248" s="211" t="s">
        <v>77</v>
      </c>
      <c r="F248" s="154">
        <v>1.0</v>
      </c>
      <c r="G248" s="211"/>
      <c r="H248" s="53" t="str">
        <f t="shared" si="576"/>
        <v>0.00069</v>
      </c>
      <c r="I248" s="53" t="str">
        <f t="shared" si="577"/>
        <v>89</v>
      </c>
      <c r="J248" s="53" t="str">
        <f t="shared" si="578"/>
        <v>0</v>
      </c>
      <c r="K248" s="155" t="str">
        <f t="shared" si="579"/>
        <v>0.00</v>
      </c>
      <c r="L248" s="156" t="str">
        <f t="shared" si="580"/>
        <v>0.00 </v>
      </c>
      <c r="M248" s="132">
        <v>90.0</v>
      </c>
      <c r="N248" s="157">
        <v>0.0</v>
      </c>
      <c r="O248" s="277">
        <v>0.0</v>
      </c>
      <c r="P248" s="277" t="str">
        <f t="shared" si="581"/>
        <v>#VALUE!</v>
      </c>
      <c r="Q248" s="157">
        <v>0.0</v>
      </c>
      <c r="R248" s="158">
        <v>808.8</v>
      </c>
      <c r="S248" s="159" t="str">
        <f t="shared" si="582"/>
        <v>313.34</v>
      </c>
      <c r="T248" s="160"/>
      <c r="U248" s="161">
        <v>0.26</v>
      </c>
      <c r="V248" s="162" t="str">
        <f t="shared" si="614"/>
        <v>598.51</v>
      </c>
      <c r="W248" s="163" t="str">
        <f t="shared" si="615"/>
        <v>60.00</v>
      </c>
      <c r="X248" s="164" t="str">
        <f t="shared" si="585"/>
        <v>44.75</v>
      </c>
      <c r="Y248" s="165" t="str">
        <f t="shared" si="616"/>
        <v>0.00</v>
      </c>
      <c r="Z248" s="166">
        <v>0.86</v>
      </c>
      <c r="AA248" s="167" t="str">
        <f t="shared" si="617"/>
        <v>76</v>
      </c>
      <c r="AB248" s="168" t="str">
        <f t="shared" si="618"/>
        <v>262.860</v>
      </c>
      <c r="AC248" s="168" t="str">
        <f t="shared" si="619"/>
        <v>21.307</v>
      </c>
      <c r="AD248" s="164" t="str">
        <f t="shared" si="620"/>
        <v>3.05</v>
      </c>
      <c r="AE248" s="164">
        <v>93.9</v>
      </c>
      <c r="AF248" s="164" t="str">
        <f t="shared" si="621"/>
        <v>4.80</v>
      </c>
      <c r="AG248" s="165" t="str">
        <f t="shared" si="622"/>
        <v>80.88</v>
      </c>
      <c r="AH248" s="23"/>
      <c r="AI248" s="278">
        <v>0.1</v>
      </c>
      <c r="AJ248" s="24" t="str">
        <f t="shared" si="623"/>
        <v>255.15</v>
      </c>
      <c r="AK248" s="279" t="str">
        <f t="shared" si="624"/>
        <v>#DIV/0!</v>
      </c>
      <c r="AL248" s="280"/>
      <c r="AM248" s="281" t="str">
        <f t="shared" si="360"/>
        <v>0.00</v>
      </c>
      <c r="AN248" s="280"/>
      <c r="AO248" s="282"/>
      <c r="AP248" s="283"/>
      <c r="AQ248" s="283" t="str">
        <f t="shared" si="361"/>
        <v>0.00</v>
      </c>
      <c r="AR248" s="283"/>
      <c r="AS248" s="284"/>
      <c r="AT248" s="285" t="str">
        <f t="shared" si="235"/>
        <v>0.00</v>
      </c>
      <c r="AU248" s="284"/>
      <c r="AV248" s="286"/>
      <c r="AW248" s="285"/>
      <c r="AX248" s="284"/>
      <c r="AY248" s="26"/>
      <c r="AZ248" s="171" t="str">
        <f t="shared" si="625"/>
        <v>0.00%</v>
      </c>
      <c r="BA248" s="172" t="str">
        <f t="shared" si="626"/>
        <v>0.00</v>
      </c>
      <c r="BB248" s="173" t="str">
        <f t="shared" si="627"/>
        <v>313.34</v>
      </c>
      <c r="BC248" s="174" t="str">
        <f t="shared" si="613"/>
        <v>222.47</v>
      </c>
    </row>
    <row r="249" ht="12.75" hidden="1" customHeight="1">
      <c r="A249" s="26"/>
      <c r="B249" s="190" t="s">
        <v>488</v>
      </c>
      <c r="C249" s="191">
        <v>1.83127988E8</v>
      </c>
      <c r="D249" s="222" t="s">
        <v>489</v>
      </c>
      <c r="E249" s="53" t="s">
        <v>77</v>
      </c>
      <c r="F249" s="154">
        <v>1.0</v>
      </c>
      <c r="G249" s="53"/>
      <c r="H249" s="53" t="str">
        <f t="shared" si="576"/>
        <v>0.00069</v>
      </c>
      <c r="I249" s="53" t="str">
        <f t="shared" si="577"/>
        <v>89</v>
      </c>
      <c r="J249" s="53" t="str">
        <f t="shared" si="578"/>
        <v>0</v>
      </c>
      <c r="K249" s="155" t="str">
        <f t="shared" si="579"/>
        <v>0.00</v>
      </c>
      <c r="L249" s="156" t="str">
        <f t="shared" si="580"/>
        <v>0.00 </v>
      </c>
      <c r="M249" s="132">
        <v>90.0</v>
      </c>
      <c r="N249" s="157">
        <v>0.0</v>
      </c>
      <c r="O249" s="277">
        <v>0.0</v>
      </c>
      <c r="P249" s="277" t="str">
        <f t="shared" si="581"/>
        <v>#VALUE!</v>
      </c>
      <c r="Q249" s="157">
        <v>0.0</v>
      </c>
      <c r="R249" s="158">
        <v>1241.4</v>
      </c>
      <c r="S249" s="159" t="str">
        <f t="shared" si="582"/>
        <v>313.67</v>
      </c>
      <c r="T249" s="160"/>
      <c r="U249" s="161">
        <v>0.26</v>
      </c>
      <c r="V249" s="162" t="str">
        <f t="shared" si="614"/>
        <v>918.64</v>
      </c>
      <c r="W249" s="163" t="str">
        <f t="shared" si="615"/>
        <v>60.00</v>
      </c>
      <c r="X249" s="164" t="str">
        <f t="shared" si="585"/>
        <v>68.68</v>
      </c>
      <c r="Y249" s="165" t="str">
        <f t="shared" si="616"/>
        <v>0.00</v>
      </c>
      <c r="Z249" s="166">
        <v>0.43</v>
      </c>
      <c r="AA249" s="167" t="str">
        <f t="shared" si="617"/>
        <v>76</v>
      </c>
      <c r="AB249" s="168" t="str">
        <f t="shared" si="618"/>
        <v>403.455</v>
      </c>
      <c r="AC249" s="168" t="str">
        <f t="shared" si="619"/>
        <v>32.703</v>
      </c>
      <c r="AD249" s="164" t="str">
        <f t="shared" si="620"/>
        <v>3.20</v>
      </c>
      <c r="AE249" s="164">
        <v>93.6</v>
      </c>
      <c r="AF249" s="164" t="str">
        <f t="shared" si="621"/>
        <v>4.80</v>
      </c>
      <c r="AG249" s="165" t="str">
        <f t="shared" si="622"/>
        <v>124.14</v>
      </c>
      <c r="AH249" s="23"/>
      <c r="AI249" s="278">
        <v>0.1</v>
      </c>
      <c r="AJ249" s="24" t="str">
        <f t="shared" si="623"/>
        <v>468.42</v>
      </c>
      <c r="AK249" s="279" t="str">
        <f t="shared" si="624"/>
        <v>#DIV/0!</v>
      </c>
      <c r="AL249" s="280"/>
      <c r="AM249" s="281" t="str">
        <f t="shared" si="360"/>
        <v>0.00</v>
      </c>
      <c r="AN249" s="280"/>
      <c r="AO249" s="282"/>
      <c r="AP249" s="283"/>
      <c r="AQ249" s="283" t="str">
        <f t="shared" si="361"/>
        <v>0.00</v>
      </c>
      <c r="AR249" s="283"/>
      <c r="AS249" s="284"/>
      <c r="AT249" s="285" t="str">
        <f t="shared" si="235"/>
        <v>0.00</v>
      </c>
      <c r="AU249" s="284"/>
      <c r="AV249" s="286"/>
      <c r="AW249" s="285"/>
      <c r="AX249" s="284"/>
      <c r="AY249" s="26"/>
      <c r="AZ249" s="171" t="str">
        <f t="shared" si="625"/>
        <v>0.00%</v>
      </c>
      <c r="BA249" s="172" t="str">
        <f t="shared" si="626"/>
        <v>0.00</v>
      </c>
      <c r="BB249" s="173" t="str">
        <f t="shared" si="627"/>
        <v>313.67</v>
      </c>
      <c r="BC249" s="174" t="str">
        <f t="shared" si="613"/>
        <v>222.71</v>
      </c>
    </row>
    <row r="250" ht="12.75" hidden="1" customHeight="1">
      <c r="A250" s="26"/>
      <c r="B250" s="190" t="s">
        <v>490</v>
      </c>
      <c r="C250" s="216"/>
      <c r="D250" s="217" t="s">
        <v>491</v>
      </c>
      <c r="E250" s="53" t="s">
        <v>77</v>
      </c>
      <c r="F250" s="154">
        <v>1.0</v>
      </c>
      <c r="G250" s="53"/>
      <c r="H250" s="53" t="str">
        <f t="shared" si="576"/>
        <v>0.00069</v>
      </c>
      <c r="I250" s="53" t="str">
        <f t="shared" si="577"/>
        <v>89</v>
      </c>
      <c r="J250" s="53" t="str">
        <f t="shared" si="578"/>
        <v>0</v>
      </c>
      <c r="K250" s="155" t="str">
        <f t="shared" si="579"/>
        <v>0.00</v>
      </c>
      <c r="L250" s="156" t="str">
        <f t="shared" si="580"/>
        <v>0.00 </v>
      </c>
      <c r="M250" s="132">
        <v>90.0</v>
      </c>
      <c r="N250" s="157">
        <v>0.0</v>
      </c>
      <c r="O250" s="277">
        <v>0.0</v>
      </c>
      <c r="P250" s="277" t="str">
        <f t="shared" si="581"/>
        <v>#VALUE!</v>
      </c>
      <c r="Q250" s="157">
        <v>0.0</v>
      </c>
      <c r="R250" s="158"/>
      <c r="S250" s="159" t="str">
        <f t="shared" si="582"/>
        <v/>
      </c>
      <c r="T250" s="160"/>
      <c r="U250" s="161"/>
      <c r="V250" s="162"/>
      <c r="W250" s="163"/>
      <c r="X250" s="164" t="str">
        <f t="shared" si="585"/>
        <v>0.00</v>
      </c>
      <c r="Y250" s="165"/>
      <c r="Z250" s="166"/>
      <c r="AA250" s="167"/>
      <c r="AB250" s="168"/>
      <c r="AC250" s="168"/>
      <c r="AD250" s="164"/>
      <c r="AE250" s="164"/>
      <c r="AF250" s="164"/>
      <c r="AG250" s="165"/>
      <c r="AH250" s="23"/>
      <c r="AI250" s="278">
        <v>0.1</v>
      </c>
      <c r="AJ250" s="24"/>
      <c r="AK250" s="279"/>
      <c r="AL250" s="280"/>
      <c r="AM250" s="281" t="str">
        <f t="shared" si="360"/>
        <v>0.00</v>
      </c>
      <c r="AN250" s="280"/>
      <c r="AO250" s="282"/>
      <c r="AP250" s="283"/>
      <c r="AQ250" s="283" t="str">
        <f t="shared" si="361"/>
        <v>0.00</v>
      </c>
      <c r="AR250" s="283"/>
      <c r="AS250" s="284"/>
      <c r="AT250" s="285" t="str">
        <f t="shared" si="235"/>
        <v>0.00</v>
      </c>
      <c r="AU250" s="284"/>
      <c r="AV250" s="286"/>
      <c r="AW250" s="285"/>
      <c r="AX250" s="284"/>
      <c r="AY250" s="26"/>
      <c r="AZ250" s="171"/>
      <c r="BA250" s="172"/>
      <c r="BB250" s="219"/>
      <c r="BC250" s="174"/>
    </row>
    <row r="251" ht="13.5" hidden="1" customHeight="1">
      <c r="A251" s="26"/>
      <c r="B251" s="190" t="s">
        <v>474</v>
      </c>
      <c r="C251" s="220"/>
      <c r="D251" s="221" t="s">
        <v>492</v>
      </c>
      <c r="E251" s="211" t="s">
        <v>77</v>
      </c>
      <c r="F251" s="154">
        <v>1.0</v>
      </c>
      <c r="G251" s="211"/>
      <c r="H251" s="53" t="str">
        <f t="shared" si="576"/>
        <v>0.00069</v>
      </c>
      <c r="I251" s="53" t="str">
        <f t="shared" si="577"/>
        <v>89</v>
      </c>
      <c r="J251" s="53" t="str">
        <f t="shared" si="578"/>
        <v>0</v>
      </c>
      <c r="K251" s="155" t="str">
        <f t="shared" si="579"/>
        <v>0.00</v>
      </c>
      <c r="L251" s="156" t="str">
        <f t="shared" si="580"/>
        <v>0.00 </v>
      </c>
      <c r="M251" s="132">
        <v>90.0</v>
      </c>
      <c r="N251" s="157">
        <v>0.0</v>
      </c>
      <c r="O251" s="277">
        <v>0.0</v>
      </c>
      <c r="P251" s="277" t="str">
        <f t="shared" si="581"/>
        <v>#VALUE!</v>
      </c>
      <c r="Q251" s="157">
        <v>0.0</v>
      </c>
      <c r="R251" s="158">
        <v>398.16</v>
      </c>
      <c r="S251" s="159" t="str">
        <f t="shared" si="582"/>
        <v>314.48</v>
      </c>
      <c r="T251" s="160"/>
      <c r="U251" s="161">
        <v>0.26</v>
      </c>
      <c r="V251" s="162" t="str">
        <f t="shared" ref="V251:V256" si="628">R251-(R251*U251)</f>
        <v>294.64</v>
      </c>
      <c r="W251" s="163" t="str">
        <f t="shared" ref="W251:W256" si="629">$C$1</f>
        <v>60.00</v>
      </c>
      <c r="X251" s="164" t="str">
        <f t="shared" si="585"/>
        <v>22.03</v>
      </c>
      <c r="Y251" s="165" t="str">
        <f t="shared" ref="Y251:Y256" si="630">Q251*$C$3*(M251/30)</f>
        <v>0.00</v>
      </c>
      <c r="Z251" s="166">
        <v>0.75</v>
      </c>
      <c r="AA251" s="167" t="str">
        <f t="shared" ref="AA251:AA256" si="631">((_xlfn.CEILING.MATH(Z251)-1)*$C$5+$C$4)</f>
        <v>76</v>
      </c>
      <c r="AB251" s="168" t="str">
        <f t="shared" ref="AB251:AB256" si="632">R251*$AB$6</f>
        <v>129.402</v>
      </c>
      <c r="AC251" s="168" t="str">
        <f t="shared" ref="AC251:AC256" si="633">V251*$AB$7</f>
        <v>10.489</v>
      </c>
      <c r="AD251" s="164" t="str">
        <f t="shared" ref="AD251:AD256" si="634">$AB$3*((100-AE251)/100)</f>
        <v>3.57</v>
      </c>
      <c r="AE251" s="164">
        <v>92.86</v>
      </c>
      <c r="AF251" s="164" t="str">
        <f t="shared" ref="AF251:AF256" si="635">$C$6*$C$7*_xlfn.CEILING.MATH(Z251)</f>
        <v>4.80</v>
      </c>
      <c r="AG251" s="165" t="str">
        <f t="shared" ref="AG251:AG256" si="636">R251*$C$2</f>
        <v>39.82</v>
      </c>
      <c r="AH251" s="23"/>
      <c r="AI251" s="278">
        <v>0.1</v>
      </c>
      <c r="AJ251" s="24" t="str">
        <f t="shared" ref="AJ251:AJ256" si="637">R251-W251-X251-Y251-AA251-AB251-AC251-AD251-AF251-AG251-Q251</f>
        <v>52.05</v>
      </c>
      <c r="AK251" s="279" t="str">
        <f t="shared" ref="AK251:AK256" si="638">AJ251/Q251</f>
        <v>#DIV/0!</v>
      </c>
      <c r="AL251" s="280"/>
      <c r="AM251" s="281" t="str">
        <f t="shared" si="360"/>
        <v>0.00</v>
      </c>
      <c r="AN251" s="280"/>
      <c r="AO251" s="282"/>
      <c r="AP251" s="283"/>
      <c r="AQ251" s="283" t="str">
        <f t="shared" si="361"/>
        <v>0.00</v>
      </c>
      <c r="AR251" s="283"/>
      <c r="AS251" s="284"/>
      <c r="AT251" s="285" t="str">
        <f t="shared" si="235"/>
        <v>0.00</v>
      </c>
      <c r="AU251" s="284"/>
      <c r="AV251" s="286"/>
      <c r="AW251" s="285"/>
      <c r="AX251" s="284"/>
      <c r="AY251" s="26"/>
      <c r="AZ251" s="171" t="str">
        <f t="shared" ref="AZ251:AZ256" si="639">$AG$3</f>
        <v>0.00%</v>
      </c>
      <c r="BA251" s="172" t="str">
        <f t="shared" ref="BA251:BA256" si="640">Q251*AZ251</f>
        <v>0.00</v>
      </c>
      <c r="BB251" s="173" t="str">
        <f t="shared" ref="BB251:BB256" si="641">(Q251+W251+Y251+AA251+AD251+AF251+AI251+BA251)/(100%-($C$2+$C$8+$AB$6+$AB$7))</f>
        <v>314.48</v>
      </c>
      <c r="BC251" s="174" t="str">
        <f t="shared" ref="BC251:BC256" si="642">BB251-(BB251*$AG$1)</f>
        <v>223.28</v>
      </c>
    </row>
    <row r="252" ht="13.5" hidden="1" customHeight="1">
      <c r="A252" s="26"/>
      <c r="B252" s="190" t="s">
        <v>474</v>
      </c>
      <c r="C252" s="220"/>
      <c r="D252" s="221" t="s">
        <v>493</v>
      </c>
      <c r="E252" s="211" t="s">
        <v>77</v>
      </c>
      <c r="F252" s="154">
        <v>1.0</v>
      </c>
      <c r="G252" s="211"/>
      <c r="H252" s="53" t="str">
        <f t="shared" si="576"/>
        <v>0.00069</v>
      </c>
      <c r="I252" s="53" t="str">
        <f t="shared" si="577"/>
        <v>89</v>
      </c>
      <c r="J252" s="53" t="str">
        <f t="shared" si="578"/>
        <v>0</v>
      </c>
      <c r="K252" s="155" t="str">
        <f t="shared" si="579"/>
        <v>0.00</v>
      </c>
      <c r="L252" s="156" t="str">
        <f t="shared" si="580"/>
        <v>0.00 </v>
      </c>
      <c r="M252" s="132">
        <v>90.0</v>
      </c>
      <c r="N252" s="157">
        <v>0.0</v>
      </c>
      <c r="O252" s="277">
        <v>0.0</v>
      </c>
      <c r="P252" s="277" t="str">
        <f t="shared" si="581"/>
        <v>#VALUE!</v>
      </c>
      <c r="Q252" s="157">
        <v>0.0</v>
      </c>
      <c r="R252" s="158">
        <v>722.1</v>
      </c>
      <c r="S252" s="159" t="str">
        <f t="shared" si="582"/>
        <v>339.36</v>
      </c>
      <c r="T252" s="160"/>
      <c r="U252" s="161">
        <v>0.26</v>
      </c>
      <c r="V252" s="162" t="str">
        <f t="shared" si="628"/>
        <v>534.35</v>
      </c>
      <c r="W252" s="163" t="str">
        <f t="shared" si="629"/>
        <v>60.00</v>
      </c>
      <c r="X252" s="164" t="str">
        <f t="shared" si="585"/>
        <v>39.95</v>
      </c>
      <c r="Y252" s="165" t="str">
        <f t="shared" si="630"/>
        <v>0.00</v>
      </c>
      <c r="Z252" s="166">
        <v>0.68</v>
      </c>
      <c r="AA252" s="167" t="str">
        <f t="shared" si="631"/>
        <v>76</v>
      </c>
      <c r="AB252" s="168" t="str">
        <f t="shared" si="632"/>
        <v>234.683</v>
      </c>
      <c r="AC252" s="168" t="str">
        <f t="shared" si="633"/>
        <v>19.023</v>
      </c>
      <c r="AD252" s="164" t="str">
        <f t="shared" si="634"/>
        <v>15.00</v>
      </c>
      <c r="AE252" s="164">
        <v>70.0</v>
      </c>
      <c r="AF252" s="164" t="str">
        <f t="shared" si="635"/>
        <v>4.80</v>
      </c>
      <c r="AG252" s="165" t="str">
        <f t="shared" si="636"/>
        <v>72.21</v>
      </c>
      <c r="AH252" s="23"/>
      <c r="AI252" s="278">
        <v>0.1</v>
      </c>
      <c r="AJ252" s="24" t="str">
        <f t="shared" si="637"/>
        <v>200.43</v>
      </c>
      <c r="AK252" s="279" t="str">
        <f t="shared" si="638"/>
        <v>#DIV/0!</v>
      </c>
      <c r="AL252" s="280"/>
      <c r="AM252" s="281" t="str">
        <f t="shared" si="360"/>
        <v>0.00</v>
      </c>
      <c r="AN252" s="280"/>
      <c r="AO252" s="282"/>
      <c r="AP252" s="283"/>
      <c r="AQ252" s="283" t="str">
        <f t="shared" si="361"/>
        <v>0.00</v>
      </c>
      <c r="AR252" s="283"/>
      <c r="AS252" s="284"/>
      <c r="AT252" s="285" t="str">
        <f t="shared" si="235"/>
        <v>0.00</v>
      </c>
      <c r="AU252" s="284"/>
      <c r="AV252" s="286"/>
      <c r="AW252" s="285"/>
      <c r="AX252" s="284"/>
      <c r="AY252" s="26"/>
      <c r="AZ252" s="171" t="str">
        <f t="shared" si="639"/>
        <v>0.00%</v>
      </c>
      <c r="BA252" s="172" t="str">
        <f t="shared" si="640"/>
        <v>0.00</v>
      </c>
      <c r="BB252" s="173" t="str">
        <f t="shared" si="641"/>
        <v>339.36</v>
      </c>
      <c r="BC252" s="174" t="str">
        <f t="shared" si="642"/>
        <v>240.94</v>
      </c>
    </row>
    <row r="253" ht="13.5" hidden="1" customHeight="1">
      <c r="A253" s="26"/>
      <c r="B253" s="190" t="s">
        <v>474</v>
      </c>
      <c r="C253" s="220"/>
      <c r="D253" s="221" t="s">
        <v>494</v>
      </c>
      <c r="E253" s="211" t="s">
        <v>77</v>
      </c>
      <c r="F253" s="154">
        <v>1.0</v>
      </c>
      <c r="G253" s="211"/>
      <c r="H253" s="53" t="str">
        <f t="shared" si="576"/>
        <v>0.00069</v>
      </c>
      <c r="I253" s="53" t="str">
        <f t="shared" si="577"/>
        <v>89</v>
      </c>
      <c r="J253" s="53" t="str">
        <f t="shared" si="578"/>
        <v>0</v>
      </c>
      <c r="K253" s="155" t="str">
        <f t="shared" si="579"/>
        <v>0.00</v>
      </c>
      <c r="L253" s="156" t="str">
        <f t="shared" si="580"/>
        <v>0.00 </v>
      </c>
      <c r="M253" s="132">
        <v>90.0</v>
      </c>
      <c r="N253" s="157">
        <v>0.0</v>
      </c>
      <c r="O253" s="277">
        <v>0.0</v>
      </c>
      <c r="P253" s="277" t="str">
        <f t="shared" si="581"/>
        <v>#VALUE!</v>
      </c>
      <c r="Q253" s="157">
        <v>0.0</v>
      </c>
      <c r="R253" s="158">
        <v>1171.2</v>
      </c>
      <c r="S253" s="159" t="str">
        <f t="shared" si="582"/>
        <v>315.77</v>
      </c>
      <c r="T253" s="160"/>
      <c r="U253" s="161">
        <v>0.26</v>
      </c>
      <c r="V253" s="162" t="str">
        <f t="shared" si="628"/>
        <v>866.69</v>
      </c>
      <c r="W253" s="163" t="str">
        <f t="shared" si="629"/>
        <v>60.00</v>
      </c>
      <c r="X253" s="164" t="str">
        <f t="shared" si="585"/>
        <v>64.80</v>
      </c>
      <c r="Y253" s="165" t="str">
        <f t="shared" si="630"/>
        <v>0.00</v>
      </c>
      <c r="Z253" s="166">
        <v>0.86</v>
      </c>
      <c r="AA253" s="167" t="str">
        <f t="shared" si="631"/>
        <v>76</v>
      </c>
      <c r="AB253" s="168" t="str">
        <f t="shared" si="632"/>
        <v>380.640</v>
      </c>
      <c r="AC253" s="168" t="str">
        <f t="shared" si="633"/>
        <v>30.854</v>
      </c>
      <c r="AD253" s="164" t="str">
        <f t="shared" si="634"/>
        <v>4.17</v>
      </c>
      <c r="AE253" s="164">
        <v>91.67</v>
      </c>
      <c r="AF253" s="164" t="str">
        <f t="shared" si="635"/>
        <v>4.80</v>
      </c>
      <c r="AG253" s="165" t="str">
        <f t="shared" si="636"/>
        <v>117.12</v>
      </c>
      <c r="AH253" s="23"/>
      <c r="AI253" s="278">
        <v>0.1</v>
      </c>
      <c r="AJ253" s="24" t="str">
        <f t="shared" si="637"/>
        <v>432.82</v>
      </c>
      <c r="AK253" s="279" t="str">
        <f t="shared" si="638"/>
        <v>#DIV/0!</v>
      </c>
      <c r="AL253" s="280"/>
      <c r="AM253" s="281" t="str">
        <f t="shared" si="360"/>
        <v>0.00</v>
      </c>
      <c r="AN253" s="280"/>
      <c r="AO253" s="282"/>
      <c r="AP253" s="283"/>
      <c r="AQ253" s="283" t="str">
        <f t="shared" si="361"/>
        <v>0.00</v>
      </c>
      <c r="AR253" s="283"/>
      <c r="AS253" s="284"/>
      <c r="AT253" s="285" t="str">
        <f t="shared" si="235"/>
        <v>0.00</v>
      </c>
      <c r="AU253" s="284"/>
      <c r="AV253" s="286"/>
      <c r="AW253" s="285"/>
      <c r="AX253" s="284"/>
      <c r="AY253" s="26"/>
      <c r="AZ253" s="171" t="str">
        <f t="shared" si="639"/>
        <v>0.00%</v>
      </c>
      <c r="BA253" s="172" t="str">
        <f t="shared" si="640"/>
        <v>0.00</v>
      </c>
      <c r="BB253" s="173" t="str">
        <f t="shared" si="641"/>
        <v>315.77</v>
      </c>
      <c r="BC253" s="174" t="str">
        <f t="shared" si="642"/>
        <v>224.20</v>
      </c>
    </row>
    <row r="254" ht="12.75" hidden="1" customHeight="1">
      <c r="A254" s="26"/>
      <c r="B254" s="190" t="s">
        <v>495</v>
      </c>
      <c r="C254" s="191">
        <v>1.69074006E8</v>
      </c>
      <c r="D254" s="222" t="s">
        <v>496</v>
      </c>
      <c r="E254" s="53" t="s">
        <v>77</v>
      </c>
      <c r="F254" s="154">
        <v>1.0</v>
      </c>
      <c r="G254" s="53"/>
      <c r="H254" s="53" t="str">
        <f t="shared" si="576"/>
        <v>0.00069</v>
      </c>
      <c r="I254" s="53" t="str">
        <f t="shared" si="577"/>
        <v>89</v>
      </c>
      <c r="J254" s="53" t="str">
        <f t="shared" si="578"/>
        <v>0</v>
      </c>
      <c r="K254" s="155" t="str">
        <f t="shared" si="579"/>
        <v>0.00</v>
      </c>
      <c r="L254" s="156" t="str">
        <f t="shared" si="580"/>
        <v>0.00 </v>
      </c>
      <c r="M254" s="132">
        <v>90.0</v>
      </c>
      <c r="N254" s="157">
        <v>0.0</v>
      </c>
      <c r="O254" s="277">
        <v>0.0</v>
      </c>
      <c r="P254" s="277" t="str">
        <f t="shared" si="581"/>
        <v>#VALUE!</v>
      </c>
      <c r="Q254" s="157">
        <v>0.0</v>
      </c>
      <c r="R254" s="158">
        <v>1009.8</v>
      </c>
      <c r="S254" s="159" t="str">
        <f t="shared" si="582"/>
        <v>432.72</v>
      </c>
      <c r="T254" s="160"/>
      <c r="U254" s="161">
        <v>0.26</v>
      </c>
      <c r="V254" s="162" t="str">
        <f t="shared" si="628"/>
        <v>747.25</v>
      </c>
      <c r="W254" s="163" t="str">
        <f t="shared" si="629"/>
        <v>60.00</v>
      </c>
      <c r="X254" s="164" t="str">
        <f t="shared" si="585"/>
        <v>55.87</v>
      </c>
      <c r="Y254" s="165" t="str">
        <f t="shared" si="630"/>
        <v>0.00</v>
      </c>
      <c r="Z254" s="166">
        <v>1.26</v>
      </c>
      <c r="AA254" s="167" t="str">
        <f t="shared" si="631"/>
        <v>95</v>
      </c>
      <c r="AB254" s="168" t="str">
        <f t="shared" si="632"/>
        <v>328.185</v>
      </c>
      <c r="AC254" s="168" t="str">
        <f t="shared" si="633"/>
        <v>26.602</v>
      </c>
      <c r="AD254" s="164" t="str">
        <f t="shared" si="634"/>
        <v>34.09</v>
      </c>
      <c r="AE254" s="164">
        <v>31.82</v>
      </c>
      <c r="AF254" s="164" t="str">
        <f t="shared" si="635"/>
        <v>9.60</v>
      </c>
      <c r="AG254" s="165" t="str">
        <f t="shared" si="636"/>
        <v>100.98</v>
      </c>
      <c r="AH254" s="23"/>
      <c r="AI254" s="278">
        <v>0.1</v>
      </c>
      <c r="AJ254" s="24" t="str">
        <f t="shared" si="637"/>
        <v>299.47</v>
      </c>
      <c r="AK254" s="279" t="str">
        <f t="shared" si="638"/>
        <v>#DIV/0!</v>
      </c>
      <c r="AL254" s="280"/>
      <c r="AM254" s="281" t="str">
        <f t="shared" si="360"/>
        <v>0.00</v>
      </c>
      <c r="AN254" s="280"/>
      <c r="AO254" s="282"/>
      <c r="AP254" s="283"/>
      <c r="AQ254" s="283" t="str">
        <f t="shared" si="361"/>
        <v>0.00</v>
      </c>
      <c r="AR254" s="283"/>
      <c r="AS254" s="284"/>
      <c r="AT254" s="285" t="str">
        <f t="shared" si="235"/>
        <v>0.00</v>
      </c>
      <c r="AU254" s="284"/>
      <c r="AV254" s="286"/>
      <c r="AW254" s="285"/>
      <c r="AX254" s="284"/>
      <c r="AY254" s="26"/>
      <c r="AZ254" s="171" t="str">
        <f t="shared" si="639"/>
        <v>0.00%</v>
      </c>
      <c r="BA254" s="172" t="str">
        <f t="shared" si="640"/>
        <v>0.00</v>
      </c>
      <c r="BB254" s="173" t="str">
        <f t="shared" si="641"/>
        <v>432.72</v>
      </c>
      <c r="BC254" s="174" t="str">
        <f t="shared" si="642"/>
        <v>307.23</v>
      </c>
    </row>
    <row r="255" ht="12.75" hidden="1" customHeight="1">
      <c r="A255" s="26"/>
      <c r="B255" s="190" t="s">
        <v>497</v>
      </c>
      <c r="C255" s="192">
        <v>1.91033857E8</v>
      </c>
      <c r="D255" s="152" t="s">
        <v>498</v>
      </c>
      <c r="E255" s="53" t="s">
        <v>77</v>
      </c>
      <c r="F255" s="154">
        <v>1.0</v>
      </c>
      <c r="G255" s="53"/>
      <c r="H255" s="53" t="str">
        <f t="shared" si="576"/>
        <v>0.00069</v>
      </c>
      <c r="I255" s="53" t="str">
        <f t="shared" si="577"/>
        <v>89</v>
      </c>
      <c r="J255" s="53" t="str">
        <f t="shared" si="578"/>
        <v>0</v>
      </c>
      <c r="K255" s="155" t="str">
        <f t="shared" si="579"/>
        <v>0.00</v>
      </c>
      <c r="L255" s="156" t="str">
        <f t="shared" si="580"/>
        <v>0.00 </v>
      </c>
      <c r="M255" s="132">
        <v>90.0</v>
      </c>
      <c r="N255" s="157">
        <v>0.0</v>
      </c>
      <c r="O255" s="277">
        <v>0.0</v>
      </c>
      <c r="P255" s="277" t="str">
        <f t="shared" si="581"/>
        <v>#VALUE!</v>
      </c>
      <c r="Q255" s="157">
        <v>0.0</v>
      </c>
      <c r="R255" s="158">
        <v>476.4</v>
      </c>
      <c r="S255" s="159" t="str">
        <f t="shared" si="582"/>
        <v>314.70</v>
      </c>
      <c r="T255" s="160"/>
      <c r="U255" s="161">
        <v>0.26</v>
      </c>
      <c r="V255" s="162" t="str">
        <f t="shared" si="628"/>
        <v>352.54</v>
      </c>
      <c r="W255" s="163" t="str">
        <f t="shared" si="629"/>
        <v>60.00</v>
      </c>
      <c r="X255" s="164" t="str">
        <f t="shared" si="585"/>
        <v>26.36</v>
      </c>
      <c r="Y255" s="165" t="str">
        <f t="shared" si="630"/>
        <v>0.00</v>
      </c>
      <c r="Z255" s="166">
        <v>0.09</v>
      </c>
      <c r="AA255" s="167" t="str">
        <f t="shared" si="631"/>
        <v>76</v>
      </c>
      <c r="AB255" s="168" t="str">
        <f t="shared" si="632"/>
        <v>154.830</v>
      </c>
      <c r="AC255" s="168" t="str">
        <f t="shared" si="633"/>
        <v>12.550</v>
      </c>
      <c r="AD255" s="164" t="str">
        <f t="shared" si="634"/>
        <v>3.68</v>
      </c>
      <c r="AE255" s="164">
        <v>92.65</v>
      </c>
      <c r="AF255" s="164" t="str">
        <f t="shared" si="635"/>
        <v>4.80</v>
      </c>
      <c r="AG255" s="165" t="str">
        <f t="shared" si="636"/>
        <v>47.64</v>
      </c>
      <c r="AH255" s="23"/>
      <c r="AI255" s="278">
        <v>0.1</v>
      </c>
      <c r="AJ255" s="24" t="str">
        <f t="shared" si="637"/>
        <v>90.55</v>
      </c>
      <c r="AK255" s="279" t="str">
        <f t="shared" si="638"/>
        <v>#DIV/0!</v>
      </c>
      <c r="AL255" s="280"/>
      <c r="AM255" s="281" t="str">
        <f t="shared" si="360"/>
        <v>0.00</v>
      </c>
      <c r="AN255" s="280"/>
      <c r="AO255" s="282"/>
      <c r="AP255" s="283"/>
      <c r="AQ255" s="283" t="str">
        <f t="shared" si="361"/>
        <v>0.00</v>
      </c>
      <c r="AR255" s="283"/>
      <c r="AS255" s="284"/>
      <c r="AT255" s="285" t="str">
        <f t="shared" si="235"/>
        <v>0.00</v>
      </c>
      <c r="AU255" s="284"/>
      <c r="AV255" s="286"/>
      <c r="AW255" s="285"/>
      <c r="AX255" s="284"/>
      <c r="AY255" s="26"/>
      <c r="AZ255" s="171" t="str">
        <f t="shared" si="639"/>
        <v>0.00%</v>
      </c>
      <c r="BA255" s="172" t="str">
        <f t="shared" si="640"/>
        <v>0.00</v>
      </c>
      <c r="BB255" s="173" t="str">
        <f t="shared" si="641"/>
        <v>314.70</v>
      </c>
      <c r="BC255" s="174" t="str">
        <f t="shared" si="642"/>
        <v>223.44</v>
      </c>
    </row>
    <row r="256" ht="12.75" hidden="1" customHeight="1">
      <c r="A256" s="26"/>
      <c r="B256" s="190" t="s">
        <v>499</v>
      </c>
      <c r="C256" s="192">
        <v>1.95289584E8</v>
      </c>
      <c r="D256" s="152" t="s">
        <v>500</v>
      </c>
      <c r="E256" s="53" t="s">
        <v>77</v>
      </c>
      <c r="F256" s="154">
        <v>1.0</v>
      </c>
      <c r="G256" s="53"/>
      <c r="H256" s="53" t="str">
        <f t="shared" si="576"/>
        <v>0.00069</v>
      </c>
      <c r="I256" s="53" t="str">
        <f t="shared" si="577"/>
        <v>89</v>
      </c>
      <c r="J256" s="53" t="str">
        <f t="shared" si="578"/>
        <v>0</v>
      </c>
      <c r="K256" s="155" t="str">
        <f t="shared" si="579"/>
        <v>0.00</v>
      </c>
      <c r="L256" s="156" t="str">
        <f t="shared" si="580"/>
        <v>0.00 </v>
      </c>
      <c r="M256" s="132">
        <v>90.0</v>
      </c>
      <c r="N256" s="157">
        <v>0.0</v>
      </c>
      <c r="O256" s="277">
        <v>0.0</v>
      </c>
      <c r="P256" s="277" t="str">
        <f t="shared" si="581"/>
        <v>#VALUE!</v>
      </c>
      <c r="Q256" s="157">
        <v>0.0</v>
      </c>
      <c r="R256" s="158">
        <v>492.3</v>
      </c>
      <c r="S256" s="159" t="str">
        <f t="shared" si="582"/>
        <v>310.84</v>
      </c>
      <c r="T256" s="160"/>
      <c r="U256" s="161">
        <v>0.26</v>
      </c>
      <c r="V256" s="162" t="str">
        <f t="shared" si="628"/>
        <v>364.30</v>
      </c>
      <c r="W256" s="163" t="str">
        <f t="shared" si="629"/>
        <v>60.00</v>
      </c>
      <c r="X256" s="164" t="str">
        <f t="shared" si="585"/>
        <v>27.24</v>
      </c>
      <c r="Y256" s="165" t="str">
        <f t="shared" si="630"/>
        <v>0.00</v>
      </c>
      <c r="Z256" s="166">
        <v>0.09</v>
      </c>
      <c r="AA256" s="167" t="str">
        <f t="shared" si="631"/>
        <v>76</v>
      </c>
      <c r="AB256" s="168" t="str">
        <f t="shared" si="632"/>
        <v>159.998</v>
      </c>
      <c r="AC256" s="168" t="str">
        <f t="shared" si="633"/>
        <v>12.969</v>
      </c>
      <c r="AD256" s="164" t="str">
        <f t="shared" si="634"/>
        <v>1.90</v>
      </c>
      <c r="AE256" s="164">
        <v>96.2</v>
      </c>
      <c r="AF256" s="164" t="str">
        <f t="shared" si="635"/>
        <v>4.80</v>
      </c>
      <c r="AG256" s="165" t="str">
        <f t="shared" si="636"/>
        <v>49.23</v>
      </c>
      <c r="AH256" s="23"/>
      <c r="AI256" s="278">
        <v>0.1</v>
      </c>
      <c r="AJ256" s="24" t="str">
        <f t="shared" si="637"/>
        <v>100.17</v>
      </c>
      <c r="AK256" s="279" t="str">
        <f t="shared" si="638"/>
        <v>#DIV/0!</v>
      </c>
      <c r="AL256" s="280"/>
      <c r="AM256" s="281" t="str">
        <f t="shared" si="360"/>
        <v>0.00</v>
      </c>
      <c r="AN256" s="280"/>
      <c r="AO256" s="282"/>
      <c r="AP256" s="283"/>
      <c r="AQ256" s="283" t="str">
        <f t="shared" si="361"/>
        <v>0.00</v>
      </c>
      <c r="AR256" s="283"/>
      <c r="AS256" s="284"/>
      <c r="AT256" s="285" t="str">
        <f t="shared" si="235"/>
        <v>0.00</v>
      </c>
      <c r="AU256" s="284"/>
      <c r="AV256" s="286"/>
      <c r="AW256" s="285"/>
      <c r="AX256" s="284"/>
      <c r="AY256" s="26"/>
      <c r="AZ256" s="171" t="str">
        <f t="shared" si="639"/>
        <v>0.00%</v>
      </c>
      <c r="BA256" s="172" t="str">
        <f t="shared" si="640"/>
        <v>0.00</v>
      </c>
      <c r="BB256" s="173" t="str">
        <f t="shared" si="641"/>
        <v>310.84</v>
      </c>
      <c r="BC256" s="174" t="str">
        <f t="shared" si="642"/>
        <v>220.70</v>
      </c>
    </row>
    <row r="257" ht="12.75" customHeight="1">
      <c r="A257" s="26"/>
      <c r="B257" s="125" t="s">
        <v>501</v>
      </c>
      <c r="C257" s="126"/>
      <c r="D257" s="127"/>
      <c r="E257" s="128"/>
      <c r="F257" s="128"/>
      <c r="G257" s="128"/>
      <c r="H257" s="197"/>
      <c r="I257" s="197"/>
      <c r="J257" s="128"/>
      <c r="K257" s="130"/>
      <c r="L257" s="131"/>
      <c r="M257" s="132"/>
      <c r="N257" s="176"/>
      <c r="O257" s="133"/>
      <c r="P257" s="133"/>
      <c r="Q257" s="176"/>
      <c r="R257" s="134"/>
      <c r="S257" s="135"/>
      <c r="T257" s="135"/>
      <c r="U257" s="136"/>
      <c r="V257" s="137"/>
      <c r="W257" s="177"/>
      <c r="X257" s="178"/>
      <c r="Y257" s="179"/>
      <c r="Z257" s="180"/>
      <c r="AA257" s="181"/>
      <c r="AB257" s="182"/>
      <c r="AC257" s="182"/>
      <c r="AD257" s="178"/>
      <c r="AE257" s="178"/>
      <c r="AF257" s="178"/>
      <c r="AG257" s="179"/>
      <c r="AH257" s="183"/>
      <c r="AI257" s="271"/>
      <c r="AJ257" s="287"/>
      <c r="AK257" s="288"/>
      <c r="AL257" s="280"/>
      <c r="AM257" s="281" t="str">
        <f t="shared" si="360"/>
        <v>0.00</v>
      </c>
      <c r="AN257" s="280"/>
      <c r="AO257" s="282"/>
      <c r="AP257" s="283"/>
      <c r="AQ257" s="283" t="str">
        <f t="shared" si="361"/>
        <v>0.00</v>
      </c>
      <c r="AR257" s="283"/>
      <c r="AS257" s="284"/>
      <c r="AT257" s="285" t="str">
        <f t="shared" si="235"/>
        <v>0.00</v>
      </c>
      <c r="AU257" s="284"/>
      <c r="AV257" s="286"/>
      <c r="AW257" s="285"/>
      <c r="AX257" s="284"/>
      <c r="AY257" s="26"/>
      <c r="AZ257" s="186"/>
      <c r="BA257" s="187"/>
      <c r="BB257" s="188"/>
      <c r="BC257" s="189"/>
    </row>
    <row r="258" ht="12.75" hidden="1" customHeight="1">
      <c r="A258" s="26"/>
      <c r="B258" s="190" t="s">
        <v>502</v>
      </c>
      <c r="C258" s="191">
        <v>2.12766743E8</v>
      </c>
      <c r="D258" s="152" t="s">
        <v>503</v>
      </c>
      <c r="E258" s="53" t="s">
        <v>77</v>
      </c>
      <c r="F258" s="154">
        <v>1.0</v>
      </c>
      <c r="G258" s="53"/>
      <c r="H258" s="53" t="str">
        <f t="shared" ref="H258:H265" si="643">$I$2</f>
        <v>0.00069</v>
      </c>
      <c r="I258" s="53" t="str">
        <f t="shared" ref="I258:I265" si="644">$I$3</f>
        <v>89</v>
      </c>
      <c r="J258" s="53" t="str">
        <f t="shared" ref="J258:J265" si="645">G258*H258*I258*F258</f>
        <v>0</v>
      </c>
      <c r="K258" s="155" t="str">
        <f t="shared" ref="K258:K265" si="646">J258*$J$4</f>
        <v>0.00</v>
      </c>
      <c r="L258" s="156" t="str">
        <f t="shared" ref="L258:L265" si="647">K258+J258</f>
        <v>0.00 </v>
      </c>
      <c r="M258" s="132">
        <v>90.0</v>
      </c>
      <c r="N258" s="157">
        <v>0.0</v>
      </c>
      <c r="O258" s="277">
        <v>0.0</v>
      </c>
      <c r="P258" s="277" t="str">
        <f t="shared" ref="P258:P265" si="648">K258/E258</f>
        <v>#VALUE!</v>
      </c>
      <c r="Q258" s="157">
        <v>0.0</v>
      </c>
      <c r="R258" s="158">
        <v>1080.0</v>
      </c>
      <c r="S258" s="159" t="str">
        <f t="shared" ref="S258:S265" si="649">BB258</f>
        <v>314.05</v>
      </c>
      <c r="T258" s="160"/>
      <c r="U258" s="161">
        <v>0.26</v>
      </c>
      <c r="V258" s="162" t="str">
        <f t="shared" ref="V258:V265" si="650">R258-(R258*U258)</f>
        <v>799.20</v>
      </c>
      <c r="W258" s="163" t="str">
        <f t="shared" ref="W258:W265" si="651">$C$1</f>
        <v>60.00</v>
      </c>
      <c r="X258" s="164" t="str">
        <f t="shared" ref="X258:X265" si="652">(V258*7/107)+((V258-(V258*7/107))*1%)</f>
        <v>59.75</v>
      </c>
      <c r="Y258" s="165" t="str">
        <f t="shared" ref="Y258:Y265" si="653">Q258*$C$3*(M258/30)</f>
        <v>0.00</v>
      </c>
      <c r="Z258" s="166">
        <v>0.41</v>
      </c>
      <c r="AA258" s="167" t="str">
        <f t="shared" ref="AA258:AA265" si="654">((_xlfn.CEILING.MATH(Z258)-1)*$C$5+$C$4)</f>
        <v>76</v>
      </c>
      <c r="AB258" s="168" t="str">
        <f t="shared" ref="AB258:AB265" si="655">R258*$AB$6</f>
        <v>351.000</v>
      </c>
      <c r="AC258" s="168" t="str">
        <f t="shared" ref="AC258:AC265" si="656">V258*$AB$7</f>
        <v>28.452</v>
      </c>
      <c r="AD258" s="164" t="str">
        <f t="shared" ref="AD258:AD265" si="657">$AB$3*((100-AE258)/100)</f>
        <v>3.38</v>
      </c>
      <c r="AE258" s="164">
        <v>93.25</v>
      </c>
      <c r="AF258" s="164" t="str">
        <f t="shared" ref="AF258:AF265" si="658">$C$6*$C$7*_xlfn.CEILING.MATH(Z258)</f>
        <v>4.80</v>
      </c>
      <c r="AG258" s="165" t="str">
        <f t="shared" ref="AG258:AG265" si="659">R258*$C$2</f>
        <v>108.00</v>
      </c>
      <c r="AH258" s="23"/>
      <c r="AI258" s="278">
        <v>0.1</v>
      </c>
      <c r="AJ258" s="24" t="str">
        <f t="shared" ref="AJ258:AJ265" si="660">R258-W258-X258-Y258-AA258-AB258-AC258-AD258-AF258-AG258-Q258</f>
        <v>388.62</v>
      </c>
      <c r="AK258" s="279" t="str">
        <f t="shared" ref="AK258:AK265" si="661">AJ258/Q258</f>
        <v>#DIV/0!</v>
      </c>
      <c r="AL258" s="280"/>
      <c r="AM258" s="281" t="str">
        <f t="shared" si="360"/>
        <v>0.00</v>
      </c>
      <c r="AN258" s="280"/>
      <c r="AO258" s="282"/>
      <c r="AP258" s="283"/>
      <c r="AQ258" s="283" t="str">
        <f t="shared" si="361"/>
        <v>0.00</v>
      </c>
      <c r="AR258" s="283"/>
      <c r="AS258" s="284"/>
      <c r="AT258" s="285" t="str">
        <f t="shared" si="235"/>
        <v>0.00</v>
      </c>
      <c r="AU258" s="284"/>
      <c r="AV258" s="286"/>
      <c r="AW258" s="285"/>
      <c r="AX258" s="284"/>
      <c r="AY258" s="26"/>
      <c r="AZ258" s="171" t="str">
        <f t="shared" ref="AZ258:AZ265" si="662">$AG$3</f>
        <v>0.00%</v>
      </c>
      <c r="BA258" s="172" t="str">
        <f t="shared" ref="BA258:BA265" si="663">Q258*AZ258</f>
        <v>0.00</v>
      </c>
      <c r="BB258" s="173" t="str">
        <f t="shared" ref="BB258:BB265" si="664">(Q258+W258+Y258+AA258+AD258+AF258+AI258+BA258)/(100%-($C$2+$C$8+$AB$6+$AB$7))</f>
        <v>314.05</v>
      </c>
      <c r="BC258" s="174" t="str">
        <f t="shared" ref="BC258:BC265" si="665">BB258-(BB258*$AG$1)</f>
        <v>222.98</v>
      </c>
    </row>
    <row r="259" ht="12.75" hidden="1" customHeight="1">
      <c r="A259" s="26"/>
      <c r="B259" s="190" t="s">
        <v>504</v>
      </c>
      <c r="C259" s="192">
        <v>2.12765655E8</v>
      </c>
      <c r="D259" s="152" t="s">
        <v>505</v>
      </c>
      <c r="E259" s="53" t="s">
        <v>77</v>
      </c>
      <c r="F259" s="154">
        <v>1.0</v>
      </c>
      <c r="G259" s="53"/>
      <c r="H259" s="53" t="str">
        <f t="shared" si="643"/>
        <v>0.00069</v>
      </c>
      <c r="I259" s="53" t="str">
        <f t="shared" si="644"/>
        <v>89</v>
      </c>
      <c r="J259" s="53" t="str">
        <f t="shared" si="645"/>
        <v>0</v>
      </c>
      <c r="K259" s="155" t="str">
        <f t="shared" si="646"/>
        <v>0.00</v>
      </c>
      <c r="L259" s="156" t="str">
        <f t="shared" si="647"/>
        <v>0.00 </v>
      </c>
      <c r="M259" s="132">
        <v>90.0</v>
      </c>
      <c r="N259" s="157">
        <v>0.0</v>
      </c>
      <c r="O259" s="277">
        <v>0.0</v>
      </c>
      <c r="P259" s="277" t="str">
        <f t="shared" si="648"/>
        <v>#VALUE!</v>
      </c>
      <c r="Q259" s="157">
        <v>0.0</v>
      </c>
      <c r="R259" s="158">
        <v>1080.0</v>
      </c>
      <c r="S259" s="159" t="str">
        <f t="shared" si="649"/>
        <v>311.44</v>
      </c>
      <c r="T259" s="160"/>
      <c r="U259" s="161">
        <v>0.26</v>
      </c>
      <c r="V259" s="162" t="str">
        <f t="shared" si="650"/>
        <v>799.20</v>
      </c>
      <c r="W259" s="163" t="str">
        <f t="shared" si="651"/>
        <v>60.00</v>
      </c>
      <c r="X259" s="164" t="str">
        <f t="shared" si="652"/>
        <v>59.75</v>
      </c>
      <c r="Y259" s="165" t="str">
        <f t="shared" si="653"/>
        <v>0.00</v>
      </c>
      <c r="Z259" s="166">
        <v>0.32</v>
      </c>
      <c r="AA259" s="167" t="str">
        <f t="shared" si="654"/>
        <v>76</v>
      </c>
      <c r="AB259" s="168" t="str">
        <f t="shared" si="655"/>
        <v>351.000</v>
      </c>
      <c r="AC259" s="168" t="str">
        <f t="shared" si="656"/>
        <v>28.452</v>
      </c>
      <c r="AD259" s="164" t="str">
        <f t="shared" si="657"/>
        <v>2.18</v>
      </c>
      <c r="AE259" s="164">
        <v>95.65</v>
      </c>
      <c r="AF259" s="164" t="str">
        <f t="shared" si="658"/>
        <v>4.80</v>
      </c>
      <c r="AG259" s="165" t="str">
        <f t="shared" si="659"/>
        <v>108.00</v>
      </c>
      <c r="AH259" s="23"/>
      <c r="AI259" s="278">
        <v>0.1</v>
      </c>
      <c r="AJ259" s="24" t="str">
        <f t="shared" si="660"/>
        <v>389.82</v>
      </c>
      <c r="AK259" s="279" t="str">
        <f t="shared" si="661"/>
        <v>#DIV/0!</v>
      </c>
      <c r="AL259" s="280"/>
      <c r="AM259" s="281" t="str">
        <f t="shared" si="360"/>
        <v>0.00</v>
      </c>
      <c r="AN259" s="280"/>
      <c r="AO259" s="282"/>
      <c r="AP259" s="283"/>
      <c r="AQ259" s="283" t="str">
        <f t="shared" si="361"/>
        <v>0.00</v>
      </c>
      <c r="AR259" s="283"/>
      <c r="AS259" s="284"/>
      <c r="AT259" s="285" t="str">
        <f t="shared" si="235"/>
        <v>0.00</v>
      </c>
      <c r="AU259" s="284"/>
      <c r="AV259" s="286"/>
      <c r="AW259" s="285"/>
      <c r="AX259" s="284"/>
      <c r="AY259" s="26"/>
      <c r="AZ259" s="171" t="str">
        <f t="shared" si="662"/>
        <v>0.00%</v>
      </c>
      <c r="BA259" s="172" t="str">
        <f t="shared" si="663"/>
        <v>0.00</v>
      </c>
      <c r="BB259" s="173" t="str">
        <f t="shared" si="664"/>
        <v>311.44</v>
      </c>
      <c r="BC259" s="174" t="str">
        <f t="shared" si="665"/>
        <v>221.12</v>
      </c>
    </row>
    <row r="260" ht="12.75" hidden="1" customHeight="1">
      <c r="A260" s="26"/>
      <c r="B260" s="190" t="s">
        <v>506</v>
      </c>
      <c r="C260" s="192">
        <v>2.12796158E8</v>
      </c>
      <c r="D260" s="152" t="s">
        <v>507</v>
      </c>
      <c r="E260" s="53" t="s">
        <v>77</v>
      </c>
      <c r="F260" s="154">
        <v>1.0</v>
      </c>
      <c r="G260" s="53"/>
      <c r="H260" s="53" t="str">
        <f t="shared" si="643"/>
        <v>0.00069</v>
      </c>
      <c r="I260" s="53" t="str">
        <f t="shared" si="644"/>
        <v>89</v>
      </c>
      <c r="J260" s="53" t="str">
        <f t="shared" si="645"/>
        <v>0</v>
      </c>
      <c r="K260" s="155" t="str">
        <f t="shared" si="646"/>
        <v>0.00</v>
      </c>
      <c r="L260" s="156" t="str">
        <f t="shared" si="647"/>
        <v>0.00 </v>
      </c>
      <c r="M260" s="132">
        <v>90.0</v>
      </c>
      <c r="N260" s="157">
        <v>0.0</v>
      </c>
      <c r="O260" s="277">
        <v>0.0</v>
      </c>
      <c r="P260" s="277" t="str">
        <f t="shared" si="648"/>
        <v>#VALUE!</v>
      </c>
      <c r="Q260" s="157">
        <v>0.0</v>
      </c>
      <c r="R260" s="158">
        <v>1137.9</v>
      </c>
      <c r="S260" s="159" t="str">
        <f t="shared" si="649"/>
        <v>309.22</v>
      </c>
      <c r="T260" s="160"/>
      <c r="U260" s="161">
        <v>0.26</v>
      </c>
      <c r="V260" s="162" t="str">
        <f t="shared" si="650"/>
        <v>842.05</v>
      </c>
      <c r="W260" s="163" t="str">
        <f t="shared" si="651"/>
        <v>60.00</v>
      </c>
      <c r="X260" s="164" t="str">
        <f t="shared" si="652"/>
        <v>62.96</v>
      </c>
      <c r="Y260" s="165" t="str">
        <f t="shared" si="653"/>
        <v>0.00</v>
      </c>
      <c r="Z260" s="166">
        <v>0.4</v>
      </c>
      <c r="AA260" s="167" t="str">
        <f t="shared" si="654"/>
        <v>76</v>
      </c>
      <c r="AB260" s="168" t="str">
        <f t="shared" si="655"/>
        <v>369.818</v>
      </c>
      <c r="AC260" s="168" t="str">
        <f t="shared" si="656"/>
        <v>29.977</v>
      </c>
      <c r="AD260" s="164" t="str">
        <f t="shared" si="657"/>
        <v>1.16</v>
      </c>
      <c r="AE260" s="164">
        <v>97.69</v>
      </c>
      <c r="AF260" s="164" t="str">
        <f t="shared" si="658"/>
        <v>4.80</v>
      </c>
      <c r="AG260" s="165" t="str">
        <f t="shared" si="659"/>
        <v>113.79</v>
      </c>
      <c r="AH260" s="23"/>
      <c r="AI260" s="278">
        <v>0.1</v>
      </c>
      <c r="AJ260" s="24" t="str">
        <f t="shared" si="660"/>
        <v>419.40</v>
      </c>
      <c r="AK260" s="279" t="str">
        <f t="shared" si="661"/>
        <v>#DIV/0!</v>
      </c>
      <c r="AL260" s="280"/>
      <c r="AM260" s="281" t="str">
        <f t="shared" si="360"/>
        <v>0.00</v>
      </c>
      <c r="AN260" s="280"/>
      <c r="AO260" s="282"/>
      <c r="AP260" s="283"/>
      <c r="AQ260" s="283" t="str">
        <f t="shared" si="361"/>
        <v>0.00</v>
      </c>
      <c r="AR260" s="283"/>
      <c r="AS260" s="284"/>
      <c r="AT260" s="285" t="str">
        <f t="shared" si="235"/>
        <v>0.00</v>
      </c>
      <c r="AU260" s="284"/>
      <c r="AV260" s="286"/>
      <c r="AW260" s="285"/>
      <c r="AX260" s="284"/>
      <c r="AY260" s="26"/>
      <c r="AZ260" s="171" t="str">
        <f t="shared" si="662"/>
        <v>0.00%</v>
      </c>
      <c r="BA260" s="172" t="str">
        <f t="shared" si="663"/>
        <v>0.00</v>
      </c>
      <c r="BB260" s="173" t="str">
        <f t="shared" si="664"/>
        <v>309.22</v>
      </c>
      <c r="BC260" s="174" t="str">
        <f t="shared" si="665"/>
        <v>219.55</v>
      </c>
    </row>
    <row r="261" ht="12.75" hidden="1" customHeight="1">
      <c r="A261" s="26"/>
      <c r="B261" s="190" t="s">
        <v>508</v>
      </c>
      <c r="C261" s="202">
        <v>2.12825852E8</v>
      </c>
      <c r="D261" s="152" t="s">
        <v>509</v>
      </c>
      <c r="E261" s="53" t="s">
        <v>77</v>
      </c>
      <c r="F261" s="154">
        <v>1.0</v>
      </c>
      <c r="G261" s="53"/>
      <c r="H261" s="53" t="str">
        <f t="shared" si="643"/>
        <v>0.00069</v>
      </c>
      <c r="I261" s="53" t="str">
        <f t="shared" si="644"/>
        <v>89</v>
      </c>
      <c r="J261" s="53" t="str">
        <f t="shared" si="645"/>
        <v>0</v>
      </c>
      <c r="K261" s="155" t="str">
        <f t="shared" si="646"/>
        <v>0.00</v>
      </c>
      <c r="L261" s="156" t="str">
        <f t="shared" si="647"/>
        <v>0.00 </v>
      </c>
      <c r="M261" s="132">
        <v>90.0</v>
      </c>
      <c r="N261" s="157">
        <v>0.0</v>
      </c>
      <c r="O261" s="277">
        <v>0.0</v>
      </c>
      <c r="P261" s="277" t="str">
        <f t="shared" si="648"/>
        <v>#VALUE!</v>
      </c>
      <c r="Q261" s="157">
        <v>0.0</v>
      </c>
      <c r="R261" s="158">
        <v>1137.9</v>
      </c>
      <c r="S261" s="159" t="str">
        <f t="shared" si="649"/>
        <v>310.42</v>
      </c>
      <c r="T261" s="160"/>
      <c r="U261" s="161">
        <v>0.26</v>
      </c>
      <c r="V261" s="162" t="str">
        <f t="shared" si="650"/>
        <v>842.05</v>
      </c>
      <c r="W261" s="163" t="str">
        <f t="shared" si="651"/>
        <v>60.00</v>
      </c>
      <c r="X261" s="164" t="str">
        <f t="shared" si="652"/>
        <v>62.96</v>
      </c>
      <c r="Y261" s="165" t="str">
        <f t="shared" si="653"/>
        <v>0.00</v>
      </c>
      <c r="Z261" s="166">
        <v>0.58</v>
      </c>
      <c r="AA261" s="167" t="str">
        <f t="shared" si="654"/>
        <v>76</v>
      </c>
      <c r="AB261" s="168" t="str">
        <f t="shared" si="655"/>
        <v>369.818</v>
      </c>
      <c r="AC261" s="168" t="str">
        <f t="shared" si="656"/>
        <v>29.977</v>
      </c>
      <c r="AD261" s="164" t="str">
        <f t="shared" si="657"/>
        <v>1.71</v>
      </c>
      <c r="AE261" s="164">
        <v>96.59</v>
      </c>
      <c r="AF261" s="164" t="str">
        <f t="shared" si="658"/>
        <v>4.80</v>
      </c>
      <c r="AG261" s="165" t="str">
        <f t="shared" si="659"/>
        <v>113.79</v>
      </c>
      <c r="AH261" s="23"/>
      <c r="AI261" s="278">
        <v>0.1</v>
      </c>
      <c r="AJ261" s="24" t="str">
        <f t="shared" si="660"/>
        <v>418.85</v>
      </c>
      <c r="AK261" s="279" t="str">
        <f t="shared" si="661"/>
        <v>#DIV/0!</v>
      </c>
      <c r="AL261" s="280"/>
      <c r="AM261" s="281" t="str">
        <f t="shared" si="360"/>
        <v>0.00</v>
      </c>
      <c r="AN261" s="280"/>
      <c r="AO261" s="282"/>
      <c r="AP261" s="283"/>
      <c r="AQ261" s="283" t="str">
        <f t="shared" si="361"/>
        <v>0.00</v>
      </c>
      <c r="AR261" s="283"/>
      <c r="AS261" s="284"/>
      <c r="AT261" s="285" t="str">
        <f t="shared" si="235"/>
        <v>0.00</v>
      </c>
      <c r="AU261" s="284"/>
      <c r="AV261" s="286"/>
      <c r="AW261" s="285"/>
      <c r="AX261" s="284"/>
      <c r="AY261" s="26"/>
      <c r="AZ261" s="171" t="str">
        <f t="shared" si="662"/>
        <v>0.00%</v>
      </c>
      <c r="BA261" s="172" t="str">
        <f t="shared" si="663"/>
        <v>0.00</v>
      </c>
      <c r="BB261" s="173" t="str">
        <f t="shared" si="664"/>
        <v>310.42</v>
      </c>
      <c r="BC261" s="174" t="str">
        <f t="shared" si="665"/>
        <v>220.40</v>
      </c>
    </row>
    <row r="262" ht="12.75" hidden="1" customHeight="1">
      <c r="A262" s="26"/>
      <c r="B262" s="190" t="s">
        <v>510</v>
      </c>
      <c r="C262" s="192">
        <v>2.12827062E8</v>
      </c>
      <c r="D262" s="152" t="s">
        <v>511</v>
      </c>
      <c r="E262" s="53" t="s">
        <v>77</v>
      </c>
      <c r="F262" s="154">
        <v>1.0</v>
      </c>
      <c r="G262" s="53"/>
      <c r="H262" s="53" t="str">
        <f t="shared" si="643"/>
        <v>0.00069</v>
      </c>
      <c r="I262" s="53" t="str">
        <f t="shared" si="644"/>
        <v>89</v>
      </c>
      <c r="J262" s="53" t="str">
        <f t="shared" si="645"/>
        <v>0</v>
      </c>
      <c r="K262" s="155" t="str">
        <f t="shared" si="646"/>
        <v>0.00</v>
      </c>
      <c r="L262" s="156" t="str">
        <f t="shared" si="647"/>
        <v>0.00 </v>
      </c>
      <c r="M262" s="132">
        <v>90.0</v>
      </c>
      <c r="N262" s="157">
        <v>0.0</v>
      </c>
      <c r="O262" s="277">
        <v>0.0</v>
      </c>
      <c r="P262" s="277" t="str">
        <f t="shared" si="648"/>
        <v>#VALUE!</v>
      </c>
      <c r="Q262" s="157">
        <v>0.0</v>
      </c>
      <c r="R262" s="158">
        <v>1137.9</v>
      </c>
      <c r="S262" s="159" t="str">
        <f t="shared" si="649"/>
        <v>308.84</v>
      </c>
      <c r="T262" s="160"/>
      <c r="U262" s="161">
        <v>0.26</v>
      </c>
      <c r="V262" s="162" t="str">
        <f t="shared" si="650"/>
        <v>842.05</v>
      </c>
      <c r="W262" s="163" t="str">
        <f t="shared" si="651"/>
        <v>60.00</v>
      </c>
      <c r="X262" s="164" t="str">
        <f t="shared" si="652"/>
        <v>62.96</v>
      </c>
      <c r="Y262" s="165" t="str">
        <f t="shared" si="653"/>
        <v>0.00</v>
      </c>
      <c r="Z262" s="166">
        <v>0.58</v>
      </c>
      <c r="AA262" s="167" t="str">
        <f t="shared" si="654"/>
        <v>76</v>
      </c>
      <c r="AB262" s="168" t="str">
        <f t="shared" si="655"/>
        <v>369.818</v>
      </c>
      <c r="AC262" s="168" t="str">
        <f t="shared" si="656"/>
        <v>29.977</v>
      </c>
      <c r="AD262" s="164" t="str">
        <f t="shared" si="657"/>
        <v>0.98</v>
      </c>
      <c r="AE262" s="164">
        <v>98.04</v>
      </c>
      <c r="AF262" s="164" t="str">
        <f t="shared" si="658"/>
        <v>4.80</v>
      </c>
      <c r="AG262" s="165" t="str">
        <f t="shared" si="659"/>
        <v>113.79</v>
      </c>
      <c r="AH262" s="23"/>
      <c r="AI262" s="278">
        <v>0.1</v>
      </c>
      <c r="AJ262" s="24" t="str">
        <f t="shared" si="660"/>
        <v>419.58</v>
      </c>
      <c r="AK262" s="279" t="str">
        <f t="shared" si="661"/>
        <v>#DIV/0!</v>
      </c>
      <c r="AL262" s="280"/>
      <c r="AM262" s="281" t="str">
        <f t="shared" si="360"/>
        <v>0.00</v>
      </c>
      <c r="AN262" s="280"/>
      <c r="AO262" s="282"/>
      <c r="AP262" s="283"/>
      <c r="AQ262" s="283" t="str">
        <f t="shared" si="361"/>
        <v>0.00</v>
      </c>
      <c r="AR262" s="283"/>
      <c r="AS262" s="284"/>
      <c r="AT262" s="285" t="str">
        <f t="shared" si="235"/>
        <v>0.00</v>
      </c>
      <c r="AU262" s="284"/>
      <c r="AV262" s="286"/>
      <c r="AW262" s="285"/>
      <c r="AX262" s="284"/>
      <c r="AY262" s="26"/>
      <c r="AZ262" s="171" t="str">
        <f t="shared" si="662"/>
        <v>0.00%</v>
      </c>
      <c r="BA262" s="172" t="str">
        <f t="shared" si="663"/>
        <v>0.00</v>
      </c>
      <c r="BB262" s="173" t="str">
        <f t="shared" si="664"/>
        <v>308.84</v>
      </c>
      <c r="BC262" s="174" t="str">
        <f t="shared" si="665"/>
        <v>219.27</v>
      </c>
    </row>
    <row r="263" ht="12.75" hidden="1" customHeight="1">
      <c r="A263" s="26"/>
      <c r="B263" s="190" t="s">
        <v>512</v>
      </c>
      <c r="C263" s="192">
        <v>2.14312934E8</v>
      </c>
      <c r="D263" s="152" t="s">
        <v>513</v>
      </c>
      <c r="E263" s="53" t="s">
        <v>77</v>
      </c>
      <c r="F263" s="154">
        <v>1.0</v>
      </c>
      <c r="G263" s="53"/>
      <c r="H263" s="53" t="str">
        <f t="shared" si="643"/>
        <v>0.00069</v>
      </c>
      <c r="I263" s="53" t="str">
        <f t="shared" si="644"/>
        <v>89</v>
      </c>
      <c r="J263" s="53" t="str">
        <f t="shared" si="645"/>
        <v>0</v>
      </c>
      <c r="K263" s="155" t="str">
        <f t="shared" si="646"/>
        <v>0.00</v>
      </c>
      <c r="L263" s="156" t="str">
        <f t="shared" si="647"/>
        <v>0.00 </v>
      </c>
      <c r="M263" s="132">
        <v>90.0</v>
      </c>
      <c r="N263" s="157">
        <v>0.0</v>
      </c>
      <c r="O263" s="277">
        <v>0.0</v>
      </c>
      <c r="P263" s="277" t="str">
        <f t="shared" si="648"/>
        <v>#VALUE!</v>
      </c>
      <c r="Q263" s="157">
        <v>0.0</v>
      </c>
      <c r="R263" s="158">
        <v>747.0</v>
      </c>
      <c r="S263" s="159" t="str">
        <f t="shared" si="649"/>
        <v>308.72</v>
      </c>
      <c r="T263" s="160"/>
      <c r="U263" s="161">
        <v>0.26</v>
      </c>
      <c r="V263" s="162" t="str">
        <f t="shared" si="650"/>
        <v>552.78</v>
      </c>
      <c r="W263" s="163" t="str">
        <f t="shared" si="651"/>
        <v>60.00</v>
      </c>
      <c r="X263" s="164" t="str">
        <f t="shared" si="652"/>
        <v>41.33</v>
      </c>
      <c r="Y263" s="165" t="str">
        <f t="shared" si="653"/>
        <v>0.00</v>
      </c>
      <c r="Z263" s="166">
        <v>0.4</v>
      </c>
      <c r="AA263" s="167" t="str">
        <f t="shared" si="654"/>
        <v>76</v>
      </c>
      <c r="AB263" s="168" t="str">
        <f t="shared" si="655"/>
        <v>242.775</v>
      </c>
      <c r="AC263" s="168" t="str">
        <f t="shared" si="656"/>
        <v>19.679</v>
      </c>
      <c r="AD263" s="164" t="str">
        <f t="shared" si="657"/>
        <v>0.92</v>
      </c>
      <c r="AE263" s="164">
        <v>98.15</v>
      </c>
      <c r="AF263" s="164" t="str">
        <f t="shared" si="658"/>
        <v>4.80</v>
      </c>
      <c r="AG263" s="165" t="str">
        <f t="shared" si="659"/>
        <v>74.70</v>
      </c>
      <c r="AH263" s="23"/>
      <c r="AI263" s="278">
        <v>0.1</v>
      </c>
      <c r="AJ263" s="24" t="str">
        <f t="shared" si="660"/>
        <v>226.79</v>
      </c>
      <c r="AK263" s="279" t="str">
        <f t="shared" si="661"/>
        <v>#DIV/0!</v>
      </c>
      <c r="AL263" s="280"/>
      <c r="AM263" s="281" t="str">
        <f t="shared" si="360"/>
        <v>0.00</v>
      </c>
      <c r="AN263" s="280"/>
      <c r="AO263" s="282"/>
      <c r="AP263" s="283"/>
      <c r="AQ263" s="283" t="str">
        <f t="shared" si="361"/>
        <v>0.00</v>
      </c>
      <c r="AR263" s="283"/>
      <c r="AS263" s="284"/>
      <c r="AT263" s="285" t="str">
        <f t="shared" si="235"/>
        <v>0.00</v>
      </c>
      <c r="AU263" s="284"/>
      <c r="AV263" s="286"/>
      <c r="AW263" s="285"/>
      <c r="AX263" s="284"/>
      <c r="AY263" s="26"/>
      <c r="AZ263" s="171" t="str">
        <f t="shared" si="662"/>
        <v>0.00%</v>
      </c>
      <c r="BA263" s="172" t="str">
        <f t="shared" si="663"/>
        <v>0.00</v>
      </c>
      <c r="BB263" s="173" t="str">
        <f t="shared" si="664"/>
        <v>308.72</v>
      </c>
      <c r="BC263" s="174" t="str">
        <f t="shared" si="665"/>
        <v>219.19</v>
      </c>
    </row>
    <row r="264" ht="12.75" hidden="1" customHeight="1">
      <c r="A264" s="26"/>
      <c r="B264" s="190" t="s">
        <v>514</v>
      </c>
      <c r="C264" s="192">
        <v>2.14312999E8</v>
      </c>
      <c r="D264" s="152" t="s">
        <v>515</v>
      </c>
      <c r="E264" s="53" t="s">
        <v>77</v>
      </c>
      <c r="F264" s="154">
        <v>1.0</v>
      </c>
      <c r="G264" s="53"/>
      <c r="H264" s="53" t="str">
        <f t="shared" si="643"/>
        <v>0.00069</v>
      </c>
      <c r="I264" s="53" t="str">
        <f t="shared" si="644"/>
        <v>89</v>
      </c>
      <c r="J264" s="53" t="str">
        <f t="shared" si="645"/>
        <v>0</v>
      </c>
      <c r="K264" s="155" t="str">
        <f t="shared" si="646"/>
        <v>0.00</v>
      </c>
      <c r="L264" s="156" t="str">
        <f t="shared" si="647"/>
        <v>0.00 </v>
      </c>
      <c r="M264" s="132">
        <v>90.0</v>
      </c>
      <c r="N264" s="157">
        <v>0.0</v>
      </c>
      <c r="O264" s="277">
        <v>0.0</v>
      </c>
      <c r="P264" s="277" t="str">
        <f t="shared" si="648"/>
        <v>#VALUE!</v>
      </c>
      <c r="Q264" s="157">
        <v>0.0</v>
      </c>
      <c r="R264" s="158">
        <v>747.0</v>
      </c>
      <c r="S264" s="159" t="str">
        <f t="shared" si="649"/>
        <v>333.91</v>
      </c>
      <c r="T264" s="160"/>
      <c r="U264" s="161">
        <v>0.26</v>
      </c>
      <c r="V264" s="162" t="str">
        <f t="shared" si="650"/>
        <v>552.78</v>
      </c>
      <c r="W264" s="163" t="str">
        <f t="shared" si="651"/>
        <v>60.00</v>
      </c>
      <c r="X264" s="164" t="str">
        <f t="shared" si="652"/>
        <v>41.33</v>
      </c>
      <c r="Y264" s="165" t="str">
        <f t="shared" si="653"/>
        <v>0.00</v>
      </c>
      <c r="Z264" s="166">
        <v>0.4</v>
      </c>
      <c r="AA264" s="167" t="str">
        <f t="shared" si="654"/>
        <v>76</v>
      </c>
      <c r="AB264" s="168" t="str">
        <f t="shared" si="655"/>
        <v>242.775</v>
      </c>
      <c r="AC264" s="168" t="str">
        <f t="shared" si="656"/>
        <v>19.679</v>
      </c>
      <c r="AD264" s="164" t="str">
        <f t="shared" si="657"/>
        <v>12.50</v>
      </c>
      <c r="AE264" s="164">
        <v>75.0</v>
      </c>
      <c r="AF264" s="164" t="str">
        <f t="shared" si="658"/>
        <v>4.80</v>
      </c>
      <c r="AG264" s="165" t="str">
        <f t="shared" si="659"/>
        <v>74.70</v>
      </c>
      <c r="AH264" s="23"/>
      <c r="AI264" s="278">
        <v>0.1</v>
      </c>
      <c r="AJ264" s="24" t="str">
        <f t="shared" si="660"/>
        <v>215.22</v>
      </c>
      <c r="AK264" s="279" t="str">
        <f t="shared" si="661"/>
        <v>#DIV/0!</v>
      </c>
      <c r="AL264" s="280"/>
      <c r="AM264" s="281" t="str">
        <f t="shared" si="360"/>
        <v>0.00</v>
      </c>
      <c r="AN264" s="280"/>
      <c r="AO264" s="282"/>
      <c r="AP264" s="283"/>
      <c r="AQ264" s="283" t="str">
        <f t="shared" si="361"/>
        <v>0.00</v>
      </c>
      <c r="AR264" s="283"/>
      <c r="AS264" s="284"/>
      <c r="AT264" s="285" t="str">
        <f t="shared" si="235"/>
        <v>0.00</v>
      </c>
      <c r="AU264" s="284"/>
      <c r="AV264" s="286"/>
      <c r="AW264" s="285"/>
      <c r="AX264" s="284"/>
      <c r="AY264" s="26"/>
      <c r="AZ264" s="171" t="str">
        <f t="shared" si="662"/>
        <v>0.00%</v>
      </c>
      <c r="BA264" s="172" t="str">
        <f t="shared" si="663"/>
        <v>0.00</v>
      </c>
      <c r="BB264" s="173" t="str">
        <f t="shared" si="664"/>
        <v>333.91</v>
      </c>
      <c r="BC264" s="174" t="str">
        <f t="shared" si="665"/>
        <v>237.08</v>
      </c>
    </row>
    <row r="265" ht="12.75" hidden="1" customHeight="1">
      <c r="A265" s="26"/>
      <c r="B265" s="190" t="s">
        <v>516</v>
      </c>
      <c r="C265" s="192">
        <v>2.14313051E8</v>
      </c>
      <c r="D265" s="152" t="s">
        <v>517</v>
      </c>
      <c r="E265" s="53" t="s">
        <v>77</v>
      </c>
      <c r="F265" s="154">
        <v>1.0</v>
      </c>
      <c r="G265" s="53"/>
      <c r="H265" s="53" t="str">
        <f t="shared" si="643"/>
        <v>0.00069</v>
      </c>
      <c r="I265" s="53" t="str">
        <f t="shared" si="644"/>
        <v>89</v>
      </c>
      <c r="J265" s="53" t="str">
        <f t="shared" si="645"/>
        <v>0</v>
      </c>
      <c r="K265" s="155" t="str">
        <f t="shared" si="646"/>
        <v>0.00</v>
      </c>
      <c r="L265" s="156" t="str">
        <f t="shared" si="647"/>
        <v>0.00 </v>
      </c>
      <c r="M265" s="132">
        <v>90.0</v>
      </c>
      <c r="N265" s="157">
        <v>0.0</v>
      </c>
      <c r="O265" s="277">
        <v>0.0</v>
      </c>
      <c r="P265" s="277" t="str">
        <f t="shared" si="648"/>
        <v>#VALUE!</v>
      </c>
      <c r="Q265" s="157">
        <v>0.0</v>
      </c>
      <c r="R265" s="158">
        <v>1118.7</v>
      </c>
      <c r="S265" s="159" t="str">
        <f t="shared" si="649"/>
        <v>314.67</v>
      </c>
      <c r="T265" s="160"/>
      <c r="U265" s="161">
        <v>0.26</v>
      </c>
      <c r="V265" s="162" t="str">
        <f t="shared" si="650"/>
        <v>827.84</v>
      </c>
      <c r="W265" s="163" t="str">
        <f t="shared" si="651"/>
        <v>60.00</v>
      </c>
      <c r="X265" s="164" t="str">
        <f t="shared" si="652"/>
        <v>61.89</v>
      </c>
      <c r="Y265" s="165" t="str">
        <f t="shared" si="653"/>
        <v>0.00</v>
      </c>
      <c r="Z265" s="166">
        <v>0.46</v>
      </c>
      <c r="AA265" s="167" t="str">
        <f t="shared" si="654"/>
        <v>76</v>
      </c>
      <c r="AB265" s="168" t="str">
        <f t="shared" si="655"/>
        <v>363.578</v>
      </c>
      <c r="AC265" s="168" t="str">
        <f t="shared" si="656"/>
        <v>29.471</v>
      </c>
      <c r="AD265" s="164" t="str">
        <f t="shared" si="657"/>
        <v>3.66</v>
      </c>
      <c r="AE265" s="164">
        <v>92.68</v>
      </c>
      <c r="AF265" s="164" t="str">
        <f t="shared" si="658"/>
        <v>4.80</v>
      </c>
      <c r="AG265" s="165" t="str">
        <f t="shared" si="659"/>
        <v>111.87</v>
      </c>
      <c r="AH265" s="23"/>
      <c r="AI265" s="278">
        <v>0.1</v>
      </c>
      <c r="AJ265" s="24" t="str">
        <f t="shared" si="660"/>
        <v>407.43</v>
      </c>
      <c r="AK265" s="279" t="str">
        <f t="shared" si="661"/>
        <v>#DIV/0!</v>
      </c>
      <c r="AL265" s="280"/>
      <c r="AM265" s="281" t="str">
        <f t="shared" si="360"/>
        <v>0.00</v>
      </c>
      <c r="AN265" s="280"/>
      <c r="AO265" s="282"/>
      <c r="AP265" s="283"/>
      <c r="AQ265" s="283" t="str">
        <f t="shared" si="361"/>
        <v>0.00</v>
      </c>
      <c r="AR265" s="283"/>
      <c r="AS265" s="284"/>
      <c r="AT265" s="285" t="str">
        <f t="shared" si="235"/>
        <v>0.00</v>
      </c>
      <c r="AU265" s="284"/>
      <c r="AV265" s="286"/>
      <c r="AW265" s="285"/>
      <c r="AX265" s="284"/>
      <c r="AY265" s="26"/>
      <c r="AZ265" s="171" t="str">
        <f t="shared" si="662"/>
        <v>0.00%</v>
      </c>
      <c r="BA265" s="172" t="str">
        <f t="shared" si="663"/>
        <v>0.00</v>
      </c>
      <c r="BB265" s="173" t="str">
        <f t="shared" si="664"/>
        <v>314.67</v>
      </c>
      <c r="BC265" s="174" t="str">
        <f t="shared" si="665"/>
        <v>223.42</v>
      </c>
    </row>
    <row r="266" ht="12.75" customHeight="1">
      <c r="A266" s="26"/>
      <c r="B266" s="125" t="s">
        <v>518</v>
      </c>
      <c r="C266" s="126"/>
      <c r="D266" s="127"/>
      <c r="E266" s="128"/>
      <c r="F266" s="128"/>
      <c r="G266" s="128"/>
      <c r="H266" s="197"/>
      <c r="I266" s="197"/>
      <c r="J266" s="128"/>
      <c r="K266" s="130"/>
      <c r="L266" s="131"/>
      <c r="M266" s="132"/>
      <c r="N266" s="176"/>
      <c r="O266" s="133"/>
      <c r="P266" s="133"/>
      <c r="Q266" s="176"/>
      <c r="R266" s="134"/>
      <c r="S266" s="135"/>
      <c r="T266" s="135"/>
      <c r="U266" s="136"/>
      <c r="V266" s="137"/>
      <c r="W266" s="177"/>
      <c r="X266" s="178"/>
      <c r="Y266" s="179"/>
      <c r="Z266" s="180"/>
      <c r="AA266" s="181"/>
      <c r="AB266" s="182"/>
      <c r="AC266" s="182"/>
      <c r="AD266" s="178"/>
      <c r="AE266" s="178"/>
      <c r="AF266" s="178"/>
      <c r="AG266" s="179"/>
      <c r="AH266" s="183"/>
      <c r="AI266" s="271"/>
      <c r="AJ266" s="287"/>
      <c r="AK266" s="288"/>
      <c r="AL266" s="280"/>
      <c r="AM266" s="281" t="str">
        <f t="shared" si="360"/>
        <v>0.00</v>
      </c>
      <c r="AN266" s="280"/>
      <c r="AO266" s="282"/>
      <c r="AP266" s="283"/>
      <c r="AQ266" s="283" t="str">
        <f t="shared" si="361"/>
        <v>0.00</v>
      </c>
      <c r="AR266" s="283"/>
      <c r="AS266" s="284"/>
      <c r="AT266" s="285" t="str">
        <f t="shared" si="235"/>
        <v>0.00</v>
      </c>
      <c r="AU266" s="284"/>
      <c r="AV266" s="286"/>
      <c r="AW266" s="285"/>
      <c r="AX266" s="284"/>
      <c r="AY266" s="26"/>
      <c r="AZ266" s="186"/>
      <c r="BA266" s="187"/>
      <c r="BB266" s="188"/>
      <c r="BC266" s="189"/>
    </row>
    <row r="267" ht="12.75" customHeight="1">
      <c r="A267" s="26"/>
      <c r="B267" s="190" t="s">
        <v>519</v>
      </c>
      <c r="C267" s="199">
        <v>1.51175877E8</v>
      </c>
      <c r="D267" s="152" t="s">
        <v>520</v>
      </c>
      <c r="E267" s="53" t="s">
        <v>77</v>
      </c>
      <c r="F267" s="154">
        <v>1.0</v>
      </c>
      <c r="G267" s="53"/>
      <c r="H267" s="53" t="str">
        <f t="shared" ref="H267:H280" si="666">$I$2</f>
        <v>0.00069</v>
      </c>
      <c r="I267" s="53" t="str">
        <f t="shared" ref="I267:I280" si="667">$I$3</f>
        <v>89</v>
      </c>
      <c r="J267" s="53" t="str">
        <f t="shared" ref="J267:J280" si="668">G267*H267*I267*F267</f>
        <v>0</v>
      </c>
      <c r="K267" s="155" t="str">
        <f t="shared" ref="K267:K280" si="669">J267*$J$4</f>
        <v>0.00</v>
      </c>
      <c r="L267" s="156" t="str">
        <f t="shared" ref="L267:L280" si="670">K267+J267</f>
        <v>0.00 </v>
      </c>
      <c r="M267" s="132">
        <v>90.0</v>
      </c>
      <c r="N267" s="157">
        <v>415.46</v>
      </c>
      <c r="O267" s="277">
        <v>452.85</v>
      </c>
      <c r="P267" s="277">
        <v>440.39</v>
      </c>
      <c r="Q267" s="157">
        <v>415.46</v>
      </c>
      <c r="R267" s="158">
        <v>1200.0</v>
      </c>
      <c r="S267" s="159" t="str">
        <f t="shared" ref="S267:S278" si="671">R267</f>
        <v>1,200.00</v>
      </c>
      <c r="T267" s="160">
        <v>1151.0</v>
      </c>
      <c r="U267" s="161">
        <v>0.26</v>
      </c>
      <c r="V267" s="162" t="str">
        <f t="shared" ref="V267:V280" si="672">R267-(R267*U267)</f>
        <v>888.00</v>
      </c>
      <c r="W267" s="163" t="str">
        <f t="shared" ref="W267:W278" si="673">$C$1</f>
        <v>60.00</v>
      </c>
      <c r="X267" s="164" t="str">
        <f t="shared" ref="X267:X280" si="674">(V267*7/107)+((V267-(V267*7/107))*1%)</f>
        <v>66.39</v>
      </c>
      <c r="Y267" s="165" t="str">
        <f t="shared" ref="Y267:Y280" si="675">Q267*$C$3*(M267/30)</f>
        <v>0.00</v>
      </c>
      <c r="Z267" s="166">
        <v>0.41</v>
      </c>
      <c r="AA267" s="167" t="str">
        <f t="shared" ref="AA267:AA278" si="676">((_xlfn.CEILING.MATH(Z267)-1)*$C$5+$C$4)</f>
        <v>76</v>
      </c>
      <c r="AB267" s="168" t="str">
        <f t="shared" ref="AB267:AB280" si="677">R267*$AB$6</f>
        <v>390.000</v>
      </c>
      <c r="AC267" s="168" t="str">
        <f t="shared" ref="AC267:AC280" si="678">V267*$AB$7</f>
        <v>31.613</v>
      </c>
      <c r="AD267" s="164" t="str">
        <f t="shared" ref="AD267:AD280" si="679">$AB$3*((100-AE267)/100)</f>
        <v>1.85</v>
      </c>
      <c r="AE267" s="164">
        <v>96.31</v>
      </c>
      <c r="AF267" s="164" t="str">
        <f t="shared" ref="AF267:AF280" si="680">$C$6*$C$7*_xlfn.CEILING.MATH(Z267)</f>
        <v>4.80</v>
      </c>
      <c r="AG267" s="165" t="str">
        <f t="shared" ref="AG267:AG280" si="681">R267*$C$2</f>
        <v>120.00</v>
      </c>
      <c r="AH267" s="23"/>
      <c r="AI267" s="278">
        <v>0.1</v>
      </c>
      <c r="AJ267" s="24" t="str">
        <f t="shared" ref="AJ267:AJ280" si="682">R267-W267-X267-Y267-AA267-AB267-AC267-AD267-AF267-AG267-Q267</f>
        <v>33.89</v>
      </c>
      <c r="AK267" s="279" t="str">
        <f t="shared" ref="AK267:AK280" si="683">AJ267/Q267</f>
        <v>8.16%</v>
      </c>
      <c r="AL267" s="280">
        <v>150.0</v>
      </c>
      <c r="AM267" s="281" t="str">
        <f t="shared" si="360"/>
        <v>5,083.45</v>
      </c>
      <c r="AN267" s="280">
        <v>200.0</v>
      </c>
      <c r="AO267" s="282"/>
      <c r="AP267" s="283">
        <v>193.3</v>
      </c>
      <c r="AQ267" s="283" t="str">
        <f t="shared" si="361"/>
        <v>38,660.00</v>
      </c>
      <c r="AR267" s="283">
        <v>44.3</v>
      </c>
      <c r="AS267" s="284">
        <v>120.0</v>
      </c>
      <c r="AT267" s="285" t="str">
        <f t="shared" si="235"/>
        <v>4,066.76</v>
      </c>
      <c r="AU267" s="284">
        <v>46.0</v>
      </c>
      <c r="AV267" s="286">
        <v>0.0</v>
      </c>
      <c r="AW267" s="285">
        <v>26332.89</v>
      </c>
      <c r="AX267" s="284">
        <v>43.71</v>
      </c>
      <c r="AY267" s="26"/>
      <c r="AZ267" s="171" t="str">
        <f t="shared" ref="AZ267:AZ280" si="684">$AG$3</f>
        <v>0.00%</v>
      </c>
      <c r="BA267" s="172" t="str">
        <f t="shared" ref="BA267:BA280" si="685">Q267*AZ267</f>
        <v>0.00</v>
      </c>
      <c r="BB267" s="173" t="str">
        <f t="shared" ref="BB267:BB280" si="686">(Q267+W267+Y267+AA267+AD267+AF267+AI267+BA267)/(100%-($C$2+$C$8+$AB$6+$AB$7))</f>
        <v>1,215.07</v>
      </c>
      <c r="BC267" s="174" t="str">
        <f t="shared" ref="BC267:BC280" si="687">BB267-(BB267*$AG$1)</f>
        <v>862.70</v>
      </c>
    </row>
    <row r="268" ht="12.75" customHeight="1">
      <c r="A268" s="26"/>
      <c r="B268" s="190" t="s">
        <v>521</v>
      </c>
      <c r="C268" s="199">
        <v>1.79611278E8</v>
      </c>
      <c r="D268" s="152" t="s">
        <v>522</v>
      </c>
      <c r="E268" s="53" t="s">
        <v>77</v>
      </c>
      <c r="F268" s="154">
        <v>1.0</v>
      </c>
      <c r="G268" s="53"/>
      <c r="H268" s="53" t="str">
        <f t="shared" si="666"/>
        <v>0.00069</v>
      </c>
      <c r="I268" s="53" t="str">
        <f t="shared" si="667"/>
        <v>89</v>
      </c>
      <c r="J268" s="53" t="str">
        <f t="shared" si="668"/>
        <v>0</v>
      </c>
      <c r="K268" s="155" t="str">
        <f t="shared" si="669"/>
        <v>0.00</v>
      </c>
      <c r="L268" s="156" t="str">
        <f t="shared" si="670"/>
        <v>0.00 </v>
      </c>
      <c r="M268" s="132">
        <v>90.0</v>
      </c>
      <c r="N268" s="157">
        <v>415.46</v>
      </c>
      <c r="O268" s="277">
        <v>452.85</v>
      </c>
      <c r="P268" s="277">
        <v>440.39</v>
      </c>
      <c r="Q268" s="157">
        <v>415.46</v>
      </c>
      <c r="R268" s="158">
        <v>1215.0</v>
      </c>
      <c r="S268" s="159" t="str">
        <f t="shared" si="671"/>
        <v>1,215.00</v>
      </c>
      <c r="T268" s="160">
        <v>1053.0</v>
      </c>
      <c r="U268" s="161">
        <v>0.26</v>
      </c>
      <c r="V268" s="162" t="str">
        <f t="shared" si="672"/>
        <v>899.10</v>
      </c>
      <c r="W268" s="163" t="str">
        <f t="shared" si="673"/>
        <v>60.00</v>
      </c>
      <c r="X268" s="164" t="str">
        <f t="shared" si="674"/>
        <v>67.22</v>
      </c>
      <c r="Y268" s="165" t="str">
        <f t="shared" si="675"/>
        <v>0.00</v>
      </c>
      <c r="Z268" s="166">
        <v>0.41</v>
      </c>
      <c r="AA268" s="167" t="str">
        <f t="shared" si="676"/>
        <v>76</v>
      </c>
      <c r="AB268" s="168" t="str">
        <f t="shared" si="677"/>
        <v>394.875</v>
      </c>
      <c r="AC268" s="168" t="str">
        <f t="shared" si="678"/>
        <v>32.008</v>
      </c>
      <c r="AD268" s="164" t="str">
        <f t="shared" si="679"/>
        <v>1.84</v>
      </c>
      <c r="AE268" s="164">
        <v>96.32</v>
      </c>
      <c r="AF268" s="164" t="str">
        <f t="shared" si="680"/>
        <v>4.80</v>
      </c>
      <c r="AG268" s="165" t="str">
        <f t="shared" si="681"/>
        <v>121.50</v>
      </c>
      <c r="AH268" s="23"/>
      <c r="AI268" s="278">
        <v>0.1</v>
      </c>
      <c r="AJ268" s="24" t="str">
        <f t="shared" si="682"/>
        <v>41.29</v>
      </c>
      <c r="AK268" s="279" t="str">
        <f t="shared" si="683"/>
        <v>9.94%</v>
      </c>
      <c r="AL268" s="280">
        <v>80.0</v>
      </c>
      <c r="AM268" s="281" t="str">
        <f t="shared" si="360"/>
        <v>3,303.57</v>
      </c>
      <c r="AN268" s="280">
        <v>53.0</v>
      </c>
      <c r="AO268" s="282"/>
      <c r="AP268" s="283">
        <v>201.22</v>
      </c>
      <c r="AQ268" s="283" t="str">
        <f t="shared" si="361"/>
        <v>10,664.66</v>
      </c>
      <c r="AR268" s="283">
        <v>46.3</v>
      </c>
      <c r="AS268" s="284">
        <v>50.0</v>
      </c>
      <c r="AT268" s="285" t="str">
        <f t="shared" si="235"/>
        <v>2,064.73</v>
      </c>
      <c r="AU268" s="284">
        <v>57.0</v>
      </c>
      <c r="AV268" s="286">
        <v>0.0</v>
      </c>
      <c r="AW268" s="285">
        <v>9048.23</v>
      </c>
      <c r="AX268" s="284">
        <v>44.45</v>
      </c>
      <c r="AY268" s="26"/>
      <c r="AZ268" s="171" t="str">
        <f t="shared" si="684"/>
        <v>0.00%</v>
      </c>
      <c r="BA268" s="172" t="str">
        <f t="shared" si="685"/>
        <v>0.00</v>
      </c>
      <c r="BB268" s="173" t="str">
        <f t="shared" si="686"/>
        <v>1,215.06</v>
      </c>
      <c r="BC268" s="174" t="str">
        <f t="shared" si="687"/>
        <v>862.69</v>
      </c>
    </row>
    <row r="269" ht="12.75" customHeight="1">
      <c r="A269" s="26"/>
      <c r="B269" s="190" t="s">
        <v>523</v>
      </c>
      <c r="C269" s="199">
        <v>1.80992464E8</v>
      </c>
      <c r="D269" s="152" t="s">
        <v>524</v>
      </c>
      <c r="E269" s="53" t="s">
        <v>77</v>
      </c>
      <c r="F269" s="154">
        <v>1.0</v>
      </c>
      <c r="G269" s="53"/>
      <c r="H269" s="53" t="str">
        <f t="shared" si="666"/>
        <v>0.00069</v>
      </c>
      <c r="I269" s="53" t="str">
        <f t="shared" si="667"/>
        <v>89</v>
      </c>
      <c r="J269" s="53" t="str">
        <f t="shared" si="668"/>
        <v>0</v>
      </c>
      <c r="K269" s="155" t="str">
        <f t="shared" si="669"/>
        <v>0.00</v>
      </c>
      <c r="L269" s="156" t="str">
        <f t="shared" si="670"/>
        <v>0.00 </v>
      </c>
      <c r="M269" s="132">
        <v>90.0</v>
      </c>
      <c r="N269" s="157">
        <v>591.29</v>
      </c>
      <c r="O269" s="277">
        <v>644.51</v>
      </c>
      <c r="P269" s="277">
        <v>626.77</v>
      </c>
      <c r="Q269" s="157">
        <v>591.29</v>
      </c>
      <c r="R269" s="158">
        <v>1740.0</v>
      </c>
      <c r="S269" s="159" t="str">
        <f t="shared" si="671"/>
        <v>1,740.00</v>
      </c>
      <c r="T269" s="160">
        <v>1733.0</v>
      </c>
      <c r="U269" s="161">
        <v>0.26</v>
      </c>
      <c r="V269" s="162" t="str">
        <f t="shared" si="672"/>
        <v>1,287.60</v>
      </c>
      <c r="W269" s="163" t="str">
        <f t="shared" si="673"/>
        <v>60.00</v>
      </c>
      <c r="X269" s="164" t="str">
        <f t="shared" si="674"/>
        <v>96.27</v>
      </c>
      <c r="Y269" s="165" t="str">
        <f t="shared" si="675"/>
        <v>0.00</v>
      </c>
      <c r="Z269" s="166">
        <v>0.73</v>
      </c>
      <c r="AA269" s="167" t="str">
        <f t="shared" si="676"/>
        <v>76</v>
      </c>
      <c r="AB269" s="168" t="str">
        <f t="shared" si="677"/>
        <v>565.500</v>
      </c>
      <c r="AC269" s="168" t="str">
        <f t="shared" si="678"/>
        <v>45.839</v>
      </c>
      <c r="AD269" s="164" t="str">
        <f t="shared" si="679"/>
        <v>4.38</v>
      </c>
      <c r="AE269" s="164">
        <v>91.25</v>
      </c>
      <c r="AF269" s="164" t="str">
        <f t="shared" si="680"/>
        <v>4.80</v>
      </c>
      <c r="AG269" s="165" t="str">
        <f t="shared" si="681"/>
        <v>174.00</v>
      </c>
      <c r="AH269" s="23"/>
      <c r="AI269" s="278">
        <v>0.1</v>
      </c>
      <c r="AJ269" s="24" t="str">
        <f t="shared" si="682"/>
        <v>121.93</v>
      </c>
      <c r="AK269" s="279" t="str">
        <f t="shared" si="683"/>
        <v>20.62%</v>
      </c>
      <c r="AL269" s="280">
        <v>50.0</v>
      </c>
      <c r="AM269" s="281" t="str">
        <f t="shared" si="360"/>
        <v>6,096.36</v>
      </c>
      <c r="AN269" s="280">
        <v>15.0</v>
      </c>
      <c r="AO269" s="282"/>
      <c r="AP269" s="283">
        <v>340.93</v>
      </c>
      <c r="AQ269" s="283" t="str">
        <f t="shared" si="361"/>
        <v>5,113.95</v>
      </c>
      <c r="AR269" s="283">
        <v>54.56</v>
      </c>
      <c r="AS269" s="284">
        <v>50.0</v>
      </c>
      <c r="AT269" s="285" t="str">
        <f t="shared" si="235"/>
        <v>6,096.36</v>
      </c>
      <c r="AU269" s="284">
        <v>17.0</v>
      </c>
      <c r="AV269" s="286">
        <v>0.0</v>
      </c>
      <c r="AW269" s="285">
        <v>5527.13</v>
      </c>
      <c r="AX269" s="284">
        <v>54.99</v>
      </c>
      <c r="AY269" s="26"/>
      <c r="AZ269" s="171" t="str">
        <f t="shared" si="684"/>
        <v>0.00%</v>
      </c>
      <c r="BA269" s="172" t="str">
        <f t="shared" si="685"/>
        <v>0.00</v>
      </c>
      <c r="BB269" s="173" t="str">
        <f t="shared" si="686"/>
        <v>1,603.32</v>
      </c>
      <c r="BC269" s="174" t="str">
        <f t="shared" si="687"/>
        <v>1,138.36</v>
      </c>
    </row>
    <row r="270" ht="12.75" customHeight="1">
      <c r="A270" s="26"/>
      <c r="B270" s="190" t="s">
        <v>525</v>
      </c>
      <c r="C270" s="199">
        <v>1.80988755E8</v>
      </c>
      <c r="D270" s="152" t="s">
        <v>526</v>
      </c>
      <c r="E270" s="53" t="s">
        <v>77</v>
      </c>
      <c r="F270" s="154">
        <v>1.0</v>
      </c>
      <c r="G270" s="53"/>
      <c r="H270" s="53" t="str">
        <f t="shared" si="666"/>
        <v>0.00069</v>
      </c>
      <c r="I270" s="53" t="str">
        <f t="shared" si="667"/>
        <v>89</v>
      </c>
      <c r="J270" s="53" t="str">
        <f t="shared" si="668"/>
        <v>0</v>
      </c>
      <c r="K270" s="155" t="str">
        <f t="shared" si="669"/>
        <v>0.00</v>
      </c>
      <c r="L270" s="156" t="str">
        <f t="shared" si="670"/>
        <v>0.00 </v>
      </c>
      <c r="M270" s="132">
        <v>90.0</v>
      </c>
      <c r="N270" s="157">
        <v>486.69</v>
      </c>
      <c r="O270" s="277">
        <v>530.49</v>
      </c>
      <c r="P270" s="277">
        <v>515.89</v>
      </c>
      <c r="Q270" s="157">
        <v>486.69</v>
      </c>
      <c r="R270" s="158">
        <v>1440.0</v>
      </c>
      <c r="S270" s="159" t="str">
        <f t="shared" si="671"/>
        <v>1,440.00</v>
      </c>
      <c r="T270" s="160">
        <v>1499.0</v>
      </c>
      <c r="U270" s="161">
        <v>0.26</v>
      </c>
      <c r="V270" s="162" t="str">
        <f t="shared" si="672"/>
        <v>1,065.60</v>
      </c>
      <c r="W270" s="163" t="str">
        <f t="shared" si="673"/>
        <v>60.00</v>
      </c>
      <c r="X270" s="164" t="str">
        <f t="shared" si="674"/>
        <v>79.67</v>
      </c>
      <c r="Y270" s="165" t="str">
        <f t="shared" si="675"/>
        <v>0.00</v>
      </c>
      <c r="Z270" s="166">
        <v>0.73</v>
      </c>
      <c r="AA270" s="167" t="str">
        <f t="shared" si="676"/>
        <v>76</v>
      </c>
      <c r="AB270" s="168" t="str">
        <f t="shared" si="677"/>
        <v>468.000</v>
      </c>
      <c r="AC270" s="168" t="str">
        <f t="shared" si="678"/>
        <v>37.935</v>
      </c>
      <c r="AD270" s="164" t="str">
        <f t="shared" si="679"/>
        <v>2.78</v>
      </c>
      <c r="AE270" s="164">
        <v>94.44</v>
      </c>
      <c r="AF270" s="164" t="str">
        <f t="shared" si="680"/>
        <v>4.80</v>
      </c>
      <c r="AG270" s="165" t="str">
        <f t="shared" si="681"/>
        <v>144.00</v>
      </c>
      <c r="AH270" s="23"/>
      <c r="AI270" s="278">
        <v>0.1</v>
      </c>
      <c r="AJ270" s="24" t="str">
        <f t="shared" si="682"/>
        <v>80.12</v>
      </c>
      <c r="AK270" s="279" t="str">
        <f t="shared" si="683"/>
        <v>16.46%</v>
      </c>
      <c r="AL270" s="280">
        <v>50.0</v>
      </c>
      <c r="AM270" s="281" t="str">
        <f t="shared" si="360"/>
        <v>4,006.18</v>
      </c>
      <c r="AN270" s="280">
        <v>75.0</v>
      </c>
      <c r="AO270" s="282"/>
      <c r="AP270" s="283">
        <v>263.72</v>
      </c>
      <c r="AQ270" s="283" t="str">
        <f t="shared" si="361"/>
        <v>19,779.00</v>
      </c>
      <c r="AR270" s="283">
        <v>51.87</v>
      </c>
      <c r="AS270" s="284">
        <v>50.0</v>
      </c>
      <c r="AT270" s="285" t="str">
        <f t="shared" si="235"/>
        <v>4,006.18</v>
      </c>
      <c r="AU270" s="284">
        <v>48.0</v>
      </c>
      <c r="AV270" s="286">
        <v>0.0</v>
      </c>
      <c r="AW270" s="285">
        <v>12073.59</v>
      </c>
      <c r="AX270" s="284">
        <v>51.68</v>
      </c>
      <c r="AY270" s="26"/>
      <c r="AZ270" s="171" t="str">
        <f t="shared" si="684"/>
        <v>0.00%</v>
      </c>
      <c r="BA270" s="172" t="str">
        <f t="shared" si="685"/>
        <v>0.00</v>
      </c>
      <c r="BB270" s="173" t="str">
        <f t="shared" si="686"/>
        <v>1,372.16</v>
      </c>
      <c r="BC270" s="174" t="str">
        <f t="shared" si="687"/>
        <v>974.23</v>
      </c>
    </row>
    <row r="271" ht="12.75" customHeight="1">
      <c r="A271" s="26"/>
      <c r="B271" s="190" t="s">
        <v>527</v>
      </c>
      <c r="C271" s="199">
        <v>1.5117588E8</v>
      </c>
      <c r="D271" s="152" t="s">
        <v>528</v>
      </c>
      <c r="E271" s="53" t="s">
        <v>77</v>
      </c>
      <c r="F271" s="154">
        <v>1.0</v>
      </c>
      <c r="G271" s="53"/>
      <c r="H271" s="53" t="str">
        <f t="shared" si="666"/>
        <v>0.00069</v>
      </c>
      <c r="I271" s="53" t="str">
        <f t="shared" si="667"/>
        <v>89</v>
      </c>
      <c r="J271" s="53" t="str">
        <f t="shared" si="668"/>
        <v>0</v>
      </c>
      <c r="K271" s="155" t="str">
        <f t="shared" si="669"/>
        <v>0.00</v>
      </c>
      <c r="L271" s="156" t="str">
        <f t="shared" si="670"/>
        <v>0.00 </v>
      </c>
      <c r="M271" s="132">
        <v>90.0</v>
      </c>
      <c r="N271" s="175">
        <v>387.67</v>
      </c>
      <c r="O271" s="277">
        <v>422.56</v>
      </c>
      <c r="P271" s="277">
        <v>410.93</v>
      </c>
      <c r="Q271" s="175">
        <v>387.67</v>
      </c>
      <c r="R271" s="158">
        <v>1140.0</v>
      </c>
      <c r="S271" s="159" t="str">
        <f t="shared" si="671"/>
        <v>1,140.00</v>
      </c>
      <c r="T271" s="160">
        <v>1120.0</v>
      </c>
      <c r="U271" s="161">
        <v>0.26</v>
      </c>
      <c r="V271" s="162" t="str">
        <f t="shared" si="672"/>
        <v>843.60</v>
      </c>
      <c r="W271" s="163" t="str">
        <f t="shared" si="673"/>
        <v>60.00</v>
      </c>
      <c r="X271" s="164" t="str">
        <f t="shared" si="674"/>
        <v>63.07</v>
      </c>
      <c r="Y271" s="165" t="str">
        <f t="shared" si="675"/>
        <v>0.00</v>
      </c>
      <c r="Z271" s="166">
        <v>0.41</v>
      </c>
      <c r="AA271" s="167" t="str">
        <f t="shared" si="676"/>
        <v>76</v>
      </c>
      <c r="AB271" s="168" t="str">
        <f t="shared" si="677"/>
        <v>370.500</v>
      </c>
      <c r="AC271" s="168" t="str">
        <f t="shared" si="678"/>
        <v>30.032</v>
      </c>
      <c r="AD271" s="164" t="str">
        <f t="shared" si="679"/>
        <v>1.47</v>
      </c>
      <c r="AE271" s="164">
        <v>97.06</v>
      </c>
      <c r="AF271" s="164" t="str">
        <f t="shared" si="680"/>
        <v>4.80</v>
      </c>
      <c r="AG271" s="165" t="str">
        <f t="shared" si="681"/>
        <v>114.00</v>
      </c>
      <c r="AH271" s="23"/>
      <c r="AI271" s="278">
        <v>0.1</v>
      </c>
      <c r="AJ271" s="24" t="str">
        <f t="shared" si="682"/>
        <v>32.45</v>
      </c>
      <c r="AK271" s="279" t="str">
        <f t="shared" si="683"/>
        <v>8.37%</v>
      </c>
      <c r="AL271" s="280">
        <v>150.0</v>
      </c>
      <c r="AM271" s="281" t="str">
        <f t="shared" si="360"/>
        <v>4,868.24</v>
      </c>
      <c r="AN271" s="280">
        <v>317.0</v>
      </c>
      <c r="AO271" s="282">
        <v>3.62</v>
      </c>
      <c r="AP271" s="283">
        <v>168.11</v>
      </c>
      <c r="AQ271" s="283" t="str">
        <f t="shared" si="361"/>
        <v>53,290.87</v>
      </c>
      <c r="AR271" s="283">
        <v>41.44</v>
      </c>
      <c r="AS271" s="284">
        <v>120.0</v>
      </c>
      <c r="AT271" s="285" t="str">
        <f t="shared" si="235"/>
        <v>3,894.59</v>
      </c>
      <c r="AU271" s="284">
        <v>191.0</v>
      </c>
      <c r="AV271" s="286">
        <v>0.0</v>
      </c>
      <c r="AW271" s="285">
        <v>30745.13</v>
      </c>
      <c r="AX271" s="284">
        <v>41.52</v>
      </c>
      <c r="AY271" s="26"/>
      <c r="AZ271" s="171" t="str">
        <f t="shared" si="684"/>
        <v>0.00%</v>
      </c>
      <c r="BA271" s="172" t="str">
        <f t="shared" si="685"/>
        <v>0.00</v>
      </c>
      <c r="BB271" s="173" t="str">
        <f t="shared" si="686"/>
        <v>1,153.77</v>
      </c>
      <c r="BC271" s="174" t="str">
        <f t="shared" si="687"/>
        <v>819.17</v>
      </c>
    </row>
    <row r="272" ht="12.75" customHeight="1">
      <c r="A272" s="26"/>
      <c r="B272" s="190" t="s">
        <v>529</v>
      </c>
      <c r="C272" s="199">
        <v>1.79611304E8</v>
      </c>
      <c r="D272" s="152" t="s">
        <v>530</v>
      </c>
      <c r="E272" s="53" t="s">
        <v>77</v>
      </c>
      <c r="F272" s="154">
        <v>1.0</v>
      </c>
      <c r="G272" s="53"/>
      <c r="H272" s="53" t="str">
        <f t="shared" si="666"/>
        <v>0.00069</v>
      </c>
      <c r="I272" s="53" t="str">
        <f t="shared" si="667"/>
        <v>89</v>
      </c>
      <c r="J272" s="53" t="str">
        <f t="shared" si="668"/>
        <v>0</v>
      </c>
      <c r="K272" s="155" t="str">
        <f t="shared" si="669"/>
        <v>0.00</v>
      </c>
      <c r="L272" s="156" t="str">
        <f t="shared" si="670"/>
        <v>0.00 </v>
      </c>
      <c r="M272" s="132">
        <v>90.0</v>
      </c>
      <c r="N272" s="157">
        <v>415.46</v>
      </c>
      <c r="O272" s="277">
        <v>452.85</v>
      </c>
      <c r="P272" s="277">
        <v>440.39</v>
      </c>
      <c r="Q272" s="157">
        <v>415.46</v>
      </c>
      <c r="R272" s="158">
        <v>1350.0</v>
      </c>
      <c r="S272" s="159" t="str">
        <f t="shared" si="671"/>
        <v>1,350.00</v>
      </c>
      <c r="T272" s="160">
        <v>1100.0</v>
      </c>
      <c r="U272" s="161">
        <v>0.26</v>
      </c>
      <c r="V272" s="162" t="str">
        <f t="shared" si="672"/>
        <v>999.00</v>
      </c>
      <c r="W272" s="163" t="str">
        <f t="shared" si="673"/>
        <v>60.00</v>
      </c>
      <c r="X272" s="164" t="str">
        <f t="shared" si="674"/>
        <v>74.69</v>
      </c>
      <c r="Y272" s="165" t="str">
        <f t="shared" si="675"/>
        <v>0.00</v>
      </c>
      <c r="Z272" s="166">
        <v>0.41</v>
      </c>
      <c r="AA272" s="167" t="str">
        <f t="shared" si="676"/>
        <v>76</v>
      </c>
      <c r="AB272" s="168" t="str">
        <f t="shared" si="677"/>
        <v>438.750</v>
      </c>
      <c r="AC272" s="168" t="str">
        <f t="shared" si="678"/>
        <v>35.564</v>
      </c>
      <c r="AD272" s="164" t="str">
        <f t="shared" si="679"/>
        <v>1.53</v>
      </c>
      <c r="AE272" s="164">
        <v>96.95</v>
      </c>
      <c r="AF272" s="164" t="str">
        <f t="shared" si="680"/>
        <v>4.80</v>
      </c>
      <c r="AG272" s="165" t="str">
        <f t="shared" si="681"/>
        <v>135.00</v>
      </c>
      <c r="AH272" s="23"/>
      <c r="AI272" s="278">
        <v>0.1</v>
      </c>
      <c r="AJ272" s="24" t="str">
        <f t="shared" si="682"/>
        <v>108.21</v>
      </c>
      <c r="AK272" s="279" t="str">
        <f t="shared" si="683"/>
        <v>26.05%</v>
      </c>
      <c r="AL272" s="280">
        <v>50.0</v>
      </c>
      <c r="AM272" s="281" t="str">
        <f t="shared" si="360"/>
        <v>5,410.45</v>
      </c>
      <c r="AN272" s="280">
        <v>11.0</v>
      </c>
      <c r="AO272" s="282">
        <v>17.35</v>
      </c>
      <c r="AP272" s="283">
        <v>203.25</v>
      </c>
      <c r="AQ272" s="283" t="str">
        <f t="shared" si="361"/>
        <v>2,235.75</v>
      </c>
      <c r="AR272" s="283">
        <v>46.33</v>
      </c>
      <c r="AS272" s="284">
        <v>50.0</v>
      </c>
      <c r="AT272" s="285" t="str">
        <f t="shared" si="235"/>
        <v>5,410.45</v>
      </c>
      <c r="AU272" s="284">
        <v>23.0</v>
      </c>
      <c r="AV272" s="286">
        <v>0.0</v>
      </c>
      <c r="AW272" s="298">
        <v>5695.3</v>
      </c>
      <c r="AX272" s="298">
        <v>59.6</v>
      </c>
      <c r="AY272" s="26"/>
      <c r="AZ272" s="171" t="str">
        <f t="shared" si="684"/>
        <v>0.00%</v>
      </c>
      <c r="BA272" s="172" t="str">
        <f t="shared" si="685"/>
        <v>0.00</v>
      </c>
      <c r="BB272" s="173" t="str">
        <f t="shared" si="686"/>
        <v>1,214.38</v>
      </c>
      <c r="BC272" s="174" t="str">
        <f t="shared" si="687"/>
        <v>862.21</v>
      </c>
    </row>
    <row r="273" ht="12.75" customHeight="1">
      <c r="A273" s="26"/>
      <c r="B273" s="190" t="s">
        <v>531</v>
      </c>
      <c r="C273" s="199">
        <v>1.79611318E8</v>
      </c>
      <c r="D273" s="152" t="s">
        <v>532</v>
      </c>
      <c r="E273" s="53" t="s">
        <v>77</v>
      </c>
      <c r="F273" s="154">
        <v>1.0</v>
      </c>
      <c r="G273" s="53"/>
      <c r="H273" s="53" t="str">
        <f t="shared" si="666"/>
        <v>0.00069</v>
      </c>
      <c r="I273" s="53" t="str">
        <f t="shared" si="667"/>
        <v>89</v>
      </c>
      <c r="J273" s="53" t="str">
        <f t="shared" si="668"/>
        <v>0</v>
      </c>
      <c r="K273" s="155" t="str">
        <f t="shared" si="669"/>
        <v>0.00</v>
      </c>
      <c r="L273" s="156" t="str">
        <f t="shared" si="670"/>
        <v>0.00 </v>
      </c>
      <c r="M273" s="132">
        <v>90.0</v>
      </c>
      <c r="N273" s="157">
        <v>415.46</v>
      </c>
      <c r="O273" s="277">
        <v>452.85</v>
      </c>
      <c r="P273" s="277">
        <v>440.39</v>
      </c>
      <c r="Q273" s="157">
        <v>415.46</v>
      </c>
      <c r="R273" s="158">
        <v>1350.0</v>
      </c>
      <c r="S273" s="159" t="str">
        <f t="shared" si="671"/>
        <v>1,350.00</v>
      </c>
      <c r="T273" s="160">
        <v>1105.0</v>
      </c>
      <c r="U273" s="161">
        <v>0.26</v>
      </c>
      <c r="V273" s="162" t="str">
        <f t="shared" si="672"/>
        <v>999.00</v>
      </c>
      <c r="W273" s="163" t="str">
        <f t="shared" si="673"/>
        <v>60.00</v>
      </c>
      <c r="X273" s="164" t="str">
        <f t="shared" si="674"/>
        <v>74.69</v>
      </c>
      <c r="Y273" s="165" t="str">
        <f t="shared" si="675"/>
        <v>0.00</v>
      </c>
      <c r="Z273" s="166">
        <v>0.41</v>
      </c>
      <c r="AA273" s="167" t="str">
        <f t="shared" si="676"/>
        <v>76</v>
      </c>
      <c r="AB273" s="168" t="str">
        <f t="shared" si="677"/>
        <v>438.750</v>
      </c>
      <c r="AC273" s="168" t="str">
        <f t="shared" si="678"/>
        <v>35.564</v>
      </c>
      <c r="AD273" s="164" t="str">
        <f t="shared" si="679"/>
        <v>1.52</v>
      </c>
      <c r="AE273" s="164">
        <v>96.97</v>
      </c>
      <c r="AF273" s="164" t="str">
        <f t="shared" si="680"/>
        <v>4.80</v>
      </c>
      <c r="AG273" s="165" t="str">
        <f t="shared" si="681"/>
        <v>135.00</v>
      </c>
      <c r="AH273" s="23"/>
      <c r="AI273" s="278">
        <v>0.1</v>
      </c>
      <c r="AJ273" s="24" t="str">
        <f t="shared" si="682"/>
        <v>108.22</v>
      </c>
      <c r="AK273" s="279" t="str">
        <f t="shared" si="683"/>
        <v>26.05%</v>
      </c>
      <c r="AL273" s="280">
        <v>50.0</v>
      </c>
      <c r="AM273" s="281" t="str">
        <f t="shared" si="360"/>
        <v>5,410.95</v>
      </c>
      <c r="AN273" s="280">
        <v>59.0</v>
      </c>
      <c r="AO273" s="282">
        <v>21.88</v>
      </c>
      <c r="AP273" s="283">
        <v>131.41</v>
      </c>
      <c r="AQ273" s="283" t="str">
        <f t="shared" si="361"/>
        <v>7,753.19</v>
      </c>
      <c r="AR273" s="283">
        <v>30.07</v>
      </c>
      <c r="AS273" s="284">
        <v>50.0</v>
      </c>
      <c r="AT273" s="285" t="str">
        <f t="shared" si="235"/>
        <v>5,410.95</v>
      </c>
      <c r="AU273" s="284">
        <v>47.0</v>
      </c>
      <c r="AV273" s="286">
        <v>0.1156</v>
      </c>
      <c r="AW273" s="285">
        <v>5544.67</v>
      </c>
      <c r="AX273" s="284">
        <v>28.4</v>
      </c>
      <c r="AY273" s="26"/>
      <c r="AZ273" s="171" t="str">
        <f t="shared" si="684"/>
        <v>0.00%</v>
      </c>
      <c r="BA273" s="172" t="str">
        <f t="shared" si="685"/>
        <v>0.00</v>
      </c>
      <c r="BB273" s="173" t="str">
        <f t="shared" si="686"/>
        <v>1,214.36</v>
      </c>
      <c r="BC273" s="174" t="str">
        <f t="shared" si="687"/>
        <v>862.19</v>
      </c>
    </row>
    <row r="274" ht="12.75" customHeight="1">
      <c r="A274" s="26"/>
      <c r="B274" s="190" t="s">
        <v>533</v>
      </c>
      <c r="C274" s="199">
        <v>1.79611231E8</v>
      </c>
      <c r="D274" s="152" t="s">
        <v>534</v>
      </c>
      <c r="E274" s="53" t="s">
        <v>77</v>
      </c>
      <c r="F274" s="154">
        <v>1.0</v>
      </c>
      <c r="G274" s="53"/>
      <c r="H274" s="53" t="str">
        <f t="shared" si="666"/>
        <v>0.00069</v>
      </c>
      <c r="I274" s="53" t="str">
        <f t="shared" si="667"/>
        <v>89</v>
      </c>
      <c r="J274" s="53" t="str">
        <f t="shared" si="668"/>
        <v>0</v>
      </c>
      <c r="K274" s="155" t="str">
        <f t="shared" si="669"/>
        <v>0.00</v>
      </c>
      <c r="L274" s="156" t="str">
        <f t="shared" si="670"/>
        <v>0.00 </v>
      </c>
      <c r="M274" s="132">
        <v>90.0</v>
      </c>
      <c r="N274" s="157">
        <v>385.05</v>
      </c>
      <c r="O274" s="277">
        <v>419.7</v>
      </c>
      <c r="P274" s="277">
        <v>408.15</v>
      </c>
      <c r="Q274" s="157">
        <v>385.05</v>
      </c>
      <c r="R274" s="158">
        <v>1275.0</v>
      </c>
      <c r="S274" s="159" t="str">
        <f t="shared" si="671"/>
        <v>1,275.00</v>
      </c>
      <c r="T274" s="160">
        <v>1230.0</v>
      </c>
      <c r="U274" s="161">
        <v>0.26</v>
      </c>
      <c r="V274" s="162" t="str">
        <f t="shared" si="672"/>
        <v>943.50</v>
      </c>
      <c r="W274" s="163" t="str">
        <f t="shared" si="673"/>
        <v>60.00</v>
      </c>
      <c r="X274" s="164" t="str">
        <f t="shared" si="674"/>
        <v>70.54</v>
      </c>
      <c r="Y274" s="165" t="str">
        <f t="shared" si="675"/>
        <v>0.00</v>
      </c>
      <c r="Z274" s="166">
        <v>0.41</v>
      </c>
      <c r="AA274" s="167" t="str">
        <f t="shared" si="676"/>
        <v>76</v>
      </c>
      <c r="AB274" s="168" t="str">
        <f t="shared" si="677"/>
        <v>414.375</v>
      </c>
      <c r="AC274" s="168" t="str">
        <f t="shared" si="678"/>
        <v>33.589</v>
      </c>
      <c r="AD274" s="164" t="str">
        <f t="shared" si="679"/>
        <v>2.18</v>
      </c>
      <c r="AE274" s="164">
        <v>95.65</v>
      </c>
      <c r="AF274" s="164" t="str">
        <f t="shared" si="680"/>
        <v>4.80</v>
      </c>
      <c r="AG274" s="165" t="str">
        <f t="shared" si="681"/>
        <v>127.50</v>
      </c>
      <c r="AH274" s="23"/>
      <c r="AI274" s="278">
        <v>0.1</v>
      </c>
      <c r="AJ274" s="24" t="str">
        <f t="shared" si="682"/>
        <v>100.97</v>
      </c>
      <c r="AK274" s="279" t="str">
        <f t="shared" si="683"/>
        <v>26.22%</v>
      </c>
      <c r="AL274" s="280">
        <v>80.0</v>
      </c>
      <c r="AM274" s="281" t="str">
        <f t="shared" si="360"/>
        <v>8,077.55</v>
      </c>
      <c r="AN274" s="280">
        <v>46.0</v>
      </c>
      <c r="AO274" s="282">
        <v>3.49</v>
      </c>
      <c r="AP274" s="283">
        <v>269.41</v>
      </c>
      <c r="AQ274" s="283" t="str">
        <f t="shared" si="361"/>
        <v>12,392.86</v>
      </c>
      <c r="AR274" s="283">
        <v>66.2</v>
      </c>
      <c r="AS274" s="284">
        <v>50.0</v>
      </c>
      <c r="AT274" s="285" t="str">
        <f t="shared" si="235"/>
        <v>5,048.47</v>
      </c>
      <c r="AU274" s="284">
        <v>27.0</v>
      </c>
      <c r="AV274" s="286">
        <v>0.0</v>
      </c>
      <c r="AW274" s="285">
        <v>7173.82</v>
      </c>
      <c r="AX274" s="284">
        <v>69.0</v>
      </c>
      <c r="AY274" s="26"/>
      <c r="AZ274" s="171" t="str">
        <f t="shared" si="684"/>
        <v>0.00%</v>
      </c>
      <c r="BA274" s="172" t="str">
        <f t="shared" si="685"/>
        <v>0.00</v>
      </c>
      <c r="BB274" s="173" t="str">
        <f t="shared" si="686"/>
        <v>1,149.60</v>
      </c>
      <c r="BC274" s="174" t="str">
        <f t="shared" si="687"/>
        <v>816.21</v>
      </c>
    </row>
    <row r="275" ht="12.75" customHeight="1">
      <c r="A275" s="26"/>
      <c r="B275" s="190" t="s">
        <v>535</v>
      </c>
      <c r="C275" s="199">
        <v>1.80711041E8</v>
      </c>
      <c r="D275" s="152" t="s">
        <v>536</v>
      </c>
      <c r="E275" s="53"/>
      <c r="F275" s="154">
        <v>1.0</v>
      </c>
      <c r="G275" s="53"/>
      <c r="H275" s="53" t="str">
        <f t="shared" si="666"/>
        <v>0.00069</v>
      </c>
      <c r="I275" s="53" t="str">
        <f t="shared" si="667"/>
        <v>89</v>
      </c>
      <c r="J275" s="53" t="str">
        <f t="shared" si="668"/>
        <v>0</v>
      </c>
      <c r="K275" s="155" t="str">
        <f t="shared" si="669"/>
        <v>0.00</v>
      </c>
      <c r="L275" s="156" t="str">
        <f t="shared" si="670"/>
        <v>0.00 </v>
      </c>
      <c r="M275" s="132">
        <v>90.0</v>
      </c>
      <c r="N275" s="157">
        <v>385.05</v>
      </c>
      <c r="O275" s="277">
        <v>419.7</v>
      </c>
      <c r="P275" s="277">
        <v>408.15</v>
      </c>
      <c r="Q275" s="157">
        <v>385.05</v>
      </c>
      <c r="R275" s="158">
        <v>1350.0</v>
      </c>
      <c r="S275" s="159" t="str">
        <f t="shared" si="671"/>
        <v>1,350.00</v>
      </c>
      <c r="T275" s="160">
        <v>1351.0</v>
      </c>
      <c r="U275" s="161">
        <v>0.26</v>
      </c>
      <c r="V275" s="162" t="str">
        <f t="shared" si="672"/>
        <v>999.00</v>
      </c>
      <c r="W275" s="163" t="str">
        <f t="shared" si="673"/>
        <v>60.00</v>
      </c>
      <c r="X275" s="164" t="str">
        <f t="shared" si="674"/>
        <v>74.69</v>
      </c>
      <c r="Y275" s="165" t="str">
        <f t="shared" si="675"/>
        <v>0.00</v>
      </c>
      <c r="Z275" s="166">
        <v>0.41</v>
      </c>
      <c r="AA275" s="167" t="str">
        <f t="shared" si="676"/>
        <v>76</v>
      </c>
      <c r="AB275" s="168" t="str">
        <f t="shared" si="677"/>
        <v>438.750</v>
      </c>
      <c r="AC275" s="168" t="str">
        <f t="shared" si="678"/>
        <v>35.564</v>
      </c>
      <c r="AD275" s="164" t="str">
        <f t="shared" si="679"/>
        <v>1.32</v>
      </c>
      <c r="AE275" s="164">
        <v>97.37</v>
      </c>
      <c r="AF275" s="164" t="str">
        <f t="shared" si="680"/>
        <v>4.80</v>
      </c>
      <c r="AG275" s="165" t="str">
        <f t="shared" si="681"/>
        <v>135.00</v>
      </c>
      <c r="AH275" s="23"/>
      <c r="AI275" s="278">
        <v>0.1</v>
      </c>
      <c r="AJ275" s="24" t="str">
        <f t="shared" si="682"/>
        <v>138.83</v>
      </c>
      <c r="AK275" s="279" t="str">
        <f t="shared" si="683"/>
        <v>36.05%</v>
      </c>
      <c r="AL275" s="280"/>
      <c r="AM275" s="281" t="str">
        <f t="shared" si="360"/>
        <v>0.00</v>
      </c>
      <c r="AN275" s="280">
        <v>14.0</v>
      </c>
      <c r="AO275" s="282">
        <v>28.18</v>
      </c>
      <c r="AP275" s="283">
        <v>192.31</v>
      </c>
      <c r="AQ275" s="283" t="str">
        <f t="shared" si="361"/>
        <v>2,692.34</v>
      </c>
      <c r="AR275" s="283">
        <v>47.42</v>
      </c>
      <c r="AS275" s="284">
        <v>8.0</v>
      </c>
      <c r="AT275" s="285" t="str">
        <f t="shared" si="235"/>
        <v>1,110.63</v>
      </c>
      <c r="AU275" s="284">
        <v>8.0</v>
      </c>
      <c r="AV275" s="286">
        <v>0.0</v>
      </c>
      <c r="AW275" s="285">
        <v>1252.84</v>
      </c>
      <c r="AX275" s="284">
        <v>40.67</v>
      </c>
      <c r="AY275" s="26"/>
      <c r="AZ275" s="171" t="str">
        <f t="shared" si="684"/>
        <v>0.00%</v>
      </c>
      <c r="BA275" s="172" t="str">
        <f t="shared" si="685"/>
        <v>0.00</v>
      </c>
      <c r="BB275" s="173" t="str">
        <f t="shared" si="686"/>
        <v>1,147.73</v>
      </c>
      <c r="BC275" s="174" t="str">
        <f t="shared" si="687"/>
        <v>814.88</v>
      </c>
    </row>
    <row r="276" ht="12.75" customHeight="1">
      <c r="A276" s="26"/>
      <c r="B276" s="190" t="s">
        <v>537</v>
      </c>
      <c r="C276" s="199">
        <v>1.80711104E8</v>
      </c>
      <c r="D276" s="152" t="s">
        <v>538</v>
      </c>
      <c r="E276" s="53" t="s">
        <v>77</v>
      </c>
      <c r="F276" s="154">
        <v>1.0</v>
      </c>
      <c r="G276" s="53"/>
      <c r="H276" s="53" t="str">
        <f t="shared" si="666"/>
        <v>0.00069</v>
      </c>
      <c r="I276" s="53" t="str">
        <f t="shared" si="667"/>
        <v>89</v>
      </c>
      <c r="J276" s="53" t="str">
        <f t="shared" si="668"/>
        <v>0</v>
      </c>
      <c r="K276" s="155" t="str">
        <f t="shared" si="669"/>
        <v>0.00</v>
      </c>
      <c r="L276" s="156" t="str">
        <f t="shared" si="670"/>
        <v>0.00 </v>
      </c>
      <c r="M276" s="132">
        <v>90.0</v>
      </c>
      <c r="N276" s="157">
        <v>415.46</v>
      </c>
      <c r="O276" s="277">
        <v>452.85</v>
      </c>
      <c r="P276" s="277">
        <v>440.39</v>
      </c>
      <c r="Q276" s="157">
        <v>415.46</v>
      </c>
      <c r="R276" s="158">
        <v>1350.0</v>
      </c>
      <c r="S276" s="159" t="str">
        <f t="shared" si="671"/>
        <v>1,350.00</v>
      </c>
      <c r="T276" s="160">
        <v>1118.0</v>
      </c>
      <c r="U276" s="161">
        <v>0.26</v>
      </c>
      <c r="V276" s="162" t="str">
        <f t="shared" si="672"/>
        <v>999.00</v>
      </c>
      <c r="W276" s="163" t="str">
        <f t="shared" si="673"/>
        <v>60.00</v>
      </c>
      <c r="X276" s="164" t="str">
        <f t="shared" si="674"/>
        <v>74.69</v>
      </c>
      <c r="Y276" s="165" t="str">
        <f t="shared" si="675"/>
        <v>0.00</v>
      </c>
      <c r="Z276" s="166">
        <v>0.41</v>
      </c>
      <c r="AA276" s="167" t="str">
        <f t="shared" si="676"/>
        <v>76</v>
      </c>
      <c r="AB276" s="168" t="str">
        <f t="shared" si="677"/>
        <v>438.750</v>
      </c>
      <c r="AC276" s="168" t="str">
        <f t="shared" si="678"/>
        <v>35.564</v>
      </c>
      <c r="AD276" s="164" t="str">
        <f t="shared" si="679"/>
        <v>1.82</v>
      </c>
      <c r="AE276" s="164">
        <v>96.36</v>
      </c>
      <c r="AF276" s="164" t="str">
        <f t="shared" si="680"/>
        <v>4.80</v>
      </c>
      <c r="AG276" s="165" t="str">
        <f t="shared" si="681"/>
        <v>135.00</v>
      </c>
      <c r="AH276" s="23"/>
      <c r="AI276" s="278">
        <v>0.1</v>
      </c>
      <c r="AJ276" s="24" t="str">
        <f t="shared" si="682"/>
        <v>107.91</v>
      </c>
      <c r="AK276" s="279" t="str">
        <f t="shared" si="683"/>
        <v>25.97%</v>
      </c>
      <c r="AL276" s="280">
        <v>50.0</v>
      </c>
      <c r="AM276" s="281" t="str">
        <f t="shared" si="360"/>
        <v>5,395.70</v>
      </c>
      <c r="AN276" s="280">
        <v>62.0</v>
      </c>
      <c r="AO276" s="282"/>
      <c r="AP276" s="283">
        <v>289.22</v>
      </c>
      <c r="AQ276" s="283" t="str">
        <f t="shared" si="361"/>
        <v>17,931.64</v>
      </c>
      <c r="AR276" s="283">
        <v>66.46</v>
      </c>
      <c r="AS276" s="284">
        <v>50.0</v>
      </c>
      <c r="AT276" s="285" t="str">
        <f t="shared" si="235"/>
        <v>5,395.70</v>
      </c>
      <c r="AU276" s="284">
        <v>36.0</v>
      </c>
      <c r="AV276" s="286">
        <v>0.0</v>
      </c>
      <c r="AW276" s="285">
        <v>9765.03</v>
      </c>
      <c r="AX276" s="284">
        <v>65.29</v>
      </c>
      <c r="AY276" s="26"/>
      <c r="AZ276" s="171" t="str">
        <f t="shared" si="684"/>
        <v>0.00%</v>
      </c>
      <c r="BA276" s="172" t="str">
        <f t="shared" si="685"/>
        <v>0.00</v>
      </c>
      <c r="BB276" s="173" t="str">
        <f t="shared" si="686"/>
        <v>1,215.02</v>
      </c>
      <c r="BC276" s="174" t="str">
        <f t="shared" si="687"/>
        <v>862.66</v>
      </c>
    </row>
    <row r="277" ht="12.75" customHeight="1">
      <c r="A277" s="26"/>
      <c r="B277" s="190" t="s">
        <v>539</v>
      </c>
      <c r="C277" s="199">
        <v>1.79611207E8</v>
      </c>
      <c r="D277" s="152" t="s">
        <v>540</v>
      </c>
      <c r="E277" s="53" t="s">
        <v>77</v>
      </c>
      <c r="F277" s="154">
        <v>1.0</v>
      </c>
      <c r="G277" s="53"/>
      <c r="H277" s="53" t="str">
        <f t="shared" si="666"/>
        <v>0.00069</v>
      </c>
      <c r="I277" s="53" t="str">
        <f t="shared" si="667"/>
        <v>89</v>
      </c>
      <c r="J277" s="53" t="str">
        <f t="shared" si="668"/>
        <v>0</v>
      </c>
      <c r="K277" s="155" t="str">
        <f t="shared" si="669"/>
        <v>0.00</v>
      </c>
      <c r="L277" s="156" t="str">
        <f t="shared" si="670"/>
        <v>0.00 </v>
      </c>
      <c r="M277" s="132">
        <v>90.0</v>
      </c>
      <c r="N277" s="157">
        <v>415.46</v>
      </c>
      <c r="O277" s="277">
        <v>452.85</v>
      </c>
      <c r="P277" s="277">
        <v>440.39</v>
      </c>
      <c r="Q277" s="157">
        <v>415.46</v>
      </c>
      <c r="R277" s="158">
        <v>1350.0</v>
      </c>
      <c r="S277" s="159" t="str">
        <f t="shared" si="671"/>
        <v>1,350.00</v>
      </c>
      <c r="T277" s="160">
        <v>1080.0</v>
      </c>
      <c r="U277" s="161">
        <v>0.26</v>
      </c>
      <c r="V277" s="162" t="str">
        <f t="shared" si="672"/>
        <v>999.00</v>
      </c>
      <c r="W277" s="163" t="str">
        <f t="shared" si="673"/>
        <v>60.00</v>
      </c>
      <c r="X277" s="164" t="str">
        <f t="shared" si="674"/>
        <v>74.69</v>
      </c>
      <c r="Y277" s="165" t="str">
        <f t="shared" si="675"/>
        <v>0.00</v>
      </c>
      <c r="Z277" s="166">
        <v>0.41</v>
      </c>
      <c r="AA277" s="167" t="str">
        <f t="shared" si="676"/>
        <v>76</v>
      </c>
      <c r="AB277" s="168" t="str">
        <f t="shared" si="677"/>
        <v>438.750</v>
      </c>
      <c r="AC277" s="168" t="str">
        <f t="shared" si="678"/>
        <v>35.564</v>
      </c>
      <c r="AD277" s="164" t="str">
        <f t="shared" si="679"/>
        <v>1.22</v>
      </c>
      <c r="AE277" s="164">
        <v>97.56</v>
      </c>
      <c r="AF277" s="164" t="str">
        <f t="shared" si="680"/>
        <v>4.80</v>
      </c>
      <c r="AG277" s="165" t="str">
        <f t="shared" si="681"/>
        <v>135.00</v>
      </c>
      <c r="AH277" s="23"/>
      <c r="AI277" s="278">
        <v>0.1</v>
      </c>
      <c r="AJ277" s="24" t="str">
        <f t="shared" si="682"/>
        <v>108.51</v>
      </c>
      <c r="AK277" s="279" t="str">
        <f t="shared" si="683"/>
        <v>26.12%</v>
      </c>
      <c r="AL277" s="280">
        <v>150.0</v>
      </c>
      <c r="AM277" s="281" t="str">
        <f t="shared" si="360"/>
        <v>16,277.10</v>
      </c>
      <c r="AN277" s="280">
        <v>197.0</v>
      </c>
      <c r="AO277" s="282"/>
      <c r="AP277" s="283">
        <v>107.42</v>
      </c>
      <c r="AQ277" s="283" t="str">
        <f t="shared" si="361"/>
        <v>21,161.74</v>
      </c>
      <c r="AR277" s="283">
        <v>24.71</v>
      </c>
      <c r="AS277" s="284">
        <v>125.0</v>
      </c>
      <c r="AT277" s="285" t="str">
        <f t="shared" si="235"/>
        <v>13,564.25</v>
      </c>
      <c r="AU277" s="284">
        <v>59.0</v>
      </c>
      <c r="AV277" s="286">
        <v>0.0</v>
      </c>
      <c r="AW277" s="285">
        <v>5834.81</v>
      </c>
      <c r="AX277" s="284">
        <v>23.8</v>
      </c>
      <c r="AY277" s="26"/>
      <c r="AZ277" s="171" t="str">
        <f t="shared" si="684"/>
        <v>0.00%</v>
      </c>
      <c r="BA277" s="172" t="str">
        <f t="shared" si="685"/>
        <v>0.00</v>
      </c>
      <c r="BB277" s="173" t="str">
        <f t="shared" si="686"/>
        <v>1,213.71</v>
      </c>
      <c r="BC277" s="174" t="str">
        <f t="shared" si="687"/>
        <v>861.74</v>
      </c>
    </row>
    <row r="278" ht="12.75" customHeight="1">
      <c r="A278" s="26"/>
      <c r="B278" s="190" t="s">
        <v>541</v>
      </c>
      <c r="C278" s="199">
        <v>1.80987509E8</v>
      </c>
      <c r="D278" s="152" t="s">
        <v>542</v>
      </c>
      <c r="E278" s="53" t="s">
        <v>77</v>
      </c>
      <c r="F278" s="154">
        <v>1.0</v>
      </c>
      <c r="G278" s="53"/>
      <c r="H278" s="53" t="str">
        <f t="shared" si="666"/>
        <v>0.00069</v>
      </c>
      <c r="I278" s="53" t="str">
        <f t="shared" si="667"/>
        <v>89</v>
      </c>
      <c r="J278" s="53" t="str">
        <f t="shared" si="668"/>
        <v>0</v>
      </c>
      <c r="K278" s="155" t="str">
        <f t="shared" si="669"/>
        <v>0.00</v>
      </c>
      <c r="L278" s="156" t="str">
        <f t="shared" si="670"/>
        <v>0.00 </v>
      </c>
      <c r="M278" s="132">
        <v>90.0</v>
      </c>
      <c r="N278" s="157">
        <v>486.69</v>
      </c>
      <c r="O278" s="277">
        <v>530.49</v>
      </c>
      <c r="P278" s="277">
        <v>515.89</v>
      </c>
      <c r="Q278" s="157">
        <v>486.69</v>
      </c>
      <c r="R278" s="158">
        <v>1500.0</v>
      </c>
      <c r="S278" s="159" t="str">
        <f t="shared" si="671"/>
        <v>1,500.00</v>
      </c>
      <c r="T278" s="160">
        <v>1119.0</v>
      </c>
      <c r="U278" s="161">
        <v>0.26</v>
      </c>
      <c r="V278" s="162" t="str">
        <f t="shared" si="672"/>
        <v>1,110.00</v>
      </c>
      <c r="W278" s="163" t="str">
        <f t="shared" si="673"/>
        <v>60.00</v>
      </c>
      <c r="X278" s="164" t="str">
        <f t="shared" si="674"/>
        <v>82.99</v>
      </c>
      <c r="Y278" s="165" t="str">
        <f t="shared" si="675"/>
        <v>0.00</v>
      </c>
      <c r="Z278" s="166">
        <v>0.66</v>
      </c>
      <c r="AA278" s="167" t="str">
        <f t="shared" si="676"/>
        <v>76</v>
      </c>
      <c r="AB278" s="168" t="str">
        <f t="shared" si="677"/>
        <v>487.500</v>
      </c>
      <c r="AC278" s="168" t="str">
        <f t="shared" si="678"/>
        <v>39.516</v>
      </c>
      <c r="AD278" s="164" t="str">
        <f t="shared" si="679"/>
        <v>1.37</v>
      </c>
      <c r="AE278" s="164">
        <v>97.26</v>
      </c>
      <c r="AF278" s="164" t="str">
        <f t="shared" si="680"/>
        <v>4.80</v>
      </c>
      <c r="AG278" s="165" t="str">
        <f t="shared" si="681"/>
        <v>150.00</v>
      </c>
      <c r="AH278" s="23"/>
      <c r="AI278" s="278">
        <v>0.1</v>
      </c>
      <c r="AJ278" s="24" t="str">
        <f t="shared" si="682"/>
        <v>111.13</v>
      </c>
      <c r="AK278" s="279" t="str">
        <f t="shared" si="683"/>
        <v>22.83%</v>
      </c>
      <c r="AL278" s="280"/>
      <c r="AM278" s="281" t="str">
        <f t="shared" si="360"/>
        <v>0.00</v>
      </c>
      <c r="AN278" s="280"/>
      <c r="AO278" s="282"/>
      <c r="AP278" s="283">
        <v>308.12</v>
      </c>
      <c r="AQ278" s="283" t="str">
        <f t="shared" si="361"/>
        <v>0.00</v>
      </c>
      <c r="AR278" s="283">
        <v>60.41</v>
      </c>
      <c r="AS278" s="284">
        <v>16.0</v>
      </c>
      <c r="AT278" s="285" t="str">
        <f t="shared" si="235"/>
        <v>1,778.13</v>
      </c>
      <c r="AU278" s="284">
        <v>16.0</v>
      </c>
      <c r="AV278" s="286">
        <v>0.0</v>
      </c>
      <c r="AW278" s="285">
        <v>4960.71</v>
      </c>
      <c r="AX278" s="284">
        <v>63.7</v>
      </c>
      <c r="AY278" s="26"/>
      <c r="AZ278" s="171" t="str">
        <f t="shared" si="684"/>
        <v>0.00%</v>
      </c>
      <c r="BA278" s="172" t="str">
        <f t="shared" si="685"/>
        <v>0.00</v>
      </c>
      <c r="BB278" s="173" t="str">
        <f t="shared" si="686"/>
        <v>1,369.09</v>
      </c>
      <c r="BC278" s="174" t="str">
        <f t="shared" si="687"/>
        <v>972.05</v>
      </c>
    </row>
    <row r="279" ht="12.75" hidden="1" customHeight="1">
      <c r="A279" s="26"/>
      <c r="B279" s="190" t="s">
        <v>543</v>
      </c>
      <c r="C279" s="216"/>
      <c r="D279" s="152" t="s">
        <v>544</v>
      </c>
      <c r="E279" s="53" t="s">
        <v>77</v>
      </c>
      <c r="F279" s="154">
        <v>1.0</v>
      </c>
      <c r="G279" s="53"/>
      <c r="H279" s="53" t="str">
        <f t="shared" si="666"/>
        <v>0.00069</v>
      </c>
      <c r="I279" s="53" t="str">
        <f t="shared" si="667"/>
        <v>89</v>
      </c>
      <c r="J279" s="53" t="str">
        <f t="shared" si="668"/>
        <v>0</v>
      </c>
      <c r="K279" s="155" t="str">
        <f t="shared" si="669"/>
        <v>0.00</v>
      </c>
      <c r="L279" s="156" t="str">
        <f t="shared" si="670"/>
        <v>0.00 </v>
      </c>
      <c r="M279" s="132">
        <v>90.0</v>
      </c>
      <c r="N279" s="157">
        <v>0.0</v>
      </c>
      <c r="O279" s="277">
        <v>0.0</v>
      </c>
      <c r="P279" s="277" t="str">
        <f t="shared" ref="P279:P280" si="688">K279/E279</f>
        <v>#VALUE!</v>
      </c>
      <c r="Q279" s="157">
        <v>0.0</v>
      </c>
      <c r="R279" s="158"/>
      <c r="S279" s="159" t="str">
        <f t="shared" ref="S279:S280" si="689">BB279</f>
        <v>0.22</v>
      </c>
      <c r="T279" s="160"/>
      <c r="U279" s="161">
        <v>0.26</v>
      </c>
      <c r="V279" s="162" t="str">
        <f t="shared" si="672"/>
        <v>0.00</v>
      </c>
      <c r="W279" s="163">
        <v>0.0</v>
      </c>
      <c r="X279" s="164" t="str">
        <f t="shared" si="674"/>
        <v>0.00</v>
      </c>
      <c r="Y279" s="165" t="str">
        <f t="shared" si="675"/>
        <v>0.00</v>
      </c>
      <c r="Z279" s="166"/>
      <c r="AA279" s="167"/>
      <c r="AB279" s="168" t="str">
        <f t="shared" si="677"/>
        <v>0.000</v>
      </c>
      <c r="AC279" s="168" t="str">
        <f t="shared" si="678"/>
        <v>0.000</v>
      </c>
      <c r="AD279" s="164" t="str">
        <f t="shared" si="679"/>
        <v>0.00</v>
      </c>
      <c r="AE279" s="164">
        <v>100.0</v>
      </c>
      <c r="AF279" s="164" t="str">
        <f t="shared" si="680"/>
        <v>0.00</v>
      </c>
      <c r="AG279" s="165" t="str">
        <f t="shared" si="681"/>
        <v>0.00</v>
      </c>
      <c r="AH279" s="23"/>
      <c r="AI279" s="278">
        <v>0.1</v>
      </c>
      <c r="AJ279" s="24" t="str">
        <f t="shared" si="682"/>
        <v>0.00</v>
      </c>
      <c r="AK279" s="279" t="str">
        <f t="shared" si="683"/>
        <v>#DIV/0!</v>
      </c>
      <c r="AL279" s="280"/>
      <c r="AM279" s="281" t="str">
        <f t="shared" si="360"/>
        <v>0.00</v>
      </c>
      <c r="AN279" s="280"/>
      <c r="AO279" s="282"/>
      <c r="AP279" s="283"/>
      <c r="AQ279" s="283" t="str">
        <f t="shared" si="361"/>
        <v>0.00</v>
      </c>
      <c r="AR279" s="283"/>
      <c r="AS279" s="284"/>
      <c r="AT279" s="285" t="str">
        <f t="shared" si="235"/>
        <v>0.00</v>
      </c>
      <c r="AU279" s="284"/>
      <c r="AV279" s="286"/>
      <c r="AW279" s="285"/>
      <c r="AX279" s="284"/>
      <c r="AY279" s="26"/>
      <c r="AZ279" s="171" t="str">
        <f t="shared" si="684"/>
        <v>0.00%</v>
      </c>
      <c r="BA279" s="172" t="str">
        <f t="shared" si="685"/>
        <v>0.00</v>
      </c>
      <c r="BB279" s="173" t="str">
        <f t="shared" si="686"/>
        <v>0.22</v>
      </c>
      <c r="BC279" s="174" t="str">
        <f t="shared" si="687"/>
        <v>0.15</v>
      </c>
    </row>
    <row r="280" ht="12.75" hidden="1" customHeight="1">
      <c r="A280" s="26"/>
      <c r="B280" s="190" t="s">
        <v>545</v>
      </c>
      <c r="C280" s="216"/>
      <c r="D280" s="152" t="s">
        <v>546</v>
      </c>
      <c r="E280" s="53" t="s">
        <v>77</v>
      </c>
      <c r="F280" s="154">
        <v>1.0</v>
      </c>
      <c r="G280" s="53"/>
      <c r="H280" s="53" t="str">
        <f t="shared" si="666"/>
        <v>0.00069</v>
      </c>
      <c r="I280" s="53" t="str">
        <f t="shared" si="667"/>
        <v>89</v>
      </c>
      <c r="J280" s="53" t="str">
        <f t="shared" si="668"/>
        <v>0</v>
      </c>
      <c r="K280" s="155" t="str">
        <f t="shared" si="669"/>
        <v>0.00</v>
      </c>
      <c r="L280" s="156" t="str">
        <f t="shared" si="670"/>
        <v>0.00 </v>
      </c>
      <c r="M280" s="132">
        <v>90.0</v>
      </c>
      <c r="N280" s="157">
        <v>0.0</v>
      </c>
      <c r="O280" s="277">
        <v>0.0</v>
      </c>
      <c r="P280" s="277" t="str">
        <f t="shared" si="688"/>
        <v>#VALUE!</v>
      </c>
      <c r="Q280" s="157">
        <v>0.0</v>
      </c>
      <c r="R280" s="158"/>
      <c r="S280" s="159" t="str">
        <f t="shared" si="689"/>
        <v>0.22</v>
      </c>
      <c r="T280" s="160"/>
      <c r="U280" s="161">
        <v>0.26</v>
      </c>
      <c r="V280" s="162" t="str">
        <f t="shared" si="672"/>
        <v>0.00</v>
      </c>
      <c r="W280" s="163">
        <v>0.0</v>
      </c>
      <c r="X280" s="164" t="str">
        <f t="shared" si="674"/>
        <v>0.00</v>
      </c>
      <c r="Y280" s="165" t="str">
        <f t="shared" si="675"/>
        <v>0.00</v>
      </c>
      <c r="Z280" s="166"/>
      <c r="AA280" s="167"/>
      <c r="AB280" s="168" t="str">
        <f t="shared" si="677"/>
        <v>0.000</v>
      </c>
      <c r="AC280" s="168" t="str">
        <f t="shared" si="678"/>
        <v>0.000</v>
      </c>
      <c r="AD280" s="164" t="str">
        <f t="shared" si="679"/>
        <v>0.00</v>
      </c>
      <c r="AE280" s="164">
        <v>100.0</v>
      </c>
      <c r="AF280" s="164" t="str">
        <f t="shared" si="680"/>
        <v>0.00</v>
      </c>
      <c r="AG280" s="165" t="str">
        <f t="shared" si="681"/>
        <v>0.00</v>
      </c>
      <c r="AH280" s="23"/>
      <c r="AI280" s="278">
        <v>0.1</v>
      </c>
      <c r="AJ280" s="24" t="str">
        <f t="shared" si="682"/>
        <v>0.00</v>
      </c>
      <c r="AK280" s="279" t="str">
        <f t="shared" si="683"/>
        <v>#DIV/0!</v>
      </c>
      <c r="AL280" s="280"/>
      <c r="AM280" s="281" t="str">
        <f t="shared" si="360"/>
        <v>0.00</v>
      </c>
      <c r="AN280" s="280"/>
      <c r="AO280" s="282"/>
      <c r="AP280" s="283"/>
      <c r="AQ280" s="283" t="str">
        <f t="shared" si="361"/>
        <v>0.00</v>
      </c>
      <c r="AR280" s="283"/>
      <c r="AS280" s="284"/>
      <c r="AT280" s="285" t="str">
        <f t="shared" si="235"/>
        <v>0.00</v>
      </c>
      <c r="AU280" s="284"/>
      <c r="AV280" s="286"/>
      <c r="AW280" s="285"/>
      <c r="AX280" s="284"/>
      <c r="AY280" s="26"/>
      <c r="AZ280" s="171" t="str">
        <f t="shared" si="684"/>
        <v>0.00%</v>
      </c>
      <c r="BA280" s="172" t="str">
        <f t="shared" si="685"/>
        <v>0.00</v>
      </c>
      <c r="BB280" s="173" t="str">
        <f t="shared" si="686"/>
        <v>0.22</v>
      </c>
      <c r="BC280" s="174" t="str">
        <f t="shared" si="687"/>
        <v>0.15</v>
      </c>
    </row>
    <row r="281" ht="12.75" customHeight="1">
      <c r="A281" s="26"/>
      <c r="B281" s="125" t="s">
        <v>547</v>
      </c>
      <c r="C281" s="126"/>
      <c r="D281" s="127"/>
      <c r="E281" s="128"/>
      <c r="F281" s="128"/>
      <c r="G281" s="128"/>
      <c r="H281" s="197"/>
      <c r="I281" s="197"/>
      <c r="J281" s="128"/>
      <c r="K281" s="130"/>
      <c r="L281" s="131"/>
      <c r="M281" s="132"/>
      <c r="N281" s="176"/>
      <c r="O281" s="133"/>
      <c r="P281" s="133"/>
      <c r="Q281" s="176"/>
      <c r="R281" s="134"/>
      <c r="S281" s="135"/>
      <c r="T281" s="135"/>
      <c r="U281" s="136"/>
      <c r="V281" s="137"/>
      <c r="W281" s="177"/>
      <c r="X281" s="178"/>
      <c r="Y281" s="179"/>
      <c r="Z281" s="180"/>
      <c r="AA281" s="181"/>
      <c r="AB281" s="182"/>
      <c r="AC281" s="182"/>
      <c r="AD281" s="178"/>
      <c r="AE281" s="178"/>
      <c r="AF281" s="178"/>
      <c r="AG281" s="179"/>
      <c r="AH281" s="183"/>
      <c r="AI281" s="271"/>
      <c r="AJ281" s="287"/>
      <c r="AK281" s="288"/>
      <c r="AL281" s="280"/>
      <c r="AM281" s="281" t="str">
        <f t="shared" si="360"/>
        <v>0.00</v>
      </c>
      <c r="AN281" s="280"/>
      <c r="AO281" s="282"/>
      <c r="AP281" s="283"/>
      <c r="AQ281" s="283" t="str">
        <f t="shared" si="361"/>
        <v>0.00</v>
      </c>
      <c r="AR281" s="283"/>
      <c r="AS281" s="284"/>
      <c r="AT281" s="285" t="str">
        <f t="shared" si="235"/>
        <v>0.00</v>
      </c>
      <c r="AU281" s="284"/>
      <c r="AV281" s="286"/>
      <c r="AW281" s="285"/>
      <c r="AX281" s="284"/>
      <c r="AY281" s="26"/>
      <c r="AZ281" s="186"/>
      <c r="BA281" s="187"/>
      <c r="BB281" s="188"/>
      <c r="BC281" s="189"/>
    </row>
    <row r="282" ht="12.75" customHeight="1">
      <c r="A282" s="26"/>
      <c r="B282" s="190" t="s">
        <v>548</v>
      </c>
      <c r="C282" s="199">
        <v>2.26115324E8</v>
      </c>
      <c r="D282" s="152" t="s">
        <v>549</v>
      </c>
      <c r="E282" s="53" t="s">
        <v>372</v>
      </c>
      <c r="F282" s="154">
        <v>1.0</v>
      </c>
      <c r="G282" s="53"/>
      <c r="H282" s="53" t="str">
        <f t="shared" ref="H282:H289" si="690">$I$2</f>
        <v>0.00069</v>
      </c>
      <c r="I282" s="53" t="str">
        <f t="shared" ref="I282:I289" si="691">$I$3</f>
        <v>89</v>
      </c>
      <c r="J282" s="53" t="str">
        <f t="shared" ref="J282:J289" si="692">G282*H282*I282*F282</f>
        <v>0</v>
      </c>
      <c r="K282" s="155" t="str">
        <f t="shared" ref="K282:K289" si="693">J282*$J$4</f>
        <v>0.00</v>
      </c>
      <c r="L282" s="156" t="str">
        <f t="shared" ref="L282:L289" si="694">K282+J282</f>
        <v>0.00 </v>
      </c>
      <c r="M282" s="132">
        <v>90.0</v>
      </c>
      <c r="N282" s="157">
        <v>479.27</v>
      </c>
      <c r="O282" s="277">
        <v>522.4</v>
      </c>
      <c r="P282" s="277">
        <v>508.03</v>
      </c>
      <c r="Q282" s="175">
        <v>486.41</v>
      </c>
      <c r="R282" s="158">
        <v>1440.0</v>
      </c>
      <c r="S282" s="159" t="str">
        <f t="shared" ref="S282:S288" si="695">R282</f>
        <v>1,440.00</v>
      </c>
      <c r="T282" s="160">
        <v>1406.0</v>
      </c>
      <c r="U282" s="161">
        <v>0.26</v>
      </c>
      <c r="V282" s="162" t="str">
        <f t="shared" ref="V282:V289" si="696">R282-(R282*U282)</f>
        <v>1,065.60</v>
      </c>
      <c r="W282" s="163" t="str">
        <f t="shared" ref="W282:W289" si="697">$C$1</f>
        <v>60.00</v>
      </c>
      <c r="X282" s="164" t="str">
        <f t="shared" ref="X282:X289" si="698">(V282*7/107)+((V282-(V282*7/107))*1%)</f>
        <v>79.67</v>
      </c>
      <c r="Y282" s="165" t="str">
        <f t="shared" ref="Y282:Y289" si="699">Q282*$C$3*(M282/30)</f>
        <v>0.00</v>
      </c>
      <c r="Z282" s="166">
        <v>0.86</v>
      </c>
      <c r="AA282" s="167" t="str">
        <f t="shared" ref="AA282:AA289" si="700">((_xlfn.CEILING.MATH(Z282)-1)*$C$5+$C$4)</f>
        <v>76</v>
      </c>
      <c r="AB282" s="168" t="str">
        <f t="shared" ref="AB282:AB289" si="701">R282*$AB$6</f>
        <v>468.000</v>
      </c>
      <c r="AC282" s="168" t="str">
        <f t="shared" ref="AC282:AC289" si="702">V282*$AB$7</f>
        <v>37.935</v>
      </c>
      <c r="AD282" s="164" t="str">
        <f t="shared" ref="AD282:AD289" si="703">$AB$3*((100-AE282)/100)</f>
        <v>7.15</v>
      </c>
      <c r="AE282" s="164">
        <v>85.71</v>
      </c>
      <c r="AF282" s="164" t="str">
        <f t="shared" ref="AF282:AF289" si="704">$C$6*$C$7*_xlfn.CEILING.MATH(Z282)</f>
        <v>4.80</v>
      </c>
      <c r="AG282" s="165" t="str">
        <f t="shared" ref="AG282:AG289" si="705">R282*$C$2</f>
        <v>144.00</v>
      </c>
      <c r="AH282" s="23"/>
      <c r="AI282" s="278">
        <v>0.1</v>
      </c>
      <c r="AJ282" s="24" t="str">
        <f t="shared" ref="AJ282:AJ289" si="706">R282-W282-X282-Y282-AA282-AB282-AC282-AD282-AF282-AG282-Q282</f>
        <v>76.04</v>
      </c>
      <c r="AK282" s="279" t="str">
        <f t="shared" ref="AK282:AK289" si="707">AJ282/Q282</f>
        <v>15.63%</v>
      </c>
      <c r="AL282" s="280">
        <v>150.0</v>
      </c>
      <c r="AM282" s="281" t="str">
        <f t="shared" si="360"/>
        <v>11,405.79</v>
      </c>
      <c r="AN282" s="280">
        <v>223.0</v>
      </c>
      <c r="AO282" s="282">
        <v>5.85</v>
      </c>
      <c r="AP282" s="283">
        <v>224.04</v>
      </c>
      <c r="AQ282" s="283" t="str">
        <f t="shared" si="361"/>
        <v>49,960.92</v>
      </c>
      <c r="AR282" s="283">
        <v>44.55</v>
      </c>
      <c r="AS282" s="284">
        <v>120.0</v>
      </c>
      <c r="AT282" s="285" t="str">
        <f t="shared" si="235"/>
        <v>9,124.63</v>
      </c>
      <c r="AU282" s="284">
        <v>55.0</v>
      </c>
      <c r="AV282" s="286">
        <v>0.0066</v>
      </c>
      <c r="AW282" s="285">
        <v>10933.98</v>
      </c>
      <c r="AX282" s="284">
        <v>41.0</v>
      </c>
      <c r="AY282" s="26"/>
      <c r="AZ282" s="171" t="str">
        <f t="shared" ref="AZ282:AZ289" si="708">$AG$3</f>
        <v>0.00%</v>
      </c>
      <c r="BA282" s="172" t="str">
        <f t="shared" ref="BA282:BA289" si="709">Q282*AZ282</f>
        <v>0.00</v>
      </c>
      <c r="BB282" s="173" t="str">
        <f t="shared" ref="BB282:BB289" si="710">(Q282+W282+Y282+AA282+AD282+AF282+AI282+BA282)/(100%-($C$2+$C$8+$AB$6+$AB$7))</f>
        <v>1,381.05</v>
      </c>
      <c r="BC282" s="174" t="str">
        <f t="shared" ref="BC282:BC289" si="711">BB282-(BB282*$AG$1)</f>
        <v>980.55</v>
      </c>
    </row>
    <row r="283" ht="12.75" customHeight="1">
      <c r="A283" s="26"/>
      <c r="B283" s="190" t="s">
        <v>550</v>
      </c>
      <c r="C283" s="199">
        <v>2.26114831E8</v>
      </c>
      <c r="D283" s="152" t="s">
        <v>551</v>
      </c>
      <c r="E283" s="53" t="s">
        <v>372</v>
      </c>
      <c r="F283" s="154">
        <v>1.0</v>
      </c>
      <c r="G283" s="53"/>
      <c r="H283" s="53" t="str">
        <f t="shared" si="690"/>
        <v>0.00069</v>
      </c>
      <c r="I283" s="53" t="str">
        <f t="shared" si="691"/>
        <v>89</v>
      </c>
      <c r="J283" s="53" t="str">
        <f t="shared" si="692"/>
        <v>0</v>
      </c>
      <c r="K283" s="155" t="str">
        <f t="shared" si="693"/>
        <v>0.00</v>
      </c>
      <c r="L283" s="156" t="str">
        <f t="shared" si="694"/>
        <v>0.00 </v>
      </c>
      <c r="M283" s="132">
        <v>90.0</v>
      </c>
      <c r="N283" s="157">
        <v>479.27</v>
      </c>
      <c r="O283" s="277">
        <v>522.4</v>
      </c>
      <c r="P283" s="277">
        <v>508.03</v>
      </c>
      <c r="Q283" s="175">
        <v>498.54</v>
      </c>
      <c r="R283" s="158">
        <v>1455.0</v>
      </c>
      <c r="S283" s="159" t="str">
        <f t="shared" si="695"/>
        <v>1,455.00</v>
      </c>
      <c r="T283" s="160">
        <v>1425.0</v>
      </c>
      <c r="U283" s="161">
        <v>0.26</v>
      </c>
      <c r="V283" s="162" t="str">
        <f t="shared" si="696"/>
        <v>1,076.70</v>
      </c>
      <c r="W283" s="163" t="str">
        <f t="shared" si="697"/>
        <v>60.00</v>
      </c>
      <c r="X283" s="164" t="str">
        <f t="shared" si="698"/>
        <v>80.50</v>
      </c>
      <c r="Y283" s="165" t="str">
        <f t="shared" si="699"/>
        <v>0.00</v>
      </c>
      <c r="Z283" s="166">
        <v>0.86</v>
      </c>
      <c r="AA283" s="167" t="str">
        <f t="shared" si="700"/>
        <v>76</v>
      </c>
      <c r="AB283" s="168" t="str">
        <f t="shared" si="701"/>
        <v>472.875</v>
      </c>
      <c r="AC283" s="168" t="str">
        <f t="shared" si="702"/>
        <v>38.331</v>
      </c>
      <c r="AD283" s="164" t="str">
        <f t="shared" si="703"/>
        <v>2.95</v>
      </c>
      <c r="AE283" s="164">
        <v>94.1</v>
      </c>
      <c r="AF283" s="164" t="str">
        <f t="shared" si="704"/>
        <v>4.80</v>
      </c>
      <c r="AG283" s="165" t="str">
        <f t="shared" si="705"/>
        <v>145.50</v>
      </c>
      <c r="AH283" s="23"/>
      <c r="AI283" s="278">
        <v>0.1</v>
      </c>
      <c r="AJ283" s="24" t="str">
        <f t="shared" si="706"/>
        <v>75.50</v>
      </c>
      <c r="AK283" s="279" t="str">
        <f t="shared" si="707"/>
        <v>15.14%</v>
      </c>
      <c r="AL283" s="280">
        <v>150.0</v>
      </c>
      <c r="AM283" s="281" t="str">
        <f t="shared" si="360"/>
        <v>11,325.53</v>
      </c>
      <c r="AN283" s="280">
        <v>2.0</v>
      </c>
      <c r="AO283" s="282"/>
      <c r="AP283" s="283">
        <v>279.12</v>
      </c>
      <c r="AQ283" s="283" t="str">
        <f t="shared" si="361"/>
        <v>558.24</v>
      </c>
      <c r="AR283" s="283">
        <v>56.54</v>
      </c>
      <c r="AS283" s="284">
        <v>120.0</v>
      </c>
      <c r="AT283" s="285" t="str">
        <f t="shared" si="235"/>
        <v>9,060.43</v>
      </c>
      <c r="AU283" s="284">
        <v>28.0</v>
      </c>
      <c r="AV283" s="286">
        <v>0.0025</v>
      </c>
      <c r="AW283" s="285">
        <v>6307.15</v>
      </c>
      <c r="AX283" s="284">
        <v>45.18</v>
      </c>
      <c r="AY283" s="26"/>
      <c r="AZ283" s="171" t="str">
        <f t="shared" si="708"/>
        <v>0.00%</v>
      </c>
      <c r="BA283" s="172" t="str">
        <f t="shared" si="709"/>
        <v>0.00</v>
      </c>
      <c r="BB283" s="173" t="str">
        <f t="shared" si="710"/>
        <v>1,398.32</v>
      </c>
      <c r="BC283" s="174" t="str">
        <f t="shared" si="711"/>
        <v>992.81</v>
      </c>
    </row>
    <row r="284" ht="12.75" customHeight="1">
      <c r="A284" s="26"/>
      <c r="B284" s="190" t="s">
        <v>552</v>
      </c>
      <c r="C284" s="199">
        <v>2.26115478E8</v>
      </c>
      <c r="D284" s="152" t="s">
        <v>553</v>
      </c>
      <c r="E284" s="53" t="s">
        <v>372</v>
      </c>
      <c r="F284" s="154">
        <v>1.0</v>
      </c>
      <c r="G284" s="53"/>
      <c r="H284" s="53" t="str">
        <f t="shared" si="690"/>
        <v>0.00069</v>
      </c>
      <c r="I284" s="53" t="str">
        <f t="shared" si="691"/>
        <v>89</v>
      </c>
      <c r="J284" s="53" t="str">
        <f t="shared" si="692"/>
        <v>0</v>
      </c>
      <c r="K284" s="155" t="str">
        <f t="shared" si="693"/>
        <v>0.00</v>
      </c>
      <c r="L284" s="156" t="str">
        <f t="shared" si="694"/>
        <v>0.00 </v>
      </c>
      <c r="M284" s="132">
        <v>90.0</v>
      </c>
      <c r="N284" s="157">
        <v>457.75</v>
      </c>
      <c r="O284" s="277">
        <v>498.95</v>
      </c>
      <c r="P284" s="277">
        <v>485.22</v>
      </c>
      <c r="Q284" s="175">
        <v>478.05</v>
      </c>
      <c r="R284" s="158">
        <v>1410.0</v>
      </c>
      <c r="S284" s="159" t="str">
        <f t="shared" si="695"/>
        <v>1,410.00</v>
      </c>
      <c r="T284" s="160">
        <v>1400.0</v>
      </c>
      <c r="U284" s="161">
        <v>0.26</v>
      </c>
      <c r="V284" s="162" t="str">
        <f t="shared" si="696"/>
        <v>1,043.40</v>
      </c>
      <c r="W284" s="163" t="str">
        <f t="shared" si="697"/>
        <v>60.00</v>
      </c>
      <c r="X284" s="164" t="str">
        <f t="shared" si="698"/>
        <v>78.01</v>
      </c>
      <c r="Y284" s="165" t="str">
        <f t="shared" si="699"/>
        <v>0.00</v>
      </c>
      <c r="Z284" s="166">
        <v>0.86</v>
      </c>
      <c r="AA284" s="167" t="str">
        <f t="shared" si="700"/>
        <v>76</v>
      </c>
      <c r="AB284" s="168" t="str">
        <f t="shared" si="701"/>
        <v>458.250</v>
      </c>
      <c r="AC284" s="168" t="str">
        <f t="shared" si="702"/>
        <v>37.145</v>
      </c>
      <c r="AD284" s="164" t="str">
        <f t="shared" si="703"/>
        <v>0.85</v>
      </c>
      <c r="AE284" s="164">
        <v>98.29</v>
      </c>
      <c r="AF284" s="164" t="str">
        <f t="shared" si="704"/>
        <v>4.80</v>
      </c>
      <c r="AG284" s="165" t="str">
        <f t="shared" si="705"/>
        <v>141.00</v>
      </c>
      <c r="AH284" s="23"/>
      <c r="AI284" s="278">
        <v>0.1</v>
      </c>
      <c r="AJ284" s="24" t="str">
        <f t="shared" si="706"/>
        <v>75.89</v>
      </c>
      <c r="AK284" s="279" t="str">
        <f t="shared" si="707"/>
        <v>15.87%</v>
      </c>
      <c r="AL284" s="280">
        <v>80.0</v>
      </c>
      <c r="AM284" s="281" t="str">
        <f t="shared" si="360"/>
        <v>6,071.10</v>
      </c>
      <c r="AN284" s="280">
        <v>14.0</v>
      </c>
      <c r="AO284" s="282">
        <v>1.81</v>
      </c>
      <c r="AP284" s="283">
        <v>252.0</v>
      </c>
      <c r="AQ284" s="283" t="str">
        <f t="shared" si="361"/>
        <v>3,528.00</v>
      </c>
      <c r="AR284" s="283">
        <v>54.58</v>
      </c>
      <c r="AS284" s="284">
        <v>50.0</v>
      </c>
      <c r="AT284" s="285" t="str">
        <f t="shared" si="235"/>
        <v>3,794.44</v>
      </c>
      <c r="AU284" s="284">
        <v>29.0</v>
      </c>
      <c r="AV284" s="286">
        <v>0.0176</v>
      </c>
      <c r="AW284" s="285">
        <v>5940.74</v>
      </c>
      <c r="AX284" s="284">
        <v>42.85</v>
      </c>
      <c r="AY284" s="26"/>
      <c r="AZ284" s="171" t="str">
        <f t="shared" si="708"/>
        <v>0.00%</v>
      </c>
      <c r="BA284" s="172" t="str">
        <f t="shared" si="709"/>
        <v>0.00</v>
      </c>
      <c r="BB284" s="173" t="str">
        <f t="shared" si="710"/>
        <v>1,349.16</v>
      </c>
      <c r="BC284" s="174" t="str">
        <f t="shared" si="711"/>
        <v>957.90</v>
      </c>
    </row>
    <row r="285" ht="12.75" customHeight="1">
      <c r="A285" s="26"/>
      <c r="B285" s="190" t="s">
        <v>554</v>
      </c>
      <c r="C285" s="199">
        <v>2.26115248E8</v>
      </c>
      <c r="D285" s="152" t="s">
        <v>555</v>
      </c>
      <c r="E285" s="53" t="s">
        <v>372</v>
      </c>
      <c r="F285" s="154">
        <v>1.0</v>
      </c>
      <c r="G285" s="53"/>
      <c r="H285" s="53" t="str">
        <f t="shared" si="690"/>
        <v>0.00069</v>
      </c>
      <c r="I285" s="53" t="str">
        <f t="shared" si="691"/>
        <v>89</v>
      </c>
      <c r="J285" s="53" t="str">
        <f t="shared" si="692"/>
        <v>0</v>
      </c>
      <c r="K285" s="155" t="str">
        <f t="shared" si="693"/>
        <v>0.00</v>
      </c>
      <c r="L285" s="156" t="str">
        <f t="shared" si="694"/>
        <v>0.00 </v>
      </c>
      <c r="M285" s="132">
        <v>90.0</v>
      </c>
      <c r="N285" s="157">
        <v>479.27</v>
      </c>
      <c r="O285" s="277">
        <v>522.4</v>
      </c>
      <c r="P285" s="277">
        <v>508.03</v>
      </c>
      <c r="Q285" s="175">
        <v>496.86</v>
      </c>
      <c r="R285" s="158">
        <v>1363.8</v>
      </c>
      <c r="S285" s="159" t="str">
        <f t="shared" si="695"/>
        <v>1,363.80</v>
      </c>
      <c r="T285" s="160">
        <v>1346.0</v>
      </c>
      <c r="U285" s="161">
        <v>0.26</v>
      </c>
      <c r="V285" s="162" t="str">
        <f t="shared" si="696"/>
        <v>1,009.21</v>
      </c>
      <c r="W285" s="163" t="str">
        <f t="shared" si="697"/>
        <v>60.00</v>
      </c>
      <c r="X285" s="164" t="str">
        <f t="shared" si="698"/>
        <v>75.46</v>
      </c>
      <c r="Y285" s="165" t="str">
        <f t="shared" si="699"/>
        <v>0.00</v>
      </c>
      <c r="Z285" s="166">
        <v>0.86</v>
      </c>
      <c r="AA285" s="167" t="str">
        <f t="shared" si="700"/>
        <v>76</v>
      </c>
      <c r="AB285" s="168" t="str">
        <f t="shared" si="701"/>
        <v>443.235</v>
      </c>
      <c r="AC285" s="168" t="str">
        <f t="shared" si="702"/>
        <v>35.928</v>
      </c>
      <c r="AD285" s="164" t="str">
        <f t="shared" si="703"/>
        <v>2.32</v>
      </c>
      <c r="AE285" s="164">
        <v>95.36</v>
      </c>
      <c r="AF285" s="164" t="str">
        <f t="shared" si="704"/>
        <v>4.80</v>
      </c>
      <c r="AG285" s="165" t="str">
        <f t="shared" si="705"/>
        <v>136.38</v>
      </c>
      <c r="AH285" s="23"/>
      <c r="AI285" s="278">
        <v>0.1</v>
      </c>
      <c r="AJ285" s="24" t="str">
        <f t="shared" si="706"/>
        <v>32.82</v>
      </c>
      <c r="AK285" s="279" t="str">
        <f t="shared" si="707"/>
        <v>6.61%</v>
      </c>
      <c r="AL285" s="280">
        <v>150.0</v>
      </c>
      <c r="AM285" s="281" t="str">
        <f t="shared" si="360"/>
        <v>4,923.29</v>
      </c>
      <c r="AN285" s="280">
        <v>2.0</v>
      </c>
      <c r="AO285" s="282"/>
      <c r="AP285" s="283">
        <v>193.6</v>
      </c>
      <c r="AQ285" s="283" t="str">
        <f t="shared" si="361"/>
        <v>387.20</v>
      </c>
      <c r="AR285" s="283">
        <v>39.22</v>
      </c>
      <c r="AS285" s="284">
        <v>120.0</v>
      </c>
      <c r="AT285" s="285" t="str">
        <f t="shared" si="235"/>
        <v>3,938.63</v>
      </c>
      <c r="AU285" s="284">
        <v>28.0</v>
      </c>
      <c r="AV285" s="286">
        <v>0.0186</v>
      </c>
      <c r="AW285" s="285">
        <v>4451.27</v>
      </c>
      <c r="AX285" s="284">
        <v>32.0</v>
      </c>
      <c r="AY285" s="26"/>
      <c r="AZ285" s="171" t="str">
        <f t="shared" si="708"/>
        <v>0.00%</v>
      </c>
      <c r="BA285" s="172" t="str">
        <f t="shared" si="709"/>
        <v>0.00</v>
      </c>
      <c r="BB285" s="173" t="str">
        <f t="shared" si="710"/>
        <v>1,393.30</v>
      </c>
      <c r="BC285" s="174" t="str">
        <f t="shared" si="711"/>
        <v>989.24</v>
      </c>
    </row>
    <row r="286" ht="12.75" customHeight="1">
      <c r="A286" s="26"/>
      <c r="B286" s="190" t="s">
        <v>556</v>
      </c>
      <c r="C286" s="199">
        <v>2.26117746E8</v>
      </c>
      <c r="D286" s="152" t="s">
        <v>557</v>
      </c>
      <c r="E286" s="53" t="s">
        <v>372</v>
      </c>
      <c r="F286" s="154">
        <v>1.0</v>
      </c>
      <c r="G286" s="53"/>
      <c r="H286" s="53" t="str">
        <f t="shared" si="690"/>
        <v>0.00069</v>
      </c>
      <c r="I286" s="53" t="str">
        <f t="shared" si="691"/>
        <v>89</v>
      </c>
      <c r="J286" s="53" t="str">
        <f t="shared" si="692"/>
        <v>0</v>
      </c>
      <c r="K286" s="155" t="str">
        <f t="shared" si="693"/>
        <v>0.00</v>
      </c>
      <c r="L286" s="156" t="str">
        <f t="shared" si="694"/>
        <v>0.00 </v>
      </c>
      <c r="M286" s="132">
        <v>90.0</v>
      </c>
      <c r="N286" s="157">
        <v>479.27</v>
      </c>
      <c r="O286" s="277">
        <v>522.4</v>
      </c>
      <c r="P286" s="277">
        <v>508.03</v>
      </c>
      <c r="Q286" s="175">
        <v>497.34</v>
      </c>
      <c r="R286" s="158">
        <v>1318.34</v>
      </c>
      <c r="S286" s="159" t="str">
        <f t="shared" si="695"/>
        <v>1,318.34</v>
      </c>
      <c r="T286" s="160">
        <v>1283.0</v>
      </c>
      <c r="U286" s="161">
        <v>0.26</v>
      </c>
      <c r="V286" s="162" t="str">
        <f t="shared" si="696"/>
        <v>975.57</v>
      </c>
      <c r="W286" s="163" t="str">
        <f t="shared" si="697"/>
        <v>60.00</v>
      </c>
      <c r="X286" s="164" t="str">
        <f t="shared" si="698"/>
        <v>72.94</v>
      </c>
      <c r="Y286" s="165" t="str">
        <f t="shared" si="699"/>
        <v>0.00</v>
      </c>
      <c r="Z286" s="166">
        <v>0.86</v>
      </c>
      <c r="AA286" s="167" t="str">
        <f t="shared" si="700"/>
        <v>76</v>
      </c>
      <c r="AB286" s="168" t="str">
        <f t="shared" si="701"/>
        <v>428.461</v>
      </c>
      <c r="AC286" s="168" t="str">
        <f t="shared" si="702"/>
        <v>34.730</v>
      </c>
      <c r="AD286" s="164" t="str">
        <f t="shared" si="703"/>
        <v>3.34</v>
      </c>
      <c r="AE286" s="164">
        <v>93.33</v>
      </c>
      <c r="AF286" s="164" t="str">
        <f t="shared" si="704"/>
        <v>4.80</v>
      </c>
      <c r="AG286" s="165" t="str">
        <f t="shared" si="705"/>
        <v>131.83</v>
      </c>
      <c r="AH286" s="23"/>
      <c r="AI286" s="278">
        <v>0.1</v>
      </c>
      <c r="AJ286" s="24" t="str">
        <f t="shared" si="706"/>
        <v>8.90</v>
      </c>
      <c r="AK286" s="279" t="str">
        <f t="shared" si="707"/>
        <v>1.79%</v>
      </c>
      <c r="AL286" s="280">
        <v>80.0</v>
      </c>
      <c r="AM286" s="281" t="str">
        <f t="shared" si="360"/>
        <v>712.02</v>
      </c>
      <c r="AN286" s="280">
        <v>114.0</v>
      </c>
      <c r="AO286" s="282"/>
      <c r="AP286" s="283">
        <v>202.3</v>
      </c>
      <c r="AQ286" s="283" t="str">
        <f t="shared" si="361"/>
        <v>23,062.20</v>
      </c>
      <c r="AR286" s="283">
        <v>40.05</v>
      </c>
      <c r="AS286" s="284">
        <v>50.0</v>
      </c>
      <c r="AT286" s="285" t="str">
        <f t="shared" si="235"/>
        <v>445.01</v>
      </c>
      <c r="AU286" s="284">
        <v>56.0</v>
      </c>
      <c r="AV286" s="286">
        <v>0.0</v>
      </c>
      <c r="AW286" s="285">
        <v>9750.13</v>
      </c>
      <c r="AX286" s="284">
        <v>35.08</v>
      </c>
      <c r="AY286" s="26"/>
      <c r="AZ286" s="171" t="str">
        <f t="shared" si="708"/>
        <v>0.00%</v>
      </c>
      <c r="BA286" s="172" t="str">
        <f t="shared" si="709"/>
        <v>0.00</v>
      </c>
      <c r="BB286" s="173" t="str">
        <f t="shared" si="710"/>
        <v>1,396.55</v>
      </c>
      <c r="BC286" s="174" t="str">
        <f t="shared" si="711"/>
        <v>991.55</v>
      </c>
    </row>
    <row r="287" ht="12.75" customHeight="1">
      <c r="A287" s="26"/>
      <c r="B287" s="190" t="s">
        <v>558</v>
      </c>
      <c r="C287" s="199">
        <v>2.26114935E8</v>
      </c>
      <c r="D287" s="152" t="s">
        <v>559</v>
      </c>
      <c r="E287" s="53" t="s">
        <v>372</v>
      </c>
      <c r="F287" s="154">
        <v>1.0</v>
      </c>
      <c r="G287" s="53"/>
      <c r="H287" s="53" t="str">
        <f t="shared" si="690"/>
        <v>0.00069</v>
      </c>
      <c r="I287" s="53" t="str">
        <f t="shared" si="691"/>
        <v>89</v>
      </c>
      <c r="J287" s="53" t="str">
        <f t="shared" si="692"/>
        <v>0</v>
      </c>
      <c r="K287" s="155" t="str">
        <f t="shared" si="693"/>
        <v>0.00</v>
      </c>
      <c r="L287" s="156" t="str">
        <f t="shared" si="694"/>
        <v>0.00 </v>
      </c>
      <c r="M287" s="132">
        <v>90.0</v>
      </c>
      <c r="N287" s="157">
        <v>507.16</v>
      </c>
      <c r="O287" s="277">
        <v>552.8</v>
      </c>
      <c r="P287" s="277">
        <v>537.59</v>
      </c>
      <c r="Q287" s="157">
        <v>507.16</v>
      </c>
      <c r="R287" s="158">
        <v>1425.0</v>
      </c>
      <c r="S287" s="159" t="str">
        <f t="shared" si="695"/>
        <v>1,425.00</v>
      </c>
      <c r="T287" s="160">
        <v>1407.0</v>
      </c>
      <c r="U287" s="161">
        <v>0.26</v>
      </c>
      <c r="V287" s="162" t="str">
        <f t="shared" si="696"/>
        <v>1,054.50</v>
      </c>
      <c r="W287" s="163" t="str">
        <f t="shared" si="697"/>
        <v>60.00</v>
      </c>
      <c r="X287" s="164" t="str">
        <f t="shared" si="698"/>
        <v>78.84</v>
      </c>
      <c r="Y287" s="165" t="str">
        <f t="shared" si="699"/>
        <v>0.00</v>
      </c>
      <c r="Z287" s="166">
        <v>0.86</v>
      </c>
      <c r="AA287" s="167" t="str">
        <f t="shared" si="700"/>
        <v>76</v>
      </c>
      <c r="AB287" s="168" t="str">
        <f t="shared" si="701"/>
        <v>463.125</v>
      </c>
      <c r="AC287" s="168" t="str">
        <f t="shared" si="702"/>
        <v>37.540</v>
      </c>
      <c r="AD287" s="164" t="str">
        <f t="shared" si="703"/>
        <v>1.94</v>
      </c>
      <c r="AE287" s="164">
        <v>96.12</v>
      </c>
      <c r="AF287" s="164" t="str">
        <f t="shared" si="704"/>
        <v>4.80</v>
      </c>
      <c r="AG287" s="165" t="str">
        <f t="shared" si="705"/>
        <v>142.50</v>
      </c>
      <c r="AH287" s="23"/>
      <c r="AI287" s="278">
        <v>0.1</v>
      </c>
      <c r="AJ287" s="24" t="str">
        <f t="shared" si="706"/>
        <v>53.09</v>
      </c>
      <c r="AK287" s="279" t="str">
        <f t="shared" si="707"/>
        <v>10.47%</v>
      </c>
      <c r="AL287" s="280">
        <v>80.0</v>
      </c>
      <c r="AM287" s="281" t="str">
        <f t="shared" si="360"/>
        <v>4,247.49</v>
      </c>
      <c r="AN287" s="280">
        <v>133.0</v>
      </c>
      <c r="AO287" s="282">
        <v>6.05</v>
      </c>
      <c r="AP287" s="283">
        <v>211.9</v>
      </c>
      <c r="AQ287" s="283" t="str">
        <f t="shared" si="361"/>
        <v>28,182.70</v>
      </c>
      <c r="AR287" s="283">
        <v>39.96</v>
      </c>
      <c r="AS287" s="284">
        <v>50.0</v>
      </c>
      <c r="AT287" s="285" t="str">
        <f t="shared" si="235"/>
        <v>2,654.68</v>
      </c>
      <c r="AU287" s="284">
        <v>32.0</v>
      </c>
      <c r="AV287" s="286">
        <v>0.0139</v>
      </c>
      <c r="AW287" s="285">
        <v>6821.07</v>
      </c>
      <c r="AX287" s="284">
        <v>43.39</v>
      </c>
      <c r="AY287" s="26"/>
      <c r="AZ287" s="171" t="str">
        <f t="shared" si="708"/>
        <v>0.00%</v>
      </c>
      <c r="BA287" s="172" t="str">
        <f t="shared" si="709"/>
        <v>0.00</v>
      </c>
      <c r="BB287" s="173" t="str">
        <f t="shared" si="710"/>
        <v>1,414.89</v>
      </c>
      <c r="BC287" s="174" t="str">
        <f t="shared" si="711"/>
        <v>1,004.57</v>
      </c>
    </row>
    <row r="288" ht="12.75" customHeight="1">
      <c r="A288" s="26"/>
      <c r="B288" s="190" t="s">
        <v>560</v>
      </c>
      <c r="C288" s="199">
        <v>2.26115141E8</v>
      </c>
      <c r="D288" s="152" t="s">
        <v>561</v>
      </c>
      <c r="E288" s="53" t="s">
        <v>372</v>
      </c>
      <c r="F288" s="154">
        <v>1.0</v>
      </c>
      <c r="G288" s="53"/>
      <c r="H288" s="53" t="str">
        <f t="shared" si="690"/>
        <v>0.00069</v>
      </c>
      <c r="I288" s="53" t="str">
        <f t="shared" si="691"/>
        <v>89</v>
      </c>
      <c r="J288" s="53" t="str">
        <f t="shared" si="692"/>
        <v>0</v>
      </c>
      <c r="K288" s="155" t="str">
        <f t="shared" si="693"/>
        <v>0.00</v>
      </c>
      <c r="L288" s="156" t="str">
        <f t="shared" si="694"/>
        <v>0.00 </v>
      </c>
      <c r="M288" s="132">
        <v>90.0</v>
      </c>
      <c r="N288" s="175">
        <v>457.75</v>
      </c>
      <c r="O288" s="277">
        <v>498.75</v>
      </c>
      <c r="P288" s="277">
        <v>485.22</v>
      </c>
      <c r="Q288" s="175">
        <v>478.17</v>
      </c>
      <c r="R288" s="158">
        <v>1410.0</v>
      </c>
      <c r="S288" s="159" t="str">
        <f t="shared" si="695"/>
        <v>1,410.00</v>
      </c>
      <c r="T288" s="160">
        <v>1450.0</v>
      </c>
      <c r="U288" s="161">
        <v>0.26</v>
      </c>
      <c r="V288" s="162" t="str">
        <f t="shared" si="696"/>
        <v>1,043.40</v>
      </c>
      <c r="W288" s="163" t="str">
        <f t="shared" si="697"/>
        <v>60.00</v>
      </c>
      <c r="X288" s="164" t="str">
        <f t="shared" si="698"/>
        <v>78.01</v>
      </c>
      <c r="Y288" s="165" t="str">
        <f t="shared" si="699"/>
        <v>0.00</v>
      </c>
      <c r="Z288" s="166">
        <v>0.86</v>
      </c>
      <c r="AA288" s="167" t="str">
        <f t="shared" si="700"/>
        <v>76</v>
      </c>
      <c r="AB288" s="168" t="str">
        <f t="shared" si="701"/>
        <v>458.250</v>
      </c>
      <c r="AC288" s="168" t="str">
        <f t="shared" si="702"/>
        <v>37.145</v>
      </c>
      <c r="AD288" s="164" t="str">
        <f t="shared" si="703"/>
        <v>0.54</v>
      </c>
      <c r="AE288" s="164">
        <v>98.92</v>
      </c>
      <c r="AF288" s="164" t="str">
        <f t="shared" si="704"/>
        <v>4.80</v>
      </c>
      <c r="AG288" s="165" t="str">
        <f t="shared" si="705"/>
        <v>141.00</v>
      </c>
      <c r="AH288" s="23"/>
      <c r="AI288" s="278">
        <v>0.1</v>
      </c>
      <c r="AJ288" s="24" t="str">
        <f t="shared" si="706"/>
        <v>76.08</v>
      </c>
      <c r="AK288" s="279" t="str">
        <f t="shared" si="707"/>
        <v>15.91%</v>
      </c>
      <c r="AL288" s="280"/>
      <c r="AM288" s="281" t="str">
        <f t="shared" si="360"/>
        <v>0.00</v>
      </c>
      <c r="AN288" s="280"/>
      <c r="AO288" s="282">
        <v>24.65</v>
      </c>
      <c r="AP288" s="283">
        <v>172.02</v>
      </c>
      <c r="AQ288" s="283" t="str">
        <f t="shared" si="361"/>
        <v>0.00</v>
      </c>
      <c r="AR288" s="283">
        <v>35.83</v>
      </c>
      <c r="AS288" s="284">
        <v>50.0</v>
      </c>
      <c r="AT288" s="285" t="str">
        <f t="shared" si="235"/>
        <v>3,804.19</v>
      </c>
      <c r="AU288" s="284">
        <v>87.0</v>
      </c>
      <c r="AV288" s="286">
        <v>0.0984</v>
      </c>
      <c r="AW288" s="285">
        <v>10039.46</v>
      </c>
      <c r="AX288" s="284">
        <v>24.34</v>
      </c>
      <c r="AY288" s="26"/>
      <c r="AZ288" s="171" t="str">
        <f t="shared" si="708"/>
        <v>0.00%</v>
      </c>
      <c r="BA288" s="172" t="str">
        <f t="shared" si="709"/>
        <v>0.00</v>
      </c>
      <c r="BB288" s="173" t="str">
        <f t="shared" si="710"/>
        <v>1,348.74</v>
      </c>
      <c r="BC288" s="174" t="str">
        <f t="shared" si="711"/>
        <v>957.60</v>
      </c>
    </row>
    <row r="289" ht="12.75" hidden="1" customHeight="1">
      <c r="A289" s="26"/>
      <c r="B289" s="190" t="s">
        <v>548</v>
      </c>
      <c r="C289" s="224">
        <v>2.55574854E8</v>
      </c>
      <c r="D289" s="225" t="s">
        <v>562</v>
      </c>
      <c r="E289" s="53" t="s">
        <v>372</v>
      </c>
      <c r="F289" s="154">
        <v>1.0</v>
      </c>
      <c r="G289" s="53"/>
      <c r="H289" s="53" t="str">
        <f t="shared" si="690"/>
        <v>0.00069</v>
      </c>
      <c r="I289" s="53" t="str">
        <f t="shared" si="691"/>
        <v>89</v>
      </c>
      <c r="J289" s="53" t="str">
        <f t="shared" si="692"/>
        <v>0</v>
      </c>
      <c r="K289" s="155" t="str">
        <f t="shared" si="693"/>
        <v>0.00</v>
      </c>
      <c r="L289" s="156" t="str">
        <f t="shared" si="694"/>
        <v>0.00 </v>
      </c>
      <c r="M289" s="132">
        <v>90.0</v>
      </c>
      <c r="N289" s="157">
        <v>520.26</v>
      </c>
      <c r="O289" s="277">
        <v>567.08</v>
      </c>
      <c r="P289" s="277">
        <v>551.48</v>
      </c>
      <c r="Q289" s="157">
        <v>520.26</v>
      </c>
      <c r="R289" s="158">
        <v>1600.0</v>
      </c>
      <c r="S289" s="159" t="str">
        <f>BB289</f>
        <v>1,490.99</v>
      </c>
      <c r="T289" s="160"/>
      <c r="U289" s="161">
        <v>0.33</v>
      </c>
      <c r="V289" s="162" t="str">
        <f t="shared" si="696"/>
        <v>1,072.00</v>
      </c>
      <c r="W289" s="163" t="str">
        <f t="shared" si="697"/>
        <v>60.00</v>
      </c>
      <c r="X289" s="164" t="str">
        <f t="shared" si="698"/>
        <v>80.15</v>
      </c>
      <c r="Y289" s="165" t="str">
        <f t="shared" si="699"/>
        <v>0.00</v>
      </c>
      <c r="Z289" s="166">
        <v>1.15</v>
      </c>
      <c r="AA289" s="167" t="str">
        <f t="shared" si="700"/>
        <v>95</v>
      </c>
      <c r="AB289" s="168" t="str">
        <f t="shared" si="701"/>
        <v>520.000</v>
      </c>
      <c r="AC289" s="168" t="str">
        <f t="shared" si="702"/>
        <v>38.163</v>
      </c>
      <c r="AD289" s="164" t="str">
        <f t="shared" si="703"/>
        <v>0.00</v>
      </c>
      <c r="AE289" s="164">
        <v>100.0</v>
      </c>
      <c r="AF289" s="164" t="str">
        <f t="shared" si="704"/>
        <v>9.60</v>
      </c>
      <c r="AG289" s="165" t="str">
        <f t="shared" si="705"/>
        <v>160.00</v>
      </c>
      <c r="AH289" s="23"/>
      <c r="AI289" s="278">
        <v>0.1</v>
      </c>
      <c r="AJ289" s="24" t="str">
        <f t="shared" si="706"/>
        <v>116.83</v>
      </c>
      <c r="AK289" s="279" t="str">
        <f t="shared" si="707"/>
        <v>22.46%</v>
      </c>
      <c r="AL289" s="280"/>
      <c r="AM289" s="281" t="str">
        <f t="shared" si="360"/>
        <v>0.00</v>
      </c>
      <c r="AN289" s="280"/>
      <c r="AO289" s="282"/>
      <c r="AP289" s="283"/>
      <c r="AQ289" s="283" t="str">
        <f t="shared" si="361"/>
        <v>0.00</v>
      </c>
      <c r="AR289" s="283"/>
      <c r="AS289" s="284"/>
      <c r="AT289" s="285" t="str">
        <f t="shared" si="235"/>
        <v>0.00</v>
      </c>
      <c r="AU289" s="284"/>
      <c r="AV289" s="286"/>
      <c r="AW289" s="285"/>
      <c r="AX289" s="284"/>
      <c r="AY289" s="26"/>
      <c r="AZ289" s="171" t="str">
        <f t="shared" si="708"/>
        <v>0.00%</v>
      </c>
      <c r="BA289" s="172" t="str">
        <f t="shared" si="709"/>
        <v>0.00</v>
      </c>
      <c r="BB289" s="173" t="str">
        <f t="shared" si="710"/>
        <v>1,490.99</v>
      </c>
      <c r="BC289" s="174" t="str">
        <f t="shared" si="711"/>
        <v>1,058.60</v>
      </c>
    </row>
    <row r="290" ht="12.75" customHeight="1">
      <c r="A290" s="26"/>
      <c r="B290" s="125" t="s">
        <v>563</v>
      </c>
      <c r="C290" s="126"/>
      <c r="D290" s="127"/>
      <c r="E290" s="128"/>
      <c r="F290" s="128"/>
      <c r="G290" s="128"/>
      <c r="H290" s="197"/>
      <c r="I290" s="197"/>
      <c r="J290" s="128"/>
      <c r="K290" s="130"/>
      <c r="L290" s="131"/>
      <c r="M290" s="132"/>
      <c r="N290" s="176"/>
      <c r="O290" s="133"/>
      <c r="P290" s="133"/>
      <c r="Q290" s="176"/>
      <c r="R290" s="134"/>
      <c r="S290" s="135"/>
      <c r="T290" s="135"/>
      <c r="U290" s="136"/>
      <c r="V290" s="137"/>
      <c r="W290" s="177"/>
      <c r="X290" s="178"/>
      <c r="Y290" s="179"/>
      <c r="Z290" s="180"/>
      <c r="AA290" s="181"/>
      <c r="AB290" s="182"/>
      <c r="AC290" s="182"/>
      <c r="AD290" s="178"/>
      <c r="AE290" s="178"/>
      <c r="AF290" s="178"/>
      <c r="AG290" s="179"/>
      <c r="AH290" s="183"/>
      <c r="AI290" s="271"/>
      <c r="AJ290" s="287"/>
      <c r="AK290" s="288"/>
      <c r="AL290" s="280"/>
      <c r="AM290" s="281" t="str">
        <f t="shared" si="360"/>
        <v>0.00</v>
      </c>
      <c r="AN290" s="280"/>
      <c r="AO290" s="282"/>
      <c r="AP290" s="283"/>
      <c r="AQ290" s="283" t="str">
        <f t="shared" si="361"/>
        <v>0.00</v>
      </c>
      <c r="AR290" s="283"/>
      <c r="AS290" s="284"/>
      <c r="AT290" s="285" t="str">
        <f t="shared" si="235"/>
        <v>0.00</v>
      </c>
      <c r="AU290" s="284"/>
      <c r="AV290" s="286"/>
      <c r="AW290" s="285"/>
      <c r="AX290" s="284"/>
      <c r="AY290" s="26"/>
      <c r="AZ290" s="186"/>
      <c r="BA290" s="187"/>
      <c r="BB290" s="188"/>
      <c r="BC290" s="189"/>
    </row>
    <row r="291" ht="12.75" customHeight="1">
      <c r="A291" s="26"/>
      <c r="B291" s="190"/>
      <c r="C291" s="199">
        <v>4.37154709E8</v>
      </c>
      <c r="D291" s="152" t="s">
        <v>564</v>
      </c>
      <c r="E291" s="53" t="s">
        <v>77</v>
      </c>
      <c r="F291" s="154">
        <v>1.0</v>
      </c>
      <c r="G291" s="53"/>
      <c r="H291" s="53" t="str">
        <f t="shared" ref="H291:H301" si="712">$I$2</f>
        <v>0.00069</v>
      </c>
      <c r="I291" s="53" t="str">
        <f t="shared" ref="I291:I301" si="713">$I$3</f>
        <v>89</v>
      </c>
      <c r="J291" s="53" t="str">
        <f t="shared" ref="J291:J301" si="714">G291*H291*I291*F291</f>
        <v>0</v>
      </c>
      <c r="K291" s="155" t="str">
        <f t="shared" ref="K291:K301" si="715">J291*$J$4</f>
        <v>0.00</v>
      </c>
      <c r="L291" s="156" t="str">
        <f t="shared" ref="L291:L301" si="716">K291+J291</f>
        <v>0.00 </v>
      </c>
      <c r="M291" s="132">
        <v>90.0</v>
      </c>
      <c r="N291" s="175">
        <v>463.19</v>
      </c>
      <c r="O291" s="277">
        <v>504.88</v>
      </c>
      <c r="P291" s="277">
        <v>490.98</v>
      </c>
      <c r="Q291" s="175">
        <v>463.19</v>
      </c>
      <c r="R291" s="158">
        <v>1485.0</v>
      </c>
      <c r="S291" s="159">
        <v>1485.0</v>
      </c>
      <c r="T291" s="160">
        <v>1372.0</v>
      </c>
      <c r="U291" s="161">
        <v>0.26</v>
      </c>
      <c r="V291" s="162" t="str">
        <f t="shared" ref="V291:V301" si="717">R291-(R291*U291)</f>
        <v>1,098.90</v>
      </c>
      <c r="W291" s="163" t="str">
        <f t="shared" ref="W291:W301" si="718">$C$1</f>
        <v>60.00</v>
      </c>
      <c r="X291" s="164" t="str">
        <f t="shared" ref="X291:X301" si="719">(V291*7/107)+((V291-(V291*7/107))*1%)</f>
        <v>82.16</v>
      </c>
      <c r="Y291" s="165" t="str">
        <f t="shared" ref="Y291:Y301" si="720">Q291*$C$3*(M291/30)</f>
        <v>0.00</v>
      </c>
      <c r="Z291" s="166">
        <v>0.73</v>
      </c>
      <c r="AA291" s="167" t="str">
        <f>((_xlfn.CEILING.MATH(Z291)-1)*$C$5+$C$4)</f>
        <v>76</v>
      </c>
      <c r="AB291" s="168" t="str">
        <f t="shared" ref="AB291:AB301" si="721">R291*$AB$6</f>
        <v>482.625</v>
      </c>
      <c r="AC291" s="168" t="str">
        <f t="shared" ref="AC291:AC301" si="722">V291*$AB$7</f>
        <v>39.121</v>
      </c>
      <c r="AD291" s="164" t="str">
        <f t="shared" ref="AD291:AD301" si="723">$AB$3*((100-AE291)/100)</f>
        <v>0.54</v>
      </c>
      <c r="AE291" s="164">
        <v>98.92</v>
      </c>
      <c r="AF291" s="164" t="str">
        <f t="shared" ref="AF291:AF301" si="724">$C$6*$C$7*_xlfn.CEILING.MATH(Z291)</f>
        <v>4.80</v>
      </c>
      <c r="AG291" s="165">
        <v>29.3</v>
      </c>
      <c r="AH291" s="23"/>
      <c r="AI291" s="292">
        <v>0.02</v>
      </c>
      <c r="AJ291" s="24" t="str">
        <f t="shared" ref="AJ291:AJ301" si="725">R291-W291-X291-Y291-AA291-AB291-AC291-AD291-AF291-AG291-Q291</f>
        <v>247.26</v>
      </c>
      <c r="AK291" s="279" t="str">
        <f t="shared" ref="AK291:AK301" si="726">AJ291/Q291</f>
        <v>53.38%</v>
      </c>
      <c r="AL291" s="280">
        <v>3000.0</v>
      </c>
      <c r="AM291" s="281" t="str">
        <f t="shared" si="360"/>
        <v>741,790.24</v>
      </c>
      <c r="AN291" s="280">
        <v>1608.0</v>
      </c>
      <c r="AO291" s="293" t="s">
        <v>687</v>
      </c>
      <c r="AP291" s="283">
        <v>298.87</v>
      </c>
      <c r="AQ291" s="283" t="str">
        <f t="shared" si="361"/>
        <v>480,582.96</v>
      </c>
      <c r="AR291" s="283">
        <v>61.87</v>
      </c>
      <c r="AS291" s="284">
        <v>3000.0</v>
      </c>
      <c r="AT291" s="285" t="str">
        <f t="shared" si="235"/>
        <v>741,790.24</v>
      </c>
      <c r="AU291" s="284">
        <v>3940.0</v>
      </c>
      <c r="AV291" s="286">
        <v>0.0448</v>
      </c>
      <c r="AW291" s="285">
        <v>720144.56</v>
      </c>
      <c r="AX291" s="284">
        <v>39.46</v>
      </c>
      <c r="AY291" s="26"/>
      <c r="AZ291" s="171">
        <v>0.25</v>
      </c>
      <c r="BA291" s="172" t="str">
        <f t="shared" ref="BA291:BA301" si="727">Q291*AZ291</f>
        <v>115.80</v>
      </c>
      <c r="BB291" s="173" t="str">
        <f t="shared" ref="BB291:BB301" si="728">(Q291+W291+Y291+AA291+AD291+AF291+AI291+BA291)/(100%-($C$2+$C$8+$AB$6+$AB$7))</f>
        <v>1,568.02</v>
      </c>
      <c r="BC291" s="174" t="str">
        <f t="shared" ref="BC291:BC301" si="729">BB291-(BB291*$AG$1)</f>
        <v>1,113.29</v>
      </c>
    </row>
    <row r="292" ht="12.75" customHeight="1">
      <c r="A292" s="26"/>
      <c r="B292" s="190"/>
      <c r="C292" s="199">
        <v>4.37190353E8</v>
      </c>
      <c r="D292" s="152" t="s">
        <v>565</v>
      </c>
      <c r="E292" s="53" t="s">
        <v>77</v>
      </c>
      <c r="F292" s="154">
        <v>1.0</v>
      </c>
      <c r="G292" s="53"/>
      <c r="H292" s="53" t="str">
        <f t="shared" si="712"/>
        <v>0.00069</v>
      </c>
      <c r="I292" s="53" t="str">
        <f t="shared" si="713"/>
        <v>89</v>
      </c>
      <c r="J292" s="53" t="str">
        <f t="shared" si="714"/>
        <v>0</v>
      </c>
      <c r="K292" s="155" t="str">
        <f t="shared" si="715"/>
        <v>0.00</v>
      </c>
      <c r="L292" s="156" t="str">
        <f t="shared" si="716"/>
        <v>0.00 </v>
      </c>
      <c r="M292" s="132">
        <v>90.0</v>
      </c>
      <c r="N292" s="157">
        <v>1093.2</v>
      </c>
      <c r="O292" s="277">
        <v>1191.33</v>
      </c>
      <c r="P292" s="277">
        <v>1158.79</v>
      </c>
      <c r="Q292" s="157">
        <v>1093.2</v>
      </c>
      <c r="R292" s="158">
        <v>2500.0</v>
      </c>
      <c r="S292" s="159">
        <v>2600.0</v>
      </c>
      <c r="T292" s="160">
        <v>2458.0</v>
      </c>
      <c r="U292" s="161">
        <v>0.26</v>
      </c>
      <c r="V292" s="162" t="str">
        <f t="shared" si="717"/>
        <v>1,850.00</v>
      </c>
      <c r="W292" s="163" t="str">
        <f t="shared" si="718"/>
        <v>60.00</v>
      </c>
      <c r="X292" s="164" t="str">
        <f t="shared" si="719"/>
        <v>138.32</v>
      </c>
      <c r="Y292" s="165" t="str">
        <f t="shared" si="720"/>
        <v>0.00</v>
      </c>
      <c r="Z292" s="166">
        <v>0.73</v>
      </c>
      <c r="AA292" s="167">
        <v>83.0</v>
      </c>
      <c r="AB292" s="168" t="str">
        <f t="shared" si="721"/>
        <v>812.500</v>
      </c>
      <c r="AC292" s="168" t="str">
        <f t="shared" si="722"/>
        <v>65.860</v>
      </c>
      <c r="AD292" s="164" t="str">
        <f t="shared" si="723"/>
        <v>0.54</v>
      </c>
      <c r="AE292" s="164">
        <v>98.92</v>
      </c>
      <c r="AF292" s="164" t="str">
        <f t="shared" si="724"/>
        <v>4.80</v>
      </c>
      <c r="AG292" s="165" t="str">
        <f t="shared" ref="AG292:AG301" si="730">R292*$C$2</f>
        <v>250.00</v>
      </c>
      <c r="AH292" s="23"/>
      <c r="AI292" s="278">
        <v>0.1</v>
      </c>
      <c r="AJ292" s="24" t="str">
        <f t="shared" si="725"/>
        <v>-8.22</v>
      </c>
      <c r="AK292" s="279" t="str">
        <f t="shared" si="726"/>
        <v>-0.75%</v>
      </c>
      <c r="AL292" s="280">
        <v>320.0</v>
      </c>
      <c r="AM292" s="281" t="str">
        <f t="shared" si="360"/>
        <v>-2,629.68</v>
      </c>
      <c r="AN292" s="280">
        <v>13.0</v>
      </c>
      <c r="AO292" s="282"/>
      <c r="AP292" s="283">
        <v>133.27</v>
      </c>
      <c r="AQ292" s="283" t="str">
        <f t="shared" si="361"/>
        <v>1,732.51</v>
      </c>
      <c r="AR292" s="283">
        <v>11.54</v>
      </c>
      <c r="AS292" s="284">
        <v>320.0</v>
      </c>
      <c r="AT292" s="285" t="str">
        <f t="shared" si="235"/>
        <v>-2,629.68</v>
      </c>
      <c r="AU292" s="284">
        <v>80.0</v>
      </c>
      <c r="AV292" s="286">
        <v>0.1945</v>
      </c>
      <c r="AW292" s="285">
        <v>-21748.37</v>
      </c>
      <c r="AX292" s="284">
        <v>-24.87</v>
      </c>
      <c r="AY292" s="26"/>
      <c r="AZ292" s="171">
        <v>0.25</v>
      </c>
      <c r="BA292" s="172" t="str">
        <f t="shared" si="727"/>
        <v>273.30</v>
      </c>
      <c r="BB292" s="173" t="str">
        <f t="shared" si="728"/>
        <v>3,297.65</v>
      </c>
      <c r="BC292" s="174" t="str">
        <f t="shared" si="729"/>
        <v>2,341.33</v>
      </c>
    </row>
    <row r="293" ht="12.75" customHeight="1">
      <c r="A293" s="26"/>
      <c r="B293" s="190"/>
      <c r="C293" s="199">
        <v>4.37203627E8</v>
      </c>
      <c r="D293" s="152" t="s">
        <v>566</v>
      </c>
      <c r="E293" s="53" t="s">
        <v>77</v>
      </c>
      <c r="F293" s="154">
        <v>1.0</v>
      </c>
      <c r="G293" s="53"/>
      <c r="H293" s="53" t="str">
        <f t="shared" si="712"/>
        <v>0.00069</v>
      </c>
      <c r="I293" s="53" t="str">
        <f t="shared" si="713"/>
        <v>89</v>
      </c>
      <c r="J293" s="53" t="str">
        <f t="shared" si="714"/>
        <v>0</v>
      </c>
      <c r="K293" s="155" t="str">
        <f t="shared" si="715"/>
        <v>0.00</v>
      </c>
      <c r="L293" s="156" t="str">
        <f t="shared" si="716"/>
        <v>0.00 </v>
      </c>
      <c r="M293" s="132">
        <v>90.0</v>
      </c>
      <c r="N293" s="157">
        <v>512.44</v>
      </c>
      <c r="O293" s="277">
        <v>558.43</v>
      </c>
      <c r="P293" s="277">
        <v>543.19</v>
      </c>
      <c r="Q293" s="157">
        <v>512.44</v>
      </c>
      <c r="R293" s="158">
        <v>1549.0</v>
      </c>
      <c r="S293" s="159">
        <v>1750.0</v>
      </c>
      <c r="T293" s="160">
        <v>1559.0</v>
      </c>
      <c r="U293" s="161">
        <v>0.26</v>
      </c>
      <c r="V293" s="162" t="str">
        <f t="shared" si="717"/>
        <v>1,146.26</v>
      </c>
      <c r="W293" s="163" t="str">
        <f t="shared" si="718"/>
        <v>60.00</v>
      </c>
      <c r="X293" s="164" t="str">
        <f t="shared" si="719"/>
        <v>85.70</v>
      </c>
      <c r="Y293" s="165" t="str">
        <f t="shared" si="720"/>
        <v>0.00</v>
      </c>
      <c r="Z293" s="166">
        <v>0.73</v>
      </c>
      <c r="AA293" s="167" t="str">
        <f t="shared" ref="AA293:AA301" si="731">((_xlfn.CEILING.MATH(Z293)-1)*$C$5+$C$4)</f>
        <v>76</v>
      </c>
      <c r="AB293" s="168" t="str">
        <f t="shared" si="721"/>
        <v>503.425</v>
      </c>
      <c r="AC293" s="168" t="str">
        <f t="shared" si="722"/>
        <v>40.807</v>
      </c>
      <c r="AD293" s="164" t="str">
        <f t="shared" si="723"/>
        <v>0.54</v>
      </c>
      <c r="AE293" s="164">
        <v>98.92</v>
      </c>
      <c r="AF293" s="164" t="str">
        <f t="shared" si="724"/>
        <v>4.80</v>
      </c>
      <c r="AG293" s="165" t="str">
        <f t="shared" si="730"/>
        <v>154.90</v>
      </c>
      <c r="AH293" s="23"/>
      <c r="AI293" s="278">
        <v>0.1</v>
      </c>
      <c r="AJ293" s="24" t="str">
        <f t="shared" si="725"/>
        <v>110.39</v>
      </c>
      <c r="AK293" s="279" t="str">
        <f t="shared" si="726"/>
        <v>21.54%</v>
      </c>
      <c r="AL293" s="280">
        <v>750.0</v>
      </c>
      <c r="AM293" s="281" t="str">
        <f t="shared" si="360"/>
        <v>82,789.85</v>
      </c>
      <c r="AN293" s="280">
        <v>5.0</v>
      </c>
      <c r="AO293" s="282"/>
      <c r="AP293" s="283">
        <v>452.22</v>
      </c>
      <c r="AQ293" s="283" t="str">
        <f t="shared" si="361"/>
        <v>2,261.10</v>
      </c>
      <c r="AR293" s="283">
        <v>86.19</v>
      </c>
      <c r="AS293" s="284">
        <v>750.0</v>
      </c>
      <c r="AT293" s="285" t="str">
        <f t="shared" si="235"/>
        <v>82,789.85</v>
      </c>
      <c r="AU293" s="284">
        <v>0.0</v>
      </c>
      <c r="AV293" s="286">
        <v>0.0</v>
      </c>
      <c r="AW293" s="285">
        <v>0.0</v>
      </c>
      <c r="AX293" s="284">
        <v>0.0</v>
      </c>
      <c r="AY293" s="26"/>
      <c r="AZ293" s="171">
        <v>0.25</v>
      </c>
      <c r="BA293" s="172" t="str">
        <f t="shared" si="727"/>
        <v>128.11</v>
      </c>
      <c r="BB293" s="173" t="str">
        <f t="shared" si="728"/>
        <v>1,702.20</v>
      </c>
      <c r="BC293" s="174" t="str">
        <f t="shared" si="729"/>
        <v>1,208.56</v>
      </c>
    </row>
    <row r="294" ht="12.75" hidden="1" customHeight="1">
      <c r="A294" s="26"/>
      <c r="B294" s="190"/>
      <c r="C294" s="199">
        <v>4.37231408E8</v>
      </c>
      <c r="D294" s="152" t="s">
        <v>567</v>
      </c>
      <c r="E294" s="53" t="s">
        <v>77</v>
      </c>
      <c r="F294" s="154">
        <v>1.0</v>
      </c>
      <c r="G294" s="53"/>
      <c r="H294" s="53" t="str">
        <f t="shared" si="712"/>
        <v>0.00069</v>
      </c>
      <c r="I294" s="53" t="str">
        <f t="shared" si="713"/>
        <v>89</v>
      </c>
      <c r="J294" s="53" t="str">
        <f t="shared" si="714"/>
        <v>0</v>
      </c>
      <c r="K294" s="155" t="str">
        <f t="shared" si="715"/>
        <v>0.00</v>
      </c>
      <c r="L294" s="156" t="str">
        <f t="shared" si="716"/>
        <v>0.00 </v>
      </c>
      <c r="M294" s="132">
        <v>90.0</v>
      </c>
      <c r="N294" s="157">
        <v>853.87</v>
      </c>
      <c r="O294" s="277">
        <v>930.72</v>
      </c>
      <c r="P294" s="277">
        <v>905.1</v>
      </c>
      <c r="Q294" s="157">
        <v>853.87</v>
      </c>
      <c r="R294" s="158">
        <v>1650.0</v>
      </c>
      <c r="S294" s="159">
        <v>1800.0</v>
      </c>
      <c r="T294" s="160">
        <v>1287.0</v>
      </c>
      <c r="U294" s="161">
        <v>0.26</v>
      </c>
      <c r="V294" s="162" t="str">
        <f t="shared" si="717"/>
        <v>1,221.00</v>
      </c>
      <c r="W294" s="163" t="str">
        <f t="shared" si="718"/>
        <v>60.00</v>
      </c>
      <c r="X294" s="164" t="str">
        <f t="shared" si="719"/>
        <v>91.29</v>
      </c>
      <c r="Y294" s="165" t="str">
        <f t="shared" si="720"/>
        <v>0.00</v>
      </c>
      <c r="Z294" s="166">
        <v>0.73</v>
      </c>
      <c r="AA294" s="167" t="str">
        <f t="shared" si="731"/>
        <v>76</v>
      </c>
      <c r="AB294" s="168" t="str">
        <f t="shared" si="721"/>
        <v>536.250</v>
      </c>
      <c r="AC294" s="168" t="str">
        <f t="shared" si="722"/>
        <v>43.468</v>
      </c>
      <c r="AD294" s="164" t="str">
        <f t="shared" si="723"/>
        <v>0.54</v>
      </c>
      <c r="AE294" s="164">
        <v>98.92</v>
      </c>
      <c r="AF294" s="164" t="str">
        <f t="shared" si="724"/>
        <v>4.80</v>
      </c>
      <c r="AG294" s="165" t="str">
        <f t="shared" si="730"/>
        <v>165.00</v>
      </c>
      <c r="AH294" s="23"/>
      <c r="AI294" s="278">
        <v>0.1</v>
      </c>
      <c r="AJ294" s="24" t="str">
        <f t="shared" si="725"/>
        <v>-181.22</v>
      </c>
      <c r="AK294" s="279" t="str">
        <f t="shared" si="726"/>
        <v>-21.22%</v>
      </c>
      <c r="AL294" s="280"/>
      <c r="AM294" s="281" t="str">
        <f t="shared" si="360"/>
        <v>0.00</v>
      </c>
      <c r="AN294" s="280"/>
      <c r="AO294" s="282">
        <v>65.78</v>
      </c>
      <c r="AP294" s="283">
        <v>91.57</v>
      </c>
      <c r="AQ294" s="283" t="str">
        <f t="shared" si="361"/>
        <v>0.00</v>
      </c>
      <c r="AR294" s="283">
        <v>10.42</v>
      </c>
      <c r="AS294" s="284"/>
      <c r="AT294" s="285" t="str">
        <f t="shared" si="235"/>
        <v>0.00</v>
      </c>
      <c r="AU294" s="284"/>
      <c r="AV294" s="286"/>
      <c r="AW294" s="285"/>
      <c r="AX294" s="284"/>
      <c r="AY294" s="26"/>
      <c r="AZ294" s="171">
        <v>0.25</v>
      </c>
      <c r="BA294" s="172" t="str">
        <f t="shared" si="727"/>
        <v>213.47</v>
      </c>
      <c r="BB294" s="173" t="str">
        <f t="shared" si="728"/>
        <v>2,631.21</v>
      </c>
      <c r="BC294" s="174" t="str">
        <f t="shared" si="729"/>
        <v>1,868.16</v>
      </c>
    </row>
    <row r="295" ht="12.75" customHeight="1">
      <c r="A295" s="26"/>
      <c r="B295" s="190"/>
      <c r="C295" s="199">
        <v>4.37238521E8</v>
      </c>
      <c r="D295" s="152" t="s">
        <v>568</v>
      </c>
      <c r="E295" s="53" t="s">
        <v>77</v>
      </c>
      <c r="F295" s="154">
        <v>1.0</v>
      </c>
      <c r="G295" s="53"/>
      <c r="H295" s="53" t="str">
        <f t="shared" si="712"/>
        <v>0.00069</v>
      </c>
      <c r="I295" s="53" t="str">
        <f t="shared" si="713"/>
        <v>89</v>
      </c>
      <c r="J295" s="53" t="str">
        <f t="shared" si="714"/>
        <v>0</v>
      </c>
      <c r="K295" s="155" t="str">
        <f t="shared" si="715"/>
        <v>0.00</v>
      </c>
      <c r="L295" s="156" t="str">
        <f t="shared" si="716"/>
        <v>0.00 </v>
      </c>
      <c r="M295" s="132">
        <v>90.0</v>
      </c>
      <c r="N295" s="157">
        <v>819.9</v>
      </c>
      <c r="O295" s="277">
        <v>893.49</v>
      </c>
      <c r="P295" s="277">
        <v>869.09</v>
      </c>
      <c r="Q295" s="157">
        <v>819.9</v>
      </c>
      <c r="R295" s="158">
        <v>2099.0</v>
      </c>
      <c r="S295" s="159">
        <v>2200.0</v>
      </c>
      <c r="T295" s="160">
        <v>2119.0</v>
      </c>
      <c r="U295" s="161">
        <v>0.26</v>
      </c>
      <c r="V295" s="162" t="str">
        <f t="shared" si="717"/>
        <v>1,553.26</v>
      </c>
      <c r="W295" s="163" t="str">
        <f t="shared" si="718"/>
        <v>60.00</v>
      </c>
      <c r="X295" s="164" t="str">
        <f t="shared" si="719"/>
        <v>116.13</v>
      </c>
      <c r="Y295" s="165" t="str">
        <f t="shared" si="720"/>
        <v>0.00</v>
      </c>
      <c r="Z295" s="166">
        <v>0.73</v>
      </c>
      <c r="AA295" s="167" t="str">
        <f t="shared" si="731"/>
        <v>76</v>
      </c>
      <c r="AB295" s="168" t="str">
        <f t="shared" si="721"/>
        <v>682.175</v>
      </c>
      <c r="AC295" s="168" t="str">
        <f t="shared" si="722"/>
        <v>55.296</v>
      </c>
      <c r="AD295" s="164" t="str">
        <f t="shared" si="723"/>
        <v>0.54</v>
      </c>
      <c r="AE295" s="164">
        <v>98.92</v>
      </c>
      <c r="AF295" s="164" t="str">
        <f t="shared" si="724"/>
        <v>4.80</v>
      </c>
      <c r="AG295" s="165" t="str">
        <f t="shared" si="730"/>
        <v>209.90</v>
      </c>
      <c r="AH295" s="23"/>
      <c r="AI295" s="278">
        <v>0.1</v>
      </c>
      <c r="AJ295" s="24" t="str">
        <f t="shared" si="725"/>
        <v>74.26</v>
      </c>
      <c r="AK295" s="279" t="str">
        <f t="shared" si="726"/>
        <v>9.06%</v>
      </c>
      <c r="AL295" s="280"/>
      <c r="AM295" s="281" t="str">
        <f t="shared" si="360"/>
        <v>0.00</v>
      </c>
      <c r="AN295" s="280"/>
      <c r="AO295" s="282"/>
      <c r="AP295" s="283"/>
      <c r="AQ295" s="283" t="str">
        <f t="shared" si="361"/>
        <v>0.00</v>
      </c>
      <c r="AR295" s="283"/>
      <c r="AS295" s="284">
        <v>0.0</v>
      </c>
      <c r="AT295" s="285" t="str">
        <f t="shared" si="235"/>
        <v>0.00</v>
      </c>
      <c r="AU295" s="284">
        <v>0.0</v>
      </c>
      <c r="AV295" s="286">
        <v>0.0</v>
      </c>
      <c r="AW295" s="285">
        <v>0.0</v>
      </c>
      <c r="AX295" s="284">
        <v>0.0</v>
      </c>
      <c r="AY295" s="26"/>
      <c r="AZ295" s="171">
        <v>0.25</v>
      </c>
      <c r="BA295" s="172" t="str">
        <f t="shared" si="727"/>
        <v>204.98</v>
      </c>
      <c r="BB295" s="173" t="str">
        <f t="shared" si="728"/>
        <v>2,538.78</v>
      </c>
      <c r="BC295" s="174" t="str">
        <f t="shared" si="729"/>
        <v>1,802.53</v>
      </c>
    </row>
    <row r="296" ht="12.75" customHeight="1">
      <c r="A296" s="26"/>
      <c r="B296" s="190"/>
      <c r="C296" s="199">
        <v>4.3724264E8</v>
      </c>
      <c r="D296" s="152" t="s">
        <v>569</v>
      </c>
      <c r="E296" s="53" t="s">
        <v>77</v>
      </c>
      <c r="F296" s="154">
        <v>1.0</v>
      </c>
      <c r="G296" s="53"/>
      <c r="H296" s="53" t="str">
        <f t="shared" si="712"/>
        <v>0.00069</v>
      </c>
      <c r="I296" s="53" t="str">
        <f t="shared" si="713"/>
        <v>89</v>
      </c>
      <c r="J296" s="53" t="str">
        <f t="shared" si="714"/>
        <v>0</v>
      </c>
      <c r="K296" s="155" t="str">
        <f t="shared" si="715"/>
        <v>0.00</v>
      </c>
      <c r="L296" s="156" t="str">
        <f t="shared" si="716"/>
        <v>0.00 </v>
      </c>
      <c r="M296" s="132">
        <v>90.0</v>
      </c>
      <c r="N296" s="157">
        <v>512.32</v>
      </c>
      <c r="O296" s="277">
        <v>558.43</v>
      </c>
      <c r="P296" s="277">
        <v>543.06</v>
      </c>
      <c r="Q296" s="157">
        <v>512.32</v>
      </c>
      <c r="R296" s="158">
        <v>1500.0</v>
      </c>
      <c r="S296" s="159">
        <v>1550.0</v>
      </c>
      <c r="T296" s="160">
        <v>1549.0</v>
      </c>
      <c r="U296" s="161">
        <v>0.26</v>
      </c>
      <c r="V296" s="162" t="str">
        <f t="shared" si="717"/>
        <v>1,110.00</v>
      </c>
      <c r="W296" s="163" t="str">
        <f t="shared" si="718"/>
        <v>60.00</v>
      </c>
      <c r="X296" s="164" t="str">
        <f t="shared" si="719"/>
        <v>82.99</v>
      </c>
      <c r="Y296" s="165" t="str">
        <f t="shared" si="720"/>
        <v>0.00</v>
      </c>
      <c r="Z296" s="166">
        <v>0.73</v>
      </c>
      <c r="AA296" s="167" t="str">
        <f t="shared" si="731"/>
        <v>76</v>
      </c>
      <c r="AB296" s="168" t="str">
        <f t="shared" si="721"/>
        <v>487.500</v>
      </c>
      <c r="AC296" s="168" t="str">
        <f t="shared" si="722"/>
        <v>39.516</v>
      </c>
      <c r="AD296" s="164" t="str">
        <f t="shared" si="723"/>
        <v>0.54</v>
      </c>
      <c r="AE296" s="164">
        <v>98.92</v>
      </c>
      <c r="AF296" s="164" t="str">
        <f t="shared" si="724"/>
        <v>4.80</v>
      </c>
      <c r="AG296" s="165" t="str">
        <f t="shared" si="730"/>
        <v>150.00</v>
      </c>
      <c r="AH296" s="23"/>
      <c r="AI296" s="278">
        <v>0.1</v>
      </c>
      <c r="AJ296" s="24" t="str">
        <f t="shared" si="725"/>
        <v>86.33</v>
      </c>
      <c r="AK296" s="279" t="str">
        <f t="shared" si="726"/>
        <v>16.85%</v>
      </c>
      <c r="AL296" s="280"/>
      <c r="AM296" s="281" t="str">
        <f t="shared" si="360"/>
        <v>0.00</v>
      </c>
      <c r="AN296" s="280"/>
      <c r="AO296" s="282">
        <v>9.35</v>
      </c>
      <c r="AP296" s="283">
        <v>230.45</v>
      </c>
      <c r="AQ296" s="283" t="str">
        <f t="shared" si="361"/>
        <v>0.00</v>
      </c>
      <c r="AR296" s="283">
        <v>42.44</v>
      </c>
      <c r="AS296" s="284">
        <v>330.0</v>
      </c>
      <c r="AT296" s="285" t="str">
        <f t="shared" si="235"/>
        <v>28,490.00</v>
      </c>
      <c r="AU296" s="284">
        <v>330.0</v>
      </c>
      <c r="AV296" s="286">
        <v>0.1144</v>
      </c>
      <c r="AW296" s="285">
        <v>36796.54</v>
      </c>
      <c r="AX296" s="284">
        <v>21.76</v>
      </c>
      <c r="AY296" s="26"/>
      <c r="AZ296" s="171">
        <v>0.25</v>
      </c>
      <c r="BA296" s="172" t="str">
        <f t="shared" si="727"/>
        <v>128.08</v>
      </c>
      <c r="BB296" s="173" t="str">
        <f t="shared" si="728"/>
        <v>1,701.87</v>
      </c>
      <c r="BC296" s="174" t="str">
        <f t="shared" si="729"/>
        <v>1,208.33</v>
      </c>
    </row>
    <row r="297" ht="12.75" customHeight="1">
      <c r="A297" s="26"/>
      <c r="B297" s="190"/>
      <c r="C297" s="199">
        <v>4.3724887E8</v>
      </c>
      <c r="D297" s="152" t="s">
        <v>570</v>
      </c>
      <c r="E297" s="53" t="s">
        <v>77</v>
      </c>
      <c r="F297" s="154">
        <v>1.0</v>
      </c>
      <c r="G297" s="53"/>
      <c r="H297" s="53" t="str">
        <f t="shared" si="712"/>
        <v>0.00069</v>
      </c>
      <c r="I297" s="53" t="str">
        <f t="shared" si="713"/>
        <v>89</v>
      </c>
      <c r="J297" s="53" t="str">
        <f t="shared" si="714"/>
        <v>0</v>
      </c>
      <c r="K297" s="155" t="str">
        <f t="shared" si="715"/>
        <v>0.00</v>
      </c>
      <c r="L297" s="156" t="str">
        <f t="shared" si="716"/>
        <v>0.00 </v>
      </c>
      <c r="M297" s="132">
        <v>90.0</v>
      </c>
      <c r="N297" s="157">
        <v>622.16</v>
      </c>
      <c r="O297" s="277">
        <v>678.15</v>
      </c>
      <c r="P297" s="277">
        <v>659.49</v>
      </c>
      <c r="Q297" s="157">
        <v>622.16</v>
      </c>
      <c r="R297" s="158">
        <v>1500.0</v>
      </c>
      <c r="S297" s="159">
        <v>1650.0</v>
      </c>
      <c r="T297" s="160">
        <v>1220.0</v>
      </c>
      <c r="U297" s="161">
        <v>0.26</v>
      </c>
      <c r="V297" s="162" t="str">
        <f t="shared" si="717"/>
        <v>1,110.00</v>
      </c>
      <c r="W297" s="163" t="str">
        <f t="shared" si="718"/>
        <v>60.00</v>
      </c>
      <c r="X297" s="164" t="str">
        <f t="shared" si="719"/>
        <v>82.99</v>
      </c>
      <c r="Y297" s="165" t="str">
        <f t="shared" si="720"/>
        <v>0.00</v>
      </c>
      <c r="Z297" s="166">
        <v>0.73</v>
      </c>
      <c r="AA297" s="167" t="str">
        <f t="shared" si="731"/>
        <v>76</v>
      </c>
      <c r="AB297" s="168" t="str">
        <f t="shared" si="721"/>
        <v>487.500</v>
      </c>
      <c r="AC297" s="168" t="str">
        <f t="shared" si="722"/>
        <v>39.516</v>
      </c>
      <c r="AD297" s="164" t="str">
        <f t="shared" si="723"/>
        <v>0.54</v>
      </c>
      <c r="AE297" s="164">
        <v>98.92</v>
      </c>
      <c r="AF297" s="164" t="str">
        <f t="shared" si="724"/>
        <v>4.80</v>
      </c>
      <c r="AG297" s="165" t="str">
        <f t="shared" si="730"/>
        <v>150.00</v>
      </c>
      <c r="AH297" s="23"/>
      <c r="AI297" s="278">
        <v>0.1</v>
      </c>
      <c r="AJ297" s="24" t="str">
        <f t="shared" si="725"/>
        <v>-23.51</v>
      </c>
      <c r="AK297" s="279" t="str">
        <f t="shared" si="726"/>
        <v>-3.78%</v>
      </c>
      <c r="AL297" s="280"/>
      <c r="AM297" s="281" t="str">
        <f t="shared" si="360"/>
        <v>0.00</v>
      </c>
      <c r="AN297" s="280"/>
      <c r="AO297" s="282"/>
      <c r="AP297" s="283">
        <v>-2172.64</v>
      </c>
      <c r="AQ297" s="283" t="str">
        <f t="shared" si="361"/>
        <v>0.00</v>
      </c>
      <c r="AR297" s="283">
        <v>-349.14</v>
      </c>
      <c r="AS297" s="284">
        <v>0.0</v>
      </c>
      <c r="AT297" s="285" t="str">
        <f t="shared" si="235"/>
        <v>0.00</v>
      </c>
      <c r="AU297" s="284">
        <v>0.0</v>
      </c>
      <c r="AV297" s="286">
        <v>0.0</v>
      </c>
      <c r="AW297" s="285"/>
      <c r="AX297" s="284"/>
      <c r="AY297" s="26"/>
      <c r="AZ297" s="171">
        <v>0.25</v>
      </c>
      <c r="BA297" s="172" t="str">
        <f t="shared" si="727"/>
        <v>155.54</v>
      </c>
      <c r="BB297" s="173" t="str">
        <f t="shared" si="728"/>
        <v>2,000.74</v>
      </c>
      <c r="BC297" s="174" t="str">
        <f t="shared" si="729"/>
        <v>1,420.53</v>
      </c>
    </row>
    <row r="298" ht="12.75" customHeight="1">
      <c r="A298" s="26"/>
      <c r="B298" s="190"/>
      <c r="C298" s="199">
        <v>4.37254254E8</v>
      </c>
      <c r="D298" s="152" t="s">
        <v>571</v>
      </c>
      <c r="E298" s="53" t="s">
        <v>77</v>
      </c>
      <c r="F298" s="154">
        <v>1.0</v>
      </c>
      <c r="G298" s="53"/>
      <c r="H298" s="53" t="str">
        <f t="shared" si="712"/>
        <v>0.00069</v>
      </c>
      <c r="I298" s="53" t="str">
        <f t="shared" si="713"/>
        <v>89</v>
      </c>
      <c r="J298" s="53" t="str">
        <f t="shared" si="714"/>
        <v>0</v>
      </c>
      <c r="K298" s="155" t="str">
        <f t="shared" si="715"/>
        <v>0.00</v>
      </c>
      <c r="L298" s="156" t="str">
        <f t="shared" si="716"/>
        <v>0.00 </v>
      </c>
      <c r="M298" s="132">
        <v>90.0</v>
      </c>
      <c r="N298" s="157">
        <v>1161.41</v>
      </c>
      <c r="O298" s="277">
        <v>1265.94</v>
      </c>
      <c r="P298" s="277">
        <v>1231.09</v>
      </c>
      <c r="Q298" s="157">
        <v>1161.41</v>
      </c>
      <c r="R298" s="158">
        <v>2449.0</v>
      </c>
      <c r="S298" s="159">
        <v>2650.0</v>
      </c>
      <c r="T298" s="160">
        <v>2471.0</v>
      </c>
      <c r="U298" s="161">
        <v>0.26</v>
      </c>
      <c r="V298" s="162" t="str">
        <f t="shared" si="717"/>
        <v>1,812.26</v>
      </c>
      <c r="W298" s="163" t="str">
        <f t="shared" si="718"/>
        <v>60.00</v>
      </c>
      <c r="X298" s="164" t="str">
        <f t="shared" si="719"/>
        <v>135.50</v>
      </c>
      <c r="Y298" s="165" t="str">
        <f t="shared" si="720"/>
        <v>0.00</v>
      </c>
      <c r="Z298" s="166">
        <v>0.73</v>
      </c>
      <c r="AA298" s="167" t="str">
        <f t="shared" si="731"/>
        <v>76</v>
      </c>
      <c r="AB298" s="168" t="str">
        <f t="shared" si="721"/>
        <v>795.925</v>
      </c>
      <c r="AC298" s="168" t="str">
        <f t="shared" si="722"/>
        <v>64.516</v>
      </c>
      <c r="AD298" s="164" t="str">
        <f t="shared" si="723"/>
        <v>0.54</v>
      </c>
      <c r="AE298" s="164">
        <v>98.92</v>
      </c>
      <c r="AF298" s="164" t="str">
        <f t="shared" si="724"/>
        <v>4.80</v>
      </c>
      <c r="AG298" s="165" t="str">
        <f t="shared" si="730"/>
        <v>244.90</v>
      </c>
      <c r="AH298" s="23"/>
      <c r="AI298" s="278">
        <v>0.1</v>
      </c>
      <c r="AJ298" s="24" t="str">
        <f t="shared" si="725"/>
        <v>-94.59</v>
      </c>
      <c r="AK298" s="279" t="str">
        <f t="shared" si="726"/>
        <v>-8.14%</v>
      </c>
      <c r="AL298" s="280">
        <v>115.0</v>
      </c>
      <c r="AM298" s="281" t="str">
        <f t="shared" si="360"/>
        <v>-10,877.57</v>
      </c>
      <c r="AN298" s="280">
        <v>7.0</v>
      </c>
      <c r="AO298" s="282">
        <v>28.45</v>
      </c>
      <c r="AP298" s="283">
        <v>75.57</v>
      </c>
      <c r="AQ298" s="283" t="str">
        <f t="shared" si="361"/>
        <v>528.99</v>
      </c>
      <c r="AR298" s="283">
        <v>6.14</v>
      </c>
      <c r="AS298" s="284">
        <v>115.0</v>
      </c>
      <c r="AT298" s="285" t="str">
        <f t="shared" si="235"/>
        <v>-10,877.57</v>
      </c>
      <c r="AU298" s="284">
        <v>125.0</v>
      </c>
      <c r="AV298" s="286">
        <v>0.2391</v>
      </c>
      <c r="AW298" s="285">
        <v>-48528.33</v>
      </c>
      <c r="AX298" s="284">
        <v>-33.43</v>
      </c>
      <c r="AY298" s="26"/>
      <c r="AZ298" s="171">
        <v>0.25</v>
      </c>
      <c r="BA298" s="172" t="str">
        <f t="shared" si="727"/>
        <v>290.35</v>
      </c>
      <c r="BB298" s="173" t="str">
        <f t="shared" si="728"/>
        <v>3,468.01</v>
      </c>
      <c r="BC298" s="174" t="str">
        <f t="shared" si="729"/>
        <v>2,462.29</v>
      </c>
    </row>
    <row r="299" ht="12.75" customHeight="1">
      <c r="A299" s="26"/>
      <c r="B299" s="190"/>
      <c r="C299" s="199">
        <v>4.37776835E8</v>
      </c>
      <c r="D299" s="152" t="s">
        <v>572</v>
      </c>
      <c r="E299" s="53" t="s">
        <v>77</v>
      </c>
      <c r="F299" s="154">
        <v>1.0</v>
      </c>
      <c r="G299" s="53"/>
      <c r="H299" s="53" t="str">
        <f t="shared" si="712"/>
        <v>0.00069</v>
      </c>
      <c r="I299" s="53" t="str">
        <f t="shared" si="713"/>
        <v>89</v>
      </c>
      <c r="J299" s="53" t="str">
        <f t="shared" si="714"/>
        <v>0</v>
      </c>
      <c r="K299" s="155" t="str">
        <f t="shared" si="715"/>
        <v>0.00</v>
      </c>
      <c r="L299" s="156" t="str">
        <f t="shared" si="716"/>
        <v>0.00 </v>
      </c>
      <c r="M299" s="132">
        <v>90.0</v>
      </c>
      <c r="N299" s="157">
        <v>819.72</v>
      </c>
      <c r="O299" s="277">
        <v>893.49</v>
      </c>
      <c r="P299" s="277">
        <v>868.9</v>
      </c>
      <c r="Q299" s="157">
        <v>819.72</v>
      </c>
      <c r="R299" s="158">
        <v>2149.0</v>
      </c>
      <c r="S299" s="159">
        <v>2260.0</v>
      </c>
      <c r="T299" s="160">
        <v>2175.0</v>
      </c>
      <c r="U299" s="161">
        <v>0.26</v>
      </c>
      <c r="V299" s="162" t="str">
        <f t="shared" si="717"/>
        <v>1,590.26</v>
      </c>
      <c r="W299" s="163" t="str">
        <f t="shared" si="718"/>
        <v>60.00</v>
      </c>
      <c r="X299" s="164" t="str">
        <f t="shared" si="719"/>
        <v>118.90</v>
      </c>
      <c r="Y299" s="165" t="str">
        <f t="shared" si="720"/>
        <v>0.00</v>
      </c>
      <c r="Z299" s="166">
        <v>0.73</v>
      </c>
      <c r="AA299" s="167" t="str">
        <f t="shared" si="731"/>
        <v>76</v>
      </c>
      <c r="AB299" s="168" t="str">
        <f t="shared" si="721"/>
        <v>698.425</v>
      </c>
      <c r="AC299" s="168" t="str">
        <f t="shared" si="722"/>
        <v>56.613</v>
      </c>
      <c r="AD299" s="164" t="str">
        <f t="shared" si="723"/>
        <v>0.54</v>
      </c>
      <c r="AE299" s="164">
        <v>98.92</v>
      </c>
      <c r="AF299" s="164" t="str">
        <f t="shared" si="724"/>
        <v>4.80</v>
      </c>
      <c r="AG299" s="165" t="str">
        <f t="shared" si="730"/>
        <v>214.90</v>
      </c>
      <c r="AH299" s="23"/>
      <c r="AI299" s="278">
        <v>0.1</v>
      </c>
      <c r="AJ299" s="24" t="str">
        <f t="shared" si="725"/>
        <v>99.10</v>
      </c>
      <c r="AK299" s="279" t="str">
        <f t="shared" si="726"/>
        <v>12.09%</v>
      </c>
      <c r="AL299" s="280">
        <v>60.0</v>
      </c>
      <c r="AM299" s="281" t="str">
        <f t="shared" si="360"/>
        <v>5,946.23</v>
      </c>
      <c r="AN299" s="280">
        <v>39.0</v>
      </c>
      <c r="AO299" s="282">
        <v>15.75</v>
      </c>
      <c r="AP299" s="283">
        <v>357.64</v>
      </c>
      <c r="AQ299" s="283" t="str">
        <f t="shared" si="361"/>
        <v>13,947.96</v>
      </c>
      <c r="AR299" s="283">
        <v>41.73</v>
      </c>
      <c r="AS299" s="284">
        <v>60.0</v>
      </c>
      <c r="AT299" s="285" t="str">
        <f t="shared" si="235"/>
        <v>5,946.23</v>
      </c>
      <c r="AU299" s="284">
        <v>48.0</v>
      </c>
      <c r="AV299" s="286">
        <v>0.1057</v>
      </c>
      <c r="AW299" s="285">
        <v>3601.47</v>
      </c>
      <c r="AX299" s="284">
        <v>9.15</v>
      </c>
      <c r="AY299" s="26"/>
      <c r="AZ299" s="171">
        <v>0.25</v>
      </c>
      <c r="BA299" s="172" t="str">
        <f t="shared" si="727"/>
        <v>204.93</v>
      </c>
      <c r="BB299" s="173" t="str">
        <f t="shared" si="728"/>
        <v>2,538.29</v>
      </c>
      <c r="BC299" s="174" t="str">
        <f t="shared" si="729"/>
        <v>1,802.19</v>
      </c>
    </row>
    <row r="300" ht="12.75" customHeight="1">
      <c r="A300" s="26"/>
      <c r="B300" s="190"/>
      <c r="C300" s="199">
        <v>4.37797551E8</v>
      </c>
      <c r="D300" s="152" t="s">
        <v>573</v>
      </c>
      <c r="E300" s="53" t="s">
        <v>77</v>
      </c>
      <c r="F300" s="154">
        <v>1.0</v>
      </c>
      <c r="G300" s="53"/>
      <c r="H300" s="53" t="str">
        <f t="shared" si="712"/>
        <v>0.00069</v>
      </c>
      <c r="I300" s="53" t="str">
        <f t="shared" si="713"/>
        <v>89</v>
      </c>
      <c r="J300" s="53" t="str">
        <f t="shared" si="714"/>
        <v>0</v>
      </c>
      <c r="K300" s="155" t="str">
        <f t="shared" si="715"/>
        <v>0.00</v>
      </c>
      <c r="L300" s="156" t="str">
        <f t="shared" si="716"/>
        <v>0.00 </v>
      </c>
      <c r="M300" s="132">
        <v>90.0</v>
      </c>
      <c r="N300" s="157">
        <v>956.62</v>
      </c>
      <c r="O300" s="277">
        <v>1042.72</v>
      </c>
      <c r="P300" s="277">
        <v>1014.02</v>
      </c>
      <c r="Q300" s="157">
        <v>956.62</v>
      </c>
      <c r="R300" s="158">
        <v>2176.0</v>
      </c>
      <c r="S300" s="159">
        <v>2250.0</v>
      </c>
      <c r="T300" s="160">
        <v>2204.0</v>
      </c>
      <c r="U300" s="161">
        <v>0.26</v>
      </c>
      <c r="V300" s="162" t="str">
        <f t="shared" si="717"/>
        <v>1,610.24</v>
      </c>
      <c r="W300" s="163" t="str">
        <f t="shared" si="718"/>
        <v>60.00</v>
      </c>
      <c r="X300" s="164" t="str">
        <f t="shared" si="719"/>
        <v>120.39</v>
      </c>
      <c r="Y300" s="165" t="str">
        <f t="shared" si="720"/>
        <v>0.00</v>
      </c>
      <c r="Z300" s="166">
        <v>0.73</v>
      </c>
      <c r="AA300" s="167" t="str">
        <f t="shared" si="731"/>
        <v>76</v>
      </c>
      <c r="AB300" s="168" t="str">
        <f t="shared" si="721"/>
        <v>707.200</v>
      </c>
      <c r="AC300" s="168" t="str">
        <f t="shared" si="722"/>
        <v>57.325</v>
      </c>
      <c r="AD300" s="164" t="str">
        <f t="shared" si="723"/>
        <v>0.54</v>
      </c>
      <c r="AE300" s="164">
        <v>98.92</v>
      </c>
      <c r="AF300" s="164" t="str">
        <f t="shared" si="724"/>
        <v>4.80</v>
      </c>
      <c r="AG300" s="165" t="str">
        <f t="shared" si="730"/>
        <v>217.60</v>
      </c>
      <c r="AH300" s="23"/>
      <c r="AI300" s="278">
        <v>0.1</v>
      </c>
      <c r="AJ300" s="24" t="str">
        <f t="shared" si="725"/>
        <v>-24.48</v>
      </c>
      <c r="AK300" s="279" t="str">
        <f t="shared" si="726"/>
        <v>-2.56%</v>
      </c>
      <c r="AL300" s="280"/>
      <c r="AM300" s="281" t="str">
        <f t="shared" si="360"/>
        <v>0.00</v>
      </c>
      <c r="AN300" s="280"/>
      <c r="AO300" s="282">
        <v>0.76</v>
      </c>
      <c r="AP300" s="283">
        <v>270.54</v>
      </c>
      <c r="AQ300" s="283" t="str">
        <f t="shared" si="361"/>
        <v>0.00</v>
      </c>
      <c r="AR300" s="283">
        <v>27.14</v>
      </c>
      <c r="AS300" s="284">
        <v>81.0</v>
      </c>
      <c r="AT300" s="285" t="str">
        <f t="shared" si="235"/>
        <v>-1,982.58</v>
      </c>
      <c r="AU300" s="284">
        <v>81.0</v>
      </c>
      <c r="AV300" s="286">
        <v>0.1599</v>
      </c>
      <c r="AW300" s="285">
        <v>-16733.87</v>
      </c>
      <c r="AX300" s="284">
        <v>21.6</v>
      </c>
      <c r="AY300" s="26"/>
      <c r="AZ300" s="171">
        <v>0.25</v>
      </c>
      <c r="BA300" s="172" t="str">
        <f t="shared" si="727"/>
        <v>239.16</v>
      </c>
      <c r="BB300" s="173" t="str">
        <f t="shared" si="728"/>
        <v>2,910.79</v>
      </c>
      <c r="BC300" s="174" t="str">
        <f t="shared" si="729"/>
        <v>2,066.66</v>
      </c>
    </row>
    <row r="301" ht="12.75" customHeight="1">
      <c r="A301" s="26"/>
      <c r="B301" s="190"/>
      <c r="C301" s="199">
        <v>4.37845041E8</v>
      </c>
      <c r="D301" s="152" t="s">
        <v>574</v>
      </c>
      <c r="E301" s="53" t="s">
        <v>77</v>
      </c>
      <c r="F301" s="154">
        <v>1.0</v>
      </c>
      <c r="G301" s="53"/>
      <c r="H301" s="53" t="str">
        <f t="shared" si="712"/>
        <v>0.00069</v>
      </c>
      <c r="I301" s="53" t="str">
        <f t="shared" si="713"/>
        <v>89</v>
      </c>
      <c r="J301" s="53" t="str">
        <f t="shared" si="714"/>
        <v>0</v>
      </c>
      <c r="K301" s="155" t="str">
        <f t="shared" si="715"/>
        <v>0.00</v>
      </c>
      <c r="L301" s="156" t="str">
        <f t="shared" si="716"/>
        <v>0.00 </v>
      </c>
      <c r="M301" s="132">
        <v>90.0</v>
      </c>
      <c r="N301" s="157">
        <v>1024.65</v>
      </c>
      <c r="O301" s="277">
        <v>1116.87</v>
      </c>
      <c r="P301" s="277">
        <v>1154.34</v>
      </c>
      <c r="Q301" s="157">
        <v>1024.65</v>
      </c>
      <c r="R301" s="158">
        <v>2250.0</v>
      </c>
      <c r="S301" s="159">
        <v>2250.0</v>
      </c>
      <c r="T301" s="160">
        <v>2290.0</v>
      </c>
      <c r="U301" s="161">
        <v>0.26</v>
      </c>
      <c r="V301" s="162" t="str">
        <f t="shared" si="717"/>
        <v>1,665.00</v>
      </c>
      <c r="W301" s="163" t="str">
        <f t="shared" si="718"/>
        <v>60.00</v>
      </c>
      <c r="X301" s="164" t="str">
        <f t="shared" si="719"/>
        <v>124.49</v>
      </c>
      <c r="Y301" s="165" t="str">
        <f t="shared" si="720"/>
        <v>0.00</v>
      </c>
      <c r="Z301" s="166">
        <v>0.73</v>
      </c>
      <c r="AA301" s="167" t="str">
        <f t="shared" si="731"/>
        <v>76</v>
      </c>
      <c r="AB301" s="168" t="str">
        <f t="shared" si="721"/>
        <v>731.250</v>
      </c>
      <c r="AC301" s="168" t="str">
        <f t="shared" si="722"/>
        <v>59.274</v>
      </c>
      <c r="AD301" s="164" t="str">
        <f t="shared" si="723"/>
        <v>0.54</v>
      </c>
      <c r="AE301" s="164">
        <v>98.92</v>
      </c>
      <c r="AF301" s="164" t="str">
        <f t="shared" si="724"/>
        <v>4.80</v>
      </c>
      <c r="AG301" s="165" t="str">
        <f t="shared" si="730"/>
        <v>225.00</v>
      </c>
      <c r="AH301" s="23"/>
      <c r="AI301" s="278">
        <v>0.1</v>
      </c>
      <c r="AJ301" s="24" t="str">
        <f t="shared" si="725"/>
        <v>-56.00</v>
      </c>
      <c r="AK301" s="279" t="str">
        <f t="shared" si="726"/>
        <v>-5.47%</v>
      </c>
      <c r="AL301" s="280"/>
      <c r="AM301" s="281" t="str">
        <f t="shared" si="360"/>
        <v>0.00</v>
      </c>
      <c r="AN301" s="280"/>
      <c r="AO301" s="282">
        <v>44.05</v>
      </c>
      <c r="AP301" s="283">
        <v>-427.54</v>
      </c>
      <c r="AQ301" s="283" t="str">
        <f t="shared" si="361"/>
        <v>0.00</v>
      </c>
      <c r="AR301" s="283">
        <v>-39.8</v>
      </c>
      <c r="AS301" s="284">
        <v>2.0</v>
      </c>
      <c r="AT301" s="285" t="str">
        <f t="shared" si="235"/>
        <v>-112.00</v>
      </c>
      <c r="AU301" s="284">
        <v>2.0</v>
      </c>
      <c r="AV301" s="286">
        <v>0.033</v>
      </c>
      <c r="AW301" s="285">
        <v>447.22</v>
      </c>
      <c r="AX301" s="284">
        <v>21.82</v>
      </c>
      <c r="AY301" s="26"/>
      <c r="AZ301" s="171">
        <v>0.25</v>
      </c>
      <c r="BA301" s="172" t="str">
        <f t="shared" si="727"/>
        <v>256.16</v>
      </c>
      <c r="BB301" s="173" t="str">
        <f t="shared" si="728"/>
        <v>3,095.89</v>
      </c>
      <c r="BC301" s="174" t="str">
        <f t="shared" si="729"/>
        <v>2,198.08</v>
      </c>
    </row>
    <row r="302" ht="12.75" customHeight="1">
      <c r="A302" s="26"/>
      <c r="B302" s="190"/>
      <c r="C302" s="199">
        <v>1.123574113E9</v>
      </c>
      <c r="D302" s="152" t="s">
        <v>575</v>
      </c>
      <c r="E302" s="53"/>
      <c r="F302" s="154">
        <v>1.0</v>
      </c>
      <c r="G302" s="53"/>
      <c r="H302" s="53"/>
      <c r="I302" s="53"/>
      <c r="J302" s="53"/>
      <c r="K302" s="155"/>
      <c r="L302" s="156"/>
      <c r="M302" s="132"/>
      <c r="N302" s="157"/>
      <c r="O302" s="277"/>
      <c r="P302" s="277"/>
      <c r="Q302" s="157">
        <v>484.93</v>
      </c>
      <c r="R302" s="158"/>
      <c r="S302" s="159"/>
      <c r="T302" s="160"/>
      <c r="U302" s="161"/>
      <c r="V302" s="162"/>
      <c r="W302" s="163"/>
      <c r="X302" s="164"/>
      <c r="Y302" s="165"/>
      <c r="Z302" s="166"/>
      <c r="AA302" s="167"/>
      <c r="AB302" s="168"/>
      <c r="AC302" s="168"/>
      <c r="AD302" s="164"/>
      <c r="AE302" s="164"/>
      <c r="AF302" s="164"/>
      <c r="AG302" s="165"/>
      <c r="AH302" s="23"/>
      <c r="AI302" s="278"/>
      <c r="AJ302" s="24"/>
      <c r="AK302" s="279"/>
      <c r="AL302" s="280"/>
      <c r="AM302" s="281" t="str">
        <f t="shared" si="360"/>
        <v>0.00</v>
      </c>
      <c r="AN302" s="280"/>
      <c r="AO302" s="282"/>
      <c r="AP302" s="283"/>
      <c r="AQ302" s="283" t="str">
        <f t="shared" si="361"/>
        <v>0.00</v>
      </c>
      <c r="AR302" s="283"/>
      <c r="AS302" s="284">
        <v>4.0</v>
      </c>
      <c r="AT302" s="285" t="str">
        <f t="shared" si="235"/>
        <v>0.00</v>
      </c>
      <c r="AU302" s="284">
        <v>4.0</v>
      </c>
      <c r="AV302" s="286">
        <v>0.0</v>
      </c>
      <c r="AW302" s="285">
        <v>1859.62</v>
      </c>
      <c r="AX302" s="284">
        <v>95.87</v>
      </c>
      <c r="AY302" s="26"/>
      <c r="AZ302" s="171"/>
      <c r="BA302" s="172"/>
      <c r="BB302" s="173"/>
      <c r="BC302" s="174"/>
    </row>
    <row r="303" ht="12.75" customHeight="1">
      <c r="A303" s="26"/>
      <c r="B303" s="190"/>
      <c r="C303" s="199">
        <v>4.37850261E8</v>
      </c>
      <c r="D303" s="152" t="s">
        <v>576</v>
      </c>
      <c r="E303" s="53" t="s">
        <v>77</v>
      </c>
      <c r="F303" s="154">
        <v>1.0</v>
      </c>
      <c r="G303" s="53"/>
      <c r="H303" s="53" t="str">
        <f>$I$2</f>
        <v>0.00069</v>
      </c>
      <c r="I303" s="53" t="str">
        <f>$I$3</f>
        <v>89</v>
      </c>
      <c r="J303" s="53" t="str">
        <f>G303*H303*I303*F303</f>
        <v>0</v>
      </c>
      <c r="K303" s="155" t="str">
        <f>J303*$J$4</f>
        <v>0.00</v>
      </c>
      <c r="L303" s="156" t="str">
        <f>K303+J303</f>
        <v>0.00 </v>
      </c>
      <c r="M303" s="132">
        <v>90.0</v>
      </c>
      <c r="N303" s="157">
        <v>0.0</v>
      </c>
      <c r="O303" s="277">
        <v>0.0</v>
      </c>
      <c r="P303" s="277">
        <v>0.0</v>
      </c>
      <c r="Q303" s="157">
        <v>765.0</v>
      </c>
      <c r="R303" s="158">
        <v>2001.0</v>
      </c>
      <c r="S303" s="159">
        <v>2001.0</v>
      </c>
      <c r="T303" s="160">
        <v>2044.0</v>
      </c>
      <c r="U303" s="161">
        <v>0.26</v>
      </c>
      <c r="V303" s="162" t="str">
        <f>R303-(R303*U303)</f>
        <v>1,480.74</v>
      </c>
      <c r="W303" s="163" t="str">
        <f>$C$1</f>
        <v>60.00</v>
      </c>
      <c r="X303" s="164" t="str">
        <f>(V303*7/107)+((V303-(V303*7/107))*1%)</f>
        <v>110.71</v>
      </c>
      <c r="Y303" s="165" t="str">
        <f>Q303*$C$3*(M303/30)</f>
        <v>0.00</v>
      </c>
      <c r="Z303" s="166">
        <v>0.73</v>
      </c>
      <c r="AA303" s="167" t="str">
        <f>((_xlfn.CEILING.MATH(Z303)-1)*$C$5+$C$4)</f>
        <v>76</v>
      </c>
      <c r="AB303" s="168" t="str">
        <f>R303*$AB$6</f>
        <v>650.325</v>
      </c>
      <c r="AC303" s="168" t="str">
        <f>V303*$AB$7</f>
        <v>52.714</v>
      </c>
      <c r="AD303" s="164" t="str">
        <f>$AB$3*((100-AE303)/100)</f>
        <v>0.54</v>
      </c>
      <c r="AE303" s="164">
        <v>98.92</v>
      </c>
      <c r="AF303" s="164" t="str">
        <f>$C$6*$C$7*_xlfn.CEILING.MATH(Z303)</f>
        <v>4.80</v>
      </c>
      <c r="AG303" s="165" t="str">
        <f>R303*$C$2</f>
        <v>200.10</v>
      </c>
      <c r="AH303" s="23"/>
      <c r="AI303" s="278">
        <v>0.1</v>
      </c>
      <c r="AJ303" s="24" t="str">
        <f>R303-W303-X303-Y303-AA303-AB303-AC303-AD303-AF303-AG303-Q303</f>
        <v>80.81</v>
      </c>
      <c r="AK303" s="279" t="str">
        <f>AJ303/Q303</f>
        <v>10.56%</v>
      </c>
      <c r="AL303" s="280"/>
      <c r="AM303" s="281" t="str">
        <f t="shared" si="360"/>
        <v>0.00</v>
      </c>
      <c r="AN303" s="280"/>
      <c r="AO303" s="282">
        <v>19.55</v>
      </c>
      <c r="AP303" s="283">
        <v>270.47</v>
      </c>
      <c r="AQ303" s="283" t="str">
        <f t="shared" si="361"/>
        <v>0.00</v>
      </c>
      <c r="AR303" s="283">
        <v>33.61</v>
      </c>
      <c r="AS303" s="284">
        <v>6.0</v>
      </c>
      <c r="AT303" s="285" t="str">
        <f t="shared" si="235"/>
        <v>484.87</v>
      </c>
      <c r="AU303" s="284">
        <v>6.0</v>
      </c>
      <c r="AV303" s="286">
        <v>0.0</v>
      </c>
      <c r="AW303" s="285">
        <v>1038.89</v>
      </c>
      <c r="AX303" s="284">
        <v>22.63</v>
      </c>
      <c r="AY303" s="26"/>
      <c r="AZ303" s="171">
        <v>0.25</v>
      </c>
      <c r="BA303" s="172" t="str">
        <f>Q303*AZ303</f>
        <v>191.25</v>
      </c>
      <c r="BB303" s="173" t="str">
        <f>(Q303+W303+Y303+AA303+AD303+AF303+AI303+BA303)/(100%-($C$2+$C$8+$AB$6+$AB$7))</f>
        <v>2,389.40</v>
      </c>
      <c r="BC303" s="174" t="str">
        <f>BB303-(BB303*$AG$1)</f>
        <v>1,696.47</v>
      </c>
    </row>
    <row r="304" ht="12.75" customHeight="1">
      <c r="A304" s="26"/>
      <c r="B304" s="125" t="s">
        <v>577</v>
      </c>
      <c r="C304" s="126"/>
      <c r="D304" s="127"/>
      <c r="E304" s="128"/>
      <c r="F304" s="128"/>
      <c r="G304" s="128"/>
      <c r="H304" s="197"/>
      <c r="I304" s="197"/>
      <c r="J304" s="128"/>
      <c r="K304" s="130"/>
      <c r="L304" s="131"/>
      <c r="M304" s="132"/>
      <c r="N304" s="176"/>
      <c r="O304" s="133"/>
      <c r="P304" s="133"/>
      <c r="Q304" s="176"/>
      <c r="R304" s="134"/>
      <c r="S304" s="135"/>
      <c r="T304" s="135"/>
      <c r="U304" s="136"/>
      <c r="V304" s="137"/>
      <c r="W304" s="177"/>
      <c r="X304" s="178"/>
      <c r="Y304" s="179"/>
      <c r="Z304" s="180"/>
      <c r="AA304" s="181"/>
      <c r="AB304" s="182"/>
      <c r="AC304" s="182"/>
      <c r="AD304" s="178"/>
      <c r="AE304" s="178"/>
      <c r="AF304" s="178"/>
      <c r="AG304" s="179"/>
      <c r="AH304" s="183"/>
      <c r="AI304" s="271"/>
      <c r="AJ304" s="287"/>
      <c r="AK304" s="288"/>
      <c r="AL304" s="280"/>
      <c r="AM304" s="281" t="str">
        <f t="shared" si="360"/>
        <v>0.00</v>
      </c>
      <c r="AN304" s="280"/>
      <c r="AO304" s="282"/>
      <c r="AP304" s="283"/>
      <c r="AQ304" s="283" t="str">
        <f t="shared" si="361"/>
        <v>0.00</v>
      </c>
      <c r="AR304" s="283"/>
      <c r="AS304" s="284"/>
      <c r="AT304" s="285" t="str">
        <f t="shared" si="235"/>
        <v>0.00</v>
      </c>
      <c r="AU304" s="284"/>
      <c r="AV304" s="286"/>
      <c r="AW304" s="285"/>
      <c r="AX304" s="284"/>
      <c r="AY304" s="26"/>
      <c r="AZ304" s="186"/>
      <c r="BA304" s="187"/>
      <c r="BB304" s="188"/>
      <c r="BC304" s="189"/>
    </row>
    <row r="305" ht="12.75" hidden="1" customHeight="1">
      <c r="A305" s="26"/>
      <c r="B305" s="190" t="s">
        <v>578</v>
      </c>
      <c r="C305" s="199">
        <v>2.14312259E8</v>
      </c>
      <c r="D305" s="152" t="s">
        <v>579</v>
      </c>
      <c r="E305" s="53" t="s">
        <v>77</v>
      </c>
      <c r="F305" s="154">
        <v>1.0</v>
      </c>
      <c r="G305" s="53"/>
      <c r="H305" s="53" t="str">
        <f t="shared" ref="H305:H310" si="732">$I$2</f>
        <v>0.00069</v>
      </c>
      <c r="I305" s="53" t="str">
        <f t="shared" ref="I305:I310" si="733">$I$3</f>
        <v>89</v>
      </c>
      <c r="J305" s="53" t="str">
        <f t="shared" ref="J305:J310" si="734">G305*H305*I305*F305</f>
        <v>0</v>
      </c>
      <c r="K305" s="155" t="str">
        <f t="shared" ref="K305:K310" si="735">J305*$J$4</f>
        <v>0.00</v>
      </c>
      <c r="L305" s="156" t="str">
        <f t="shared" ref="L305:L310" si="736">K305+J305</f>
        <v>0.00 </v>
      </c>
      <c r="M305" s="132">
        <v>90.0</v>
      </c>
      <c r="N305" s="157">
        <v>472.75</v>
      </c>
      <c r="O305" s="277">
        <v>0.0</v>
      </c>
      <c r="P305" s="277">
        <v>0.0</v>
      </c>
      <c r="Q305" s="157">
        <v>472.75</v>
      </c>
      <c r="R305" s="158">
        <v>2019.0</v>
      </c>
      <c r="S305" s="159" t="str">
        <f t="shared" ref="S305:S307" si="737">R305</f>
        <v>2,019.00</v>
      </c>
      <c r="T305" s="160" t="s">
        <v>78</v>
      </c>
      <c r="U305" s="161">
        <v>0.26</v>
      </c>
      <c r="V305" s="162" t="str">
        <f t="shared" ref="V305:V310" si="738">R305-(R305*U305)</f>
        <v>1,494.06</v>
      </c>
      <c r="W305" s="163" t="str">
        <f t="shared" ref="W305:W310" si="739">$C$1</f>
        <v>60.00</v>
      </c>
      <c r="X305" s="164" t="str">
        <f t="shared" ref="X305:X310" si="740">(V305*7/107)+((V305-(V305*7/107))*1%)</f>
        <v>111.71</v>
      </c>
      <c r="Y305" s="165" t="str">
        <f t="shared" ref="Y305:Y310" si="741">Q305*$C$3*(M305/30)</f>
        <v>0.00</v>
      </c>
      <c r="Z305" s="166">
        <v>3.0</v>
      </c>
      <c r="AA305" s="167" t="str">
        <f t="shared" ref="AA305:AA310" si="742">((_xlfn.CEILING.MATH(Z305)-1)*$C$5+$C$4)</f>
        <v>114</v>
      </c>
      <c r="AB305" s="168" t="str">
        <f t="shared" ref="AB305:AB310" si="743">R305*$AB$6</f>
        <v>656.175</v>
      </c>
      <c r="AC305" s="168" t="str">
        <f t="shared" ref="AC305:AC310" si="744">V305*$AB$7</f>
        <v>53.189</v>
      </c>
      <c r="AD305" s="164" t="str">
        <f t="shared" ref="AD305:AD310" si="745">$AB$3*((100-AE305)/100)</f>
        <v>5.88</v>
      </c>
      <c r="AE305" s="164">
        <v>88.24</v>
      </c>
      <c r="AF305" s="164" t="str">
        <f t="shared" ref="AF305:AF310" si="746">$C$6*$C$7*_xlfn.CEILING.MATH(Z305)</f>
        <v>14.40</v>
      </c>
      <c r="AG305" s="165" t="str">
        <f t="shared" ref="AG305:AG310" si="747">R305*$C$2</f>
        <v>201.90</v>
      </c>
      <c r="AH305" s="23"/>
      <c r="AI305" s="278">
        <v>0.1</v>
      </c>
      <c r="AJ305" s="24" t="str">
        <f t="shared" ref="AJ305:AJ310" si="748">R305-W305-X305-Y305-AA305-AB305-AC305-AD305-AF305-AG305-Q305</f>
        <v>329.00</v>
      </c>
      <c r="AK305" s="279" t="str">
        <f t="shared" ref="AK305:AK310" si="749">AJ305/Q305</f>
        <v>69.59%</v>
      </c>
      <c r="AL305" s="280"/>
      <c r="AM305" s="281" t="str">
        <f t="shared" si="360"/>
        <v>0.00</v>
      </c>
      <c r="AN305" s="280"/>
      <c r="AO305" s="282"/>
      <c r="AP305" s="283"/>
      <c r="AQ305" s="283" t="str">
        <f t="shared" si="361"/>
        <v>0.00</v>
      </c>
      <c r="AR305" s="283"/>
      <c r="AS305" s="284"/>
      <c r="AT305" s="285" t="str">
        <f t="shared" si="235"/>
        <v>0.00</v>
      </c>
      <c r="AU305" s="284"/>
      <c r="AV305" s="286"/>
      <c r="AW305" s="285"/>
      <c r="AX305" s="284"/>
      <c r="AY305" s="26"/>
      <c r="AZ305" s="171" t="str">
        <f t="shared" ref="AZ305:AZ310" si="750">$AG$3</f>
        <v>0.00%</v>
      </c>
      <c r="BA305" s="172" t="str">
        <f t="shared" ref="BA305:BA310" si="751">Q305*AZ305</f>
        <v>0.00</v>
      </c>
      <c r="BB305" s="173" t="str">
        <f t="shared" ref="BB305:BB310" si="752">(Q305+W305+Y305+AA305+AD305+AF305+AI305+BA305)/(100%-($C$2+$C$8+$AB$6+$AB$7))</f>
        <v>1,452.18</v>
      </c>
      <c r="BC305" s="174" t="str">
        <f t="shared" ref="BC305:BC310" si="753">BB305-(BB305*$AG$1)</f>
        <v>1,031.05</v>
      </c>
    </row>
    <row r="306" ht="12.75" customHeight="1">
      <c r="A306" s="26"/>
      <c r="B306" s="190" t="s">
        <v>580</v>
      </c>
      <c r="C306" s="199">
        <v>2.14312149E8</v>
      </c>
      <c r="D306" s="152" t="s">
        <v>581</v>
      </c>
      <c r="E306" s="53" t="s">
        <v>77</v>
      </c>
      <c r="F306" s="154">
        <v>1.0</v>
      </c>
      <c r="G306" s="53"/>
      <c r="H306" s="53" t="str">
        <f t="shared" si="732"/>
        <v>0.00069</v>
      </c>
      <c r="I306" s="53" t="str">
        <f t="shared" si="733"/>
        <v>89</v>
      </c>
      <c r="J306" s="53" t="str">
        <f t="shared" si="734"/>
        <v>0</v>
      </c>
      <c r="K306" s="155" t="str">
        <f t="shared" si="735"/>
        <v>0.00</v>
      </c>
      <c r="L306" s="156" t="str">
        <f t="shared" si="736"/>
        <v>0.00 </v>
      </c>
      <c r="M306" s="132">
        <v>90.0</v>
      </c>
      <c r="N306" s="157">
        <v>294.15</v>
      </c>
      <c r="O306" s="277">
        <v>320.62</v>
      </c>
      <c r="P306" s="277">
        <v>311.8</v>
      </c>
      <c r="Q306" s="157">
        <v>294.15</v>
      </c>
      <c r="R306" s="158">
        <v>1304.0</v>
      </c>
      <c r="S306" s="159" t="str">
        <f t="shared" si="737"/>
        <v>1,304.00</v>
      </c>
      <c r="T306" s="160" t="s">
        <v>78</v>
      </c>
      <c r="U306" s="161">
        <v>0.26</v>
      </c>
      <c r="V306" s="162" t="str">
        <f t="shared" si="738"/>
        <v>964.96</v>
      </c>
      <c r="W306" s="163" t="str">
        <f t="shared" si="739"/>
        <v>60.00</v>
      </c>
      <c r="X306" s="164" t="str">
        <f t="shared" si="740"/>
        <v>72.15</v>
      </c>
      <c r="Y306" s="165" t="str">
        <f t="shared" si="741"/>
        <v>0.00</v>
      </c>
      <c r="Z306" s="166">
        <v>0.24</v>
      </c>
      <c r="AA306" s="167" t="str">
        <f t="shared" si="742"/>
        <v>76</v>
      </c>
      <c r="AB306" s="168" t="str">
        <f t="shared" si="743"/>
        <v>423.800</v>
      </c>
      <c r="AC306" s="168" t="str">
        <f t="shared" si="744"/>
        <v>34.353</v>
      </c>
      <c r="AD306" s="164" t="str">
        <f t="shared" si="745"/>
        <v>7.15</v>
      </c>
      <c r="AE306" s="164">
        <v>85.71</v>
      </c>
      <c r="AF306" s="164" t="str">
        <f t="shared" si="746"/>
        <v>4.80</v>
      </c>
      <c r="AG306" s="165" t="str">
        <f t="shared" si="747"/>
        <v>130.40</v>
      </c>
      <c r="AH306" s="23"/>
      <c r="AI306" s="278">
        <v>0.1</v>
      </c>
      <c r="AJ306" s="24" t="str">
        <f t="shared" si="748"/>
        <v>201.21</v>
      </c>
      <c r="AK306" s="279" t="str">
        <f t="shared" si="749"/>
        <v>68.40%</v>
      </c>
      <c r="AL306" s="280"/>
      <c r="AM306" s="281" t="str">
        <f t="shared" si="360"/>
        <v>0.00</v>
      </c>
      <c r="AN306" s="280"/>
      <c r="AO306" s="282">
        <v>22.22</v>
      </c>
      <c r="AP306" s="283">
        <v>215.95</v>
      </c>
      <c r="AQ306" s="283" t="str">
        <f t="shared" si="361"/>
        <v>0.00</v>
      </c>
      <c r="AR306" s="283">
        <v>70.35</v>
      </c>
      <c r="AS306" s="284">
        <v>8.0</v>
      </c>
      <c r="AT306" s="285" t="str">
        <f t="shared" si="235"/>
        <v>1,609.65</v>
      </c>
      <c r="AU306" s="284">
        <v>8.0</v>
      </c>
      <c r="AV306" s="286">
        <v>0.1228</v>
      </c>
      <c r="AW306" s="285">
        <v>1525.96</v>
      </c>
      <c r="AX306" s="284">
        <v>64.85</v>
      </c>
      <c r="AY306" s="26"/>
      <c r="AZ306" s="171" t="str">
        <f t="shared" si="750"/>
        <v>0.00%</v>
      </c>
      <c r="BA306" s="172" t="str">
        <f t="shared" si="751"/>
        <v>0.00</v>
      </c>
      <c r="BB306" s="173" t="str">
        <f t="shared" si="752"/>
        <v>962.55</v>
      </c>
      <c r="BC306" s="174" t="str">
        <f t="shared" si="753"/>
        <v>683.41</v>
      </c>
    </row>
    <row r="307" ht="12.75" customHeight="1">
      <c r="A307" s="26"/>
      <c r="B307" s="190" t="s">
        <v>582</v>
      </c>
      <c r="C307" s="199">
        <v>2.14311963E8</v>
      </c>
      <c r="D307" s="152" t="s">
        <v>583</v>
      </c>
      <c r="E307" s="53" t="s">
        <v>77</v>
      </c>
      <c r="F307" s="154">
        <v>1.0</v>
      </c>
      <c r="G307" s="53"/>
      <c r="H307" s="53" t="str">
        <f t="shared" si="732"/>
        <v>0.00069</v>
      </c>
      <c r="I307" s="53" t="str">
        <f t="shared" si="733"/>
        <v>89</v>
      </c>
      <c r="J307" s="53" t="str">
        <f t="shared" si="734"/>
        <v>0</v>
      </c>
      <c r="K307" s="155" t="str">
        <f t="shared" si="735"/>
        <v>0.00</v>
      </c>
      <c r="L307" s="156" t="str">
        <f t="shared" si="736"/>
        <v>0.00 </v>
      </c>
      <c r="M307" s="132">
        <v>90.0</v>
      </c>
      <c r="N307" s="157">
        <v>367.89</v>
      </c>
      <c r="O307" s="277">
        <v>401.0</v>
      </c>
      <c r="P307" s="277">
        <v>389.96</v>
      </c>
      <c r="Q307" s="157">
        <v>367.89</v>
      </c>
      <c r="R307" s="158">
        <v>1850.0</v>
      </c>
      <c r="S307" s="159" t="str">
        <f t="shared" si="737"/>
        <v>1,850.00</v>
      </c>
      <c r="T307" s="160">
        <v>1968.0</v>
      </c>
      <c r="U307" s="161">
        <v>0.26</v>
      </c>
      <c r="V307" s="162" t="str">
        <f t="shared" si="738"/>
        <v>1,369.00</v>
      </c>
      <c r="W307" s="163" t="str">
        <f t="shared" si="739"/>
        <v>60.00</v>
      </c>
      <c r="X307" s="164" t="str">
        <f t="shared" si="740"/>
        <v>102.36</v>
      </c>
      <c r="Y307" s="165" t="str">
        <f t="shared" si="741"/>
        <v>0.00</v>
      </c>
      <c r="Z307" s="166">
        <v>0.18</v>
      </c>
      <c r="AA307" s="167" t="str">
        <f t="shared" si="742"/>
        <v>76</v>
      </c>
      <c r="AB307" s="168" t="str">
        <f t="shared" si="743"/>
        <v>601.250</v>
      </c>
      <c r="AC307" s="168" t="str">
        <f t="shared" si="744"/>
        <v>48.736</v>
      </c>
      <c r="AD307" s="164" t="str">
        <f t="shared" si="745"/>
        <v>3.71</v>
      </c>
      <c r="AE307" s="164">
        <v>92.59</v>
      </c>
      <c r="AF307" s="164" t="str">
        <f t="shared" si="746"/>
        <v>4.80</v>
      </c>
      <c r="AG307" s="165" t="str">
        <f t="shared" si="747"/>
        <v>185.00</v>
      </c>
      <c r="AH307" s="23"/>
      <c r="AI307" s="278">
        <v>0.1</v>
      </c>
      <c r="AJ307" s="24" t="str">
        <f t="shared" si="748"/>
        <v>400.26</v>
      </c>
      <c r="AK307" s="279" t="str">
        <f t="shared" si="749"/>
        <v>108.80%</v>
      </c>
      <c r="AL307" s="280"/>
      <c r="AM307" s="281" t="str">
        <f t="shared" si="360"/>
        <v>0.00</v>
      </c>
      <c r="AN307" s="280"/>
      <c r="AO307" s="282">
        <v>16.4</v>
      </c>
      <c r="AP307" s="283">
        <v>575.2</v>
      </c>
      <c r="AQ307" s="283" t="str">
        <f t="shared" si="361"/>
        <v>0.00</v>
      </c>
      <c r="AR307" s="283">
        <v>148.26</v>
      </c>
      <c r="AS307" s="284">
        <v>12.0</v>
      </c>
      <c r="AT307" s="285" t="str">
        <f t="shared" si="235"/>
        <v>4,803.16</v>
      </c>
      <c r="AU307" s="284">
        <v>12.0</v>
      </c>
      <c r="AV307" s="286">
        <v>0.0775</v>
      </c>
      <c r="AW307" s="285">
        <v>5837.8</v>
      </c>
      <c r="AX307" s="284">
        <v>132.24</v>
      </c>
      <c r="AY307" s="26"/>
      <c r="AZ307" s="171" t="str">
        <f t="shared" si="750"/>
        <v>0.00%</v>
      </c>
      <c r="BA307" s="172" t="str">
        <f t="shared" si="751"/>
        <v>0.00</v>
      </c>
      <c r="BB307" s="173" t="str">
        <f t="shared" si="752"/>
        <v>1,115.57</v>
      </c>
      <c r="BC307" s="174" t="str">
        <f t="shared" si="753"/>
        <v>792.06</v>
      </c>
    </row>
    <row r="308" ht="12.75" hidden="1" customHeight="1">
      <c r="A308" s="26"/>
      <c r="B308" s="190" t="s">
        <v>584</v>
      </c>
      <c r="C308" s="202">
        <v>2.14312065E8</v>
      </c>
      <c r="D308" s="152" t="s">
        <v>585</v>
      </c>
      <c r="E308" s="53" t="s">
        <v>77</v>
      </c>
      <c r="F308" s="154">
        <v>1.0</v>
      </c>
      <c r="G308" s="53"/>
      <c r="H308" s="53" t="str">
        <f t="shared" si="732"/>
        <v>0.00069</v>
      </c>
      <c r="I308" s="53" t="str">
        <f t="shared" si="733"/>
        <v>89</v>
      </c>
      <c r="J308" s="53" t="str">
        <f t="shared" si="734"/>
        <v>0</v>
      </c>
      <c r="K308" s="155" t="str">
        <f t="shared" si="735"/>
        <v>0.00</v>
      </c>
      <c r="L308" s="156" t="str">
        <f t="shared" si="736"/>
        <v>0.00 </v>
      </c>
      <c r="M308" s="132">
        <v>90.0</v>
      </c>
      <c r="N308" s="157">
        <v>0.0</v>
      </c>
      <c r="O308" s="277">
        <v>0.0</v>
      </c>
      <c r="P308" s="277" t="str">
        <f t="shared" ref="P308:P310" si="754">K308/E308</f>
        <v>#VALUE!</v>
      </c>
      <c r="Q308" s="157">
        <v>0.0</v>
      </c>
      <c r="R308" s="158">
        <v>1259.1</v>
      </c>
      <c r="S308" s="159" t="str">
        <f t="shared" ref="S308:S310" si="755">BB308</f>
        <v>310.38</v>
      </c>
      <c r="T308" s="160"/>
      <c r="U308" s="161">
        <v>0.26</v>
      </c>
      <c r="V308" s="162" t="str">
        <f t="shared" si="738"/>
        <v>931.73</v>
      </c>
      <c r="W308" s="163" t="str">
        <f t="shared" si="739"/>
        <v>60.00</v>
      </c>
      <c r="X308" s="164" t="str">
        <f t="shared" si="740"/>
        <v>69.66</v>
      </c>
      <c r="Y308" s="165" t="str">
        <f t="shared" si="741"/>
        <v>0.00</v>
      </c>
      <c r="Z308" s="166">
        <v>0.68</v>
      </c>
      <c r="AA308" s="167" t="str">
        <f t="shared" si="742"/>
        <v>76</v>
      </c>
      <c r="AB308" s="168" t="str">
        <f t="shared" si="743"/>
        <v>409.208</v>
      </c>
      <c r="AC308" s="168" t="str">
        <f t="shared" si="744"/>
        <v>33.170</v>
      </c>
      <c r="AD308" s="164" t="str">
        <f t="shared" si="745"/>
        <v>1.69</v>
      </c>
      <c r="AE308" s="164">
        <v>96.62</v>
      </c>
      <c r="AF308" s="164" t="str">
        <f t="shared" si="746"/>
        <v>4.80</v>
      </c>
      <c r="AG308" s="165" t="str">
        <f t="shared" si="747"/>
        <v>125.91</v>
      </c>
      <c r="AH308" s="23"/>
      <c r="AI308" s="278">
        <v>0.1</v>
      </c>
      <c r="AJ308" s="24" t="str">
        <f t="shared" si="748"/>
        <v>478.66</v>
      </c>
      <c r="AK308" s="279" t="str">
        <f t="shared" si="749"/>
        <v>#DIV/0!</v>
      </c>
      <c r="AL308" s="280"/>
      <c r="AM308" s="281" t="str">
        <f t="shared" si="360"/>
        <v>0.00</v>
      </c>
      <c r="AN308" s="280"/>
      <c r="AO308" s="282"/>
      <c r="AP308" s="283"/>
      <c r="AQ308" s="283" t="str">
        <f t="shared" si="361"/>
        <v>0.00</v>
      </c>
      <c r="AR308" s="283"/>
      <c r="AS308" s="284"/>
      <c r="AT308" s="285" t="str">
        <f t="shared" si="235"/>
        <v>0.00</v>
      </c>
      <c r="AU308" s="284"/>
      <c r="AV308" s="286"/>
      <c r="AW308" s="285"/>
      <c r="AX308" s="284"/>
      <c r="AY308" s="26"/>
      <c r="AZ308" s="171" t="str">
        <f t="shared" si="750"/>
        <v>0.00%</v>
      </c>
      <c r="BA308" s="172" t="str">
        <f t="shared" si="751"/>
        <v>0.00</v>
      </c>
      <c r="BB308" s="173" t="str">
        <f t="shared" si="752"/>
        <v>310.38</v>
      </c>
      <c r="BC308" s="174" t="str">
        <f t="shared" si="753"/>
        <v>220.37</v>
      </c>
    </row>
    <row r="309" ht="12.75" hidden="1" customHeight="1">
      <c r="A309" s="26"/>
      <c r="B309" s="190" t="s">
        <v>586</v>
      </c>
      <c r="C309" s="202">
        <v>2.1431211E8</v>
      </c>
      <c r="D309" s="152" t="s">
        <v>587</v>
      </c>
      <c r="E309" s="53" t="s">
        <v>77</v>
      </c>
      <c r="F309" s="154">
        <v>1.0</v>
      </c>
      <c r="G309" s="53"/>
      <c r="H309" s="53" t="str">
        <f t="shared" si="732"/>
        <v>0.00069</v>
      </c>
      <c r="I309" s="53" t="str">
        <f t="shared" si="733"/>
        <v>89</v>
      </c>
      <c r="J309" s="53" t="str">
        <f t="shared" si="734"/>
        <v>0</v>
      </c>
      <c r="K309" s="155" t="str">
        <f t="shared" si="735"/>
        <v>0.00</v>
      </c>
      <c r="L309" s="156" t="str">
        <f t="shared" si="736"/>
        <v>0.00 </v>
      </c>
      <c r="M309" s="132">
        <v>90.0</v>
      </c>
      <c r="N309" s="157">
        <v>0.0</v>
      </c>
      <c r="O309" s="277">
        <v>0.0</v>
      </c>
      <c r="P309" s="277" t="str">
        <f t="shared" si="754"/>
        <v>#VALUE!</v>
      </c>
      <c r="Q309" s="157">
        <v>0.0</v>
      </c>
      <c r="R309" s="158">
        <v>1501.2</v>
      </c>
      <c r="S309" s="159" t="str">
        <f t="shared" si="755"/>
        <v>317.28</v>
      </c>
      <c r="T309" s="160"/>
      <c r="U309" s="161">
        <v>0.26</v>
      </c>
      <c r="V309" s="162" t="str">
        <f t="shared" si="738"/>
        <v>1,110.89</v>
      </c>
      <c r="W309" s="163" t="str">
        <f t="shared" si="739"/>
        <v>60.00</v>
      </c>
      <c r="X309" s="164" t="str">
        <f t="shared" si="740"/>
        <v>83.06</v>
      </c>
      <c r="Y309" s="165" t="str">
        <f t="shared" si="741"/>
        <v>0.00</v>
      </c>
      <c r="Z309" s="166">
        <v>0.61</v>
      </c>
      <c r="AA309" s="167" t="str">
        <f t="shared" si="742"/>
        <v>76</v>
      </c>
      <c r="AB309" s="168" t="str">
        <f t="shared" si="743"/>
        <v>487.890</v>
      </c>
      <c r="AC309" s="168" t="str">
        <f t="shared" si="744"/>
        <v>39.548</v>
      </c>
      <c r="AD309" s="164" t="str">
        <f t="shared" si="745"/>
        <v>4.86</v>
      </c>
      <c r="AE309" s="164">
        <v>90.28</v>
      </c>
      <c r="AF309" s="164" t="str">
        <f t="shared" si="746"/>
        <v>4.80</v>
      </c>
      <c r="AG309" s="165" t="str">
        <f t="shared" si="747"/>
        <v>150.12</v>
      </c>
      <c r="AH309" s="23"/>
      <c r="AI309" s="278">
        <v>0.1</v>
      </c>
      <c r="AJ309" s="24" t="str">
        <f t="shared" si="748"/>
        <v>594.93</v>
      </c>
      <c r="AK309" s="279" t="str">
        <f t="shared" si="749"/>
        <v>#DIV/0!</v>
      </c>
      <c r="AL309" s="280"/>
      <c r="AM309" s="281" t="str">
        <f t="shared" si="360"/>
        <v>0.00</v>
      </c>
      <c r="AN309" s="280"/>
      <c r="AO309" s="282"/>
      <c r="AP309" s="283"/>
      <c r="AQ309" s="283" t="str">
        <f t="shared" si="361"/>
        <v>0.00</v>
      </c>
      <c r="AR309" s="283"/>
      <c r="AS309" s="284"/>
      <c r="AT309" s="285" t="str">
        <f t="shared" si="235"/>
        <v>0.00</v>
      </c>
      <c r="AU309" s="284"/>
      <c r="AV309" s="286"/>
      <c r="AW309" s="285"/>
      <c r="AX309" s="284"/>
      <c r="AY309" s="26"/>
      <c r="AZ309" s="171" t="str">
        <f t="shared" si="750"/>
        <v>0.00%</v>
      </c>
      <c r="BA309" s="172" t="str">
        <f t="shared" si="751"/>
        <v>0.00</v>
      </c>
      <c r="BB309" s="173" t="str">
        <f t="shared" si="752"/>
        <v>317.28</v>
      </c>
      <c r="BC309" s="174" t="str">
        <f t="shared" si="753"/>
        <v>225.27</v>
      </c>
    </row>
    <row r="310" ht="12.75" hidden="1" customHeight="1">
      <c r="A310" s="26"/>
      <c r="B310" s="190" t="s">
        <v>588</v>
      </c>
      <c r="C310" s="202">
        <v>2.14319164E8</v>
      </c>
      <c r="D310" s="152" t="s">
        <v>589</v>
      </c>
      <c r="E310" s="53" t="s">
        <v>77</v>
      </c>
      <c r="F310" s="154">
        <v>1.0</v>
      </c>
      <c r="G310" s="53"/>
      <c r="H310" s="53" t="str">
        <f t="shared" si="732"/>
        <v>0.00069</v>
      </c>
      <c r="I310" s="53" t="str">
        <f t="shared" si="733"/>
        <v>89</v>
      </c>
      <c r="J310" s="53" t="str">
        <f t="shared" si="734"/>
        <v>0</v>
      </c>
      <c r="K310" s="155" t="str">
        <f t="shared" si="735"/>
        <v>0.00</v>
      </c>
      <c r="L310" s="156" t="str">
        <f t="shared" si="736"/>
        <v>0.00 </v>
      </c>
      <c r="M310" s="132">
        <v>90.0</v>
      </c>
      <c r="N310" s="157">
        <v>0.0</v>
      </c>
      <c r="O310" s="277">
        <v>0.0</v>
      </c>
      <c r="P310" s="277" t="str">
        <f t="shared" si="754"/>
        <v>#VALUE!</v>
      </c>
      <c r="Q310" s="157">
        <v>0.0</v>
      </c>
      <c r="R310" s="158">
        <v>2308.2</v>
      </c>
      <c r="S310" s="159" t="str">
        <f t="shared" si="755"/>
        <v>309.93</v>
      </c>
      <c r="T310" s="160"/>
      <c r="U310" s="161">
        <v>0.26</v>
      </c>
      <c r="V310" s="162" t="str">
        <f t="shared" si="738"/>
        <v>1,708.07</v>
      </c>
      <c r="W310" s="163" t="str">
        <f t="shared" si="739"/>
        <v>60.00</v>
      </c>
      <c r="X310" s="164" t="str">
        <f t="shared" si="740"/>
        <v>127.71</v>
      </c>
      <c r="Y310" s="165" t="str">
        <f t="shared" si="741"/>
        <v>0.00</v>
      </c>
      <c r="Z310" s="166">
        <v>0.96</v>
      </c>
      <c r="AA310" s="167" t="str">
        <f t="shared" si="742"/>
        <v>76</v>
      </c>
      <c r="AB310" s="168" t="str">
        <f t="shared" si="743"/>
        <v>750.165</v>
      </c>
      <c r="AC310" s="168" t="str">
        <f t="shared" si="744"/>
        <v>60.807</v>
      </c>
      <c r="AD310" s="164" t="str">
        <f t="shared" si="745"/>
        <v>1.48</v>
      </c>
      <c r="AE310" s="164">
        <v>97.04</v>
      </c>
      <c r="AF310" s="164" t="str">
        <f t="shared" si="746"/>
        <v>4.80</v>
      </c>
      <c r="AG310" s="165" t="str">
        <f t="shared" si="747"/>
        <v>230.82</v>
      </c>
      <c r="AH310" s="23"/>
      <c r="AI310" s="278">
        <v>0.1</v>
      </c>
      <c r="AJ310" s="24" t="str">
        <f t="shared" si="748"/>
        <v>996.42</v>
      </c>
      <c r="AK310" s="279" t="str">
        <f t="shared" si="749"/>
        <v>#DIV/0!</v>
      </c>
      <c r="AL310" s="280"/>
      <c r="AM310" s="281" t="str">
        <f t="shared" si="360"/>
        <v>0.00</v>
      </c>
      <c r="AN310" s="280"/>
      <c r="AO310" s="282"/>
      <c r="AP310" s="283"/>
      <c r="AQ310" s="283" t="str">
        <f t="shared" si="361"/>
        <v>0.00</v>
      </c>
      <c r="AR310" s="283"/>
      <c r="AS310" s="284"/>
      <c r="AT310" s="285" t="str">
        <f t="shared" si="235"/>
        <v>0.00</v>
      </c>
      <c r="AU310" s="284"/>
      <c r="AV310" s="286"/>
      <c r="AW310" s="285"/>
      <c r="AX310" s="284"/>
      <c r="AY310" s="26"/>
      <c r="AZ310" s="171" t="str">
        <f t="shared" si="750"/>
        <v>0.00%</v>
      </c>
      <c r="BA310" s="172" t="str">
        <f t="shared" si="751"/>
        <v>0.00</v>
      </c>
      <c r="BB310" s="173" t="str">
        <f t="shared" si="752"/>
        <v>309.93</v>
      </c>
      <c r="BC310" s="174" t="str">
        <f t="shared" si="753"/>
        <v>220.05</v>
      </c>
    </row>
    <row r="311" ht="12.75" customHeight="1">
      <c r="A311" s="26"/>
      <c r="B311" s="125" t="s">
        <v>590</v>
      </c>
      <c r="C311" s="126"/>
      <c r="D311" s="127"/>
      <c r="E311" s="128"/>
      <c r="F311" s="128"/>
      <c r="G311" s="128"/>
      <c r="H311" s="197"/>
      <c r="I311" s="197"/>
      <c r="J311" s="128"/>
      <c r="K311" s="130"/>
      <c r="L311" s="131"/>
      <c r="M311" s="132"/>
      <c r="N311" s="176"/>
      <c r="O311" s="133"/>
      <c r="P311" s="133"/>
      <c r="Q311" s="176"/>
      <c r="R311" s="134"/>
      <c r="S311" s="135"/>
      <c r="T311" s="135"/>
      <c r="U311" s="136"/>
      <c r="V311" s="137"/>
      <c r="W311" s="177"/>
      <c r="X311" s="178"/>
      <c r="Y311" s="179"/>
      <c r="Z311" s="180"/>
      <c r="AA311" s="181"/>
      <c r="AB311" s="182"/>
      <c r="AC311" s="182"/>
      <c r="AD311" s="178"/>
      <c r="AE311" s="178"/>
      <c r="AF311" s="178"/>
      <c r="AG311" s="179"/>
      <c r="AH311" s="183"/>
      <c r="AI311" s="271"/>
      <c r="AJ311" s="287"/>
      <c r="AK311" s="288"/>
      <c r="AL311" s="280"/>
      <c r="AM311" s="281" t="str">
        <f t="shared" si="360"/>
        <v>0.00</v>
      </c>
      <c r="AN311" s="280"/>
      <c r="AO311" s="282"/>
      <c r="AP311" s="283"/>
      <c r="AQ311" s="283" t="str">
        <f t="shared" si="361"/>
        <v>0.00</v>
      </c>
      <c r="AR311" s="283"/>
      <c r="AS311" s="284"/>
      <c r="AT311" s="285" t="str">
        <f t="shared" si="235"/>
        <v>0.00</v>
      </c>
      <c r="AU311" s="284"/>
      <c r="AV311" s="286"/>
      <c r="AW311" s="285"/>
      <c r="AX311" s="284"/>
      <c r="AY311" s="26"/>
      <c r="AZ311" s="186"/>
      <c r="BA311" s="187"/>
      <c r="BB311" s="188"/>
      <c r="BC311" s="189"/>
    </row>
    <row r="312" ht="12.75" hidden="1" customHeight="1">
      <c r="A312" s="26"/>
      <c r="B312" s="190" t="s">
        <v>591</v>
      </c>
      <c r="C312" s="199">
        <v>2.48928555E8</v>
      </c>
      <c r="D312" s="152" t="s">
        <v>592</v>
      </c>
      <c r="E312" s="53" t="s">
        <v>77</v>
      </c>
      <c r="F312" s="154">
        <v>1.0</v>
      </c>
      <c r="G312" s="53"/>
      <c r="H312" s="53" t="str">
        <f t="shared" ref="H312:H319" si="756">$I$2</f>
        <v>0.00069</v>
      </c>
      <c r="I312" s="53" t="str">
        <f t="shared" ref="I312:I319" si="757">$I$3</f>
        <v>89</v>
      </c>
      <c r="J312" s="53" t="str">
        <f t="shared" ref="J312:J319" si="758">G312*H312*I312*F312</f>
        <v>0</v>
      </c>
      <c r="K312" s="155" t="str">
        <f t="shared" ref="K312:K319" si="759">J312*$J$4</f>
        <v>0.00</v>
      </c>
      <c r="L312" s="156" t="str">
        <f t="shared" ref="L312:L319" si="760">K312+J312</f>
        <v>0.00 </v>
      </c>
      <c r="M312" s="132">
        <v>90.0</v>
      </c>
      <c r="N312" s="157">
        <v>984.2</v>
      </c>
      <c r="O312" s="277">
        <v>1072.78</v>
      </c>
      <c r="P312" s="277">
        <v>1043.25</v>
      </c>
      <c r="Q312" s="157">
        <v>984.2</v>
      </c>
      <c r="R312" s="158">
        <v>2700.0</v>
      </c>
      <c r="S312" s="159" t="str">
        <f t="shared" ref="S312:S319" si="761">BB312</f>
        <v>2,506.31</v>
      </c>
      <c r="T312" s="160"/>
      <c r="U312" s="161">
        <v>0.26</v>
      </c>
      <c r="V312" s="162" t="str">
        <f t="shared" ref="V312:V319" si="762">R312-(R312*U312)</f>
        <v>1,998.00</v>
      </c>
      <c r="W312" s="163" t="str">
        <f t="shared" ref="W312:W319" si="763">$C$1</f>
        <v>60.00</v>
      </c>
      <c r="X312" s="164" t="str">
        <f t="shared" ref="X312:X319" si="764">(V312*7/107)+((V312-(V312*7/107))*1%)</f>
        <v>149.38</v>
      </c>
      <c r="Y312" s="165" t="str">
        <f t="shared" ref="Y312:Y319" si="765">Q312*$C$3*(M312/30)</f>
        <v>0.00</v>
      </c>
      <c r="Z312" s="166">
        <v>1.08</v>
      </c>
      <c r="AA312" s="167" t="str">
        <f t="shared" ref="AA312:AA319" si="766">((_xlfn.CEILING.MATH(Z312)-1)*$C$5+$C$4)</f>
        <v>95</v>
      </c>
      <c r="AB312" s="168" t="str">
        <f t="shared" ref="AB312:AB319" si="767">R312*$AB$6</f>
        <v>877.500</v>
      </c>
      <c r="AC312" s="168" t="str">
        <f t="shared" ref="AC312:AC319" si="768">V312*$AB$7</f>
        <v>71.129</v>
      </c>
      <c r="AD312" s="164" t="str">
        <f t="shared" ref="AD312:AD319" si="769">$AB$3*((100-AE312)/100)</f>
        <v>2.50</v>
      </c>
      <c r="AE312" s="164">
        <v>95.0</v>
      </c>
      <c r="AF312" s="164" t="str">
        <f t="shared" ref="AF312:AF319" si="770">$C$6*$C$7*_xlfn.CEILING.MATH(Z312)</f>
        <v>9.60</v>
      </c>
      <c r="AG312" s="165" t="str">
        <f t="shared" ref="AG312:AG319" si="771">R312*$C$2</f>
        <v>270.00</v>
      </c>
      <c r="AH312" s="23"/>
      <c r="AI312" s="278">
        <v>0.1</v>
      </c>
      <c r="AJ312" s="24" t="str">
        <f t="shared" ref="AJ312:AJ319" si="772">R312-W312-X312-Y312-AA312-AB312-AC312-AD312-AF312-AG312-Q312</f>
        <v>180.69</v>
      </c>
      <c r="AK312" s="279" t="str">
        <f t="shared" ref="AK312:AK319" si="773">AJ312/Q312</f>
        <v>18.36%</v>
      </c>
      <c r="AL312" s="280"/>
      <c r="AM312" s="281" t="str">
        <f t="shared" si="360"/>
        <v>0.00</v>
      </c>
      <c r="AN312" s="280"/>
      <c r="AO312" s="282"/>
      <c r="AP312" s="283"/>
      <c r="AQ312" s="283" t="str">
        <f t="shared" si="361"/>
        <v>0.00</v>
      </c>
      <c r="AR312" s="283"/>
      <c r="AS312" s="284">
        <v>0.0</v>
      </c>
      <c r="AT312" s="285" t="str">
        <f t="shared" si="235"/>
        <v>0.00</v>
      </c>
      <c r="AU312" s="284">
        <v>0.0</v>
      </c>
      <c r="AV312" s="286"/>
      <c r="AW312" s="285"/>
      <c r="AX312" s="284"/>
      <c r="AY312" s="26"/>
      <c r="AZ312" s="171" t="str">
        <f t="shared" ref="AZ312:AZ319" si="774">$AG$3</f>
        <v>0.00%</v>
      </c>
      <c r="BA312" s="172" t="str">
        <f t="shared" ref="BA312:BA319" si="775">Q312*AZ312</f>
        <v>0.00</v>
      </c>
      <c r="BB312" s="173" t="str">
        <f t="shared" ref="BB312:BB319" si="776">(Q312+W312+Y312+AA312+AD312+AF312+AI312+BA312)/(100%-($C$2+$C$8+$AB$6+$AB$7))</f>
        <v>2,506.31</v>
      </c>
      <c r="BC312" s="174" t="str">
        <f t="shared" ref="BC312:BC319" si="777">BB312-(BB312*$AG$1)</f>
        <v>1,779.48</v>
      </c>
    </row>
    <row r="313" ht="12.75" hidden="1" customHeight="1">
      <c r="A313" s="26"/>
      <c r="B313" s="190" t="s">
        <v>593</v>
      </c>
      <c r="C313" s="192">
        <v>2.48920315E8</v>
      </c>
      <c r="D313" s="152" t="s">
        <v>594</v>
      </c>
      <c r="E313" s="53" t="s">
        <v>77</v>
      </c>
      <c r="F313" s="154">
        <v>1.0</v>
      </c>
      <c r="G313" s="53"/>
      <c r="H313" s="53" t="str">
        <f t="shared" si="756"/>
        <v>0.00069</v>
      </c>
      <c r="I313" s="53" t="str">
        <f t="shared" si="757"/>
        <v>89</v>
      </c>
      <c r="J313" s="53" t="str">
        <f t="shared" si="758"/>
        <v>0</v>
      </c>
      <c r="K313" s="155" t="str">
        <f t="shared" si="759"/>
        <v>0.00</v>
      </c>
      <c r="L313" s="156" t="str">
        <f t="shared" si="760"/>
        <v>0.00 </v>
      </c>
      <c r="M313" s="132">
        <v>90.0</v>
      </c>
      <c r="N313" s="157">
        <v>0.0</v>
      </c>
      <c r="O313" s="277">
        <v>0.0</v>
      </c>
      <c r="P313" s="277" t="str">
        <f>K313/E313</f>
        <v>#VALUE!</v>
      </c>
      <c r="Q313" s="157">
        <v>0.0</v>
      </c>
      <c r="R313" s="158">
        <v>1659.0</v>
      </c>
      <c r="S313" s="159" t="str">
        <f t="shared" si="761"/>
        <v>306.70</v>
      </c>
      <c r="T313" s="160"/>
      <c r="U313" s="161">
        <v>0.26</v>
      </c>
      <c r="V313" s="162" t="str">
        <f t="shared" si="762"/>
        <v>1,227.66</v>
      </c>
      <c r="W313" s="163" t="str">
        <f t="shared" si="763"/>
        <v>60.00</v>
      </c>
      <c r="X313" s="164" t="str">
        <f t="shared" si="764"/>
        <v>91.79</v>
      </c>
      <c r="Y313" s="165" t="str">
        <f t="shared" si="765"/>
        <v>0.00</v>
      </c>
      <c r="Z313" s="166">
        <v>0.43</v>
      </c>
      <c r="AA313" s="167" t="str">
        <f t="shared" si="766"/>
        <v>76</v>
      </c>
      <c r="AB313" s="168" t="str">
        <f t="shared" si="767"/>
        <v>539.175</v>
      </c>
      <c r="AC313" s="168" t="str">
        <f t="shared" si="768"/>
        <v>43.705</v>
      </c>
      <c r="AD313" s="164" t="str">
        <f t="shared" si="769"/>
        <v>0.00</v>
      </c>
      <c r="AE313" s="164">
        <v>100.0</v>
      </c>
      <c r="AF313" s="164" t="str">
        <f t="shared" si="770"/>
        <v>4.80</v>
      </c>
      <c r="AG313" s="165" t="str">
        <f t="shared" si="771"/>
        <v>165.90</v>
      </c>
      <c r="AH313" s="23"/>
      <c r="AI313" s="278">
        <v>0.1</v>
      </c>
      <c r="AJ313" s="24" t="str">
        <f t="shared" si="772"/>
        <v>677.63</v>
      </c>
      <c r="AK313" s="279" t="str">
        <f t="shared" si="773"/>
        <v>#DIV/0!</v>
      </c>
      <c r="AL313" s="280"/>
      <c r="AM313" s="281" t="str">
        <f t="shared" si="360"/>
        <v>0.00</v>
      </c>
      <c r="AN313" s="280"/>
      <c r="AO313" s="282"/>
      <c r="AP313" s="283"/>
      <c r="AQ313" s="283" t="str">
        <f t="shared" si="361"/>
        <v>0.00</v>
      </c>
      <c r="AR313" s="283"/>
      <c r="AS313" s="284"/>
      <c r="AT313" s="285" t="str">
        <f t="shared" si="235"/>
        <v>0.00</v>
      </c>
      <c r="AU313" s="284"/>
      <c r="AV313" s="286"/>
      <c r="AW313" s="285"/>
      <c r="AX313" s="284"/>
      <c r="AY313" s="26"/>
      <c r="AZ313" s="171" t="str">
        <f t="shared" si="774"/>
        <v>0.00%</v>
      </c>
      <c r="BA313" s="172" t="str">
        <f t="shared" si="775"/>
        <v>0.00</v>
      </c>
      <c r="BB313" s="173" t="str">
        <f t="shared" si="776"/>
        <v>306.70</v>
      </c>
      <c r="BC313" s="174" t="str">
        <f t="shared" si="777"/>
        <v>217.76</v>
      </c>
    </row>
    <row r="314" ht="12.75" customHeight="1">
      <c r="A314" s="26"/>
      <c r="B314" s="190" t="s">
        <v>595</v>
      </c>
      <c r="C314" s="199">
        <v>2.48928046E8</v>
      </c>
      <c r="D314" s="152" t="s">
        <v>596</v>
      </c>
      <c r="E314" s="53" t="s">
        <v>77</v>
      </c>
      <c r="F314" s="154">
        <v>1.0</v>
      </c>
      <c r="G314" s="53"/>
      <c r="H314" s="53" t="str">
        <f t="shared" si="756"/>
        <v>0.00069</v>
      </c>
      <c r="I314" s="53" t="str">
        <f t="shared" si="757"/>
        <v>89</v>
      </c>
      <c r="J314" s="53" t="str">
        <f t="shared" si="758"/>
        <v>0</v>
      </c>
      <c r="K314" s="155" t="str">
        <f t="shared" si="759"/>
        <v>0.00</v>
      </c>
      <c r="L314" s="156" t="str">
        <f t="shared" si="760"/>
        <v>0.00 </v>
      </c>
      <c r="M314" s="132">
        <v>90.0</v>
      </c>
      <c r="N314" s="157">
        <v>549.71</v>
      </c>
      <c r="O314" s="277">
        <v>599.18</v>
      </c>
      <c r="P314" s="277">
        <v>582.69</v>
      </c>
      <c r="Q314" s="157">
        <v>549.71</v>
      </c>
      <c r="R314" s="158">
        <v>1600.0</v>
      </c>
      <c r="S314" s="159" t="str">
        <f t="shared" si="761"/>
        <v>1,530.50</v>
      </c>
      <c r="T314" s="160"/>
      <c r="U314" s="161">
        <v>0.26</v>
      </c>
      <c r="V314" s="162" t="str">
        <f t="shared" si="762"/>
        <v>1,184.00</v>
      </c>
      <c r="W314" s="163" t="str">
        <f t="shared" si="763"/>
        <v>60.00</v>
      </c>
      <c r="X314" s="164" t="str">
        <f t="shared" si="764"/>
        <v>88.52</v>
      </c>
      <c r="Y314" s="165" t="str">
        <f t="shared" si="765"/>
        <v>0.00</v>
      </c>
      <c r="Z314" s="166">
        <v>0.48</v>
      </c>
      <c r="AA314" s="167" t="str">
        <f t="shared" si="766"/>
        <v>76</v>
      </c>
      <c r="AB314" s="168" t="str">
        <f t="shared" si="767"/>
        <v>520.000</v>
      </c>
      <c r="AC314" s="168" t="str">
        <f t="shared" si="768"/>
        <v>42.150</v>
      </c>
      <c r="AD314" s="164" t="str">
        <f t="shared" si="769"/>
        <v>12.50</v>
      </c>
      <c r="AE314" s="164">
        <v>75.0</v>
      </c>
      <c r="AF314" s="164" t="str">
        <f t="shared" si="770"/>
        <v>4.80</v>
      </c>
      <c r="AG314" s="165" t="str">
        <f t="shared" si="771"/>
        <v>160.00</v>
      </c>
      <c r="AH314" s="23"/>
      <c r="AI314" s="278">
        <v>0.1</v>
      </c>
      <c r="AJ314" s="24" t="str">
        <f t="shared" si="772"/>
        <v>86.32</v>
      </c>
      <c r="AK314" s="279" t="str">
        <f t="shared" si="773"/>
        <v>15.70%</v>
      </c>
      <c r="AL314" s="280"/>
      <c r="AM314" s="281" t="str">
        <f t="shared" si="360"/>
        <v>0.00</v>
      </c>
      <c r="AN314" s="280"/>
      <c r="AO314" s="282"/>
      <c r="AP314" s="283"/>
      <c r="AQ314" s="283" t="str">
        <f t="shared" si="361"/>
        <v>0.00</v>
      </c>
      <c r="AR314" s="283"/>
      <c r="AS314" s="284">
        <v>7.0</v>
      </c>
      <c r="AT314" s="285" t="str">
        <f t="shared" si="235"/>
        <v>604.21</v>
      </c>
      <c r="AU314" s="284">
        <v>7.0</v>
      </c>
      <c r="AV314" s="286">
        <v>0.0</v>
      </c>
      <c r="AW314" s="285">
        <v>1354.14</v>
      </c>
      <c r="AX314" s="284">
        <v>35.19</v>
      </c>
      <c r="AY314" s="26"/>
      <c r="AZ314" s="171" t="str">
        <f t="shared" si="774"/>
        <v>0.00%</v>
      </c>
      <c r="BA314" s="172" t="str">
        <f t="shared" si="775"/>
        <v>0.00</v>
      </c>
      <c r="BB314" s="173" t="str">
        <f t="shared" si="776"/>
        <v>1,530.50</v>
      </c>
      <c r="BC314" s="174" t="str">
        <f t="shared" si="777"/>
        <v>1,086.65</v>
      </c>
    </row>
    <row r="315" ht="12.75" customHeight="1">
      <c r="A315" s="26"/>
      <c r="B315" s="190" t="s">
        <v>597</v>
      </c>
      <c r="C315" s="199">
        <v>2.48929125E8</v>
      </c>
      <c r="D315" s="152" t="s">
        <v>598</v>
      </c>
      <c r="E315" s="53" t="s">
        <v>77</v>
      </c>
      <c r="F315" s="154">
        <v>1.0</v>
      </c>
      <c r="G315" s="53"/>
      <c r="H315" s="53" t="str">
        <f t="shared" si="756"/>
        <v>0.00069</v>
      </c>
      <c r="I315" s="53" t="str">
        <f t="shared" si="757"/>
        <v>89</v>
      </c>
      <c r="J315" s="53" t="str">
        <f t="shared" si="758"/>
        <v>0</v>
      </c>
      <c r="K315" s="155" t="str">
        <f t="shared" si="759"/>
        <v>0.00</v>
      </c>
      <c r="L315" s="156" t="str">
        <f t="shared" si="760"/>
        <v>0.00 </v>
      </c>
      <c r="M315" s="132">
        <v>90.0</v>
      </c>
      <c r="N315" s="157">
        <v>1057.2</v>
      </c>
      <c r="O315" s="277">
        <v>1152.35</v>
      </c>
      <c r="P315" s="277">
        <v>1120.63</v>
      </c>
      <c r="Q315" s="157">
        <v>1057.2</v>
      </c>
      <c r="R315" s="158">
        <v>2800.0</v>
      </c>
      <c r="S315" s="159" t="str">
        <f t="shared" si="761"/>
        <v>2,611.52</v>
      </c>
      <c r="T315" s="160"/>
      <c r="U315" s="161">
        <v>0.26</v>
      </c>
      <c r="V315" s="162" t="str">
        <f t="shared" si="762"/>
        <v>2,072.00</v>
      </c>
      <c r="W315" s="163" t="str">
        <f t="shared" si="763"/>
        <v>60.00</v>
      </c>
      <c r="X315" s="164" t="str">
        <f t="shared" si="764"/>
        <v>154.92</v>
      </c>
      <c r="Y315" s="165" t="str">
        <f t="shared" si="765"/>
        <v>0.00</v>
      </c>
      <c r="Z315" s="166">
        <v>0.25</v>
      </c>
      <c r="AA315" s="167" t="str">
        <f t="shared" si="766"/>
        <v>76</v>
      </c>
      <c r="AB315" s="168" t="str">
        <f t="shared" si="767"/>
        <v>910.000</v>
      </c>
      <c r="AC315" s="168" t="str">
        <f t="shared" si="768"/>
        <v>73.763</v>
      </c>
      <c r="AD315" s="164" t="str">
        <f t="shared" si="769"/>
        <v>1.63</v>
      </c>
      <c r="AE315" s="164">
        <v>96.74</v>
      </c>
      <c r="AF315" s="164" t="str">
        <f t="shared" si="770"/>
        <v>4.80</v>
      </c>
      <c r="AG315" s="165" t="str">
        <f t="shared" si="771"/>
        <v>280.00</v>
      </c>
      <c r="AH315" s="23"/>
      <c r="AI315" s="278">
        <v>0.1</v>
      </c>
      <c r="AJ315" s="24" t="str">
        <f t="shared" si="772"/>
        <v>181.69</v>
      </c>
      <c r="AK315" s="279" t="str">
        <f t="shared" si="773"/>
        <v>17.19%</v>
      </c>
      <c r="AL315" s="280"/>
      <c r="AM315" s="281" t="str">
        <f t="shared" si="360"/>
        <v>0.00</v>
      </c>
      <c r="AN315" s="280"/>
      <c r="AO315" s="282">
        <v>26.26</v>
      </c>
      <c r="AP315" s="283">
        <v>270.19</v>
      </c>
      <c r="AQ315" s="283" t="str">
        <f t="shared" si="361"/>
        <v>0.00</v>
      </c>
      <c r="AR315" s="283">
        <v>24.45</v>
      </c>
      <c r="AS315" s="284">
        <v>13.0</v>
      </c>
      <c r="AT315" s="285" t="str">
        <f t="shared" si="235"/>
        <v>2,361.98</v>
      </c>
      <c r="AU315" s="284">
        <v>13.0</v>
      </c>
      <c r="AV315" s="286">
        <v>0.0266</v>
      </c>
      <c r="AW315" s="285">
        <v>5963.77</v>
      </c>
      <c r="AX315" s="284">
        <v>43.39</v>
      </c>
      <c r="AY315" s="26"/>
      <c r="AZ315" s="171" t="str">
        <f t="shared" si="774"/>
        <v>0.00%</v>
      </c>
      <c r="BA315" s="172" t="str">
        <f t="shared" si="775"/>
        <v>0.00</v>
      </c>
      <c r="BB315" s="173" t="str">
        <f t="shared" si="776"/>
        <v>2,611.52</v>
      </c>
      <c r="BC315" s="174" t="str">
        <f t="shared" si="777"/>
        <v>1,854.18</v>
      </c>
    </row>
    <row r="316" ht="12.75" hidden="1" customHeight="1">
      <c r="A316" s="26"/>
      <c r="B316" s="190" t="s">
        <v>599</v>
      </c>
      <c r="C316" s="202">
        <v>2.48922407E8</v>
      </c>
      <c r="D316" s="152" t="s">
        <v>600</v>
      </c>
      <c r="E316" s="53" t="s">
        <v>77</v>
      </c>
      <c r="F316" s="154">
        <v>1.0</v>
      </c>
      <c r="G316" s="53"/>
      <c r="H316" s="53" t="str">
        <f t="shared" si="756"/>
        <v>0.00069</v>
      </c>
      <c r="I316" s="53" t="str">
        <f t="shared" si="757"/>
        <v>89</v>
      </c>
      <c r="J316" s="53" t="str">
        <f t="shared" si="758"/>
        <v>0</v>
      </c>
      <c r="K316" s="155" t="str">
        <f t="shared" si="759"/>
        <v>0.00</v>
      </c>
      <c r="L316" s="156" t="str">
        <f t="shared" si="760"/>
        <v>0.00 </v>
      </c>
      <c r="M316" s="132">
        <v>90.0</v>
      </c>
      <c r="N316" s="157">
        <v>0.0</v>
      </c>
      <c r="O316" s="277">
        <v>0.0</v>
      </c>
      <c r="P316" s="277" t="str">
        <f t="shared" ref="P316:P319" si="778">K316/E316</f>
        <v>#VALUE!</v>
      </c>
      <c r="Q316" s="157">
        <v>0.0</v>
      </c>
      <c r="R316" s="158">
        <v>1829.1</v>
      </c>
      <c r="S316" s="159" t="str">
        <f t="shared" si="761"/>
        <v>310.33</v>
      </c>
      <c r="T316" s="160"/>
      <c r="U316" s="161">
        <v>0.26</v>
      </c>
      <c r="V316" s="162" t="str">
        <f t="shared" si="762"/>
        <v>1,353.53</v>
      </c>
      <c r="W316" s="163" t="str">
        <f t="shared" si="763"/>
        <v>60.00</v>
      </c>
      <c r="X316" s="164" t="str">
        <f t="shared" si="764"/>
        <v>101.20</v>
      </c>
      <c r="Y316" s="165" t="str">
        <f t="shared" si="765"/>
        <v>0.00</v>
      </c>
      <c r="Z316" s="166">
        <v>0.21</v>
      </c>
      <c r="AA316" s="167" t="str">
        <f t="shared" si="766"/>
        <v>76</v>
      </c>
      <c r="AB316" s="168" t="str">
        <f t="shared" si="767"/>
        <v>594.458</v>
      </c>
      <c r="AC316" s="168" t="str">
        <f t="shared" si="768"/>
        <v>48.186</v>
      </c>
      <c r="AD316" s="164" t="str">
        <f t="shared" si="769"/>
        <v>1.67</v>
      </c>
      <c r="AE316" s="164">
        <v>96.67</v>
      </c>
      <c r="AF316" s="164" t="str">
        <f t="shared" si="770"/>
        <v>4.80</v>
      </c>
      <c r="AG316" s="165" t="str">
        <f t="shared" si="771"/>
        <v>182.91</v>
      </c>
      <c r="AH316" s="23"/>
      <c r="AI316" s="278">
        <v>0.1</v>
      </c>
      <c r="AJ316" s="24" t="str">
        <f t="shared" si="772"/>
        <v>759.88</v>
      </c>
      <c r="AK316" s="279" t="str">
        <f t="shared" si="773"/>
        <v>#DIV/0!</v>
      </c>
      <c r="AL316" s="280"/>
      <c r="AM316" s="281" t="str">
        <f t="shared" si="360"/>
        <v>0.00</v>
      </c>
      <c r="AN316" s="280"/>
      <c r="AO316" s="282"/>
      <c r="AP316" s="283"/>
      <c r="AQ316" s="283" t="str">
        <f t="shared" si="361"/>
        <v>0.00</v>
      </c>
      <c r="AR316" s="283"/>
      <c r="AS316" s="284"/>
      <c r="AT316" s="285" t="str">
        <f t="shared" si="235"/>
        <v>0.00</v>
      </c>
      <c r="AU316" s="284"/>
      <c r="AV316" s="286"/>
      <c r="AW316" s="285"/>
      <c r="AX316" s="284"/>
      <c r="AY316" s="26"/>
      <c r="AZ316" s="171" t="str">
        <f t="shared" si="774"/>
        <v>0.00%</v>
      </c>
      <c r="BA316" s="172" t="str">
        <f t="shared" si="775"/>
        <v>0.00</v>
      </c>
      <c r="BB316" s="173" t="str">
        <f t="shared" si="776"/>
        <v>310.33</v>
      </c>
      <c r="BC316" s="174" t="str">
        <f t="shared" si="777"/>
        <v>220.33</v>
      </c>
    </row>
    <row r="317" ht="12.75" hidden="1" customHeight="1">
      <c r="A317" s="26"/>
      <c r="B317" s="190" t="s">
        <v>601</v>
      </c>
      <c r="C317" s="192">
        <v>2.48929483E8</v>
      </c>
      <c r="D317" s="152" t="s">
        <v>602</v>
      </c>
      <c r="E317" s="53" t="s">
        <v>77</v>
      </c>
      <c r="F317" s="154">
        <v>1.0</v>
      </c>
      <c r="G317" s="53"/>
      <c r="H317" s="53" t="str">
        <f t="shared" si="756"/>
        <v>0.00069</v>
      </c>
      <c r="I317" s="53" t="str">
        <f t="shared" si="757"/>
        <v>89</v>
      </c>
      <c r="J317" s="53" t="str">
        <f t="shared" si="758"/>
        <v>0</v>
      </c>
      <c r="K317" s="155" t="str">
        <f t="shared" si="759"/>
        <v>0.00</v>
      </c>
      <c r="L317" s="156" t="str">
        <f t="shared" si="760"/>
        <v>0.00 </v>
      </c>
      <c r="M317" s="132">
        <v>90.0</v>
      </c>
      <c r="N317" s="157">
        <v>0.0</v>
      </c>
      <c r="O317" s="277">
        <v>0.0</v>
      </c>
      <c r="P317" s="277" t="str">
        <f t="shared" si="778"/>
        <v>#VALUE!</v>
      </c>
      <c r="Q317" s="157">
        <v>0.0</v>
      </c>
      <c r="R317" s="158">
        <v>1967.7</v>
      </c>
      <c r="S317" s="159" t="str">
        <f t="shared" si="761"/>
        <v>316.30</v>
      </c>
      <c r="T317" s="160"/>
      <c r="U317" s="161">
        <v>0.26</v>
      </c>
      <c r="V317" s="162" t="str">
        <f t="shared" si="762"/>
        <v>1,456.10</v>
      </c>
      <c r="W317" s="163" t="str">
        <f t="shared" si="763"/>
        <v>60.00</v>
      </c>
      <c r="X317" s="164" t="str">
        <f t="shared" si="764"/>
        <v>108.87</v>
      </c>
      <c r="Y317" s="165" t="str">
        <f t="shared" si="765"/>
        <v>0.00</v>
      </c>
      <c r="Z317" s="166">
        <v>0.4</v>
      </c>
      <c r="AA317" s="167" t="str">
        <f t="shared" si="766"/>
        <v>76</v>
      </c>
      <c r="AB317" s="168" t="str">
        <f t="shared" si="767"/>
        <v>639.503</v>
      </c>
      <c r="AC317" s="168" t="str">
        <f t="shared" si="768"/>
        <v>51.837</v>
      </c>
      <c r="AD317" s="164" t="str">
        <f t="shared" si="769"/>
        <v>4.41</v>
      </c>
      <c r="AE317" s="164">
        <v>91.18</v>
      </c>
      <c r="AF317" s="164" t="str">
        <f t="shared" si="770"/>
        <v>4.80</v>
      </c>
      <c r="AG317" s="165" t="str">
        <f t="shared" si="771"/>
        <v>196.77</v>
      </c>
      <c r="AH317" s="23"/>
      <c r="AI317" s="278">
        <v>0.1</v>
      </c>
      <c r="AJ317" s="24" t="str">
        <f t="shared" si="772"/>
        <v>825.51</v>
      </c>
      <c r="AK317" s="279" t="str">
        <f t="shared" si="773"/>
        <v>#DIV/0!</v>
      </c>
      <c r="AL317" s="280"/>
      <c r="AM317" s="281" t="str">
        <f t="shared" si="360"/>
        <v>0.00</v>
      </c>
      <c r="AN317" s="280"/>
      <c r="AO317" s="282"/>
      <c r="AP317" s="283"/>
      <c r="AQ317" s="283" t="str">
        <f t="shared" si="361"/>
        <v>0.00</v>
      </c>
      <c r="AR317" s="283"/>
      <c r="AS317" s="284"/>
      <c r="AT317" s="285" t="str">
        <f t="shared" si="235"/>
        <v>0.00</v>
      </c>
      <c r="AU317" s="284"/>
      <c r="AV317" s="286"/>
      <c r="AW317" s="285"/>
      <c r="AX317" s="284"/>
      <c r="AY317" s="26"/>
      <c r="AZ317" s="171" t="str">
        <f t="shared" si="774"/>
        <v>0.00%</v>
      </c>
      <c r="BA317" s="172" t="str">
        <f t="shared" si="775"/>
        <v>0.00</v>
      </c>
      <c r="BB317" s="173" t="str">
        <f t="shared" si="776"/>
        <v>316.30</v>
      </c>
      <c r="BC317" s="174" t="str">
        <f t="shared" si="777"/>
        <v>224.58</v>
      </c>
    </row>
    <row r="318" ht="12.75" hidden="1" customHeight="1">
      <c r="A318" s="26"/>
      <c r="B318" s="190" t="s">
        <v>603</v>
      </c>
      <c r="C318" s="192">
        <v>2.48930918E8</v>
      </c>
      <c r="D318" s="152" t="s">
        <v>604</v>
      </c>
      <c r="E318" s="53" t="s">
        <v>77</v>
      </c>
      <c r="F318" s="154">
        <v>1.0</v>
      </c>
      <c r="G318" s="53"/>
      <c r="H318" s="53" t="str">
        <f t="shared" si="756"/>
        <v>0.00069</v>
      </c>
      <c r="I318" s="53" t="str">
        <f t="shared" si="757"/>
        <v>89</v>
      </c>
      <c r="J318" s="53" t="str">
        <f t="shared" si="758"/>
        <v>0</v>
      </c>
      <c r="K318" s="155" t="str">
        <f t="shared" si="759"/>
        <v>0.00</v>
      </c>
      <c r="L318" s="156" t="str">
        <f t="shared" si="760"/>
        <v>0.00 </v>
      </c>
      <c r="M318" s="132">
        <v>90.0</v>
      </c>
      <c r="N318" s="157">
        <v>0.0</v>
      </c>
      <c r="O318" s="277">
        <v>0.0</v>
      </c>
      <c r="P318" s="277" t="str">
        <f t="shared" si="778"/>
        <v>#VALUE!</v>
      </c>
      <c r="Q318" s="157">
        <v>0.0</v>
      </c>
      <c r="R318" s="158">
        <v>560.7</v>
      </c>
      <c r="S318" s="159" t="str">
        <f t="shared" si="761"/>
        <v>314.71</v>
      </c>
      <c r="T318" s="160"/>
      <c r="U318" s="161">
        <v>0.26</v>
      </c>
      <c r="V318" s="162" t="str">
        <f t="shared" si="762"/>
        <v>414.92</v>
      </c>
      <c r="W318" s="163" t="str">
        <f t="shared" si="763"/>
        <v>60.00</v>
      </c>
      <c r="X318" s="164" t="str">
        <f t="shared" si="764"/>
        <v>31.02</v>
      </c>
      <c r="Y318" s="165" t="str">
        <f t="shared" si="765"/>
        <v>0.00</v>
      </c>
      <c r="Z318" s="166">
        <v>0.19</v>
      </c>
      <c r="AA318" s="167" t="str">
        <f t="shared" si="766"/>
        <v>76</v>
      </c>
      <c r="AB318" s="168" t="str">
        <f t="shared" si="767"/>
        <v>182.228</v>
      </c>
      <c r="AC318" s="168" t="str">
        <f t="shared" si="768"/>
        <v>14.771</v>
      </c>
      <c r="AD318" s="164" t="str">
        <f t="shared" si="769"/>
        <v>3.68</v>
      </c>
      <c r="AE318" s="164">
        <v>92.64</v>
      </c>
      <c r="AF318" s="164" t="str">
        <f t="shared" si="770"/>
        <v>4.80</v>
      </c>
      <c r="AG318" s="165" t="str">
        <f t="shared" si="771"/>
        <v>56.07</v>
      </c>
      <c r="AH318" s="23"/>
      <c r="AI318" s="278">
        <v>0.1</v>
      </c>
      <c r="AJ318" s="24" t="str">
        <f t="shared" si="772"/>
        <v>132.13</v>
      </c>
      <c r="AK318" s="279" t="str">
        <f t="shared" si="773"/>
        <v>#DIV/0!</v>
      </c>
      <c r="AL318" s="280"/>
      <c r="AM318" s="281" t="str">
        <f t="shared" si="360"/>
        <v>0.00</v>
      </c>
      <c r="AN318" s="280"/>
      <c r="AO318" s="282"/>
      <c r="AP318" s="283"/>
      <c r="AQ318" s="283" t="str">
        <f t="shared" si="361"/>
        <v>0.00</v>
      </c>
      <c r="AR318" s="283"/>
      <c r="AS318" s="284"/>
      <c r="AT318" s="285" t="str">
        <f t="shared" si="235"/>
        <v>0.00</v>
      </c>
      <c r="AU318" s="284"/>
      <c r="AV318" s="286"/>
      <c r="AW318" s="285"/>
      <c r="AX318" s="284"/>
      <c r="AY318" s="26"/>
      <c r="AZ318" s="171" t="str">
        <f t="shared" si="774"/>
        <v>0.00%</v>
      </c>
      <c r="BA318" s="172" t="str">
        <f t="shared" si="775"/>
        <v>0.00</v>
      </c>
      <c r="BB318" s="173" t="str">
        <f t="shared" si="776"/>
        <v>314.71</v>
      </c>
      <c r="BC318" s="174" t="str">
        <f t="shared" si="777"/>
        <v>223.45</v>
      </c>
    </row>
    <row r="319" ht="12.75" hidden="1" customHeight="1">
      <c r="A319" s="26"/>
      <c r="B319" s="190" t="s">
        <v>605</v>
      </c>
      <c r="C319" s="192">
        <v>2.4893025E8</v>
      </c>
      <c r="D319" s="152" t="s">
        <v>606</v>
      </c>
      <c r="E319" s="53" t="s">
        <v>77</v>
      </c>
      <c r="F319" s="154">
        <v>1.0</v>
      </c>
      <c r="G319" s="53"/>
      <c r="H319" s="53" t="str">
        <f t="shared" si="756"/>
        <v>0.00069</v>
      </c>
      <c r="I319" s="53" t="str">
        <f t="shared" si="757"/>
        <v>89</v>
      </c>
      <c r="J319" s="53" t="str">
        <f t="shared" si="758"/>
        <v>0</v>
      </c>
      <c r="K319" s="155" t="str">
        <f t="shared" si="759"/>
        <v>0.00</v>
      </c>
      <c r="L319" s="156" t="str">
        <f t="shared" si="760"/>
        <v>0.00 </v>
      </c>
      <c r="M319" s="132">
        <v>90.0</v>
      </c>
      <c r="N319" s="157">
        <v>0.0</v>
      </c>
      <c r="O319" s="277">
        <v>0.0</v>
      </c>
      <c r="P319" s="277" t="str">
        <f t="shared" si="778"/>
        <v>#VALUE!</v>
      </c>
      <c r="Q319" s="157">
        <v>0.0</v>
      </c>
      <c r="R319" s="158">
        <v>1518.6</v>
      </c>
      <c r="S319" s="159" t="str">
        <f t="shared" si="761"/>
        <v>317.01</v>
      </c>
      <c r="T319" s="160"/>
      <c r="U319" s="161">
        <v>0.26</v>
      </c>
      <c r="V319" s="162" t="str">
        <f t="shared" si="762"/>
        <v>1,123.76</v>
      </c>
      <c r="W319" s="163" t="str">
        <f t="shared" si="763"/>
        <v>60.00</v>
      </c>
      <c r="X319" s="164" t="str">
        <f t="shared" si="764"/>
        <v>84.02</v>
      </c>
      <c r="Y319" s="165" t="str">
        <f t="shared" si="765"/>
        <v>0.00</v>
      </c>
      <c r="Z319" s="166">
        <v>0.41</v>
      </c>
      <c r="AA319" s="167" t="str">
        <f t="shared" si="766"/>
        <v>76</v>
      </c>
      <c r="AB319" s="168" t="str">
        <f t="shared" si="767"/>
        <v>493.545</v>
      </c>
      <c r="AC319" s="168" t="str">
        <f t="shared" si="768"/>
        <v>40.006</v>
      </c>
      <c r="AD319" s="164" t="str">
        <f t="shared" si="769"/>
        <v>4.74</v>
      </c>
      <c r="AE319" s="164">
        <v>90.53</v>
      </c>
      <c r="AF319" s="164" t="str">
        <f t="shared" si="770"/>
        <v>4.80</v>
      </c>
      <c r="AG319" s="165" t="str">
        <f t="shared" si="771"/>
        <v>151.86</v>
      </c>
      <c r="AH319" s="23"/>
      <c r="AI319" s="278">
        <v>0.1</v>
      </c>
      <c r="AJ319" s="24" t="str">
        <f t="shared" si="772"/>
        <v>603.63</v>
      </c>
      <c r="AK319" s="279" t="str">
        <f t="shared" si="773"/>
        <v>#DIV/0!</v>
      </c>
      <c r="AL319" s="280"/>
      <c r="AM319" s="281" t="str">
        <f t="shared" si="360"/>
        <v>0.00</v>
      </c>
      <c r="AN319" s="280"/>
      <c r="AO319" s="282"/>
      <c r="AP319" s="283"/>
      <c r="AQ319" s="283" t="str">
        <f t="shared" si="361"/>
        <v>0.00</v>
      </c>
      <c r="AR319" s="283"/>
      <c r="AS319" s="284"/>
      <c r="AT319" s="285" t="str">
        <f t="shared" si="235"/>
        <v>0.00</v>
      </c>
      <c r="AU319" s="284"/>
      <c r="AV319" s="286"/>
      <c r="AW319" s="285"/>
      <c r="AX319" s="284"/>
      <c r="AY319" s="26"/>
      <c r="AZ319" s="171" t="str">
        <f t="shared" si="774"/>
        <v>0.00%</v>
      </c>
      <c r="BA319" s="172" t="str">
        <f t="shared" si="775"/>
        <v>0.00</v>
      </c>
      <c r="BB319" s="173" t="str">
        <f t="shared" si="776"/>
        <v>317.01</v>
      </c>
      <c r="BC319" s="174" t="str">
        <f t="shared" si="777"/>
        <v>225.08</v>
      </c>
    </row>
    <row r="320" ht="12.75" customHeight="1">
      <c r="A320" s="26"/>
      <c r="B320" s="125" t="s">
        <v>607</v>
      </c>
      <c r="C320" s="126"/>
      <c r="D320" s="127"/>
      <c r="E320" s="128"/>
      <c r="F320" s="128"/>
      <c r="G320" s="128"/>
      <c r="H320" s="197"/>
      <c r="I320" s="197"/>
      <c r="J320" s="128"/>
      <c r="K320" s="130"/>
      <c r="L320" s="131"/>
      <c r="M320" s="132"/>
      <c r="N320" s="176"/>
      <c r="O320" s="133"/>
      <c r="P320" s="133"/>
      <c r="Q320" s="176"/>
      <c r="R320" s="134"/>
      <c r="S320" s="135"/>
      <c r="T320" s="135"/>
      <c r="U320" s="136"/>
      <c r="V320" s="137"/>
      <c r="W320" s="177"/>
      <c r="X320" s="178"/>
      <c r="Y320" s="179"/>
      <c r="Z320" s="180"/>
      <c r="AA320" s="181"/>
      <c r="AB320" s="182"/>
      <c r="AC320" s="182"/>
      <c r="AD320" s="178"/>
      <c r="AE320" s="178"/>
      <c r="AF320" s="178"/>
      <c r="AG320" s="179"/>
      <c r="AH320" s="183"/>
      <c r="AI320" s="271"/>
      <c r="AJ320" s="287"/>
      <c r="AK320" s="288"/>
      <c r="AL320" s="280"/>
      <c r="AM320" s="281" t="str">
        <f t="shared" si="360"/>
        <v>0.00</v>
      </c>
      <c r="AN320" s="280"/>
      <c r="AO320" s="282"/>
      <c r="AP320" s="283"/>
      <c r="AQ320" s="283" t="str">
        <f t="shared" si="361"/>
        <v>0.00</v>
      </c>
      <c r="AR320" s="283"/>
      <c r="AS320" s="284"/>
      <c r="AT320" s="285" t="str">
        <f t="shared" si="235"/>
        <v>0.00</v>
      </c>
      <c r="AU320" s="284"/>
      <c r="AV320" s="286"/>
      <c r="AW320" s="285"/>
      <c r="AX320" s="284"/>
      <c r="AY320" s="26"/>
      <c r="AZ320" s="186"/>
      <c r="BA320" s="187"/>
      <c r="BB320" s="188"/>
      <c r="BC320" s="189"/>
    </row>
    <row r="321" ht="12.75" customHeight="1">
      <c r="A321" s="26"/>
      <c r="B321" s="190" t="s">
        <v>608</v>
      </c>
      <c r="C321" s="199">
        <v>2.14312385E8</v>
      </c>
      <c r="D321" s="152" t="s">
        <v>609</v>
      </c>
      <c r="E321" s="53" t="s">
        <v>77</v>
      </c>
      <c r="F321" s="154">
        <v>1.0</v>
      </c>
      <c r="G321" s="53"/>
      <c r="H321" s="53" t="str">
        <f t="shared" ref="H321:H322" si="779">$I$2</f>
        <v>0.00069</v>
      </c>
      <c r="I321" s="53" t="str">
        <f t="shared" ref="I321:I322" si="780">$I$3</f>
        <v>89</v>
      </c>
      <c r="J321" s="53" t="str">
        <f t="shared" ref="J321:J322" si="781">G321*H321*I321*F321</f>
        <v>0</v>
      </c>
      <c r="K321" s="155" t="str">
        <f t="shared" ref="K321:K322" si="782">J321*$J$4</f>
        <v>0.00</v>
      </c>
      <c r="L321" s="156" t="str">
        <f t="shared" ref="L321:L322" si="783">K321+J321</f>
        <v>0.00 </v>
      </c>
      <c r="M321" s="132">
        <v>90.0</v>
      </c>
      <c r="N321" s="157">
        <v>722.04</v>
      </c>
      <c r="O321" s="277">
        <v>787.02</v>
      </c>
      <c r="P321" s="277">
        <v>765.36</v>
      </c>
      <c r="Q321" s="157">
        <v>722.04</v>
      </c>
      <c r="R321" s="158">
        <v>1700.0</v>
      </c>
      <c r="S321" s="159" t="str">
        <f>BB321</f>
        <v>1,892.45</v>
      </c>
      <c r="T321" s="160"/>
      <c r="U321" s="161">
        <v>0.37</v>
      </c>
      <c r="V321" s="162" t="str">
        <f t="shared" ref="V321:V322" si="784">R321-(R321*U321)</f>
        <v>1,071.00</v>
      </c>
      <c r="W321" s="163" t="str">
        <f t="shared" ref="W321:W322" si="785">$C$1</f>
        <v>60.00</v>
      </c>
      <c r="X321" s="164" t="str">
        <f t="shared" ref="X321:X322" si="786">(V321*7/107)+((V321-(V321*7/107))*1%)</f>
        <v>80.07</v>
      </c>
      <c r="Y321" s="165" t="str">
        <f t="shared" ref="Y321:Y322" si="787">Q321*$C$3*(M321/30)</f>
        <v>0.00</v>
      </c>
      <c r="Z321" s="166">
        <v>0.26</v>
      </c>
      <c r="AA321" s="167" t="str">
        <f t="shared" ref="AA321:AA322" si="788">((_xlfn.CEILING.MATH(Z321)-1)*$C$5+$C$4)</f>
        <v>76</v>
      </c>
      <c r="AB321" s="168" t="str">
        <f t="shared" ref="AB321:AB322" si="789">R321*$AB$6</f>
        <v>552.500</v>
      </c>
      <c r="AC321" s="168" t="str">
        <f t="shared" ref="AC321:AC322" si="790">V321*$AB$7</f>
        <v>38.128</v>
      </c>
      <c r="AD321" s="164" t="str">
        <f t="shared" ref="AD321:AD322" si="791">$AB$3*((100-AE321)/100)</f>
        <v>6.45</v>
      </c>
      <c r="AE321" s="164">
        <v>87.1</v>
      </c>
      <c r="AF321" s="164" t="str">
        <f t="shared" ref="AF321:AF322" si="792">$C$6*$C$7*_xlfn.CEILING.MATH(Z321)</f>
        <v>4.80</v>
      </c>
      <c r="AG321" s="165" t="str">
        <f t="shared" ref="AG321:AG322" si="793">R321*$C$2</f>
        <v>170.00</v>
      </c>
      <c r="AH321" s="23"/>
      <c r="AI321" s="278">
        <v>0.1</v>
      </c>
      <c r="AJ321" s="24" t="str">
        <f t="shared" ref="AJ321:AJ322" si="794">R321-W321-X321-Y321-AA321-AB321-AC321-AD321-AF321-AG321-Q321</f>
        <v>-9.99</v>
      </c>
      <c r="AK321" s="279" t="str">
        <f t="shared" ref="AK321:AK322" si="795">AJ321/Q321</f>
        <v>-1.38%</v>
      </c>
      <c r="AL321" s="280"/>
      <c r="AM321" s="281" t="str">
        <f t="shared" si="360"/>
        <v>0.00</v>
      </c>
      <c r="AN321" s="280"/>
      <c r="AO321" s="282">
        <v>11.72</v>
      </c>
      <c r="AP321" s="283">
        <v>112.85</v>
      </c>
      <c r="AQ321" s="283" t="str">
        <f t="shared" si="361"/>
        <v>0.00</v>
      </c>
      <c r="AR321" s="283">
        <v>14.93</v>
      </c>
      <c r="AS321" s="284">
        <v>15.0</v>
      </c>
      <c r="AT321" s="285" t="str">
        <f t="shared" si="235"/>
        <v>-149.89</v>
      </c>
      <c r="AU321" s="284">
        <v>15.0</v>
      </c>
      <c r="AV321" s="286">
        <v>0.0381</v>
      </c>
      <c r="AW321" s="285">
        <v>1692.75</v>
      </c>
      <c r="AX321" s="284">
        <v>15.63</v>
      </c>
      <c r="AY321" s="26"/>
      <c r="AZ321" s="171" t="str">
        <f t="shared" ref="AZ321:AZ322" si="796">$AG$3</f>
        <v>0.00%</v>
      </c>
      <c r="BA321" s="172" t="str">
        <f t="shared" ref="BA321:BA322" si="797">Q321*AZ321</f>
        <v>0.00</v>
      </c>
      <c r="BB321" s="173" t="str">
        <f t="shared" ref="BB321:BB322" si="798">(Q321+W321+Y321+AA321+AD321+AF321+AI321+BA321)/(100%-($C$2+$C$8+$AB$6+$AB$7))</f>
        <v>1,892.45</v>
      </c>
      <c r="BC321" s="174" t="str">
        <f t="shared" ref="BC321:BC322" si="799">BB321-(BB321*$AG$1)</f>
        <v>1,343.64</v>
      </c>
    </row>
    <row r="322" ht="12.75" customHeight="1">
      <c r="A322" s="26"/>
      <c r="B322" s="190" t="s">
        <v>610</v>
      </c>
      <c r="C322" s="199">
        <v>2.47275092E8</v>
      </c>
      <c r="D322" s="152" t="s">
        <v>611</v>
      </c>
      <c r="E322" s="53" t="s">
        <v>77</v>
      </c>
      <c r="F322" s="154">
        <v>1.0</v>
      </c>
      <c r="G322" s="53"/>
      <c r="H322" s="53" t="str">
        <f t="shared" si="779"/>
        <v>0.00069</v>
      </c>
      <c r="I322" s="53" t="str">
        <f t="shared" si="780"/>
        <v>89</v>
      </c>
      <c r="J322" s="53" t="str">
        <f t="shared" si="781"/>
        <v>0</v>
      </c>
      <c r="K322" s="155" t="str">
        <f t="shared" si="782"/>
        <v>0.00</v>
      </c>
      <c r="L322" s="156" t="str">
        <f t="shared" si="783"/>
        <v>0.00 </v>
      </c>
      <c r="M322" s="132">
        <v>90.0</v>
      </c>
      <c r="N322" s="157">
        <v>845.49</v>
      </c>
      <c r="O322" s="277">
        <v>921.58</v>
      </c>
      <c r="P322" s="277">
        <v>896.22</v>
      </c>
      <c r="Q322" s="157">
        <v>845.49</v>
      </c>
      <c r="R322" s="158">
        <v>2550.0</v>
      </c>
      <c r="S322" s="159" t="str">
        <f>R322</f>
        <v>2,550.00</v>
      </c>
      <c r="T322" s="160">
        <v>2603.0</v>
      </c>
      <c r="U322" s="161">
        <v>0.26</v>
      </c>
      <c r="V322" s="162" t="str">
        <f t="shared" si="784"/>
        <v>1,887.00</v>
      </c>
      <c r="W322" s="163" t="str">
        <f t="shared" si="785"/>
        <v>60.00</v>
      </c>
      <c r="X322" s="164" t="str">
        <f t="shared" si="786"/>
        <v>141.08</v>
      </c>
      <c r="Y322" s="165" t="str">
        <f t="shared" si="787"/>
        <v>0.00</v>
      </c>
      <c r="Z322" s="166">
        <v>0.78</v>
      </c>
      <c r="AA322" s="167" t="str">
        <f t="shared" si="788"/>
        <v>76</v>
      </c>
      <c r="AB322" s="168" t="str">
        <f t="shared" si="789"/>
        <v>828.750</v>
      </c>
      <c r="AC322" s="168" t="str">
        <f t="shared" si="790"/>
        <v>67.177</v>
      </c>
      <c r="AD322" s="164" t="str">
        <f t="shared" si="791"/>
        <v>8.62</v>
      </c>
      <c r="AE322" s="164">
        <v>82.76</v>
      </c>
      <c r="AF322" s="164" t="str">
        <f t="shared" si="792"/>
        <v>4.80</v>
      </c>
      <c r="AG322" s="165" t="str">
        <f t="shared" si="793"/>
        <v>255.00</v>
      </c>
      <c r="AH322" s="23"/>
      <c r="AI322" s="278">
        <v>0.1</v>
      </c>
      <c r="AJ322" s="24" t="str">
        <f t="shared" si="794"/>
        <v>263.08</v>
      </c>
      <c r="AK322" s="279" t="str">
        <f t="shared" si="795"/>
        <v>31.12%</v>
      </c>
      <c r="AL322" s="280"/>
      <c r="AM322" s="281" t="str">
        <f t="shared" si="360"/>
        <v>0.00</v>
      </c>
      <c r="AN322" s="280"/>
      <c r="AO322" s="282">
        <v>40.43</v>
      </c>
      <c r="AP322" s="283">
        <v>157.0</v>
      </c>
      <c r="AQ322" s="283" t="str">
        <f t="shared" si="361"/>
        <v>0.00</v>
      </c>
      <c r="AR322" s="283">
        <v>17.64</v>
      </c>
      <c r="AS322" s="284">
        <v>4.0</v>
      </c>
      <c r="AT322" s="285" t="str">
        <f t="shared" si="235"/>
        <v>1,052.31</v>
      </c>
      <c r="AU322" s="284">
        <v>4.0</v>
      </c>
      <c r="AV322" s="286">
        <v>0.0999</v>
      </c>
      <c r="AW322" s="285">
        <v>1049.71</v>
      </c>
      <c r="AX322" s="284">
        <v>31.04</v>
      </c>
      <c r="AY322" s="26"/>
      <c r="AZ322" s="171" t="str">
        <f t="shared" si="796"/>
        <v>0.00%</v>
      </c>
      <c r="BA322" s="172" t="str">
        <f t="shared" si="797"/>
        <v>0.00</v>
      </c>
      <c r="BB322" s="173" t="str">
        <f t="shared" si="798"/>
        <v>2,165.89</v>
      </c>
      <c r="BC322" s="174" t="str">
        <f t="shared" si="799"/>
        <v>1,537.78</v>
      </c>
    </row>
    <row r="323" ht="12.75" customHeight="1">
      <c r="A323" s="26"/>
      <c r="B323" s="125" t="s">
        <v>612</v>
      </c>
      <c r="C323" s="126"/>
      <c r="D323" s="127"/>
      <c r="E323" s="128"/>
      <c r="F323" s="128"/>
      <c r="G323" s="128"/>
      <c r="H323" s="197"/>
      <c r="I323" s="197"/>
      <c r="J323" s="128"/>
      <c r="K323" s="130"/>
      <c r="L323" s="131"/>
      <c r="M323" s="132"/>
      <c r="N323" s="176"/>
      <c r="O323" s="133"/>
      <c r="P323" s="133"/>
      <c r="Q323" s="176"/>
      <c r="R323" s="134"/>
      <c r="S323" s="135"/>
      <c r="T323" s="135"/>
      <c r="U323" s="136"/>
      <c r="V323" s="137"/>
      <c r="W323" s="177"/>
      <c r="X323" s="178"/>
      <c r="Y323" s="179"/>
      <c r="Z323" s="180"/>
      <c r="AA323" s="181"/>
      <c r="AB323" s="182"/>
      <c r="AC323" s="182"/>
      <c r="AD323" s="178"/>
      <c r="AE323" s="178"/>
      <c r="AF323" s="178"/>
      <c r="AG323" s="179"/>
      <c r="AH323" s="183"/>
      <c r="AI323" s="271"/>
      <c r="AJ323" s="287"/>
      <c r="AK323" s="288"/>
      <c r="AL323" s="280"/>
      <c r="AM323" s="281" t="str">
        <f t="shared" si="360"/>
        <v>0.00</v>
      </c>
      <c r="AN323" s="280"/>
      <c r="AO323" s="282"/>
      <c r="AP323" s="283"/>
      <c r="AQ323" s="283" t="str">
        <f t="shared" si="361"/>
        <v>0.00</v>
      </c>
      <c r="AR323" s="283"/>
      <c r="AS323" s="284"/>
      <c r="AT323" s="285" t="str">
        <f t="shared" si="235"/>
        <v>0.00</v>
      </c>
      <c r="AU323" s="284"/>
      <c r="AV323" s="286"/>
      <c r="AW323" s="285"/>
      <c r="AX323" s="284"/>
      <c r="AY323" s="26"/>
      <c r="AZ323" s="186"/>
      <c r="BA323" s="187"/>
      <c r="BB323" s="188"/>
      <c r="BC323" s="189"/>
    </row>
    <row r="324" ht="12.75" hidden="1" customHeight="1">
      <c r="A324" s="26"/>
      <c r="B324" s="190" t="s">
        <v>613</v>
      </c>
      <c r="C324" s="191">
        <v>2.12886638E8</v>
      </c>
      <c r="D324" s="152" t="s">
        <v>614</v>
      </c>
      <c r="E324" s="53" t="s">
        <v>77</v>
      </c>
      <c r="F324" s="154">
        <v>1.0</v>
      </c>
      <c r="G324" s="53"/>
      <c r="H324" s="53" t="str">
        <f t="shared" ref="H324:H335" si="800">$I$2</f>
        <v>0.00069</v>
      </c>
      <c r="I324" s="53" t="str">
        <f t="shared" ref="I324:I335" si="801">$I$3</f>
        <v>89</v>
      </c>
      <c r="J324" s="53" t="str">
        <f t="shared" ref="J324:J335" si="802">G324*H324*I324*F324</f>
        <v>0</v>
      </c>
      <c r="K324" s="155" t="str">
        <f t="shared" ref="K324:K335" si="803">J324*$J$4</f>
        <v>0.00</v>
      </c>
      <c r="L324" s="156" t="str">
        <f t="shared" ref="L324:L335" si="804">K324+J324</f>
        <v>0.00 </v>
      </c>
      <c r="M324" s="132">
        <v>90.0</v>
      </c>
      <c r="N324" s="157">
        <v>0.0</v>
      </c>
      <c r="O324" s="277">
        <v>0.0</v>
      </c>
      <c r="P324" s="277" t="str">
        <f t="shared" ref="P324:P331" si="805">K324/E324</f>
        <v>#VALUE!</v>
      </c>
      <c r="Q324" s="157">
        <v>0.0</v>
      </c>
      <c r="R324" s="158">
        <v>1091.8</v>
      </c>
      <c r="S324" s="159" t="str">
        <f t="shared" ref="S324:S331" si="806">BB324</f>
        <v>310.86</v>
      </c>
      <c r="T324" s="160"/>
      <c r="U324" s="161">
        <v>0.26</v>
      </c>
      <c r="V324" s="162" t="str">
        <f t="shared" ref="V324:V335" si="807">R324-(R324*U324)</f>
        <v>807.93</v>
      </c>
      <c r="W324" s="163" t="str">
        <f t="shared" ref="W324:W335" si="808">$C$1</f>
        <v>60.00</v>
      </c>
      <c r="X324" s="164" t="str">
        <f t="shared" ref="X324:X335" si="809">(V324*7/107)+((V324-(V324*7/107))*1%)</f>
        <v>60.41</v>
      </c>
      <c r="Y324" s="165" t="str">
        <f t="shared" ref="Y324:Y335" si="810">Q324*$C$3*(M324/30)</f>
        <v>0.00</v>
      </c>
      <c r="Z324" s="166">
        <v>0.65</v>
      </c>
      <c r="AA324" s="167" t="str">
        <f t="shared" ref="AA324:AA335" si="811">((_xlfn.CEILING.MATH(Z324)-1)*$C$5+$C$4)</f>
        <v>76</v>
      </c>
      <c r="AB324" s="168" t="str">
        <f t="shared" ref="AB324:AB335" si="812">R324*$AB$6</f>
        <v>354.835</v>
      </c>
      <c r="AC324" s="168" t="str">
        <f t="shared" ref="AC324:AC335" si="813">V324*$AB$7</f>
        <v>28.762</v>
      </c>
      <c r="AD324" s="164" t="str">
        <f t="shared" ref="AD324:AD335" si="814">$AB$3*((100-AE324)/100)</f>
        <v>1.91</v>
      </c>
      <c r="AE324" s="164">
        <v>96.18</v>
      </c>
      <c r="AF324" s="164" t="str">
        <f t="shared" ref="AF324:AF335" si="815">$C$6*$C$7*_xlfn.CEILING.MATH(Z324)</f>
        <v>4.80</v>
      </c>
      <c r="AG324" s="165" t="str">
        <f t="shared" ref="AG324:AG335" si="816">R324*$C$2</f>
        <v>109.18</v>
      </c>
      <c r="AH324" s="23"/>
      <c r="AI324" s="278">
        <v>0.1</v>
      </c>
      <c r="AJ324" s="24" t="str">
        <f t="shared" ref="AJ324:AJ335" si="817">R324-W324-X324-Y324-AA324-AB324-AC324-AD324-AF324-AG324-Q324</f>
        <v>395.91</v>
      </c>
      <c r="AK324" s="279" t="str">
        <f t="shared" ref="AK324:AK335" si="818">AJ324/Q324</f>
        <v>#DIV/0!</v>
      </c>
      <c r="AL324" s="280"/>
      <c r="AM324" s="281" t="str">
        <f t="shared" si="360"/>
        <v>0.00</v>
      </c>
      <c r="AN324" s="280"/>
      <c r="AO324" s="282"/>
      <c r="AP324" s="283"/>
      <c r="AQ324" s="283" t="str">
        <f t="shared" si="361"/>
        <v>0.00</v>
      </c>
      <c r="AR324" s="283"/>
      <c r="AS324" s="284"/>
      <c r="AT324" s="285" t="str">
        <f t="shared" si="235"/>
        <v>0.00</v>
      </c>
      <c r="AU324" s="284"/>
      <c r="AV324" s="286"/>
      <c r="AW324" s="285"/>
      <c r="AX324" s="284"/>
      <c r="AY324" s="26"/>
      <c r="AZ324" s="171" t="str">
        <f t="shared" ref="AZ324:AZ335" si="819">$AG$3</f>
        <v>0.00%</v>
      </c>
      <c r="BA324" s="172" t="str">
        <f t="shared" ref="BA324:BA335" si="820">Q324*AZ324</f>
        <v>0.00</v>
      </c>
      <c r="BB324" s="173" t="str">
        <f t="shared" ref="BB324:BB335" si="821">(Q324+W324+Y324+AA324+AD324+AF324+AI324+BA324)/(100%-($C$2+$C$8+$AB$6+$AB$7))</f>
        <v>310.86</v>
      </c>
      <c r="BC324" s="174" t="str">
        <f t="shared" ref="BC324:BC335" si="822">BB324-(BB324*$AG$1)</f>
        <v>220.71</v>
      </c>
    </row>
    <row r="325" ht="12.75" hidden="1" customHeight="1">
      <c r="A325" s="26"/>
      <c r="B325" s="190" t="s">
        <v>615</v>
      </c>
      <c r="C325" s="192">
        <v>2.14312703E8</v>
      </c>
      <c r="D325" s="152" t="s">
        <v>616</v>
      </c>
      <c r="E325" s="53" t="s">
        <v>77</v>
      </c>
      <c r="F325" s="154">
        <v>1.0</v>
      </c>
      <c r="G325" s="53"/>
      <c r="H325" s="53" t="str">
        <f t="shared" si="800"/>
        <v>0.00069</v>
      </c>
      <c r="I325" s="53" t="str">
        <f t="shared" si="801"/>
        <v>89</v>
      </c>
      <c r="J325" s="53" t="str">
        <f t="shared" si="802"/>
        <v>0</v>
      </c>
      <c r="K325" s="155" t="str">
        <f t="shared" si="803"/>
        <v>0.00</v>
      </c>
      <c r="L325" s="156" t="str">
        <f t="shared" si="804"/>
        <v>0.00 </v>
      </c>
      <c r="M325" s="132">
        <v>90.0</v>
      </c>
      <c r="N325" s="157">
        <v>0.0</v>
      </c>
      <c r="O325" s="277">
        <v>0.0</v>
      </c>
      <c r="P325" s="277" t="str">
        <f t="shared" si="805"/>
        <v>#VALUE!</v>
      </c>
      <c r="Q325" s="157">
        <v>0.0</v>
      </c>
      <c r="R325" s="158">
        <v>848.4</v>
      </c>
      <c r="S325" s="159" t="str">
        <f t="shared" si="806"/>
        <v>316.73</v>
      </c>
      <c r="T325" s="160"/>
      <c r="U325" s="161">
        <v>0.26</v>
      </c>
      <c r="V325" s="162" t="str">
        <f t="shared" si="807"/>
        <v>627.82</v>
      </c>
      <c r="W325" s="163" t="str">
        <f t="shared" si="808"/>
        <v>60.00</v>
      </c>
      <c r="X325" s="164" t="str">
        <f t="shared" si="809"/>
        <v>46.94</v>
      </c>
      <c r="Y325" s="165" t="str">
        <f t="shared" si="810"/>
        <v>0.00</v>
      </c>
      <c r="Z325" s="166">
        <v>0.65</v>
      </c>
      <c r="AA325" s="167" t="str">
        <f t="shared" si="811"/>
        <v>76</v>
      </c>
      <c r="AB325" s="168" t="str">
        <f t="shared" si="812"/>
        <v>275.730</v>
      </c>
      <c r="AC325" s="168" t="str">
        <f t="shared" si="813"/>
        <v>22.350</v>
      </c>
      <c r="AD325" s="164" t="str">
        <f t="shared" si="814"/>
        <v>4.61</v>
      </c>
      <c r="AE325" s="164">
        <v>90.79</v>
      </c>
      <c r="AF325" s="164" t="str">
        <f t="shared" si="815"/>
        <v>4.80</v>
      </c>
      <c r="AG325" s="165" t="str">
        <f t="shared" si="816"/>
        <v>84.84</v>
      </c>
      <c r="AH325" s="23"/>
      <c r="AI325" s="278">
        <v>0.1</v>
      </c>
      <c r="AJ325" s="24" t="str">
        <f t="shared" si="817"/>
        <v>273.14</v>
      </c>
      <c r="AK325" s="279" t="str">
        <f t="shared" si="818"/>
        <v>#DIV/0!</v>
      </c>
      <c r="AL325" s="280"/>
      <c r="AM325" s="281" t="str">
        <f t="shared" si="360"/>
        <v>0.00</v>
      </c>
      <c r="AN325" s="280"/>
      <c r="AO325" s="282"/>
      <c r="AP325" s="283"/>
      <c r="AQ325" s="283" t="str">
        <f t="shared" si="361"/>
        <v>0.00</v>
      </c>
      <c r="AR325" s="283"/>
      <c r="AS325" s="284"/>
      <c r="AT325" s="285" t="str">
        <f t="shared" si="235"/>
        <v>0.00</v>
      </c>
      <c r="AU325" s="284"/>
      <c r="AV325" s="286"/>
      <c r="AW325" s="285"/>
      <c r="AX325" s="284"/>
      <c r="AY325" s="26"/>
      <c r="AZ325" s="171" t="str">
        <f t="shared" si="819"/>
        <v>0.00%</v>
      </c>
      <c r="BA325" s="172" t="str">
        <f t="shared" si="820"/>
        <v>0.00</v>
      </c>
      <c r="BB325" s="173" t="str">
        <f t="shared" si="821"/>
        <v>316.73</v>
      </c>
      <c r="BC325" s="174" t="str">
        <f t="shared" si="822"/>
        <v>224.88</v>
      </c>
    </row>
    <row r="326" ht="12.75" hidden="1" customHeight="1">
      <c r="A326" s="26"/>
      <c r="B326" s="190" t="s">
        <v>617</v>
      </c>
      <c r="C326" s="192">
        <v>2.14312772E8</v>
      </c>
      <c r="D326" s="152" t="s">
        <v>618</v>
      </c>
      <c r="E326" s="53" t="s">
        <v>77</v>
      </c>
      <c r="F326" s="154">
        <v>1.0</v>
      </c>
      <c r="G326" s="53"/>
      <c r="H326" s="53" t="str">
        <f t="shared" si="800"/>
        <v>0.00069</v>
      </c>
      <c r="I326" s="53" t="str">
        <f t="shared" si="801"/>
        <v>89</v>
      </c>
      <c r="J326" s="53" t="str">
        <f t="shared" si="802"/>
        <v>0</v>
      </c>
      <c r="K326" s="155" t="str">
        <f t="shared" si="803"/>
        <v>0.00</v>
      </c>
      <c r="L326" s="156" t="str">
        <f t="shared" si="804"/>
        <v>0.00 </v>
      </c>
      <c r="M326" s="132">
        <v>90.0</v>
      </c>
      <c r="N326" s="157">
        <v>0.0</v>
      </c>
      <c r="O326" s="277">
        <v>0.0</v>
      </c>
      <c r="P326" s="277" t="str">
        <f t="shared" si="805"/>
        <v>#VALUE!</v>
      </c>
      <c r="Q326" s="157">
        <v>0.0</v>
      </c>
      <c r="R326" s="158">
        <v>1402.8</v>
      </c>
      <c r="S326" s="159" t="str">
        <f t="shared" si="806"/>
        <v>310.01</v>
      </c>
      <c r="T326" s="160"/>
      <c r="U326" s="161">
        <v>0.26</v>
      </c>
      <c r="V326" s="162" t="str">
        <f t="shared" si="807"/>
        <v>1,038.07</v>
      </c>
      <c r="W326" s="163" t="str">
        <f t="shared" si="808"/>
        <v>60.00</v>
      </c>
      <c r="X326" s="164" t="str">
        <f t="shared" si="809"/>
        <v>77.61</v>
      </c>
      <c r="Y326" s="165" t="str">
        <f t="shared" si="810"/>
        <v>0.00</v>
      </c>
      <c r="Z326" s="166">
        <v>0.42</v>
      </c>
      <c r="AA326" s="167" t="str">
        <f t="shared" si="811"/>
        <v>76</v>
      </c>
      <c r="AB326" s="168" t="str">
        <f t="shared" si="812"/>
        <v>455.910</v>
      </c>
      <c r="AC326" s="168" t="str">
        <f t="shared" si="813"/>
        <v>36.955</v>
      </c>
      <c r="AD326" s="164" t="str">
        <f t="shared" si="814"/>
        <v>1.52</v>
      </c>
      <c r="AE326" s="164">
        <v>96.96</v>
      </c>
      <c r="AF326" s="164" t="str">
        <f t="shared" si="815"/>
        <v>4.80</v>
      </c>
      <c r="AG326" s="165" t="str">
        <f t="shared" si="816"/>
        <v>140.28</v>
      </c>
      <c r="AH326" s="23"/>
      <c r="AI326" s="278">
        <v>0.1</v>
      </c>
      <c r="AJ326" s="24" t="str">
        <f t="shared" si="817"/>
        <v>549.72</v>
      </c>
      <c r="AK326" s="279" t="str">
        <f t="shared" si="818"/>
        <v>#DIV/0!</v>
      </c>
      <c r="AL326" s="280"/>
      <c r="AM326" s="281" t="str">
        <f t="shared" si="360"/>
        <v>0.00</v>
      </c>
      <c r="AN326" s="280"/>
      <c r="AO326" s="282"/>
      <c r="AP326" s="283"/>
      <c r="AQ326" s="283" t="str">
        <f t="shared" si="361"/>
        <v>0.00</v>
      </c>
      <c r="AR326" s="283"/>
      <c r="AS326" s="284"/>
      <c r="AT326" s="285" t="str">
        <f t="shared" si="235"/>
        <v>0.00</v>
      </c>
      <c r="AU326" s="284"/>
      <c r="AV326" s="286"/>
      <c r="AW326" s="285"/>
      <c r="AX326" s="284"/>
      <c r="AY326" s="26"/>
      <c r="AZ326" s="171" t="str">
        <f t="shared" si="819"/>
        <v>0.00%</v>
      </c>
      <c r="BA326" s="172" t="str">
        <f t="shared" si="820"/>
        <v>0.00</v>
      </c>
      <c r="BB326" s="173" t="str">
        <f t="shared" si="821"/>
        <v>310.01</v>
      </c>
      <c r="BC326" s="174" t="str">
        <f t="shared" si="822"/>
        <v>220.11</v>
      </c>
    </row>
    <row r="327" ht="12.75" hidden="1" customHeight="1">
      <c r="A327" s="26"/>
      <c r="B327" s="190" t="s">
        <v>619</v>
      </c>
      <c r="C327" s="192">
        <v>2.12889023E8</v>
      </c>
      <c r="D327" s="152" t="s">
        <v>620</v>
      </c>
      <c r="E327" s="53" t="s">
        <v>77</v>
      </c>
      <c r="F327" s="154">
        <v>1.0</v>
      </c>
      <c r="G327" s="53"/>
      <c r="H327" s="53" t="str">
        <f t="shared" si="800"/>
        <v>0.00069</v>
      </c>
      <c r="I327" s="53" t="str">
        <f t="shared" si="801"/>
        <v>89</v>
      </c>
      <c r="J327" s="53" t="str">
        <f t="shared" si="802"/>
        <v>0</v>
      </c>
      <c r="K327" s="155" t="str">
        <f t="shared" si="803"/>
        <v>0.00</v>
      </c>
      <c r="L327" s="156" t="str">
        <f t="shared" si="804"/>
        <v>0.00 </v>
      </c>
      <c r="M327" s="132">
        <v>90.0</v>
      </c>
      <c r="N327" s="157">
        <v>0.0</v>
      </c>
      <c r="O327" s="277">
        <v>0.0</v>
      </c>
      <c r="P327" s="277" t="str">
        <f t="shared" si="805"/>
        <v>#VALUE!</v>
      </c>
      <c r="Q327" s="157">
        <v>0.0</v>
      </c>
      <c r="R327" s="158">
        <v>643.2</v>
      </c>
      <c r="S327" s="159" t="str">
        <f t="shared" si="806"/>
        <v>342.98</v>
      </c>
      <c r="T327" s="160"/>
      <c r="U327" s="161">
        <v>0.26</v>
      </c>
      <c r="V327" s="162" t="str">
        <f t="shared" si="807"/>
        <v>475.97</v>
      </c>
      <c r="W327" s="163" t="str">
        <f t="shared" si="808"/>
        <v>60.00</v>
      </c>
      <c r="X327" s="164" t="str">
        <f t="shared" si="809"/>
        <v>35.59</v>
      </c>
      <c r="Y327" s="165" t="str">
        <f t="shared" si="810"/>
        <v>0.00</v>
      </c>
      <c r="Z327" s="166">
        <v>0.04</v>
      </c>
      <c r="AA327" s="167" t="str">
        <f t="shared" si="811"/>
        <v>76</v>
      </c>
      <c r="AB327" s="168" t="str">
        <f t="shared" si="812"/>
        <v>209.040</v>
      </c>
      <c r="AC327" s="168" t="str">
        <f t="shared" si="813"/>
        <v>16.944</v>
      </c>
      <c r="AD327" s="164" t="str">
        <f t="shared" si="814"/>
        <v>16.67</v>
      </c>
      <c r="AE327" s="164">
        <v>66.67</v>
      </c>
      <c r="AF327" s="164" t="str">
        <f t="shared" si="815"/>
        <v>4.80</v>
      </c>
      <c r="AG327" s="165" t="str">
        <f t="shared" si="816"/>
        <v>64.32</v>
      </c>
      <c r="AH327" s="23"/>
      <c r="AI327" s="278">
        <v>0.1</v>
      </c>
      <c r="AJ327" s="24" t="str">
        <f t="shared" si="817"/>
        <v>159.84</v>
      </c>
      <c r="AK327" s="279" t="str">
        <f t="shared" si="818"/>
        <v>#DIV/0!</v>
      </c>
      <c r="AL327" s="280"/>
      <c r="AM327" s="281" t="str">
        <f t="shared" si="360"/>
        <v>0.00</v>
      </c>
      <c r="AN327" s="280"/>
      <c r="AO327" s="282"/>
      <c r="AP327" s="283"/>
      <c r="AQ327" s="283" t="str">
        <f t="shared" si="361"/>
        <v>0.00</v>
      </c>
      <c r="AR327" s="283"/>
      <c r="AS327" s="284"/>
      <c r="AT327" s="285" t="str">
        <f t="shared" si="235"/>
        <v>0.00</v>
      </c>
      <c r="AU327" s="284"/>
      <c r="AV327" s="286"/>
      <c r="AW327" s="285"/>
      <c r="AX327" s="284"/>
      <c r="AY327" s="26"/>
      <c r="AZ327" s="171" t="str">
        <f t="shared" si="819"/>
        <v>0.00%</v>
      </c>
      <c r="BA327" s="172" t="str">
        <f t="shared" si="820"/>
        <v>0.00</v>
      </c>
      <c r="BB327" s="173" t="str">
        <f t="shared" si="821"/>
        <v>342.98</v>
      </c>
      <c r="BC327" s="174" t="str">
        <f t="shared" si="822"/>
        <v>243.52</v>
      </c>
    </row>
    <row r="328" ht="12.75" hidden="1" customHeight="1">
      <c r="A328" s="26"/>
      <c r="B328" s="190" t="s">
        <v>621</v>
      </c>
      <c r="C328" s="192">
        <v>2.12889026E8</v>
      </c>
      <c r="D328" s="152" t="s">
        <v>622</v>
      </c>
      <c r="E328" s="53" t="s">
        <v>77</v>
      </c>
      <c r="F328" s="154">
        <v>1.0</v>
      </c>
      <c r="G328" s="53"/>
      <c r="H328" s="53" t="str">
        <f t="shared" si="800"/>
        <v>0.00069</v>
      </c>
      <c r="I328" s="53" t="str">
        <f t="shared" si="801"/>
        <v>89</v>
      </c>
      <c r="J328" s="53" t="str">
        <f t="shared" si="802"/>
        <v>0</v>
      </c>
      <c r="K328" s="155" t="str">
        <f t="shared" si="803"/>
        <v>0.00</v>
      </c>
      <c r="L328" s="156" t="str">
        <f t="shared" si="804"/>
        <v>0.00 </v>
      </c>
      <c r="M328" s="132">
        <v>90.0</v>
      </c>
      <c r="N328" s="157">
        <v>0.0</v>
      </c>
      <c r="O328" s="277">
        <v>0.0</v>
      </c>
      <c r="P328" s="277" t="str">
        <f t="shared" si="805"/>
        <v>#VALUE!</v>
      </c>
      <c r="Q328" s="157">
        <v>0.0</v>
      </c>
      <c r="R328" s="158">
        <v>643.2</v>
      </c>
      <c r="S328" s="159" t="str">
        <f t="shared" si="806"/>
        <v>314.31</v>
      </c>
      <c r="T328" s="160"/>
      <c r="U328" s="161">
        <v>0.26</v>
      </c>
      <c r="V328" s="162" t="str">
        <f t="shared" si="807"/>
        <v>475.97</v>
      </c>
      <c r="W328" s="163" t="str">
        <f t="shared" si="808"/>
        <v>60.00</v>
      </c>
      <c r="X328" s="164" t="str">
        <f t="shared" si="809"/>
        <v>35.59</v>
      </c>
      <c r="Y328" s="165" t="str">
        <f t="shared" si="810"/>
        <v>0.00</v>
      </c>
      <c r="Z328" s="166">
        <v>0.04</v>
      </c>
      <c r="AA328" s="167" t="str">
        <f t="shared" si="811"/>
        <v>76</v>
      </c>
      <c r="AB328" s="168" t="str">
        <f t="shared" si="812"/>
        <v>209.040</v>
      </c>
      <c r="AC328" s="168" t="str">
        <f t="shared" si="813"/>
        <v>16.944</v>
      </c>
      <c r="AD328" s="164" t="str">
        <f t="shared" si="814"/>
        <v>3.50</v>
      </c>
      <c r="AE328" s="164">
        <v>93.01</v>
      </c>
      <c r="AF328" s="164" t="str">
        <f t="shared" si="815"/>
        <v>4.80</v>
      </c>
      <c r="AG328" s="165" t="str">
        <f t="shared" si="816"/>
        <v>64.32</v>
      </c>
      <c r="AH328" s="23"/>
      <c r="AI328" s="278">
        <v>0.1</v>
      </c>
      <c r="AJ328" s="24" t="str">
        <f t="shared" si="817"/>
        <v>173.01</v>
      </c>
      <c r="AK328" s="279" t="str">
        <f t="shared" si="818"/>
        <v>#DIV/0!</v>
      </c>
      <c r="AL328" s="280"/>
      <c r="AM328" s="281" t="str">
        <f t="shared" si="360"/>
        <v>0.00</v>
      </c>
      <c r="AN328" s="280"/>
      <c r="AO328" s="282"/>
      <c r="AP328" s="283"/>
      <c r="AQ328" s="283" t="str">
        <f t="shared" si="361"/>
        <v>0.00</v>
      </c>
      <c r="AR328" s="283"/>
      <c r="AS328" s="284"/>
      <c r="AT328" s="285" t="str">
        <f t="shared" si="235"/>
        <v>0.00</v>
      </c>
      <c r="AU328" s="284"/>
      <c r="AV328" s="286"/>
      <c r="AW328" s="285"/>
      <c r="AX328" s="284"/>
      <c r="AY328" s="26"/>
      <c r="AZ328" s="171" t="str">
        <f t="shared" si="819"/>
        <v>0.00%</v>
      </c>
      <c r="BA328" s="172" t="str">
        <f t="shared" si="820"/>
        <v>0.00</v>
      </c>
      <c r="BB328" s="173" t="str">
        <f t="shared" si="821"/>
        <v>314.31</v>
      </c>
      <c r="BC328" s="174" t="str">
        <f t="shared" si="822"/>
        <v>223.16</v>
      </c>
    </row>
    <row r="329" ht="12.75" hidden="1" customHeight="1">
      <c r="A329" s="26"/>
      <c r="B329" s="190" t="s">
        <v>623</v>
      </c>
      <c r="C329" s="192">
        <v>2.12889024E8</v>
      </c>
      <c r="D329" s="152" t="s">
        <v>624</v>
      </c>
      <c r="E329" s="53" t="s">
        <v>77</v>
      </c>
      <c r="F329" s="154">
        <v>1.0</v>
      </c>
      <c r="G329" s="53"/>
      <c r="H329" s="53" t="str">
        <f t="shared" si="800"/>
        <v>0.00069</v>
      </c>
      <c r="I329" s="53" t="str">
        <f t="shared" si="801"/>
        <v>89</v>
      </c>
      <c r="J329" s="53" t="str">
        <f t="shared" si="802"/>
        <v>0</v>
      </c>
      <c r="K329" s="155" t="str">
        <f t="shared" si="803"/>
        <v>0.00</v>
      </c>
      <c r="L329" s="156" t="str">
        <f t="shared" si="804"/>
        <v>0.00 </v>
      </c>
      <c r="M329" s="132">
        <v>90.0</v>
      </c>
      <c r="N329" s="157">
        <v>0.0</v>
      </c>
      <c r="O329" s="277">
        <v>0.0</v>
      </c>
      <c r="P329" s="277" t="str">
        <f t="shared" si="805"/>
        <v>#VALUE!</v>
      </c>
      <c r="Q329" s="157">
        <v>0.0</v>
      </c>
      <c r="R329" s="158">
        <v>643.2</v>
      </c>
      <c r="S329" s="159" t="str">
        <f t="shared" si="806"/>
        <v>321.41</v>
      </c>
      <c r="T329" s="160"/>
      <c r="U329" s="161">
        <v>0.26</v>
      </c>
      <c r="V329" s="162" t="str">
        <f t="shared" si="807"/>
        <v>475.97</v>
      </c>
      <c r="W329" s="163" t="str">
        <f t="shared" si="808"/>
        <v>60.00</v>
      </c>
      <c r="X329" s="164" t="str">
        <f t="shared" si="809"/>
        <v>35.59</v>
      </c>
      <c r="Y329" s="165" t="str">
        <f t="shared" si="810"/>
        <v>0.00</v>
      </c>
      <c r="Z329" s="166">
        <v>0.04</v>
      </c>
      <c r="AA329" s="167" t="str">
        <f t="shared" si="811"/>
        <v>76</v>
      </c>
      <c r="AB329" s="168" t="str">
        <f t="shared" si="812"/>
        <v>209.040</v>
      </c>
      <c r="AC329" s="168" t="str">
        <f t="shared" si="813"/>
        <v>16.944</v>
      </c>
      <c r="AD329" s="164" t="str">
        <f t="shared" si="814"/>
        <v>6.76</v>
      </c>
      <c r="AE329" s="164">
        <v>86.49</v>
      </c>
      <c r="AF329" s="164" t="str">
        <f t="shared" si="815"/>
        <v>4.80</v>
      </c>
      <c r="AG329" s="165" t="str">
        <f t="shared" si="816"/>
        <v>64.32</v>
      </c>
      <c r="AH329" s="23"/>
      <c r="AI329" s="278">
        <v>0.1</v>
      </c>
      <c r="AJ329" s="24" t="str">
        <f t="shared" si="817"/>
        <v>169.75</v>
      </c>
      <c r="AK329" s="279" t="str">
        <f t="shared" si="818"/>
        <v>#DIV/0!</v>
      </c>
      <c r="AL329" s="280"/>
      <c r="AM329" s="281" t="str">
        <f t="shared" si="360"/>
        <v>0.00</v>
      </c>
      <c r="AN329" s="280"/>
      <c r="AO329" s="282"/>
      <c r="AP329" s="283"/>
      <c r="AQ329" s="283" t="str">
        <f t="shared" si="361"/>
        <v>0.00</v>
      </c>
      <c r="AR329" s="283"/>
      <c r="AS329" s="284"/>
      <c r="AT329" s="285" t="str">
        <f t="shared" si="235"/>
        <v>0.00</v>
      </c>
      <c r="AU329" s="284"/>
      <c r="AV329" s="286"/>
      <c r="AW329" s="285"/>
      <c r="AX329" s="284"/>
      <c r="AY329" s="26"/>
      <c r="AZ329" s="171" t="str">
        <f t="shared" si="819"/>
        <v>0.00%</v>
      </c>
      <c r="BA329" s="172" t="str">
        <f t="shared" si="820"/>
        <v>0.00</v>
      </c>
      <c r="BB329" s="173" t="str">
        <f t="shared" si="821"/>
        <v>321.41</v>
      </c>
      <c r="BC329" s="174" t="str">
        <f t="shared" si="822"/>
        <v>228.20</v>
      </c>
    </row>
    <row r="330" ht="12.75" hidden="1" customHeight="1">
      <c r="A330" s="26"/>
      <c r="B330" s="190" t="s">
        <v>625</v>
      </c>
      <c r="C330" s="192">
        <v>2.12887146E8</v>
      </c>
      <c r="D330" s="152" t="s">
        <v>626</v>
      </c>
      <c r="E330" s="53" t="s">
        <v>77</v>
      </c>
      <c r="F330" s="154">
        <v>1.0</v>
      </c>
      <c r="G330" s="53"/>
      <c r="H330" s="53" t="str">
        <f t="shared" si="800"/>
        <v>0.00069</v>
      </c>
      <c r="I330" s="53" t="str">
        <f t="shared" si="801"/>
        <v>89</v>
      </c>
      <c r="J330" s="53" t="str">
        <f t="shared" si="802"/>
        <v>0</v>
      </c>
      <c r="K330" s="155" t="str">
        <f t="shared" si="803"/>
        <v>0.00</v>
      </c>
      <c r="L330" s="156" t="str">
        <f t="shared" si="804"/>
        <v>0.00 </v>
      </c>
      <c r="M330" s="132">
        <v>90.0</v>
      </c>
      <c r="N330" s="157">
        <v>0.0</v>
      </c>
      <c r="O330" s="277">
        <v>0.0</v>
      </c>
      <c r="P330" s="277" t="str">
        <f t="shared" si="805"/>
        <v>#VALUE!</v>
      </c>
      <c r="Q330" s="157">
        <v>0.0</v>
      </c>
      <c r="R330" s="158">
        <v>574.8</v>
      </c>
      <c r="S330" s="159" t="str">
        <f t="shared" si="806"/>
        <v>312.08</v>
      </c>
      <c r="T330" s="160"/>
      <c r="U330" s="161">
        <v>0.26</v>
      </c>
      <c r="V330" s="162" t="str">
        <f t="shared" si="807"/>
        <v>425.35</v>
      </c>
      <c r="W330" s="163" t="str">
        <f t="shared" si="808"/>
        <v>60.00</v>
      </c>
      <c r="X330" s="164" t="str">
        <f t="shared" si="809"/>
        <v>31.80</v>
      </c>
      <c r="Y330" s="165" t="str">
        <f t="shared" si="810"/>
        <v>0.00</v>
      </c>
      <c r="Z330" s="166">
        <v>0.97</v>
      </c>
      <c r="AA330" s="167" t="str">
        <f t="shared" si="811"/>
        <v>76</v>
      </c>
      <c r="AB330" s="168" t="str">
        <f t="shared" si="812"/>
        <v>186.810</v>
      </c>
      <c r="AC330" s="168" t="str">
        <f t="shared" si="813"/>
        <v>15.143</v>
      </c>
      <c r="AD330" s="164" t="str">
        <f t="shared" si="814"/>
        <v>2.47</v>
      </c>
      <c r="AE330" s="164">
        <v>95.06</v>
      </c>
      <c r="AF330" s="164" t="str">
        <f t="shared" si="815"/>
        <v>4.80</v>
      </c>
      <c r="AG330" s="165" t="str">
        <f t="shared" si="816"/>
        <v>57.48</v>
      </c>
      <c r="AH330" s="23"/>
      <c r="AI330" s="278">
        <v>0.1</v>
      </c>
      <c r="AJ330" s="24" t="str">
        <f t="shared" si="817"/>
        <v>140.30</v>
      </c>
      <c r="AK330" s="279" t="str">
        <f t="shared" si="818"/>
        <v>#DIV/0!</v>
      </c>
      <c r="AL330" s="280"/>
      <c r="AM330" s="281" t="str">
        <f t="shared" si="360"/>
        <v>0.00</v>
      </c>
      <c r="AN330" s="280"/>
      <c r="AO330" s="282"/>
      <c r="AP330" s="283"/>
      <c r="AQ330" s="283" t="str">
        <f t="shared" si="361"/>
        <v>0.00</v>
      </c>
      <c r="AR330" s="283"/>
      <c r="AS330" s="284"/>
      <c r="AT330" s="285" t="str">
        <f t="shared" si="235"/>
        <v>0.00</v>
      </c>
      <c r="AU330" s="284"/>
      <c r="AV330" s="286"/>
      <c r="AW330" s="285"/>
      <c r="AX330" s="284"/>
      <c r="AY330" s="26"/>
      <c r="AZ330" s="171" t="str">
        <f t="shared" si="819"/>
        <v>0.00%</v>
      </c>
      <c r="BA330" s="172" t="str">
        <f t="shared" si="820"/>
        <v>0.00</v>
      </c>
      <c r="BB330" s="173" t="str">
        <f t="shared" si="821"/>
        <v>312.08</v>
      </c>
      <c r="BC330" s="174" t="str">
        <f t="shared" si="822"/>
        <v>221.58</v>
      </c>
    </row>
    <row r="331" ht="12.75" hidden="1" customHeight="1">
      <c r="A331" s="26"/>
      <c r="B331" s="190" t="s">
        <v>627</v>
      </c>
      <c r="C331" s="192">
        <v>2.07484812E8</v>
      </c>
      <c r="D331" s="152" t="s">
        <v>628</v>
      </c>
      <c r="E331" s="53" t="s">
        <v>77</v>
      </c>
      <c r="F331" s="154">
        <v>1.0</v>
      </c>
      <c r="G331" s="53"/>
      <c r="H331" s="53" t="str">
        <f t="shared" si="800"/>
        <v>0.00069</v>
      </c>
      <c r="I331" s="53" t="str">
        <f t="shared" si="801"/>
        <v>89</v>
      </c>
      <c r="J331" s="53" t="str">
        <f t="shared" si="802"/>
        <v>0</v>
      </c>
      <c r="K331" s="155" t="str">
        <f t="shared" si="803"/>
        <v>0.00</v>
      </c>
      <c r="L331" s="156" t="str">
        <f t="shared" si="804"/>
        <v>0.00 </v>
      </c>
      <c r="M331" s="132">
        <v>90.0</v>
      </c>
      <c r="N331" s="157">
        <v>0.0</v>
      </c>
      <c r="O331" s="277">
        <v>0.0</v>
      </c>
      <c r="P331" s="277" t="str">
        <f t="shared" si="805"/>
        <v>#VALUE!</v>
      </c>
      <c r="Q331" s="157">
        <v>0.0</v>
      </c>
      <c r="R331" s="158">
        <v>744.9</v>
      </c>
      <c r="S331" s="159" t="str">
        <f t="shared" si="806"/>
        <v>308.90</v>
      </c>
      <c r="T331" s="160"/>
      <c r="U331" s="161">
        <v>0.26</v>
      </c>
      <c r="V331" s="162" t="str">
        <f t="shared" si="807"/>
        <v>551.23</v>
      </c>
      <c r="W331" s="163" t="str">
        <f t="shared" si="808"/>
        <v>60.00</v>
      </c>
      <c r="X331" s="164" t="str">
        <f t="shared" si="809"/>
        <v>41.21</v>
      </c>
      <c r="Y331" s="165" t="str">
        <f t="shared" si="810"/>
        <v>0.00</v>
      </c>
      <c r="Z331" s="166">
        <v>0.6</v>
      </c>
      <c r="AA331" s="167" t="str">
        <f t="shared" si="811"/>
        <v>76</v>
      </c>
      <c r="AB331" s="168" t="str">
        <f t="shared" si="812"/>
        <v>242.093</v>
      </c>
      <c r="AC331" s="168" t="str">
        <f t="shared" si="813"/>
        <v>19.624</v>
      </c>
      <c r="AD331" s="164" t="str">
        <f t="shared" si="814"/>
        <v>1.01</v>
      </c>
      <c r="AE331" s="164">
        <v>97.98</v>
      </c>
      <c r="AF331" s="164" t="str">
        <f t="shared" si="815"/>
        <v>4.80</v>
      </c>
      <c r="AG331" s="165" t="str">
        <f t="shared" si="816"/>
        <v>74.49</v>
      </c>
      <c r="AH331" s="23"/>
      <c r="AI331" s="278">
        <v>0.1</v>
      </c>
      <c r="AJ331" s="24" t="str">
        <f t="shared" si="817"/>
        <v>225.67</v>
      </c>
      <c r="AK331" s="279" t="str">
        <f t="shared" si="818"/>
        <v>#DIV/0!</v>
      </c>
      <c r="AL331" s="280"/>
      <c r="AM331" s="281" t="str">
        <f t="shared" si="360"/>
        <v>0.00</v>
      </c>
      <c r="AN331" s="280"/>
      <c r="AO331" s="282"/>
      <c r="AP331" s="283"/>
      <c r="AQ331" s="283" t="str">
        <f t="shared" si="361"/>
        <v>0.00</v>
      </c>
      <c r="AR331" s="283"/>
      <c r="AS331" s="284"/>
      <c r="AT331" s="285" t="str">
        <f t="shared" si="235"/>
        <v>0.00</v>
      </c>
      <c r="AU331" s="284"/>
      <c r="AV331" s="286"/>
      <c r="AW331" s="285"/>
      <c r="AX331" s="284"/>
      <c r="AY331" s="26"/>
      <c r="AZ331" s="171" t="str">
        <f t="shared" si="819"/>
        <v>0.00%</v>
      </c>
      <c r="BA331" s="172" t="str">
        <f t="shared" si="820"/>
        <v>0.00</v>
      </c>
      <c r="BB331" s="173" t="str">
        <f t="shared" si="821"/>
        <v>308.90</v>
      </c>
      <c r="BC331" s="174" t="str">
        <f t="shared" si="822"/>
        <v>219.32</v>
      </c>
    </row>
    <row r="332" ht="12.75" hidden="1" customHeight="1">
      <c r="A332" s="26"/>
      <c r="B332" s="190" t="s">
        <v>629</v>
      </c>
      <c r="C332" s="202">
        <v>2.14312837E8</v>
      </c>
      <c r="D332" s="152" t="s">
        <v>630</v>
      </c>
      <c r="E332" s="53" t="s">
        <v>77</v>
      </c>
      <c r="F332" s="154">
        <v>1.0</v>
      </c>
      <c r="G332" s="53"/>
      <c r="H332" s="53" t="str">
        <f t="shared" si="800"/>
        <v>0.00069</v>
      </c>
      <c r="I332" s="53" t="str">
        <f t="shared" si="801"/>
        <v>89</v>
      </c>
      <c r="J332" s="53" t="str">
        <f t="shared" si="802"/>
        <v>0</v>
      </c>
      <c r="K332" s="155" t="str">
        <f t="shared" si="803"/>
        <v>0.00</v>
      </c>
      <c r="L332" s="156" t="str">
        <f t="shared" si="804"/>
        <v>0.00 </v>
      </c>
      <c r="M332" s="132">
        <v>90.0</v>
      </c>
      <c r="N332" s="157">
        <v>179.09</v>
      </c>
      <c r="O332" s="277">
        <v>195.21</v>
      </c>
      <c r="P332" s="277">
        <v>189.84</v>
      </c>
      <c r="Q332" s="157">
        <v>179.09</v>
      </c>
      <c r="R332" s="158">
        <v>559.0</v>
      </c>
      <c r="S332" s="159">
        <v>559.0</v>
      </c>
      <c r="T332" s="160"/>
      <c r="U332" s="161">
        <v>0.16</v>
      </c>
      <c r="V332" s="162" t="str">
        <f t="shared" si="807"/>
        <v>469.56</v>
      </c>
      <c r="W332" s="163" t="str">
        <f t="shared" si="808"/>
        <v>60.00</v>
      </c>
      <c r="X332" s="164" t="str">
        <f t="shared" si="809"/>
        <v>35.11</v>
      </c>
      <c r="Y332" s="165" t="str">
        <f t="shared" si="810"/>
        <v>0.00</v>
      </c>
      <c r="Z332" s="166">
        <v>0.01</v>
      </c>
      <c r="AA332" s="167" t="str">
        <f t="shared" si="811"/>
        <v>76</v>
      </c>
      <c r="AB332" s="168" t="str">
        <f t="shared" si="812"/>
        <v>181.675</v>
      </c>
      <c r="AC332" s="168" t="str">
        <f t="shared" si="813"/>
        <v>16.716</v>
      </c>
      <c r="AD332" s="164" t="str">
        <f t="shared" si="814"/>
        <v>2.99</v>
      </c>
      <c r="AE332" s="164">
        <v>94.03</v>
      </c>
      <c r="AF332" s="164" t="str">
        <f t="shared" si="815"/>
        <v>4.80</v>
      </c>
      <c r="AG332" s="165" t="str">
        <f t="shared" si="816"/>
        <v>55.90</v>
      </c>
      <c r="AH332" s="23"/>
      <c r="AI332" s="278">
        <v>0.1</v>
      </c>
      <c r="AJ332" s="24" t="str">
        <f t="shared" si="817"/>
        <v>-53.27</v>
      </c>
      <c r="AK332" s="279" t="str">
        <f t="shared" si="818"/>
        <v>-29.75%</v>
      </c>
      <c r="AL332" s="280"/>
      <c r="AM332" s="281" t="str">
        <f t="shared" si="360"/>
        <v>0.00</v>
      </c>
      <c r="AN332" s="280"/>
      <c r="AO332" s="282"/>
      <c r="AP332" s="283"/>
      <c r="AQ332" s="283" t="str">
        <f t="shared" si="361"/>
        <v>0.00</v>
      </c>
      <c r="AR332" s="283"/>
      <c r="AS332" s="284"/>
      <c r="AT332" s="285" t="str">
        <f t="shared" si="235"/>
        <v>0.00</v>
      </c>
      <c r="AU332" s="284"/>
      <c r="AV332" s="286"/>
      <c r="AW332" s="285"/>
      <c r="AX332" s="284"/>
      <c r="AY332" s="26"/>
      <c r="AZ332" s="171" t="str">
        <f t="shared" si="819"/>
        <v>0.00%</v>
      </c>
      <c r="BA332" s="172" t="str">
        <f t="shared" si="820"/>
        <v>0.00</v>
      </c>
      <c r="BB332" s="173" t="str">
        <f t="shared" si="821"/>
        <v>703.04</v>
      </c>
      <c r="BC332" s="174" t="str">
        <f t="shared" si="822"/>
        <v>499.16</v>
      </c>
    </row>
    <row r="333" ht="12.75" hidden="1" customHeight="1">
      <c r="A333" s="26"/>
      <c r="B333" s="190" t="s">
        <v>631</v>
      </c>
      <c r="C333" s="192">
        <v>2.12890346E8</v>
      </c>
      <c r="D333" s="152" t="s">
        <v>632</v>
      </c>
      <c r="E333" s="53" t="s">
        <v>77</v>
      </c>
      <c r="F333" s="154">
        <v>1.0</v>
      </c>
      <c r="G333" s="53"/>
      <c r="H333" s="53" t="str">
        <f t="shared" si="800"/>
        <v>0.00069</v>
      </c>
      <c r="I333" s="53" t="str">
        <f t="shared" si="801"/>
        <v>89</v>
      </c>
      <c r="J333" s="53" t="str">
        <f t="shared" si="802"/>
        <v>0</v>
      </c>
      <c r="K333" s="155" t="str">
        <f t="shared" si="803"/>
        <v>0.00</v>
      </c>
      <c r="L333" s="156" t="str">
        <f t="shared" si="804"/>
        <v>0.00 </v>
      </c>
      <c r="M333" s="132">
        <v>90.0</v>
      </c>
      <c r="N333" s="157">
        <v>0.0</v>
      </c>
      <c r="O333" s="277">
        <v>0.0</v>
      </c>
      <c r="P333" s="277" t="str">
        <f t="shared" ref="P333:P335" si="823">K333/E333</f>
        <v>#VALUE!</v>
      </c>
      <c r="Q333" s="157">
        <v>0.0</v>
      </c>
      <c r="R333" s="158">
        <v>811.5</v>
      </c>
      <c r="S333" s="159" t="str">
        <f t="shared" ref="S333:S335" si="824">BB333</f>
        <v>311.24</v>
      </c>
      <c r="T333" s="160"/>
      <c r="U333" s="161">
        <v>0.26</v>
      </c>
      <c r="V333" s="162" t="str">
        <f t="shared" si="807"/>
        <v>600.51</v>
      </c>
      <c r="W333" s="163" t="str">
        <f t="shared" si="808"/>
        <v>60.00</v>
      </c>
      <c r="X333" s="164" t="str">
        <f t="shared" si="809"/>
        <v>44.90</v>
      </c>
      <c r="Y333" s="165" t="str">
        <f t="shared" si="810"/>
        <v>0.00</v>
      </c>
      <c r="Z333" s="166">
        <v>0.1</v>
      </c>
      <c r="AA333" s="167" t="str">
        <f t="shared" si="811"/>
        <v>76</v>
      </c>
      <c r="AB333" s="168" t="str">
        <f t="shared" si="812"/>
        <v>263.738</v>
      </c>
      <c r="AC333" s="168" t="str">
        <f t="shared" si="813"/>
        <v>21.378</v>
      </c>
      <c r="AD333" s="164" t="str">
        <f t="shared" si="814"/>
        <v>2.09</v>
      </c>
      <c r="AE333" s="164">
        <v>95.83</v>
      </c>
      <c r="AF333" s="164" t="str">
        <f t="shared" si="815"/>
        <v>4.80</v>
      </c>
      <c r="AG333" s="165" t="str">
        <f t="shared" si="816"/>
        <v>81.15</v>
      </c>
      <c r="AH333" s="23"/>
      <c r="AI333" s="278">
        <v>0.1</v>
      </c>
      <c r="AJ333" s="24" t="str">
        <f t="shared" si="817"/>
        <v>257.45</v>
      </c>
      <c r="AK333" s="279" t="str">
        <f t="shared" si="818"/>
        <v>#DIV/0!</v>
      </c>
      <c r="AL333" s="280"/>
      <c r="AM333" s="281" t="str">
        <f t="shared" si="360"/>
        <v>0.00</v>
      </c>
      <c r="AN333" s="280"/>
      <c r="AO333" s="282"/>
      <c r="AP333" s="283"/>
      <c r="AQ333" s="283" t="str">
        <f t="shared" si="361"/>
        <v>0.00</v>
      </c>
      <c r="AR333" s="283"/>
      <c r="AS333" s="284"/>
      <c r="AT333" s="285" t="str">
        <f t="shared" si="235"/>
        <v>0.00</v>
      </c>
      <c r="AU333" s="284"/>
      <c r="AV333" s="286"/>
      <c r="AW333" s="285"/>
      <c r="AX333" s="284"/>
      <c r="AY333" s="26"/>
      <c r="AZ333" s="171" t="str">
        <f t="shared" si="819"/>
        <v>0.00%</v>
      </c>
      <c r="BA333" s="172" t="str">
        <f t="shared" si="820"/>
        <v>0.00</v>
      </c>
      <c r="BB333" s="173" t="str">
        <f t="shared" si="821"/>
        <v>311.24</v>
      </c>
      <c r="BC333" s="174" t="str">
        <f t="shared" si="822"/>
        <v>220.98</v>
      </c>
    </row>
    <row r="334" ht="12.75" hidden="1" customHeight="1">
      <c r="A334" s="26"/>
      <c r="B334" s="190" t="s">
        <v>633</v>
      </c>
      <c r="C334" s="192">
        <v>2.12890347E8</v>
      </c>
      <c r="D334" s="152" t="s">
        <v>634</v>
      </c>
      <c r="E334" s="53" t="s">
        <v>77</v>
      </c>
      <c r="F334" s="154">
        <v>1.0</v>
      </c>
      <c r="G334" s="53"/>
      <c r="H334" s="53" t="str">
        <f t="shared" si="800"/>
        <v>0.00069</v>
      </c>
      <c r="I334" s="53" t="str">
        <f t="shared" si="801"/>
        <v>89</v>
      </c>
      <c r="J334" s="53" t="str">
        <f t="shared" si="802"/>
        <v>0</v>
      </c>
      <c r="K334" s="155" t="str">
        <f t="shared" si="803"/>
        <v>0.00</v>
      </c>
      <c r="L334" s="156" t="str">
        <f t="shared" si="804"/>
        <v>0.00 </v>
      </c>
      <c r="M334" s="132">
        <v>90.0</v>
      </c>
      <c r="N334" s="157">
        <v>0.0</v>
      </c>
      <c r="O334" s="277">
        <v>0.0</v>
      </c>
      <c r="P334" s="277" t="str">
        <f t="shared" si="823"/>
        <v>#VALUE!</v>
      </c>
      <c r="Q334" s="157">
        <v>0.0</v>
      </c>
      <c r="R334" s="158">
        <v>880.2</v>
      </c>
      <c r="S334" s="159" t="str">
        <f t="shared" si="824"/>
        <v>313.29</v>
      </c>
      <c r="T334" s="160"/>
      <c r="U334" s="161">
        <v>0.26</v>
      </c>
      <c r="V334" s="162" t="str">
        <f t="shared" si="807"/>
        <v>651.35</v>
      </c>
      <c r="W334" s="163" t="str">
        <f t="shared" si="808"/>
        <v>60.00</v>
      </c>
      <c r="X334" s="164" t="str">
        <f t="shared" si="809"/>
        <v>48.70</v>
      </c>
      <c r="Y334" s="165" t="str">
        <f t="shared" si="810"/>
        <v>0.00</v>
      </c>
      <c r="Z334" s="166">
        <v>0.19</v>
      </c>
      <c r="AA334" s="167" t="str">
        <f t="shared" si="811"/>
        <v>76</v>
      </c>
      <c r="AB334" s="168" t="str">
        <f t="shared" si="812"/>
        <v>286.065</v>
      </c>
      <c r="AC334" s="168" t="str">
        <f t="shared" si="813"/>
        <v>23.188</v>
      </c>
      <c r="AD334" s="164" t="str">
        <f t="shared" si="814"/>
        <v>3.03</v>
      </c>
      <c r="AE334" s="164">
        <v>93.95</v>
      </c>
      <c r="AF334" s="164" t="str">
        <f t="shared" si="815"/>
        <v>4.80</v>
      </c>
      <c r="AG334" s="165" t="str">
        <f t="shared" si="816"/>
        <v>88.02</v>
      </c>
      <c r="AH334" s="23"/>
      <c r="AI334" s="278">
        <v>0.1</v>
      </c>
      <c r="AJ334" s="24" t="str">
        <f t="shared" si="817"/>
        <v>290.40</v>
      </c>
      <c r="AK334" s="279" t="str">
        <f t="shared" si="818"/>
        <v>#DIV/0!</v>
      </c>
      <c r="AL334" s="280"/>
      <c r="AM334" s="281" t="str">
        <f t="shared" si="360"/>
        <v>0.00</v>
      </c>
      <c r="AN334" s="280"/>
      <c r="AO334" s="282"/>
      <c r="AP334" s="283"/>
      <c r="AQ334" s="283" t="str">
        <f t="shared" si="361"/>
        <v>0.00</v>
      </c>
      <c r="AR334" s="283"/>
      <c r="AS334" s="284"/>
      <c r="AT334" s="285" t="str">
        <f t="shared" si="235"/>
        <v>0.00</v>
      </c>
      <c r="AU334" s="284"/>
      <c r="AV334" s="286"/>
      <c r="AW334" s="285"/>
      <c r="AX334" s="284"/>
      <c r="AY334" s="26"/>
      <c r="AZ334" s="171" t="str">
        <f t="shared" si="819"/>
        <v>0.00%</v>
      </c>
      <c r="BA334" s="172" t="str">
        <f t="shared" si="820"/>
        <v>0.00</v>
      </c>
      <c r="BB334" s="173" t="str">
        <f t="shared" si="821"/>
        <v>313.29</v>
      </c>
      <c r="BC334" s="174" t="str">
        <f t="shared" si="822"/>
        <v>222.44</v>
      </c>
    </row>
    <row r="335" ht="12.75" hidden="1" customHeight="1">
      <c r="A335" s="26"/>
      <c r="B335" s="190" t="s">
        <v>635</v>
      </c>
      <c r="C335" s="192">
        <v>2.12887E8</v>
      </c>
      <c r="D335" s="152" t="s">
        <v>636</v>
      </c>
      <c r="E335" s="53" t="s">
        <v>77</v>
      </c>
      <c r="F335" s="154">
        <v>1.0</v>
      </c>
      <c r="G335" s="53"/>
      <c r="H335" s="53" t="str">
        <f t="shared" si="800"/>
        <v>0.00069</v>
      </c>
      <c r="I335" s="53" t="str">
        <f t="shared" si="801"/>
        <v>89</v>
      </c>
      <c r="J335" s="53" t="str">
        <f t="shared" si="802"/>
        <v>0</v>
      </c>
      <c r="K335" s="155" t="str">
        <f t="shared" si="803"/>
        <v>0.00</v>
      </c>
      <c r="L335" s="156" t="str">
        <f t="shared" si="804"/>
        <v>0.00 </v>
      </c>
      <c r="M335" s="132">
        <v>90.0</v>
      </c>
      <c r="N335" s="157">
        <v>0.0</v>
      </c>
      <c r="O335" s="277">
        <v>0.0</v>
      </c>
      <c r="P335" s="277" t="str">
        <f t="shared" si="823"/>
        <v>#VALUE!</v>
      </c>
      <c r="Q335" s="157">
        <v>0.0</v>
      </c>
      <c r="R335" s="158">
        <v>676.5</v>
      </c>
      <c r="S335" s="159" t="str">
        <f t="shared" si="824"/>
        <v>306.70</v>
      </c>
      <c r="T335" s="160"/>
      <c r="U335" s="161">
        <v>0.26</v>
      </c>
      <c r="V335" s="162" t="str">
        <f t="shared" si="807"/>
        <v>500.61</v>
      </c>
      <c r="W335" s="163" t="str">
        <f t="shared" si="808"/>
        <v>60.00</v>
      </c>
      <c r="X335" s="164" t="str">
        <f t="shared" si="809"/>
        <v>37.43</v>
      </c>
      <c r="Y335" s="165" t="str">
        <f t="shared" si="810"/>
        <v>0.00</v>
      </c>
      <c r="Z335" s="166">
        <v>0.73</v>
      </c>
      <c r="AA335" s="167" t="str">
        <f t="shared" si="811"/>
        <v>76</v>
      </c>
      <c r="AB335" s="168" t="str">
        <f t="shared" si="812"/>
        <v>219.863</v>
      </c>
      <c r="AC335" s="168" t="str">
        <f t="shared" si="813"/>
        <v>17.822</v>
      </c>
      <c r="AD335" s="164" t="str">
        <f t="shared" si="814"/>
        <v>0.00</v>
      </c>
      <c r="AE335" s="164">
        <v>100.0</v>
      </c>
      <c r="AF335" s="164" t="str">
        <f t="shared" si="815"/>
        <v>4.80</v>
      </c>
      <c r="AG335" s="165" t="str">
        <f t="shared" si="816"/>
        <v>67.65</v>
      </c>
      <c r="AH335" s="23"/>
      <c r="AI335" s="278">
        <v>0.1</v>
      </c>
      <c r="AJ335" s="24" t="str">
        <f t="shared" si="817"/>
        <v>192.94</v>
      </c>
      <c r="AK335" s="279" t="str">
        <f t="shared" si="818"/>
        <v>#DIV/0!</v>
      </c>
      <c r="AL335" s="280"/>
      <c r="AM335" s="281" t="str">
        <f t="shared" si="360"/>
        <v>0.00</v>
      </c>
      <c r="AN335" s="280"/>
      <c r="AO335" s="282"/>
      <c r="AP335" s="283"/>
      <c r="AQ335" s="283" t="str">
        <f t="shared" si="361"/>
        <v>0.00</v>
      </c>
      <c r="AR335" s="283"/>
      <c r="AS335" s="284"/>
      <c r="AT335" s="285" t="str">
        <f t="shared" si="235"/>
        <v>0.00</v>
      </c>
      <c r="AU335" s="284"/>
      <c r="AV335" s="286"/>
      <c r="AW335" s="285"/>
      <c r="AX335" s="284"/>
      <c r="AY335" s="26"/>
      <c r="AZ335" s="171" t="str">
        <f t="shared" si="819"/>
        <v>0.00%</v>
      </c>
      <c r="BA335" s="172" t="str">
        <f t="shared" si="820"/>
        <v>0.00</v>
      </c>
      <c r="BB335" s="173" t="str">
        <f t="shared" si="821"/>
        <v>306.70</v>
      </c>
      <c r="BC335" s="174" t="str">
        <f t="shared" si="822"/>
        <v>217.76</v>
      </c>
    </row>
    <row r="336" ht="12.75" hidden="1" customHeight="1">
      <c r="A336" s="26"/>
      <c r="B336" s="125" t="s">
        <v>637</v>
      </c>
      <c r="C336" s="126"/>
      <c r="D336" s="127"/>
      <c r="E336" s="128"/>
      <c r="F336" s="128"/>
      <c r="G336" s="128"/>
      <c r="H336" s="197"/>
      <c r="I336" s="197"/>
      <c r="J336" s="128"/>
      <c r="K336" s="130"/>
      <c r="L336" s="131"/>
      <c r="M336" s="132"/>
      <c r="N336" s="176"/>
      <c r="O336" s="133"/>
      <c r="P336" s="133"/>
      <c r="Q336" s="176"/>
      <c r="R336" s="134"/>
      <c r="S336" s="135"/>
      <c r="T336" s="135"/>
      <c r="U336" s="136"/>
      <c r="V336" s="137"/>
      <c r="W336" s="177"/>
      <c r="X336" s="178"/>
      <c r="Y336" s="179"/>
      <c r="Z336" s="180"/>
      <c r="AA336" s="181"/>
      <c r="AB336" s="182"/>
      <c r="AC336" s="182"/>
      <c r="AD336" s="178"/>
      <c r="AE336" s="178"/>
      <c r="AF336" s="178"/>
      <c r="AG336" s="179"/>
      <c r="AH336" s="183"/>
      <c r="AI336" s="271"/>
      <c r="AJ336" s="287"/>
      <c r="AK336" s="288"/>
      <c r="AL336" s="280"/>
      <c r="AM336" s="281" t="str">
        <f t="shared" si="360"/>
        <v>0.00</v>
      </c>
      <c r="AN336" s="280"/>
      <c r="AO336" s="282"/>
      <c r="AP336" s="283"/>
      <c r="AQ336" s="283" t="str">
        <f t="shared" si="361"/>
        <v>0.00</v>
      </c>
      <c r="AR336" s="283"/>
      <c r="AS336" s="284"/>
      <c r="AT336" s="285" t="str">
        <f t="shared" si="235"/>
        <v>0.00</v>
      </c>
      <c r="AU336" s="284"/>
      <c r="AV336" s="286"/>
      <c r="AW336" s="285"/>
      <c r="AX336" s="284"/>
      <c r="AY336" s="26"/>
      <c r="AZ336" s="186"/>
      <c r="BA336" s="187"/>
      <c r="BB336" s="188"/>
      <c r="BC336" s="189"/>
    </row>
    <row r="337" ht="12.75" hidden="1" customHeight="1">
      <c r="A337" s="26"/>
      <c r="B337" s="190" t="s">
        <v>638</v>
      </c>
      <c r="C337" s="191">
        <v>1.80596737E8</v>
      </c>
      <c r="D337" s="217" t="s">
        <v>639</v>
      </c>
      <c r="E337" s="226" t="s">
        <v>77</v>
      </c>
      <c r="F337" s="154">
        <v>1.0</v>
      </c>
      <c r="G337" s="227"/>
      <c r="H337" s="227" t="str">
        <f>$I$2</f>
        <v>0.00069</v>
      </c>
      <c r="I337" s="227" t="str">
        <f>$I$3</f>
        <v>89</v>
      </c>
      <c r="J337" s="53" t="str">
        <f>G337*H337*I337*F337</f>
        <v>0</v>
      </c>
      <c r="K337" s="155" t="str">
        <f>J337*$J$4</f>
        <v>0.00</v>
      </c>
      <c r="L337" s="156" t="str">
        <f>K337+J337</f>
        <v>0.00 </v>
      </c>
      <c r="M337" s="228">
        <v>90.0</v>
      </c>
      <c r="N337" s="157">
        <v>0.0</v>
      </c>
      <c r="O337" s="277">
        <v>0.0</v>
      </c>
      <c r="P337" s="277" t="str">
        <f>K337/E337</f>
        <v>#VALUE!</v>
      </c>
      <c r="Q337" s="157">
        <v>0.0</v>
      </c>
      <c r="R337" s="158">
        <v>917.4</v>
      </c>
      <c r="S337" s="159" t="str">
        <f>BB337</f>
        <v>310.18</v>
      </c>
      <c r="T337" s="160"/>
      <c r="U337" s="161">
        <v>0.26</v>
      </c>
      <c r="V337" s="162" t="str">
        <f>R337-(R337*U337)</f>
        <v>678.88</v>
      </c>
      <c r="W337" s="229" t="str">
        <f>$C$1</f>
        <v>60.00</v>
      </c>
      <c r="X337" s="164" t="str">
        <f>(V337*7/107)+((V337-(V337*7/107))*1%)</f>
        <v>50.76</v>
      </c>
      <c r="Y337" s="230" t="str">
        <f>Q337*$C$3*(M337/30)</f>
        <v>0.00</v>
      </c>
      <c r="Z337" s="166">
        <v>0.3</v>
      </c>
      <c r="AA337" s="231" t="str">
        <f>((_xlfn.CEILING.MATH(Z337)-1)*$C$5+$C$4)</f>
        <v>76</v>
      </c>
      <c r="AB337" s="232" t="str">
        <f>R337*$AB$6</f>
        <v>298.155</v>
      </c>
      <c r="AC337" s="232" t="str">
        <f>V337*$AB$7</f>
        <v>24.168</v>
      </c>
      <c r="AD337" s="233" t="str">
        <f>$AB$3*((100-AE337)/100)</f>
        <v>1.60</v>
      </c>
      <c r="AE337" s="233">
        <v>96.81</v>
      </c>
      <c r="AF337" s="233" t="str">
        <f>$C$6*$C$7*_xlfn.CEILING.MATH(Z337)</f>
        <v>4.80</v>
      </c>
      <c r="AG337" s="230" t="str">
        <f>R337*$C$2</f>
        <v>91.74</v>
      </c>
      <c r="AH337" s="23"/>
      <c r="AI337" s="278">
        <v>0.1</v>
      </c>
      <c r="AJ337" s="299" t="str">
        <f>R337-W337-X337-Y337-AA337-AB337-AC337-AD337-AF337-AG337-Q337</f>
        <v>310.18</v>
      </c>
      <c r="AK337" s="300" t="str">
        <f>AJ337/Q337</f>
        <v>#DIV/0!</v>
      </c>
      <c r="AL337" s="280"/>
      <c r="AM337" s="281" t="str">
        <f t="shared" si="360"/>
        <v>0.00</v>
      </c>
      <c r="AN337" s="280"/>
      <c r="AO337" s="282"/>
      <c r="AP337" s="283"/>
      <c r="AQ337" s="283" t="str">
        <f t="shared" si="361"/>
        <v>0.00</v>
      </c>
      <c r="AR337" s="283"/>
      <c r="AS337" s="284"/>
      <c r="AT337" s="285" t="str">
        <f t="shared" si="235"/>
        <v>0.00</v>
      </c>
      <c r="AU337" s="284"/>
      <c r="AV337" s="286"/>
      <c r="AW337" s="285"/>
      <c r="AX337" s="284"/>
      <c r="AY337" s="26"/>
      <c r="AZ337" s="235" t="str">
        <f>$AG$3</f>
        <v>0.00%</v>
      </c>
      <c r="BA337" s="236" t="str">
        <f>Q337*AZ337</f>
        <v>0.00</v>
      </c>
      <c r="BB337" s="237" t="str">
        <f>(Q337+W337+Y337+AA337+AD337+AF337+AI337+BA337)/(100%-($C$2+$C$8+$AB$6+$AB$7))</f>
        <v>310.18</v>
      </c>
      <c r="BC337" s="238" t="str">
        <f>BB337-(BB337*$AG$1)</f>
        <v>220.23</v>
      </c>
    </row>
    <row r="338" ht="12.75" customHeight="1">
      <c r="A338" s="26"/>
      <c r="B338" s="125" t="s">
        <v>637</v>
      </c>
      <c r="C338" s="126"/>
      <c r="D338" s="127"/>
      <c r="E338" s="128"/>
      <c r="F338" s="128"/>
      <c r="G338" s="128"/>
      <c r="H338" s="197"/>
      <c r="I338" s="197"/>
      <c r="J338" s="128"/>
      <c r="K338" s="130"/>
      <c r="L338" s="131"/>
      <c r="M338" s="132"/>
      <c r="N338" s="176"/>
      <c r="O338" s="133"/>
      <c r="P338" s="133"/>
      <c r="Q338" s="176"/>
      <c r="R338" s="134"/>
      <c r="S338" s="135"/>
      <c r="T338" s="135"/>
      <c r="U338" s="136"/>
      <c r="V338" s="137"/>
      <c r="W338" s="177"/>
      <c r="X338" s="178"/>
      <c r="Y338" s="179"/>
      <c r="Z338" s="180"/>
      <c r="AA338" s="181"/>
      <c r="AB338" s="182"/>
      <c r="AC338" s="182"/>
      <c r="AD338" s="178"/>
      <c r="AE338" s="178"/>
      <c r="AF338" s="178"/>
      <c r="AG338" s="179"/>
      <c r="AH338" s="183"/>
      <c r="AI338" s="271"/>
      <c r="AJ338" s="287"/>
      <c r="AK338" s="288"/>
      <c r="AL338" s="280"/>
      <c r="AM338" s="281" t="str">
        <f t="shared" si="360"/>
        <v>0.00</v>
      </c>
      <c r="AN338" s="280"/>
      <c r="AO338" s="282"/>
      <c r="AP338" s="283"/>
      <c r="AQ338" s="283" t="str">
        <f t="shared" si="361"/>
        <v>0.00</v>
      </c>
      <c r="AR338" s="283"/>
      <c r="AS338" s="284"/>
      <c r="AT338" s="285" t="str">
        <f t="shared" si="235"/>
        <v>0.00</v>
      </c>
      <c r="AU338" s="284"/>
      <c r="AV338" s="286"/>
      <c r="AW338" s="285"/>
      <c r="AX338" s="284"/>
      <c r="AY338" s="26"/>
      <c r="AZ338" s="186"/>
      <c r="BA338" s="187"/>
      <c r="BB338" s="188"/>
      <c r="BC338" s="189"/>
    </row>
    <row r="339" ht="12.75" customHeight="1">
      <c r="A339" s="26"/>
      <c r="B339" s="12"/>
      <c r="C339" s="192">
        <v>5.51387355E8</v>
      </c>
      <c r="D339" s="239" t="s">
        <v>640</v>
      </c>
      <c r="E339" s="226" t="s">
        <v>77</v>
      </c>
      <c r="F339" s="154">
        <v>1.0</v>
      </c>
      <c r="G339" s="53"/>
      <c r="H339" s="53" t="str">
        <f t="shared" ref="H339:H352" si="825">$I$2</f>
        <v>0.00069</v>
      </c>
      <c r="I339" s="53" t="str">
        <f t="shared" ref="I339:I352" si="826">$I$3</f>
        <v>89</v>
      </c>
      <c r="J339" s="53" t="str">
        <f t="shared" ref="J339:J352" si="827">G339*H339*I339*F339</f>
        <v>0</v>
      </c>
      <c r="K339" s="155" t="str">
        <f t="shared" ref="K339:K352" si="828">J339*$J$4</f>
        <v>0.00</v>
      </c>
      <c r="L339" s="156" t="str">
        <f t="shared" ref="L339:L352" si="829">K339+J339</f>
        <v>0.00 </v>
      </c>
      <c r="M339" s="132">
        <v>90.0</v>
      </c>
      <c r="N339" s="175">
        <v>492.13</v>
      </c>
      <c r="O339" s="277">
        <v>536.42</v>
      </c>
      <c r="P339" s="277">
        <v>521.66</v>
      </c>
      <c r="Q339" s="175">
        <v>512.18</v>
      </c>
      <c r="R339" s="158">
        <v>1944.0</v>
      </c>
      <c r="S339" s="159" t="str">
        <f t="shared" ref="S339:S346" si="830">BB339</f>
        <v/>
      </c>
      <c r="T339" s="160">
        <v>2068.0</v>
      </c>
      <c r="U339" s="161">
        <v>0.32</v>
      </c>
      <c r="V339" s="162" t="str">
        <f t="shared" ref="V339:V352" si="831">R339-(R339*U339)</f>
        <v>1,321.92</v>
      </c>
      <c r="W339" s="229" t="str">
        <f t="shared" ref="W339:W352" si="832">$C$1</f>
        <v>60.00</v>
      </c>
      <c r="X339" s="164" t="str">
        <f t="shared" ref="X339:X352" si="833">(V339*7/107)+((V339-(V339*7/107))*1%)</f>
        <v>98.84</v>
      </c>
      <c r="Y339" s="230" t="str">
        <f t="shared" ref="Y339:Y352" si="834">Q339*$C$3*(M339/30)</f>
        <v>0.00</v>
      </c>
      <c r="Z339" s="166">
        <v>0.9</v>
      </c>
      <c r="AA339" s="231">
        <v>91.0</v>
      </c>
      <c r="AB339" s="232" t="str">
        <f t="shared" ref="AB339:AB352" si="835">R339*$AB$6</f>
        <v>631.800</v>
      </c>
      <c r="AC339" s="232" t="str">
        <f t="shared" ref="AC339:AC352" si="836">V339*$AB$7</f>
        <v>47.060</v>
      </c>
      <c r="AD339" s="233" t="str">
        <f t="shared" ref="AD339:AD346" si="837">$AB$3*((100-AE339)/100)</f>
        <v>1.60</v>
      </c>
      <c r="AE339" s="233">
        <v>96.81</v>
      </c>
      <c r="AF339" s="233" t="str">
        <f t="shared" ref="AF339:AF352" si="838">$C$6*$C$7*_xlfn.CEILING.MATH(Z339)</f>
        <v>4.80</v>
      </c>
      <c r="AG339" s="230" t="str">
        <f t="shared" ref="AG339:AG341" si="839">R339*$C$2</f>
        <v>194.40</v>
      </c>
      <c r="AH339" s="23"/>
      <c r="AI339" s="278">
        <v>0.1</v>
      </c>
      <c r="AJ339" s="299" t="str">
        <f t="shared" ref="AJ339:AJ352" si="840">R339-W339-X339-Y339-AA339-AB339-AC339-AD339-AF339-AG339-Q339</f>
        <v>302.33</v>
      </c>
      <c r="AK339" s="300" t="str">
        <f t="shared" ref="AK339:AK352" si="841">AJ339/Q339</f>
        <v>59.03%</v>
      </c>
      <c r="AL339" s="280">
        <v>750.0</v>
      </c>
      <c r="AM339" s="281" t="str">
        <f t="shared" si="360"/>
        <v>226,747.13</v>
      </c>
      <c r="AN339" s="280">
        <v>47.0</v>
      </c>
      <c r="AO339" s="282">
        <v>34.65</v>
      </c>
      <c r="AP339" s="283">
        <v>204.76</v>
      </c>
      <c r="AQ339" s="283" t="str">
        <f t="shared" si="361"/>
        <v>9,623.72</v>
      </c>
      <c r="AR339" s="283">
        <v>40.14</v>
      </c>
      <c r="AS339" s="284">
        <v>1500.0</v>
      </c>
      <c r="AT339" s="285" t="str">
        <f t="shared" si="235"/>
        <v>453,494.26</v>
      </c>
      <c r="AU339" s="284">
        <v>56.0</v>
      </c>
      <c r="AV339" s="286">
        <v>0.1997</v>
      </c>
      <c r="AW339" s="285">
        <v>3551.01</v>
      </c>
      <c r="AX339" s="284">
        <v>12.42</v>
      </c>
      <c r="AY339" s="26"/>
      <c r="AZ339" s="26"/>
      <c r="BA339" s="27"/>
      <c r="BB339" s="28"/>
      <c r="BC339" s="29"/>
    </row>
    <row r="340" ht="12.75" customHeight="1">
      <c r="A340" s="26"/>
      <c r="B340" s="12"/>
      <c r="C340" s="192">
        <v>5.51392965E8</v>
      </c>
      <c r="D340" s="239" t="s">
        <v>641</v>
      </c>
      <c r="E340" s="226" t="s">
        <v>77</v>
      </c>
      <c r="F340" s="154">
        <v>1.0</v>
      </c>
      <c r="G340" s="53"/>
      <c r="H340" s="53" t="str">
        <f t="shared" si="825"/>
        <v>0.00069</v>
      </c>
      <c r="I340" s="53" t="str">
        <f t="shared" si="826"/>
        <v>89</v>
      </c>
      <c r="J340" s="53" t="str">
        <f t="shared" si="827"/>
        <v>0</v>
      </c>
      <c r="K340" s="155" t="str">
        <f t="shared" si="828"/>
        <v>0.00</v>
      </c>
      <c r="L340" s="156" t="str">
        <f t="shared" si="829"/>
        <v>0.00 </v>
      </c>
      <c r="M340" s="132">
        <v>90.0</v>
      </c>
      <c r="N340" s="157">
        <v>864.11</v>
      </c>
      <c r="O340" s="277">
        <v>941.88</v>
      </c>
      <c r="P340" s="277">
        <v>915.96</v>
      </c>
      <c r="Q340" s="157">
        <v>864.11</v>
      </c>
      <c r="R340" s="158">
        <v>2400.0</v>
      </c>
      <c r="S340" s="159" t="str">
        <f t="shared" si="830"/>
        <v/>
      </c>
      <c r="T340" s="160">
        <v>2417.0</v>
      </c>
      <c r="U340" s="161">
        <v>0.32</v>
      </c>
      <c r="V340" s="162" t="str">
        <f t="shared" si="831"/>
        <v>1,632.00</v>
      </c>
      <c r="W340" s="229" t="str">
        <f t="shared" si="832"/>
        <v>60.00</v>
      </c>
      <c r="X340" s="164" t="str">
        <f t="shared" si="833"/>
        <v>122.02</v>
      </c>
      <c r="Y340" s="230" t="str">
        <f t="shared" si="834"/>
        <v>0.00</v>
      </c>
      <c r="Z340" s="166">
        <v>0.3</v>
      </c>
      <c r="AA340" s="231">
        <v>91.0</v>
      </c>
      <c r="AB340" s="232" t="str">
        <f t="shared" si="835"/>
        <v>780.000</v>
      </c>
      <c r="AC340" s="232" t="str">
        <f t="shared" si="836"/>
        <v>58.099</v>
      </c>
      <c r="AD340" s="233" t="str">
        <f t="shared" si="837"/>
        <v>1.60</v>
      </c>
      <c r="AE340" s="233">
        <v>96.81</v>
      </c>
      <c r="AF340" s="233" t="str">
        <f t="shared" si="838"/>
        <v>4.80</v>
      </c>
      <c r="AG340" s="230" t="str">
        <f t="shared" si="839"/>
        <v>240.00</v>
      </c>
      <c r="AH340" s="23"/>
      <c r="AI340" s="278">
        <v>0.1</v>
      </c>
      <c r="AJ340" s="299" t="str">
        <f t="shared" si="840"/>
        <v>178.38</v>
      </c>
      <c r="AK340" s="300" t="str">
        <f t="shared" si="841"/>
        <v>20.64%</v>
      </c>
      <c r="AL340" s="280"/>
      <c r="AM340" s="281" t="str">
        <f t="shared" si="360"/>
        <v>0.00</v>
      </c>
      <c r="AN340" s="280"/>
      <c r="AO340" s="282">
        <v>7.89</v>
      </c>
      <c r="AP340" s="283">
        <v>196.2</v>
      </c>
      <c r="AQ340" s="283" t="str">
        <f t="shared" si="361"/>
        <v>0.00</v>
      </c>
      <c r="AR340" s="283">
        <v>21.42</v>
      </c>
      <c r="AS340" s="284">
        <v>9.0</v>
      </c>
      <c r="AT340" s="285" t="str">
        <f t="shared" si="235"/>
        <v>1,605.39</v>
      </c>
      <c r="AU340" s="284">
        <v>9.0</v>
      </c>
      <c r="AV340" s="286">
        <v>0.0</v>
      </c>
      <c r="AW340" s="285">
        <v>3312.19</v>
      </c>
      <c r="AX340" s="284">
        <v>42.59</v>
      </c>
      <c r="AY340" s="26"/>
      <c r="AZ340" s="26"/>
      <c r="BA340" s="27"/>
      <c r="BB340" s="28"/>
      <c r="BC340" s="29"/>
    </row>
    <row r="341" ht="12.75" customHeight="1">
      <c r="A341" s="26"/>
      <c r="B341" s="12"/>
      <c r="C341" s="192">
        <v>5.51447345E8</v>
      </c>
      <c r="D341" s="239" t="s">
        <v>642</v>
      </c>
      <c r="E341" s="226" t="s">
        <v>77</v>
      </c>
      <c r="F341" s="154">
        <v>1.0</v>
      </c>
      <c r="G341" s="53"/>
      <c r="H341" s="53" t="str">
        <f t="shared" si="825"/>
        <v>0.00069</v>
      </c>
      <c r="I341" s="53" t="str">
        <f t="shared" si="826"/>
        <v>89</v>
      </c>
      <c r="J341" s="53" t="str">
        <f t="shared" si="827"/>
        <v>0</v>
      </c>
      <c r="K341" s="155" t="str">
        <f t="shared" si="828"/>
        <v>0.00</v>
      </c>
      <c r="L341" s="156" t="str">
        <f t="shared" si="829"/>
        <v>0.00 </v>
      </c>
      <c r="M341" s="132">
        <v>90.0</v>
      </c>
      <c r="N341" s="157">
        <v>623.43</v>
      </c>
      <c r="O341" s="277">
        <v>679.54</v>
      </c>
      <c r="P341" s="277">
        <v>660.84</v>
      </c>
      <c r="Q341" s="157">
        <v>623.43</v>
      </c>
      <c r="R341" s="158">
        <v>2370.0</v>
      </c>
      <c r="S341" s="159" t="str">
        <f t="shared" si="830"/>
        <v/>
      </c>
      <c r="T341" s="160">
        <v>2396.0</v>
      </c>
      <c r="U341" s="161">
        <v>0.32</v>
      </c>
      <c r="V341" s="162" t="str">
        <f t="shared" si="831"/>
        <v>1,611.60</v>
      </c>
      <c r="W341" s="229" t="str">
        <f t="shared" si="832"/>
        <v>60.00</v>
      </c>
      <c r="X341" s="164" t="str">
        <f t="shared" si="833"/>
        <v>120.49</v>
      </c>
      <c r="Y341" s="230" t="str">
        <f t="shared" si="834"/>
        <v>0.00</v>
      </c>
      <c r="Z341" s="166">
        <v>0.3</v>
      </c>
      <c r="AA341" s="231">
        <v>91.0</v>
      </c>
      <c r="AB341" s="232" t="str">
        <f t="shared" si="835"/>
        <v>770.250</v>
      </c>
      <c r="AC341" s="232" t="str">
        <f t="shared" si="836"/>
        <v>57.373</v>
      </c>
      <c r="AD341" s="233" t="str">
        <f t="shared" si="837"/>
        <v>1.60</v>
      </c>
      <c r="AE341" s="233">
        <v>96.81</v>
      </c>
      <c r="AF341" s="233" t="str">
        <f t="shared" si="838"/>
        <v>4.80</v>
      </c>
      <c r="AG341" s="230" t="str">
        <f t="shared" si="839"/>
        <v>237.00</v>
      </c>
      <c r="AH341" s="23"/>
      <c r="AI341" s="278">
        <v>0.1</v>
      </c>
      <c r="AJ341" s="299" t="str">
        <f t="shared" si="840"/>
        <v>404.06</v>
      </c>
      <c r="AK341" s="300" t="str">
        <f t="shared" si="841"/>
        <v>64.81%</v>
      </c>
      <c r="AL341" s="280"/>
      <c r="AM341" s="281" t="str">
        <f t="shared" si="360"/>
        <v>0.00</v>
      </c>
      <c r="AN341" s="280"/>
      <c r="AO341" s="282"/>
      <c r="AP341" s="283">
        <v>670.62</v>
      </c>
      <c r="AQ341" s="283" t="str">
        <f t="shared" si="361"/>
        <v>0.00</v>
      </c>
      <c r="AR341" s="283">
        <v>102.94</v>
      </c>
      <c r="AS341" s="284">
        <v>5.0</v>
      </c>
      <c r="AT341" s="285" t="str">
        <f t="shared" si="235"/>
        <v>2,020.29</v>
      </c>
      <c r="AU341" s="284">
        <v>5.0</v>
      </c>
      <c r="AV341" s="286">
        <v>0.0</v>
      </c>
      <c r="AW341" s="285">
        <v>2425.27</v>
      </c>
      <c r="AX341" s="284">
        <v>77.8</v>
      </c>
      <c r="AY341" s="26"/>
      <c r="AZ341" s="26"/>
      <c r="BA341" s="27"/>
      <c r="BB341" s="28"/>
      <c r="BC341" s="29"/>
    </row>
    <row r="342" ht="12.75" customHeight="1">
      <c r="A342" s="26"/>
      <c r="B342" s="12"/>
      <c r="C342" s="192">
        <v>5.51465879E8</v>
      </c>
      <c r="D342" s="239" t="s">
        <v>643</v>
      </c>
      <c r="E342" s="226" t="s">
        <v>77</v>
      </c>
      <c r="F342" s="154">
        <v>1.0</v>
      </c>
      <c r="G342" s="53"/>
      <c r="H342" s="53" t="str">
        <f t="shared" si="825"/>
        <v>0.00069</v>
      </c>
      <c r="I342" s="53" t="str">
        <f t="shared" si="826"/>
        <v>89</v>
      </c>
      <c r="J342" s="53" t="str">
        <f t="shared" si="827"/>
        <v>0</v>
      </c>
      <c r="K342" s="155" t="str">
        <f t="shared" si="828"/>
        <v>0.00</v>
      </c>
      <c r="L342" s="156" t="str">
        <f t="shared" si="829"/>
        <v>0.00 </v>
      </c>
      <c r="M342" s="132">
        <v>90.0</v>
      </c>
      <c r="N342" s="175">
        <v>525.94</v>
      </c>
      <c r="O342" s="277">
        <v>573.27</v>
      </c>
      <c r="P342" s="277">
        <v>557.5</v>
      </c>
      <c r="Q342" s="175">
        <v>532.1</v>
      </c>
      <c r="R342" s="158">
        <v>1935.0</v>
      </c>
      <c r="S342" s="159" t="str">
        <f t="shared" si="830"/>
        <v/>
      </c>
      <c r="T342" s="160">
        <v>2372.0</v>
      </c>
      <c r="U342" s="161">
        <v>0.32</v>
      </c>
      <c r="V342" s="162" t="str">
        <f t="shared" si="831"/>
        <v>1,315.80</v>
      </c>
      <c r="W342" s="229" t="str">
        <f t="shared" si="832"/>
        <v>60.00</v>
      </c>
      <c r="X342" s="164" t="str">
        <f t="shared" si="833"/>
        <v>98.38</v>
      </c>
      <c r="Y342" s="230" t="str">
        <f t="shared" si="834"/>
        <v>0.00</v>
      </c>
      <c r="Z342" s="166">
        <v>0.3</v>
      </c>
      <c r="AA342" s="231">
        <v>91.0</v>
      </c>
      <c r="AB342" s="232" t="str">
        <f t="shared" si="835"/>
        <v>628.875</v>
      </c>
      <c r="AC342" s="232" t="str">
        <f t="shared" si="836"/>
        <v>46.842</v>
      </c>
      <c r="AD342" s="233" t="str">
        <f t="shared" si="837"/>
        <v>1.60</v>
      </c>
      <c r="AE342" s="233">
        <v>96.81</v>
      </c>
      <c r="AF342" s="233" t="str">
        <f t="shared" si="838"/>
        <v>4.80</v>
      </c>
      <c r="AG342" s="230">
        <v>290.25</v>
      </c>
      <c r="AH342" s="23"/>
      <c r="AI342" s="292">
        <v>0.15</v>
      </c>
      <c r="AJ342" s="299" t="str">
        <f t="shared" si="840"/>
        <v>181.16</v>
      </c>
      <c r="AK342" s="300" t="str">
        <f t="shared" si="841"/>
        <v>34.05%</v>
      </c>
      <c r="AL342" s="280">
        <v>212.0</v>
      </c>
      <c r="AM342" s="281" t="str">
        <f t="shared" si="360"/>
        <v>38,405.91</v>
      </c>
      <c r="AN342" s="280">
        <v>662.0</v>
      </c>
      <c r="AO342" s="293" t="s">
        <v>688</v>
      </c>
      <c r="AP342" s="283">
        <v>322.18</v>
      </c>
      <c r="AQ342" s="283" t="str">
        <f t="shared" si="361"/>
        <v>213,283.16</v>
      </c>
      <c r="AR342" s="283">
        <v>58.97</v>
      </c>
      <c r="AS342" s="284">
        <v>1000.0</v>
      </c>
      <c r="AT342" s="285" t="str">
        <f t="shared" si="235"/>
        <v>181,159.95</v>
      </c>
      <c r="AU342" s="284">
        <v>833.0</v>
      </c>
      <c r="AV342" s="286">
        <v>0.0959</v>
      </c>
      <c r="AW342" s="285">
        <v>271549.79</v>
      </c>
      <c r="AX342" s="284">
        <v>61.35</v>
      </c>
      <c r="AY342" s="26"/>
      <c r="AZ342" s="26"/>
      <c r="BA342" s="27"/>
      <c r="BB342" s="28"/>
      <c r="BC342" s="29"/>
    </row>
    <row r="343" ht="12.75" customHeight="1">
      <c r="A343" s="26"/>
      <c r="B343" s="12"/>
      <c r="C343" s="192">
        <v>5.51472457E8</v>
      </c>
      <c r="D343" s="239" t="s">
        <v>644</v>
      </c>
      <c r="E343" s="226" t="s">
        <v>77</v>
      </c>
      <c r="F343" s="154">
        <v>1.0</v>
      </c>
      <c r="G343" s="53"/>
      <c r="H343" s="53" t="str">
        <f t="shared" si="825"/>
        <v>0.00069</v>
      </c>
      <c r="I343" s="53" t="str">
        <f t="shared" si="826"/>
        <v>89</v>
      </c>
      <c r="J343" s="53" t="str">
        <f t="shared" si="827"/>
        <v>0</v>
      </c>
      <c r="K343" s="155" t="str">
        <f t="shared" si="828"/>
        <v>0.00</v>
      </c>
      <c r="L343" s="156" t="str">
        <f t="shared" si="829"/>
        <v>0.00 </v>
      </c>
      <c r="M343" s="132">
        <v>90.0</v>
      </c>
      <c r="N343" s="157">
        <v>763.83</v>
      </c>
      <c r="O343" s="277">
        <v>832.57</v>
      </c>
      <c r="P343" s="277">
        <v>809.66</v>
      </c>
      <c r="Q343" s="157">
        <v>763.83</v>
      </c>
      <c r="R343" s="158">
        <v>1980.0</v>
      </c>
      <c r="S343" s="159" t="str">
        <f t="shared" si="830"/>
        <v/>
      </c>
      <c r="T343" s="160">
        <v>1995.0</v>
      </c>
      <c r="U343" s="161">
        <v>0.32</v>
      </c>
      <c r="V343" s="162" t="str">
        <f t="shared" si="831"/>
        <v>1,346.40</v>
      </c>
      <c r="W343" s="229" t="str">
        <f t="shared" si="832"/>
        <v>60.00</v>
      </c>
      <c r="X343" s="164" t="str">
        <f t="shared" si="833"/>
        <v>100.67</v>
      </c>
      <c r="Y343" s="230" t="str">
        <f t="shared" si="834"/>
        <v>0.00</v>
      </c>
      <c r="Z343" s="166">
        <v>0.3</v>
      </c>
      <c r="AA343" s="231">
        <v>91.0</v>
      </c>
      <c r="AB343" s="232" t="str">
        <f t="shared" si="835"/>
        <v>643.500</v>
      </c>
      <c r="AC343" s="232" t="str">
        <f t="shared" si="836"/>
        <v>47.932</v>
      </c>
      <c r="AD343" s="233" t="str">
        <f t="shared" si="837"/>
        <v>1.60</v>
      </c>
      <c r="AE343" s="233">
        <v>96.81</v>
      </c>
      <c r="AF343" s="233" t="str">
        <f t="shared" si="838"/>
        <v>4.80</v>
      </c>
      <c r="AG343" s="230" t="str">
        <f t="shared" ref="AG343:AG346" si="842">R343*$C$2</f>
        <v>198.00</v>
      </c>
      <c r="AH343" s="23"/>
      <c r="AI343" s="278">
        <v>0.1</v>
      </c>
      <c r="AJ343" s="299" t="str">
        <f t="shared" si="840"/>
        <v>68.68</v>
      </c>
      <c r="AK343" s="300" t="str">
        <f t="shared" si="841"/>
        <v>8.99%</v>
      </c>
      <c r="AL343" s="280">
        <v>900.0</v>
      </c>
      <c r="AM343" s="281" t="str">
        <f t="shared" si="360"/>
        <v>61,809.97</v>
      </c>
      <c r="AN343" s="280">
        <v>3.0</v>
      </c>
      <c r="AO343" s="282">
        <v>4.9</v>
      </c>
      <c r="AP343" s="283">
        <v>-106.98</v>
      </c>
      <c r="AQ343" s="283" t="str">
        <f t="shared" si="361"/>
        <v>-320.94</v>
      </c>
      <c r="AR343" s="283">
        <v>-14.01</v>
      </c>
      <c r="AS343" s="284">
        <v>28.0</v>
      </c>
      <c r="AT343" s="285" t="str">
        <f t="shared" si="235"/>
        <v>1,922.98</v>
      </c>
      <c r="AU343" s="284">
        <v>28.0</v>
      </c>
      <c r="AV343" s="286">
        <v>0.0</v>
      </c>
      <c r="AW343" s="285">
        <v>6749.7</v>
      </c>
      <c r="AX343" s="284">
        <v>31.56</v>
      </c>
      <c r="AY343" s="26"/>
      <c r="AZ343" s="26"/>
      <c r="BA343" s="27"/>
      <c r="BB343" s="28"/>
      <c r="BC343" s="29"/>
    </row>
    <row r="344" ht="12.75" customHeight="1">
      <c r="A344" s="26"/>
      <c r="B344" s="12"/>
      <c r="C344" s="192">
        <v>5.51482493E8</v>
      </c>
      <c r="D344" s="239" t="s">
        <v>645</v>
      </c>
      <c r="E344" s="226" t="s">
        <v>77</v>
      </c>
      <c r="F344" s="154">
        <v>1.0</v>
      </c>
      <c r="G344" s="53"/>
      <c r="H344" s="53" t="str">
        <f t="shared" si="825"/>
        <v>0.00069</v>
      </c>
      <c r="I344" s="53" t="str">
        <f t="shared" si="826"/>
        <v>89</v>
      </c>
      <c r="J344" s="53" t="str">
        <f t="shared" si="827"/>
        <v>0</v>
      </c>
      <c r="K344" s="155" t="str">
        <f t="shared" si="828"/>
        <v>0.00</v>
      </c>
      <c r="L344" s="156" t="str">
        <f t="shared" si="829"/>
        <v>0.00 </v>
      </c>
      <c r="M344" s="132">
        <v>90.0</v>
      </c>
      <c r="N344" s="157">
        <v>687.58</v>
      </c>
      <c r="O344" s="277">
        <v>749.46</v>
      </c>
      <c r="P344" s="277">
        <v>728.82</v>
      </c>
      <c r="Q344" s="157">
        <v>687.58</v>
      </c>
      <c r="R344" s="158">
        <v>2190.0</v>
      </c>
      <c r="S344" s="159" t="str">
        <f t="shared" si="830"/>
        <v/>
      </c>
      <c r="T344" s="160">
        <v>2204.0</v>
      </c>
      <c r="U344" s="161">
        <v>0.32</v>
      </c>
      <c r="V344" s="162" t="str">
        <f t="shared" si="831"/>
        <v>1,489.20</v>
      </c>
      <c r="W344" s="229" t="str">
        <f t="shared" si="832"/>
        <v>60.00</v>
      </c>
      <c r="X344" s="164" t="str">
        <f t="shared" si="833"/>
        <v>111.34</v>
      </c>
      <c r="Y344" s="230" t="str">
        <f t="shared" si="834"/>
        <v>0.00</v>
      </c>
      <c r="Z344" s="166">
        <v>0.3</v>
      </c>
      <c r="AA344" s="231">
        <v>91.0</v>
      </c>
      <c r="AB344" s="232" t="str">
        <f t="shared" si="835"/>
        <v>711.750</v>
      </c>
      <c r="AC344" s="232" t="str">
        <f t="shared" si="836"/>
        <v>53.016</v>
      </c>
      <c r="AD344" s="233" t="str">
        <f t="shared" si="837"/>
        <v>1.60</v>
      </c>
      <c r="AE344" s="233">
        <v>96.81</v>
      </c>
      <c r="AF344" s="233" t="str">
        <f t="shared" si="838"/>
        <v>4.80</v>
      </c>
      <c r="AG344" s="230" t="str">
        <f t="shared" si="842"/>
        <v>219.00</v>
      </c>
      <c r="AH344" s="23"/>
      <c r="AI344" s="278">
        <v>0.1</v>
      </c>
      <c r="AJ344" s="299" t="str">
        <f t="shared" si="840"/>
        <v>249.92</v>
      </c>
      <c r="AK344" s="300" t="str">
        <f t="shared" si="841"/>
        <v>36.35%</v>
      </c>
      <c r="AL344" s="280"/>
      <c r="AM344" s="281" t="str">
        <f t="shared" si="360"/>
        <v>0.00</v>
      </c>
      <c r="AN344" s="280"/>
      <c r="AO344" s="282">
        <v>8.35</v>
      </c>
      <c r="AP344" s="283">
        <v>497.92</v>
      </c>
      <c r="AQ344" s="283" t="str">
        <f t="shared" si="361"/>
        <v>0.00</v>
      </c>
      <c r="AR344" s="283">
        <v>70.08</v>
      </c>
      <c r="AS344" s="284">
        <v>6.0</v>
      </c>
      <c r="AT344" s="285" t="str">
        <f t="shared" si="235"/>
        <v>1,499.50</v>
      </c>
      <c r="AU344" s="284">
        <v>6.0</v>
      </c>
      <c r="AV344" s="286">
        <v>0.0</v>
      </c>
      <c r="AW344" s="285">
        <v>2107.75</v>
      </c>
      <c r="AX344" s="284">
        <v>61.31</v>
      </c>
      <c r="AY344" s="26"/>
      <c r="AZ344" s="26"/>
      <c r="BA344" s="27"/>
      <c r="BB344" s="28"/>
      <c r="BC344" s="29"/>
    </row>
    <row r="345" ht="12.75" customHeight="1">
      <c r="A345" s="26"/>
      <c r="B345" s="12"/>
      <c r="C345" s="192">
        <v>5.51490295E8</v>
      </c>
      <c r="D345" s="239" t="s">
        <v>646</v>
      </c>
      <c r="E345" s="226" t="s">
        <v>77</v>
      </c>
      <c r="F345" s="154">
        <v>1.0</v>
      </c>
      <c r="G345" s="53"/>
      <c r="H345" s="53" t="str">
        <f t="shared" si="825"/>
        <v>0.00069</v>
      </c>
      <c r="I345" s="53" t="str">
        <f t="shared" si="826"/>
        <v>89</v>
      </c>
      <c r="J345" s="53" t="str">
        <f t="shared" si="827"/>
        <v>0</v>
      </c>
      <c r="K345" s="155" t="str">
        <f t="shared" si="828"/>
        <v>0.00</v>
      </c>
      <c r="L345" s="156" t="str">
        <f t="shared" si="829"/>
        <v>0.00 </v>
      </c>
      <c r="M345" s="132">
        <v>90.0</v>
      </c>
      <c r="N345" s="157">
        <v>272.44</v>
      </c>
      <c r="O345" s="277">
        <v>296.96</v>
      </c>
      <c r="P345" s="277">
        <v>288.79</v>
      </c>
      <c r="Q345" s="157">
        <v>272.44</v>
      </c>
      <c r="R345" s="158">
        <v>600.0</v>
      </c>
      <c r="S345" s="159" t="str">
        <f t="shared" si="830"/>
        <v/>
      </c>
      <c r="T345" s="160">
        <v>615.0</v>
      </c>
      <c r="U345" s="161">
        <v>0.32</v>
      </c>
      <c r="V345" s="162" t="str">
        <f t="shared" si="831"/>
        <v>408.00</v>
      </c>
      <c r="W345" s="229" t="str">
        <f t="shared" si="832"/>
        <v>60.00</v>
      </c>
      <c r="X345" s="164" t="str">
        <f t="shared" si="833"/>
        <v>30.50</v>
      </c>
      <c r="Y345" s="230" t="str">
        <f t="shared" si="834"/>
        <v>0.00</v>
      </c>
      <c r="Z345" s="166">
        <v>0.3</v>
      </c>
      <c r="AA345" s="231">
        <v>91.0</v>
      </c>
      <c r="AB345" s="232" t="str">
        <f t="shared" si="835"/>
        <v>195.000</v>
      </c>
      <c r="AC345" s="232" t="str">
        <f t="shared" si="836"/>
        <v>14.525</v>
      </c>
      <c r="AD345" s="233" t="str">
        <f t="shared" si="837"/>
        <v>1.60</v>
      </c>
      <c r="AE345" s="233">
        <v>96.81</v>
      </c>
      <c r="AF345" s="233" t="str">
        <f t="shared" si="838"/>
        <v>4.80</v>
      </c>
      <c r="AG345" s="230" t="str">
        <f t="shared" si="842"/>
        <v>60.00</v>
      </c>
      <c r="AH345" s="23"/>
      <c r="AI345" s="278">
        <v>0.1</v>
      </c>
      <c r="AJ345" s="299" t="str">
        <f t="shared" si="840"/>
        <v>-129.86</v>
      </c>
      <c r="AK345" s="300" t="str">
        <f t="shared" si="841"/>
        <v>-47.67%</v>
      </c>
      <c r="AL345" s="280"/>
      <c r="AM345" s="281" t="str">
        <f t="shared" si="360"/>
        <v>0.00</v>
      </c>
      <c r="AN345" s="280"/>
      <c r="AO345" s="282">
        <v>15.64</v>
      </c>
      <c r="AP345" s="283">
        <v>-12.11</v>
      </c>
      <c r="AQ345" s="283" t="str">
        <f t="shared" si="361"/>
        <v>0.00</v>
      </c>
      <c r="AR345" s="283">
        <v>-4.29</v>
      </c>
      <c r="AS345" s="284">
        <v>17.0</v>
      </c>
      <c r="AT345" s="285" t="str">
        <f t="shared" si="235"/>
        <v>-2,207.70</v>
      </c>
      <c r="AU345" s="284">
        <v>17.0</v>
      </c>
      <c r="AV345" s="286">
        <v>0.0</v>
      </c>
      <c r="AW345" s="285">
        <v>-837.14</v>
      </c>
      <c r="AX345" s="284">
        <v>-18.08</v>
      </c>
      <c r="AY345" s="26"/>
      <c r="AZ345" s="26"/>
      <c r="BA345" s="27"/>
      <c r="BB345" s="28"/>
      <c r="BC345" s="29"/>
    </row>
    <row r="346" ht="12.75" customHeight="1">
      <c r="A346" s="26"/>
      <c r="B346" s="12"/>
      <c r="C346" s="192">
        <v>5.51518955E8</v>
      </c>
      <c r="D346" s="239" t="s">
        <v>647</v>
      </c>
      <c r="E346" s="226" t="s">
        <v>77</v>
      </c>
      <c r="F346" s="154">
        <v>1.0</v>
      </c>
      <c r="G346" s="53"/>
      <c r="H346" s="53" t="str">
        <f t="shared" si="825"/>
        <v>0.00069</v>
      </c>
      <c r="I346" s="53" t="str">
        <f t="shared" si="826"/>
        <v>89</v>
      </c>
      <c r="J346" s="53" t="str">
        <f t="shared" si="827"/>
        <v>0</v>
      </c>
      <c r="K346" s="155" t="str">
        <f t="shared" si="828"/>
        <v>0.00</v>
      </c>
      <c r="L346" s="156" t="str">
        <f t="shared" si="829"/>
        <v>0.00 </v>
      </c>
      <c r="M346" s="132">
        <v>90.0</v>
      </c>
      <c r="N346" s="157">
        <v>719.58</v>
      </c>
      <c r="O346" s="277">
        <v>784.34</v>
      </c>
      <c r="P346" s="277">
        <v>762.75</v>
      </c>
      <c r="Q346" s="157">
        <v>719.58</v>
      </c>
      <c r="R346" s="158">
        <v>2205.0</v>
      </c>
      <c r="S346" s="159" t="str">
        <f t="shared" si="830"/>
        <v/>
      </c>
      <c r="T346" s="160">
        <v>2220.0</v>
      </c>
      <c r="U346" s="161">
        <v>0.32</v>
      </c>
      <c r="V346" s="162" t="str">
        <f t="shared" si="831"/>
        <v>1,499.40</v>
      </c>
      <c r="W346" s="229" t="str">
        <f t="shared" si="832"/>
        <v>60.00</v>
      </c>
      <c r="X346" s="164" t="str">
        <f t="shared" si="833"/>
        <v>112.10</v>
      </c>
      <c r="Y346" s="230" t="str">
        <f t="shared" si="834"/>
        <v>0.00</v>
      </c>
      <c r="Z346" s="166">
        <v>0.3</v>
      </c>
      <c r="AA346" s="231">
        <v>91.0</v>
      </c>
      <c r="AB346" s="232" t="str">
        <f t="shared" si="835"/>
        <v>716.625</v>
      </c>
      <c r="AC346" s="232" t="str">
        <f t="shared" si="836"/>
        <v>53.379</v>
      </c>
      <c r="AD346" s="233" t="str">
        <f t="shared" si="837"/>
        <v>1.60</v>
      </c>
      <c r="AE346" s="233">
        <v>96.81</v>
      </c>
      <c r="AF346" s="233" t="str">
        <f t="shared" si="838"/>
        <v>4.80</v>
      </c>
      <c r="AG346" s="230" t="str">
        <f t="shared" si="842"/>
        <v>220.50</v>
      </c>
      <c r="AH346" s="23"/>
      <c r="AI346" s="278">
        <v>0.1</v>
      </c>
      <c r="AJ346" s="299" t="str">
        <f t="shared" si="840"/>
        <v>225.42</v>
      </c>
      <c r="AK346" s="300" t="str">
        <f t="shared" si="841"/>
        <v>31.33%</v>
      </c>
      <c r="AL346" s="280"/>
      <c r="AM346" s="281" t="str">
        <f t="shared" si="360"/>
        <v>0.00</v>
      </c>
      <c r="AN346" s="280"/>
      <c r="AO346" s="282"/>
      <c r="AP346" s="283">
        <v>496.59</v>
      </c>
      <c r="AQ346" s="283" t="str">
        <f t="shared" si="361"/>
        <v>0.00</v>
      </c>
      <c r="AR346" s="283">
        <v>65.85</v>
      </c>
      <c r="AS346" s="284">
        <v>3.0</v>
      </c>
      <c r="AT346" s="285" t="str">
        <f t="shared" si="235"/>
        <v>676.25</v>
      </c>
      <c r="AU346" s="284">
        <v>3.0</v>
      </c>
      <c r="AV346" s="286">
        <v>0.0</v>
      </c>
      <c r="AW346" s="285">
        <v>758.42</v>
      </c>
      <c r="AX346" s="284">
        <v>52.7</v>
      </c>
      <c r="AY346" s="26"/>
      <c r="AZ346" s="26"/>
      <c r="BA346" s="27"/>
      <c r="BB346" s="28"/>
      <c r="BC346" s="29"/>
    </row>
    <row r="347" ht="12.75" customHeight="1">
      <c r="A347" s="26"/>
      <c r="B347" s="12"/>
      <c r="C347" s="192">
        <v>8.68516027E8</v>
      </c>
      <c r="D347" s="301" t="s">
        <v>648</v>
      </c>
      <c r="E347" s="226" t="s">
        <v>77</v>
      </c>
      <c r="F347" s="154">
        <v>1.0</v>
      </c>
      <c r="G347" s="53"/>
      <c r="H347" s="53" t="str">
        <f t="shared" si="825"/>
        <v>0.00069</v>
      </c>
      <c r="I347" s="53" t="str">
        <f t="shared" si="826"/>
        <v>89</v>
      </c>
      <c r="J347" s="53" t="str">
        <f t="shared" si="827"/>
        <v>0</v>
      </c>
      <c r="K347" s="155" t="str">
        <f t="shared" si="828"/>
        <v>0.00</v>
      </c>
      <c r="L347" s="156" t="str">
        <f t="shared" si="829"/>
        <v>0.00 </v>
      </c>
      <c r="M347" s="132">
        <v>90.0</v>
      </c>
      <c r="N347" s="157">
        <v>663.86</v>
      </c>
      <c r="O347" s="277">
        <v>723.61</v>
      </c>
      <c r="P347" s="277">
        <v>703.69</v>
      </c>
      <c r="Q347" s="157">
        <v>663.86</v>
      </c>
      <c r="R347" s="158">
        <v>1845.0</v>
      </c>
      <c r="S347" s="159"/>
      <c r="T347" s="160"/>
      <c r="U347" s="161">
        <v>0.34</v>
      </c>
      <c r="V347" s="162" t="str">
        <f t="shared" si="831"/>
        <v>1,217.70</v>
      </c>
      <c r="W347" s="229" t="str">
        <f t="shared" si="832"/>
        <v>60.00</v>
      </c>
      <c r="X347" s="164" t="str">
        <f t="shared" si="833"/>
        <v>91.04</v>
      </c>
      <c r="Y347" s="230" t="str">
        <f t="shared" si="834"/>
        <v>0.00</v>
      </c>
      <c r="Z347" s="166">
        <v>0.02</v>
      </c>
      <c r="AA347" s="231">
        <v>63.0</v>
      </c>
      <c r="AB347" s="232" t="str">
        <f t="shared" si="835"/>
        <v>599.625</v>
      </c>
      <c r="AC347" s="232" t="str">
        <f t="shared" si="836"/>
        <v>43.350</v>
      </c>
      <c r="AD347" s="233">
        <v>1.6</v>
      </c>
      <c r="AE347" s="233">
        <v>96.81</v>
      </c>
      <c r="AF347" s="233" t="str">
        <f t="shared" si="838"/>
        <v>4.80</v>
      </c>
      <c r="AG347" s="230">
        <v>52.2</v>
      </c>
      <c r="AH347" s="23"/>
      <c r="AI347" s="292">
        <v>0.03</v>
      </c>
      <c r="AJ347" s="299" t="str">
        <f t="shared" si="840"/>
        <v>265.52</v>
      </c>
      <c r="AK347" s="300" t="str">
        <f t="shared" si="841"/>
        <v>40.00%</v>
      </c>
      <c r="AL347" s="280"/>
      <c r="AM347" s="281" t="str">
        <f t="shared" si="360"/>
        <v>0.00</v>
      </c>
      <c r="AN347" s="280"/>
      <c r="AO347" s="293" t="s">
        <v>689</v>
      </c>
      <c r="AP347" s="283">
        <v>126.07</v>
      </c>
      <c r="AQ347" s="283" t="str">
        <f t="shared" si="361"/>
        <v>0.00</v>
      </c>
      <c r="AR347" s="283">
        <v>17.92</v>
      </c>
      <c r="AS347" s="284">
        <v>3000.0</v>
      </c>
      <c r="AT347" s="285" t="str">
        <f t="shared" si="235"/>
        <v>796,565.67</v>
      </c>
      <c r="AU347" s="284">
        <v>3338.0</v>
      </c>
      <c r="AV347" s="286">
        <v>0.0</v>
      </c>
      <c r="AW347" s="285">
        <v>838972.7</v>
      </c>
      <c r="AX347" s="284">
        <v>37.86</v>
      </c>
      <c r="AY347" s="26"/>
      <c r="AZ347" s="26"/>
      <c r="BA347" s="27"/>
      <c r="BB347" s="28"/>
      <c r="BC347" s="29"/>
    </row>
    <row r="348" ht="12.75" customHeight="1">
      <c r="A348" s="26"/>
      <c r="B348" s="12"/>
      <c r="C348" s="192">
        <v>5.51600265E8</v>
      </c>
      <c r="D348" s="239" t="s">
        <v>649</v>
      </c>
      <c r="E348" s="226" t="s">
        <v>77</v>
      </c>
      <c r="F348" s="154">
        <v>1.0</v>
      </c>
      <c r="G348" s="53"/>
      <c r="H348" s="53" t="str">
        <f t="shared" si="825"/>
        <v>0.00069</v>
      </c>
      <c r="I348" s="53" t="str">
        <f t="shared" si="826"/>
        <v>89</v>
      </c>
      <c r="J348" s="53" t="str">
        <f t="shared" si="827"/>
        <v>0</v>
      </c>
      <c r="K348" s="155" t="str">
        <f t="shared" si="828"/>
        <v>0.00</v>
      </c>
      <c r="L348" s="156" t="str">
        <f t="shared" si="829"/>
        <v>0.00 </v>
      </c>
      <c r="M348" s="132">
        <v>90.0</v>
      </c>
      <c r="N348" s="157">
        <v>96.94</v>
      </c>
      <c r="O348" s="277">
        <v>105.66</v>
      </c>
      <c r="P348" s="277">
        <v>102.77</v>
      </c>
      <c r="Q348" s="157">
        <v>96.94</v>
      </c>
      <c r="R348" s="158">
        <v>498.0</v>
      </c>
      <c r="S348" s="159" t="str">
        <f t="shared" ref="S348:S352" si="843">BB348</f>
        <v/>
      </c>
      <c r="T348" s="160">
        <v>501.0</v>
      </c>
      <c r="U348" s="161">
        <v>0.32</v>
      </c>
      <c r="V348" s="162" t="str">
        <f t="shared" si="831"/>
        <v>338.64</v>
      </c>
      <c r="W348" s="229" t="str">
        <f t="shared" si="832"/>
        <v>60.00</v>
      </c>
      <c r="X348" s="164" t="str">
        <f t="shared" si="833"/>
        <v>25.32</v>
      </c>
      <c r="Y348" s="230" t="str">
        <f t="shared" si="834"/>
        <v>0.00</v>
      </c>
      <c r="Z348" s="166">
        <v>0.3</v>
      </c>
      <c r="AA348" s="231">
        <v>91.0</v>
      </c>
      <c r="AB348" s="232" t="str">
        <f t="shared" si="835"/>
        <v>161.850</v>
      </c>
      <c r="AC348" s="232" t="str">
        <f t="shared" si="836"/>
        <v>12.056</v>
      </c>
      <c r="AD348" s="233" t="str">
        <f t="shared" ref="AD348:AD352" si="844">$AB$3*((100-AE348)/100)</f>
        <v>1.60</v>
      </c>
      <c r="AE348" s="233">
        <v>96.81</v>
      </c>
      <c r="AF348" s="233" t="str">
        <f t="shared" si="838"/>
        <v>4.80</v>
      </c>
      <c r="AG348" s="230" t="str">
        <f t="shared" ref="AG348:AG352" si="845">R348*$C$2</f>
        <v>49.80</v>
      </c>
      <c r="AH348" s="23"/>
      <c r="AI348" s="278">
        <v>0.1</v>
      </c>
      <c r="AJ348" s="299" t="str">
        <f t="shared" si="840"/>
        <v>-5.36</v>
      </c>
      <c r="AK348" s="300" t="str">
        <f t="shared" si="841"/>
        <v>-5.53%</v>
      </c>
      <c r="AL348" s="280"/>
      <c r="AM348" s="281" t="str">
        <f t="shared" si="360"/>
        <v>0.00</v>
      </c>
      <c r="AN348" s="280"/>
      <c r="AO348" s="282"/>
      <c r="AP348" s="283"/>
      <c r="AQ348" s="283" t="str">
        <f t="shared" si="361"/>
        <v>0.00</v>
      </c>
      <c r="AR348" s="283"/>
      <c r="AS348" s="284">
        <v>500.0</v>
      </c>
      <c r="AT348" s="285" t="str">
        <f t="shared" si="235"/>
        <v>-2,679.73</v>
      </c>
      <c r="AU348" s="284">
        <v>42.0</v>
      </c>
      <c r="AV348" s="286">
        <v>0.0</v>
      </c>
      <c r="AW348" s="285">
        <v>3833.43</v>
      </c>
      <c r="AX348" s="284">
        <v>94.15</v>
      </c>
      <c r="AY348" s="26"/>
      <c r="AZ348" s="26"/>
      <c r="BA348" s="27"/>
      <c r="BB348" s="28"/>
      <c r="BC348" s="29"/>
    </row>
    <row r="349" ht="12.75" customHeight="1">
      <c r="A349" s="26"/>
      <c r="B349" s="12"/>
      <c r="C349" s="192">
        <v>5.51540924E8</v>
      </c>
      <c r="D349" s="239" t="s">
        <v>650</v>
      </c>
      <c r="E349" s="226" t="s">
        <v>77</v>
      </c>
      <c r="F349" s="154">
        <v>1.0</v>
      </c>
      <c r="G349" s="53"/>
      <c r="H349" s="53" t="str">
        <f t="shared" si="825"/>
        <v>0.00069</v>
      </c>
      <c r="I349" s="53" t="str">
        <f t="shared" si="826"/>
        <v>89</v>
      </c>
      <c r="J349" s="53" t="str">
        <f t="shared" si="827"/>
        <v>0</v>
      </c>
      <c r="K349" s="155" t="str">
        <f t="shared" si="828"/>
        <v>0.00</v>
      </c>
      <c r="L349" s="156" t="str">
        <f t="shared" si="829"/>
        <v>0.00 </v>
      </c>
      <c r="M349" s="132">
        <v>90.0</v>
      </c>
      <c r="N349" s="157">
        <v>556.18</v>
      </c>
      <c r="O349" s="277">
        <v>606.24</v>
      </c>
      <c r="P349" s="277">
        <v>589.55</v>
      </c>
      <c r="Q349" s="157">
        <v>556.18</v>
      </c>
      <c r="R349" s="158">
        <v>1750.0</v>
      </c>
      <c r="S349" s="159" t="str">
        <f t="shared" si="843"/>
        <v/>
      </c>
      <c r="T349" s="160">
        <v>1866.0</v>
      </c>
      <c r="U349" s="161">
        <v>0.32</v>
      </c>
      <c r="V349" s="162" t="str">
        <f t="shared" si="831"/>
        <v>1,190.00</v>
      </c>
      <c r="W349" s="229" t="str">
        <f t="shared" si="832"/>
        <v>60.00</v>
      </c>
      <c r="X349" s="164" t="str">
        <f t="shared" si="833"/>
        <v>88.97</v>
      </c>
      <c r="Y349" s="230" t="str">
        <f t="shared" si="834"/>
        <v>0.00</v>
      </c>
      <c r="Z349" s="166">
        <v>0.3</v>
      </c>
      <c r="AA349" s="231">
        <v>91.0</v>
      </c>
      <c r="AB349" s="232" t="str">
        <f t="shared" si="835"/>
        <v>568.750</v>
      </c>
      <c r="AC349" s="232" t="str">
        <f t="shared" si="836"/>
        <v>42.364</v>
      </c>
      <c r="AD349" s="233" t="str">
        <f t="shared" si="844"/>
        <v>1.60</v>
      </c>
      <c r="AE349" s="233">
        <v>96.81</v>
      </c>
      <c r="AF349" s="233" t="str">
        <f t="shared" si="838"/>
        <v>4.80</v>
      </c>
      <c r="AG349" s="230" t="str">
        <f t="shared" si="845"/>
        <v>175.00</v>
      </c>
      <c r="AH349" s="23"/>
      <c r="AI349" s="278">
        <v>0.1</v>
      </c>
      <c r="AJ349" s="299" t="str">
        <f t="shared" si="840"/>
        <v>161.34</v>
      </c>
      <c r="AK349" s="300" t="str">
        <f t="shared" si="841"/>
        <v>29.01%</v>
      </c>
      <c r="AL349" s="280"/>
      <c r="AM349" s="281" t="str">
        <f t="shared" si="360"/>
        <v>0.00</v>
      </c>
      <c r="AN349" s="280"/>
      <c r="AO349" s="282">
        <v>102.59</v>
      </c>
      <c r="AP349" s="283">
        <v>-579.18</v>
      </c>
      <c r="AQ349" s="283" t="str">
        <f t="shared" si="361"/>
        <v>0.00</v>
      </c>
      <c r="AR349" s="283">
        <v>-100.37</v>
      </c>
      <c r="AS349" s="284">
        <v>500.0</v>
      </c>
      <c r="AT349" s="285" t="str">
        <f t="shared" si="235"/>
        <v>80,669.52</v>
      </c>
      <c r="AU349" s="284">
        <v>24.0</v>
      </c>
      <c r="AV349" s="286">
        <v>1.5741</v>
      </c>
      <c r="AW349" s="285">
        <v>-62580.23</v>
      </c>
      <c r="AX349" s="284">
        <v>-468.82</v>
      </c>
      <c r="AY349" s="26"/>
      <c r="AZ349" s="26"/>
      <c r="BA349" s="27"/>
      <c r="BB349" s="28"/>
      <c r="BC349" s="29"/>
    </row>
    <row r="350" ht="12.75" customHeight="1">
      <c r="A350" s="26"/>
      <c r="B350" s="12"/>
      <c r="C350" s="192">
        <v>5.51607905E8</v>
      </c>
      <c r="D350" s="239" t="s">
        <v>651</v>
      </c>
      <c r="E350" s="226" t="s">
        <v>77</v>
      </c>
      <c r="F350" s="154">
        <v>1.0</v>
      </c>
      <c r="G350" s="53"/>
      <c r="H350" s="53" t="str">
        <f t="shared" si="825"/>
        <v>0.00069</v>
      </c>
      <c r="I350" s="53" t="str">
        <f t="shared" si="826"/>
        <v>89</v>
      </c>
      <c r="J350" s="53" t="str">
        <f t="shared" si="827"/>
        <v>0</v>
      </c>
      <c r="K350" s="155" t="str">
        <f t="shared" si="828"/>
        <v>0.00</v>
      </c>
      <c r="L350" s="156" t="str">
        <f t="shared" si="829"/>
        <v>0.00 </v>
      </c>
      <c r="M350" s="132">
        <v>90.0</v>
      </c>
      <c r="N350" s="157">
        <v>707.88</v>
      </c>
      <c r="O350" s="277">
        <v>771.59</v>
      </c>
      <c r="P350" s="277">
        <v>750.35</v>
      </c>
      <c r="Q350" s="157">
        <v>707.88</v>
      </c>
      <c r="R350" s="158">
        <v>1960.0</v>
      </c>
      <c r="S350" s="159" t="str">
        <f t="shared" si="843"/>
        <v/>
      </c>
      <c r="T350" s="160">
        <v>2119.0</v>
      </c>
      <c r="U350" s="161">
        <v>0.32</v>
      </c>
      <c r="V350" s="162" t="str">
        <f t="shared" si="831"/>
        <v>1,332.80</v>
      </c>
      <c r="W350" s="229" t="str">
        <f t="shared" si="832"/>
        <v>60.00</v>
      </c>
      <c r="X350" s="164" t="str">
        <f t="shared" si="833"/>
        <v>99.65</v>
      </c>
      <c r="Y350" s="230" t="str">
        <f t="shared" si="834"/>
        <v>0.00</v>
      </c>
      <c r="Z350" s="166">
        <v>0.3</v>
      </c>
      <c r="AA350" s="231">
        <v>91.0</v>
      </c>
      <c r="AB350" s="232" t="str">
        <f t="shared" si="835"/>
        <v>637.000</v>
      </c>
      <c r="AC350" s="232" t="str">
        <f t="shared" si="836"/>
        <v>47.448</v>
      </c>
      <c r="AD350" s="233" t="str">
        <f t="shared" si="844"/>
        <v>1.60</v>
      </c>
      <c r="AE350" s="233">
        <v>96.81</v>
      </c>
      <c r="AF350" s="233" t="str">
        <f t="shared" si="838"/>
        <v>4.80</v>
      </c>
      <c r="AG350" s="230" t="str">
        <f t="shared" si="845"/>
        <v>196.00</v>
      </c>
      <c r="AH350" s="23"/>
      <c r="AI350" s="278">
        <v>0.1</v>
      </c>
      <c r="AJ350" s="299" t="str">
        <f t="shared" si="840"/>
        <v>114.63</v>
      </c>
      <c r="AK350" s="300" t="str">
        <f t="shared" si="841"/>
        <v>16.19%</v>
      </c>
      <c r="AL350" s="280"/>
      <c r="AM350" s="281" t="str">
        <f t="shared" si="360"/>
        <v>0.00</v>
      </c>
      <c r="AN350" s="280"/>
      <c r="AO350" s="282">
        <v>35.77</v>
      </c>
      <c r="AP350" s="283">
        <v>-132.85</v>
      </c>
      <c r="AQ350" s="283" t="str">
        <f t="shared" si="361"/>
        <v>0.00</v>
      </c>
      <c r="AR350" s="283">
        <v>-17.89</v>
      </c>
      <c r="AS350" s="284">
        <v>500.0</v>
      </c>
      <c r="AT350" s="285" t="str">
        <f t="shared" si="235"/>
        <v>57,314.36</v>
      </c>
      <c r="AU350" s="284">
        <v>93.0</v>
      </c>
      <c r="AV350" s="286">
        <v>0.1456</v>
      </c>
      <c r="AW350" s="285">
        <v>-999.91</v>
      </c>
      <c r="AX350" s="284">
        <v>-1.52</v>
      </c>
      <c r="AY350" s="26"/>
      <c r="AZ350" s="26"/>
      <c r="BA350" s="27"/>
      <c r="BB350" s="28"/>
      <c r="BC350" s="29"/>
    </row>
    <row r="351" ht="12.75" customHeight="1">
      <c r="A351" s="26"/>
      <c r="B351" s="12"/>
      <c r="C351" s="192">
        <v>5.51616449E8</v>
      </c>
      <c r="D351" s="239" t="s">
        <v>652</v>
      </c>
      <c r="E351" s="226" t="s">
        <v>77</v>
      </c>
      <c r="F351" s="154">
        <v>1.0</v>
      </c>
      <c r="G351" s="53"/>
      <c r="H351" s="53" t="str">
        <f t="shared" si="825"/>
        <v>0.00069</v>
      </c>
      <c r="I351" s="53" t="str">
        <f t="shared" si="826"/>
        <v>89</v>
      </c>
      <c r="J351" s="53" t="str">
        <f t="shared" si="827"/>
        <v>0</v>
      </c>
      <c r="K351" s="155" t="str">
        <f t="shared" si="828"/>
        <v>0.00</v>
      </c>
      <c r="L351" s="156" t="str">
        <f t="shared" si="829"/>
        <v>0.00 </v>
      </c>
      <c r="M351" s="132">
        <v>90.0</v>
      </c>
      <c r="N351" s="157">
        <v>634.34</v>
      </c>
      <c r="O351" s="277">
        <v>691.43</v>
      </c>
      <c r="P351" s="277">
        <v>672.4</v>
      </c>
      <c r="Q351" s="157">
        <v>634.34</v>
      </c>
      <c r="R351" s="158">
        <v>1770.0</v>
      </c>
      <c r="S351" s="159" t="str">
        <f t="shared" si="843"/>
        <v/>
      </c>
      <c r="T351" s="160">
        <v>1797.0</v>
      </c>
      <c r="U351" s="161">
        <v>0.32</v>
      </c>
      <c r="V351" s="162" t="str">
        <f t="shared" si="831"/>
        <v>1,203.60</v>
      </c>
      <c r="W351" s="229" t="str">
        <f t="shared" si="832"/>
        <v>60.00</v>
      </c>
      <c r="X351" s="164" t="str">
        <f t="shared" si="833"/>
        <v>89.99</v>
      </c>
      <c r="Y351" s="230" t="str">
        <f t="shared" si="834"/>
        <v>0.00</v>
      </c>
      <c r="Z351" s="166">
        <v>0.3</v>
      </c>
      <c r="AA351" s="231">
        <v>91.0</v>
      </c>
      <c r="AB351" s="232" t="str">
        <f t="shared" si="835"/>
        <v>575.250</v>
      </c>
      <c r="AC351" s="232" t="str">
        <f t="shared" si="836"/>
        <v>42.848</v>
      </c>
      <c r="AD351" s="233" t="str">
        <f t="shared" si="844"/>
        <v>1.60</v>
      </c>
      <c r="AE351" s="233">
        <v>96.81</v>
      </c>
      <c r="AF351" s="233" t="str">
        <f t="shared" si="838"/>
        <v>4.80</v>
      </c>
      <c r="AG351" s="230" t="str">
        <f t="shared" si="845"/>
        <v>177.00</v>
      </c>
      <c r="AH351" s="23"/>
      <c r="AI351" s="278">
        <v>0.1</v>
      </c>
      <c r="AJ351" s="299" t="str">
        <f t="shared" si="840"/>
        <v>93.18</v>
      </c>
      <c r="AK351" s="300" t="str">
        <f t="shared" si="841"/>
        <v>14.69%</v>
      </c>
      <c r="AL351" s="280"/>
      <c r="AM351" s="281" t="str">
        <f t="shared" si="360"/>
        <v>0.00</v>
      </c>
      <c r="AN351" s="280"/>
      <c r="AO351" s="282"/>
      <c r="AP351" s="283">
        <v>436.0</v>
      </c>
      <c r="AQ351" s="283" t="str">
        <f t="shared" si="361"/>
        <v>0.00</v>
      </c>
      <c r="AR351" s="283">
        <v>65.58</v>
      </c>
      <c r="AS351" s="284">
        <v>4.0</v>
      </c>
      <c r="AT351" s="285" t="str">
        <f t="shared" si="235"/>
        <v>372.71</v>
      </c>
      <c r="AU351" s="284">
        <v>4.0</v>
      </c>
      <c r="AV351" s="286">
        <v>0.0</v>
      </c>
      <c r="AW351" s="285">
        <v>1168.72</v>
      </c>
      <c r="AX351" s="284">
        <v>46.06</v>
      </c>
      <c r="AY351" s="26"/>
      <c r="AZ351" s="26"/>
      <c r="BA351" s="27"/>
      <c r="BB351" s="28"/>
      <c r="BC351" s="29"/>
    </row>
    <row r="352" ht="12.75" hidden="1" customHeight="1">
      <c r="A352" s="26"/>
      <c r="B352" s="12"/>
      <c r="C352" s="192">
        <v>5.51626041E8</v>
      </c>
      <c r="D352" s="239" t="s">
        <v>653</v>
      </c>
      <c r="E352" s="226" t="s">
        <v>77</v>
      </c>
      <c r="F352" s="154">
        <v>1.0</v>
      </c>
      <c r="G352" s="53"/>
      <c r="H352" s="53" t="str">
        <f t="shared" si="825"/>
        <v>0.00069</v>
      </c>
      <c r="I352" s="53" t="str">
        <f t="shared" si="826"/>
        <v>89</v>
      </c>
      <c r="J352" s="53" t="str">
        <f t="shared" si="827"/>
        <v>0</v>
      </c>
      <c r="K352" s="155" t="str">
        <f t="shared" si="828"/>
        <v>0.00</v>
      </c>
      <c r="L352" s="156" t="str">
        <f t="shared" si="829"/>
        <v>0.00 </v>
      </c>
      <c r="M352" s="132">
        <v>90.0</v>
      </c>
      <c r="N352" s="157">
        <v>484.71</v>
      </c>
      <c r="O352" s="277">
        <v>528.33</v>
      </c>
      <c r="P352" s="277">
        <v>513.79</v>
      </c>
      <c r="Q352" s="157">
        <v>484.71</v>
      </c>
      <c r="R352" s="158">
        <v>1320.0</v>
      </c>
      <c r="S352" s="159" t="str">
        <f t="shared" si="843"/>
        <v/>
      </c>
      <c r="T352" s="160">
        <v>1332.0</v>
      </c>
      <c r="U352" s="161">
        <v>0.32</v>
      </c>
      <c r="V352" s="162" t="str">
        <f t="shared" si="831"/>
        <v>897.60</v>
      </c>
      <c r="W352" s="229" t="str">
        <f t="shared" si="832"/>
        <v>60.00</v>
      </c>
      <c r="X352" s="164" t="str">
        <f t="shared" si="833"/>
        <v>67.11</v>
      </c>
      <c r="Y352" s="230" t="str">
        <f t="shared" si="834"/>
        <v>0.00</v>
      </c>
      <c r="Z352" s="166">
        <v>0.3</v>
      </c>
      <c r="AA352" s="231">
        <v>91.0</v>
      </c>
      <c r="AB352" s="232" t="str">
        <f t="shared" si="835"/>
        <v>429.000</v>
      </c>
      <c r="AC352" s="232" t="str">
        <f t="shared" si="836"/>
        <v>31.955</v>
      </c>
      <c r="AD352" s="233" t="str">
        <f t="shared" si="844"/>
        <v>1.60</v>
      </c>
      <c r="AE352" s="233">
        <v>96.81</v>
      </c>
      <c r="AF352" s="233" t="str">
        <f t="shared" si="838"/>
        <v>4.80</v>
      </c>
      <c r="AG352" s="230" t="str">
        <f t="shared" si="845"/>
        <v>132.00</v>
      </c>
      <c r="AH352" s="23"/>
      <c r="AI352" s="278">
        <v>0.1</v>
      </c>
      <c r="AJ352" s="299" t="str">
        <f t="shared" si="840"/>
        <v>17.83</v>
      </c>
      <c r="AK352" s="300" t="str">
        <f t="shared" si="841"/>
        <v>3.68%</v>
      </c>
      <c r="AL352" s="280"/>
      <c r="AM352" s="281" t="str">
        <f t="shared" si="360"/>
        <v>0.00</v>
      </c>
      <c r="AN352" s="280"/>
      <c r="AO352" s="282"/>
      <c r="AP352" s="283"/>
      <c r="AQ352" s="283" t="str">
        <f t="shared" si="361"/>
        <v>0.00</v>
      </c>
      <c r="AR352" s="283"/>
      <c r="AS352" s="284"/>
      <c r="AT352" s="285"/>
      <c r="AU352" s="284"/>
      <c r="AV352" s="286"/>
      <c r="AW352" s="285"/>
      <c r="AX352" s="284"/>
      <c r="AY352" s="26"/>
      <c r="AZ352" s="26"/>
      <c r="BA352" s="27"/>
      <c r="BB352" s="28"/>
      <c r="BC352" s="29"/>
    </row>
    <row r="353" ht="12.75" customHeight="1">
      <c r="A353" s="26"/>
      <c r="B353" s="12"/>
      <c r="C353" s="240"/>
      <c r="D353" s="241"/>
      <c r="E353" s="5"/>
      <c r="F353" s="5"/>
      <c r="G353" s="5"/>
      <c r="H353" s="5"/>
      <c r="I353" s="5"/>
      <c r="J353" s="5"/>
      <c r="K353" s="8"/>
      <c r="L353" s="9"/>
      <c r="M353" s="10"/>
      <c r="N353" s="255"/>
      <c r="O353" s="86"/>
      <c r="P353" s="86"/>
      <c r="Q353" s="86"/>
      <c r="R353" s="242"/>
      <c r="S353" s="243"/>
      <c r="T353" s="243"/>
      <c r="U353" s="14"/>
      <c r="V353" s="242"/>
      <c r="W353" s="15"/>
      <c r="X353" s="15"/>
      <c r="Y353" s="15"/>
      <c r="Z353" s="8"/>
      <c r="AA353" s="8"/>
      <c r="AB353" s="56"/>
      <c r="AC353" s="56"/>
      <c r="AD353" s="15"/>
      <c r="AE353" s="15"/>
      <c r="AF353" s="15"/>
      <c r="AG353" s="15"/>
      <c r="AH353" s="57"/>
      <c r="AI353" s="254"/>
      <c r="AJ353" s="15"/>
      <c r="AK353" s="302" t="s">
        <v>690</v>
      </c>
      <c r="AL353" s="303" t="str">
        <f t="shared" ref="AL353:AN353" si="846">SUM(AL11:AL352)</f>
        <v>27942</v>
      </c>
      <c r="AM353" s="304" t="str">
        <f t="shared" si="846"/>
        <v>3,337,937.80</v>
      </c>
      <c r="AN353" s="303" t="str">
        <f t="shared" si="846"/>
        <v>19612</v>
      </c>
      <c r="AO353" s="303"/>
      <c r="AP353" s="305"/>
      <c r="AQ353" s="305" t="str">
        <f>SUM(AQ11:AQ352)</f>
        <v>3,402,734.40</v>
      </c>
      <c r="AR353" s="305"/>
      <c r="AS353" s="306" t="str">
        <f t="shared" ref="AS353:AU353" si="847">SUM(AS11:AS351)</f>
        <v>31502</v>
      </c>
      <c r="AT353" s="307" t="str">
        <f t="shared" si="847"/>
        <v>4,407,169.51</v>
      </c>
      <c r="AU353" s="306" t="str">
        <f t="shared" si="847"/>
        <v>23976</v>
      </c>
      <c r="AV353" s="251"/>
      <c r="AW353" s="307" t="str">
        <f>SUM(AW11:AW351)</f>
        <v>4,278,633.13</v>
      </c>
      <c r="AX353" s="249"/>
      <c r="AY353" s="26"/>
      <c r="AZ353" s="26"/>
      <c r="BA353" s="27"/>
      <c r="BB353" s="28"/>
      <c r="BC353" s="29"/>
    </row>
    <row r="354" ht="12.75" customHeight="1">
      <c r="A354" s="26"/>
      <c r="B354" s="12"/>
      <c r="C354" s="240"/>
      <c r="D354" s="241"/>
      <c r="E354" s="5"/>
      <c r="F354" s="5"/>
      <c r="G354" s="5"/>
      <c r="H354" s="5"/>
      <c r="I354" s="5"/>
      <c r="J354" s="5"/>
      <c r="K354" s="8"/>
      <c r="L354" s="9"/>
      <c r="M354" s="10"/>
      <c r="N354" s="255"/>
      <c r="O354" s="86"/>
      <c r="P354" s="86"/>
      <c r="Q354" s="86"/>
      <c r="R354" s="242"/>
      <c r="S354" s="243"/>
      <c r="T354" s="243"/>
      <c r="U354" s="14"/>
      <c r="V354" s="242"/>
      <c r="W354" s="15"/>
      <c r="X354" s="15"/>
      <c r="Y354" s="15"/>
      <c r="Z354" s="8"/>
      <c r="AA354" s="8"/>
      <c r="AB354" s="56"/>
      <c r="AC354" s="56"/>
      <c r="AD354" s="15"/>
      <c r="AE354" s="15"/>
      <c r="AF354" s="15"/>
      <c r="AG354" s="15"/>
      <c r="AH354" s="57"/>
      <c r="AI354" s="254"/>
      <c r="AJ354" s="15"/>
      <c r="AK354" s="245"/>
      <c r="AL354" s="246"/>
      <c r="AM354" s="247"/>
      <c r="AN354" s="246"/>
      <c r="AO354" s="246"/>
      <c r="AP354" s="15"/>
      <c r="AQ354" s="15"/>
      <c r="AR354" s="15"/>
      <c r="AS354" s="306"/>
      <c r="AT354" s="307"/>
      <c r="AU354" s="306"/>
      <c r="AV354" s="251"/>
      <c r="AW354" s="250"/>
      <c r="AX354" s="249"/>
      <c r="AY354" s="26"/>
      <c r="AZ354" s="26"/>
      <c r="BA354" s="27"/>
      <c r="BB354" s="28"/>
      <c r="BC354" s="29"/>
    </row>
    <row r="355" ht="12.75" customHeight="1">
      <c r="A355" s="26"/>
      <c r="B355" s="12"/>
      <c r="C355" s="240"/>
      <c r="D355" s="241"/>
      <c r="E355" s="5"/>
      <c r="F355" s="5"/>
      <c r="G355" s="5"/>
      <c r="H355" s="5"/>
      <c r="I355" s="5"/>
      <c r="J355" s="5"/>
      <c r="K355" s="8"/>
      <c r="L355" s="9"/>
      <c r="M355" s="10"/>
      <c r="N355" s="255"/>
      <c r="O355" s="86"/>
      <c r="P355" s="86"/>
      <c r="Q355" s="86"/>
      <c r="R355" s="242"/>
      <c r="S355" s="243"/>
      <c r="T355" s="243"/>
      <c r="U355" s="14"/>
      <c r="V355" s="242"/>
      <c r="W355" s="15"/>
      <c r="X355" s="15"/>
      <c r="Y355" s="15"/>
      <c r="Z355" s="8"/>
      <c r="AA355" s="8"/>
      <c r="AB355" s="56"/>
      <c r="AC355" s="56"/>
      <c r="AD355" s="15"/>
      <c r="AE355" s="15"/>
      <c r="AF355" s="15"/>
      <c r="AG355" s="15"/>
      <c r="AH355" s="57"/>
      <c r="AI355" s="254"/>
      <c r="AJ355" s="15"/>
      <c r="AK355" s="245"/>
      <c r="AL355" s="246"/>
      <c r="AM355" s="247"/>
      <c r="AN355" s="246"/>
      <c r="AO355" s="246"/>
      <c r="AP355" s="15"/>
      <c r="AQ355" s="15"/>
      <c r="AR355" s="15"/>
      <c r="AS355" s="249"/>
      <c r="AT355" s="250"/>
      <c r="AU355" s="249"/>
      <c r="AV355" s="251"/>
      <c r="AW355" s="250"/>
      <c r="AX355" s="249"/>
      <c r="AY355" s="26"/>
      <c r="AZ355" s="26"/>
      <c r="BA355" s="27"/>
      <c r="BB355" s="28"/>
      <c r="BC355" s="29"/>
    </row>
    <row r="356" ht="12.75" customHeight="1">
      <c r="A356" s="26"/>
      <c r="B356" s="12"/>
      <c r="C356" s="240"/>
      <c r="D356" s="241"/>
      <c r="E356" s="5"/>
      <c r="F356" s="5"/>
      <c r="G356" s="5"/>
      <c r="H356" s="5"/>
      <c r="I356" s="5"/>
      <c r="J356" s="5"/>
      <c r="K356" s="8"/>
      <c r="L356" s="9"/>
      <c r="M356" s="10"/>
      <c r="N356" s="255"/>
      <c r="O356" s="86"/>
      <c r="P356" s="86"/>
      <c r="Q356" s="86"/>
      <c r="R356" s="242"/>
      <c r="S356" s="243"/>
      <c r="T356" s="243"/>
      <c r="U356" s="14"/>
      <c r="V356" s="242"/>
      <c r="W356" s="15"/>
      <c r="X356" s="15"/>
      <c r="Y356" s="15"/>
      <c r="Z356" s="8"/>
      <c r="AA356" s="8"/>
      <c r="AB356" s="56"/>
      <c r="AC356" s="56"/>
      <c r="AD356" s="15"/>
      <c r="AE356" s="15"/>
      <c r="AF356" s="15"/>
      <c r="AG356" s="15"/>
      <c r="AH356" s="57"/>
      <c r="AI356" s="254"/>
      <c r="AJ356" s="15"/>
      <c r="AK356" s="245"/>
      <c r="AL356" s="246"/>
      <c r="AM356" s="247"/>
      <c r="AN356" s="246"/>
      <c r="AO356" s="246"/>
      <c r="AP356" s="15"/>
      <c r="AQ356" s="15"/>
      <c r="AR356" s="15"/>
      <c r="AS356" s="249"/>
      <c r="AT356" s="250"/>
      <c r="AU356" s="249"/>
      <c r="AV356" s="251"/>
      <c r="AW356" s="250"/>
      <c r="AX356" s="249"/>
      <c r="AY356" s="26"/>
      <c r="AZ356" s="26"/>
      <c r="BA356" s="27"/>
      <c r="BB356" s="28"/>
      <c r="BC356" s="29"/>
    </row>
    <row r="357" ht="12.75" customHeight="1">
      <c r="A357" s="26"/>
      <c r="B357" s="12"/>
      <c r="C357" s="240"/>
      <c r="D357" s="241"/>
      <c r="E357" s="5"/>
      <c r="F357" s="5"/>
      <c r="G357" s="5"/>
      <c r="H357" s="5"/>
      <c r="I357" s="5"/>
      <c r="J357" s="5"/>
      <c r="K357" s="8"/>
      <c r="L357" s="9"/>
      <c r="M357" s="10"/>
      <c r="N357" s="255"/>
      <c r="O357" s="86"/>
      <c r="P357" s="86"/>
      <c r="Q357" s="86"/>
      <c r="R357" s="242"/>
      <c r="S357" s="243"/>
      <c r="T357" s="243"/>
      <c r="U357" s="14"/>
      <c r="V357" s="242"/>
      <c r="W357" s="15"/>
      <c r="X357" s="15"/>
      <c r="Y357" s="15"/>
      <c r="Z357" s="8"/>
      <c r="AA357" s="8"/>
      <c r="AB357" s="56"/>
      <c r="AC357" s="56"/>
      <c r="AD357" s="15"/>
      <c r="AE357" s="15"/>
      <c r="AF357" s="15"/>
      <c r="AG357" s="15"/>
      <c r="AH357" s="57"/>
      <c r="AI357" s="254"/>
      <c r="AJ357" s="15"/>
      <c r="AK357" s="245"/>
      <c r="AL357" s="246"/>
      <c r="AM357" s="247"/>
      <c r="AN357" s="246"/>
      <c r="AO357" s="246"/>
      <c r="AP357" s="15"/>
      <c r="AQ357" s="15"/>
      <c r="AR357" s="15"/>
      <c r="AS357" s="249"/>
      <c r="AT357" s="250"/>
      <c r="AU357" s="249"/>
      <c r="AV357" s="251"/>
      <c r="AW357" s="250"/>
      <c r="AX357" s="249"/>
      <c r="AY357" s="26"/>
      <c r="AZ357" s="26"/>
      <c r="BA357" s="27"/>
      <c r="BB357" s="28"/>
      <c r="BC357" s="29"/>
    </row>
    <row r="358" ht="12.75" customHeight="1">
      <c r="A358" s="26"/>
      <c r="B358" s="12"/>
      <c r="C358" s="240"/>
      <c r="D358" s="241"/>
      <c r="E358" s="5"/>
      <c r="F358" s="5"/>
      <c r="G358" s="5"/>
      <c r="H358" s="5"/>
      <c r="I358" s="5"/>
      <c r="J358" s="5"/>
      <c r="K358" s="8"/>
      <c r="L358" s="9"/>
      <c r="M358" s="10"/>
      <c r="N358" s="255"/>
      <c r="O358" s="86"/>
      <c r="P358" s="86"/>
      <c r="Q358" s="86"/>
      <c r="R358" s="242"/>
      <c r="S358" s="243"/>
      <c r="T358" s="243"/>
      <c r="U358" s="14"/>
      <c r="V358" s="242"/>
      <c r="W358" s="15"/>
      <c r="X358" s="15"/>
      <c r="Y358" s="15"/>
      <c r="Z358" s="8"/>
      <c r="AA358" s="8"/>
      <c r="AB358" s="56"/>
      <c r="AC358" s="56"/>
      <c r="AD358" s="15"/>
      <c r="AE358" s="15"/>
      <c r="AF358" s="15"/>
      <c r="AG358" s="15"/>
      <c r="AH358" s="57"/>
      <c r="AI358" s="254"/>
      <c r="AJ358" s="15"/>
      <c r="AK358" s="245"/>
      <c r="AL358" s="246"/>
      <c r="AM358" s="247"/>
      <c r="AN358" s="246"/>
      <c r="AO358" s="246"/>
      <c r="AP358" s="15"/>
      <c r="AQ358" s="15"/>
      <c r="AR358" s="15"/>
      <c r="AS358" s="249"/>
      <c r="AT358" s="250"/>
      <c r="AU358" s="249"/>
      <c r="AV358" s="251"/>
      <c r="AW358" s="250"/>
      <c r="AX358" s="249"/>
      <c r="AY358" s="26"/>
      <c r="AZ358" s="26"/>
      <c r="BA358" s="27"/>
      <c r="BB358" s="28"/>
      <c r="BC358" s="29"/>
    </row>
    <row r="359" ht="12.75" customHeight="1">
      <c r="A359" s="26"/>
      <c r="B359" s="12"/>
      <c r="C359" s="240"/>
      <c r="D359" s="241"/>
      <c r="E359" s="5"/>
      <c r="F359" s="5"/>
      <c r="G359" s="5"/>
      <c r="H359" s="5"/>
      <c r="I359" s="5"/>
      <c r="J359" s="5"/>
      <c r="K359" s="8"/>
      <c r="L359" s="9"/>
      <c r="M359" s="10"/>
      <c r="N359" s="255"/>
      <c r="O359" s="86"/>
      <c r="P359" s="86"/>
      <c r="Q359" s="86"/>
      <c r="R359" s="242"/>
      <c r="S359" s="243"/>
      <c r="T359" s="243"/>
      <c r="U359" s="14"/>
      <c r="V359" s="242"/>
      <c r="W359" s="15"/>
      <c r="X359" s="15"/>
      <c r="Y359" s="15"/>
      <c r="Z359" s="8"/>
      <c r="AA359" s="8"/>
      <c r="AB359" s="56"/>
      <c r="AC359" s="56"/>
      <c r="AD359" s="15"/>
      <c r="AE359" s="15"/>
      <c r="AF359" s="15"/>
      <c r="AG359" s="15"/>
      <c r="AH359" s="57"/>
      <c r="AI359" s="254"/>
      <c r="AJ359" s="15"/>
      <c r="AK359" s="245"/>
      <c r="AL359" s="246"/>
      <c r="AM359" s="247"/>
      <c r="AN359" s="246"/>
      <c r="AO359" s="246"/>
      <c r="AP359" s="15"/>
      <c r="AQ359" s="15"/>
      <c r="AR359" s="15"/>
      <c r="AS359" s="249"/>
      <c r="AT359" s="250"/>
      <c r="AU359" s="249"/>
      <c r="AV359" s="251"/>
      <c r="AW359" s="250"/>
      <c r="AX359" s="249"/>
      <c r="AY359" s="26"/>
      <c r="AZ359" s="26"/>
      <c r="BA359" s="27"/>
      <c r="BB359" s="28"/>
      <c r="BC359" s="29"/>
    </row>
    <row r="360" ht="12.75" customHeight="1">
      <c r="A360" s="26"/>
      <c r="B360" s="12"/>
      <c r="C360" s="240"/>
      <c r="D360" s="241"/>
      <c r="E360" s="5"/>
      <c r="F360" s="5"/>
      <c r="G360" s="5"/>
      <c r="H360" s="5"/>
      <c r="I360" s="5"/>
      <c r="J360" s="5"/>
      <c r="K360" s="8"/>
      <c r="L360" s="9"/>
      <c r="M360" s="10"/>
      <c r="N360" s="255"/>
      <c r="O360" s="86"/>
      <c r="P360" s="86"/>
      <c r="Q360" s="86"/>
      <c r="R360" s="242"/>
      <c r="S360" s="243"/>
      <c r="T360" s="243"/>
      <c r="U360" s="14"/>
      <c r="V360" s="242"/>
      <c r="W360" s="15"/>
      <c r="X360" s="15"/>
      <c r="Y360" s="15"/>
      <c r="Z360" s="8"/>
      <c r="AA360" s="8"/>
      <c r="AB360" s="56"/>
      <c r="AC360" s="56"/>
      <c r="AD360" s="15"/>
      <c r="AE360" s="15"/>
      <c r="AF360" s="15"/>
      <c r="AG360" s="15"/>
      <c r="AH360" s="57"/>
      <c r="AI360" s="254"/>
      <c r="AJ360" s="15"/>
      <c r="AK360" s="245"/>
      <c r="AL360" s="246"/>
      <c r="AM360" s="247"/>
      <c r="AN360" s="246"/>
      <c r="AO360" s="246"/>
      <c r="AP360" s="15"/>
      <c r="AQ360" s="15"/>
      <c r="AR360" s="15"/>
      <c r="AS360" s="249"/>
      <c r="AT360" s="250"/>
      <c r="AU360" s="249"/>
      <c r="AV360" s="251"/>
      <c r="AW360" s="250"/>
      <c r="AX360" s="249"/>
      <c r="AY360" s="26"/>
      <c r="AZ360" s="26"/>
      <c r="BA360" s="27"/>
      <c r="BB360" s="28"/>
      <c r="BC360" s="29"/>
    </row>
    <row r="361" ht="12.75" customHeight="1">
      <c r="A361" s="26"/>
      <c r="B361" s="12"/>
      <c r="C361" s="240"/>
      <c r="D361" s="241"/>
      <c r="E361" s="5"/>
      <c r="F361" s="5"/>
      <c r="G361" s="5"/>
      <c r="H361" s="5"/>
      <c r="I361" s="5"/>
      <c r="J361" s="5"/>
      <c r="K361" s="8"/>
      <c r="L361" s="9"/>
      <c r="M361" s="10"/>
      <c r="N361" s="255"/>
      <c r="O361" s="86"/>
      <c r="P361" s="86"/>
      <c r="Q361" s="86"/>
      <c r="R361" s="242"/>
      <c r="S361" s="243"/>
      <c r="T361" s="243"/>
      <c r="U361" s="14"/>
      <c r="V361" s="242"/>
      <c r="W361" s="15"/>
      <c r="X361" s="15"/>
      <c r="Y361" s="15"/>
      <c r="Z361" s="8"/>
      <c r="AA361" s="8"/>
      <c r="AB361" s="56"/>
      <c r="AC361" s="56"/>
      <c r="AD361" s="15"/>
      <c r="AE361" s="15"/>
      <c r="AF361" s="15"/>
      <c r="AG361" s="15"/>
      <c r="AH361" s="57"/>
      <c r="AI361" s="254"/>
      <c r="AJ361" s="15"/>
      <c r="AK361" s="245"/>
      <c r="AL361" s="246"/>
      <c r="AM361" s="247"/>
      <c r="AN361" s="246"/>
      <c r="AO361" s="246"/>
      <c r="AP361" s="15"/>
      <c r="AQ361" s="15"/>
      <c r="AR361" s="15"/>
      <c r="AS361" s="249"/>
      <c r="AT361" s="250"/>
      <c r="AU361" s="249"/>
      <c r="AV361" s="251"/>
      <c r="AW361" s="250"/>
      <c r="AX361" s="249"/>
      <c r="AY361" s="26"/>
      <c r="AZ361" s="26"/>
      <c r="BA361" s="27"/>
      <c r="BB361" s="28"/>
      <c r="BC361" s="29"/>
    </row>
    <row r="362" ht="12.75" customHeight="1">
      <c r="A362" s="26"/>
      <c r="B362" s="12"/>
      <c r="C362" s="240"/>
      <c r="D362" s="241"/>
      <c r="E362" s="5"/>
      <c r="F362" s="5"/>
      <c r="G362" s="5"/>
      <c r="H362" s="5"/>
      <c r="I362" s="5"/>
      <c r="J362" s="5"/>
      <c r="K362" s="8"/>
      <c r="L362" s="9"/>
      <c r="M362" s="10"/>
      <c r="N362" s="255"/>
      <c r="O362" s="86"/>
      <c r="P362" s="86"/>
      <c r="Q362" s="86"/>
      <c r="R362" s="242"/>
      <c r="S362" s="243"/>
      <c r="T362" s="243"/>
      <c r="U362" s="14"/>
      <c r="V362" s="242"/>
      <c r="W362" s="15"/>
      <c r="X362" s="15"/>
      <c r="Y362" s="15"/>
      <c r="Z362" s="8"/>
      <c r="AA362" s="8"/>
      <c r="AB362" s="56"/>
      <c r="AC362" s="56"/>
      <c r="AD362" s="15"/>
      <c r="AE362" s="15"/>
      <c r="AF362" s="15"/>
      <c r="AG362" s="15"/>
      <c r="AH362" s="57"/>
      <c r="AI362" s="254"/>
      <c r="AJ362" s="15"/>
      <c r="AK362" s="245"/>
      <c r="AL362" s="246"/>
      <c r="AM362" s="247"/>
      <c r="AN362" s="246"/>
      <c r="AO362" s="246"/>
      <c r="AP362" s="15"/>
      <c r="AQ362" s="15"/>
      <c r="AR362" s="15"/>
      <c r="AS362" s="249"/>
      <c r="AT362" s="250"/>
      <c r="AU362" s="249"/>
      <c r="AV362" s="251"/>
      <c r="AW362" s="250"/>
      <c r="AX362" s="249"/>
      <c r="AY362" s="26"/>
      <c r="AZ362" s="26"/>
      <c r="BA362" s="27"/>
      <c r="BB362" s="28"/>
      <c r="BC362" s="29"/>
    </row>
    <row r="363" ht="12.75" customHeight="1">
      <c r="A363" s="26"/>
      <c r="B363" s="12"/>
      <c r="C363" s="240"/>
      <c r="D363" s="241"/>
      <c r="E363" s="5"/>
      <c r="F363" s="5"/>
      <c r="G363" s="5"/>
      <c r="H363" s="5"/>
      <c r="I363" s="5"/>
      <c r="J363" s="5"/>
      <c r="K363" s="8"/>
      <c r="L363" s="9"/>
      <c r="M363" s="10"/>
      <c r="N363" s="255"/>
      <c r="O363" s="86"/>
      <c r="P363" s="86"/>
      <c r="Q363" s="86"/>
      <c r="R363" s="242"/>
      <c r="S363" s="243"/>
      <c r="T363" s="243"/>
      <c r="U363" s="14"/>
      <c r="V363" s="242"/>
      <c r="W363" s="15"/>
      <c r="X363" s="15"/>
      <c r="Y363" s="15"/>
      <c r="Z363" s="8"/>
      <c r="AA363" s="8"/>
      <c r="AB363" s="56"/>
      <c r="AC363" s="56"/>
      <c r="AD363" s="15"/>
      <c r="AE363" s="15"/>
      <c r="AF363" s="15"/>
      <c r="AG363" s="15"/>
      <c r="AH363" s="57"/>
      <c r="AI363" s="254"/>
      <c r="AJ363" s="15"/>
      <c r="AK363" s="245"/>
      <c r="AL363" s="246"/>
      <c r="AM363" s="247"/>
      <c r="AN363" s="246"/>
      <c r="AO363" s="246"/>
      <c r="AP363" s="15"/>
      <c r="AQ363" s="15"/>
      <c r="AR363" s="15"/>
      <c r="AS363" s="249"/>
      <c r="AT363" s="250"/>
      <c r="AU363" s="249"/>
      <c r="AV363" s="251"/>
      <c r="AW363" s="250"/>
      <c r="AX363" s="249"/>
      <c r="AY363" s="26"/>
      <c r="AZ363" s="26"/>
      <c r="BA363" s="27"/>
      <c r="BB363" s="28"/>
      <c r="BC363" s="29"/>
    </row>
    <row r="364" ht="12.75" customHeight="1">
      <c r="A364" s="26"/>
      <c r="B364" s="12"/>
      <c r="C364" s="240"/>
      <c r="D364" s="241"/>
      <c r="E364" s="5"/>
      <c r="F364" s="5"/>
      <c r="G364" s="5"/>
      <c r="H364" s="5"/>
      <c r="I364" s="5"/>
      <c r="J364" s="5"/>
      <c r="K364" s="8"/>
      <c r="L364" s="9"/>
      <c r="M364" s="10"/>
      <c r="N364" s="255"/>
      <c r="O364" s="86"/>
      <c r="P364" s="86"/>
      <c r="Q364" s="86"/>
      <c r="R364" s="242"/>
      <c r="S364" s="243"/>
      <c r="T364" s="243"/>
      <c r="U364" s="14"/>
      <c r="V364" s="242"/>
      <c r="W364" s="15"/>
      <c r="X364" s="15"/>
      <c r="Y364" s="15"/>
      <c r="Z364" s="8"/>
      <c r="AA364" s="8"/>
      <c r="AB364" s="56"/>
      <c r="AC364" s="56"/>
      <c r="AD364" s="15"/>
      <c r="AE364" s="15"/>
      <c r="AF364" s="15"/>
      <c r="AG364" s="15"/>
      <c r="AH364" s="57"/>
      <c r="AI364" s="254"/>
      <c r="AJ364" s="15"/>
      <c r="AK364" s="245"/>
      <c r="AL364" s="246"/>
      <c r="AM364" s="247"/>
      <c r="AN364" s="246"/>
      <c r="AO364" s="246"/>
      <c r="AP364" s="15"/>
      <c r="AQ364" s="15"/>
      <c r="AR364" s="15"/>
      <c r="AS364" s="249"/>
      <c r="AT364" s="250"/>
      <c r="AU364" s="249"/>
      <c r="AV364" s="251"/>
      <c r="AW364" s="250"/>
      <c r="AX364" s="249"/>
      <c r="AY364" s="26"/>
      <c r="AZ364" s="26"/>
      <c r="BA364" s="27"/>
      <c r="BB364" s="28"/>
      <c r="BC364" s="29"/>
    </row>
    <row r="365" ht="12.75" customHeight="1">
      <c r="A365" s="26"/>
      <c r="B365" s="12"/>
      <c r="C365" s="240"/>
      <c r="D365" s="241"/>
      <c r="E365" s="5"/>
      <c r="F365" s="5"/>
      <c r="G365" s="5"/>
      <c r="H365" s="5"/>
      <c r="I365" s="5"/>
      <c r="J365" s="5"/>
      <c r="K365" s="8"/>
      <c r="L365" s="9"/>
      <c r="M365" s="10"/>
      <c r="N365" s="255"/>
      <c r="O365" s="86"/>
      <c r="P365" s="86"/>
      <c r="Q365" s="86"/>
      <c r="R365" s="242"/>
      <c r="S365" s="243"/>
      <c r="T365" s="243"/>
      <c r="U365" s="14"/>
      <c r="V365" s="242"/>
      <c r="W365" s="15"/>
      <c r="X365" s="15"/>
      <c r="Y365" s="15"/>
      <c r="Z365" s="8"/>
      <c r="AA365" s="8"/>
      <c r="AB365" s="56"/>
      <c r="AC365" s="56"/>
      <c r="AD365" s="15"/>
      <c r="AE365" s="15"/>
      <c r="AF365" s="15"/>
      <c r="AG365" s="15"/>
      <c r="AH365" s="57"/>
      <c r="AI365" s="254"/>
      <c r="AJ365" s="15"/>
      <c r="AK365" s="245"/>
      <c r="AL365" s="246"/>
      <c r="AM365" s="247"/>
      <c r="AN365" s="246"/>
      <c r="AO365" s="246"/>
      <c r="AP365" s="15"/>
      <c r="AQ365" s="15"/>
      <c r="AR365" s="15"/>
      <c r="AS365" s="249"/>
      <c r="AT365" s="250"/>
      <c r="AU365" s="249"/>
      <c r="AV365" s="251"/>
      <c r="AW365" s="250"/>
      <c r="AX365" s="249"/>
      <c r="AY365" s="26"/>
      <c r="AZ365" s="26"/>
      <c r="BA365" s="27"/>
      <c r="BB365" s="28"/>
      <c r="BC365" s="29"/>
    </row>
    <row r="366" ht="12.75" customHeight="1">
      <c r="A366" s="26"/>
      <c r="B366" s="12"/>
      <c r="C366" s="240"/>
      <c r="D366" s="241"/>
      <c r="E366" s="5"/>
      <c r="F366" s="5"/>
      <c r="G366" s="5"/>
      <c r="H366" s="5"/>
      <c r="I366" s="5"/>
      <c r="J366" s="5"/>
      <c r="K366" s="8"/>
      <c r="L366" s="9"/>
      <c r="M366" s="10"/>
      <c r="N366" s="255"/>
      <c r="O366" s="86"/>
      <c r="P366" s="86"/>
      <c r="Q366" s="86"/>
      <c r="R366" s="242"/>
      <c r="S366" s="243"/>
      <c r="T366" s="243"/>
      <c r="U366" s="14"/>
      <c r="V366" s="242"/>
      <c r="W366" s="15"/>
      <c r="X366" s="15"/>
      <c r="Y366" s="15"/>
      <c r="Z366" s="8"/>
      <c r="AA366" s="8"/>
      <c r="AB366" s="56"/>
      <c r="AC366" s="56"/>
      <c r="AD366" s="15"/>
      <c r="AE366" s="15"/>
      <c r="AF366" s="15"/>
      <c r="AG366" s="15"/>
      <c r="AH366" s="57"/>
      <c r="AI366" s="254"/>
      <c r="AJ366" s="15"/>
      <c r="AK366" s="245"/>
      <c r="AL366" s="246"/>
      <c r="AM366" s="247"/>
      <c r="AN366" s="246"/>
      <c r="AO366" s="246"/>
      <c r="AP366" s="15"/>
      <c r="AQ366" s="15"/>
      <c r="AR366" s="15"/>
      <c r="AS366" s="249"/>
      <c r="AT366" s="250"/>
      <c r="AU366" s="249"/>
      <c r="AV366" s="251"/>
      <c r="AW366" s="250"/>
      <c r="AX366" s="249"/>
      <c r="AY366" s="26"/>
      <c r="AZ366" s="26"/>
      <c r="BA366" s="27"/>
      <c r="BB366" s="28"/>
      <c r="BC366" s="29"/>
    </row>
    <row r="367" ht="12.75" customHeight="1">
      <c r="A367" s="26"/>
      <c r="B367" s="12"/>
      <c r="C367" s="240"/>
      <c r="D367" s="241"/>
      <c r="E367" s="5"/>
      <c r="F367" s="5"/>
      <c r="G367" s="5"/>
      <c r="H367" s="5"/>
      <c r="I367" s="5"/>
      <c r="J367" s="5"/>
      <c r="K367" s="8"/>
      <c r="L367" s="9"/>
      <c r="M367" s="10"/>
      <c r="N367" s="255"/>
      <c r="O367" s="86"/>
      <c r="P367" s="86"/>
      <c r="Q367" s="86"/>
      <c r="R367" s="242"/>
      <c r="S367" s="243"/>
      <c r="T367" s="243"/>
      <c r="U367" s="14"/>
      <c r="V367" s="242"/>
      <c r="W367" s="15"/>
      <c r="X367" s="15"/>
      <c r="Y367" s="15"/>
      <c r="Z367" s="8"/>
      <c r="AA367" s="8"/>
      <c r="AB367" s="56"/>
      <c r="AC367" s="56"/>
      <c r="AD367" s="15"/>
      <c r="AE367" s="15"/>
      <c r="AF367" s="15"/>
      <c r="AG367" s="15"/>
      <c r="AH367" s="57"/>
      <c r="AI367" s="254"/>
      <c r="AJ367" s="15"/>
      <c r="AK367" s="245"/>
      <c r="AL367" s="246"/>
      <c r="AM367" s="247"/>
      <c r="AN367" s="246"/>
      <c r="AO367" s="246"/>
      <c r="AP367" s="15"/>
      <c r="AQ367" s="15"/>
      <c r="AR367" s="15"/>
      <c r="AS367" s="249"/>
      <c r="AT367" s="250"/>
      <c r="AU367" s="249"/>
      <c r="AV367" s="251"/>
      <c r="AW367" s="250"/>
      <c r="AX367" s="249"/>
      <c r="AY367" s="26"/>
      <c r="AZ367" s="26"/>
      <c r="BA367" s="27"/>
      <c r="BB367" s="28"/>
      <c r="BC367" s="29"/>
    </row>
    <row r="368" ht="12.75" customHeight="1">
      <c r="A368" s="26"/>
      <c r="B368" s="12"/>
      <c r="C368" s="240"/>
      <c r="D368" s="241"/>
      <c r="E368" s="5"/>
      <c r="F368" s="5"/>
      <c r="G368" s="5"/>
      <c r="H368" s="5"/>
      <c r="I368" s="5"/>
      <c r="J368" s="5"/>
      <c r="K368" s="8"/>
      <c r="L368" s="9"/>
      <c r="M368" s="10"/>
      <c r="N368" s="255"/>
      <c r="O368" s="86"/>
      <c r="P368" s="86"/>
      <c r="Q368" s="86"/>
      <c r="R368" s="242"/>
      <c r="S368" s="243"/>
      <c r="T368" s="243"/>
      <c r="U368" s="14"/>
      <c r="V368" s="242"/>
      <c r="W368" s="15"/>
      <c r="X368" s="15"/>
      <c r="Y368" s="15"/>
      <c r="Z368" s="8"/>
      <c r="AA368" s="8"/>
      <c r="AB368" s="56"/>
      <c r="AC368" s="56"/>
      <c r="AD368" s="15"/>
      <c r="AE368" s="15"/>
      <c r="AF368" s="15"/>
      <c r="AG368" s="15"/>
      <c r="AH368" s="57"/>
      <c r="AI368" s="254"/>
      <c r="AJ368" s="15"/>
      <c r="AK368" s="245"/>
      <c r="AL368" s="246"/>
      <c r="AM368" s="247"/>
      <c r="AN368" s="246"/>
      <c r="AO368" s="246"/>
      <c r="AP368" s="15"/>
      <c r="AQ368" s="15"/>
      <c r="AR368" s="15"/>
      <c r="AS368" s="249"/>
      <c r="AT368" s="250"/>
      <c r="AU368" s="249"/>
      <c r="AV368" s="251"/>
      <c r="AW368" s="250"/>
      <c r="AX368" s="249"/>
      <c r="AY368" s="26"/>
      <c r="AZ368" s="26"/>
      <c r="BA368" s="27"/>
      <c r="BB368" s="28"/>
      <c r="BC368" s="29"/>
    </row>
    <row r="369" ht="12.75" customHeight="1">
      <c r="A369" s="26"/>
      <c r="B369" s="12"/>
      <c r="C369" s="240"/>
      <c r="D369" s="241"/>
      <c r="E369" s="5"/>
      <c r="F369" s="5"/>
      <c r="G369" s="5"/>
      <c r="H369" s="5"/>
      <c r="I369" s="5"/>
      <c r="J369" s="5"/>
      <c r="K369" s="8"/>
      <c r="L369" s="9"/>
      <c r="M369" s="10"/>
      <c r="N369" s="255"/>
      <c r="O369" s="86"/>
      <c r="P369" s="86"/>
      <c r="Q369" s="86"/>
      <c r="R369" s="242"/>
      <c r="S369" s="243"/>
      <c r="T369" s="243"/>
      <c r="U369" s="14"/>
      <c r="V369" s="242"/>
      <c r="W369" s="15"/>
      <c r="X369" s="15"/>
      <c r="Y369" s="15"/>
      <c r="Z369" s="8"/>
      <c r="AA369" s="8"/>
      <c r="AB369" s="56"/>
      <c r="AC369" s="56"/>
      <c r="AD369" s="15"/>
      <c r="AE369" s="15"/>
      <c r="AF369" s="15"/>
      <c r="AG369" s="15"/>
      <c r="AH369" s="57"/>
      <c r="AI369" s="254"/>
      <c r="AJ369" s="15"/>
      <c r="AK369" s="245"/>
      <c r="AL369" s="246"/>
      <c r="AM369" s="247"/>
      <c r="AN369" s="246"/>
      <c r="AO369" s="246"/>
      <c r="AP369" s="15"/>
      <c r="AQ369" s="15"/>
      <c r="AR369" s="15"/>
      <c r="AS369" s="249"/>
      <c r="AT369" s="250"/>
      <c r="AU369" s="249"/>
      <c r="AV369" s="251"/>
      <c r="AW369" s="250"/>
      <c r="AX369" s="249"/>
      <c r="AY369" s="26"/>
      <c r="AZ369" s="26"/>
      <c r="BA369" s="27"/>
      <c r="BB369" s="28"/>
      <c r="BC369" s="29"/>
    </row>
    <row r="370" ht="12.75" customHeight="1">
      <c r="A370" s="26"/>
      <c r="B370" s="12"/>
      <c r="C370" s="240"/>
      <c r="D370" s="241"/>
      <c r="E370" s="5"/>
      <c r="F370" s="5"/>
      <c r="G370" s="5"/>
      <c r="H370" s="5"/>
      <c r="I370" s="5"/>
      <c r="J370" s="5"/>
      <c r="K370" s="8"/>
      <c r="L370" s="9"/>
      <c r="M370" s="10"/>
      <c r="N370" s="255"/>
      <c r="O370" s="86"/>
      <c r="P370" s="86"/>
      <c r="Q370" s="86"/>
      <c r="R370" s="242"/>
      <c r="S370" s="243"/>
      <c r="T370" s="243"/>
      <c r="U370" s="14"/>
      <c r="V370" s="242"/>
      <c r="W370" s="15"/>
      <c r="X370" s="15"/>
      <c r="Y370" s="15"/>
      <c r="Z370" s="8"/>
      <c r="AA370" s="8"/>
      <c r="AB370" s="56"/>
      <c r="AC370" s="56"/>
      <c r="AD370" s="15"/>
      <c r="AE370" s="15"/>
      <c r="AF370" s="15"/>
      <c r="AG370" s="15"/>
      <c r="AH370" s="57"/>
      <c r="AI370" s="254"/>
      <c r="AJ370" s="15"/>
      <c r="AK370" s="245"/>
      <c r="AL370" s="246"/>
      <c r="AM370" s="247"/>
      <c r="AN370" s="246"/>
      <c r="AO370" s="246"/>
      <c r="AP370" s="15"/>
      <c r="AQ370" s="15"/>
      <c r="AR370" s="15"/>
      <c r="AS370" s="249"/>
      <c r="AT370" s="250"/>
      <c r="AU370" s="249"/>
      <c r="AV370" s="251"/>
      <c r="AW370" s="250"/>
      <c r="AX370" s="249"/>
      <c r="AY370" s="26"/>
      <c r="AZ370" s="26"/>
      <c r="BA370" s="27"/>
      <c r="BB370" s="28"/>
      <c r="BC370" s="29"/>
    </row>
    <row r="371" ht="12.75" customHeight="1">
      <c r="A371" s="26"/>
      <c r="B371" s="12"/>
      <c r="C371" s="240"/>
      <c r="D371" s="241"/>
      <c r="E371" s="5"/>
      <c r="F371" s="5"/>
      <c r="G371" s="5"/>
      <c r="H371" s="5"/>
      <c r="I371" s="5"/>
      <c r="J371" s="5"/>
      <c r="K371" s="8"/>
      <c r="L371" s="9"/>
      <c r="M371" s="10"/>
      <c r="N371" s="255"/>
      <c r="O371" s="86"/>
      <c r="P371" s="86"/>
      <c r="Q371" s="86"/>
      <c r="R371" s="242"/>
      <c r="S371" s="243"/>
      <c r="T371" s="243"/>
      <c r="U371" s="14"/>
      <c r="V371" s="242"/>
      <c r="W371" s="15"/>
      <c r="X371" s="15"/>
      <c r="Y371" s="15"/>
      <c r="Z371" s="8"/>
      <c r="AA371" s="8"/>
      <c r="AB371" s="56"/>
      <c r="AC371" s="56"/>
      <c r="AD371" s="15"/>
      <c r="AE371" s="15"/>
      <c r="AF371" s="15"/>
      <c r="AG371" s="15"/>
      <c r="AH371" s="57"/>
      <c r="AI371" s="254"/>
      <c r="AJ371" s="15"/>
      <c r="AK371" s="245"/>
      <c r="AL371" s="246"/>
      <c r="AM371" s="247"/>
      <c r="AN371" s="246"/>
      <c r="AO371" s="246"/>
      <c r="AP371" s="15"/>
      <c r="AQ371" s="15"/>
      <c r="AR371" s="15"/>
      <c r="AS371" s="249"/>
      <c r="AT371" s="250"/>
      <c r="AU371" s="249"/>
      <c r="AV371" s="251"/>
      <c r="AW371" s="250"/>
      <c r="AX371" s="249"/>
      <c r="AY371" s="26"/>
      <c r="AZ371" s="26"/>
      <c r="BA371" s="27"/>
      <c r="BB371" s="28"/>
      <c r="BC371" s="29"/>
    </row>
    <row r="372" ht="12.75" customHeight="1">
      <c r="A372" s="26"/>
      <c r="B372" s="12"/>
      <c r="C372" s="240"/>
      <c r="D372" s="241"/>
      <c r="E372" s="5"/>
      <c r="F372" s="5"/>
      <c r="G372" s="5"/>
      <c r="H372" s="5"/>
      <c r="I372" s="5"/>
      <c r="J372" s="5"/>
      <c r="K372" s="8"/>
      <c r="L372" s="9"/>
      <c r="M372" s="10"/>
      <c r="N372" s="255"/>
      <c r="O372" s="86"/>
      <c r="P372" s="86"/>
      <c r="Q372" s="86"/>
      <c r="R372" s="242"/>
      <c r="S372" s="243"/>
      <c r="T372" s="243"/>
      <c r="U372" s="14"/>
      <c r="V372" s="242"/>
      <c r="W372" s="15"/>
      <c r="X372" s="15"/>
      <c r="Y372" s="15"/>
      <c r="Z372" s="8"/>
      <c r="AA372" s="8"/>
      <c r="AB372" s="56"/>
      <c r="AC372" s="56"/>
      <c r="AD372" s="15"/>
      <c r="AE372" s="15"/>
      <c r="AF372" s="15"/>
      <c r="AG372" s="15"/>
      <c r="AH372" s="57"/>
      <c r="AI372" s="254"/>
      <c r="AJ372" s="15"/>
      <c r="AK372" s="245"/>
      <c r="AL372" s="246"/>
      <c r="AM372" s="247"/>
      <c r="AN372" s="246"/>
      <c r="AO372" s="246"/>
      <c r="AP372" s="15"/>
      <c r="AQ372" s="15"/>
      <c r="AR372" s="15"/>
      <c r="AS372" s="249"/>
      <c r="AT372" s="250"/>
      <c r="AU372" s="249"/>
      <c r="AV372" s="251"/>
      <c r="AW372" s="250"/>
      <c r="AX372" s="249"/>
      <c r="AY372" s="26"/>
      <c r="AZ372" s="26"/>
      <c r="BA372" s="27"/>
      <c r="BB372" s="28"/>
      <c r="BC372" s="29"/>
    </row>
    <row r="373" ht="12.75" customHeight="1">
      <c r="A373" s="26"/>
      <c r="B373" s="12"/>
      <c r="C373" s="240"/>
      <c r="D373" s="241"/>
      <c r="E373" s="5"/>
      <c r="F373" s="5"/>
      <c r="G373" s="5"/>
      <c r="H373" s="5"/>
      <c r="I373" s="5"/>
      <c r="J373" s="5"/>
      <c r="K373" s="8"/>
      <c r="L373" s="9"/>
      <c r="M373" s="10"/>
      <c r="N373" s="255"/>
      <c r="O373" s="86"/>
      <c r="P373" s="86"/>
      <c r="Q373" s="86"/>
      <c r="R373" s="242"/>
      <c r="S373" s="243"/>
      <c r="T373" s="243"/>
      <c r="U373" s="14"/>
      <c r="V373" s="242"/>
      <c r="W373" s="15"/>
      <c r="X373" s="15"/>
      <c r="Y373" s="15"/>
      <c r="Z373" s="8"/>
      <c r="AA373" s="8"/>
      <c r="AB373" s="56"/>
      <c r="AC373" s="56"/>
      <c r="AD373" s="15"/>
      <c r="AE373" s="15"/>
      <c r="AF373" s="15"/>
      <c r="AG373" s="15"/>
      <c r="AH373" s="57"/>
      <c r="AI373" s="254"/>
      <c r="AJ373" s="15"/>
      <c r="AK373" s="245"/>
      <c r="AL373" s="246"/>
      <c r="AM373" s="247"/>
      <c r="AN373" s="246"/>
      <c r="AO373" s="246"/>
      <c r="AP373" s="15"/>
      <c r="AQ373" s="15"/>
      <c r="AR373" s="15"/>
      <c r="AS373" s="249"/>
      <c r="AT373" s="250"/>
      <c r="AU373" s="249"/>
      <c r="AV373" s="251"/>
      <c r="AW373" s="250"/>
      <c r="AX373" s="249"/>
      <c r="AY373" s="26"/>
      <c r="AZ373" s="26"/>
      <c r="BA373" s="27"/>
      <c r="BB373" s="28"/>
      <c r="BC373" s="29"/>
    </row>
    <row r="374" ht="12.75" customHeight="1">
      <c r="A374" s="26"/>
      <c r="B374" s="12"/>
      <c r="C374" s="240"/>
      <c r="D374" s="241"/>
      <c r="E374" s="5"/>
      <c r="F374" s="5"/>
      <c r="G374" s="5"/>
      <c r="H374" s="5"/>
      <c r="I374" s="5"/>
      <c r="J374" s="5"/>
      <c r="K374" s="8"/>
      <c r="L374" s="9"/>
      <c r="M374" s="10"/>
      <c r="N374" s="255"/>
      <c r="O374" s="86"/>
      <c r="P374" s="86"/>
      <c r="Q374" s="86"/>
      <c r="R374" s="242"/>
      <c r="S374" s="243"/>
      <c r="T374" s="243"/>
      <c r="U374" s="14"/>
      <c r="V374" s="242"/>
      <c r="W374" s="15"/>
      <c r="X374" s="15"/>
      <c r="Y374" s="15"/>
      <c r="Z374" s="8"/>
      <c r="AA374" s="8"/>
      <c r="AB374" s="56"/>
      <c r="AC374" s="56"/>
      <c r="AD374" s="15"/>
      <c r="AE374" s="15"/>
      <c r="AF374" s="15"/>
      <c r="AG374" s="15"/>
      <c r="AH374" s="57"/>
      <c r="AI374" s="254"/>
      <c r="AJ374" s="15"/>
      <c r="AK374" s="245"/>
      <c r="AL374" s="246"/>
      <c r="AM374" s="247"/>
      <c r="AN374" s="246"/>
      <c r="AO374" s="246"/>
      <c r="AP374" s="15"/>
      <c r="AQ374" s="15"/>
      <c r="AR374" s="15"/>
      <c r="AS374" s="249"/>
      <c r="AT374" s="250"/>
      <c r="AU374" s="249"/>
      <c r="AV374" s="251"/>
      <c r="AW374" s="250"/>
      <c r="AX374" s="249"/>
      <c r="AY374" s="26"/>
      <c r="AZ374" s="26"/>
      <c r="BA374" s="27"/>
      <c r="BB374" s="28"/>
      <c r="BC374" s="29"/>
    </row>
    <row r="375" ht="12.75" customHeight="1">
      <c r="A375" s="26"/>
      <c r="B375" s="12"/>
      <c r="C375" s="240"/>
      <c r="D375" s="241"/>
      <c r="E375" s="5"/>
      <c r="F375" s="5"/>
      <c r="G375" s="5"/>
      <c r="H375" s="5"/>
      <c r="I375" s="5"/>
      <c r="J375" s="5"/>
      <c r="K375" s="8"/>
      <c r="L375" s="9"/>
      <c r="M375" s="10"/>
      <c r="N375" s="255"/>
      <c r="O375" s="86"/>
      <c r="P375" s="86"/>
      <c r="Q375" s="86"/>
      <c r="R375" s="242"/>
      <c r="S375" s="243"/>
      <c r="T375" s="243"/>
      <c r="U375" s="14"/>
      <c r="V375" s="242"/>
      <c r="W375" s="15"/>
      <c r="X375" s="15"/>
      <c r="Y375" s="15"/>
      <c r="Z375" s="8"/>
      <c r="AA375" s="8"/>
      <c r="AB375" s="56"/>
      <c r="AC375" s="56"/>
      <c r="AD375" s="15"/>
      <c r="AE375" s="15"/>
      <c r="AF375" s="15"/>
      <c r="AG375" s="15"/>
      <c r="AH375" s="57"/>
      <c r="AI375" s="254"/>
      <c r="AJ375" s="15"/>
      <c r="AK375" s="245"/>
      <c r="AL375" s="246"/>
      <c r="AM375" s="247"/>
      <c r="AN375" s="246"/>
      <c r="AO375" s="246"/>
      <c r="AP375" s="15"/>
      <c r="AQ375" s="15"/>
      <c r="AR375" s="15"/>
      <c r="AS375" s="249"/>
      <c r="AT375" s="250"/>
      <c r="AU375" s="249"/>
      <c r="AV375" s="251"/>
      <c r="AW375" s="250"/>
      <c r="AX375" s="249"/>
      <c r="AY375" s="26"/>
      <c r="AZ375" s="26"/>
      <c r="BA375" s="27"/>
      <c r="BB375" s="28"/>
      <c r="BC375" s="29"/>
    </row>
    <row r="376" ht="12.75" customHeight="1">
      <c r="A376" s="26"/>
      <c r="B376" s="12"/>
      <c r="C376" s="240"/>
      <c r="D376" s="241"/>
      <c r="E376" s="5"/>
      <c r="F376" s="5"/>
      <c r="G376" s="5"/>
      <c r="H376" s="5"/>
      <c r="I376" s="5"/>
      <c r="J376" s="5"/>
      <c r="K376" s="8"/>
      <c r="L376" s="9"/>
      <c r="M376" s="10"/>
      <c r="N376" s="255"/>
      <c r="O376" s="86"/>
      <c r="P376" s="86"/>
      <c r="Q376" s="86"/>
      <c r="R376" s="242"/>
      <c r="S376" s="243"/>
      <c r="T376" s="243"/>
      <c r="U376" s="14"/>
      <c r="V376" s="242"/>
      <c r="W376" s="15"/>
      <c r="X376" s="15"/>
      <c r="Y376" s="15"/>
      <c r="Z376" s="8"/>
      <c r="AA376" s="8"/>
      <c r="AB376" s="56"/>
      <c r="AC376" s="56"/>
      <c r="AD376" s="15"/>
      <c r="AE376" s="15"/>
      <c r="AF376" s="15"/>
      <c r="AG376" s="15"/>
      <c r="AH376" s="57"/>
      <c r="AI376" s="254"/>
      <c r="AJ376" s="15"/>
      <c r="AK376" s="245"/>
      <c r="AL376" s="246"/>
      <c r="AM376" s="247"/>
      <c r="AN376" s="246"/>
      <c r="AO376" s="246"/>
      <c r="AP376" s="15"/>
      <c r="AQ376" s="15"/>
      <c r="AR376" s="15"/>
      <c r="AS376" s="249"/>
      <c r="AT376" s="250"/>
      <c r="AU376" s="249"/>
      <c r="AV376" s="251"/>
      <c r="AW376" s="250"/>
      <c r="AX376" s="249"/>
      <c r="AY376" s="26"/>
      <c r="AZ376" s="26"/>
      <c r="BA376" s="27"/>
      <c r="BB376" s="28"/>
      <c r="BC376" s="29"/>
    </row>
    <row r="377" ht="12.75" customHeight="1">
      <c r="A377" s="26"/>
      <c r="B377" s="12"/>
      <c r="C377" s="240"/>
      <c r="D377" s="241"/>
      <c r="E377" s="5"/>
      <c r="F377" s="5"/>
      <c r="G377" s="5"/>
      <c r="H377" s="5"/>
      <c r="I377" s="5"/>
      <c r="J377" s="5"/>
      <c r="K377" s="8"/>
      <c r="L377" s="9"/>
      <c r="M377" s="10"/>
      <c r="N377" s="255"/>
      <c r="O377" s="86"/>
      <c r="P377" s="86"/>
      <c r="Q377" s="86"/>
      <c r="R377" s="242"/>
      <c r="S377" s="243"/>
      <c r="T377" s="243"/>
      <c r="U377" s="14"/>
      <c r="V377" s="242"/>
      <c r="W377" s="15"/>
      <c r="X377" s="15"/>
      <c r="Y377" s="15"/>
      <c r="Z377" s="8"/>
      <c r="AA377" s="8"/>
      <c r="AB377" s="56"/>
      <c r="AC377" s="56"/>
      <c r="AD377" s="15"/>
      <c r="AE377" s="15"/>
      <c r="AF377" s="15"/>
      <c r="AG377" s="15"/>
      <c r="AH377" s="57"/>
      <c r="AI377" s="254"/>
      <c r="AJ377" s="15"/>
      <c r="AK377" s="245"/>
      <c r="AL377" s="246"/>
      <c r="AM377" s="247"/>
      <c r="AN377" s="246"/>
      <c r="AO377" s="246"/>
      <c r="AP377" s="15"/>
      <c r="AQ377" s="15"/>
      <c r="AR377" s="15"/>
      <c r="AS377" s="249"/>
      <c r="AT377" s="250"/>
      <c r="AU377" s="249"/>
      <c r="AV377" s="251"/>
      <c r="AW377" s="250"/>
      <c r="AX377" s="249"/>
      <c r="AY377" s="26"/>
      <c r="AZ377" s="26"/>
      <c r="BA377" s="27"/>
      <c r="BB377" s="28"/>
      <c r="BC377" s="29"/>
    </row>
    <row r="378" ht="12.75" customHeight="1">
      <c r="A378" s="26"/>
      <c r="B378" s="12"/>
      <c r="C378" s="240"/>
      <c r="D378" s="241"/>
      <c r="E378" s="5"/>
      <c r="F378" s="5"/>
      <c r="G378" s="5"/>
      <c r="H378" s="5"/>
      <c r="I378" s="5"/>
      <c r="J378" s="5"/>
      <c r="K378" s="8"/>
      <c r="L378" s="9"/>
      <c r="M378" s="10"/>
      <c r="N378" s="255"/>
      <c r="O378" s="86"/>
      <c r="P378" s="86"/>
      <c r="Q378" s="86"/>
      <c r="R378" s="242"/>
      <c r="S378" s="243"/>
      <c r="T378" s="243"/>
      <c r="U378" s="14"/>
      <c r="V378" s="242"/>
      <c r="W378" s="15"/>
      <c r="X378" s="15"/>
      <c r="Y378" s="15"/>
      <c r="Z378" s="8"/>
      <c r="AA378" s="8"/>
      <c r="AB378" s="56"/>
      <c r="AC378" s="56"/>
      <c r="AD378" s="15"/>
      <c r="AE378" s="15"/>
      <c r="AF378" s="15"/>
      <c r="AG378" s="15"/>
      <c r="AH378" s="57"/>
      <c r="AI378" s="254"/>
      <c r="AJ378" s="15"/>
      <c r="AK378" s="245"/>
      <c r="AL378" s="246"/>
      <c r="AM378" s="247"/>
      <c r="AN378" s="246"/>
      <c r="AO378" s="246"/>
      <c r="AP378" s="15"/>
      <c r="AQ378" s="15"/>
      <c r="AR378" s="15"/>
      <c r="AS378" s="249"/>
      <c r="AT378" s="250"/>
      <c r="AU378" s="249"/>
      <c r="AV378" s="251"/>
      <c r="AW378" s="250"/>
      <c r="AX378" s="249"/>
      <c r="AY378" s="26"/>
      <c r="AZ378" s="26"/>
      <c r="BA378" s="27"/>
      <c r="BB378" s="28"/>
      <c r="BC378" s="29"/>
    </row>
    <row r="379" ht="12.75" customHeight="1">
      <c r="A379" s="26"/>
      <c r="B379" s="12"/>
      <c r="C379" s="240"/>
      <c r="D379" s="241"/>
      <c r="E379" s="5"/>
      <c r="F379" s="5"/>
      <c r="G379" s="5"/>
      <c r="H379" s="5"/>
      <c r="I379" s="5"/>
      <c r="J379" s="5"/>
      <c r="K379" s="8"/>
      <c r="L379" s="9"/>
      <c r="M379" s="10"/>
      <c r="N379" s="255"/>
      <c r="O379" s="86"/>
      <c r="P379" s="86"/>
      <c r="Q379" s="86"/>
      <c r="R379" s="242"/>
      <c r="S379" s="243"/>
      <c r="T379" s="243"/>
      <c r="U379" s="14"/>
      <c r="V379" s="242"/>
      <c r="W379" s="15"/>
      <c r="X379" s="15"/>
      <c r="Y379" s="15"/>
      <c r="Z379" s="8"/>
      <c r="AA379" s="8"/>
      <c r="AB379" s="56"/>
      <c r="AC379" s="56"/>
      <c r="AD379" s="15"/>
      <c r="AE379" s="15"/>
      <c r="AF379" s="15"/>
      <c r="AG379" s="15"/>
      <c r="AH379" s="57"/>
      <c r="AI379" s="254"/>
      <c r="AJ379" s="15"/>
      <c r="AK379" s="245"/>
      <c r="AL379" s="246"/>
      <c r="AM379" s="247"/>
      <c r="AN379" s="246"/>
      <c r="AO379" s="246"/>
      <c r="AP379" s="15"/>
      <c r="AQ379" s="15"/>
      <c r="AR379" s="15"/>
      <c r="AS379" s="249"/>
      <c r="AT379" s="250"/>
      <c r="AU379" s="249"/>
      <c r="AV379" s="251"/>
      <c r="AW379" s="250"/>
      <c r="AX379" s="249"/>
      <c r="AY379" s="26"/>
      <c r="AZ379" s="26"/>
      <c r="BA379" s="27"/>
      <c r="BB379" s="28"/>
      <c r="BC379" s="29"/>
    </row>
    <row r="380" ht="12.75" customHeight="1">
      <c r="A380" s="26"/>
      <c r="B380" s="12"/>
      <c r="C380" s="240"/>
      <c r="D380" s="241"/>
      <c r="E380" s="5"/>
      <c r="F380" s="5"/>
      <c r="G380" s="5"/>
      <c r="H380" s="5"/>
      <c r="I380" s="5"/>
      <c r="J380" s="5"/>
      <c r="K380" s="8"/>
      <c r="L380" s="9"/>
      <c r="M380" s="10"/>
      <c r="N380" s="255"/>
      <c r="O380" s="86"/>
      <c r="P380" s="86"/>
      <c r="Q380" s="86"/>
      <c r="R380" s="242"/>
      <c r="S380" s="243"/>
      <c r="T380" s="243"/>
      <c r="U380" s="14"/>
      <c r="V380" s="242"/>
      <c r="W380" s="15"/>
      <c r="X380" s="15"/>
      <c r="Y380" s="15"/>
      <c r="Z380" s="8"/>
      <c r="AA380" s="8"/>
      <c r="AB380" s="56"/>
      <c r="AC380" s="56"/>
      <c r="AD380" s="15"/>
      <c r="AE380" s="15"/>
      <c r="AF380" s="15"/>
      <c r="AG380" s="15"/>
      <c r="AH380" s="57"/>
      <c r="AI380" s="254"/>
      <c r="AJ380" s="15"/>
      <c r="AK380" s="245"/>
      <c r="AL380" s="246"/>
      <c r="AM380" s="247"/>
      <c r="AN380" s="246"/>
      <c r="AO380" s="246"/>
      <c r="AP380" s="15"/>
      <c r="AQ380" s="15"/>
      <c r="AR380" s="15"/>
      <c r="AS380" s="249"/>
      <c r="AT380" s="250"/>
      <c r="AU380" s="249"/>
      <c r="AV380" s="251"/>
      <c r="AW380" s="250"/>
      <c r="AX380" s="249"/>
      <c r="AY380" s="26"/>
      <c r="AZ380" s="26"/>
      <c r="BA380" s="27"/>
      <c r="BB380" s="28"/>
      <c r="BC380" s="29"/>
    </row>
    <row r="381" ht="12.75" customHeight="1">
      <c r="A381" s="26"/>
      <c r="B381" s="12"/>
      <c r="C381" s="240"/>
      <c r="D381" s="241"/>
      <c r="E381" s="5"/>
      <c r="F381" s="5"/>
      <c r="G381" s="5"/>
      <c r="H381" s="5"/>
      <c r="I381" s="5"/>
      <c r="J381" s="5"/>
      <c r="K381" s="8"/>
      <c r="L381" s="9"/>
      <c r="M381" s="10"/>
      <c r="N381" s="255"/>
      <c r="O381" s="86"/>
      <c r="P381" s="86"/>
      <c r="Q381" s="86"/>
      <c r="R381" s="242"/>
      <c r="S381" s="243"/>
      <c r="T381" s="243"/>
      <c r="U381" s="14"/>
      <c r="V381" s="242"/>
      <c r="W381" s="15"/>
      <c r="X381" s="15"/>
      <c r="Y381" s="15"/>
      <c r="Z381" s="8"/>
      <c r="AA381" s="8"/>
      <c r="AB381" s="56"/>
      <c r="AC381" s="56"/>
      <c r="AD381" s="15"/>
      <c r="AE381" s="15"/>
      <c r="AF381" s="15"/>
      <c r="AG381" s="15"/>
      <c r="AH381" s="57"/>
      <c r="AI381" s="254"/>
      <c r="AJ381" s="15"/>
      <c r="AK381" s="245"/>
      <c r="AL381" s="246"/>
      <c r="AM381" s="247"/>
      <c r="AN381" s="246"/>
      <c r="AO381" s="246"/>
      <c r="AP381" s="15"/>
      <c r="AQ381" s="15"/>
      <c r="AR381" s="15"/>
      <c r="AS381" s="249"/>
      <c r="AT381" s="250"/>
      <c r="AU381" s="249"/>
      <c r="AV381" s="251"/>
      <c r="AW381" s="250"/>
      <c r="AX381" s="249"/>
      <c r="AY381" s="26"/>
      <c r="AZ381" s="26"/>
      <c r="BA381" s="27"/>
      <c r="BB381" s="28"/>
      <c r="BC381" s="29"/>
    </row>
    <row r="382" ht="12.75" customHeight="1">
      <c r="A382" s="26"/>
      <c r="B382" s="12"/>
      <c r="C382" s="240"/>
      <c r="D382" s="241"/>
      <c r="E382" s="5"/>
      <c r="F382" s="5"/>
      <c r="G382" s="5"/>
      <c r="H382" s="5"/>
      <c r="I382" s="5"/>
      <c r="J382" s="5"/>
      <c r="K382" s="8"/>
      <c r="L382" s="9"/>
      <c r="M382" s="10"/>
      <c r="N382" s="255"/>
      <c r="O382" s="86"/>
      <c r="P382" s="86"/>
      <c r="Q382" s="86"/>
      <c r="R382" s="242"/>
      <c r="S382" s="243"/>
      <c r="T382" s="243"/>
      <c r="U382" s="14"/>
      <c r="V382" s="242"/>
      <c r="W382" s="15"/>
      <c r="X382" s="15"/>
      <c r="Y382" s="15"/>
      <c r="Z382" s="8"/>
      <c r="AA382" s="8"/>
      <c r="AB382" s="56"/>
      <c r="AC382" s="56"/>
      <c r="AD382" s="15"/>
      <c r="AE382" s="15"/>
      <c r="AF382" s="15"/>
      <c r="AG382" s="15"/>
      <c r="AH382" s="57"/>
      <c r="AI382" s="254"/>
      <c r="AJ382" s="15"/>
      <c r="AK382" s="245"/>
      <c r="AL382" s="246"/>
      <c r="AM382" s="247"/>
      <c r="AN382" s="246"/>
      <c r="AO382" s="246"/>
      <c r="AP382" s="15"/>
      <c r="AQ382" s="15"/>
      <c r="AR382" s="15"/>
      <c r="AS382" s="249"/>
      <c r="AT382" s="250"/>
      <c r="AU382" s="249"/>
      <c r="AV382" s="251"/>
      <c r="AW382" s="250"/>
      <c r="AX382" s="249"/>
      <c r="AY382" s="26"/>
      <c r="AZ382" s="26"/>
      <c r="BA382" s="27"/>
      <c r="BB382" s="28"/>
      <c r="BC382" s="29"/>
    </row>
    <row r="383" ht="12.75" customHeight="1">
      <c r="A383" s="26"/>
      <c r="B383" s="12"/>
      <c r="C383" s="240"/>
      <c r="D383" s="241"/>
      <c r="E383" s="5"/>
      <c r="F383" s="5"/>
      <c r="G383" s="5"/>
      <c r="H383" s="5"/>
      <c r="I383" s="5"/>
      <c r="J383" s="5"/>
      <c r="K383" s="8"/>
      <c r="L383" s="9"/>
      <c r="M383" s="10"/>
      <c r="N383" s="255"/>
      <c r="O383" s="86"/>
      <c r="P383" s="86"/>
      <c r="Q383" s="86"/>
      <c r="R383" s="242"/>
      <c r="S383" s="243"/>
      <c r="T383" s="243"/>
      <c r="U383" s="14"/>
      <c r="V383" s="242"/>
      <c r="W383" s="15"/>
      <c r="X383" s="15"/>
      <c r="Y383" s="15"/>
      <c r="Z383" s="8"/>
      <c r="AA383" s="8"/>
      <c r="AB383" s="56"/>
      <c r="AC383" s="56"/>
      <c r="AD383" s="15"/>
      <c r="AE383" s="15"/>
      <c r="AF383" s="15"/>
      <c r="AG383" s="15"/>
      <c r="AH383" s="57"/>
      <c r="AI383" s="254"/>
      <c r="AJ383" s="15"/>
      <c r="AK383" s="245"/>
      <c r="AL383" s="246"/>
      <c r="AM383" s="247"/>
      <c r="AN383" s="246"/>
      <c r="AO383" s="246"/>
      <c r="AP383" s="15"/>
      <c r="AQ383" s="15"/>
      <c r="AR383" s="15"/>
      <c r="AS383" s="249"/>
      <c r="AT383" s="250"/>
      <c r="AU383" s="249"/>
      <c r="AV383" s="251"/>
      <c r="AW383" s="250"/>
      <c r="AX383" s="249"/>
      <c r="AY383" s="26"/>
      <c r="AZ383" s="26"/>
      <c r="BA383" s="27"/>
      <c r="BB383" s="28"/>
      <c r="BC383" s="29"/>
    </row>
    <row r="384" ht="12.75" customHeight="1">
      <c r="A384" s="26"/>
      <c r="B384" s="12"/>
      <c r="C384" s="240"/>
      <c r="D384" s="241"/>
      <c r="E384" s="5"/>
      <c r="F384" s="5"/>
      <c r="G384" s="5"/>
      <c r="H384" s="5"/>
      <c r="I384" s="5"/>
      <c r="J384" s="5"/>
      <c r="K384" s="8"/>
      <c r="L384" s="9"/>
      <c r="M384" s="10"/>
      <c r="N384" s="255"/>
      <c r="O384" s="86"/>
      <c r="P384" s="86"/>
      <c r="Q384" s="86"/>
      <c r="R384" s="242"/>
      <c r="S384" s="243"/>
      <c r="T384" s="243"/>
      <c r="U384" s="14"/>
      <c r="V384" s="242"/>
      <c r="W384" s="15"/>
      <c r="X384" s="15"/>
      <c r="Y384" s="15"/>
      <c r="Z384" s="8"/>
      <c r="AA384" s="8"/>
      <c r="AB384" s="56"/>
      <c r="AC384" s="56"/>
      <c r="AD384" s="15"/>
      <c r="AE384" s="15"/>
      <c r="AF384" s="15"/>
      <c r="AG384" s="15"/>
      <c r="AH384" s="57"/>
      <c r="AI384" s="254"/>
      <c r="AJ384" s="15"/>
      <c r="AK384" s="245"/>
      <c r="AL384" s="246"/>
      <c r="AM384" s="247"/>
      <c r="AN384" s="246"/>
      <c r="AO384" s="246"/>
      <c r="AP384" s="15"/>
      <c r="AQ384" s="15"/>
      <c r="AR384" s="15"/>
      <c r="AS384" s="249"/>
      <c r="AT384" s="250"/>
      <c r="AU384" s="249"/>
      <c r="AV384" s="251"/>
      <c r="AW384" s="250"/>
      <c r="AX384" s="249"/>
      <c r="AY384" s="26"/>
      <c r="AZ384" s="26"/>
      <c r="BA384" s="27"/>
      <c r="BB384" s="28"/>
      <c r="BC384" s="29"/>
    </row>
    <row r="385" ht="12.75" customHeight="1">
      <c r="A385" s="26"/>
      <c r="B385" s="12"/>
      <c r="C385" s="240"/>
      <c r="D385" s="241"/>
      <c r="E385" s="5"/>
      <c r="F385" s="5"/>
      <c r="G385" s="5"/>
      <c r="H385" s="5"/>
      <c r="I385" s="5"/>
      <c r="J385" s="5"/>
      <c r="K385" s="8"/>
      <c r="L385" s="9"/>
      <c r="M385" s="10"/>
      <c r="N385" s="255"/>
      <c r="O385" s="86"/>
      <c r="P385" s="86"/>
      <c r="Q385" s="86"/>
      <c r="R385" s="242"/>
      <c r="S385" s="243"/>
      <c r="T385" s="243"/>
      <c r="U385" s="14"/>
      <c r="V385" s="242"/>
      <c r="W385" s="15"/>
      <c r="X385" s="15"/>
      <c r="Y385" s="15"/>
      <c r="Z385" s="8"/>
      <c r="AA385" s="8"/>
      <c r="AB385" s="56"/>
      <c r="AC385" s="56"/>
      <c r="AD385" s="15"/>
      <c r="AE385" s="15"/>
      <c r="AF385" s="15"/>
      <c r="AG385" s="15"/>
      <c r="AH385" s="57"/>
      <c r="AI385" s="254"/>
      <c r="AJ385" s="15"/>
      <c r="AK385" s="245"/>
      <c r="AL385" s="246"/>
      <c r="AM385" s="247"/>
      <c r="AN385" s="246"/>
      <c r="AO385" s="246"/>
      <c r="AP385" s="15"/>
      <c r="AQ385" s="15"/>
      <c r="AR385" s="15"/>
      <c r="AS385" s="249"/>
      <c r="AT385" s="250"/>
      <c r="AU385" s="249"/>
      <c r="AV385" s="251"/>
      <c r="AW385" s="250"/>
      <c r="AX385" s="249"/>
      <c r="AY385" s="26"/>
      <c r="AZ385" s="26"/>
      <c r="BA385" s="27"/>
      <c r="BB385" s="28"/>
      <c r="BC385" s="29"/>
    </row>
    <row r="386" ht="12.75" customHeight="1">
      <c r="A386" s="26"/>
      <c r="B386" s="12"/>
      <c r="C386" s="240"/>
      <c r="D386" s="241"/>
      <c r="E386" s="5"/>
      <c r="F386" s="5"/>
      <c r="G386" s="5"/>
      <c r="H386" s="5"/>
      <c r="I386" s="5"/>
      <c r="J386" s="5"/>
      <c r="K386" s="8"/>
      <c r="L386" s="9"/>
      <c r="M386" s="10"/>
      <c r="N386" s="255"/>
      <c r="O386" s="86"/>
      <c r="P386" s="86"/>
      <c r="Q386" s="86"/>
      <c r="R386" s="242"/>
      <c r="S386" s="243"/>
      <c r="T386" s="243"/>
      <c r="U386" s="14"/>
      <c r="V386" s="242"/>
      <c r="W386" s="15"/>
      <c r="X386" s="15"/>
      <c r="Y386" s="15"/>
      <c r="Z386" s="8"/>
      <c r="AA386" s="8"/>
      <c r="AB386" s="56"/>
      <c r="AC386" s="56"/>
      <c r="AD386" s="15"/>
      <c r="AE386" s="15"/>
      <c r="AF386" s="15"/>
      <c r="AG386" s="15"/>
      <c r="AH386" s="57"/>
      <c r="AI386" s="254"/>
      <c r="AJ386" s="15"/>
      <c r="AK386" s="245"/>
      <c r="AL386" s="246"/>
      <c r="AM386" s="247"/>
      <c r="AN386" s="246"/>
      <c r="AO386" s="246"/>
      <c r="AP386" s="15"/>
      <c r="AQ386" s="15"/>
      <c r="AR386" s="15"/>
      <c r="AS386" s="249"/>
      <c r="AT386" s="250"/>
      <c r="AU386" s="249"/>
      <c r="AV386" s="251"/>
      <c r="AW386" s="250"/>
      <c r="AX386" s="249"/>
      <c r="AY386" s="26"/>
      <c r="AZ386" s="26"/>
      <c r="BA386" s="27"/>
      <c r="BB386" s="28"/>
      <c r="BC386" s="29"/>
    </row>
    <row r="387" ht="12.75" customHeight="1">
      <c r="A387" s="26"/>
      <c r="B387" s="12"/>
      <c r="C387" s="240"/>
      <c r="D387" s="241"/>
      <c r="E387" s="5"/>
      <c r="F387" s="5"/>
      <c r="G387" s="5"/>
      <c r="H387" s="5"/>
      <c r="I387" s="5"/>
      <c r="J387" s="5"/>
      <c r="K387" s="8"/>
      <c r="L387" s="9"/>
      <c r="M387" s="10"/>
      <c r="N387" s="255"/>
      <c r="O387" s="86"/>
      <c r="P387" s="86"/>
      <c r="Q387" s="86"/>
      <c r="R387" s="242"/>
      <c r="S387" s="243"/>
      <c r="T387" s="243"/>
      <c r="U387" s="14"/>
      <c r="V387" s="242"/>
      <c r="W387" s="15"/>
      <c r="X387" s="15"/>
      <c r="Y387" s="15"/>
      <c r="Z387" s="8"/>
      <c r="AA387" s="8"/>
      <c r="AB387" s="56"/>
      <c r="AC387" s="56"/>
      <c r="AD387" s="15"/>
      <c r="AE387" s="15"/>
      <c r="AF387" s="15"/>
      <c r="AG387" s="15"/>
      <c r="AH387" s="57"/>
      <c r="AI387" s="254"/>
      <c r="AJ387" s="15"/>
      <c r="AK387" s="245"/>
      <c r="AL387" s="246"/>
      <c r="AM387" s="247"/>
      <c r="AN387" s="246"/>
      <c r="AO387" s="246"/>
      <c r="AP387" s="15"/>
      <c r="AQ387" s="15"/>
      <c r="AR387" s="15"/>
      <c r="AS387" s="249"/>
      <c r="AT387" s="250"/>
      <c r="AU387" s="249"/>
      <c r="AV387" s="251"/>
      <c r="AW387" s="250"/>
      <c r="AX387" s="249"/>
      <c r="AY387" s="26"/>
      <c r="AZ387" s="26"/>
      <c r="BA387" s="27"/>
      <c r="BB387" s="28"/>
      <c r="BC387" s="29"/>
    </row>
    <row r="388" ht="12.75" customHeight="1">
      <c r="A388" s="26"/>
      <c r="B388" s="12"/>
      <c r="C388" s="240"/>
      <c r="D388" s="241"/>
      <c r="E388" s="5"/>
      <c r="F388" s="5"/>
      <c r="G388" s="5"/>
      <c r="H388" s="5"/>
      <c r="I388" s="5"/>
      <c r="J388" s="5"/>
      <c r="K388" s="8"/>
      <c r="L388" s="9"/>
      <c r="M388" s="10"/>
      <c r="N388" s="255"/>
      <c r="O388" s="86"/>
      <c r="P388" s="86"/>
      <c r="Q388" s="86"/>
      <c r="R388" s="242"/>
      <c r="S388" s="243"/>
      <c r="T388" s="243"/>
      <c r="U388" s="14"/>
      <c r="V388" s="242"/>
      <c r="W388" s="15"/>
      <c r="X388" s="15"/>
      <c r="Y388" s="15"/>
      <c r="Z388" s="8"/>
      <c r="AA388" s="8"/>
      <c r="AB388" s="56"/>
      <c r="AC388" s="56"/>
      <c r="AD388" s="15"/>
      <c r="AE388" s="15"/>
      <c r="AF388" s="15"/>
      <c r="AG388" s="15"/>
      <c r="AH388" s="57"/>
      <c r="AI388" s="254"/>
      <c r="AJ388" s="15"/>
      <c r="AK388" s="245"/>
      <c r="AL388" s="246"/>
      <c r="AM388" s="247"/>
      <c r="AN388" s="246"/>
      <c r="AO388" s="246"/>
      <c r="AP388" s="15"/>
      <c r="AQ388" s="15"/>
      <c r="AR388" s="15"/>
      <c r="AS388" s="249"/>
      <c r="AT388" s="250"/>
      <c r="AU388" s="249"/>
      <c r="AV388" s="251"/>
      <c r="AW388" s="250"/>
      <c r="AX388" s="249"/>
      <c r="AY388" s="26"/>
      <c r="AZ388" s="26"/>
      <c r="BA388" s="27"/>
      <c r="BB388" s="28"/>
      <c r="BC388" s="29"/>
    </row>
    <row r="389" ht="12.75" customHeight="1">
      <c r="A389" s="26"/>
      <c r="B389" s="12"/>
      <c r="C389" s="240"/>
      <c r="D389" s="241"/>
      <c r="E389" s="5"/>
      <c r="F389" s="5"/>
      <c r="G389" s="5"/>
      <c r="H389" s="5"/>
      <c r="I389" s="5"/>
      <c r="J389" s="5"/>
      <c r="K389" s="8"/>
      <c r="L389" s="9"/>
      <c r="M389" s="10"/>
      <c r="N389" s="255"/>
      <c r="O389" s="86"/>
      <c r="P389" s="86"/>
      <c r="Q389" s="86"/>
      <c r="R389" s="242"/>
      <c r="S389" s="243"/>
      <c r="T389" s="243"/>
      <c r="U389" s="14"/>
      <c r="V389" s="242"/>
      <c r="W389" s="15"/>
      <c r="X389" s="15"/>
      <c r="Y389" s="15"/>
      <c r="Z389" s="8"/>
      <c r="AA389" s="8"/>
      <c r="AB389" s="56"/>
      <c r="AC389" s="56"/>
      <c r="AD389" s="15"/>
      <c r="AE389" s="15"/>
      <c r="AF389" s="15"/>
      <c r="AG389" s="15"/>
      <c r="AH389" s="57"/>
      <c r="AI389" s="254"/>
      <c r="AJ389" s="15"/>
      <c r="AK389" s="245"/>
      <c r="AL389" s="246"/>
      <c r="AM389" s="247"/>
      <c r="AN389" s="246"/>
      <c r="AO389" s="246"/>
      <c r="AP389" s="15"/>
      <c r="AQ389" s="15"/>
      <c r="AR389" s="15"/>
      <c r="AS389" s="249"/>
      <c r="AT389" s="250"/>
      <c r="AU389" s="249"/>
      <c r="AV389" s="251"/>
      <c r="AW389" s="250"/>
      <c r="AX389" s="249"/>
      <c r="AY389" s="26"/>
      <c r="AZ389" s="26"/>
      <c r="BA389" s="27"/>
      <c r="BB389" s="28"/>
      <c r="BC389" s="29"/>
    </row>
    <row r="390" ht="12.75" customHeight="1">
      <c r="A390" s="26"/>
      <c r="B390" s="12"/>
      <c r="C390" s="240"/>
      <c r="D390" s="241"/>
      <c r="E390" s="5"/>
      <c r="F390" s="5"/>
      <c r="G390" s="5"/>
      <c r="H390" s="5"/>
      <c r="I390" s="5"/>
      <c r="J390" s="5"/>
      <c r="K390" s="8"/>
      <c r="L390" s="9"/>
      <c r="M390" s="10"/>
      <c r="N390" s="255"/>
      <c r="O390" s="86"/>
      <c r="P390" s="86"/>
      <c r="Q390" s="86"/>
      <c r="R390" s="242"/>
      <c r="S390" s="243"/>
      <c r="T390" s="243"/>
      <c r="U390" s="14"/>
      <c r="V390" s="242"/>
      <c r="W390" s="15"/>
      <c r="X390" s="15"/>
      <c r="Y390" s="15"/>
      <c r="Z390" s="8"/>
      <c r="AA390" s="8"/>
      <c r="AB390" s="56"/>
      <c r="AC390" s="56"/>
      <c r="AD390" s="15"/>
      <c r="AE390" s="15"/>
      <c r="AF390" s="15"/>
      <c r="AG390" s="15"/>
      <c r="AH390" s="57"/>
      <c r="AI390" s="254"/>
      <c r="AJ390" s="15"/>
      <c r="AK390" s="245"/>
      <c r="AL390" s="246"/>
      <c r="AM390" s="247"/>
      <c r="AN390" s="246"/>
      <c r="AO390" s="246"/>
      <c r="AP390" s="15"/>
      <c r="AQ390" s="15"/>
      <c r="AR390" s="15"/>
      <c r="AS390" s="249"/>
      <c r="AT390" s="250"/>
      <c r="AU390" s="249"/>
      <c r="AV390" s="251"/>
      <c r="AW390" s="250"/>
      <c r="AX390" s="249"/>
      <c r="AY390" s="26"/>
      <c r="AZ390" s="26"/>
      <c r="BA390" s="27"/>
      <c r="BB390" s="28"/>
      <c r="BC390" s="29"/>
    </row>
    <row r="391" ht="12.75" customHeight="1">
      <c r="A391" s="26"/>
      <c r="B391" s="12"/>
      <c r="C391" s="240"/>
      <c r="D391" s="241"/>
      <c r="E391" s="5"/>
      <c r="F391" s="5"/>
      <c r="G391" s="5"/>
      <c r="H391" s="5"/>
      <c r="I391" s="5"/>
      <c r="J391" s="5"/>
      <c r="K391" s="8"/>
      <c r="L391" s="9"/>
      <c r="M391" s="10"/>
      <c r="N391" s="255"/>
      <c r="O391" s="86"/>
      <c r="P391" s="86"/>
      <c r="Q391" s="86"/>
      <c r="R391" s="242"/>
      <c r="S391" s="243"/>
      <c r="T391" s="243"/>
      <c r="U391" s="14"/>
      <c r="V391" s="242"/>
      <c r="W391" s="15"/>
      <c r="X391" s="15"/>
      <c r="Y391" s="15"/>
      <c r="Z391" s="8"/>
      <c r="AA391" s="8"/>
      <c r="AB391" s="56"/>
      <c r="AC391" s="56"/>
      <c r="AD391" s="15"/>
      <c r="AE391" s="15"/>
      <c r="AF391" s="15"/>
      <c r="AG391" s="15"/>
      <c r="AH391" s="57"/>
      <c r="AI391" s="254"/>
      <c r="AJ391" s="15"/>
      <c r="AK391" s="245"/>
      <c r="AL391" s="246"/>
      <c r="AM391" s="247"/>
      <c r="AN391" s="246"/>
      <c r="AO391" s="246"/>
      <c r="AP391" s="15"/>
      <c r="AQ391" s="15"/>
      <c r="AR391" s="15"/>
      <c r="AS391" s="249"/>
      <c r="AT391" s="250"/>
      <c r="AU391" s="249"/>
      <c r="AV391" s="251"/>
      <c r="AW391" s="250"/>
      <c r="AX391" s="249"/>
      <c r="AY391" s="26"/>
      <c r="AZ391" s="26"/>
      <c r="BA391" s="27"/>
      <c r="BB391" s="28"/>
      <c r="BC391" s="29"/>
    </row>
    <row r="392" ht="12.75" customHeight="1">
      <c r="A392" s="26"/>
      <c r="B392" s="12"/>
      <c r="C392" s="240"/>
      <c r="D392" s="241"/>
      <c r="E392" s="5"/>
      <c r="F392" s="5"/>
      <c r="G392" s="5"/>
      <c r="H392" s="5"/>
      <c r="I392" s="5"/>
      <c r="J392" s="5"/>
      <c r="K392" s="8"/>
      <c r="L392" s="9"/>
      <c r="M392" s="10"/>
      <c r="N392" s="255"/>
      <c r="O392" s="86"/>
      <c r="P392" s="86"/>
      <c r="Q392" s="86"/>
      <c r="R392" s="242"/>
      <c r="S392" s="243"/>
      <c r="T392" s="243"/>
      <c r="U392" s="14"/>
      <c r="V392" s="242"/>
      <c r="W392" s="15"/>
      <c r="X392" s="15"/>
      <c r="Y392" s="15"/>
      <c r="Z392" s="8"/>
      <c r="AA392" s="8"/>
      <c r="AB392" s="56"/>
      <c r="AC392" s="56"/>
      <c r="AD392" s="15"/>
      <c r="AE392" s="15"/>
      <c r="AF392" s="15"/>
      <c r="AG392" s="15"/>
      <c r="AH392" s="57"/>
      <c r="AI392" s="254"/>
      <c r="AJ392" s="15"/>
      <c r="AK392" s="245"/>
      <c r="AL392" s="246"/>
      <c r="AM392" s="247"/>
      <c r="AN392" s="246"/>
      <c r="AO392" s="246"/>
      <c r="AP392" s="15"/>
      <c r="AQ392" s="15"/>
      <c r="AR392" s="15"/>
      <c r="AS392" s="249"/>
      <c r="AT392" s="250"/>
      <c r="AU392" s="249"/>
      <c r="AV392" s="251"/>
      <c r="AW392" s="250"/>
      <c r="AX392" s="249"/>
      <c r="AY392" s="26"/>
      <c r="AZ392" s="26"/>
      <c r="BA392" s="27"/>
      <c r="BB392" s="28"/>
      <c r="BC392" s="29"/>
    </row>
    <row r="393" ht="12.75" customHeight="1">
      <c r="A393" s="26"/>
      <c r="B393" s="12"/>
      <c r="C393" s="240"/>
      <c r="D393" s="241"/>
      <c r="E393" s="5"/>
      <c r="F393" s="5"/>
      <c r="G393" s="5"/>
      <c r="H393" s="5"/>
      <c r="I393" s="5"/>
      <c r="J393" s="5"/>
      <c r="K393" s="8"/>
      <c r="L393" s="9"/>
      <c r="M393" s="10"/>
      <c r="N393" s="255"/>
      <c r="O393" s="86"/>
      <c r="P393" s="86"/>
      <c r="Q393" s="86"/>
      <c r="R393" s="242"/>
      <c r="S393" s="243"/>
      <c r="T393" s="243"/>
      <c r="U393" s="14"/>
      <c r="V393" s="242"/>
      <c r="W393" s="15"/>
      <c r="X393" s="15"/>
      <c r="Y393" s="15"/>
      <c r="Z393" s="8"/>
      <c r="AA393" s="8"/>
      <c r="AB393" s="56"/>
      <c r="AC393" s="56"/>
      <c r="AD393" s="15"/>
      <c r="AE393" s="15"/>
      <c r="AF393" s="15"/>
      <c r="AG393" s="15"/>
      <c r="AH393" s="57"/>
      <c r="AI393" s="254"/>
      <c r="AJ393" s="15"/>
      <c r="AK393" s="245"/>
      <c r="AL393" s="246"/>
      <c r="AM393" s="247"/>
      <c r="AN393" s="246"/>
      <c r="AO393" s="246"/>
      <c r="AP393" s="15"/>
      <c r="AQ393" s="15"/>
      <c r="AR393" s="15"/>
      <c r="AS393" s="249"/>
      <c r="AT393" s="250"/>
      <c r="AU393" s="249"/>
      <c r="AV393" s="251"/>
      <c r="AW393" s="250"/>
      <c r="AX393" s="249"/>
      <c r="AY393" s="26"/>
      <c r="AZ393" s="26"/>
      <c r="BA393" s="27"/>
      <c r="BB393" s="28"/>
      <c r="BC393" s="29"/>
    </row>
    <row r="394" ht="12.75" customHeight="1">
      <c r="A394" s="26"/>
      <c r="B394" s="12"/>
      <c r="C394" s="240"/>
      <c r="D394" s="241"/>
      <c r="E394" s="5"/>
      <c r="F394" s="5"/>
      <c r="G394" s="5"/>
      <c r="H394" s="5"/>
      <c r="I394" s="5"/>
      <c r="J394" s="5"/>
      <c r="K394" s="8"/>
      <c r="L394" s="9"/>
      <c r="M394" s="10"/>
      <c r="N394" s="255"/>
      <c r="O394" s="86"/>
      <c r="P394" s="86"/>
      <c r="Q394" s="86"/>
      <c r="R394" s="242"/>
      <c r="S394" s="243"/>
      <c r="T394" s="243"/>
      <c r="U394" s="14"/>
      <c r="V394" s="242"/>
      <c r="W394" s="15"/>
      <c r="X394" s="15"/>
      <c r="Y394" s="15"/>
      <c r="Z394" s="8"/>
      <c r="AA394" s="8"/>
      <c r="AB394" s="56"/>
      <c r="AC394" s="56"/>
      <c r="AD394" s="15"/>
      <c r="AE394" s="15"/>
      <c r="AF394" s="15"/>
      <c r="AG394" s="15"/>
      <c r="AH394" s="57"/>
      <c r="AI394" s="254"/>
      <c r="AJ394" s="15"/>
      <c r="AK394" s="245"/>
      <c r="AL394" s="246"/>
      <c r="AM394" s="247"/>
      <c r="AN394" s="246"/>
      <c r="AO394" s="246"/>
      <c r="AP394" s="15"/>
      <c r="AQ394" s="15"/>
      <c r="AR394" s="15"/>
      <c r="AS394" s="249"/>
      <c r="AT394" s="250"/>
      <c r="AU394" s="249"/>
      <c r="AV394" s="251"/>
      <c r="AW394" s="250"/>
      <c r="AX394" s="249"/>
      <c r="AY394" s="26"/>
      <c r="AZ394" s="26"/>
      <c r="BA394" s="27"/>
      <c r="BB394" s="28"/>
      <c r="BC394" s="29"/>
    </row>
    <row r="395" ht="12.75" customHeight="1">
      <c r="A395" s="26"/>
      <c r="B395" s="12"/>
      <c r="C395" s="240"/>
      <c r="D395" s="241"/>
      <c r="E395" s="5"/>
      <c r="F395" s="5"/>
      <c r="G395" s="5"/>
      <c r="H395" s="5"/>
      <c r="I395" s="5"/>
      <c r="J395" s="5"/>
      <c r="K395" s="8"/>
      <c r="L395" s="9"/>
      <c r="M395" s="10"/>
      <c r="N395" s="255"/>
      <c r="O395" s="86"/>
      <c r="P395" s="86"/>
      <c r="Q395" s="86"/>
      <c r="R395" s="242"/>
      <c r="S395" s="243"/>
      <c r="T395" s="243"/>
      <c r="U395" s="14"/>
      <c r="V395" s="242"/>
      <c r="W395" s="15"/>
      <c r="X395" s="15"/>
      <c r="Y395" s="15"/>
      <c r="Z395" s="8"/>
      <c r="AA395" s="8"/>
      <c r="AB395" s="56"/>
      <c r="AC395" s="56"/>
      <c r="AD395" s="15"/>
      <c r="AE395" s="15"/>
      <c r="AF395" s="15"/>
      <c r="AG395" s="15"/>
      <c r="AH395" s="57"/>
      <c r="AI395" s="254"/>
      <c r="AJ395" s="15"/>
      <c r="AK395" s="245"/>
      <c r="AL395" s="246"/>
      <c r="AM395" s="247"/>
      <c r="AN395" s="246"/>
      <c r="AO395" s="246"/>
      <c r="AP395" s="15"/>
      <c r="AQ395" s="15"/>
      <c r="AR395" s="15"/>
      <c r="AS395" s="249"/>
      <c r="AT395" s="250"/>
      <c r="AU395" s="249"/>
      <c r="AV395" s="251"/>
      <c r="AW395" s="250"/>
      <c r="AX395" s="249"/>
      <c r="AY395" s="26"/>
      <c r="AZ395" s="26"/>
      <c r="BA395" s="27"/>
      <c r="BB395" s="28"/>
      <c r="BC395" s="29"/>
    </row>
    <row r="396" ht="12.75" customHeight="1">
      <c r="A396" s="26"/>
      <c r="B396" s="12"/>
      <c r="C396" s="240"/>
      <c r="D396" s="241"/>
      <c r="E396" s="5"/>
      <c r="F396" s="5"/>
      <c r="G396" s="5"/>
      <c r="H396" s="5"/>
      <c r="I396" s="5"/>
      <c r="J396" s="5"/>
      <c r="K396" s="8"/>
      <c r="L396" s="9"/>
      <c r="M396" s="10"/>
      <c r="N396" s="255"/>
      <c r="O396" s="86"/>
      <c r="P396" s="86"/>
      <c r="Q396" s="86"/>
      <c r="R396" s="242"/>
      <c r="S396" s="243"/>
      <c r="T396" s="243"/>
      <c r="U396" s="14"/>
      <c r="V396" s="242"/>
      <c r="W396" s="15"/>
      <c r="X396" s="15"/>
      <c r="Y396" s="15"/>
      <c r="Z396" s="8"/>
      <c r="AA396" s="8"/>
      <c r="AB396" s="56"/>
      <c r="AC396" s="56"/>
      <c r="AD396" s="15"/>
      <c r="AE396" s="15"/>
      <c r="AF396" s="15"/>
      <c r="AG396" s="15"/>
      <c r="AH396" s="57"/>
      <c r="AI396" s="254"/>
      <c r="AJ396" s="15"/>
      <c r="AK396" s="245"/>
      <c r="AL396" s="246"/>
      <c r="AM396" s="247"/>
      <c r="AN396" s="246"/>
      <c r="AO396" s="246"/>
      <c r="AP396" s="15"/>
      <c r="AQ396" s="15"/>
      <c r="AR396" s="15"/>
      <c r="AS396" s="249"/>
      <c r="AT396" s="250"/>
      <c r="AU396" s="249"/>
      <c r="AV396" s="251"/>
      <c r="AW396" s="250"/>
      <c r="AX396" s="249"/>
      <c r="AY396" s="26"/>
      <c r="AZ396" s="26"/>
      <c r="BA396" s="27"/>
      <c r="BB396" s="28"/>
      <c r="BC396" s="29"/>
    </row>
    <row r="397" ht="12.75" customHeight="1">
      <c r="A397" s="26"/>
      <c r="B397" s="12"/>
      <c r="C397" s="240"/>
      <c r="D397" s="241"/>
      <c r="E397" s="5"/>
      <c r="F397" s="5"/>
      <c r="G397" s="5"/>
      <c r="H397" s="5"/>
      <c r="I397" s="5"/>
      <c r="J397" s="5"/>
      <c r="K397" s="8"/>
      <c r="L397" s="9"/>
      <c r="M397" s="10"/>
      <c r="N397" s="255"/>
      <c r="O397" s="86"/>
      <c r="P397" s="86"/>
      <c r="Q397" s="86"/>
      <c r="R397" s="242"/>
      <c r="S397" s="243"/>
      <c r="T397" s="243"/>
      <c r="U397" s="14"/>
      <c r="V397" s="242"/>
      <c r="W397" s="15"/>
      <c r="X397" s="15"/>
      <c r="Y397" s="15"/>
      <c r="Z397" s="8"/>
      <c r="AA397" s="8"/>
      <c r="AB397" s="56"/>
      <c r="AC397" s="56"/>
      <c r="AD397" s="15"/>
      <c r="AE397" s="15"/>
      <c r="AF397" s="15"/>
      <c r="AG397" s="15"/>
      <c r="AH397" s="57"/>
      <c r="AI397" s="254"/>
      <c r="AJ397" s="15"/>
      <c r="AK397" s="245"/>
      <c r="AL397" s="246"/>
      <c r="AM397" s="247"/>
      <c r="AN397" s="246"/>
      <c r="AO397" s="246"/>
      <c r="AP397" s="15"/>
      <c r="AQ397" s="15"/>
      <c r="AR397" s="15"/>
      <c r="AS397" s="249"/>
      <c r="AT397" s="250"/>
      <c r="AU397" s="249"/>
      <c r="AV397" s="251"/>
      <c r="AW397" s="250"/>
      <c r="AX397" s="249"/>
      <c r="AY397" s="26"/>
      <c r="AZ397" s="26"/>
      <c r="BA397" s="27"/>
      <c r="BB397" s="28"/>
      <c r="BC397" s="29"/>
    </row>
    <row r="398" ht="12.75" customHeight="1">
      <c r="A398" s="26"/>
      <c r="B398" s="12"/>
      <c r="C398" s="240"/>
      <c r="D398" s="241"/>
      <c r="E398" s="5"/>
      <c r="F398" s="5"/>
      <c r="G398" s="5"/>
      <c r="H398" s="5"/>
      <c r="I398" s="5"/>
      <c r="J398" s="5"/>
      <c r="K398" s="8"/>
      <c r="L398" s="9"/>
      <c r="M398" s="10"/>
      <c r="N398" s="255"/>
      <c r="O398" s="86"/>
      <c r="P398" s="86"/>
      <c r="Q398" s="86"/>
      <c r="R398" s="242"/>
      <c r="S398" s="243"/>
      <c r="T398" s="243"/>
      <c r="U398" s="14"/>
      <c r="V398" s="242"/>
      <c r="W398" s="15"/>
      <c r="X398" s="15"/>
      <c r="Y398" s="15"/>
      <c r="Z398" s="8"/>
      <c r="AA398" s="8"/>
      <c r="AB398" s="56"/>
      <c r="AC398" s="56"/>
      <c r="AD398" s="15"/>
      <c r="AE398" s="15"/>
      <c r="AF398" s="15"/>
      <c r="AG398" s="15"/>
      <c r="AH398" s="57"/>
      <c r="AI398" s="254"/>
      <c r="AJ398" s="15"/>
      <c r="AK398" s="245"/>
      <c r="AL398" s="246"/>
      <c r="AM398" s="247"/>
      <c r="AN398" s="246"/>
      <c r="AO398" s="246"/>
      <c r="AP398" s="15"/>
      <c r="AQ398" s="15"/>
      <c r="AR398" s="15"/>
      <c r="AS398" s="249"/>
      <c r="AT398" s="250"/>
      <c r="AU398" s="249"/>
      <c r="AV398" s="251"/>
      <c r="AW398" s="250"/>
      <c r="AX398" s="249"/>
      <c r="AY398" s="26"/>
      <c r="AZ398" s="26"/>
      <c r="BA398" s="27"/>
      <c r="BB398" s="28"/>
      <c r="BC398" s="29"/>
    </row>
    <row r="399" ht="12.75" customHeight="1">
      <c r="A399" s="26"/>
      <c r="B399" s="12"/>
      <c r="C399" s="240"/>
      <c r="D399" s="241"/>
      <c r="E399" s="5"/>
      <c r="F399" s="5"/>
      <c r="G399" s="5"/>
      <c r="H399" s="5"/>
      <c r="I399" s="5"/>
      <c r="J399" s="5"/>
      <c r="K399" s="8"/>
      <c r="L399" s="9"/>
      <c r="M399" s="10"/>
      <c r="N399" s="255"/>
      <c r="O399" s="86"/>
      <c r="P399" s="86"/>
      <c r="Q399" s="86"/>
      <c r="R399" s="242"/>
      <c r="S399" s="243"/>
      <c r="T399" s="243"/>
      <c r="U399" s="14"/>
      <c r="V399" s="242"/>
      <c r="W399" s="15"/>
      <c r="X399" s="15"/>
      <c r="Y399" s="15"/>
      <c r="Z399" s="8"/>
      <c r="AA399" s="8"/>
      <c r="AB399" s="56"/>
      <c r="AC399" s="56"/>
      <c r="AD399" s="15"/>
      <c r="AE399" s="15"/>
      <c r="AF399" s="15"/>
      <c r="AG399" s="15"/>
      <c r="AH399" s="57"/>
      <c r="AI399" s="254"/>
      <c r="AJ399" s="15"/>
      <c r="AK399" s="245"/>
      <c r="AL399" s="246"/>
      <c r="AM399" s="247"/>
      <c r="AN399" s="246"/>
      <c r="AO399" s="246"/>
      <c r="AP399" s="15"/>
      <c r="AQ399" s="15"/>
      <c r="AR399" s="15"/>
      <c r="AS399" s="249"/>
      <c r="AT399" s="250"/>
      <c r="AU399" s="249"/>
      <c r="AV399" s="251"/>
      <c r="AW399" s="250"/>
      <c r="AX399" s="249"/>
      <c r="AY399" s="26"/>
      <c r="AZ399" s="26"/>
      <c r="BA399" s="27"/>
      <c r="BB399" s="28"/>
      <c r="BC399" s="29"/>
    </row>
    <row r="400" ht="12.75" customHeight="1">
      <c r="A400" s="26"/>
      <c r="B400" s="12"/>
      <c r="C400" s="240"/>
      <c r="D400" s="241"/>
      <c r="E400" s="5"/>
      <c r="F400" s="5"/>
      <c r="G400" s="5"/>
      <c r="H400" s="5"/>
      <c r="I400" s="5"/>
      <c r="J400" s="5"/>
      <c r="K400" s="8"/>
      <c r="L400" s="9"/>
      <c r="M400" s="10"/>
      <c r="N400" s="255"/>
      <c r="O400" s="86"/>
      <c r="P400" s="86"/>
      <c r="Q400" s="86"/>
      <c r="R400" s="242"/>
      <c r="S400" s="243"/>
      <c r="T400" s="243"/>
      <c r="U400" s="14"/>
      <c r="V400" s="242"/>
      <c r="W400" s="15"/>
      <c r="X400" s="15"/>
      <c r="Y400" s="15"/>
      <c r="Z400" s="8"/>
      <c r="AA400" s="8"/>
      <c r="AB400" s="56"/>
      <c r="AC400" s="56"/>
      <c r="AD400" s="15"/>
      <c r="AE400" s="15"/>
      <c r="AF400" s="15"/>
      <c r="AG400" s="15"/>
      <c r="AH400" s="57"/>
      <c r="AI400" s="254"/>
      <c r="AJ400" s="15"/>
      <c r="AK400" s="245"/>
      <c r="AL400" s="246"/>
      <c r="AM400" s="247"/>
      <c r="AN400" s="246"/>
      <c r="AO400" s="246"/>
      <c r="AP400" s="15"/>
      <c r="AQ400" s="15"/>
      <c r="AR400" s="15"/>
      <c r="AS400" s="249"/>
      <c r="AT400" s="250"/>
      <c r="AU400" s="249"/>
      <c r="AV400" s="251"/>
      <c r="AW400" s="250"/>
      <c r="AX400" s="249"/>
      <c r="AY400" s="26"/>
      <c r="AZ400" s="26"/>
      <c r="BA400" s="27"/>
      <c r="BB400" s="28"/>
      <c r="BC400" s="29"/>
    </row>
    <row r="401" ht="12.75" customHeight="1">
      <c r="A401" s="26"/>
      <c r="B401" s="12"/>
      <c r="C401" s="240"/>
      <c r="D401" s="241"/>
      <c r="E401" s="5"/>
      <c r="F401" s="5"/>
      <c r="G401" s="5"/>
      <c r="H401" s="5"/>
      <c r="I401" s="5"/>
      <c r="J401" s="5"/>
      <c r="K401" s="8"/>
      <c r="L401" s="9"/>
      <c r="M401" s="10"/>
      <c r="N401" s="255"/>
      <c r="O401" s="86"/>
      <c r="P401" s="86"/>
      <c r="Q401" s="86"/>
      <c r="R401" s="242"/>
      <c r="S401" s="243"/>
      <c r="T401" s="243"/>
      <c r="U401" s="14"/>
      <c r="V401" s="242"/>
      <c r="W401" s="15"/>
      <c r="X401" s="15"/>
      <c r="Y401" s="15"/>
      <c r="Z401" s="8"/>
      <c r="AA401" s="8"/>
      <c r="AB401" s="56"/>
      <c r="AC401" s="56"/>
      <c r="AD401" s="15"/>
      <c r="AE401" s="15"/>
      <c r="AF401" s="15"/>
      <c r="AG401" s="15"/>
      <c r="AH401" s="57"/>
      <c r="AI401" s="254"/>
      <c r="AJ401" s="15"/>
      <c r="AK401" s="245"/>
      <c r="AL401" s="246"/>
      <c r="AM401" s="247"/>
      <c r="AN401" s="246"/>
      <c r="AO401" s="246"/>
      <c r="AP401" s="15"/>
      <c r="AQ401" s="15"/>
      <c r="AR401" s="15"/>
      <c r="AS401" s="249"/>
      <c r="AT401" s="250"/>
      <c r="AU401" s="249"/>
      <c r="AV401" s="251"/>
      <c r="AW401" s="250"/>
      <c r="AX401" s="249"/>
      <c r="AY401" s="26"/>
      <c r="AZ401" s="26"/>
      <c r="BA401" s="27"/>
      <c r="BB401" s="28"/>
      <c r="BC401" s="29"/>
    </row>
    <row r="402" ht="12.75" customHeight="1">
      <c r="A402" s="26"/>
      <c r="B402" s="12"/>
      <c r="C402" s="240"/>
      <c r="D402" s="241"/>
      <c r="E402" s="5"/>
      <c r="F402" s="5"/>
      <c r="G402" s="5"/>
      <c r="H402" s="5"/>
      <c r="I402" s="5"/>
      <c r="J402" s="5"/>
      <c r="K402" s="8"/>
      <c r="L402" s="9"/>
      <c r="M402" s="10"/>
      <c r="N402" s="255"/>
      <c r="O402" s="86"/>
      <c r="P402" s="86"/>
      <c r="Q402" s="86"/>
      <c r="R402" s="242"/>
      <c r="S402" s="243"/>
      <c r="T402" s="243"/>
      <c r="U402" s="14"/>
      <c r="V402" s="242"/>
      <c r="W402" s="15"/>
      <c r="X402" s="15"/>
      <c r="Y402" s="15"/>
      <c r="Z402" s="8"/>
      <c r="AA402" s="8"/>
      <c r="AB402" s="56"/>
      <c r="AC402" s="56"/>
      <c r="AD402" s="15"/>
      <c r="AE402" s="15"/>
      <c r="AF402" s="15"/>
      <c r="AG402" s="15"/>
      <c r="AH402" s="57"/>
      <c r="AI402" s="254"/>
      <c r="AJ402" s="15"/>
      <c r="AK402" s="245"/>
      <c r="AL402" s="246"/>
      <c r="AM402" s="247"/>
      <c r="AN402" s="246"/>
      <c r="AO402" s="246"/>
      <c r="AP402" s="15"/>
      <c r="AQ402" s="15"/>
      <c r="AR402" s="15"/>
      <c r="AS402" s="249"/>
      <c r="AT402" s="250"/>
      <c r="AU402" s="249"/>
      <c r="AV402" s="251"/>
      <c r="AW402" s="250"/>
      <c r="AX402" s="249"/>
      <c r="AY402" s="26"/>
      <c r="AZ402" s="26"/>
      <c r="BA402" s="27"/>
      <c r="BB402" s="28"/>
      <c r="BC402" s="29"/>
    </row>
    <row r="403" ht="12.75" customHeight="1">
      <c r="A403" s="26"/>
      <c r="B403" s="12"/>
      <c r="C403" s="240"/>
      <c r="D403" s="241"/>
      <c r="E403" s="5"/>
      <c r="F403" s="5"/>
      <c r="G403" s="5"/>
      <c r="H403" s="5"/>
      <c r="I403" s="5"/>
      <c r="J403" s="5"/>
      <c r="K403" s="8"/>
      <c r="L403" s="9"/>
      <c r="M403" s="10"/>
      <c r="N403" s="255"/>
      <c r="O403" s="86"/>
      <c r="P403" s="86"/>
      <c r="Q403" s="86"/>
      <c r="R403" s="242"/>
      <c r="S403" s="243"/>
      <c r="T403" s="243"/>
      <c r="U403" s="14"/>
      <c r="V403" s="242"/>
      <c r="W403" s="15"/>
      <c r="X403" s="15"/>
      <c r="Y403" s="15"/>
      <c r="Z403" s="8"/>
      <c r="AA403" s="8"/>
      <c r="AB403" s="56"/>
      <c r="AC403" s="56"/>
      <c r="AD403" s="15"/>
      <c r="AE403" s="15"/>
      <c r="AF403" s="15"/>
      <c r="AG403" s="15"/>
      <c r="AH403" s="57"/>
      <c r="AI403" s="254"/>
      <c r="AJ403" s="15"/>
      <c r="AK403" s="245"/>
      <c r="AL403" s="246"/>
      <c r="AM403" s="247"/>
      <c r="AN403" s="246"/>
      <c r="AO403" s="246"/>
      <c r="AP403" s="15"/>
      <c r="AQ403" s="15"/>
      <c r="AR403" s="15"/>
      <c r="AS403" s="249"/>
      <c r="AT403" s="250"/>
      <c r="AU403" s="249"/>
      <c r="AV403" s="251"/>
      <c r="AW403" s="250"/>
      <c r="AX403" s="249"/>
      <c r="AY403" s="26"/>
      <c r="AZ403" s="26"/>
      <c r="BA403" s="27"/>
      <c r="BB403" s="28"/>
      <c r="BC403" s="29"/>
    </row>
    <row r="404" ht="12.75" customHeight="1">
      <c r="A404" s="26"/>
      <c r="B404" s="12"/>
      <c r="C404" s="240"/>
      <c r="D404" s="241"/>
      <c r="E404" s="5"/>
      <c r="F404" s="5"/>
      <c r="G404" s="5"/>
      <c r="H404" s="5"/>
      <c r="I404" s="5"/>
      <c r="J404" s="5"/>
      <c r="K404" s="8"/>
      <c r="L404" s="9"/>
      <c r="M404" s="10"/>
      <c r="N404" s="255"/>
      <c r="O404" s="86"/>
      <c r="P404" s="86"/>
      <c r="Q404" s="86"/>
      <c r="R404" s="242"/>
      <c r="S404" s="243"/>
      <c r="T404" s="243"/>
      <c r="U404" s="14"/>
      <c r="V404" s="242"/>
      <c r="W404" s="15"/>
      <c r="X404" s="15"/>
      <c r="Y404" s="15"/>
      <c r="Z404" s="8"/>
      <c r="AA404" s="8"/>
      <c r="AB404" s="56"/>
      <c r="AC404" s="56"/>
      <c r="AD404" s="15"/>
      <c r="AE404" s="15"/>
      <c r="AF404" s="15"/>
      <c r="AG404" s="15"/>
      <c r="AH404" s="57"/>
      <c r="AI404" s="254"/>
      <c r="AJ404" s="15"/>
      <c r="AK404" s="245"/>
      <c r="AL404" s="246"/>
      <c r="AM404" s="247"/>
      <c r="AN404" s="246"/>
      <c r="AO404" s="246"/>
      <c r="AP404" s="15"/>
      <c r="AQ404" s="15"/>
      <c r="AR404" s="15"/>
      <c r="AS404" s="249"/>
      <c r="AT404" s="250"/>
      <c r="AU404" s="249"/>
      <c r="AV404" s="251"/>
      <c r="AW404" s="250"/>
      <c r="AX404" s="249"/>
      <c r="AY404" s="26"/>
      <c r="AZ404" s="26"/>
      <c r="BA404" s="27"/>
      <c r="BB404" s="28"/>
      <c r="BC404" s="29"/>
    </row>
    <row r="405" ht="12.75" customHeight="1">
      <c r="A405" s="26"/>
      <c r="B405" s="12"/>
      <c r="C405" s="240"/>
      <c r="D405" s="241"/>
      <c r="E405" s="5"/>
      <c r="F405" s="5"/>
      <c r="G405" s="5"/>
      <c r="H405" s="5"/>
      <c r="I405" s="5"/>
      <c r="J405" s="5"/>
      <c r="K405" s="8"/>
      <c r="L405" s="9"/>
      <c r="M405" s="10"/>
      <c r="N405" s="255"/>
      <c r="O405" s="86"/>
      <c r="P405" s="86"/>
      <c r="Q405" s="86"/>
      <c r="R405" s="242"/>
      <c r="S405" s="243"/>
      <c r="T405" s="243"/>
      <c r="U405" s="14"/>
      <c r="V405" s="242"/>
      <c r="W405" s="15"/>
      <c r="X405" s="15"/>
      <c r="Y405" s="15"/>
      <c r="Z405" s="8"/>
      <c r="AA405" s="8"/>
      <c r="AB405" s="56"/>
      <c r="AC405" s="56"/>
      <c r="AD405" s="15"/>
      <c r="AE405" s="15"/>
      <c r="AF405" s="15"/>
      <c r="AG405" s="15"/>
      <c r="AH405" s="57"/>
      <c r="AI405" s="254"/>
      <c r="AJ405" s="15"/>
      <c r="AK405" s="245"/>
      <c r="AL405" s="246"/>
      <c r="AM405" s="247"/>
      <c r="AN405" s="246"/>
      <c r="AO405" s="246"/>
      <c r="AP405" s="15"/>
      <c r="AQ405" s="15"/>
      <c r="AR405" s="15"/>
      <c r="AS405" s="249"/>
      <c r="AT405" s="250"/>
      <c r="AU405" s="249"/>
      <c r="AV405" s="251"/>
      <c r="AW405" s="250"/>
      <c r="AX405" s="249"/>
      <c r="AY405" s="26"/>
      <c r="AZ405" s="26"/>
      <c r="BA405" s="27"/>
      <c r="BB405" s="28"/>
      <c r="BC405" s="29"/>
    </row>
    <row r="406" ht="12.75" customHeight="1">
      <c r="A406" s="26"/>
      <c r="B406" s="12"/>
      <c r="C406" s="240"/>
      <c r="D406" s="241"/>
      <c r="E406" s="5"/>
      <c r="F406" s="5"/>
      <c r="G406" s="5"/>
      <c r="H406" s="5"/>
      <c r="I406" s="5"/>
      <c r="J406" s="5"/>
      <c r="K406" s="8"/>
      <c r="L406" s="9"/>
      <c r="M406" s="10"/>
      <c r="N406" s="255"/>
      <c r="O406" s="86"/>
      <c r="P406" s="86"/>
      <c r="Q406" s="86"/>
      <c r="R406" s="242"/>
      <c r="S406" s="243"/>
      <c r="T406" s="243"/>
      <c r="U406" s="14"/>
      <c r="V406" s="242"/>
      <c r="W406" s="15"/>
      <c r="X406" s="15"/>
      <c r="Y406" s="15"/>
      <c r="Z406" s="8"/>
      <c r="AA406" s="8"/>
      <c r="AB406" s="56"/>
      <c r="AC406" s="56"/>
      <c r="AD406" s="15"/>
      <c r="AE406" s="15"/>
      <c r="AF406" s="15"/>
      <c r="AG406" s="15"/>
      <c r="AH406" s="57"/>
      <c r="AI406" s="254"/>
      <c r="AJ406" s="15"/>
      <c r="AK406" s="245"/>
      <c r="AL406" s="246"/>
      <c r="AM406" s="247"/>
      <c r="AN406" s="246"/>
      <c r="AO406" s="246"/>
      <c r="AP406" s="15"/>
      <c r="AQ406" s="15"/>
      <c r="AR406" s="15"/>
      <c r="AS406" s="249"/>
      <c r="AT406" s="250"/>
      <c r="AU406" s="249"/>
      <c r="AV406" s="251"/>
      <c r="AW406" s="250"/>
      <c r="AX406" s="249"/>
      <c r="AY406" s="26"/>
      <c r="AZ406" s="26"/>
      <c r="BA406" s="27"/>
      <c r="BB406" s="28"/>
      <c r="BC406" s="29"/>
    </row>
    <row r="407" ht="12.75" customHeight="1">
      <c r="A407" s="26"/>
      <c r="B407" s="12"/>
      <c r="C407" s="240"/>
      <c r="D407" s="241"/>
      <c r="E407" s="5"/>
      <c r="F407" s="5"/>
      <c r="G407" s="5"/>
      <c r="H407" s="5"/>
      <c r="I407" s="5"/>
      <c r="J407" s="5"/>
      <c r="K407" s="8"/>
      <c r="L407" s="9"/>
      <c r="M407" s="10"/>
      <c r="N407" s="255"/>
      <c r="O407" s="86"/>
      <c r="P407" s="86"/>
      <c r="Q407" s="86"/>
      <c r="R407" s="242"/>
      <c r="S407" s="243"/>
      <c r="T407" s="243"/>
      <c r="U407" s="14"/>
      <c r="V407" s="242"/>
      <c r="W407" s="15"/>
      <c r="X407" s="15"/>
      <c r="Y407" s="15"/>
      <c r="Z407" s="8"/>
      <c r="AA407" s="8"/>
      <c r="AB407" s="56"/>
      <c r="AC407" s="56"/>
      <c r="AD407" s="15"/>
      <c r="AE407" s="15"/>
      <c r="AF407" s="15"/>
      <c r="AG407" s="15"/>
      <c r="AH407" s="57"/>
      <c r="AI407" s="254"/>
      <c r="AJ407" s="15"/>
      <c r="AK407" s="245"/>
      <c r="AL407" s="246"/>
      <c r="AM407" s="247"/>
      <c r="AN407" s="246"/>
      <c r="AO407" s="246"/>
      <c r="AP407" s="15"/>
      <c r="AQ407" s="15"/>
      <c r="AR407" s="15"/>
      <c r="AS407" s="249"/>
      <c r="AT407" s="250"/>
      <c r="AU407" s="249"/>
      <c r="AV407" s="251"/>
      <c r="AW407" s="250"/>
      <c r="AX407" s="249"/>
      <c r="AY407" s="26"/>
      <c r="AZ407" s="26"/>
      <c r="BA407" s="27"/>
      <c r="BB407" s="28"/>
      <c r="BC407" s="29"/>
    </row>
    <row r="408" ht="12.75" customHeight="1">
      <c r="A408" s="26"/>
      <c r="B408" s="12"/>
      <c r="C408" s="240"/>
      <c r="D408" s="241"/>
      <c r="E408" s="5"/>
      <c r="F408" s="5"/>
      <c r="G408" s="5"/>
      <c r="H408" s="5"/>
      <c r="I408" s="5"/>
      <c r="J408" s="5"/>
      <c r="K408" s="8"/>
      <c r="L408" s="9"/>
      <c r="M408" s="10"/>
      <c r="N408" s="255"/>
      <c r="O408" s="86"/>
      <c r="P408" s="86"/>
      <c r="Q408" s="86"/>
      <c r="R408" s="242"/>
      <c r="S408" s="243"/>
      <c r="T408" s="243"/>
      <c r="U408" s="14"/>
      <c r="V408" s="242"/>
      <c r="W408" s="15"/>
      <c r="X408" s="15"/>
      <c r="Y408" s="15"/>
      <c r="Z408" s="8"/>
      <c r="AA408" s="8"/>
      <c r="AB408" s="56"/>
      <c r="AC408" s="56"/>
      <c r="AD408" s="15"/>
      <c r="AE408" s="15"/>
      <c r="AF408" s="15"/>
      <c r="AG408" s="15"/>
      <c r="AH408" s="57"/>
      <c r="AI408" s="254"/>
      <c r="AJ408" s="15"/>
      <c r="AK408" s="245"/>
      <c r="AL408" s="246"/>
      <c r="AM408" s="247"/>
      <c r="AN408" s="246"/>
      <c r="AO408" s="246"/>
      <c r="AP408" s="15"/>
      <c r="AQ408" s="15"/>
      <c r="AR408" s="15"/>
      <c r="AS408" s="249"/>
      <c r="AT408" s="250"/>
      <c r="AU408" s="249"/>
      <c r="AV408" s="251"/>
      <c r="AW408" s="250"/>
      <c r="AX408" s="249"/>
      <c r="AY408" s="26"/>
      <c r="AZ408" s="26"/>
      <c r="BA408" s="27"/>
      <c r="BB408" s="28"/>
      <c r="BC408" s="29"/>
    </row>
    <row r="409" ht="12.75" customHeight="1">
      <c r="A409" s="26"/>
      <c r="B409" s="12"/>
      <c r="C409" s="240"/>
      <c r="D409" s="241"/>
      <c r="E409" s="5"/>
      <c r="F409" s="5"/>
      <c r="G409" s="5"/>
      <c r="H409" s="5"/>
      <c r="I409" s="5"/>
      <c r="J409" s="5"/>
      <c r="K409" s="8"/>
      <c r="L409" s="9"/>
      <c r="M409" s="10"/>
      <c r="N409" s="255"/>
      <c r="O409" s="86"/>
      <c r="P409" s="86"/>
      <c r="Q409" s="86"/>
      <c r="R409" s="242"/>
      <c r="S409" s="243"/>
      <c r="T409" s="243"/>
      <c r="U409" s="14"/>
      <c r="V409" s="242"/>
      <c r="W409" s="15"/>
      <c r="X409" s="15"/>
      <c r="Y409" s="15"/>
      <c r="Z409" s="8"/>
      <c r="AA409" s="8"/>
      <c r="AB409" s="56"/>
      <c r="AC409" s="56"/>
      <c r="AD409" s="15"/>
      <c r="AE409" s="15"/>
      <c r="AF409" s="15"/>
      <c r="AG409" s="15"/>
      <c r="AH409" s="57"/>
      <c r="AI409" s="254"/>
      <c r="AJ409" s="15"/>
      <c r="AK409" s="245"/>
      <c r="AL409" s="246"/>
      <c r="AM409" s="247"/>
      <c r="AN409" s="246"/>
      <c r="AO409" s="246"/>
      <c r="AP409" s="15"/>
      <c r="AQ409" s="15"/>
      <c r="AR409" s="15"/>
      <c r="AS409" s="249"/>
      <c r="AT409" s="250"/>
      <c r="AU409" s="249"/>
      <c r="AV409" s="251"/>
      <c r="AW409" s="250"/>
      <c r="AX409" s="249"/>
      <c r="AY409" s="26"/>
      <c r="AZ409" s="26"/>
      <c r="BA409" s="27"/>
      <c r="BB409" s="28"/>
      <c r="BC409" s="29"/>
    </row>
    <row r="410" ht="12.75" customHeight="1">
      <c r="A410" s="26"/>
      <c r="B410" s="12"/>
      <c r="C410" s="240"/>
      <c r="D410" s="241"/>
      <c r="E410" s="5"/>
      <c r="F410" s="5"/>
      <c r="G410" s="5"/>
      <c r="H410" s="5"/>
      <c r="I410" s="5"/>
      <c r="J410" s="5"/>
      <c r="K410" s="8"/>
      <c r="L410" s="9"/>
      <c r="M410" s="10"/>
      <c r="N410" s="255"/>
      <c r="O410" s="86"/>
      <c r="P410" s="86"/>
      <c r="Q410" s="86"/>
      <c r="R410" s="242"/>
      <c r="S410" s="243"/>
      <c r="T410" s="243"/>
      <c r="U410" s="14"/>
      <c r="V410" s="242"/>
      <c r="W410" s="15"/>
      <c r="X410" s="15"/>
      <c r="Y410" s="15"/>
      <c r="Z410" s="8"/>
      <c r="AA410" s="8"/>
      <c r="AB410" s="56"/>
      <c r="AC410" s="56"/>
      <c r="AD410" s="15"/>
      <c r="AE410" s="15"/>
      <c r="AF410" s="15"/>
      <c r="AG410" s="15"/>
      <c r="AH410" s="57"/>
      <c r="AI410" s="254"/>
      <c r="AJ410" s="15"/>
      <c r="AK410" s="245"/>
      <c r="AL410" s="246"/>
      <c r="AM410" s="247"/>
      <c r="AN410" s="246"/>
      <c r="AO410" s="246"/>
      <c r="AP410" s="15"/>
      <c r="AQ410" s="15"/>
      <c r="AR410" s="15"/>
      <c r="AS410" s="249"/>
      <c r="AT410" s="250"/>
      <c r="AU410" s="249"/>
      <c r="AV410" s="251"/>
      <c r="AW410" s="250"/>
      <c r="AX410" s="249"/>
      <c r="AY410" s="26"/>
      <c r="AZ410" s="26"/>
      <c r="BA410" s="27"/>
      <c r="BB410" s="28"/>
      <c r="BC410" s="29"/>
    </row>
    <row r="411" ht="12.75" customHeight="1">
      <c r="A411" s="26"/>
      <c r="B411" s="12"/>
      <c r="C411" s="240"/>
      <c r="D411" s="241"/>
      <c r="E411" s="5"/>
      <c r="F411" s="5"/>
      <c r="G411" s="5"/>
      <c r="H411" s="5"/>
      <c r="I411" s="5"/>
      <c r="J411" s="5"/>
      <c r="K411" s="8"/>
      <c r="L411" s="9"/>
      <c r="M411" s="10"/>
      <c r="N411" s="255"/>
      <c r="O411" s="86"/>
      <c r="P411" s="86"/>
      <c r="Q411" s="86"/>
      <c r="R411" s="242"/>
      <c r="S411" s="243"/>
      <c r="T411" s="243"/>
      <c r="U411" s="14"/>
      <c r="V411" s="242"/>
      <c r="W411" s="15"/>
      <c r="X411" s="15"/>
      <c r="Y411" s="15"/>
      <c r="Z411" s="8"/>
      <c r="AA411" s="8"/>
      <c r="AB411" s="56"/>
      <c r="AC411" s="56"/>
      <c r="AD411" s="15"/>
      <c r="AE411" s="15"/>
      <c r="AF411" s="15"/>
      <c r="AG411" s="15"/>
      <c r="AH411" s="57"/>
      <c r="AI411" s="254"/>
      <c r="AJ411" s="15"/>
      <c r="AK411" s="245"/>
      <c r="AL411" s="246"/>
      <c r="AM411" s="247"/>
      <c r="AN411" s="246"/>
      <c r="AO411" s="246"/>
      <c r="AP411" s="15"/>
      <c r="AQ411" s="15"/>
      <c r="AR411" s="15"/>
      <c r="AS411" s="249"/>
      <c r="AT411" s="250"/>
      <c r="AU411" s="249"/>
      <c r="AV411" s="251"/>
      <c r="AW411" s="250"/>
      <c r="AX411" s="249"/>
      <c r="AY411" s="26"/>
      <c r="AZ411" s="26"/>
      <c r="BA411" s="27"/>
      <c r="BB411" s="28"/>
      <c r="BC411" s="29"/>
    </row>
    <row r="412" ht="12.75" customHeight="1">
      <c r="A412" s="26"/>
      <c r="B412" s="12"/>
      <c r="C412" s="240"/>
      <c r="D412" s="241"/>
      <c r="E412" s="5"/>
      <c r="F412" s="5"/>
      <c r="G412" s="5"/>
      <c r="H412" s="5"/>
      <c r="I412" s="5"/>
      <c r="J412" s="5"/>
      <c r="K412" s="8"/>
      <c r="L412" s="9"/>
      <c r="M412" s="10"/>
      <c r="N412" s="255"/>
      <c r="O412" s="86"/>
      <c r="P412" s="86"/>
      <c r="Q412" s="86"/>
      <c r="R412" s="242"/>
      <c r="S412" s="243"/>
      <c r="T412" s="243"/>
      <c r="U412" s="14"/>
      <c r="V412" s="242"/>
      <c r="W412" s="15"/>
      <c r="X412" s="15"/>
      <c r="Y412" s="15"/>
      <c r="Z412" s="8"/>
      <c r="AA412" s="8"/>
      <c r="AB412" s="56"/>
      <c r="AC412" s="56"/>
      <c r="AD412" s="15"/>
      <c r="AE412" s="15"/>
      <c r="AF412" s="15"/>
      <c r="AG412" s="15"/>
      <c r="AH412" s="57"/>
      <c r="AI412" s="254"/>
      <c r="AJ412" s="15"/>
      <c r="AK412" s="245"/>
      <c r="AL412" s="246"/>
      <c r="AM412" s="247"/>
      <c r="AN412" s="246"/>
      <c r="AO412" s="246"/>
      <c r="AP412" s="15"/>
      <c r="AQ412" s="15"/>
      <c r="AR412" s="15"/>
      <c r="AS412" s="249"/>
      <c r="AT412" s="250"/>
      <c r="AU412" s="249"/>
      <c r="AV412" s="251"/>
      <c r="AW412" s="250"/>
      <c r="AX412" s="249"/>
      <c r="AY412" s="26"/>
      <c r="AZ412" s="26"/>
      <c r="BA412" s="27"/>
      <c r="BB412" s="28"/>
      <c r="BC412" s="29"/>
    </row>
    <row r="413" ht="12.75" customHeight="1">
      <c r="A413" s="26"/>
      <c r="B413" s="12"/>
      <c r="C413" s="240"/>
      <c r="D413" s="241"/>
      <c r="E413" s="5"/>
      <c r="F413" s="5"/>
      <c r="G413" s="5"/>
      <c r="H413" s="5"/>
      <c r="I413" s="5"/>
      <c r="J413" s="5"/>
      <c r="K413" s="8"/>
      <c r="L413" s="9"/>
      <c r="M413" s="10"/>
      <c r="N413" s="255"/>
      <c r="O413" s="86"/>
      <c r="P413" s="86"/>
      <c r="Q413" s="86"/>
      <c r="R413" s="242"/>
      <c r="S413" s="243"/>
      <c r="T413" s="243"/>
      <c r="U413" s="14"/>
      <c r="V413" s="242"/>
      <c r="W413" s="15"/>
      <c r="X413" s="15"/>
      <c r="Y413" s="15"/>
      <c r="Z413" s="8"/>
      <c r="AA413" s="8"/>
      <c r="AB413" s="56"/>
      <c r="AC413" s="56"/>
      <c r="AD413" s="15"/>
      <c r="AE413" s="15"/>
      <c r="AF413" s="15"/>
      <c r="AG413" s="15"/>
      <c r="AH413" s="57"/>
      <c r="AI413" s="254"/>
      <c r="AJ413" s="15"/>
      <c r="AK413" s="245"/>
      <c r="AL413" s="246"/>
      <c r="AM413" s="247"/>
      <c r="AN413" s="246"/>
      <c r="AO413" s="246"/>
      <c r="AP413" s="15"/>
      <c r="AQ413" s="15"/>
      <c r="AR413" s="15"/>
      <c r="AS413" s="249"/>
      <c r="AT413" s="250"/>
      <c r="AU413" s="249"/>
      <c r="AV413" s="251"/>
      <c r="AW413" s="250"/>
      <c r="AX413" s="249"/>
      <c r="AY413" s="26"/>
      <c r="AZ413" s="26"/>
      <c r="BA413" s="27"/>
      <c r="BB413" s="28"/>
      <c r="BC413" s="29"/>
    </row>
    <row r="414" ht="12.75" customHeight="1">
      <c r="A414" s="26"/>
      <c r="B414" s="12"/>
      <c r="C414" s="240"/>
      <c r="D414" s="241"/>
      <c r="E414" s="5"/>
      <c r="F414" s="5"/>
      <c r="G414" s="5"/>
      <c r="H414" s="5"/>
      <c r="I414" s="5"/>
      <c r="J414" s="5"/>
      <c r="K414" s="8"/>
      <c r="L414" s="9"/>
      <c r="M414" s="10"/>
      <c r="N414" s="255"/>
      <c r="O414" s="86"/>
      <c r="P414" s="86"/>
      <c r="Q414" s="86"/>
      <c r="R414" s="242"/>
      <c r="S414" s="243"/>
      <c r="T414" s="243"/>
      <c r="U414" s="14"/>
      <c r="V414" s="242"/>
      <c r="W414" s="15"/>
      <c r="X414" s="15"/>
      <c r="Y414" s="15"/>
      <c r="Z414" s="8"/>
      <c r="AA414" s="8"/>
      <c r="AB414" s="56"/>
      <c r="AC414" s="56"/>
      <c r="AD414" s="15"/>
      <c r="AE414" s="15"/>
      <c r="AF414" s="15"/>
      <c r="AG414" s="15"/>
      <c r="AH414" s="57"/>
      <c r="AI414" s="254"/>
      <c r="AJ414" s="15"/>
      <c r="AK414" s="245"/>
      <c r="AL414" s="246"/>
      <c r="AM414" s="247"/>
      <c r="AN414" s="246"/>
      <c r="AO414" s="246"/>
      <c r="AP414" s="15"/>
      <c r="AQ414" s="15"/>
      <c r="AR414" s="15"/>
      <c r="AS414" s="249"/>
      <c r="AT414" s="250"/>
      <c r="AU414" s="249"/>
      <c r="AV414" s="251"/>
      <c r="AW414" s="250"/>
      <c r="AX414" s="249"/>
      <c r="AY414" s="26"/>
      <c r="AZ414" s="26"/>
      <c r="BA414" s="27"/>
      <c r="BB414" s="28"/>
      <c r="BC414" s="29"/>
    </row>
    <row r="415" ht="12.75" customHeight="1">
      <c r="A415" s="26"/>
      <c r="B415" s="12"/>
      <c r="C415" s="240"/>
      <c r="D415" s="241"/>
      <c r="E415" s="5"/>
      <c r="F415" s="5"/>
      <c r="G415" s="5"/>
      <c r="H415" s="5"/>
      <c r="I415" s="5"/>
      <c r="J415" s="5"/>
      <c r="K415" s="8"/>
      <c r="L415" s="9"/>
      <c r="M415" s="10"/>
      <c r="N415" s="255"/>
      <c r="O415" s="86"/>
      <c r="P415" s="86"/>
      <c r="Q415" s="86"/>
      <c r="R415" s="242"/>
      <c r="S415" s="243"/>
      <c r="T415" s="243"/>
      <c r="U415" s="14"/>
      <c r="V415" s="242"/>
      <c r="W415" s="15"/>
      <c r="X415" s="15"/>
      <c r="Y415" s="15"/>
      <c r="Z415" s="8"/>
      <c r="AA415" s="8"/>
      <c r="AB415" s="56"/>
      <c r="AC415" s="56"/>
      <c r="AD415" s="15"/>
      <c r="AE415" s="15"/>
      <c r="AF415" s="15"/>
      <c r="AG415" s="15"/>
      <c r="AH415" s="57"/>
      <c r="AI415" s="254"/>
      <c r="AJ415" s="15"/>
      <c r="AK415" s="245"/>
      <c r="AL415" s="246"/>
      <c r="AM415" s="247"/>
      <c r="AN415" s="246"/>
      <c r="AO415" s="246"/>
      <c r="AP415" s="15"/>
      <c r="AQ415" s="15"/>
      <c r="AR415" s="15"/>
      <c r="AS415" s="249"/>
      <c r="AT415" s="250"/>
      <c r="AU415" s="249"/>
      <c r="AV415" s="251"/>
      <c r="AW415" s="250"/>
      <c r="AX415" s="249"/>
      <c r="AY415" s="26"/>
      <c r="AZ415" s="26"/>
      <c r="BA415" s="27"/>
      <c r="BB415" s="28"/>
      <c r="BC415" s="29"/>
    </row>
    <row r="416" ht="12.75" customHeight="1">
      <c r="A416" s="26"/>
      <c r="B416" s="12"/>
      <c r="C416" s="240"/>
      <c r="D416" s="241"/>
      <c r="E416" s="5"/>
      <c r="F416" s="5"/>
      <c r="G416" s="5"/>
      <c r="H416" s="5"/>
      <c r="I416" s="5"/>
      <c r="J416" s="5"/>
      <c r="K416" s="8"/>
      <c r="L416" s="9"/>
      <c r="M416" s="10"/>
      <c r="N416" s="255"/>
      <c r="O416" s="86"/>
      <c r="P416" s="86"/>
      <c r="Q416" s="86"/>
      <c r="R416" s="242"/>
      <c r="S416" s="243"/>
      <c r="T416" s="243"/>
      <c r="U416" s="14"/>
      <c r="V416" s="242"/>
      <c r="W416" s="15"/>
      <c r="X416" s="15"/>
      <c r="Y416" s="15"/>
      <c r="Z416" s="8"/>
      <c r="AA416" s="8"/>
      <c r="AB416" s="56"/>
      <c r="AC416" s="56"/>
      <c r="AD416" s="15"/>
      <c r="AE416" s="15"/>
      <c r="AF416" s="15"/>
      <c r="AG416" s="15"/>
      <c r="AH416" s="57"/>
      <c r="AI416" s="254"/>
      <c r="AJ416" s="15"/>
      <c r="AK416" s="245"/>
      <c r="AL416" s="246"/>
      <c r="AM416" s="247"/>
      <c r="AN416" s="246"/>
      <c r="AO416" s="246"/>
      <c r="AP416" s="15"/>
      <c r="AQ416" s="15"/>
      <c r="AR416" s="15"/>
      <c r="AS416" s="249"/>
      <c r="AT416" s="250"/>
      <c r="AU416" s="249"/>
      <c r="AV416" s="251"/>
      <c r="AW416" s="250"/>
      <c r="AX416" s="249"/>
      <c r="AY416" s="26"/>
      <c r="AZ416" s="26"/>
      <c r="BA416" s="27"/>
      <c r="BB416" s="28"/>
      <c r="BC416" s="29"/>
    </row>
    <row r="417" ht="12.75" customHeight="1">
      <c r="A417" s="26"/>
      <c r="B417" s="12"/>
      <c r="C417" s="240"/>
      <c r="D417" s="241"/>
      <c r="E417" s="5"/>
      <c r="F417" s="5"/>
      <c r="G417" s="5"/>
      <c r="H417" s="5"/>
      <c r="I417" s="5"/>
      <c r="J417" s="5"/>
      <c r="K417" s="8"/>
      <c r="L417" s="9"/>
      <c r="M417" s="10"/>
      <c r="N417" s="255"/>
      <c r="O417" s="86"/>
      <c r="P417" s="86"/>
      <c r="Q417" s="86"/>
      <c r="R417" s="242"/>
      <c r="S417" s="243"/>
      <c r="T417" s="243"/>
      <c r="U417" s="14"/>
      <c r="V417" s="242"/>
      <c r="W417" s="15"/>
      <c r="X417" s="15"/>
      <c r="Y417" s="15"/>
      <c r="Z417" s="8"/>
      <c r="AA417" s="8"/>
      <c r="AB417" s="56"/>
      <c r="AC417" s="56"/>
      <c r="AD417" s="15"/>
      <c r="AE417" s="15"/>
      <c r="AF417" s="15"/>
      <c r="AG417" s="15"/>
      <c r="AH417" s="57"/>
      <c r="AI417" s="254"/>
      <c r="AJ417" s="15"/>
      <c r="AK417" s="245"/>
      <c r="AL417" s="246"/>
      <c r="AM417" s="247"/>
      <c r="AN417" s="246"/>
      <c r="AO417" s="246"/>
      <c r="AP417" s="15"/>
      <c r="AQ417" s="15"/>
      <c r="AR417" s="15"/>
      <c r="AS417" s="249"/>
      <c r="AT417" s="250"/>
      <c r="AU417" s="249"/>
      <c r="AV417" s="251"/>
      <c r="AW417" s="250"/>
      <c r="AX417" s="249"/>
      <c r="AY417" s="26"/>
      <c r="AZ417" s="26"/>
      <c r="BA417" s="27"/>
      <c r="BB417" s="28"/>
      <c r="BC417" s="29"/>
    </row>
    <row r="418" ht="12.75" customHeight="1">
      <c r="A418" s="26"/>
      <c r="B418" s="12"/>
      <c r="C418" s="240"/>
      <c r="D418" s="241"/>
      <c r="E418" s="5"/>
      <c r="F418" s="5"/>
      <c r="G418" s="5"/>
      <c r="H418" s="5"/>
      <c r="I418" s="5"/>
      <c r="J418" s="5"/>
      <c r="K418" s="8"/>
      <c r="L418" s="9"/>
      <c r="M418" s="10"/>
      <c r="N418" s="255"/>
      <c r="O418" s="86"/>
      <c r="P418" s="86"/>
      <c r="Q418" s="86"/>
      <c r="R418" s="242"/>
      <c r="S418" s="243"/>
      <c r="T418" s="243"/>
      <c r="U418" s="14"/>
      <c r="V418" s="242"/>
      <c r="W418" s="15"/>
      <c r="X418" s="15"/>
      <c r="Y418" s="15"/>
      <c r="Z418" s="8"/>
      <c r="AA418" s="8"/>
      <c r="AB418" s="56"/>
      <c r="AC418" s="56"/>
      <c r="AD418" s="15"/>
      <c r="AE418" s="15"/>
      <c r="AF418" s="15"/>
      <c r="AG418" s="15"/>
      <c r="AH418" s="57"/>
      <c r="AI418" s="254"/>
      <c r="AJ418" s="15"/>
      <c r="AK418" s="245"/>
      <c r="AL418" s="246"/>
      <c r="AM418" s="247"/>
      <c r="AN418" s="246"/>
      <c r="AO418" s="246"/>
      <c r="AP418" s="15"/>
      <c r="AQ418" s="15"/>
      <c r="AR418" s="15"/>
      <c r="AS418" s="249"/>
      <c r="AT418" s="250"/>
      <c r="AU418" s="249"/>
      <c r="AV418" s="251"/>
      <c r="AW418" s="250"/>
      <c r="AX418" s="249"/>
      <c r="AY418" s="26"/>
      <c r="AZ418" s="26"/>
      <c r="BA418" s="27"/>
      <c r="BB418" s="28"/>
      <c r="BC418" s="29"/>
    </row>
    <row r="419" ht="12.75" customHeight="1">
      <c r="A419" s="26"/>
      <c r="B419" s="12"/>
      <c r="C419" s="240"/>
      <c r="D419" s="241"/>
      <c r="E419" s="5"/>
      <c r="F419" s="5"/>
      <c r="G419" s="5"/>
      <c r="H419" s="5"/>
      <c r="I419" s="5"/>
      <c r="J419" s="5"/>
      <c r="K419" s="8"/>
      <c r="L419" s="9"/>
      <c r="M419" s="10"/>
      <c r="N419" s="255"/>
      <c r="O419" s="86"/>
      <c r="P419" s="86"/>
      <c r="Q419" s="86"/>
      <c r="R419" s="242"/>
      <c r="S419" s="243"/>
      <c r="T419" s="243"/>
      <c r="U419" s="14"/>
      <c r="V419" s="242"/>
      <c r="W419" s="15"/>
      <c r="X419" s="15"/>
      <c r="Y419" s="15"/>
      <c r="Z419" s="8"/>
      <c r="AA419" s="8"/>
      <c r="AB419" s="56"/>
      <c r="AC419" s="56"/>
      <c r="AD419" s="15"/>
      <c r="AE419" s="15"/>
      <c r="AF419" s="15"/>
      <c r="AG419" s="15"/>
      <c r="AH419" s="57"/>
      <c r="AI419" s="254"/>
      <c r="AJ419" s="15"/>
      <c r="AK419" s="245"/>
      <c r="AL419" s="246"/>
      <c r="AM419" s="247"/>
      <c r="AN419" s="246"/>
      <c r="AO419" s="246"/>
      <c r="AP419" s="15"/>
      <c r="AQ419" s="15"/>
      <c r="AR419" s="15"/>
      <c r="AS419" s="249"/>
      <c r="AT419" s="250"/>
      <c r="AU419" s="249"/>
      <c r="AV419" s="251"/>
      <c r="AW419" s="250"/>
      <c r="AX419" s="249"/>
      <c r="AY419" s="26"/>
      <c r="AZ419" s="26"/>
      <c r="BA419" s="27"/>
      <c r="BB419" s="28"/>
      <c r="BC419" s="29"/>
    </row>
    <row r="420" ht="12.75" customHeight="1">
      <c r="A420" s="26"/>
      <c r="B420" s="12"/>
      <c r="C420" s="240"/>
      <c r="D420" s="241"/>
      <c r="E420" s="5"/>
      <c r="F420" s="5"/>
      <c r="G420" s="5"/>
      <c r="H420" s="5"/>
      <c r="I420" s="5"/>
      <c r="J420" s="5"/>
      <c r="K420" s="8"/>
      <c r="L420" s="9"/>
      <c r="M420" s="10"/>
      <c r="N420" s="255"/>
      <c r="O420" s="86"/>
      <c r="P420" s="86"/>
      <c r="Q420" s="86"/>
      <c r="R420" s="242"/>
      <c r="S420" s="243"/>
      <c r="T420" s="243"/>
      <c r="U420" s="14"/>
      <c r="V420" s="242"/>
      <c r="W420" s="15"/>
      <c r="X420" s="15"/>
      <c r="Y420" s="15"/>
      <c r="Z420" s="8"/>
      <c r="AA420" s="8"/>
      <c r="AB420" s="56"/>
      <c r="AC420" s="56"/>
      <c r="AD420" s="15"/>
      <c r="AE420" s="15"/>
      <c r="AF420" s="15"/>
      <c r="AG420" s="15"/>
      <c r="AH420" s="57"/>
      <c r="AI420" s="254"/>
      <c r="AJ420" s="15"/>
      <c r="AK420" s="245"/>
      <c r="AL420" s="246"/>
      <c r="AM420" s="247"/>
      <c r="AN420" s="246"/>
      <c r="AO420" s="246"/>
      <c r="AP420" s="15"/>
      <c r="AQ420" s="15"/>
      <c r="AR420" s="15"/>
      <c r="AS420" s="249"/>
      <c r="AT420" s="250"/>
      <c r="AU420" s="249"/>
      <c r="AV420" s="251"/>
      <c r="AW420" s="250"/>
      <c r="AX420" s="249"/>
      <c r="AY420" s="26"/>
      <c r="AZ420" s="26"/>
      <c r="BA420" s="27"/>
      <c r="BB420" s="28"/>
      <c r="BC420" s="29"/>
    </row>
    <row r="421" ht="12.75" customHeight="1">
      <c r="A421" s="26"/>
      <c r="B421" s="12"/>
      <c r="C421" s="240"/>
      <c r="D421" s="241"/>
      <c r="E421" s="5"/>
      <c r="F421" s="5"/>
      <c r="G421" s="5"/>
      <c r="H421" s="5"/>
      <c r="I421" s="5"/>
      <c r="J421" s="5"/>
      <c r="K421" s="8"/>
      <c r="L421" s="9"/>
      <c r="M421" s="10"/>
      <c r="N421" s="255"/>
      <c r="O421" s="86"/>
      <c r="P421" s="86"/>
      <c r="Q421" s="86"/>
      <c r="R421" s="242"/>
      <c r="S421" s="243"/>
      <c r="T421" s="243"/>
      <c r="U421" s="14"/>
      <c r="V421" s="242"/>
      <c r="W421" s="15"/>
      <c r="X421" s="15"/>
      <c r="Y421" s="15"/>
      <c r="Z421" s="8"/>
      <c r="AA421" s="8"/>
      <c r="AB421" s="56"/>
      <c r="AC421" s="56"/>
      <c r="AD421" s="15"/>
      <c r="AE421" s="15"/>
      <c r="AF421" s="15"/>
      <c r="AG421" s="15"/>
      <c r="AH421" s="57"/>
      <c r="AI421" s="254"/>
      <c r="AJ421" s="15"/>
      <c r="AK421" s="245"/>
      <c r="AL421" s="246"/>
      <c r="AM421" s="247"/>
      <c r="AN421" s="246"/>
      <c r="AO421" s="246"/>
      <c r="AP421" s="15"/>
      <c r="AQ421" s="15"/>
      <c r="AR421" s="15"/>
      <c r="AS421" s="249"/>
      <c r="AT421" s="250"/>
      <c r="AU421" s="249"/>
      <c r="AV421" s="251"/>
      <c r="AW421" s="250"/>
      <c r="AX421" s="249"/>
      <c r="AY421" s="26"/>
      <c r="AZ421" s="26"/>
      <c r="BA421" s="27"/>
      <c r="BB421" s="28"/>
      <c r="BC421" s="29"/>
    </row>
    <row r="422" ht="12.75" customHeight="1">
      <c r="A422" s="26"/>
      <c r="B422" s="12"/>
      <c r="C422" s="240"/>
      <c r="D422" s="241"/>
      <c r="E422" s="5"/>
      <c r="F422" s="5"/>
      <c r="G422" s="5"/>
      <c r="H422" s="5"/>
      <c r="I422" s="5"/>
      <c r="J422" s="5"/>
      <c r="K422" s="8"/>
      <c r="L422" s="9"/>
      <c r="M422" s="10"/>
      <c r="N422" s="255"/>
      <c r="O422" s="86"/>
      <c r="P422" s="86"/>
      <c r="Q422" s="86"/>
      <c r="R422" s="242"/>
      <c r="S422" s="243"/>
      <c r="T422" s="243"/>
      <c r="U422" s="14"/>
      <c r="V422" s="242"/>
      <c r="W422" s="15"/>
      <c r="X422" s="15"/>
      <c r="Y422" s="15"/>
      <c r="Z422" s="8"/>
      <c r="AA422" s="8"/>
      <c r="AB422" s="56"/>
      <c r="AC422" s="56"/>
      <c r="AD422" s="15"/>
      <c r="AE422" s="15"/>
      <c r="AF422" s="15"/>
      <c r="AG422" s="15"/>
      <c r="AH422" s="57"/>
      <c r="AI422" s="254"/>
      <c r="AJ422" s="15"/>
      <c r="AK422" s="245"/>
      <c r="AL422" s="246"/>
      <c r="AM422" s="247"/>
      <c r="AN422" s="246"/>
      <c r="AO422" s="246"/>
      <c r="AP422" s="15"/>
      <c r="AQ422" s="15"/>
      <c r="AR422" s="15"/>
      <c r="AS422" s="249"/>
      <c r="AT422" s="250"/>
      <c r="AU422" s="249"/>
      <c r="AV422" s="251"/>
      <c r="AW422" s="250"/>
      <c r="AX422" s="249"/>
      <c r="AY422" s="26"/>
      <c r="AZ422" s="26"/>
      <c r="BA422" s="27"/>
      <c r="BB422" s="28"/>
      <c r="BC422" s="29"/>
    </row>
    <row r="423" ht="12.75" customHeight="1">
      <c r="A423" s="26"/>
      <c r="B423" s="12"/>
      <c r="C423" s="240"/>
      <c r="D423" s="241"/>
      <c r="E423" s="5"/>
      <c r="F423" s="5"/>
      <c r="G423" s="5"/>
      <c r="H423" s="5"/>
      <c r="I423" s="5"/>
      <c r="J423" s="5"/>
      <c r="K423" s="8"/>
      <c r="L423" s="9"/>
      <c r="M423" s="10"/>
      <c r="N423" s="255"/>
      <c r="O423" s="86"/>
      <c r="P423" s="86"/>
      <c r="Q423" s="86"/>
      <c r="R423" s="242"/>
      <c r="S423" s="243"/>
      <c r="T423" s="243"/>
      <c r="U423" s="14"/>
      <c r="V423" s="242"/>
      <c r="W423" s="15"/>
      <c r="X423" s="15"/>
      <c r="Y423" s="15"/>
      <c r="Z423" s="8"/>
      <c r="AA423" s="8"/>
      <c r="AB423" s="56"/>
      <c r="AC423" s="56"/>
      <c r="AD423" s="15"/>
      <c r="AE423" s="15"/>
      <c r="AF423" s="15"/>
      <c r="AG423" s="15"/>
      <c r="AH423" s="57"/>
      <c r="AI423" s="254"/>
      <c r="AJ423" s="15"/>
      <c r="AK423" s="245"/>
      <c r="AL423" s="246"/>
      <c r="AM423" s="247"/>
      <c r="AN423" s="246"/>
      <c r="AO423" s="246"/>
      <c r="AP423" s="15"/>
      <c r="AQ423" s="15"/>
      <c r="AR423" s="15"/>
      <c r="AS423" s="249"/>
      <c r="AT423" s="250"/>
      <c r="AU423" s="249"/>
      <c r="AV423" s="251"/>
      <c r="AW423" s="250"/>
      <c r="AX423" s="249"/>
      <c r="AY423" s="26"/>
      <c r="AZ423" s="26"/>
      <c r="BA423" s="27"/>
      <c r="BB423" s="28"/>
      <c r="BC423" s="29"/>
    </row>
    <row r="424" ht="12.75" customHeight="1">
      <c r="A424" s="26"/>
      <c r="B424" s="12"/>
      <c r="C424" s="240"/>
      <c r="D424" s="241"/>
      <c r="E424" s="5"/>
      <c r="F424" s="5"/>
      <c r="G424" s="5"/>
      <c r="H424" s="5"/>
      <c r="I424" s="5"/>
      <c r="J424" s="5"/>
      <c r="K424" s="8"/>
      <c r="L424" s="9"/>
      <c r="M424" s="10"/>
      <c r="N424" s="255"/>
      <c r="O424" s="86"/>
      <c r="P424" s="86"/>
      <c r="Q424" s="86"/>
      <c r="R424" s="242"/>
      <c r="S424" s="243"/>
      <c r="T424" s="243"/>
      <c r="U424" s="14"/>
      <c r="V424" s="242"/>
      <c r="W424" s="15"/>
      <c r="X424" s="15"/>
      <c r="Y424" s="15"/>
      <c r="Z424" s="8"/>
      <c r="AA424" s="8"/>
      <c r="AB424" s="56"/>
      <c r="AC424" s="56"/>
      <c r="AD424" s="15"/>
      <c r="AE424" s="15"/>
      <c r="AF424" s="15"/>
      <c r="AG424" s="15"/>
      <c r="AH424" s="57"/>
      <c r="AI424" s="254"/>
      <c r="AJ424" s="15"/>
      <c r="AK424" s="245"/>
      <c r="AL424" s="246"/>
      <c r="AM424" s="247"/>
      <c r="AN424" s="246"/>
      <c r="AO424" s="246"/>
      <c r="AP424" s="15"/>
      <c r="AQ424" s="15"/>
      <c r="AR424" s="15"/>
      <c r="AS424" s="249"/>
      <c r="AT424" s="250"/>
      <c r="AU424" s="249"/>
      <c r="AV424" s="251"/>
      <c r="AW424" s="250"/>
      <c r="AX424" s="249"/>
      <c r="AY424" s="26"/>
      <c r="AZ424" s="26"/>
      <c r="BA424" s="27"/>
      <c r="BB424" s="28"/>
      <c r="BC424" s="29"/>
    </row>
    <row r="425" ht="12.75" customHeight="1">
      <c r="A425" s="26"/>
      <c r="B425" s="12"/>
      <c r="C425" s="240"/>
      <c r="D425" s="241"/>
      <c r="E425" s="5"/>
      <c r="F425" s="5"/>
      <c r="G425" s="5"/>
      <c r="H425" s="5"/>
      <c r="I425" s="5"/>
      <c r="J425" s="5"/>
      <c r="K425" s="8"/>
      <c r="L425" s="9"/>
      <c r="M425" s="10"/>
      <c r="N425" s="255"/>
      <c r="O425" s="86"/>
      <c r="P425" s="86"/>
      <c r="Q425" s="86"/>
      <c r="R425" s="242"/>
      <c r="S425" s="243"/>
      <c r="T425" s="243"/>
      <c r="U425" s="14"/>
      <c r="V425" s="242"/>
      <c r="W425" s="15"/>
      <c r="X425" s="15"/>
      <c r="Y425" s="15"/>
      <c r="Z425" s="8"/>
      <c r="AA425" s="8"/>
      <c r="AB425" s="56"/>
      <c r="AC425" s="56"/>
      <c r="AD425" s="15"/>
      <c r="AE425" s="15"/>
      <c r="AF425" s="15"/>
      <c r="AG425" s="15"/>
      <c r="AH425" s="57"/>
      <c r="AI425" s="254"/>
      <c r="AJ425" s="15"/>
      <c r="AK425" s="245"/>
      <c r="AL425" s="246"/>
      <c r="AM425" s="247"/>
      <c r="AN425" s="246"/>
      <c r="AO425" s="246"/>
      <c r="AP425" s="15"/>
      <c r="AQ425" s="15"/>
      <c r="AR425" s="15"/>
      <c r="AS425" s="249"/>
      <c r="AT425" s="250"/>
      <c r="AU425" s="249"/>
      <c r="AV425" s="251"/>
      <c r="AW425" s="250"/>
      <c r="AX425" s="249"/>
      <c r="AY425" s="26"/>
      <c r="AZ425" s="26"/>
      <c r="BA425" s="27"/>
      <c r="BB425" s="28"/>
      <c r="BC425" s="29"/>
    </row>
    <row r="426" ht="12.75" customHeight="1">
      <c r="A426" s="26"/>
      <c r="B426" s="12"/>
      <c r="C426" s="240"/>
      <c r="D426" s="241"/>
      <c r="E426" s="5"/>
      <c r="F426" s="5"/>
      <c r="G426" s="5"/>
      <c r="H426" s="5"/>
      <c r="I426" s="5"/>
      <c r="J426" s="5"/>
      <c r="K426" s="8"/>
      <c r="L426" s="9"/>
      <c r="M426" s="10"/>
      <c r="N426" s="255"/>
      <c r="O426" s="86"/>
      <c r="P426" s="86"/>
      <c r="Q426" s="86"/>
      <c r="R426" s="242"/>
      <c r="S426" s="243"/>
      <c r="T426" s="243"/>
      <c r="U426" s="14"/>
      <c r="V426" s="242"/>
      <c r="W426" s="15"/>
      <c r="X426" s="15"/>
      <c r="Y426" s="15"/>
      <c r="Z426" s="8"/>
      <c r="AA426" s="8"/>
      <c r="AB426" s="56"/>
      <c r="AC426" s="56"/>
      <c r="AD426" s="15"/>
      <c r="AE426" s="15"/>
      <c r="AF426" s="15"/>
      <c r="AG426" s="15"/>
      <c r="AH426" s="57"/>
      <c r="AI426" s="254"/>
      <c r="AJ426" s="15"/>
      <c r="AK426" s="245"/>
      <c r="AL426" s="246"/>
      <c r="AM426" s="247"/>
      <c r="AN426" s="246"/>
      <c r="AO426" s="246"/>
      <c r="AP426" s="15"/>
      <c r="AQ426" s="15"/>
      <c r="AR426" s="15"/>
      <c r="AS426" s="249"/>
      <c r="AT426" s="250"/>
      <c r="AU426" s="249"/>
      <c r="AV426" s="251"/>
      <c r="AW426" s="250"/>
      <c r="AX426" s="249"/>
      <c r="AY426" s="26"/>
      <c r="AZ426" s="26"/>
      <c r="BA426" s="27"/>
      <c r="BB426" s="28"/>
      <c r="BC426" s="29"/>
    </row>
    <row r="427" ht="12.75" customHeight="1">
      <c r="A427" s="26"/>
      <c r="B427" s="12"/>
      <c r="C427" s="240"/>
      <c r="D427" s="241"/>
      <c r="E427" s="5"/>
      <c r="F427" s="5"/>
      <c r="G427" s="5"/>
      <c r="H427" s="5"/>
      <c r="I427" s="5"/>
      <c r="J427" s="5"/>
      <c r="K427" s="8"/>
      <c r="L427" s="9"/>
      <c r="M427" s="10"/>
      <c r="N427" s="255"/>
      <c r="O427" s="86"/>
      <c r="P427" s="86"/>
      <c r="Q427" s="86"/>
      <c r="R427" s="242"/>
      <c r="S427" s="243"/>
      <c r="T427" s="243"/>
      <c r="U427" s="14"/>
      <c r="V427" s="242"/>
      <c r="W427" s="15"/>
      <c r="X427" s="15"/>
      <c r="Y427" s="15"/>
      <c r="Z427" s="8"/>
      <c r="AA427" s="8"/>
      <c r="AB427" s="56"/>
      <c r="AC427" s="56"/>
      <c r="AD427" s="15"/>
      <c r="AE427" s="15"/>
      <c r="AF427" s="15"/>
      <c r="AG427" s="15"/>
      <c r="AH427" s="57"/>
      <c r="AI427" s="254"/>
      <c r="AJ427" s="15"/>
      <c r="AK427" s="245"/>
      <c r="AL427" s="246"/>
      <c r="AM427" s="247"/>
      <c r="AN427" s="246"/>
      <c r="AO427" s="246"/>
      <c r="AP427" s="15"/>
      <c r="AQ427" s="15"/>
      <c r="AR427" s="15"/>
      <c r="AS427" s="249"/>
      <c r="AT427" s="250"/>
      <c r="AU427" s="249"/>
      <c r="AV427" s="251"/>
      <c r="AW427" s="250"/>
      <c r="AX427" s="249"/>
      <c r="AY427" s="26"/>
      <c r="AZ427" s="26"/>
      <c r="BA427" s="27"/>
      <c r="BB427" s="28"/>
      <c r="BC427" s="29"/>
    </row>
    <row r="428" ht="12.75" customHeight="1">
      <c r="A428" s="26"/>
      <c r="B428" s="12"/>
      <c r="C428" s="240"/>
      <c r="D428" s="241"/>
      <c r="E428" s="5"/>
      <c r="F428" s="5"/>
      <c r="G428" s="5"/>
      <c r="H428" s="5"/>
      <c r="I428" s="5"/>
      <c r="J428" s="5"/>
      <c r="K428" s="8"/>
      <c r="L428" s="9"/>
      <c r="M428" s="10"/>
      <c r="N428" s="255"/>
      <c r="O428" s="86"/>
      <c r="P428" s="86"/>
      <c r="Q428" s="86"/>
      <c r="R428" s="242"/>
      <c r="S428" s="243"/>
      <c r="T428" s="243"/>
      <c r="U428" s="14"/>
      <c r="V428" s="242"/>
      <c r="W428" s="15"/>
      <c r="X428" s="15"/>
      <c r="Y428" s="15"/>
      <c r="Z428" s="8"/>
      <c r="AA428" s="8"/>
      <c r="AB428" s="56"/>
      <c r="AC428" s="56"/>
      <c r="AD428" s="15"/>
      <c r="AE428" s="15"/>
      <c r="AF428" s="15"/>
      <c r="AG428" s="15"/>
      <c r="AH428" s="57"/>
      <c r="AI428" s="254"/>
      <c r="AJ428" s="15"/>
      <c r="AK428" s="245"/>
      <c r="AL428" s="246"/>
      <c r="AM428" s="247"/>
      <c r="AN428" s="246"/>
      <c r="AO428" s="246"/>
      <c r="AP428" s="15"/>
      <c r="AQ428" s="15"/>
      <c r="AR428" s="15"/>
      <c r="AS428" s="249"/>
      <c r="AT428" s="250"/>
      <c r="AU428" s="249"/>
      <c r="AV428" s="251"/>
      <c r="AW428" s="250"/>
      <c r="AX428" s="249"/>
      <c r="AY428" s="26"/>
      <c r="AZ428" s="26"/>
      <c r="BA428" s="27"/>
      <c r="BB428" s="28"/>
      <c r="BC428" s="29"/>
    </row>
    <row r="429" ht="12.75" customHeight="1">
      <c r="A429" s="26"/>
      <c r="B429" s="12"/>
      <c r="C429" s="240"/>
      <c r="D429" s="241"/>
      <c r="E429" s="5"/>
      <c r="F429" s="5"/>
      <c r="G429" s="5"/>
      <c r="H429" s="5"/>
      <c r="I429" s="5"/>
      <c r="J429" s="5"/>
      <c r="K429" s="8"/>
      <c r="L429" s="9"/>
      <c r="M429" s="10"/>
      <c r="N429" s="255"/>
      <c r="O429" s="86"/>
      <c r="P429" s="86"/>
      <c r="Q429" s="86"/>
      <c r="R429" s="242"/>
      <c r="S429" s="243"/>
      <c r="T429" s="243"/>
      <c r="U429" s="14"/>
      <c r="V429" s="242"/>
      <c r="W429" s="15"/>
      <c r="X429" s="15"/>
      <c r="Y429" s="15"/>
      <c r="Z429" s="8"/>
      <c r="AA429" s="8"/>
      <c r="AB429" s="56"/>
      <c r="AC429" s="56"/>
      <c r="AD429" s="15"/>
      <c r="AE429" s="15"/>
      <c r="AF429" s="15"/>
      <c r="AG429" s="15"/>
      <c r="AH429" s="57"/>
      <c r="AI429" s="254"/>
      <c r="AJ429" s="15"/>
      <c r="AK429" s="245"/>
      <c r="AL429" s="246"/>
      <c r="AM429" s="247"/>
      <c r="AN429" s="246"/>
      <c r="AO429" s="246"/>
      <c r="AP429" s="15"/>
      <c r="AQ429" s="15"/>
      <c r="AR429" s="15"/>
      <c r="AS429" s="249"/>
      <c r="AT429" s="250"/>
      <c r="AU429" s="249"/>
      <c r="AV429" s="251"/>
      <c r="AW429" s="250"/>
      <c r="AX429" s="249"/>
      <c r="AY429" s="26"/>
      <c r="AZ429" s="26"/>
      <c r="BA429" s="27"/>
      <c r="BB429" s="28"/>
      <c r="BC429" s="29"/>
    </row>
    <row r="430" ht="12.75" customHeight="1">
      <c r="A430" s="26"/>
      <c r="B430" s="12"/>
      <c r="C430" s="240"/>
      <c r="D430" s="241"/>
      <c r="E430" s="5"/>
      <c r="F430" s="5"/>
      <c r="G430" s="5"/>
      <c r="H430" s="5"/>
      <c r="I430" s="5"/>
      <c r="J430" s="5"/>
      <c r="K430" s="8"/>
      <c r="L430" s="9"/>
      <c r="M430" s="10"/>
      <c r="N430" s="255"/>
      <c r="O430" s="86"/>
      <c r="P430" s="86"/>
      <c r="Q430" s="86"/>
      <c r="R430" s="242"/>
      <c r="S430" s="243"/>
      <c r="T430" s="243"/>
      <c r="U430" s="14"/>
      <c r="V430" s="242"/>
      <c r="W430" s="15"/>
      <c r="X430" s="15"/>
      <c r="Y430" s="15"/>
      <c r="Z430" s="8"/>
      <c r="AA430" s="8"/>
      <c r="AB430" s="56"/>
      <c r="AC430" s="56"/>
      <c r="AD430" s="15"/>
      <c r="AE430" s="15"/>
      <c r="AF430" s="15"/>
      <c r="AG430" s="15"/>
      <c r="AH430" s="57"/>
      <c r="AI430" s="254"/>
      <c r="AJ430" s="15"/>
      <c r="AK430" s="245"/>
      <c r="AL430" s="246"/>
      <c r="AM430" s="247"/>
      <c r="AN430" s="246"/>
      <c r="AO430" s="246"/>
      <c r="AP430" s="15"/>
      <c r="AQ430" s="15"/>
      <c r="AR430" s="15"/>
      <c r="AS430" s="249"/>
      <c r="AT430" s="250"/>
      <c r="AU430" s="249"/>
      <c r="AV430" s="251"/>
      <c r="AW430" s="250"/>
      <c r="AX430" s="249"/>
      <c r="AY430" s="26"/>
      <c r="AZ430" s="26"/>
      <c r="BA430" s="27"/>
      <c r="BB430" s="28"/>
      <c r="BC430" s="29"/>
    </row>
    <row r="431" ht="12.75" customHeight="1">
      <c r="A431" s="26"/>
      <c r="B431" s="12"/>
      <c r="C431" s="240"/>
      <c r="D431" s="241"/>
      <c r="E431" s="5"/>
      <c r="F431" s="5"/>
      <c r="G431" s="5"/>
      <c r="H431" s="5"/>
      <c r="I431" s="5"/>
      <c r="J431" s="5"/>
      <c r="K431" s="8"/>
      <c r="L431" s="9"/>
      <c r="M431" s="10"/>
      <c r="N431" s="255"/>
      <c r="O431" s="86"/>
      <c r="P431" s="86"/>
      <c r="Q431" s="86"/>
      <c r="R431" s="242"/>
      <c r="S431" s="243"/>
      <c r="T431" s="243"/>
      <c r="U431" s="14"/>
      <c r="V431" s="242"/>
      <c r="W431" s="15"/>
      <c r="X431" s="15"/>
      <c r="Y431" s="15"/>
      <c r="Z431" s="8"/>
      <c r="AA431" s="8"/>
      <c r="AB431" s="56"/>
      <c r="AC431" s="56"/>
      <c r="AD431" s="15"/>
      <c r="AE431" s="15"/>
      <c r="AF431" s="15"/>
      <c r="AG431" s="15"/>
      <c r="AH431" s="57"/>
      <c r="AI431" s="254"/>
      <c r="AJ431" s="15"/>
      <c r="AK431" s="245"/>
      <c r="AL431" s="246"/>
      <c r="AM431" s="247"/>
      <c r="AN431" s="246"/>
      <c r="AO431" s="246"/>
      <c r="AP431" s="15"/>
      <c r="AQ431" s="15"/>
      <c r="AR431" s="15"/>
      <c r="AS431" s="249"/>
      <c r="AT431" s="250"/>
      <c r="AU431" s="249"/>
      <c r="AV431" s="251"/>
      <c r="AW431" s="250"/>
      <c r="AX431" s="249"/>
      <c r="AY431" s="26"/>
      <c r="AZ431" s="26"/>
      <c r="BA431" s="27"/>
      <c r="BB431" s="28"/>
      <c r="BC431" s="29"/>
    </row>
    <row r="432" ht="12.75" customHeight="1">
      <c r="A432" s="26"/>
      <c r="B432" s="12"/>
      <c r="C432" s="240"/>
      <c r="D432" s="241"/>
      <c r="E432" s="5"/>
      <c r="F432" s="5"/>
      <c r="G432" s="5"/>
      <c r="H432" s="5"/>
      <c r="I432" s="5"/>
      <c r="J432" s="5"/>
      <c r="K432" s="8"/>
      <c r="L432" s="9"/>
      <c r="M432" s="10"/>
      <c r="N432" s="255"/>
      <c r="O432" s="86"/>
      <c r="P432" s="86"/>
      <c r="Q432" s="86"/>
      <c r="R432" s="242"/>
      <c r="S432" s="243"/>
      <c r="T432" s="243"/>
      <c r="U432" s="14"/>
      <c r="V432" s="242"/>
      <c r="W432" s="15"/>
      <c r="X432" s="15"/>
      <c r="Y432" s="15"/>
      <c r="Z432" s="8"/>
      <c r="AA432" s="8"/>
      <c r="AB432" s="56"/>
      <c r="AC432" s="56"/>
      <c r="AD432" s="15"/>
      <c r="AE432" s="15"/>
      <c r="AF432" s="15"/>
      <c r="AG432" s="15"/>
      <c r="AH432" s="57"/>
      <c r="AI432" s="254"/>
      <c r="AJ432" s="15"/>
      <c r="AK432" s="245"/>
      <c r="AL432" s="246"/>
      <c r="AM432" s="247"/>
      <c r="AN432" s="246"/>
      <c r="AO432" s="246"/>
      <c r="AP432" s="15"/>
      <c r="AQ432" s="15"/>
      <c r="AR432" s="15"/>
      <c r="AS432" s="249"/>
      <c r="AT432" s="250"/>
      <c r="AU432" s="249"/>
      <c r="AV432" s="251"/>
      <c r="AW432" s="250"/>
      <c r="AX432" s="249"/>
      <c r="AY432" s="26"/>
      <c r="AZ432" s="26"/>
      <c r="BA432" s="27"/>
      <c r="BB432" s="28"/>
      <c r="BC432" s="29"/>
    </row>
    <row r="433" ht="12.75" customHeight="1">
      <c r="A433" s="26"/>
      <c r="B433" s="12"/>
      <c r="C433" s="240"/>
      <c r="D433" s="241"/>
      <c r="E433" s="5"/>
      <c r="F433" s="5"/>
      <c r="G433" s="5"/>
      <c r="H433" s="5"/>
      <c r="I433" s="5"/>
      <c r="J433" s="5"/>
      <c r="K433" s="8"/>
      <c r="L433" s="9"/>
      <c r="M433" s="10"/>
      <c r="N433" s="255"/>
      <c r="O433" s="86"/>
      <c r="P433" s="86"/>
      <c r="Q433" s="86"/>
      <c r="R433" s="242"/>
      <c r="S433" s="243"/>
      <c r="T433" s="243"/>
      <c r="U433" s="14"/>
      <c r="V433" s="242"/>
      <c r="W433" s="15"/>
      <c r="X433" s="15"/>
      <c r="Y433" s="15"/>
      <c r="Z433" s="8"/>
      <c r="AA433" s="8"/>
      <c r="AB433" s="56"/>
      <c r="AC433" s="56"/>
      <c r="AD433" s="15"/>
      <c r="AE433" s="15"/>
      <c r="AF433" s="15"/>
      <c r="AG433" s="15"/>
      <c r="AH433" s="57"/>
      <c r="AI433" s="254"/>
      <c r="AJ433" s="15"/>
      <c r="AK433" s="245"/>
      <c r="AL433" s="246"/>
      <c r="AM433" s="247"/>
      <c r="AN433" s="246"/>
      <c r="AO433" s="246"/>
      <c r="AP433" s="15"/>
      <c r="AQ433" s="15"/>
      <c r="AR433" s="15"/>
      <c r="AS433" s="249"/>
      <c r="AT433" s="250"/>
      <c r="AU433" s="249"/>
      <c r="AV433" s="251"/>
      <c r="AW433" s="250"/>
      <c r="AX433" s="249"/>
      <c r="AY433" s="26"/>
      <c r="AZ433" s="26"/>
      <c r="BA433" s="27"/>
      <c r="BB433" s="28"/>
      <c r="BC433" s="29"/>
    </row>
    <row r="434" ht="12.75" customHeight="1">
      <c r="A434" s="26"/>
      <c r="B434" s="12"/>
      <c r="C434" s="240"/>
      <c r="D434" s="241"/>
      <c r="E434" s="5"/>
      <c r="F434" s="5"/>
      <c r="G434" s="5"/>
      <c r="H434" s="5"/>
      <c r="I434" s="5"/>
      <c r="J434" s="5"/>
      <c r="K434" s="8"/>
      <c r="L434" s="9"/>
      <c r="M434" s="10"/>
      <c r="N434" s="255"/>
      <c r="O434" s="86"/>
      <c r="P434" s="86"/>
      <c r="Q434" s="86"/>
      <c r="R434" s="242"/>
      <c r="S434" s="243"/>
      <c r="T434" s="243"/>
      <c r="U434" s="14"/>
      <c r="V434" s="242"/>
      <c r="W434" s="15"/>
      <c r="X434" s="15"/>
      <c r="Y434" s="15"/>
      <c r="Z434" s="8"/>
      <c r="AA434" s="8"/>
      <c r="AB434" s="56"/>
      <c r="AC434" s="56"/>
      <c r="AD434" s="15"/>
      <c r="AE434" s="15"/>
      <c r="AF434" s="15"/>
      <c r="AG434" s="15"/>
      <c r="AH434" s="57"/>
      <c r="AI434" s="254"/>
      <c r="AJ434" s="15"/>
      <c r="AK434" s="245"/>
      <c r="AL434" s="246"/>
      <c r="AM434" s="247"/>
      <c r="AN434" s="246"/>
      <c r="AO434" s="246"/>
      <c r="AP434" s="15"/>
      <c r="AQ434" s="15"/>
      <c r="AR434" s="15"/>
      <c r="AS434" s="249"/>
      <c r="AT434" s="250"/>
      <c r="AU434" s="249"/>
      <c r="AV434" s="251"/>
      <c r="AW434" s="250"/>
      <c r="AX434" s="249"/>
      <c r="AY434" s="26"/>
      <c r="AZ434" s="26"/>
      <c r="BA434" s="27"/>
      <c r="BB434" s="28"/>
      <c r="BC434" s="29"/>
    </row>
    <row r="435" ht="12.75" customHeight="1">
      <c r="A435" s="26"/>
      <c r="B435" s="12"/>
      <c r="C435" s="240"/>
      <c r="D435" s="241"/>
      <c r="E435" s="5"/>
      <c r="F435" s="5"/>
      <c r="G435" s="5"/>
      <c r="H435" s="5"/>
      <c r="I435" s="5"/>
      <c r="J435" s="5"/>
      <c r="K435" s="8"/>
      <c r="L435" s="9"/>
      <c r="M435" s="10"/>
      <c r="N435" s="255"/>
      <c r="O435" s="86"/>
      <c r="P435" s="86"/>
      <c r="Q435" s="86"/>
      <c r="R435" s="242"/>
      <c r="S435" s="243"/>
      <c r="T435" s="243"/>
      <c r="U435" s="14"/>
      <c r="V435" s="242"/>
      <c r="W435" s="15"/>
      <c r="X435" s="15"/>
      <c r="Y435" s="15"/>
      <c r="Z435" s="8"/>
      <c r="AA435" s="8"/>
      <c r="AB435" s="56"/>
      <c r="AC435" s="56"/>
      <c r="AD435" s="15"/>
      <c r="AE435" s="15"/>
      <c r="AF435" s="15"/>
      <c r="AG435" s="15"/>
      <c r="AH435" s="57"/>
      <c r="AI435" s="254"/>
      <c r="AJ435" s="15"/>
      <c r="AK435" s="245"/>
      <c r="AL435" s="246"/>
      <c r="AM435" s="247"/>
      <c r="AN435" s="246"/>
      <c r="AO435" s="246"/>
      <c r="AP435" s="15"/>
      <c r="AQ435" s="15"/>
      <c r="AR435" s="15"/>
      <c r="AS435" s="249"/>
      <c r="AT435" s="250"/>
      <c r="AU435" s="249"/>
      <c r="AV435" s="251"/>
      <c r="AW435" s="250"/>
      <c r="AX435" s="249"/>
      <c r="AY435" s="26"/>
      <c r="AZ435" s="26"/>
      <c r="BA435" s="27"/>
      <c r="BB435" s="28"/>
      <c r="BC435" s="29"/>
    </row>
    <row r="436" ht="12.75" customHeight="1">
      <c r="A436" s="26"/>
      <c r="B436" s="12"/>
      <c r="C436" s="240"/>
      <c r="D436" s="241"/>
      <c r="E436" s="5"/>
      <c r="F436" s="5"/>
      <c r="G436" s="5"/>
      <c r="H436" s="5"/>
      <c r="I436" s="5"/>
      <c r="J436" s="5"/>
      <c r="K436" s="8"/>
      <c r="L436" s="9"/>
      <c r="M436" s="10"/>
      <c r="N436" s="255"/>
      <c r="O436" s="86"/>
      <c r="P436" s="86"/>
      <c r="Q436" s="86"/>
      <c r="R436" s="242"/>
      <c r="S436" s="243"/>
      <c r="T436" s="243"/>
      <c r="U436" s="14"/>
      <c r="V436" s="242"/>
      <c r="W436" s="15"/>
      <c r="X436" s="15"/>
      <c r="Y436" s="15"/>
      <c r="Z436" s="8"/>
      <c r="AA436" s="8"/>
      <c r="AB436" s="56"/>
      <c r="AC436" s="56"/>
      <c r="AD436" s="15"/>
      <c r="AE436" s="15"/>
      <c r="AF436" s="15"/>
      <c r="AG436" s="15"/>
      <c r="AH436" s="57"/>
      <c r="AI436" s="254"/>
      <c r="AJ436" s="15"/>
      <c r="AK436" s="245"/>
      <c r="AL436" s="246"/>
      <c r="AM436" s="247"/>
      <c r="AN436" s="246"/>
      <c r="AO436" s="246"/>
      <c r="AP436" s="15"/>
      <c r="AQ436" s="15"/>
      <c r="AR436" s="15"/>
      <c r="AS436" s="249"/>
      <c r="AT436" s="250"/>
      <c r="AU436" s="249"/>
      <c r="AV436" s="251"/>
      <c r="AW436" s="250"/>
      <c r="AX436" s="249"/>
      <c r="AY436" s="26"/>
      <c r="AZ436" s="26"/>
      <c r="BA436" s="27"/>
      <c r="BB436" s="28"/>
      <c r="BC436" s="29"/>
    </row>
    <row r="437" ht="12.75" customHeight="1">
      <c r="A437" s="26"/>
      <c r="B437" s="12"/>
      <c r="C437" s="240"/>
      <c r="D437" s="241"/>
      <c r="E437" s="5"/>
      <c r="F437" s="5"/>
      <c r="G437" s="5"/>
      <c r="H437" s="5"/>
      <c r="I437" s="5"/>
      <c r="J437" s="5"/>
      <c r="K437" s="8"/>
      <c r="L437" s="9"/>
      <c r="M437" s="10"/>
      <c r="N437" s="255"/>
      <c r="O437" s="86"/>
      <c r="P437" s="86"/>
      <c r="Q437" s="86"/>
      <c r="R437" s="242"/>
      <c r="S437" s="243"/>
      <c r="T437" s="243"/>
      <c r="U437" s="14"/>
      <c r="V437" s="242"/>
      <c r="W437" s="15"/>
      <c r="X437" s="15"/>
      <c r="Y437" s="15"/>
      <c r="Z437" s="8"/>
      <c r="AA437" s="8"/>
      <c r="AB437" s="56"/>
      <c r="AC437" s="56"/>
      <c r="AD437" s="15"/>
      <c r="AE437" s="15"/>
      <c r="AF437" s="15"/>
      <c r="AG437" s="15"/>
      <c r="AH437" s="57"/>
      <c r="AI437" s="254"/>
      <c r="AJ437" s="15"/>
      <c r="AK437" s="245"/>
      <c r="AL437" s="246"/>
      <c r="AM437" s="247"/>
      <c r="AN437" s="246"/>
      <c r="AO437" s="246"/>
      <c r="AP437" s="15"/>
      <c r="AQ437" s="15"/>
      <c r="AR437" s="15"/>
      <c r="AS437" s="249"/>
      <c r="AT437" s="250"/>
      <c r="AU437" s="249"/>
      <c r="AV437" s="251"/>
      <c r="AW437" s="250"/>
      <c r="AX437" s="249"/>
      <c r="AY437" s="26"/>
      <c r="AZ437" s="26"/>
      <c r="BA437" s="27"/>
      <c r="BB437" s="28"/>
      <c r="BC437" s="29"/>
    </row>
    <row r="438" ht="12.75" customHeight="1">
      <c r="A438" s="26"/>
      <c r="B438" s="12"/>
      <c r="C438" s="240"/>
      <c r="D438" s="241"/>
      <c r="E438" s="5"/>
      <c r="F438" s="5"/>
      <c r="G438" s="5"/>
      <c r="H438" s="5"/>
      <c r="I438" s="5"/>
      <c r="J438" s="5"/>
      <c r="K438" s="8"/>
      <c r="L438" s="9"/>
      <c r="M438" s="10"/>
      <c r="N438" s="255"/>
      <c r="O438" s="86"/>
      <c r="P438" s="86"/>
      <c r="Q438" s="86"/>
      <c r="R438" s="242"/>
      <c r="S438" s="243"/>
      <c r="T438" s="243"/>
      <c r="U438" s="14"/>
      <c r="V438" s="242"/>
      <c r="W438" s="15"/>
      <c r="X438" s="15"/>
      <c r="Y438" s="15"/>
      <c r="Z438" s="8"/>
      <c r="AA438" s="8"/>
      <c r="AB438" s="56"/>
      <c r="AC438" s="56"/>
      <c r="AD438" s="15"/>
      <c r="AE438" s="15"/>
      <c r="AF438" s="15"/>
      <c r="AG438" s="15"/>
      <c r="AH438" s="57"/>
      <c r="AI438" s="254"/>
      <c r="AJ438" s="15"/>
      <c r="AK438" s="245"/>
      <c r="AL438" s="246"/>
      <c r="AM438" s="247"/>
      <c r="AN438" s="246"/>
      <c r="AO438" s="246"/>
      <c r="AP438" s="15"/>
      <c r="AQ438" s="15"/>
      <c r="AR438" s="15"/>
      <c r="AS438" s="249"/>
      <c r="AT438" s="250"/>
      <c r="AU438" s="249"/>
      <c r="AV438" s="251"/>
      <c r="AW438" s="250"/>
      <c r="AX438" s="249"/>
      <c r="AY438" s="26"/>
      <c r="AZ438" s="26"/>
      <c r="BA438" s="27"/>
      <c r="BB438" s="28"/>
      <c r="BC438" s="29"/>
    </row>
    <row r="439" ht="12.75" customHeight="1">
      <c r="A439" s="26"/>
      <c r="B439" s="12"/>
      <c r="C439" s="240"/>
      <c r="D439" s="241"/>
      <c r="E439" s="5"/>
      <c r="F439" s="5"/>
      <c r="G439" s="5"/>
      <c r="H439" s="5"/>
      <c r="I439" s="5"/>
      <c r="J439" s="5"/>
      <c r="K439" s="8"/>
      <c r="L439" s="9"/>
      <c r="M439" s="10"/>
      <c r="N439" s="255"/>
      <c r="O439" s="86"/>
      <c r="P439" s="86"/>
      <c r="Q439" s="86"/>
      <c r="R439" s="242"/>
      <c r="S439" s="243"/>
      <c r="T439" s="243"/>
      <c r="U439" s="14"/>
      <c r="V439" s="242"/>
      <c r="W439" s="15"/>
      <c r="X439" s="15"/>
      <c r="Y439" s="15"/>
      <c r="Z439" s="8"/>
      <c r="AA439" s="8"/>
      <c r="AB439" s="56"/>
      <c r="AC439" s="56"/>
      <c r="AD439" s="15"/>
      <c r="AE439" s="15"/>
      <c r="AF439" s="15"/>
      <c r="AG439" s="15"/>
      <c r="AH439" s="57"/>
      <c r="AI439" s="254"/>
      <c r="AJ439" s="15"/>
      <c r="AK439" s="245"/>
      <c r="AL439" s="246"/>
      <c r="AM439" s="247"/>
      <c r="AN439" s="246"/>
      <c r="AO439" s="246"/>
      <c r="AP439" s="15"/>
      <c r="AQ439" s="15"/>
      <c r="AR439" s="15"/>
      <c r="AS439" s="249"/>
      <c r="AT439" s="250"/>
      <c r="AU439" s="249"/>
      <c r="AV439" s="251"/>
      <c r="AW439" s="250"/>
      <c r="AX439" s="249"/>
      <c r="AY439" s="26"/>
      <c r="AZ439" s="26"/>
      <c r="BA439" s="27"/>
      <c r="BB439" s="28"/>
      <c r="BC439" s="29"/>
    </row>
    <row r="440" ht="12.75" customHeight="1">
      <c r="A440" s="26"/>
      <c r="B440" s="12"/>
      <c r="C440" s="240"/>
      <c r="D440" s="241"/>
      <c r="E440" s="5"/>
      <c r="F440" s="5"/>
      <c r="G440" s="5"/>
      <c r="H440" s="5"/>
      <c r="I440" s="5"/>
      <c r="J440" s="5"/>
      <c r="K440" s="8"/>
      <c r="L440" s="9"/>
      <c r="M440" s="10"/>
      <c r="N440" s="255"/>
      <c r="O440" s="86"/>
      <c r="P440" s="86"/>
      <c r="Q440" s="86"/>
      <c r="R440" s="242"/>
      <c r="S440" s="243"/>
      <c r="T440" s="243"/>
      <c r="U440" s="14"/>
      <c r="V440" s="242"/>
      <c r="W440" s="15"/>
      <c r="X440" s="15"/>
      <c r="Y440" s="15"/>
      <c r="Z440" s="8"/>
      <c r="AA440" s="8"/>
      <c r="AB440" s="56"/>
      <c r="AC440" s="56"/>
      <c r="AD440" s="15"/>
      <c r="AE440" s="15"/>
      <c r="AF440" s="15"/>
      <c r="AG440" s="15"/>
      <c r="AH440" s="57"/>
      <c r="AI440" s="254"/>
      <c r="AJ440" s="15"/>
      <c r="AK440" s="245"/>
      <c r="AL440" s="246"/>
      <c r="AM440" s="247"/>
      <c r="AN440" s="246"/>
      <c r="AO440" s="246"/>
      <c r="AP440" s="15"/>
      <c r="AQ440" s="15"/>
      <c r="AR440" s="15"/>
      <c r="AS440" s="249"/>
      <c r="AT440" s="250"/>
      <c r="AU440" s="249"/>
      <c r="AV440" s="251"/>
      <c r="AW440" s="250"/>
      <c r="AX440" s="249"/>
      <c r="AY440" s="26"/>
      <c r="AZ440" s="26"/>
      <c r="BA440" s="27"/>
      <c r="BB440" s="28"/>
      <c r="BC440" s="29"/>
    </row>
    <row r="441" ht="12.75" customHeight="1">
      <c r="A441" s="26"/>
      <c r="B441" s="12"/>
      <c r="C441" s="240"/>
      <c r="D441" s="241"/>
      <c r="E441" s="5"/>
      <c r="F441" s="5"/>
      <c r="G441" s="5"/>
      <c r="H441" s="5"/>
      <c r="I441" s="5"/>
      <c r="J441" s="5"/>
      <c r="K441" s="8"/>
      <c r="L441" s="9"/>
      <c r="M441" s="10"/>
      <c r="N441" s="255"/>
      <c r="O441" s="86"/>
      <c r="P441" s="86"/>
      <c r="Q441" s="86"/>
      <c r="R441" s="242"/>
      <c r="S441" s="243"/>
      <c r="T441" s="243"/>
      <c r="U441" s="14"/>
      <c r="V441" s="242"/>
      <c r="W441" s="15"/>
      <c r="X441" s="15"/>
      <c r="Y441" s="15"/>
      <c r="Z441" s="8"/>
      <c r="AA441" s="8"/>
      <c r="AB441" s="56"/>
      <c r="AC441" s="56"/>
      <c r="AD441" s="15"/>
      <c r="AE441" s="15"/>
      <c r="AF441" s="15"/>
      <c r="AG441" s="15"/>
      <c r="AH441" s="57"/>
      <c r="AI441" s="254"/>
      <c r="AJ441" s="15"/>
      <c r="AK441" s="245"/>
      <c r="AL441" s="246"/>
      <c r="AM441" s="247"/>
      <c r="AN441" s="246"/>
      <c r="AO441" s="246"/>
      <c r="AP441" s="15"/>
      <c r="AQ441" s="15"/>
      <c r="AR441" s="15"/>
      <c r="AS441" s="249"/>
      <c r="AT441" s="250"/>
      <c r="AU441" s="249"/>
      <c r="AV441" s="251"/>
      <c r="AW441" s="250"/>
      <c r="AX441" s="249"/>
      <c r="AY441" s="26"/>
      <c r="AZ441" s="26"/>
      <c r="BA441" s="27"/>
      <c r="BB441" s="28"/>
      <c r="BC441" s="29"/>
    </row>
    <row r="442" ht="12.75" customHeight="1">
      <c r="A442" s="26"/>
      <c r="B442" s="12"/>
      <c r="C442" s="240"/>
      <c r="D442" s="241"/>
      <c r="E442" s="5"/>
      <c r="F442" s="5"/>
      <c r="G442" s="5"/>
      <c r="H442" s="5"/>
      <c r="I442" s="5"/>
      <c r="J442" s="5"/>
      <c r="K442" s="8"/>
      <c r="L442" s="9"/>
      <c r="M442" s="10"/>
      <c r="N442" s="255"/>
      <c r="O442" s="86"/>
      <c r="P442" s="86"/>
      <c r="Q442" s="86"/>
      <c r="R442" s="242"/>
      <c r="S442" s="243"/>
      <c r="T442" s="243"/>
      <c r="U442" s="14"/>
      <c r="V442" s="242"/>
      <c r="W442" s="15"/>
      <c r="X442" s="15"/>
      <c r="Y442" s="15"/>
      <c r="Z442" s="8"/>
      <c r="AA442" s="8"/>
      <c r="AB442" s="56"/>
      <c r="AC442" s="56"/>
      <c r="AD442" s="15"/>
      <c r="AE442" s="15"/>
      <c r="AF442" s="15"/>
      <c r="AG442" s="15"/>
      <c r="AH442" s="57"/>
      <c r="AI442" s="254"/>
      <c r="AJ442" s="15"/>
      <c r="AK442" s="245"/>
      <c r="AL442" s="246"/>
      <c r="AM442" s="247"/>
      <c r="AN442" s="246"/>
      <c r="AO442" s="246"/>
      <c r="AP442" s="15"/>
      <c r="AQ442" s="15"/>
      <c r="AR442" s="15"/>
      <c r="AS442" s="249"/>
      <c r="AT442" s="250"/>
      <c r="AU442" s="249"/>
      <c r="AV442" s="251"/>
      <c r="AW442" s="250"/>
      <c r="AX442" s="249"/>
      <c r="AY442" s="26"/>
      <c r="AZ442" s="26"/>
      <c r="BA442" s="27"/>
      <c r="BB442" s="28"/>
      <c r="BC442" s="29"/>
    </row>
    <row r="443" ht="12.75" customHeight="1">
      <c r="A443" s="26"/>
      <c r="B443" s="12"/>
      <c r="C443" s="240"/>
      <c r="D443" s="241"/>
      <c r="E443" s="5"/>
      <c r="F443" s="5"/>
      <c r="G443" s="5"/>
      <c r="H443" s="5"/>
      <c r="I443" s="5"/>
      <c r="J443" s="5"/>
      <c r="K443" s="8"/>
      <c r="L443" s="9"/>
      <c r="M443" s="10"/>
      <c r="N443" s="255"/>
      <c r="O443" s="86"/>
      <c r="P443" s="86"/>
      <c r="Q443" s="86"/>
      <c r="R443" s="242"/>
      <c r="S443" s="243"/>
      <c r="T443" s="243"/>
      <c r="U443" s="14"/>
      <c r="V443" s="242"/>
      <c r="W443" s="15"/>
      <c r="X443" s="15"/>
      <c r="Y443" s="15"/>
      <c r="Z443" s="8"/>
      <c r="AA443" s="8"/>
      <c r="AB443" s="56"/>
      <c r="AC443" s="56"/>
      <c r="AD443" s="15"/>
      <c r="AE443" s="15"/>
      <c r="AF443" s="15"/>
      <c r="AG443" s="15"/>
      <c r="AH443" s="57"/>
      <c r="AI443" s="254"/>
      <c r="AJ443" s="15"/>
      <c r="AK443" s="245"/>
      <c r="AL443" s="246"/>
      <c r="AM443" s="247"/>
      <c r="AN443" s="246"/>
      <c r="AO443" s="246"/>
      <c r="AP443" s="15"/>
      <c r="AQ443" s="15"/>
      <c r="AR443" s="15"/>
      <c r="AS443" s="249"/>
      <c r="AT443" s="250"/>
      <c r="AU443" s="249"/>
      <c r="AV443" s="251"/>
      <c r="AW443" s="250"/>
      <c r="AX443" s="249"/>
      <c r="AY443" s="26"/>
      <c r="AZ443" s="26"/>
      <c r="BA443" s="27"/>
      <c r="BB443" s="28"/>
      <c r="BC443" s="29"/>
    </row>
    <row r="444" ht="12.75" customHeight="1">
      <c r="A444" s="26"/>
      <c r="B444" s="12"/>
      <c r="C444" s="240"/>
      <c r="D444" s="241"/>
      <c r="E444" s="5"/>
      <c r="F444" s="5"/>
      <c r="G444" s="5"/>
      <c r="H444" s="5"/>
      <c r="I444" s="5"/>
      <c r="J444" s="5"/>
      <c r="K444" s="8"/>
      <c r="L444" s="9"/>
      <c r="M444" s="10"/>
      <c r="N444" s="255"/>
      <c r="O444" s="86"/>
      <c r="P444" s="86"/>
      <c r="Q444" s="86"/>
      <c r="R444" s="242"/>
      <c r="S444" s="243"/>
      <c r="T444" s="243"/>
      <c r="U444" s="14"/>
      <c r="V444" s="242"/>
      <c r="W444" s="15"/>
      <c r="X444" s="15"/>
      <c r="Y444" s="15"/>
      <c r="Z444" s="8"/>
      <c r="AA444" s="8"/>
      <c r="AB444" s="56"/>
      <c r="AC444" s="56"/>
      <c r="AD444" s="15"/>
      <c r="AE444" s="15"/>
      <c r="AF444" s="15"/>
      <c r="AG444" s="15"/>
      <c r="AH444" s="57"/>
      <c r="AI444" s="254"/>
      <c r="AJ444" s="15"/>
      <c r="AK444" s="245"/>
      <c r="AL444" s="246"/>
      <c r="AM444" s="247"/>
      <c r="AN444" s="246"/>
      <c r="AO444" s="246"/>
      <c r="AP444" s="15"/>
      <c r="AQ444" s="15"/>
      <c r="AR444" s="15"/>
      <c r="AS444" s="249"/>
      <c r="AT444" s="250"/>
      <c r="AU444" s="249"/>
      <c r="AV444" s="251"/>
      <c r="AW444" s="250"/>
      <c r="AX444" s="249"/>
      <c r="AY444" s="26"/>
      <c r="AZ444" s="26"/>
      <c r="BA444" s="27"/>
      <c r="BB444" s="28"/>
      <c r="BC444" s="29"/>
    </row>
    <row r="445" ht="12.75" customHeight="1">
      <c r="A445" s="26"/>
      <c r="B445" s="12"/>
      <c r="C445" s="240"/>
      <c r="D445" s="241"/>
      <c r="E445" s="5"/>
      <c r="F445" s="5"/>
      <c r="G445" s="5"/>
      <c r="H445" s="5"/>
      <c r="I445" s="5"/>
      <c r="J445" s="5"/>
      <c r="K445" s="8"/>
      <c r="L445" s="9"/>
      <c r="M445" s="10"/>
      <c r="N445" s="255"/>
      <c r="O445" s="86"/>
      <c r="P445" s="86"/>
      <c r="Q445" s="86"/>
      <c r="R445" s="242"/>
      <c r="S445" s="243"/>
      <c r="T445" s="243"/>
      <c r="U445" s="14"/>
      <c r="V445" s="242"/>
      <c r="W445" s="15"/>
      <c r="X445" s="15"/>
      <c r="Y445" s="15"/>
      <c r="Z445" s="8"/>
      <c r="AA445" s="8"/>
      <c r="AB445" s="56"/>
      <c r="AC445" s="56"/>
      <c r="AD445" s="15"/>
      <c r="AE445" s="15"/>
      <c r="AF445" s="15"/>
      <c r="AG445" s="15"/>
      <c r="AH445" s="57"/>
      <c r="AI445" s="254"/>
      <c r="AJ445" s="15"/>
      <c r="AK445" s="245"/>
      <c r="AL445" s="246"/>
      <c r="AM445" s="247"/>
      <c r="AN445" s="246"/>
      <c r="AO445" s="246"/>
      <c r="AP445" s="15"/>
      <c r="AQ445" s="15"/>
      <c r="AR445" s="15"/>
      <c r="AS445" s="249"/>
      <c r="AT445" s="250"/>
      <c r="AU445" s="249"/>
      <c r="AV445" s="251"/>
      <c r="AW445" s="250"/>
      <c r="AX445" s="249"/>
      <c r="AY445" s="26"/>
      <c r="AZ445" s="26"/>
      <c r="BA445" s="27"/>
      <c r="BB445" s="28"/>
      <c r="BC445" s="29"/>
    </row>
    <row r="446" ht="12.75" customHeight="1">
      <c r="A446" s="26"/>
      <c r="B446" s="12"/>
      <c r="C446" s="240"/>
      <c r="D446" s="241"/>
      <c r="E446" s="5"/>
      <c r="F446" s="5"/>
      <c r="G446" s="5"/>
      <c r="H446" s="5"/>
      <c r="I446" s="5"/>
      <c r="J446" s="5"/>
      <c r="K446" s="8"/>
      <c r="L446" s="9"/>
      <c r="M446" s="10"/>
      <c r="N446" s="255"/>
      <c r="O446" s="86"/>
      <c r="P446" s="86"/>
      <c r="Q446" s="86"/>
      <c r="R446" s="242"/>
      <c r="S446" s="243"/>
      <c r="T446" s="243"/>
      <c r="U446" s="14"/>
      <c r="V446" s="242"/>
      <c r="W446" s="15"/>
      <c r="X446" s="15"/>
      <c r="Y446" s="15"/>
      <c r="Z446" s="8"/>
      <c r="AA446" s="8"/>
      <c r="AB446" s="56"/>
      <c r="AC446" s="56"/>
      <c r="AD446" s="15"/>
      <c r="AE446" s="15"/>
      <c r="AF446" s="15"/>
      <c r="AG446" s="15"/>
      <c r="AH446" s="57"/>
      <c r="AI446" s="254"/>
      <c r="AJ446" s="15"/>
      <c r="AK446" s="245"/>
      <c r="AL446" s="246"/>
      <c r="AM446" s="247"/>
      <c r="AN446" s="246"/>
      <c r="AO446" s="246"/>
      <c r="AP446" s="15"/>
      <c r="AQ446" s="15"/>
      <c r="AR446" s="15"/>
      <c r="AS446" s="249"/>
      <c r="AT446" s="250"/>
      <c r="AU446" s="249"/>
      <c r="AV446" s="251"/>
      <c r="AW446" s="250"/>
      <c r="AX446" s="249"/>
      <c r="AY446" s="26"/>
      <c r="AZ446" s="26"/>
      <c r="BA446" s="27"/>
      <c r="BB446" s="28"/>
      <c r="BC446" s="29"/>
    </row>
    <row r="447" ht="12.75" customHeight="1">
      <c r="A447" s="26"/>
      <c r="B447" s="12"/>
      <c r="C447" s="240"/>
      <c r="D447" s="241"/>
      <c r="E447" s="5"/>
      <c r="F447" s="5"/>
      <c r="G447" s="5"/>
      <c r="H447" s="5"/>
      <c r="I447" s="5"/>
      <c r="J447" s="5"/>
      <c r="K447" s="8"/>
      <c r="L447" s="9"/>
      <c r="M447" s="10"/>
      <c r="N447" s="255"/>
      <c r="O447" s="86"/>
      <c r="P447" s="86"/>
      <c r="Q447" s="86"/>
      <c r="R447" s="242"/>
      <c r="S447" s="243"/>
      <c r="T447" s="243"/>
      <c r="U447" s="14"/>
      <c r="V447" s="242"/>
      <c r="W447" s="15"/>
      <c r="X447" s="15"/>
      <c r="Y447" s="15"/>
      <c r="Z447" s="8"/>
      <c r="AA447" s="8"/>
      <c r="AB447" s="56"/>
      <c r="AC447" s="56"/>
      <c r="AD447" s="15"/>
      <c r="AE447" s="15"/>
      <c r="AF447" s="15"/>
      <c r="AG447" s="15"/>
      <c r="AH447" s="57"/>
      <c r="AI447" s="254"/>
      <c r="AJ447" s="15"/>
      <c r="AK447" s="245"/>
      <c r="AL447" s="246"/>
      <c r="AM447" s="247"/>
      <c r="AN447" s="246"/>
      <c r="AO447" s="246"/>
      <c r="AP447" s="15"/>
      <c r="AQ447" s="15"/>
      <c r="AR447" s="15"/>
      <c r="AS447" s="249"/>
      <c r="AT447" s="250"/>
      <c r="AU447" s="249"/>
      <c r="AV447" s="251"/>
      <c r="AW447" s="250"/>
      <c r="AX447" s="249"/>
      <c r="AY447" s="26"/>
      <c r="AZ447" s="26"/>
      <c r="BA447" s="27"/>
      <c r="BB447" s="28"/>
      <c r="BC447" s="29"/>
    </row>
    <row r="448" ht="12.75" customHeight="1">
      <c r="A448" s="26"/>
      <c r="B448" s="12"/>
      <c r="C448" s="240"/>
      <c r="D448" s="241"/>
      <c r="E448" s="5"/>
      <c r="F448" s="5"/>
      <c r="G448" s="5"/>
      <c r="H448" s="5"/>
      <c r="I448" s="5"/>
      <c r="J448" s="5"/>
      <c r="K448" s="8"/>
      <c r="L448" s="9"/>
      <c r="M448" s="10"/>
      <c r="N448" s="255"/>
      <c r="O448" s="86"/>
      <c r="P448" s="86"/>
      <c r="Q448" s="86"/>
      <c r="R448" s="242"/>
      <c r="S448" s="243"/>
      <c r="T448" s="243"/>
      <c r="U448" s="14"/>
      <c r="V448" s="242"/>
      <c r="W448" s="15"/>
      <c r="X448" s="15"/>
      <c r="Y448" s="15"/>
      <c r="Z448" s="8"/>
      <c r="AA448" s="8"/>
      <c r="AB448" s="56"/>
      <c r="AC448" s="56"/>
      <c r="AD448" s="15"/>
      <c r="AE448" s="15"/>
      <c r="AF448" s="15"/>
      <c r="AG448" s="15"/>
      <c r="AH448" s="57"/>
      <c r="AI448" s="254"/>
      <c r="AJ448" s="15"/>
      <c r="AK448" s="245"/>
      <c r="AL448" s="246"/>
      <c r="AM448" s="247"/>
      <c r="AN448" s="246"/>
      <c r="AO448" s="246"/>
      <c r="AP448" s="15"/>
      <c r="AQ448" s="15"/>
      <c r="AR448" s="15"/>
      <c r="AS448" s="249"/>
      <c r="AT448" s="250"/>
      <c r="AU448" s="249"/>
      <c r="AV448" s="251"/>
      <c r="AW448" s="250"/>
      <c r="AX448" s="249"/>
      <c r="AY448" s="26"/>
      <c r="AZ448" s="26"/>
      <c r="BA448" s="27"/>
      <c r="BB448" s="28"/>
      <c r="BC448" s="29"/>
    </row>
    <row r="449" ht="12.75" customHeight="1">
      <c r="A449" s="26"/>
      <c r="B449" s="12"/>
      <c r="C449" s="240"/>
      <c r="D449" s="241"/>
      <c r="E449" s="5"/>
      <c r="F449" s="5"/>
      <c r="G449" s="5"/>
      <c r="H449" s="5"/>
      <c r="I449" s="5"/>
      <c r="J449" s="5"/>
      <c r="K449" s="8"/>
      <c r="L449" s="9"/>
      <c r="M449" s="10"/>
      <c r="N449" s="255"/>
      <c r="O449" s="86"/>
      <c r="P449" s="86"/>
      <c r="Q449" s="86"/>
      <c r="R449" s="242"/>
      <c r="S449" s="243"/>
      <c r="T449" s="243"/>
      <c r="U449" s="14"/>
      <c r="V449" s="242"/>
      <c r="W449" s="15"/>
      <c r="X449" s="15"/>
      <c r="Y449" s="15"/>
      <c r="Z449" s="8"/>
      <c r="AA449" s="8"/>
      <c r="AB449" s="56"/>
      <c r="AC449" s="56"/>
      <c r="AD449" s="15"/>
      <c r="AE449" s="15"/>
      <c r="AF449" s="15"/>
      <c r="AG449" s="15"/>
      <c r="AH449" s="57"/>
      <c r="AI449" s="254"/>
      <c r="AJ449" s="15"/>
      <c r="AK449" s="245"/>
      <c r="AL449" s="246"/>
      <c r="AM449" s="247"/>
      <c r="AN449" s="246"/>
      <c r="AO449" s="246"/>
      <c r="AP449" s="15"/>
      <c r="AQ449" s="15"/>
      <c r="AR449" s="15"/>
      <c r="AS449" s="249"/>
      <c r="AT449" s="250"/>
      <c r="AU449" s="249"/>
      <c r="AV449" s="251"/>
      <c r="AW449" s="250"/>
      <c r="AX449" s="249"/>
      <c r="AY449" s="26"/>
      <c r="AZ449" s="26"/>
      <c r="BA449" s="27"/>
      <c r="BB449" s="28"/>
      <c r="BC449" s="29"/>
    </row>
    <row r="450" ht="12.75" customHeight="1">
      <c r="A450" s="26"/>
      <c r="B450" s="12"/>
      <c r="C450" s="240"/>
      <c r="D450" s="241"/>
      <c r="E450" s="5"/>
      <c r="F450" s="5"/>
      <c r="G450" s="5"/>
      <c r="H450" s="5"/>
      <c r="I450" s="5"/>
      <c r="J450" s="5"/>
      <c r="K450" s="8"/>
      <c r="L450" s="9"/>
      <c r="M450" s="10"/>
      <c r="N450" s="255"/>
      <c r="O450" s="86"/>
      <c r="P450" s="86"/>
      <c r="Q450" s="86"/>
      <c r="R450" s="242"/>
      <c r="S450" s="243"/>
      <c r="T450" s="243"/>
      <c r="U450" s="14"/>
      <c r="V450" s="242"/>
      <c r="W450" s="15"/>
      <c r="X450" s="15"/>
      <c r="Y450" s="15"/>
      <c r="Z450" s="8"/>
      <c r="AA450" s="8"/>
      <c r="AB450" s="56"/>
      <c r="AC450" s="56"/>
      <c r="AD450" s="15"/>
      <c r="AE450" s="15"/>
      <c r="AF450" s="15"/>
      <c r="AG450" s="15"/>
      <c r="AH450" s="57"/>
      <c r="AI450" s="254"/>
      <c r="AJ450" s="15"/>
      <c r="AK450" s="245"/>
      <c r="AL450" s="246"/>
      <c r="AM450" s="247"/>
      <c r="AN450" s="246"/>
      <c r="AO450" s="246"/>
      <c r="AP450" s="15"/>
      <c r="AQ450" s="15"/>
      <c r="AR450" s="15"/>
      <c r="AS450" s="249"/>
      <c r="AT450" s="250"/>
      <c r="AU450" s="249"/>
      <c r="AV450" s="251"/>
      <c r="AW450" s="250"/>
      <c r="AX450" s="249"/>
      <c r="AY450" s="26"/>
      <c r="AZ450" s="26"/>
      <c r="BA450" s="27"/>
      <c r="BB450" s="28"/>
      <c r="BC450" s="29"/>
    </row>
    <row r="451" ht="12.75" customHeight="1">
      <c r="A451" s="26"/>
      <c r="B451" s="12"/>
      <c r="C451" s="240"/>
      <c r="D451" s="241"/>
      <c r="E451" s="5"/>
      <c r="F451" s="5"/>
      <c r="G451" s="5"/>
      <c r="H451" s="5"/>
      <c r="I451" s="5"/>
      <c r="J451" s="5"/>
      <c r="K451" s="8"/>
      <c r="L451" s="9"/>
      <c r="M451" s="10"/>
      <c r="N451" s="255"/>
      <c r="O451" s="86"/>
      <c r="P451" s="86"/>
      <c r="Q451" s="86"/>
      <c r="R451" s="242"/>
      <c r="S451" s="243"/>
      <c r="T451" s="243"/>
      <c r="U451" s="14"/>
      <c r="V451" s="242"/>
      <c r="W451" s="15"/>
      <c r="X451" s="15"/>
      <c r="Y451" s="15"/>
      <c r="Z451" s="8"/>
      <c r="AA451" s="8"/>
      <c r="AB451" s="56"/>
      <c r="AC451" s="56"/>
      <c r="AD451" s="15"/>
      <c r="AE451" s="15"/>
      <c r="AF451" s="15"/>
      <c r="AG451" s="15"/>
      <c r="AH451" s="57"/>
      <c r="AI451" s="254"/>
      <c r="AJ451" s="15"/>
      <c r="AK451" s="245"/>
      <c r="AL451" s="246"/>
      <c r="AM451" s="247"/>
      <c r="AN451" s="246"/>
      <c r="AO451" s="246"/>
      <c r="AP451" s="15"/>
      <c r="AQ451" s="15"/>
      <c r="AR451" s="15"/>
      <c r="AS451" s="249"/>
      <c r="AT451" s="250"/>
      <c r="AU451" s="249"/>
      <c r="AV451" s="251"/>
      <c r="AW451" s="250"/>
      <c r="AX451" s="249"/>
      <c r="AY451" s="26"/>
      <c r="AZ451" s="26"/>
      <c r="BA451" s="27"/>
      <c r="BB451" s="28"/>
      <c r="BC451" s="29"/>
    </row>
    <row r="452" ht="12.75" customHeight="1">
      <c r="A452" s="26"/>
      <c r="B452" s="12"/>
      <c r="C452" s="240"/>
      <c r="D452" s="241"/>
      <c r="E452" s="5"/>
      <c r="F452" s="5"/>
      <c r="G452" s="5"/>
      <c r="H452" s="5"/>
      <c r="I452" s="5"/>
      <c r="J452" s="5"/>
      <c r="K452" s="8"/>
      <c r="L452" s="9"/>
      <c r="M452" s="10"/>
      <c r="N452" s="255"/>
      <c r="O452" s="86"/>
      <c r="P452" s="86"/>
      <c r="Q452" s="86"/>
      <c r="R452" s="242"/>
      <c r="S452" s="243"/>
      <c r="T452" s="243"/>
      <c r="U452" s="14"/>
      <c r="V452" s="242"/>
      <c r="W452" s="15"/>
      <c r="X452" s="15"/>
      <c r="Y452" s="15"/>
      <c r="Z452" s="8"/>
      <c r="AA452" s="8"/>
      <c r="AB452" s="56"/>
      <c r="AC452" s="56"/>
      <c r="AD452" s="15"/>
      <c r="AE452" s="15"/>
      <c r="AF452" s="15"/>
      <c r="AG452" s="15"/>
      <c r="AH452" s="57"/>
      <c r="AI452" s="254"/>
      <c r="AJ452" s="15"/>
      <c r="AK452" s="245"/>
      <c r="AL452" s="246"/>
      <c r="AM452" s="247"/>
      <c r="AN452" s="246"/>
      <c r="AO452" s="246"/>
      <c r="AP452" s="15"/>
      <c r="AQ452" s="15"/>
      <c r="AR452" s="15"/>
      <c r="AS452" s="249"/>
      <c r="AT452" s="250"/>
      <c r="AU452" s="249"/>
      <c r="AV452" s="251"/>
      <c r="AW452" s="250"/>
      <c r="AX452" s="249"/>
      <c r="AY452" s="26"/>
      <c r="AZ452" s="26"/>
      <c r="BA452" s="27"/>
      <c r="BB452" s="28"/>
      <c r="BC452" s="29"/>
    </row>
    <row r="453" ht="12.75" customHeight="1">
      <c r="A453" s="26"/>
      <c r="B453" s="12"/>
      <c r="C453" s="240"/>
      <c r="D453" s="241"/>
      <c r="E453" s="5"/>
      <c r="F453" s="5"/>
      <c r="G453" s="5"/>
      <c r="H453" s="5"/>
      <c r="I453" s="5"/>
      <c r="J453" s="5"/>
      <c r="K453" s="8"/>
      <c r="L453" s="9"/>
      <c r="M453" s="10"/>
      <c r="N453" s="255"/>
      <c r="O453" s="86"/>
      <c r="P453" s="86"/>
      <c r="Q453" s="86"/>
      <c r="R453" s="242"/>
      <c r="S453" s="243"/>
      <c r="T453" s="243"/>
      <c r="U453" s="14"/>
      <c r="V453" s="242"/>
      <c r="W453" s="15"/>
      <c r="X453" s="15"/>
      <c r="Y453" s="15"/>
      <c r="Z453" s="8"/>
      <c r="AA453" s="8"/>
      <c r="AB453" s="56"/>
      <c r="AC453" s="56"/>
      <c r="AD453" s="15"/>
      <c r="AE453" s="15"/>
      <c r="AF453" s="15"/>
      <c r="AG453" s="15"/>
      <c r="AH453" s="57"/>
      <c r="AI453" s="254"/>
      <c r="AJ453" s="15"/>
      <c r="AK453" s="245"/>
      <c r="AL453" s="246"/>
      <c r="AM453" s="247"/>
      <c r="AN453" s="246"/>
      <c r="AO453" s="246"/>
      <c r="AP453" s="15"/>
      <c r="AQ453" s="15"/>
      <c r="AR453" s="15"/>
      <c r="AS453" s="249"/>
      <c r="AT453" s="250"/>
      <c r="AU453" s="249"/>
      <c r="AV453" s="251"/>
      <c r="AW453" s="250"/>
      <c r="AX453" s="249"/>
      <c r="AY453" s="26"/>
      <c r="AZ453" s="26"/>
      <c r="BA453" s="27"/>
      <c r="BB453" s="28"/>
      <c r="BC453" s="29"/>
    </row>
    <row r="454" ht="12.75" customHeight="1">
      <c r="A454" s="26"/>
      <c r="B454" s="12"/>
      <c r="C454" s="240"/>
      <c r="D454" s="241"/>
      <c r="E454" s="5"/>
      <c r="F454" s="5"/>
      <c r="G454" s="5"/>
      <c r="H454" s="5"/>
      <c r="I454" s="5"/>
      <c r="J454" s="5"/>
      <c r="K454" s="8"/>
      <c r="L454" s="9"/>
      <c r="M454" s="10"/>
      <c r="N454" s="255"/>
      <c r="O454" s="86"/>
      <c r="P454" s="86"/>
      <c r="Q454" s="86"/>
      <c r="R454" s="242"/>
      <c r="S454" s="243"/>
      <c r="T454" s="243"/>
      <c r="U454" s="14"/>
      <c r="V454" s="242"/>
      <c r="W454" s="15"/>
      <c r="X454" s="15"/>
      <c r="Y454" s="15"/>
      <c r="Z454" s="8"/>
      <c r="AA454" s="8"/>
      <c r="AB454" s="56"/>
      <c r="AC454" s="56"/>
      <c r="AD454" s="15"/>
      <c r="AE454" s="15"/>
      <c r="AF454" s="15"/>
      <c r="AG454" s="15"/>
      <c r="AH454" s="57"/>
      <c r="AI454" s="254"/>
      <c r="AJ454" s="15"/>
      <c r="AK454" s="245"/>
      <c r="AL454" s="246"/>
      <c r="AM454" s="247"/>
      <c r="AN454" s="246"/>
      <c r="AO454" s="246"/>
      <c r="AP454" s="15"/>
      <c r="AQ454" s="15"/>
      <c r="AR454" s="15"/>
      <c r="AS454" s="249"/>
      <c r="AT454" s="250"/>
      <c r="AU454" s="249"/>
      <c r="AV454" s="251"/>
      <c r="AW454" s="250"/>
      <c r="AX454" s="249"/>
      <c r="AY454" s="26"/>
      <c r="AZ454" s="26"/>
      <c r="BA454" s="27"/>
      <c r="BB454" s="28"/>
      <c r="BC454" s="29"/>
    </row>
    <row r="455" ht="12.75" customHeight="1">
      <c r="A455" s="26"/>
      <c r="B455" s="12"/>
      <c r="C455" s="240"/>
      <c r="D455" s="241"/>
      <c r="E455" s="5"/>
      <c r="F455" s="5"/>
      <c r="G455" s="5"/>
      <c r="H455" s="5"/>
      <c r="I455" s="5"/>
      <c r="J455" s="5"/>
      <c r="K455" s="8"/>
      <c r="L455" s="9"/>
      <c r="M455" s="10"/>
      <c r="N455" s="255"/>
      <c r="O455" s="86"/>
      <c r="P455" s="86"/>
      <c r="Q455" s="86"/>
      <c r="R455" s="242"/>
      <c r="S455" s="243"/>
      <c r="T455" s="243"/>
      <c r="U455" s="14"/>
      <c r="V455" s="242"/>
      <c r="W455" s="15"/>
      <c r="X455" s="15"/>
      <c r="Y455" s="15"/>
      <c r="Z455" s="8"/>
      <c r="AA455" s="8"/>
      <c r="AB455" s="56"/>
      <c r="AC455" s="56"/>
      <c r="AD455" s="15"/>
      <c r="AE455" s="15"/>
      <c r="AF455" s="15"/>
      <c r="AG455" s="15"/>
      <c r="AH455" s="57"/>
      <c r="AI455" s="254"/>
      <c r="AJ455" s="15"/>
      <c r="AK455" s="245"/>
      <c r="AL455" s="246"/>
      <c r="AM455" s="247"/>
      <c r="AN455" s="246"/>
      <c r="AO455" s="246"/>
      <c r="AP455" s="15"/>
      <c r="AQ455" s="15"/>
      <c r="AR455" s="15"/>
      <c r="AS455" s="249"/>
      <c r="AT455" s="250"/>
      <c r="AU455" s="249"/>
      <c r="AV455" s="251"/>
      <c r="AW455" s="250"/>
      <c r="AX455" s="249"/>
      <c r="AY455" s="26"/>
      <c r="AZ455" s="26"/>
      <c r="BA455" s="27"/>
      <c r="BB455" s="28"/>
      <c r="BC455" s="29"/>
    </row>
    <row r="456" ht="12.75" customHeight="1">
      <c r="A456" s="26"/>
      <c r="B456" s="12"/>
      <c r="C456" s="240"/>
      <c r="D456" s="241"/>
      <c r="E456" s="5"/>
      <c r="F456" s="5"/>
      <c r="G456" s="5"/>
      <c r="H456" s="5"/>
      <c r="I456" s="5"/>
      <c r="J456" s="5"/>
      <c r="K456" s="8"/>
      <c r="L456" s="9"/>
      <c r="M456" s="10"/>
      <c r="N456" s="255"/>
      <c r="O456" s="86"/>
      <c r="P456" s="86"/>
      <c r="Q456" s="86"/>
      <c r="R456" s="242"/>
      <c r="S456" s="243"/>
      <c r="T456" s="243"/>
      <c r="U456" s="14"/>
      <c r="V456" s="242"/>
      <c r="W456" s="15"/>
      <c r="X456" s="15"/>
      <c r="Y456" s="15"/>
      <c r="Z456" s="8"/>
      <c r="AA456" s="8"/>
      <c r="AB456" s="56"/>
      <c r="AC456" s="56"/>
      <c r="AD456" s="15"/>
      <c r="AE456" s="15"/>
      <c r="AF456" s="15"/>
      <c r="AG456" s="15"/>
      <c r="AH456" s="57"/>
      <c r="AI456" s="254"/>
      <c r="AJ456" s="15"/>
      <c r="AK456" s="245"/>
      <c r="AL456" s="246"/>
      <c r="AM456" s="247"/>
      <c r="AN456" s="246"/>
      <c r="AO456" s="246"/>
      <c r="AP456" s="15"/>
      <c r="AQ456" s="15"/>
      <c r="AR456" s="15"/>
      <c r="AS456" s="249"/>
      <c r="AT456" s="250"/>
      <c r="AU456" s="249"/>
      <c r="AV456" s="251"/>
      <c r="AW456" s="250"/>
      <c r="AX456" s="249"/>
      <c r="AY456" s="26"/>
      <c r="AZ456" s="26"/>
      <c r="BA456" s="27"/>
      <c r="BB456" s="28"/>
      <c r="BC456" s="29"/>
    </row>
    <row r="457" ht="12.75" customHeight="1">
      <c r="A457" s="26"/>
      <c r="B457" s="12"/>
      <c r="C457" s="240"/>
      <c r="D457" s="241"/>
      <c r="E457" s="5"/>
      <c r="F457" s="5"/>
      <c r="G457" s="5"/>
      <c r="H457" s="5"/>
      <c r="I457" s="5"/>
      <c r="J457" s="5"/>
      <c r="K457" s="8"/>
      <c r="L457" s="9"/>
      <c r="M457" s="10"/>
      <c r="N457" s="255"/>
      <c r="O457" s="86"/>
      <c r="P457" s="86"/>
      <c r="Q457" s="86"/>
      <c r="R457" s="242"/>
      <c r="S457" s="243"/>
      <c r="T457" s="243"/>
      <c r="U457" s="14"/>
      <c r="V457" s="242"/>
      <c r="W457" s="15"/>
      <c r="X457" s="15"/>
      <c r="Y457" s="15"/>
      <c r="Z457" s="8"/>
      <c r="AA457" s="8"/>
      <c r="AB457" s="56"/>
      <c r="AC457" s="56"/>
      <c r="AD457" s="15"/>
      <c r="AE457" s="15"/>
      <c r="AF457" s="15"/>
      <c r="AG457" s="15"/>
      <c r="AH457" s="57"/>
      <c r="AI457" s="254"/>
      <c r="AJ457" s="15"/>
      <c r="AK457" s="245"/>
      <c r="AL457" s="246"/>
      <c r="AM457" s="247"/>
      <c r="AN457" s="246"/>
      <c r="AO457" s="246"/>
      <c r="AP457" s="15"/>
      <c r="AQ457" s="15"/>
      <c r="AR457" s="15"/>
      <c r="AS457" s="249"/>
      <c r="AT457" s="250"/>
      <c r="AU457" s="249"/>
      <c r="AV457" s="251"/>
      <c r="AW457" s="250"/>
      <c r="AX457" s="249"/>
      <c r="AY457" s="26"/>
      <c r="AZ457" s="26"/>
      <c r="BA457" s="27"/>
      <c r="BB457" s="28"/>
      <c r="BC457" s="29"/>
    </row>
    <row r="458" ht="12.75" customHeight="1">
      <c r="A458" s="26"/>
      <c r="B458" s="12"/>
      <c r="C458" s="240"/>
      <c r="D458" s="241"/>
      <c r="E458" s="5"/>
      <c r="F458" s="5"/>
      <c r="G458" s="5"/>
      <c r="H458" s="5"/>
      <c r="I458" s="5"/>
      <c r="J458" s="5"/>
      <c r="K458" s="8"/>
      <c r="L458" s="9"/>
      <c r="M458" s="10"/>
      <c r="N458" s="255"/>
      <c r="O458" s="86"/>
      <c r="P458" s="86"/>
      <c r="Q458" s="86"/>
      <c r="R458" s="242"/>
      <c r="S458" s="243"/>
      <c r="T458" s="243"/>
      <c r="U458" s="14"/>
      <c r="V458" s="242"/>
      <c r="W458" s="15"/>
      <c r="X458" s="15"/>
      <c r="Y458" s="15"/>
      <c r="Z458" s="8"/>
      <c r="AA458" s="8"/>
      <c r="AB458" s="56"/>
      <c r="AC458" s="56"/>
      <c r="AD458" s="15"/>
      <c r="AE458" s="15"/>
      <c r="AF458" s="15"/>
      <c r="AG458" s="15"/>
      <c r="AH458" s="57"/>
      <c r="AI458" s="254"/>
      <c r="AJ458" s="15"/>
      <c r="AK458" s="245"/>
      <c r="AL458" s="246"/>
      <c r="AM458" s="247"/>
      <c r="AN458" s="246"/>
      <c r="AO458" s="246"/>
      <c r="AP458" s="15"/>
      <c r="AQ458" s="15"/>
      <c r="AR458" s="15"/>
      <c r="AS458" s="249"/>
      <c r="AT458" s="250"/>
      <c r="AU458" s="249"/>
      <c r="AV458" s="251"/>
      <c r="AW458" s="250"/>
      <c r="AX458" s="249"/>
      <c r="AY458" s="26"/>
      <c r="AZ458" s="26"/>
      <c r="BA458" s="27"/>
      <c r="BB458" s="28"/>
      <c r="BC458" s="29"/>
    </row>
    <row r="459" ht="12.75" customHeight="1">
      <c r="A459" s="26"/>
      <c r="B459" s="12"/>
      <c r="C459" s="240"/>
      <c r="D459" s="241"/>
      <c r="E459" s="5"/>
      <c r="F459" s="5"/>
      <c r="G459" s="5"/>
      <c r="H459" s="5"/>
      <c r="I459" s="5"/>
      <c r="J459" s="5"/>
      <c r="K459" s="8"/>
      <c r="L459" s="9"/>
      <c r="M459" s="10"/>
      <c r="N459" s="255"/>
      <c r="O459" s="86"/>
      <c r="P459" s="86"/>
      <c r="Q459" s="86"/>
      <c r="R459" s="242"/>
      <c r="S459" s="243"/>
      <c r="T459" s="243"/>
      <c r="U459" s="14"/>
      <c r="V459" s="242"/>
      <c r="W459" s="15"/>
      <c r="X459" s="15"/>
      <c r="Y459" s="15"/>
      <c r="Z459" s="8"/>
      <c r="AA459" s="8"/>
      <c r="AB459" s="56"/>
      <c r="AC459" s="56"/>
      <c r="AD459" s="15"/>
      <c r="AE459" s="15"/>
      <c r="AF459" s="15"/>
      <c r="AG459" s="15"/>
      <c r="AH459" s="57"/>
      <c r="AI459" s="254"/>
      <c r="AJ459" s="15"/>
      <c r="AK459" s="245"/>
      <c r="AL459" s="246"/>
      <c r="AM459" s="247"/>
      <c r="AN459" s="246"/>
      <c r="AO459" s="246"/>
      <c r="AP459" s="15"/>
      <c r="AQ459" s="15"/>
      <c r="AR459" s="15"/>
      <c r="AS459" s="249"/>
      <c r="AT459" s="250"/>
      <c r="AU459" s="249"/>
      <c r="AV459" s="251"/>
      <c r="AW459" s="250"/>
      <c r="AX459" s="249"/>
      <c r="AY459" s="26"/>
      <c r="AZ459" s="26"/>
      <c r="BA459" s="27"/>
      <c r="BB459" s="28"/>
      <c r="BC459" s="29"/>
    </row>
    <row r="460" ht="12.75" customHeight="1">
      <c r="A460" s="26"/>
      <c r="B460" s="12"/>
      <c r="C460" s="240"/>
      <c r="D460" s="241"/>
      <c r="E460" s="5"/>
      <c r="F460" s="5"/>
      <c r="G460" s="5"/>
      <c r="H460" s="5"/>
      <c r="I460" s="5"/>
      <c r="J460" s="5"/>
      <c r="K460" s="8"/>
      <c r="L460" s="9"/>
      <c r="M460" s="10"/>
      <c r="N460" s="255"/>
      <c r="O460" s="86"/>
      <c r="P460" s="86"/>
      <c r="Q460" s="86"/>
      <c r="R460" s="242"/>
      <c r="S460" s="243"/>
      <c r="T460" s="243"/>
      <c r="U460" s="14"/>
      <c r="V460" s="242"/>
      <c r="W460" s="15"/>
      <c r="X460" s="15"/>
      <c r="Y460" s="15"/>
      <c r="Z460" s="8"/>
      <c r="AA460" s="8"/>
      <c r="AB460" s="56"/>
      <c r="AC460" s="56"/>
      <c r="AD460" s="15"/>
      <c r="AE460" s="15"/>
      <c r="AF460" s="15"/>
      <c r="AG460" s="15"/>
      <c r="AH460" s="57"/>
      <c r="AI460" s="254"/>
      <c r="AJ460" s="15"/>
      <c r="AK460" s="245"/>
      <c r="AL460" s="246"/>
      <c r="AM460" s="247"/>
      <c r="AN460" s="246"/>
      <c r="AO460" s="246"/>
      <c r="AP460" s="15"/>
      <c r="AQ460" s="15"/>
      <c r="AR460" s="15"/>
      <c r="AS460" s="249"/>
      <c r="AT460" s="250"/>
      <c r="AU460" s="249"/>
      <c r="AV460" s="251"/>
      <c r="AW460" s="250"/>
      <c r="AX460" s="249"/>
      <c r="AY460" s="26"/>
      <c r="AZ460" s="26"/>
      <c r="BA460" s="27"/>
      <c r="BB460" s="28"/>
      <c r="BC460" s="29"/>
    </row>
    <row r="461" ht="12.75" customHeight="1">
      <c r="A461" s="26"/>
      <c r="B461" s="12"/>
      <c r="C461" s="240"/>
      <c r="D461" s="241"/>
      <c r="E461" s="5"/>
      <c r="F461" s="5"/>
      <c r="G461" s="5"/>
      <c r="H461" s="5"/>
      <c r="I461" s="5"/>
      <c r="J461" s="5"/>
      <c r="K461" s="8"/>
      <c r="L461" s="9"/>
      <c r="M461" s="10"/>
      <c r="N461" s="255"/>
      <c r="O461" s="86"/>
      <c r="P461" s="86"/>
      <c r="Q461" s="86"/>
      <c r="R461" s="242"/>
      <c r="S461" s="243"/>
      <c r="T461" s="243"/>
      <c r="U461" s="14"/>
      <c r="V461" s="242"/>
      <c r="W461" s="15"/>
      <c r="X461" s="15"/>
      <c r="Y461" s="15"/>
      <c r="Z461" s="8"/>
      <c r="AA461" s="8"/>
      <c r="AB461" s="56"/>
      <c r="AC461" s="56"/>
      <c r="AD461" s="15"/>
      <c r="AE461" s="15"/>
      <c r="AF461" s="15"/>
      <c r="AG461" s="15"/>
      <c r="AH461" s="57"/>
      <c r="AI461" s="254"/>
      <c r="AJ461" s="15"/>
      <c r="AK461" s="245"/>
      <c r="AL461" s="246"/>
      <c r="AM461" s="247"/>
      <c r="AN461" s="246"/>
      <c r="AO461" s="246"/>
      <c r="AP461" s="15"/>
      <c r="AQ461" s="15"/>
      <c r="AR461" s="15"/>
      <c r="AS461" s="249"/>
      <c r="AT461" s="250"/>
      <c r="AU461" s="249"/>
      <c r="AV461" s="251"/>
      <c r="AW461" s="250"/>
      <c r="AX461" s="249"/>
      <c r="AY461" s="26"/>
      <c r="AZ461" s="26"/>
      <c r="BA461" s="27"/>
      <c r="BB461" s="28"/>
      <c r="BC461" s="29"/>
    </row>
    <row r="462" ht="12.75" customHeight="1">
      <c r="A462" s="26"/>
      <c r="B462" s="12"/>
      <c r="C462" s="240"/>
      <c r="D462" s="241"/>
      <c r="E462" s="5"/>
      <c r="F462" s="5"/>
      <c r="G462" s="5"/>
      <c r="H462" s="5"/>
      <c r="I462" s="5"/>
      <c r="J462" s="5"/>
      <c r="K462" s="8"/>
      <c r="L462" s="9"/>
      <c r="M462" s="10"/>
      <c r="N462" s="255"/>
      <c r="O462" s="86"/>
      <c r="P462" s="86"/>
      <c r="Q462" s="86"/>
      <c r="R462" s="242"/>
      <c r="S462" s="243"/>
      <c r="T462" s="243"/>
      <c r="U462" s="14"/>
      <c r="V462" s="242"/>
      <c r="W462" s="15"/>
      <c r="X462" s="15"/>
      <c r="Y462" s="15"/>
      <c r="Z462" s="8"/>
      <c r="AA462" s="8"/>
      <c r="AB462" s="56"/>
      <c r="AC462" s="56"/>
      <c r="AD462" s="15"/>
      <c r="AE462" s="15"/>
      <c r="AF462" s="15"/>
      <c r="AG462" s="15"/>
      <c r="AH462" s="57"/>
      <c r="AI462" s="254"/>
      <c r="AJ462" s="15"/>
      <c r="AK462" s="245"/>
      <c r="AL462" s="246"/>
      <c r="AM462" s="247"/>
      <c r="AN462" s="246"/>
      <c r="AO462" s="246"/>
      <c r="AP462" s="15"/>
      <c r="AQ462" s="15"/>
      <c r="AR462" s="15"/>
      <c r="AS462" s="249"/>
      <c r="AT462" s="250"/>
      <c r="AU462" s="249"/>
      <c r="AV462" s="251"/>
      <c r="AW462" s="250"/>
      <c r="AX462" s="249"/>
      <c r="AY462" s="26"/>
      <c r="AZ462" s="26"/>
      <c r="BA462" s="27"/>
      <c r="BB462" s="28"/>
      <c r="BC462" s="29"/>
    </row>
    <row r="463" ht="12.75" customHeight="1">
      <c r="A463" s="26"/>
      <c r="B463" s="12"/>
      <c r="C463" s="240"/>
      <c r="D463" s="241"/>
      <c r="E463" s="5"/>
      <c r="F463" s="5"/>
      <c r="G463" s="5"/>
      <c r="H463" s="5"/>
      <c r="I463" s="5"/>
      <c r="J463" s="5"/>
      <c r="K463" s="8"/>
      <c r="L463" s="9"/>
      <c r="M463" s="10"/>
      <c r="N463" s="255"/>
      <c r="O463" s="86"/>
      <c r="P463" s="86"/>
      <c r="Q463" s="86"/>
      <c r="R463" s="242"/>
      <c r="S463" s="243"/>
      <c r="T463" s="243"/>
      <c r="U463" s="14"/>
      <c r="V463" s="242"/>
      <c r="W463" s="15"/>
      <c r="X463" s="15"/>
      <c r="Y463" s="15"/>
      <c r="Z463" s="8"/>
      <c r="AA463" s="8"/>
      <c r="AB463" s="56"/>
      <c r="AC463" s="56"/>
      <c r="AD463" s="15"/>
      <c r="AE463" s="15"/>
      <c r="AF463" s="15"/>
      <c r="AG463" s="15"/>
      <c r="AH463" s="57"/>
      <c r="AI463" s="254"/>
      <c r="AJ463" s="15"/>
      <c r="AK463" s="245"/>
      <c r="AL463" s="246"/>
      <c r="AM463" s="247"/>
      <c r="AN463" s="246"/>
      <c r="AO463" s="246"/>
      <c r="AP463" s="15"/>
      <c r="AQ463" s="15"/>
      <c r="AR463" s="15"/>
      <c r="AS463" s="249"/>
      <c r="AT463" s="250"/>
      <c r="AU463" s="249"/>
      <c r="AV463" s="251"/>
      <c r="AW463" s="250"/>
      <c r="AX463" s="249"/>
      <c r="AY463" s="26"/>
      <c r="AZ463" s="26"/>
      <c r="BA463" s="27"/>
      <c r="BB463" s="28"/>
      <c r="BC463" s="29"/>
    </row>
    <row r="464" ht="12.75" customHeight="1">
      <c r="A464" s="26"/>
      <c r="B464" s="12"/>
      <c r="C464" s="240"/>
      <c r="D464" s="241"/>
      <c r="E464" s="5"/>
      <c r="F464" s="5"/>
      <c r="G464" s="5"/>
      <c r="H464" s="5"/>
      <c r="I464" s="5"/>
      <c r="J464" s="5"/>
      <c r="K464" s="8"/>
      <c r="L464" s="9"/>
      <c r="M464" s="10"/>
      <c r="N464" s="255"/>
      <c r="O464" s="86"/>
      <c r="P464" s="86"/>
      <c r="Q464" s="86"/>
      <c r="R464" s="242"/>
      <c r="S464" s="243"/>
      <c r="T464" s="243"/>
      <c r="U464" s="14"/>
      <c r="V464" s="242"/>
      <c r="W464" s="15"/>
      <c r="X464" s="15"/>
      <c r="Y464" s="15"/>
      <c r="Z464" s="8"/>
      <c r="AA464" s="8"/>
      <c r="AB464" s="56"/>
      <c r="AC464" s="56"/>
      <c r="AD464" s="15"/>
      <c r="AE464" s="15"/>
      <c r="AF464" s="15"/>
      <c r="AG464" s="15"/>
      <c r="AH464" s="57"/>
      <c r="AI464" s="254"/>
      <c r="AJ464" s="15"/>
      <c r="AK464" s="245"/>
      <c r="AL464" s="246"/>
      <c r="AM464" s="247"/>
      <c r="AN464" s="246"/>
      <c r="AO464" s="246"/>
      <c r="AP464" s="15"/>
      <c r="AQ464" s="15"/>
      <c r="AR464" s="15"/>
      <c r="AS464" s="249"/>
      <c r="AT464" s="250"/>
      <c r="AU464" s="249"/>
      <c r="AV464" s="251"/>
      <c r="AW464" s="250"/>
      <c r="AX464" s="249"/>
      <c r="AY464" s="26"/>
      <c r="AZ464" s="26"/>
      <c r="BA464" s="27"/>
      <c r="BB464" s="28"/>
      <c r="BC464" s="29"/>
    </row>
    <row r="465" ht="12.75" customHeight="1">
      <c r="A465" s="26"/>
      <c r="B465" s="12"/>
      <c r="C465" s="240"/>
      <c r="D465" s="241"/>
      <c r="E465" s="5"/>
      <c r="F465" s="5"/>
      <c r="G465" s="5"/>
      <c r="H465" s="5"/>
      <c r="I465" s="5"/>
      <c r="J465" s="5"/>
      <c r="K465" s="8"/>
      <c r="L465" s="9"/>
      <c r="M465" s="10"/>
      <c r="N465" s="255"/>
      <c r="O465" s="86"/>
      <c r="P465" s="86"/>
      <c r="Q465" s="86"/>
      <c r="R465" s="242"/>
      <c r="S465" s="243"/>
      <c r="T465" s="243"/>
      <c r="U465" s="14"/>
      <c r="V465" s="242"/>
      <c r="W465" s="15"/>
      <c r="X465" s="15"/>
      <c r="Y465" s="15"/>
      <c r="Z465" s="8"/>
      <c r="AA465" s="8"/>
      <c r="AB465" s="56"/>
      <c r="AC465" s="56"/>
      <c r="AD465" s="15"/>
      <c r="AE465" s="15"/>
      <c r="AF465" s="15"/>
      <c r="AG465" s="15"/>
      <c r="AH465" s="57"/>
      <c r="AI465" s="254"/>
      <c r="AJ465" s="15"/>
      <c r="AK465" s="245"/>
      <c r="AL465" s="246"/>
      <c r="AM465" s="247"/>
      <c r="AN465" s="246"/>
      <c r="AO465" s="246"/>
      <c r="AP465" s="15"/>
      <c r="AQ465" s="15"/>
      <c r="AR465" s="15"/>
      <c r="AS465" s="249"/>
      <c r="AT465" s="250"/>
      <c r="AU465" s="249"/>
      <c r="AV465" s="251"/>
      <c r="AW465" s="250"/>
      <c r="AX465" s="249"/>
      <c r="AY465" s="26"/>
      <c r="AZ465" s="26"/>
      <c r="BA465" s="27"/>
      <c r="BB465" s="28"/>
      <c r="BC465" s="29"/>
    </row>
    <row r="466" ht="12.75" customHeight="1">
      <c r="A466" s="26"/>
      <c r="B466" s="12"/>
      <c r="C466" s="240"/>
      <c r="D466" s="241"/>
      <c r="E466" s="5"/>
      <c r="F466" s="5"/>
      <c r="G466" s="5"/>
      <c r="H466" s="5"/>
      <c r="I466" s="5"/>
      <c r="J466" s="5"/>
      <c r="K466" s="8"/>
      <c r="L466" s="9"/>
      <c r="M466" s="10"/>
      <c r="N466" s="255"/>
      <c r="O466" s="86"/>
      <c r="P466" s="86"/>
      <c r="Q466" s="86"/>
      <c r="R466" s="242"/>
      <c r="S466" s="243"/>
      <c r="T466" s="243"/>
      <c r="U466" s="14"/>
      <c r="V466" s="242"/>
      <c r="W466" s="15"/>
      <c r="X466" s="15"/>
      <c r="Y466" s="15"/>
      <c r="Z466" s="8"/>
      <c r="AA466" s="8"/>
      <c r="AB466" s="56"/>
      <c r="AC466" s="56"/>
      <c r="AD466" s="15"/>
      <c r="AE466" s="15"/>
      <c r="AF466" s="15"/>
      <c r="AG466" s="15"/>
      <c r="AH466" s="57"/>
      <c r="AI466" s="254"/>
      <c r="AJ466" s="15"/>
      <c r="AK466" s="245"/>
      <c r="AL466" s="246"/>
      <c r="AM466" s="247"/>
      <c r="AN466" s="246"/>
      <c r="AO466" s="246"/>
      <c r="AP466" s="15"/>
      <c r="AQ466" s="15"/>
      <c r="AR466" s="15"/>
      <c r="AS466" s="249"/>
      <c r="AT466" s="250"/>
      <c r="AU466" s="249"/>
      <c r="AV466" s="251"/>
      <c r="AW466" s="250"/>
      <c r="AX466" s="249"/>
      <c r="AY466" s="26"/>
      <c r="AZ466" s="26"/>
      <c r="BA466" s="27"/>
      <c r="BB466" s="28"/>
      <c r="BC466" s="29"/>
    </row>
    <row r="467" ht="12.75" customHeight="1">
      <c r="A467" s="26"/>
      <c r="B467" s="12"/>
      <c r="C467" s="240"/>
      <c r="D467" s="241"/>
      <c r="E467" s="5"/>
      <c r="F467" s="5"/>
      <c r="G467" s="5"/>
      <c r="H467" s="5"/>
      <c r="I467" s="5"/>
      <c r="J467" s="5"/>
      <c r="K467" s="8"/>
      <c r="L467" s="9"/>
      <c r="M467" s="10"/>
      <c r="N467" s="255"/>
      <c r="O467" s="86"/>
      <c r="P467" s="86"/>
      <c r="Q467" s="86"/>
      <c r="R467" s="242"/>
      <c r="S467" s="243"/>
      <c r="T467" s="243"/>
      <c r="U467" s="14"/>
      <c r="V467" s="242"/>
      <c r="W467" s="15"/>
      <c r="X467" s="15"/>
      <c r="Y467" s="15"/>
      <c r="Z467" s="8"/>
      <c r="AA467" s="8"/>
      <c r="AB467" s="56"/>
      <c r="AC467" s="56"/>
      <c r="AD467" s="15"/>
      <c r="AE467" s="15"/>
      <c r="AF467" s="15"/>
      <c r="AG467" s="15"/>
      <c r="AH467" s="57"/>
      <c r="AI467" s="254"/>
      <c r="AJ467" s="15"/>
      <c r="AK467" s="245"/>
      <c r="AL467" s="246"/>
      <c r="AM467" s="247"/>
      <c r="AN467" s="246"/>
      <c r="AO467" s="246"/>
      <c r="AP467" s="15"/>
      <c r="AQ467" s="15"/>
      <c r="AR467" s="15"/>
      <c r="AS467" s="249"/>
      <c r="AT467" s="250"/>
      <c r="AU467" s="249"/>
      <c r="AV467" s="251"/>
      <c r="AW467" s="250"/>
      <c r="AX467" s="249"/>
      <c r="AY467" s="26"/>
      <c r="AZ467" s="26"/>
      <c r="BA467" s="27"/>
      <c r="BB467" s="28"/>
      <c r="BC467" s="29"/>
    </row>
    <row r="468" ht="12.75" customHeight="1">
      <c r="A468" s="26"/>
      <c r="B468" s="12"/>
      <c r="C468" s="240"/>
      <c r="D468" s="241"/>
      <c r="E468" s="5"/>
      <c r="F468" s="5"/>
      <c r="G468" s="5"/>
      <c r="H468" s="5"/>
      <c r="I468" s="5"/>
      <c r="J468" s="5"/>
      <c r="K468" s="8"/>
      <c r="L468" s="9"/>
      <c r="M468" s="10"/>
      <c r="N468" s="255"/>
      <c r="O468" s="86"/>
      <c r="P468" s="86"/>
      <c r="Q468" s="86"/>
      <c r="R468" s="242"/>
      <c r="S468" s="243"/>
      <c r="T468" s="243"/>
      <c r="U468" s="14"/>
      <c r="V468" s="242"/>
      <c r="W468" s="15"/>
      <c r="X468" s="15"/>
      <c r="Y468" s="15"/>
      <c r="Z468" s="8"/>
      <c r="AA468" s="8"/>
      <c r="AB468" s="56"/>
      <c r="AC468" s="56"/>
      <c r="AD468" s="15"/>
      <c r="AE468" s="15"/>
      <c r="AF468" s="15"/>
      <c r="AG468" s="15"/>
      <c r="AH468" s="57"/>
      <c r="AI468" s="254"/>
      <c r="AJ468" s="15"/>
      <c r="AK468" s="245"/>
      <c r="AL468" s="246"/>
      <c r="AM468" s="247"/>
      <c r="AN468" s="246"/>
      <c r="AO468" s="246"/>
      <c r="AP468" s="15"/>
      <c r="AQ468" s="15"/>
      <c r="AR468" s="15"/>
      <c r="AS468" s="249"/>
      <c r="AT468" s="250"/>
      <c r="AU468" s="249"/>
      <c r="AV468" s="251"/>
      <c r="AW468" s="250"/>
      <c r="AX468" s="249"/>
      <c r="AY468" s="26"/>
      <c r="AZ468" s="26"/>
      <c r="BA468" s="27"/>
      <c r="BB468" s="28"/>
      <c r="BC468" s="29"/>
    </row>
    <row r="469" ht="12.75" customHeight="1">
      <c r="A469" s="26"/>
      <c r="B469" s="12"/>
      <c r="C469" s="240"/>
      <c r="D469" s="241"/>
      <c r="E469" s="5"/>
      <c r="F469" s="5"/>
      <c r="G469" s="5"/>
      <c r="H469" s="5"/>
      <c r="I469" s="5"/>
      <c r="J469" s="5"/>
      <c r="K469" s="8"/>
      <c r="L469" s="9"/>
      <c r="M469" s="10"/>
      <c r="N469" s="255"/>
      <c r="O469" s="86"/>
      <c r="P469" s="86"/>
      <c r="Q469" s="86"/>
      <c r="R469" s="242"/>
      <c r="S469" s="243"/>
      <c r="T469" s="243"/>
      <c r="U469" s="14"/>
      <c r="V469" s="242"/>
      <c r="W469" s="15"/>
      <c r="X469" s="15"/>
      <c r="Y469" s="15"/>
      <c r="Z469" s="8"/>
      <c r="AA469" s="8"/>
      <c r="AB469" s="56"/>
      <c r="AC469" s="56"/>
      <c r="AD469" s="15"/>
      <c r="AE469" s="15"/>
      <c r="AF469" s="15"/>
      <c r="AG469" s="15"/>
      <c r="AH469" s="57"/>
      <c r="AI469" s="254"/>
      <c r="AJ469" s="15"/>
      <c r="AK469" s="245"/>
      <c r="AL469" s="246"/>
      <c r="AM469" s="247"/>
      <c r="AN469" s="246"/>
      <c r="AO469" s="246"/>
      <c r="AP469" s="15"/>
      <c r="AQ469" s="15"/>
      <c r="AR469" s="15"/>
      <c r="AS469" s="249"/>
      <c r="AT469" s="250"/>
      <c r="AU469" s="249"/>
      <c r="AV469" s="251"/>
      <c r="AW469" s="250"/>
      <c r="AX469" s="249"/>
      <c r="AY469" s="26"/>
      <c r="AZ469" s="26"/>
      <c r="BA469" s="27"/>
      <c r="BB469" s="28"/>
      <c r="BC469" s="29"/>
    </row>
    <row r="470" ht="12.75" customHeight="1">
      <c r="A470" s="26"/>
      <c r="B470" s="12"/>
      <c r="C470" s="240"/>
      <c r="D470" s="241"/>
      <c r="E470" s="5"/>
      <c r="F470" s="5"/>
      <c r="G470" s="5"/>
      <c r="H470" s="5"/>
      <c r="I470" s="5"/>
      <c r="J470" s="5"/>
      <c r="K470" s="8"/>
      <c r="L470" s="9"/>
      <c r="M470" s="10"/>
      <c r="N470" s="255"/>
      <c r="O470" s="86"/>
      <c r="P470" s="86"/>
      <c r="Q470" s="86"/>
      <c r="R470" s="242"/>
      <c r="S470" s="243"/>
      <c r="T470" s="243"/>
      <c r="U470" s="14"/>
      <c r="V470" s="242"/>
      <c r="W470" s="15"/>
      <c r="X470" s="15"/>
      <c r="Y470" s="15"/>
      <c r="Z470" s="8"/>
      <c r="AA470" s="8"/>
      <c r="AB470" s="56"/>
      <c r="AC470" s="56"/>
      <c r="AD470" s="15"/>
      <c r="AE470" s="15"/>
      <c r="AF470" s="15"/>
      <c r="AG470" s="15"/>
      <c r="AH470" s="57"/>
      <c r="AI470" s="254"/>
      <c r="AJ470" s="15"/>
      <c r="AK470" s="245"/>
      <c r="AL470" s="246"/>
      <c r="AM470" s="247"/>
      <c r="AN470" s="246"/>
      <c r="AO470" s="246"/>
      <c r="AP470" s="15"/>
      <c r="AQ470" s="15"/>
      <c r="AR470" s="15"/>
      <c r="AS470" s="249"/>
      <c r="AT470" s="250"/>
      <c r="AU470" s="249"/>
      <c r="AV470" s="251"/>
      <c r="AW470" s="250"/>
      <c r="AX470" s="249"/>
      <c r="AY470" s="26"/>
      <c r="AZ470" s="26"/>
      <c r="BA470" s="27"/>
      <c r="BB470" s="28"/>
      <c r="BC470" s="29"/>
    </row>
    <row r="471" ht="12.75" customHeight="1">
      <c r="A471" s="26"/>
      <c r="B471" s="12"/>
      <c r="C471" s="240"/>
      <c r="D471" s="241"/>
      <c r="E471" s="5"/>
      <c r="F471" s="5"/>
      <c r="G471" s="5"/>
      <c r="H471" s="5"/>
      <c r="I471" s="5"/>
      <c r="J471" s="5"/>
      <c r="K471" s="8"/>
      <c r="L471" s="9"/>
      <c r="M471" s="10"/>
      <c r="N471" s="255"/>
      <c r="O471" s="86"/>
      <c r="P471" s="86"/>
      <c r="Q471" s="86"/>
      <c r="R471" s="242"/>
      <c r="S471" s="243"/>
      <c r="T471" s="243"/>
      <c r="U471" s="14"/>
      <c r="V471" s="242"/>
      <c r="W471" s="15"/>
      <c r="X471" s="15"/>
      <c r="Y471" s="15"/>
      <c r="Z471" s="8"/>
      <c r="AA471" s="8"/>
      <c r="AB471" s="56"/>
      <c r="AC471" s="56"/>
      <c r="AD471" s="15"/>
      <c r="AE471" s="15"/>
      <c r="AF471" s="15"/>
      <c r="AG471" s="15"/>
      <c r="AH471" s="57"/>
      <c r="AI471" s="254"/>
      <c r="AJ471" s="15"/>
      <c r="AK471" s="245"/>
      <c r="AL471" s="246"/>
      <c r="AM471" s="247"/>
      <c r="AN471" s="246"/>
      <c r="AO471" s="246"/>
      <c r="AP471" s="15"/>
      <c r="AQ471" s="15"/>
      <c r="AR471" s="15"/>
      <c r="AS471" s="249"/>
      <c r="AT471" s="250"/>
      <c r="AU471" s="249"/>
      <c r="AV471" s="251"/>
      <c r="AW471" s="250"/>
      <c r="AX471" s="249"/>
      <c r="AY471" s="26"/>
      <c r="AZ471" s="26"/>
      <c r="BA471" s="27"/>
      <c r="BB471" s="28"/>
      <c r="BC471" s="29"/>
    </row>
    <row r="472" ht="12.75" customHeight="1">
      <c r="A472" s="26"/>
      <c r="B472" s="12"/>
      <c r="C472" s="240"/>
      <c r="D472" s="241"/>
      <c r="E472" s="5"/>
      <c r="F472" s="5"/>
      <c r="G472" s="5"/>
      <c r="H472" s="5"/>
      <c r="I472" s="5"/>
      <c r="J472" s="5"/>
      <c r="K472" s="8"/>
      <c r="L472" s="9"/>
      <c r="M472" s="10"/>
      <c r="N472" s="255"/>
      <c r="O472" s="86"/>
      <c r="P472" s="86"/>
      <c r="Q472" s="86"/>
      <c r="R472" s="242"/>
      <c r="S472" s="243"/>
      <c r="T472" s="243"/>
      <c r="U472" s="14"/>
      <c r="V472" s="242"/>
      <c r="W472" s="15"/>
      <c r="X472" s="15"/>
      <c r="Y472" s="15"/>
      <c r="Z472" s="8"/>
      <c r="AA472" s="8"/>
      <c r="AB472" s="56"/>
      <c r="AC472" s="56"/>
      <c r="AD472" s="15"/>
      <c r="AE472" s="15"/>
      <c r="AF472" s="15"/>
      <c r="AG472" s="15"/>
      <c r="AH472" s="57"/>
      <c r="AI472" s="254"/>
      <c r="AJ472" s="15"/>
      <c r="AK472" s="245"/>
      <c r="AL472" s="246"/>
      <c r="AM472" s="247"/>
      <c r="AN472" s="246"/>
      <c r="AO472" s="246"/>
      <c r="AP472" s="15"/>
      <c r="AQ472" s="15"/>
      <c r="AR472" s="15"/>
      <c r="AS472" s="249"/>
      <c r="AT472" s="250"/>
      <c r="AU472" s="249"/>
      <c r="AV472" s="251"/>
      <c r="AW472" s="250"/>
      <c r="AX472" s="249"/>
      <c r="AY472" s="26"/>
      <c r="AZ472" s="26"/>
      <c r="BA472" s="27"/>
      <c r="BB472" s="28"/>
      <c r="BC472" s="29"/>
    </row>
    <row r="473" ht="12.75" customHeight="1">
      <c r="A473" s="26"/>
      <c r="B473" s="12"/>
      <c r="C473" s="240"/>
      <c r="D473" s="241"/>
      <c r="E473" s="5"/>
      <c r="F473" s="5"/>
      <c r="G473" s="5"/>
      <c r="H473" s="5"/>
      <c r="I473" s="5"/>
      <c r="J473" s="5"/>
      <c r="K473" s="8"/>
      <c r="L473" s="9"/>
      <c r="M473" s="10"/>
      <c r="N473" s="255"/>
      <c r="O473" s="86"/>
      <c r="P473" s="86"/>
      <c r="Q473" s="86"/>
      <c r="R473" s="242"/>
      <c r="S473" s="243"/>
      <c r="T473" s="243"/>
      <c r="U473" s="14"/>
      <c r="V473" s="242"/>
      <c r="W473" s="15"/>
      <c r="X473" s="15"/>
      <c r="Y473" s="15"/>
      <c r="Z473" s="8"/>
      <c r="AA473" s="8"/>
      <c r="AB473" s="56"/>
      <c r="AC473" s="56"/>
      <c r="AD473" s="15"/>
      <c r="AE473" s="15"/>
      <c r="AF473" s="15"/>
      <c r="AG473" s="15"/>
      <c r="AH473" s="57"/>
      <c r="AI473" s="254"/>
      <c r="AJ473" s="15"/>
      <c r="AK473" s="245"/>
      <c r="AL473" s="246"/>
      <c r="AM473" s="247"/>
      <c r="AN473" s="246"/>
      <c r="AO473" s="246"/>
      <c r="AP473" s="15"/>
      <c r="AQ473" s="15"/>
      <c r="AR473" s="15"/>
      <c r="AS473" s="249"/>
      <c r="AT473" s="250"/>
      <c r="AU473" s="249"/>
      <c r="AV473" s="251"/>
      <c r="AW473" s="250"/>
      <c r="AX473" s="249"/>
      <c r="AY473" s="26"/>
      <c r="AZ473" s="26"/>
      <c r="BA473" s="27"/>
      <c r="BB473" s="28"/>
      <c r="BC473" s="29"/>
    </row>
    <row r="474" ht="12.75" customHeight="1">
      <c r="A474" s="26"/>
      <c r="B474" s="12"/>
      <c r="C474" s="240"/>
      <c r="D474" s="241"/>
      <c r="E474" s="5"/>
      <c r="F474" s="5"/>
      <c r="G474" s="5"/>
      <c r="H474" s="5"/>
      <c r="I474" s="5"/>
      <c r="J474" s="5"/>
      <c r="K474" s="8"/>
      <c r="L474" s="9"/>
      <c r="M474" s="10"/>
      <c r="N474" s="255"/>
      <c r="O474" s="86"/>
      <c r="P474" s="86"/>
      <c r="Q474" s="86"/>
      <c r="R474" s="242"/>
      <c r="S474" s="243"/>
      <c r="T474" s="243"/>
      <c r="U474" s="14"/>
      <c r="V474" s="242"/>
      <c r="W474" s="15"/>
      <c r="X474" s="15"/>
      <c r="Y474" s="15"/>
      <c r="Z474" s="8"/>
      <c r="AA474" s="8"/>
      <c r="AB474" s="56"/>
      <c r="AC474" s="56"/>
      <c r="AD474" s="15"/>
      <c r="AE474" s="15"/>
      <c r="AF474" s="15"/>
      <c r="AG474" s="15"/>
      <c r="AH474" s="57"/>
      <c r="AI474" s="254"/>
      <c r="AJ474" s="15"/>
      <c r="AK474" s="245"/>
      <c r="AL474" s="246"/>
      <c r="AM474" s="247"/>
      <c r="AN474" s="246"/>
      <c r="AO474" s="246"/>
      <c r="AP474" s="15"/>
      <c r="AQ474" s="15"/>
      <c r="AR474" s="15"/>
      <c r="AS474" s="249"/>
      <c r="AT474" s="250"/>
      <c r="AU474" s="249"/>
      <c r="AV474" s="251"/>
      <c r="AW474" s="250"/>
      <c r="AX474" s="249"/>
      <c r="AY474" s="26"/>
      <c r="AZ474" s="26"/>
      <c r="BA474" s="27"/>
      <c r="BB474" s="28"/>
      <c r="BC474" s="29"/>
    </row>
    <row r="475" ht="12.75" customHeight="1">
      <c r="A475" s="26"/>
      <c r="B475" s="12"/>
      <c r="C475" s="240"/>
      <c r="D475" s="241"/>
      <c r="E475" s="5"/>
      <c r="F475" s="5"/>
      <c r="G475" s="5"/>
      <c r="H475" s="5"/>
      <c r="I475" s="5"/>
      <c r="J475" s="5"/>
      <c r="K475" s="8"/>
      <c r="L475" s="9"/>
      <c r="M475" s="10"/>
      <c r="N475" s="255"/>
      <c r="O475" s="86"/>
      <c r="P475" s="86"/>
      <c r="Q475" s="86"/>
      <c r="R475" s="242"/>
      <c r="S475" s="243"/>
      <c r="T475" s="243"/>
      <c r="U475" s="14"/>
      <c r="V475" s="242"/>
      <c r="W475" s="15"/>
      <c r="X475" s="15"/>
      <c r="Y475" s="15"/>
      <c r="Z475" s="8"/>
      <c r="AA475" s="8"/>
      <c r="AB475" s="56"/>
      <c r="AC475" s="56"/>
      <c r="AD475" s="15"/>
      <c r="AE475" s="15"/>
      <c r="AF475" s="15"/>
      <c r="AG475" s="15"/>
      <c r="AH475" s="57"/>
      <c r="AI475" s="254"/>
      <c r="AJ475" s="15"/>
      <c r="AK475" s="245"/>
      <c r="AL475" s="246"/>
      <c r="AM475" s="247"/>
      <c r="AN475" s="246"/>
      <c r="AO475" s="246"/>
      <c r="AP475" s="15"/>
      <c r="AQ475" s="15"/>
      <c r="AR475" s="15"/>
      <c r="AS475" s="249"/>
      <c r="AT475" s="250"/>
      <c r="AU475" s="249"/>
      <c r="AV475" s="251"/>
      <c r="AW475" s="250"/>
      <c r="AX475" s="249"/>
      <c r="AY475" s="26"/>
      <c r="AZ475" s="26"/>
      <c r="BA475" s="27"/>
      <c r="BB475" s="28"/>
      <c r="BC475" s="29"/>
    </row>
    <row r="476" ht="12.75" customHeight="1">
      <c r="A476" s="26"/>
      <c r="B476" s="12"/>
      <c r="C476" s="240"/>
      <c r="D476" s="241"/>
      <c r="E476" s="5"/>
      <c r="F476" s="5"/>
      <c r="G476" s="5"/>
      <c r="H476" s="5"/>
      <c r="I476" s="5"/>
      <c r="J476" s="5"/>
      <c r="K476" s="8"/>
      <c r="L476" s="9"/>
      <c r="M476" s="10"/>
      <c r="N476" s="255"/>
      <c r="O476" s="86"/>
      <c r="P476" s="86"/>
      <c r="Q476" s="86"/>
      <c r="R476" s="242"/>
      <c r="S476" s="243"/>
      <c r="T476" s="243"/>
      <c r="U476" s="14"/>
      <c r="V476" s="242"/>
      <c r="W476" s="15"/>
      <c r="X476" s="15"/>
      <c r="Y476" s="15"/>
      <c r="Z476" s="8"/>
      <c r="AA476" s="8"/>
      <c r="AB476" s="56"/>
      <c r="AC476" s="56"/>
      <c r="AD476" s="15"/>
      <c r="AE476" s="15"/>
      <c r="AF476" s="15"/>
      <c r="AG476" s="15"/>
      <c r="AH476" s="57"/>
      <c r="AI476" s="254"/>
      <c r="AJ476" s="15"/>
      <c r="AK476" s="245"/>
      <c r="AL476" s="246"/>
      <c r="AM476" s="247"/>
      <c r="AN476" s="246"/>
      <c r="AO476" s="246"/>
      <c r="AP476" s="15"/>
      <c r="AQ476" s="15"/>
      <c r="AR476" s="15"/>
      <c r="AS476" s="249"/>
      <c r="AT476" s="250"/>
      <c r="AU476" s="249"/>
      <c r="AV476" s="251"/>
      <c r="AW476" s="250"/>
      <c r="AX476" s="249"/>
      <c r="AY476" s="26"/>
      <c r="AZ476" s="26"/>
      <c r="BA476" s="27"/>
      <c r="BB476" s="28"/>
      <c r="BC476" s="29"/>
    </row>
    <row r="477" ht="12.75" customHeight="1">
      <c r="A477" s="26"/>
      <c r="B477" s="12"/>
      <c r="C477" s="240"/>
      <c r="D477" s="241"/>
      <c r="E477" s="5"/>
      <c r="F477" s="5"/>
      <c r="G477" s="5"/>
      <c r="H477" s="5"/>
      <c r="I477" s="5"/>
      <c r="J477" s="5"/>
      <c r="K477" s="8"/>
      <c r="L477" s="9"/>
      <c r="M477" s="10"/>
      <c r="N477" s="255"/>
      <c r="O477" s="86"/>
      <c r="P477" s="86"/>
      <c r="Q477" s="86"/>
      <c r="R477" s="242"/>
      <c r="S477" s="243"/>
      <c r="T477" s="243"/>
      <c r="U477" s="14"/>
      <c r="V477" s="242"/>
      <c r="W477" s="15"/>
      <c r="X477" s="15"/>
      <c r="Y477" s="15"/>
      <c r="Z477" s="8"/>
      <c r="AA477" s="8"/>
      <c r="AB477" s="56"/>
      <c r="AC477" s="56"/>
      <c r="AD477" s="15"/>
      <c r="AE477" s="15"/>
      <c r="AF477" s="15"/>
      <c r="AG477" s="15"/>
      <c r="AH477" s="57"/>
      <c r="AI477" s="254"/>
      <c r="AJ477" s="15"/>
      <c r="AK477" s="245"/>
      <c r="AL477" s="246"/>
      <c r="AM477" s="247"/>
      <c r="AN477" s="246"/>
      <c r="AO477" s="246"/>
      <c r="AP477" s="15"/>
      <c r="AQ477" s="15"/>
      <c r="AR477" s="15"/>
      <c r="AS477" s="249"/>
      <c r="AT477" s="250"/>
      <c r="AU477" s="249"/>
      <c r="AV477" s="251"/>
      <c r="AW477" s="250"/>
      <c r="AX477" s="249"/>
      <c r="AY477" s="26"/>
      <c r="AZ477" s="26"/>
      <c r="BA477" s="27"/>
      <c r="BB477" s="28"/>
      <c r="BC477" s="29"/>
    </row>
    <row r="478" ht="12.75" customHeight="1">
      <c r="A478" s="26"/>
      <c r="B478" s="12"/>
      <c r="C478" s="240"/>
      <c r="D478" s="241"/>
      <c r="E478" s="5"/>
      <c r="F478" s="5"/>
      <c r="G478" s="5"/>
      <c r="H478" s="5"/>
      <c r="I478" s="5"/>
      <c r="J478" s="5"/>
      <c r="K478" s="8"/>
      <c r="L478" s="9"/>
      <c r="M478" s="10"/>
      <c r="N478" s="255"/>
      <c r="O478" s="86"/>
      <c r="P478" s="86"/>
      <c r="Q478" s="86"/>
      <c r="R478" s="242"/>
      <c r="S478" s="243"/>
      <c r="T478" s="243"/>
      <c r="U478" s="14"/>
      <c r="V478" s="242"/>
      <c r="W478" s="15"/>
      <c r="X478" s="15"/>
      <c r="Y478" s="15"/>
      <c r="Z478" s="8"/>
      <c r="AA478" s="8"/>
      <c r="AB478" s="56"/>
      <c r="AC478" s="56"/>
      <c r="AD478" s="15"/>
      <c r="AE478" s="15"/>
      <c r="AF478" s="15"/>
      <c r="AG478" s="15"/>
      <c r="AH478" s="57"/>
      <c r="AI478" s="254"/>
      <c r="AJ478" s="15"/>
      <c r="AK478" s="245"/>
      <c r="AL478" s="246"/>
      <c r="AM478" s="247"/>
      <c r="AN478" s="246"/>
      <c r="AO478" s="246"/>
      <c r="AP478" s="15"/>
      <c r="AQ478" s="15"/>
      <c r="AR478" s="15"/>
      <c r="AS478" s="249"/>
      <c r="AT478" s="250"/>
      <c r="AU478" s="249"/>
      <c r="AV478" s="251"/>
      <c r="AW478" s="250"/>
      <c r="AX478" s="249"/>
      <c r="AY478" s="26"/>
      <c r="AZ478" s="26"/>
      <c r="BA478" s="27"/>
      <c r="BB478" s="28"/>
      <c r="BC478" s="29"/>
    </row>
    <row r="479" ht="12.75" customHeight="1">
      <c r="A479" s="26"/>
      <c r="B479" s="12"/>
      <c r="C479" s="240"/>
      <c r="D479" s="241"/>
      <c r="E479" s="5"/>
      <c r="F479" s="5"/>
      <c r="G479" s="5"/>
      <c r="H479" s="5"/>
      <c r="I479" s="5"/>
      <c r="J479" s="5"/>
      <c r="K479" s="8"/>
      <c r="L479" s="9"/>
      <c r="M479" s="10"/>
      <c r="N479" s="255"/>
      <c r="O479" s="86"/>
      <c r="P479" s="86"/>
      <c r="Q479" s="86"/>
      <c r="R479" s="242"/>
      <c r="S479" s="243"/>
      <c r="T479" s="243"/>
      <c r="U479" s="14"/>
      <c r="V479" s="242"/>
      <c r="W479" s="15"/>
      <c r="X479" s="15"/>
      <c r="Y479" s="15"/>
      <c r="Z479" s="8"/>
      <c r="AA479" s="8"/>
      <c r="AB479" s="56"/>
      <c r="AC479" s="56"/>
      <c r="AD479" s="15"/>
      <c r="AE479" s="15"/>
      <c r="AF479" s="15"/>
      <c r="AG479" s="15"/>
      <c r="AH479" s="57"/>
      <c r="AI479" s="254"/>
      <c r="AJ479" s="15"/>
      <c r="AK479" s="245"/>
      <c r="AL479" s="246"/>
      <c r="AM479" s="247"/>
      <c r="AN479" s="246"/>
      <c r="AO479" s="246"/>
      <c r="AP479" s="15"/>
      <c r="AQ479" s="15"/>
      <c r="AR479" s="15"/>
      <c r="AS479" s="249"/>
      <c r="AT479" s="250"/>
      <c r="AU479" s="249"/>
      <c r="AV479" s="251"/>
      <c r="AW479" s="250"/>
      <c r="AX479" s="249"/>
      <c r="AY479" s="26"/>
      <c r="AZ479" s="26"/>
      <c r="BA479" s="27"/>
      <c r="BB479" s="28"/>
      <c r="BC479" s="29"/>
    </row>
    <row r="480" ht="12.75" customHeight="1">
      <c r="A480" s="26"/>
      <c r="B480" s="12"/>
      <c r="C480" s="240"/>
      <c r="D480" s="241"/>
      <c r="E480" s="5"/>
      <c r="F480" s="5"/>
      <c r="G480" s="5"/>
      <c r="H480" s="5"/>
      <c r="I480" s="5"/>
      <c r="J480" s="5"/>
      <c r="K480" s="8"/>
      <c r="L480" s="9"/>
      <c r="M480" s="10"/>
      <c r="N480" s="255"/>
      <c r="O480" s="86"/>
      <c r="P480" s="86"/>
      <c r="Q480" s="86"/>
      <c r="R480" s="242"/>
      <c r="S480" s="243"/>
      <c r="T480" s="243"/>
      <c r="U480" s="14"/>
      <c r="V480" s="242"/>
      <c r="W480" s="15"/>
      <c r="X480" s="15"/>
      <c r="Y480" s="15"/>
      <c r="Z480" s="8"/>
      <c r="AA480" s="8"/>
      <c r="AB480" s="56"/>
      <c r="AC480" s="56"/>
      <c r="AD480" s="15"/>
      <c r="AE480" s="15"/>
      <c r="AF480" s="15"/>
      <c r="AG480" s="15"/>
      <c r="AH480" s="57"/>
      <c r="AI480" s="254"/>
      <c r="AJ480" s="15"/>
      <c r="AK480" s="245"/>
      <c r="AL480" s="246"/>
      <c r="AM480" s="247"/>
      <c r="AN480" s="246"/>
      <c r="AO480" s="246"/>
      <c r="AP480" s="15"/>
      <c r="AQ480" s="15"/>
      <c r="AR480" s="15"/>
      <c r="AS480" s="249"/>
      <c r="AT480" s="250"/>
      <c r="AU480" s="249"/>
      <c r="AV480" s="251"/>
      <c r="AW480" s="250"/>
      <c r="AX480" s="249"/>
      <c r="AY480" s="26"/>
      <c r="AZ480" s="26"/>
      <c r="BA480" s="27"/>
      <c r="BB480" s="28"/>
      <c r="BC480" s="29"/>
    </row>
    <row r="481" ht="12.75" customHeight="1">
      <c r="A481" s="26"/>
      <c r="B481" s="12"/>
      <c r="C481" s="240"/>
      <c r="D481" s="241"/>
      <c r="E481" s="5"/>
      <c r="F481" s="5"/>
      <c r="G481" s="5"/>
      <c r="H481" s="5"/>
      <c r="I481" s="5"/>
      <c r="J481" s="5"/>
      <c r="K481" s="8"/>
      <c r="L481" s="9"/>
      <c r="M481" s="10"/>
      <c r="N481" s="255"/>
      <c r="O481" s="86"/>
      <c r="P481" s="86"/>
      <c r="Q481" s="86"/>
      <c r="R481" s="242"/>
      <c r="S481" s="243"/>
      <c r="T481" s="243"/>
      <c r="U481" s="14"/>
      <c r="V481" s="242"/>
      <c r="W481" s="15"/>
      <c r="X481" s="15"/>
      <c r="Y481" s="15"/>
      <c r="Z481" s="8"/>
      <c r="AA481" s="8"/>
      <c r="AB481" s="56"/>
      <c r="AC481" s="56"/>
      <c r="AD481" s="15"/>
      <c r="AE481" s="15"/>
      <c r="AF481" s="15"/>
      <c r="AG481" s="15"/>
      <c r="AH481" s="57"/>
      <c r="AI481" s="254"/>
      <c r="AJ481" s="15"/>
      <c r="AK481" s="245"/>
      <c r="AL481" s="246"/>
      <c r="AM481" s="247"/>
      <c r="AN481" s="246"/>
      <c r="AO481" s="246"/>
      <c r="AP481" s="15"/>
      <c r="AQ481" s="15"/>
      <c r="AR481" s="15"/>
      <c r="AS481" s="249"/>
      <c r="AT481" s="250"/>
      <c r="AU481" s="249"/>
      <c r="AV481" s="251"/>
      <c r="AW481" s="250"/>
      <c r="AX481" s="249"/>
      <c r="AY481" s="26"/>
      <c r="AZ481" s="26"/>
      <c r="BA481" s="27"/>
      <c r="BB481" s="28"/>
      <c r="BC481" s="29"/>
    </row>
    <row r="482" ht="12.75" customHeight="1">
      <c r="A482" s="26"/>
      <c r="B482" s="12"/>
      <c r="C482" s="240"/>
      <c r="D482" s="241"/>
      <c r="E482" s="5"/>
      <c r="F482" s="5"/>
      <c r="G482" s="5"/>
      <c r="H482" s="5"/>
      <c r="I482" s="5"/>
      <c r="J482" s="5"/>
      <c r="K482" s="8"/>
      <c r="L482" s="9"/>
      <c r="M482" s="10"/>
      <c r="N482" s="255"/>
      <c r="O482" s="86"/>
      <c r="P482" s="86"/>
      <c r="Q482" s="86"/>
      <c r="R482" s="242"/>
      <c r="S482" s="243"/>
      <c r="T482" s="243"/>
      <c r="U482" s="14"/>
      <c r="V482" s="242"/>
      <c r="W482" s="15"/>
      <c r="X482" s="15"/>
      <c r="Y482" s="15"/>
      <c r="Z482" s="8"/>
      <c r="AA482" s="8"/>
      <c r="AB482" s="56"/>
      <c r="AC482" s="56"/>
      <c r="AD482" s="15"/>
      <c r="AE482" s="15"/>
      <c r="AF482" s="15"/>
      <c r="AG482" s="15"/>
      <c r="AH482" s="57"/>
      <c r="AI482" s="254"/>
      <c r="AJ482" s="15"/>
      <c r="AK482" s="245"/>
      <c r="AL482" s="246"/>
      <c r="AM482" s="247"/>
      <c r="AN482" s="246"/>
      <c r="AO482" s="246"/>
      <c r="AP482" s="15"/>
      <c r="AQ482" s="15"/>
      <c r="AR482" s="15"/>
      <c r="AS482" s="249"/>
      <c r="AT482" s="250"/>
      <c r="AU482" s="249"/>
      <c r="AV482" s="251"/>
      <c r="AW482" s="250"/>
      <c r="AX482" s="249"/>
      <c r="AY482" s="26"/>
      <c r="AZ482" s="26"/>
      <c r="BA482" s="27"/>
      <c r="BB482" s="28"/>
      <c r="BC482" s="29"/>
    </row>
    <row r="483" ht="12.75" customHeight="1">
      <c r="A483" s="26"/>
      <c r="B483" s="12"/>
      <c r="C483" s="240"/>
      <c r="D483" s="241"/>
      <c r="E483" s="5"/>
      <c r="F483" s="5"/>
      <c r="G483" s="5"/>
      <c r="H483" s="5"/>
      <c r="I483" s="5"/>
      <c r="J483" s="5"/>
      <c r="K483" s="8"/>
      <c r="L483" s="9"/>
      <c r="M483" s="10"/>
      <c r="N483" s="255"/>
      <c r="O483" s="86"/>
      <c r="P483" s="86"/>
      <c r="Q483" s="86"/>
      <c r="R483" s="242"/>
      <c r="S483" s="243"/>
      <c r="T483" s="243"/>
      <c r="U483" s="14"/>
      <c r="V483" s="242"/>
      <c r="W483" s="15"/>
      <c r="X483" s="15"/>
      <c r="Y483" s="15"/>
      <c r="Z483" s="8"/>
      <c r="AA483" s="8"/>
      <c r="AB483" s="56"/>
      <c r="AC483" s="56"/>
      <c r="AD483" s="15"/>
      <c r="AE483" s="15"/>
      <c r="AF483" s="15"/>
      <c r="AG483" s="15"/>
      <c r="AH483" s="57"/>
      <c r="AI483" s="254"/>
      <c r="AJ483" s="15"/>
      <c r="AK483" s="245"/>
      <c r="AL483" s="246"/>
      <c r="AM483" s="247"/>
      <c r="AN483" s="246"/>
      <c r="AO483" s="246"/>
      <c r="AP483" s="15"/>
      <c r="AQ483" s="15"/>
      <c r="AR483" s="15"/>
      <c r="AS483" s="249"/>
      <c r="AT483" s="250"/>
      <c r="AU483" s="249"/>
      <c r="AV483" s="251"/>
      <c r="AW483" s="250"/>
      <c r="AX483" s="249"/>
      <c r="AY483" s="26"/>
      <c r="AZ483" s="26"/>
      <c r="BA483" s="27"/>
      <c r="BB483" s="28"/>
      <c r="BC483" s="29"/>
    </row>
    <row r="484" ht="12.75" customHeight="1">
      <c r="A484" s="26"/>
      <c r="B484" s="12"/>
      <c r="C484" s="240"/>
      <c r="D484" s="241"/>
      <c r="E484" s="5"/>
      <c r="F484" s="5"/>
      <c r="G484" s="5"/>
      <c r="H484" s="5"/>
      <c r="I484" s="5"/>
      <c r="J484" s="5"/>
      <c r="K484" s="8"/>
      <c r="L484" s="9"/>
      <c r="M484" s="10"/>
      <c r="N484" s="255"/>
      <c r="O484" s="86"/>
      <c r="P484" s="86"/>
      <c r="Q484" s="86"/>
      <c r="R484" s="242"/>
      <c r="S484" s="243"/>
      <c r="T484" s="243"/>
      <c r="U484" s="14"/>
      <c r="V484" s="242"/>
      <c r="W484" s="15"/>
      <c r="X484" s="15"/>
      <c r="Y484" s="15"/>
      <c r="Z484" s="8"/>
      <c r="AA484" s="8"/>
      <c r="AB484" s="56"/>
      <c r="AC484" s="56"/>
      <c r="AD484" s="15"/>
      <c r="AE484" s="15"/>
      <c r="AF484" s="15"/>
      <c r="AG484" s="15"/>
      <c r="AH484" s="57"/>
      <c r="AI484" s="254"/>
      <c r="AJ484" s="15"/>
      <c r="AK484" s="245"/>
      <c r="AL484" s="246"/>
      <c r="AM484" s="247"/>
      <c r="AN484" s="246"/>
      <c r="AO484" s="246"/>
      <c r="AP484" s="15"/>
      <c r="AQ484" s="15"/>
      <c r="AR484" s="15"/>
      <c r="AS484" s="249"/>
      <c r="AT484" s="250"/>
      <c r="AU484" s="249"/>
      <c r="AV484" s="251"/>
      <c r="AW484" s="250"/>
      <c r="AX484" s="249"/>
      <c r="AY484" s="26"/>
      <c r="AZ484" s="26"/>
      <c r="BA484" s="27"/>
      <c r="BB484" s="28"/>
      <c r="BC484" s="29"/>
    </row>
    <row r="485" ht="12.75" customHeight="1">
      <c r="A485" s="26"/>
      <c r="B485" s="12"/>
      <c r="C485" s="240"/>
      <c r="D485" s="241"/>
      <c r="E485" s="5"/>
      <c r="F485" s="5"/>
      <c r="G485" s="5"/>
      <c r="H485" s="5"/>
      <c r="I485" s="5"/>
      <c r="J485" s="5"/>
      <c r="K485" s="8"/>
      <c r="L485" s="9"/>
      <c r="M485" s="10"/>
      <c r="N485" s="255"/>
      <c r="O485" s="86"/>
      <c r="P485" s="86"/>
      <c r="Q485" s="86"/>
      <c r="R485" s="242"/>
      <c r="S485" s="243"/>
      <c r="T485" s="243"/>
      <c r="U485" s="14"/>
      <c r="V485" s="242"/>
      <c r="W485" s="15"/>
      <c r="X485" s="15"/>
      <c r="Y485" s="15"/>
      <c r="Z485" s="8"/>
      <c r="AA485" s="8"/>
      <c r="AB485" s="56"/>
      <c r="AC485" s="56"/>
      <c r="AD485" s="15"/>
      <c r="AE485" s="15"/>
      <c r="AF485" s="15"/>
      <c r="AG485" s="15"/>
      <c r="AH485" s="57"/>
      <c r="AI485" s="254"/>
      <c r="AJ485" s="15"/>
      <c r="AK485" s="245"/>
      <c r="AL485" s="246"/>
      <c r="AM485" s="247"/>
      <c r="AN485" s="246"/>
      <c r="AO485" s="246"/>
      <c r="AP485" s="15"/>
      <c r="AQ485" s="15"/>
      <c r="AR485" s="15"/>
      <c r="AS485" s="249"/>
      <c r="AT485" s="250"/>
      <c r="AU485" s="249"/>
      <c r="AV485" s="251"/>
      <c r="AW485" s="250"/>
      <c r="AX485" s="249"/>
      <c r="AY485" s="26"/>
      <c r="AZ485" s="26"/>
      <c r="BA485" s="27"/>
      <c r="BB485" s="28"/>
      <c r="BC485" s="29"/>
    </row>
    <row r="486" ht="12.75" customHeight="1">
      <c r="A486" s="26"/>
      <c r="B486" s="12"/>
      <c r="C486" s="240"/>
      <c r="D486" s="241"/>
      <c r="E486" s="5"/>
      <c r="F486" s="5"/>
      <c r="G486" s="5"/>
      <c r="H486" s="5"/>
      <c r="I486" s="5"/>
      <c r="J486" s="5"/>
      <c r="K486" s="8"/>
      <c r="L486" s="9"/>
      <c r="M486" s="10"/>
      <c r="N486" s="255"/>
      <c r="O486" s="86"/>
      <c r="P486" s="86"/>
      <c r="Q486" s="86"/>
      <c r="R486" s="242"/>
      <c r="S486" s="243"/>
      <c r="T486" s="243"/>
      <c r="U486" s="14"/>
      <c r="V486" s="242"/>
      <c r="W486" s="15"/>
      <c r="X486" s="15"/>
      <c r="Y486" s="15"/>
      <c r="Z486" s="8"/>
      <c r="AA486" s="8"/>
      <c r="AB486" s="56"/>
      <c r="AC486" s="56"/>
      <c r="AD486" s="15"/>
      <c r="AE486" s="15"/>
      <c r="AF486" s="15"/>
      <c r="AG486" s="15"/>
      <c r="AH486" s="57"/>
      <c r="AI486" s="254"/>
      <c r="AJ486" s="15"/>
      <c r="AK486" s="245"/>
      <c r="AL486" s="246"/>
      <c r="AM486" s="247"/>
      <c r="AN486" s="246"/>
      <c r="AO486" s="246"/>
      <c r="AP486" s="15"/>
      <c r="AQ486" s="15"/>
      <c r="AR486" s="15"/>
      <c r="AS486" s="249"/>
      <c r="AT486" s="250"/>
      <c r="AU486" s="249"/>
      <c r="AV486" s="251"/>
      <c r="AW486" s="250"/>
      <c r="AX486" s="249"/>
      <c r="AY486" s="26"/>
      <c r="AZ486" s="26"/>
      <c r="BA486" s="27"/>
      <c r="BB486" s="28"/>
      <c r="BC486" s="29"/>
    </row>
    <row r="487" ht="12.75" customHeight="1">
      <c r="A487" s="26"/>
      <c r="B487" s="12"/>
      <c r="C487" s="240"/>
      <c r="D487" s="241"/>
      <c r="E487" s="5"/>
      <c r="F487" s="5"/>
      <c r="G487" s="5"/>
      <c r="H487" s="5"/>
      <c r="I487" s="5"/>
      <c r="J487" s="5"/>
      <c r="K487" s="8"/>
      <c r="L487" s="9"/>
      <c r="M487" s="10"/>
      <c r="N487" s="255"/>
      <c r="O487" s="86"/>
      <c r="P487" s="86"/>
      <c r="Q487" s="86"/>
      <c r="R487" s="242"/>
      <c r="S487" s="243"/>
      <c r="T487" s="243"/>
      <c r="U487" s="14"/>
      <c r="V487" s="242"/>
      <c r="W487" s="15"/>
      <c r="X487" s="15"/>
      <c r="Y487" s="15"/>
      <c r="Z487" s="8"/>
      <c r="AA487" s="8"/>
      <c r="AB487" s="56"/>
      <c r="AC487" s="56"/>
      <c r="AD487" s="15"/>
      <c r="AE487" s="15"/>
      <c r="AF487" s="15"/>
      <c r="AG487" s="15"/>
      <c r="AH487" s="57"/>
      <c r="AI487" s="254"/>
      <c r="AJ487" s="15"/>
      <c r="AK487" s="245"/>
      <c r="AL487" s="246"/>
      <c r="AM487" s="247"/>
      <c r="AN487" s="246"/>
      <c r="AO487" s="246"/>
      <c r="AP487" s="15"/>
      <c r="AQ487" s="15"/>
      <c r="AR487" s="15"/>
      <c r="AS487" s="249"/>
      <c r="AT487" s="250"/>
      <c r="AU487" s="249"/>
      <c r="AV487" s="251"/>
      <c r="AW487" s="250"/>
      <c r="AX487" s="249"/>
      <c r="AY487" s="26"/>
      <c r="AZ487" s="26"/>
      <c r="BA487" s="27"/>
      <c r="BB487" s="28"/>
      <c r="BC487" s="29"/>
    </row>
    <row r="488" ht="12.75" customHeight="1">
      <c r="A488" s="26"/>
      <c r="B488" s="12"/>
      <c r="C488" s="240"/>
      <c r="D488" s="241"/>
      <c r="E488" s="5"/>
      <c r="F488" s="5"/>
      <c r="G488" s="5"/>
      <c r="H488" s="5"/>
      <c r="I488" s="5"/>
      <c r="J488" s="5"/>
      <c r="K488" s="8"/>
      <c r="L488" s="9"/>
      <c r="M488" s="10"/>
      <c r="N488" s="255"/>
      <c r="O488" s="86"/>
      <c r="P488" s="86"/>
      <c r="Q488" s="86"/>
      <c r="R488" s="242"/>
      <c r="S488" s="243"/>
      <c r="T488" s="243"/>
      <c r="U488" s="14"/>
      <c r="V488" s="242"/>
      <c r="W488" s="15"/>
      <c r="X488" s="15"/>
      <c r="Y488" s="15"/>
      <c r="Z488" s="8"/>
      <c r="AA488" s="8"/>
      <c r="AB488" s="56"/>
      <c r="AC488" s="56"/>
      <c r="AD488" s="15"/>
      <c r="AE488" s="15"/>
      <c r="AF488" s="15"/>
      <c r="AG488" s="15"/>
      <c r="AH488" s="57"/>
      <c r="AI488" s="254"/>
      <c r="AJ488" s="15"/>
      <c r="AK488" s="245"/>
      <c r="AL488" s="246"/>
      <c r="AM488" s="247"/>
      <c r="AN488" s="246"/>
      <c r="AO488" s="246"/>
      <c r="AP488" s="15"/>
      <c r="AQ488" s="15"/>
      <c r="AR488" s="15"/>
      <c r="AS488" s="249"/>
      <c r="AT488" s="250"/>
      <c r="AU488" s="249"/>
      <c r="AV488" s="251"/>
      <c r="AW488" s="250"/>
      <c r="AX488" s="249"/>
      <c r="AY488" s="26"/>
      <c r="AZ488" s="26"/>
      <c r="BA488" s="27"/>
      <c r="BB488" s="28"/>
      <c r="BC488" s="29"/>
    </row>
    <row r="489" ht="12.75" customHeight="1">
      <c r="A489" s="26"/>
      <c r="B489" s="12"/>
      <c r="C489" s="240"/>
      <c r="D489" s="241"/>
      <c r="E489" s="5"/>
      <c r="F489" s="5"/>
      <c r="G489" s="5"/>
      <c r="H489" s="5"/>
      <c r="I489" s="5"/>
      <c r="J489" s="5"/>
      <c r="K489" s="8"/>
      <c r="L489" s="9"/>
      <c r="M489" s="10"/>
      <c r="N489" s="255"/>
      <c r="O489" s="86"/>
      <c r="P489" s="86"/>
      <c r="Q489" s="86"/>
      <c r="R489" s="242"/>
      <c r="S489" s="243"/>
      <c r="T489" s="243"/>
      <c r="U489" s="14"/>
      <c r="V489" s="242"/>
      <c r="W489" s="15"/>
      <c r="X489" s="15"/>
      <c r="Y489" s="15"/>
      <c r="Z489" s="8"/>
      <c r="AA489" s="8"/>
      <c r="AB489" s="56"/>
      <c r="AC489" s="56"/>
      <c r="AD489" s="15"/>
      <c r="AE489" s="15"/>
      <c r="AF489" s="15"/>
      <c r="AG489" s="15"/>
      <c r="AH489" s="57"/>
      <c r="AI489" s="254"/>
      <c r="AJ489" s="15"/>
      <c r="AK489" s="245"/>
      <c r="AL489" s="246"/>
      <c r="AM489" s="247"/>
      <c r="AN489" s="246"/>
      <c r="AO489" s="246"/>
      <c r="AP489" s="15"/>
      <c r="AQ489" s="15"/>
      <c r="AR489" s="15"/>
      <c r="AS489" s="249"/>
      <c r="AT489" s="250"/>
      <c r="AU489" s="249"/>
      <c r="AV489" s="251"/>
      <c r="AW489" s="250"/>
      <c r="AX489" s="249"/>
      <c r="AY489" s="26"/>
      <c r="AZ489" s="26"/>
      <c r="BA489" s="27"/>
      <c r="BB489" s="28"/>
      <c r="BC489" s="29"/>
    </row>
    <row r="490" ht="12.75" customHeight="1">
      <c r="A490" s="26"/>
      <c r="B490" s="12"/>
      <c r="C490" s="240"/>
      <c r="D490" s="241"/>
      <c r="E490" s="5"/>
      <c r="F490" s="5"/>
      <c r="G490" s="5"/>
      <c r="H490" s="5"/>
      <c r="I490" s="5"/>
      <c r="J490" s="5"/>
      <c r="K490" s="8"/>
      <c r="L490" s="9"/>
      <c r="M490" s="10"/>
      <c r="N490" s="255"/>
      <c r="O490" s="86"/>
      <c r="P490" s="86"/>
      <c r="Q490" s="86"/>
      <c r="R490" s="242"/>
      <c r="S490" s="243"/>
      <c r="T490" s="243"/>
      <c r="U490" s="14"/>
      <c r="V490" s="242"/>
      <c r="W490" s="15"/>
      <c r="X490" s="15"/>
      <c r="Y490" s="15"/>
      <c r="Z490" s="8"/>
      <c r="AA490" s="8"/>
      <c r="AB490" s="56"/>
      <c r="AC490" s="56"/>
      <c r="AD490" s="15"/>
      <c r="AE490" s="15"/>
      <c r="AF490" s="15"/>
      <c r="AG490" s="15"/>
      <c r="AH490" s="57"/>
      <c r="AI490" s="254"/>
      <c r="AJ490" s="15"/>
      <c r="AK490" s="245"/>
      <c r="AL490" s="246"/>
      <c r="AM490" s="247"/>
      <c r="AN490" s="246"/>
      <c r="AO490" s="246"/>
      <c r="AP490" s="15"/>
      <c r="AQ490" s="15"/>
      <c r="AR490" s="15"/>
      <c r="AS490" s="249"/>
      <c r="AT490" s="250"/>
      <c r="AU490" s="249"/>
      <c r="AV490" s="251"/>
      <c r="AW490" s="250"/>
      <c r="AX490" s="249"/>
      <c r="AY490" s="26"/>
      <c r="AZ490" s="26"/>
      <c r="BA490" s="27"/>
      <c r="BB490" s="28"/>
      <c r="BC490" s="29"/>
    </row>
    <row r="491" ht="12.75" customHeight="1">
      <c r="A491" s="26"/>
      <c r="B491" s="12"/>
      <c r="C491" s="240"/>
      <c r="D491" s="241"/>
      <c r="E491" s="5"/>
      <c r="F491" s="5"/>
      <c r="G491" s="5"/>
      <c r="H491" s="5"/>
      <c r="I491" s="5"/>
      <c r="J491" s="5"/>
      <c r="K491" s="8"/>
      <c r="L491" s="9"/>
      <c r="M491" s="10"/>
      <c r="N491" s="255"/>
      <c r="O491" s="86"/>
      <c r="P491" s="86"/>
      <c r="Q491" s="86"/>
      <c r="R491" s="242"/>
      <c r="S491" s="243"/>
      <c r="T491" s="243"/>
      <c r="U491" s="14"/>
      <c r="V491" s="242"/>
      <c r="W491" s="15"/>
      <c r="X491" s="15"/>
      <c r="Y491" s="15"/>
      <c r="Z491" s="8"/>
      <c r="AA491" s="8"/>
      <c r="AB491" s="56"/>
      <c r="AC491" s="56"/>
      <c r="AD491" s="15"/>
      <c r="AE491" s="15"/>
      <c r="AF491" s="15"/>
      <c r="AG491" s="15"/>
      <c r="AH491" s="57"/>
      <c r="AI491" s="254"/>
      <c r="AJ491" s="15"/>
      <c r="AK491" s="245"/>
      <c r="AL491" s="246"/>
      <c r="AM491" s="247"/>
      <c r="AN491" s="246"/>
      <c r="AO491" s="246"/>
      <c r="AP491" s="15"/>
      <c r="AQ491" s="15"/>
      <c r="AR491" s="15"/>
      <c r="AS491" s="249"/>
      <c r="AT491" s="250"/>
      <c r="AU491" s="249"/>
      <c r="AV491" s="251"/>
      <c r="AW491" s="250"/>
      <c r="AX491" s="249"/>
      <c r="AY491" s="26"/>
      <c r="AZ491" s="26"/>
      <c r="BA491" s="27"/>
      <c r="BB491" s="28"/>
      <c r="BC491" s="29"/>
    </row>
    <row r="492" ht="12.75" customHeight="1">
      <c r="A492" s="26"/>
      <c r="B492" s="12"/>
      <c r="C492" s="240"/>
      <c r="D492" s="241"/>
      <c r="E492" s="5"/>
      <c r="F492" s="5"/>
      <c r="G492" s="5"/>
      <c r="H492" s="5"/>
      <c r="I492" s="5"/>
      <c r="J492" s="5"/>
      <c r="K492" s="8"/>
      <c r="L492" s="9"/>
      <c r="M492" s="10"/>
      <c r="N492" s="255"/>
      <c r="O492" s="86"/>
      <c r="P492" s="86"/>
      <c r="Q492" s="86"/>
      <c r="R492" s="242"/>
      <c r="S492" s="243"/>
      <c r="T492" s="243"/>
      <c r="U492" s="14"/>
      <c r="V492" s="242"/>
      <c r="W492" s="15"/>
      <c r="X492" s="15"/>
      <c r="Y492" s="15"/>
      <c r="Z492" s="8"/>
      <c r="AA492" s="8"/>
      <c r="AB492" s="56"/>
      <c r="AC492" s="56"/>
      <c r="AD492" s="15"/>
      <c r="AE492" s="15"/>
      <c r="AF492" s="15"/>
      <c r="AG492" s="15"/>
      <c r="AH492" s="57"/>
      <c r="AI492" s="254"/>
      <c r="AJ492" s="15"/>
      <c r="AK492" s="245"/>
      <c r="AL492" s="246"/>
      <c r="AM492" s="247"/>
      <c r="AN492" s="246"/>
      <c r="AO492" s="246"/>
      <c r="AP492" s="15"/>
      <c r="AQ492" s="15"/>
      <c r="AR492" s="15"/>
      <c r="AS492" s="249"/>
      <c r="AT492" s="250"/>
      <c r="AU492" s="249"/>
      <c r="AV492" s="251"/>
      <c r="AW492" s="250"/>
      <c r="AX492" s="249"/>
      <c r="AY492" s="26"/>
      <c r="AZ492" s="26"/>
      <c r="BA492" s="27"/>
      <c r="BB492" s="28"/>
      <c r="BC492" s="29"/>
    </row>
    <row r="493" ht="12.75" customHeight="1">
      <c r="A493" s="26"/>
      <c r="B493" s="12"/>
      <c r="C493" s="240"/>
      <c r="D493" s="241"/>
      <c r="E493" s="5"/>
      <c r="F493" s="5"/>
      <c r="G493" s="5"/>
      <c r="H493" s="5"/>
      <c r="I493" s="5"/>
      <c r="J493" s="5"/>
      <c r="K493" s="8"/>
      <c r="L493" s="9"/>
      <c r="M493" s="10"/>
      <c r="N493" s="255"/>
      <c r="O493" s="86"/>
      <c r="P493" s="86"/>
      <c r="Q493" s="86"/>
      <c r="R493" s="242"/>
      <c r="S493" s="243"/>
      <c r="T493" s="243"/>
      <c r="U493" s="14"/>
      <c r="V493" s="242"/>
      <c r="W493" s="15"/>
      <c r="X493" s="15"/>
      <c r="Y493" s="15"/>
      <c r="Z493" s="8"/>
      <c r="AA493" s="8"/>
      <c r="AB493" s="56"/>
      <c r="AC493" s="56"/>
      <c r="AD493" s="15"/>
      <c r="AE493" s="15"/>
      <c r="AF493" s="15"/>
      <c r="AG493" s="15"/>
      <c r="AH493" s="57"/>
      <c r="AI493" s="254"/>
      <c r="AJ493" s="15"/>
      <c r="AK493" s="245"/>
      <c r="AL493" s="246"/>
      <c r="AM493" s="247"/>
      <c r="AN493" s="246"/>
      <c r="AO493" s="246"/>
      <c r="AP493" s="15"/>
      <c r="AQ493" s="15"/>
      <c r="AR493" s="15"/>
      <c r="AS493" s="249"/>
      <c r="AT493" s="250"/>
      <c r="AU493" s="249"/>
      <c r="AV493" s="251"/>
      <c r="AW493" s="250"/>
      <c r="AX493" s="249"/>
      <c r="AY493" s="26"/>
      <c r="AZ493" s="26"/>
      <c r="BA493" s="27"/>
      <c r="BB493" s="28"/>
      <c r="BC493" s="29"/>
    </row>
    <row r="494" ht="12.75" customHeight="1">
      <c r="A494" s="26"/>
      <c r="B494" s="12"/>
      <c r="C494" s="240"/>
      <c r="D494" s="241"/>
      <c r="E494" s="5"/>
      <c r="F494" s="5"/>
      <c r="G494" s="5"/>
      <c r="H494" s="5"/>
      <c r="I494" s="5"/>
      <c r="J494" s="5"/>
      <c r="K494" s="8"/>
      <c r="L494" s="9"/>
      <c r="M494" s="10"/>
      <c r="N494" s="255"/>
      <c r="O494" s="86"/>
      <c r="P494" s="86"/>
      <c r="Q494" s="86"/>
      <c r="R494" s="242"/>
      <c r="S494" s="243"/>
      <c r="T494" s="243"/>
      <c r="U494" s="14"/>
      <c r="V494" s="242"/>
      <c r="W494" s="15"/>
      <c r="X494" s="15"/>
      <c r="Y494" s="15"/>
      <c r="Z494" s="8"/>
      <c r="AA494" s="8"/>
      <c r="AB494" s="56"/>
      <c r="AC494" s="56"/>
      <c r="AD494" s="15"/>
      <c r="AE494" s="15"/>
      <c r="AF494" s="15"/>
      <c r="AG494" s="15"/>
      <c r="AH494" s="57"/>
      <c r="AI494" s="254"/>
      <c r="AJ494" s="15"/>
      <c r="AK494" s="245"/>
      <c r="AL494" s="246"/>
      <c r="AM494" s="247"/>
      <c r="AN494" s="246"/>
      <c r="AO494" s="246"/>
      <c r="AP494" s="15"/>
      <c r="AQ494" s="15"/>
      <c r="AR494" s="15"/>
      <c r="AS494" s="249"/>
      <c r="AT494" s="250"/>
      <c r="AU494" s="249"/>
      <c r="AV494" s="251"/>
      <c r="AW494" s="250"/>
      <c r="AX494" s="249"/>
      <c r="AY494" s="26"/>
      <c r="AZ494" s="26"/>
      <c r="BA494" s="27"/>
      <c r="BB494" s="28"/>
      <c r="BC494" s="29"/>
    </row>
    <row r="495" ht="12.75" customHeight="1">
      <c r="A495" s="26"/>
      <c r="B495" s="12"/>
      <c r="C495" s="240"/>
      <c r="D495" s="241"/>
      <c r="E495" s="5"/>
      <c r="F495" s="5"/>
      <c r="G495" s="5"/>
      <c r="H495" s="5"/>
      <c r="I495" s="5"/>
      <c r="J495" s="5"/>
      <c r="K495" s="8"/>
      <c r="L495" s="9"/>
      <c r="M495" s="10"/>
      <c r="N495" s="255"/>
      <c r="O495" s="86"/>
      <c r="P495" s="86"/>
      <c r="Q495" s="86"/>
      <c r="R495" s="242"/>
      <c r="S495" s="243"/>
      <c r="T495" s="243"/>
      <c r="U495" s="14"/>
      <c r="V495" s="242"/>
      <c r="W495" s="15"/>
      <c r="X495" s="15"/>
      <c r="Y495" s="15"/>
      <c r="Z495" s="8"/>
      <c r="AA495" s="8"/>
      <c r="AB495" s="56"/>
      <c r="AC495" s="56"/>
      <c r="AD495" s="15"/>
      <c r="AE495" s="15"/>
      <c r="AF495" s="15"/>
      <c r="AG495" s="15"/>
      <c r="AH495" s="57"/>
      <c r="AI495" s="254"/>
      <c r="AJ495" s="15"/>
      <c r="AK495" s="245"/>
      <c r="AL495" s="246"/>
      <c r="AM495" s="247"/>
      <c r="AN495" s="246"/>
      <c r="AO495" s="246"/>
      <c r="AP495" s="15"/>
      <c r="AQ495" s="15"/>
      <c r="AR495" s="15"/>
      <c r="AS495" s="249"/>
      <c r="AT495" s="250"/>
      <c r="AU495" s="249"/>
      <c r="AV495" s="251"/>
      <c r="AW495" s="250"/>
      <c r="AX495" s="249"/>
      <c r="AY495" s="26"/>
      <c r="AZ495" s="26"/>
      <c r="BA495" s="27"/>
      <c r="BB495" s="28"/>
      <c r="BC495" s="29"/>
    </row>
    <row r="496" ht="12.75" customHeight="1">
      <c r="A496" s="26"/>
      <c r="B496" s="12"/>
      <c r="C496" s="240"/>
      <c r="D496" s="241"/>
      <c r="E496" s="5"/>
      <c r="F496" s="5"/>
      <c r="G496" s="5"/>
      <c r="H496" s="5"/>
      <c r="I496" s="5"/>
      <c r="J496" s="5"/>
      <c r="K496" s="8"/>
      <c r="L496" s="9"/>
      <c r="M496" s="10"/>
      <c r="N496" s="255"/>
      <c r="O496" s="86"/>
      <c r="P496" s="86"/>
      <c r="Q496" s="86"/>
      <c r="R496" s="242"/>
      <c r="S496" s="243"/>
      <c r="T496" s="243"/>
      <c r="U496" s="14"/>
      <c r="V496" s="242"/>
      <c r="W496" s="15"/>
      <c r="X496" s="15"/>
      <c r="Y496" s="15"/>
      <c r="Z496" s="8"/>
      <c r="AA496" s="8"/>
      <c r="AB496" s="56"/>
      <c r="AC496" s="56"/>
      <c r="AD496" s="15"/>
      <c r="AE496" s="15"/>
      <c r="AF496" s="15"/>
      <c r="AG496" s="15"/>
      <c r="AH496" s="57"/>
      <c r="AI496" s="254"/>
      <c r="AJ496" s="15"/>
      <c r="AK496" s="245"/>
      <c r="AL496" s="246"/>
      <c r="AM496" s="247"/>
      <c r="AN496" s="246"/>
      <c r="AO496" s="246"/>
      <c r="AP496" s="15"/>
      <c r="AQ496" s="15"/>
      <c r="AR496" s="15"/>
      <c r="AS496" s="249"/>
      <c r="AT496" s="250"/>
      <c r="AU496" s="249"/>
      <c r="AV496" s="251"/>
      <c r="AW496" s="250"/>
      <c r="AX496" s="249"/>
      <c r="AY496" s="26"/>
      <c r="AZ496" s="26"/>
      <c r="BA496" s="27"/>
      <c r="BB496" s="28"/>
      <c r="BC496" s="29"/>
    </row>
    <row r="497" ht="12.75" customHeight="1">
      <c r="A497" s="26"/>
      <c r="B497" s="12"/>
      <c r="C497" s="240"/>
      <c r="D497" s="241"/>
      <c r="E497" s="5"/>
      <c r="F497" s="5"/>
      <c r="G497" s="5"/>
      <c r="H497" s="5"/>
      <c r="I497" s="5"/>
      <c r="J497" s="5"/>
      <c r="K497" s="8"/>
      <c r="L497" s="9"/>
      <c r="M497" s="10"/>
      <c r="N497" s="255"/>
      <c r="O497" s="86"/>
      <c r="P497" s="86"/>
      <c r="Q497" s="86"/>
      <c r="R497" s="242"/>
      <c r="S497" s="243"/>
      <c r="T497" s="243"/>
      <c r="U497" s="14"/>
      <c r="V497" s="242"/>
      <c r="W497" s="15"/>
      <c r="X497" s="15"/>
      <c r="Y497" s="15"/>
      <c r="Z497" s="8"/>
      <c r="AA497" s="8"/>
      <c r="AB497" s="56"/>
      <c r="AC497" s="56"/>
      <c r="AD497" s="15"/>
      <c r="AE497" s="15"/>
      <c r="AF497" s="15"/>
      <c r="AG497" s="15"/>
      <c r="AH497" s="57"/>
      <c r="AI497" s="254"/>
      <c r="AJ497" s="15"/>
      <c r="AK497" s="245"/>
      <c r="AL497" s="246"/>
      <c r="AM497" s="247"/>
      <c r="AN497" s="246"/>
      <c r="AO497" s="246"/>
      <c r="AP497" s="15"/>
      <c r="AQ497" s="15"/>
      <c r="AR497" s="15"/>
      <c r="AS497" s="249"/>
      <c r="AT497" s="250"/>
      <c r="AU497" s="249"/>
      <c r="AV497" s="251"/>
      <c r="AW497" s="250"/>
      <c r="AX497" s="249"/>
      <c r="AY497" s="26"/>
      <c r="AZ497" s="26"/>
      <c r="BA497" s="27"/>
      <c r="BB497" s="28"/>
      <c r="BC497" s="29"/>
    </row>
    <row r="498" ht="12.75" customHeight="1">
      <c r="A498" s="26"/>
      <c r="B498" s="12"/>
      <c r="C498" s="240"/>
      <c r="D498" s="241"/>
      <c r="E498" s="5"/>
      <c r="F498" s="5"/>
      <c r="G498" s="5"/>
      <c r="H498" s="5"/>
      <c r="I498" s="5"/>
      <c r="J498" s="5"/>
      <c r="K498" s="8"/>
      <c r="L498" s="9"/>
      <c r="M498" s="10"/>
      <c r="N498" s="255"/>
      <c r="O498" s="86"/>
      <c r="P498" s="86"/>
      <c r="Q498" s="86"/>
      <c r="R498" s="242"/>
      <c r="S498" s="243"/>
      <c r="T498" s="243"/>
      <c r="U498" s="14"/>
      <c r="V498" s="242"/>
      <c r="W498" s="15"/>
      <c r="X498" s="15"/>
      <c r="Y498" s="15"/>
      <c r="Z498" s="8"/>
      <c r="AA498" s="8"/>
      <c r="AB498" s="56"/>
      <c r="AC498" s="56"/>
      <c r="AD498" s="15"/>
      <c r="AE498" s="15"/>
      <c r="AF498" s="15"/>
      <c r="AG498" s="15"/>
      <c r="AH498" s="57"/>
      <c r="AI498" s="254"/>
      <c r="AJ498" s="15"/>
      <c r="AK498" s="245"/>
      <c r="AL498" s="246"/>
      <c r="AM498" s="247"/>
      <c r="AN498" s="246"/>
      <c r="AO498" s="246"/>
      <c r="AP498" s="15"/>
      <c r="AQ498" s="15"/>
      <c r="AR498" s="15"/>
      <c r="AS498" s="249"/>
      <c r="AT498" s="250"/>
      <c r="AU498" s="249"/>
      <c r="AV498" s="251"/>
      <c r="AW498" s="250"/>
      <c r="AX498" s="249"/>
      <c r="AY498" s="26"/>
      <c r="AZ498" s="26"/>
      <c r="BA498" s="27"/>
      <c r="BB498" s="28"/>
      <c r="BC498" s="29"/>
    </row>
    <row r="499" ht="12.75" customHeight="1">
      <c r="A499" s="26"/>
      <c r="B499" s="12"/>
      <c r="C499" s="240"/>
      <c r="D499" s="241"/>
      <c r="E499" s="5"/>
      <c r="F499" s="5"/>
      <c r="G499" s="5"/>
      <c r="H499" s="5"/>
      <c r="I499" s="5"/>
      <c r="J499" s="5"/>
      <c r="K499" s="8"/>
      <c r="L499" s="9"/>
      <c r="M499" s="10"/>
      <c r="N499" s="255"/>
      <c r="O499" s="86"/>
      <c r="P499" s="86"/>
      <c r="Q499" s="86"/>
      <c r="R499" s="242"/>
      <c r="S499" s="243"/>
      <c r="T499" s="243"/>
      <c r="U499" s="14"/>
      <c r="V499" s="242"/>
      <c r="W499" s="15"/>
      <c r="X499" s="15"/>
      <c r="Y499" s="15"/>
      <c r="Z499" s="8"/>
      <c r="AA499" s="8"/>
      <c r="AB499" s="56"/>
      <c r="AC499" s="56"/>
      <c r="AD499" s="15"/>
      <c r="AE499" s="15"/>
      <c r="AF499" s="15"/>
      <c r="AG499" s="15"/>
      <c r="AH499" s="57"/>
      <c r="AI499" s="254"/>
      <c r="AJ499" s="15"/>
      <c r="AK499" s="245"/>
      <c r="AL499" s="246"/>
      <c r="AM499" s="247"/>
      <c r="AN499" s="246"/>
      <c r="AO499" s="246"/>
      <c r="AP499" s="15"/>
      <c r="AQ499" s="15"/>
      <c r="AR499" s="15"/>
      <c r="AS499" s="249"/>
      <c r="AT499" s="250"/>
      <c r="AU499" s="249"/>
      <c r="AV499" s="251"/>
      <c r="AW499" s="250"/>
      <c r="AX499" s="249"/>
      <c r="AY499" s="26"/>
      <c r="AZ499" s="26"/>
      <c r="BA499" s="27"/>
      <c r="BB499" s="28"/>
      <c r="BC499" s="29"/>
    </row>
    <row r="500" ht="12.75" customHeight="1">
      <c r="A500" s="26"/>
      <c r="B500" s="12"/>
      <c r="C500" s="240"/>
      <c r="D500" s="241"/>
      <c r="E500" s="5"/>
      <c r="F500" s="5"/>
      <c r="G500" s="5"/>
      <c r="H500" s="5"/>
      <c r="I500" s="5"/>
      <c r="J500" s="5"/>
      <c r="K500" s="8"/>
      <c r="L500" s="9"/>
      <c r="M500" s="10"/>
      <c r="N500" s="255"/>
      <c r="O500" s="86"/>
      <c r="P500" s="86"/>
      <c r="Q500" s="86"/>
      <c r="R500" s="242"/>
      <c r="S500" s="243"/>
      <c r="T500" s="243"/>
      <c r="U500" s="14"/>
      <c r="V500" s="242"/>
      <c r="W500" s="15"/>
      <c r="X500" s="15"/>
      <c r="Y500" s="15"/>
      <c r="Z500" s="8"/>
      <c r="AA500" s="8"/>
      <c r="AB500" s="56"/>
      <c r="AC500" s="56"/>
      <c r="AD500" s="15"/>
      <c r="AE500" s="15"/>
      <c r="AF500" s="15"/>
      <c r="AG500" s="15"/>
      <c r="AH500" s="57"/>
      <c r="AI500" s="254"/>
      <c r="AJ500" s="15"/>
      <c r="AK500" s="245"/>
      <c r="AL500" s="246"/>
      <c r="AM500" s="247"/>
      <c r="AN500" s="246"/>
      <c r="AO500" s="246"/>
      <c r="AP500" s="15"/>
      <c r="AQ500" s="15"/>
      <c r="AR500" s="15"/>
      <c r="AS500" s="249"/>
      <c r="AT500" s="250"/>
      <c r="AU500" s="249"/>
      <c r="AV500" s="251"/>
      <c r="AW500" s="250"/>
      <c r="AX500" s="249"/>
      <c r="AY500" s="26"/>
      <c r="AZ500" s="26"/>
      <c r="BA500" s="27"/>
      <c r="BB500" s="28"/>
      <c r="BC500" s="29"/>
    </row>
    <row r="501" ht="12.75" customHeight="1">
      <c r="A501" s="26"/>
      <c r="B501" s="12"/>
      <c r="C501" s="240"/>
      <c r="D501" s="241"/>
      <c r="E501" s="5"/>
      <c r="F501" s="5"/>
      <c r="G501" s="5"/>
      <c r="H501" s="5"/>
      <c r="I501" s="5"/>
      <c r="J501" s="5"/>
      <c r="K501" s="8"/>
      <c r="L501" s="9"/>
      <c r="M501" s="10"/>
      <c r="N501" s="255"/>
      <c r="O501" s="86"/>
      <c r="P501" s="86"/>
      <c r="Q501" s="86"/>
      <c r="R501" s="242"/>
      <c r="S501" s="243"/>
      <c r="T501" s="243"/>
      <c r="U501" s="14"/>
      <c r="V501" s="242"/>
      <c r="W501" s="15"/>
      <c r="X501" s="15"/>
      <c r="Y501" s="15"/>
      <c r="Z501" s="8"/>
      <c r="AA501" s="8"/>
      <c r="AB501" s="56"/>
      <c r="AC501" s="56"/>
      <c r="AD501" s="15"/>
      <c r="AE501" s="15"/>
      <c r="AF501" s="15"/>
      <c r="AG501" s="15"/>
      <c r="AH501" s="57"/>
      <c r="AI501" s="254"/>
      <c r="AJ501" s="15"/>
      <c r="AK501" s="245"/>
      <c r="AL501" s="246"/>
      <c r="AM501" s="247"/>
      <c r="AN501" s="246"/>
      <c r="AO501" s="246"/>
      <c r="AP501" s="15"/>
      <c r="AQ501" s="15"/>
      <c r="AR501" s="15"/>
      <c r="AS501" s="249"/>
      <c r="AT501" s="250"/>
      <c r="AU501" s="249"/>
      <c r="AV501" s="251"/>
      <c r="AW501" s="250"/>
      <c r="AX501" s="249"/>
      <c r="AY501" s="26"/>
      <c r="AZ501" s="26"/>
      <c r="BA501" s="27"/>
      <c r="BB501" s="28"/>
      <c r="BC501" s="29"/>
    </row>
    <row r="502" ht="12.75" customHeight="1">
      <c r="A502" s="26"/>
      <c r="B502" s="12"/>
      <c r="C502" s="240"/>
      <c r="D502" s="241"/>
      <c r="E502" s="5"/>
      <c r="F502" s="5"/>
      <c r="G502" s="5"/>
      <c r="H502" s="5"/>
      <c r="I502" s="5"/>
      <c r="J502" s="5"/>
      <c r="K502" s="8"/>
      <c r="L502" s="9"/>
      <c r="M502" s="10"/>
      <c r="N502" s="255"/>
      <c r="O502" s="86"/>
      <c r="P502" s="86"/>
      <c r="Q502" s="86"/>
      <c r="R502" s="242"/>
      <c r="S502" s="243"/>
      <c r="T502" s="243"/>
      <c r="U502" s="14"/>
      <c r="V502" s="242"/>
      <c r="W502" s="15"/>
      <c r="X502" s="15"/>
      <c r="Y502" s="15"/>
      <c r="Z502" s="8"/>
      <c r="AA502" s="8"/>
      <c r="AB502" s="56"/>
      <c r="AC502" s="56"/>
      <c r="AD502" s="15"/>
      <c r="AE502" s="15"/>
      <c r="AF502" s="15"/>
      <c r="AG502" s="15"/>
      <c r="AH502" s="57"/>
      <c r="AI502" s="254"/>
      <c r="AJ502" s="15"/>
      <c r="AK502" s="245"/>
      <c r="AL502" s="246"/>
      <c r="AM502" s="247"/>
      <c r="AN502" s="246"/>
      <c r="AO502" s="246"/>
      <c r="AP502" s="15"/>
      <c r="AQ502" s="15"/>
      <c r="AR502" s="15"/>
      <c r="AS502" s="249"/>
      <c r="AT502" s="250"/>
      <c r="AU502" s="249"/>
      <c r="AV502" s="251"/>
      <c r="AW502" s="250"/>
      <c r="AX502" s="249"/>
      <c r="AY502" s="26"/>
      <c r="AZ502" s="26"/>
      <c r="BA502" s="27"/>
      <c r="BB502" s="28"/>
      <c r="BC502" s="29"/>
    </row>
    <row r="503" ht="12.75" customHeight="1">
      <c r="A503" s="26"/>
      <c r="B503" s="12"/>
      <c r="C503" s="240"/>
      <c r="D503" s="241"/>
      <c r="E503" s="5"/>
      <c r="F503" s="5"/>
      <c r="G503" s="5"/>
      <c r="H503" s="5"/>
      <c r="I503" s="5"/>
      <c r="J503" s="5"/>
      <c r="K503" s="8"/>
      <c r="L503" s="9"/>
      <c r="M503" s="10"/>
      <c r="N503" s="255"/>
      <c r="O503" s="86"/>
      <c r="P503" s="86"/>
      <c r="Q503" s="86"/>
      <c r="R503" s="242"/>
      <c r="S503" s="243"/>
      <c r="T503" s="243"/>
      <c r="U503" s="14"/>
      <c r="V503" s="242"/>
      <c r="W503" s="15"/>
      <c r="X503" s="15"/>
      <c r="Y503" s="15"/>
      <c r="Z503" s="8"/>
      <c r="AA503" s="8"/>
      <c r="AB503" s="56"/>
      <c r="AC503" s="56"/>
      <c r="AD503" s="15"/>
      <c r="AE503" s="15"/>
      <c r="AF503" s="15"/>
      <c r="AG503" s="15"/>
      <c r="AH503" s="57"/>
      <c r="AI503" s="254"/>
      <c r="AJ503" s="15"/>
      <c r="AK503" s="245"/>
      <c r="AL503" s="246"/>
      <c r="AM503" s="247"/>
      <c r="AN503" s="246"/>
      <c r="AO503" s="246"/>
      <c r="AP503" s="15"/>
      <c r="AQ503" s="15"/>
      <c r="AR503" s="15"/>
      <c r="AS503" s="249"/>
      <c r="AT503" s="250"/>
      <c r="AU503" s="249"/>
      <c r="AV503" s="251"/>
      <c r="AW503" s="250"/>
      <c r="AX503" s="249"/>
      <c r="AY503" s="26"/>
      <c r="AZ503" s="26"/>
      <c r="BA503" s="27"/>
      <c r="BB503" s="28"/>
      <c r="BC503" s="29"/>
    </row>
    <row r="504" ht="12.75" customHeight="1">
      <c r="A504" s="26"/>
      <c r="B504" s="12"/>
      <c r="C504" s="240"/>
      <c r="D504" s="241"/>
      <c r="E504" s="5"/>
      <c r="F504" s="5"/>
      <c r="G504" s="5"/>
      <c r="H504" s="5"/>
      <c r="I504" s="5"/>
      <c r="J504" s="5"/>
      <c r="K504" s="8"/>
      <c r="L504" s="9"/>
      <c r="M504" s="10"/>
      <c r="N504" s="255"/>
      <c r="O504" s="86"/>
      <c r="P504" s="86"/>
      <c r="Q504" s="86"/>
      <c r="R504" s="242"/>
      <c r="S504" s="243"/>
      <c r="T504" s="243"/>
      <c r="U504" s="14"/>
      <c r="V504" s="242"/>
      <c r="W504" s="15"/>
      <c r="X504" s="15"/>
      <c r="Y504" s="15"/>
      <c r="Z504" s="8"/>
      <c r="AA504" s="8"/>
      <c r="AB504" s="56"/>
      <c r="AC504" s="56"/>
      <c r="AD504" s="15"/>
      <c r="AE504" s="15"/>
      <c r="AF504" s="15"/>
      <c r="AG504" s="15"/>
      <c r="AH504" s="57"/>
      <c r="AI504" s="254"/>
      <c r="AJ504" s="15"/>
      <c r="AK504" s="245"/>
      <c r="AL504" s="246"/>
      <c r="AM504" s="247"/>
      <c r="AN504" s="246"/>
      <c r="AO504" s="246"/>
      <c r="AP504" s="15"/>
      <c r="AQ504" s="15"/>
      <c r="AR504" s="15"/>
      <c r="AS504" s="249"/>
      <c r="AT504" s="250"/>
      <c r="AU504" s="249"/>
      <c r="AV504" s="251"/>
      <c r="AW504" s="250"/>
      <c r="AX504" s="249"/>
      <c r="AY504" s="26"/>
      <c r="AZ504" s="26"/>
      <c r="BA504" s="27"/>
      <c r="BB504" s="28"/>
      <c r="BC504" s="29"/>
    </row>
    <row r="505" ht="12.75" customHeight="1">
      <c r="A505" s="26"/>
      <c r="B505" s="12"/>
      <c r="C505" s="240"/>
      <c r="D505" s="241"/>
      <c r="E505" s="5"/>
      <c r="F505" s="5"/>
      <c r="G505" s="5"/>
      <c r="H505" s="5"/>
      <c r="I505" s="5"/>
      <c r="J505" s="5"/>
      <c r="K505" s="8"/>
      <c r="L505" s="9"/>
      <c r="M505" s="10"/>
      <c r="N505" s="255"/>
      <c r="O505" s="86"/>
      <c r="P505" s="86"/>
      <c r="Q505" s="86"/>
      <c r="R505" s="242"/>
      <c r="S505" s="243"/>
      <c r="T505" s="243"/>
      <c r="U505" s="14"/>
      <c r="V505" s="242"/>
      <c r="W505" s="15"/>
      <c r="X505" s="15"/>
      <c r="Y505" s="15"/>
      <c r="Z505" s="8"/>
      <c r="AA505" s="8"/>
      <c r="AB505" s="56"/>
      <c r="AC505" s="56"/>
      <c r="AD505" s="15"/>
      <c r="AE505" s="15"/>
      <c r="AF505" s="15"/>
      <c r="AG505" s="15"/>
      <c r="AH505" s="57"/>
      <c r="AI505" s="254"/>
      <c r="AJ505" s="15"/>
      <c r="AK505" s="245"/>
      <c r="AL505" s="246"/>
      <c r="AM505" s="247"/>
      <c r="AN505" s="246"/>
      <c r="AO505" s="246"/>
      <c r="AP505" s="15"/>
      <c r="AQ505" s="15"/>
      <c r="AR505" s="15"/>
      <c r="AS505" s="249"/>
      <c r="AT505" s="250"/>
      <c r="AU505" s="249"/>
      <c r="AV505" s="251"/>
      <c r="AW505" s="250"/>
      <c r="AX505" s="249"/>
      <c r="AY505" s="26"/>
      <c r="AZ505" s="26"/>
      <c r="BA505" s="27"/>
      <c r="BB505" s="28"/>
      <c r="BC505" s="29"/>
    </row>
    <row r="506" ht="12.75" customHeight="1">
      <c r="A506" s="26"/>
      <c r="B506" s="12"/>
      <c r="C506" s="240"/>
      <c r="D506" s="241"/>
      <c r="E506" s="5"/>
      <c r="F506" s="5"/>
      <c r="G506" s="5"/>
      <c r="H506" s="5"/>
      <c r="I506" s="5"/>
      <c r="J506" s="5"/>
      <c r="K506" s="8"/>
      <c r="L506" s="9"/>
      <c r="M506" s="10"/>
      <c r="N506" s="255"/>
      <c r="O506" s="86"/>
      <c r="P506" s="86"/>
      <c r="Q506" s="86"/>
      <c r="R506" s="242"/>
      <c r="S506" s="243"/>
      <c r="T506" s="243"/>
      <c r="U506" s="14"/>
      <c r="V506" s="242"/>
      <c r="W506" s="15"/>
      <c r="X506" s="15"/>
      <c r="Y506" s="15"/>
      <c r="Z506" s="8"/>
      <c r="AA506" s="8"/>
      <c r="AB506" s="56"/>
      <c r="AC506" s="56"/>
      <c r="AD506" s="15"/>
      <c r="AE506" s="15"/>
      <c r="AF506" s="15"/>
      <c r="AG506" s="15"/>
      <c r="AH506" s="57"/>
      <c r="AI506" s="254"/>
      <c r="AJ506" s="15"/>
      <c r="AK506" s="245"/>
      <c r="AL506" s="246"/>
      <c r="AM506" s="247"/>
      <c r="AN506" s="246"/>
      <c r="AO506" s="246"/>
      <c r="AP506" s="15"/>
      <c r="AQ506" s="15"/>
      <c r="AR506" s="15"/>
      <c r="AS506" s="249"/>
      <c r="AT506" s="250"/>
      <c r="AU506" s="249"/>
      <c r="AV506" s="251"/>
      <c r="AW506" s="250"/>
      <c r="AX506" s="249"/>
      <c r="AY506" s="26"/>
      <c r="AZ506" s="26"/>
      <c r="BA506" s="27"/>
      <c r="BB506" s="28"/>
      <c r="BC506" s="29"/>
    </row>
    <row r="507" ht="12.75" customHeight="1">
      <c r="A507" s="26"/>
      <c r="B507" s="12"/>
      <c r="C507" s="240"/>
      <c r="D507" s="241"/>
      <c r="E507" s="5"/>
      <c r="F507" s="5"/>
      <c r="G507" s="5"/>
      <c r="H507" s="5"/>
      <c r="I507" s="5"/>
      <c r="J507" s="5"/>
      <c r="K507" s="8"/>
      <c r="L507" s="9"/>
      <c r="M507" s="10"/>
      <c r="N507" s="255"/>
      <c r="O507" s="86"/>
      <c r="P507" s="86"/>
      <c r="Q507" s="86"/>
      <c r="R507" s="242"/>
      <c r="S507" s="243"/>
      <c r="T507" s="243"/>
      <c r="U507" s="14"/>
      <c r="V507" s="242"/>
      <c r="W507" s="15"/>
      <c r="X507" s="15"/>
      <c r="Y507" s="15"/>
      <c r="Z507" s="8"/>
      <c r="AA507" s="8"/>
      <c r="AB507" s="56"/>
      <c r="AC507" s="56"/>
      <c r="AD507" s="15"/>
      <c r="AE507" s="15"/>
      <c r="AF507" s="15"/>
      <c r="AG507" s="15"/>
      <c r="AH507" s="57"/>
      <c r="AI507" s="254"/>
      <c r="AJ507" s="15"/>
      <c r="AK507" s="245"/>
      <c r="AL507" s="246"/>
      <c r="AM507" s="247"/>
      <c r="AN507" s="246"/>
      <c r="AO507" s="246"/>
      <c r="AP507" s="15"/>
      <c r="AQ507" s="15"/>
      <c r="AR507" s="15"/>
      <c r="AS507" s="249"/>
      <c r="AT507" s="250"/>
      <c r="AU507" s="249"/>
      <c r="AV507" s="251"/>
      <c r="AW507" s="250"/>
      <c r="AX507" s="249"/>
      <c r="AY507" s="26"/>
      <c r="AZ507" s="26"/>
      <c r="BA507" s="27"/>
      <c r="BB507" s="28"/>
      <c r="BC507" s="29"/>
    </row>
    <row r="508" ht="12.75" customHeight="1">
      <c r="A508" s="26"/>
      <c r="B508" s="12"/>
      <c r="C508" s="240"/>
      <c r="D508" s="241"/>
      <c r="E508" s="5"/>
      <c r="F508" s="5"/>
      <c r="G508" s="5"/>
      <c r="H508" s="5"/>
      <c r="I508" s="5"/>
      <c r="J508" s="5"/>
      <c r="K508" s="8"/>
      <c r="L508" s="9"/>
      <c r="M508" s="10"/>
      <c r="N508" s="255"/>
      <c r="O508" s="86"/>
      <c r="P508" s="86"/>
      <c r="Q508" s="86"/>
      <c r="R508" s="242"/>
      <c r="S508" s="243"/>
      <c r="T508" s="243"/>
      <c r="U508" s="14"/>
      <c r="V508" s="242"/>
      <c r="W508" s="15"/>
      <c r="X508" s="15"/>
      <c r="Y508" s="15"/>
      <c r="Z508" s="8"/>
      <c r="AA508" s="8"/>
      <c r="AB508" s="56"/>
      <c r="AC508" s="56"/>
      <c r="AD508" s="15"/>
      <c r="AE508" s="15"/>
      <c r="AF508" s="15"/>
      <c r="AG508" s="15"/>
      <c r="AH508" s="57"/>
      <c r="AI508" s="254"/>
      <c r="AJ508" s="15"/>
      <c r="AK508" s="245"/>
      <c r="AL508" s="246"/>
      <c r="AM508" s="247"/>
      <c r="AN508" s="246"/>
      <c r="AO508" s="246"/>
      <c r="AP508" s="15"/>
      <c r="AQ508" s="15"/>
      <c r="AR508" s="15"/>
      <c r="AS508" s="249"/>
      <c r="AT508" s="250"/>
      <c r="AU508" s="249"/>
      <c r="AV508" s="251"/>
      <c r="AW508" s="250"/>
      <c r="AX508" s="249"/>
      <c r="AY508" s="26"/>
      <c r="AZ508" s="26"/>
      <c r="BA508" s="27"/>
      <c r="BB508" s="28"/>
      <c r="BC508" s="29"/>
    </row>
    <row r="509" ht="12.75" customHeight="1">
      <c r="A509" s="26"/>
      <c r="B509" s="12"/>
      <c r="C509" s="240"/>
      <c r="D509" s="241"/>
      <c r="E509" s="5"/>
      <c r="F509" s="5"/>
      <c r="G509" s="5"/>
      <c r="H509" s="5"/>
      <c r="I509" s="5"/>
      <c r="J509" s="5"/>
      <c r="K509" s="8"/>
      <c r="L509" s="9"/>
      <c r="M509" s="10"/>
      <c r="N509" s="255"/>
      <c r="O509" s="86"/>
      <c r="P509" s="86"/>
      <c r="Q509" s="86"/>
      <c r="R509" s="242"/>
      <c r="S509" s="243"/>
      <c r="T509" s="243"/>
      <c r="U509" s="14"/>
      <c r="V509" s="242"/>
      <c r="W509" s="15"/>
      <c r="X509" s="15"/>
      <c r="Y509" s="15"/>
      <c r="Z509" s="8"/>
      <c r="AA509" s="8"/>
      <c r="AB509" s="56"/>
      <c r="AC509" s="56"/>
      <c r="AD509" s="15"/>
      <c r="AE509" s="15"/>
      <c r="AF509" s="15"/>
      <c r="AG509" s="15"/>
      <c r="AH509" s="57"/>
      <c r="AI509" s="254"/>
      <c r="AJ509" s="15"/>
      <c r="AK509" s="245"/>
      <c r="AL509" s="246"/>
      <c r="AM509" s="247"/>
      <c r="AN509" s="246"/>
      <c r="AO509" s="246"/>
      <c r="AP509" s="15"/>
      <c r="AQ509" s="15"/>
      <c r="AR509" s="15"/>
      <c r="AS509" s="249"/>
      <c r="AT509" s="250"/>
      <c r="AU509" s="249"/>
      <c r="AV509" s="251"/>
      <c r="AW509" s="250"/>
      <c r="AX509" s="249"/>
      <c r="AY509" s="26"/>
      <c r="AZ509" s="26"/>
      <c r="BA509" s="27"/>
      <c r="BB509" s="28"/>
      <c r="BC509" s="29"/>
    </row>
    <row r="510" ht="12.75" customHeight="1">
      <c r="A510" s="26"/>
      <c r="B510" s="12"/>
      <c r="C510" s="240"/>
      <c r="D510" s="241"/>
      <c r="E510" s="5"/>
      <c r="F510" s="5"/>
      <c r="G510" s="5"/>
      <c r="H510" s="5"/>
      <c r="I510" s="5"/>
      <c r="J510" s="5"/>
      <c r="K510" s="8"/>
      <c r="L510" s="9"/>
      <c r="M510" s="10"/>
      <c r="N510" s="255"/>
      <c r="O510" s="86"/>
      <c r="P510" s="86"/>
      <c r="Q510" s="86"/>
      <c r="R510" s="242"/>
      <c r="S510" s="243"/>
      <c r="T510" s="243"/>
      <c r="U510" s="14"/>
      <c r="V510" s="242"/>
      <c r="W510" s="15"/>
      <c r="X510" s="15"/>
      <c r="Y510" s="15"/>
      <c r="Z510" s="8"/>
      <c r="AA510" s="8"/>
      <c r="AB510" s="56"/>
      <c r="AC510" s="56"/>
      <c r="AD510" s="15"/>
      <c r="AE510" s="15"/>
      <c r="AF510" s="15"/>
      <c r="AG510" s="15"/>
      <c r="AH510" s="57"/>
      <c r="AI510" s="254"/>
      <c r="AJ510" s="15"/>
      <c r="AK510" s="245"/>
      <c r="AL510" s="246"/>
      <c r="AM510" s="247"/>
      <c r="AN510" s="246"/>
      <c r="AO510" s="246"/>
      <c r="AP510" s="15"/>
      <c r="AQ510" s="15"/>
      <c r="AR510" s="15"/>
      <c r="AS510" s="249"/>
      <c r="AT510" s="250"/>
      <c r="AU510" s="249"/>
      <c r="AV510" s="251"/>
      <c r="AW510" s="250"/>
      <c r="AX510" s="249"/>
      <c r="AY510" s="26"/>
      <c r="AZ510" s="26"/>
      <c r="BA510" s="27"/>
      <c r="BB510" s="28"/>
      <c r="BC510" s="29"/>
    </row>
    <row r="511" ht="12.75" customHeight="1">
      <c r="A511" s="26"/>
      <c r="B511" s="12"/>
      <c r="C511" s="240"/>
      <c r="D511" s="241"/>
      <c r="E511" s="5"/>
      <c r="F511" s="5"/>
      <c r="G511" s="5"/>
      <c r="H511" s="5"/>
      <c r="I511" s="5"/>
      <c r="J511" s="5"/>
      <c r="K511" s="8"/>
      <c r="L511" s="9"/>
      <c r="M511" s="10"/>
      <c r="N511" s="255"/>
      <c r="O511" s="86"/>
      <c r="P511" s="86"/>
      <c r="Q511" s="86"/>
      <c r="R511" s="242"/>
      <c r="S511" s="243"/>
      <c r="T511" s="243"/>
      <c r="U511" s="14"/>
      <c r="V511" s="242"/>
      <c r="W511" s="15"/>
      <c r="X511" s="15"/>
      <c r="Y511" s="15"/>
      <c r="Z511" s="8"/>
      <c r="AA511" s="8"/>
      <c r="AB511" s="56"/>
      <c r="AC511" s="56"/>
      <c r="AD511" s="15"/>
      <c r="AE511" s="15"/>
      <c r="AF511" s="15"/>
      <c r="AG511" s="15"/>
      <c r="AH511" s="57"/>
      <c r="AI511" s="254"/>
      <c r="AJ511" s="15"/>
      <c r="AK511" s="245"/>
      <c r="AL511" s="246"/>
      <c r="AM511" s="247"/>
      <c r="AN511" s="246"/>
      <c r="AO511" s="246"/>
      <c r="AP511" s="15"/>
      <c r="AQ511" s="15"/>
      <c r="AR511" s="15"/>
      <c r="AS511" s="249"/>
      <c r="AT511" s="250"/>
      <c r="AU511" s="249"/>
      <c r="AV511" s="251"/>
      <c r="AW511" s="250"/>
      <c r="AX511" s="249"/>
      <c r="AY511" s="26"/>
      <c r="AZ511" s="26"/>
      <c r="BA511" s="27"/>
      <c r="BB511" s="28"/>
      <c r="BC511" s="29"/>
    </row>
    <row r="512" ht="12.75" customHeight="1">
      <c r="A512" s="26"/>
      <c r="B512" s="12"/>
      <c r="C512" s="240"/>
      <c r="D512" s="241"/>
      <c r="E512" s="5"/>
      <c r="F512" s="5"/>
      <c r="G512" s="5"/>
      <c r="H512" s="5"/>
      <c r="I512" s="5"/>
      <c r="J512" s="5"/>
      <c r="K512" s="8"/>
      <c r="L512" s="9"/>
      <c r="M512" s="10"/>
      <c r="N512" s="255"/>
      <c r="O512" s="86"/>
      <c r="P512" s="86"/>
      <c r="Q512" s="86"/>
      <c r="R512" s="242"/>
      <c r="S512" s="243"/>
      <c r="T512" s="243"/>
      <c r="U512" s="14"/>
      <c r="V512" s="242"/>
      <c r="W512" s="15"/>
      <c r="X512" s="15"/>
      <c r="Y512" s="15"/>
      <c r="Z512" s="8"/>
      <c r="AA512" s="8"/>
      <c r="AB512" s="56"/>
      <c r="AC512" s="56"/>
      <c r="AD512" s="15"/>
      <c r="AE512" s="15"/>
      <c r="AF512" s="15"/>
      <c r="AG512" s="15"/>
      <c r="AH512" s="57"/>
      <c r="AI512" s="254"/>
      <c r="AJ512" s="15"/>
      <c r="AK512" s="245"/>
      <c r="AL512" s="246"/>
      <c r="AM512" s="247"/>
      <c r="AN512" s="246"/>
      <c r="AO512" s="246"/>
      <c r="AP512" s="15"/>
      <c r="AQ512" s="15"/>
      <c r="AR512" s="15"/>
      <c r="AS512" s="249"/>
      <c r="AT512" s="250"/>
      <c r="AU512" s="249"/>
      <c r="AV512" s="251"/>
      <c r="AW512" s="250"/>
      <c r="AX512" s="249"/>
      <c r="AY512" s="26"/>
      <c r="AZ512" s="26"/>
      <c r="BA512" s="27"/>
      <c r="BB512" s="28"/>
      <c r="BC512" s="29"/>
    </row>
    <row r="513" ht="12.75" customHeight="1">
      <c r="A513" s="26"/>
      <c r="B513" s="12"/>
      <c r="C513" s="240"/>
      <c r="D513" s="241"/>
      <c r="E513" s="5"/>
      <c r="F513" s="5"/>
      <c r="G513" s="5"/>
      <c r="H513" s="5"/>
      <c r="I513" s="5"/>
      <c r="J513" s="5"/>
      <c r="K513" s="8"/>
      <c r="L513" s="9"/>
      <c r="M513" s="10"/>
      <c r="N513" s="255"/>
      <c r="O513" s="86"/>
      <c r="P513" s="86"/>
      <c r="Q513" s="86"/>
      <c r="R513" s="242"/>
      <c r="S513" s="243"/>
      <c r="T513" s="243"/>
      <c r="U513" s="14"/>
      <c r="V513" s="242"/>
      <c r="W513" s="15"/>
      <c r="X513" s="15"/>
      <c r="Y513" s="15"/>
      <c r="Z513" s="8"/>
      <c r="AA513" s="8"/>
      <c r="AB513" s="56"/>
      <c r="AC513" s="56"/>
      <c r="AD513" s="15"/>
      <c r="AE513" s="15"/>
      <c r="AF513" s="15"/>
      <c r="AG513" s="15"/>
      <c r="AH513" s="57"/>
      <c r="AI513" s="254"/>
      <c r="AJ513" s="15"/>
      <c r="AK513" s="245"/>
      <c r="AL513" s="246"/>
      <c r="AM513" s="247"/>
      <c r="AN513" s="246"/>
      <c r="AO513" s="246"/>
      <c r="AP513" s="15"/>
      <c r="AQ513" s="15"/>
      <c r="AR513" s="15"/>
      <c r="AS513" s="249"/>
      <c r="AT513" s="250"/>
      <c r="AU513" s="249"/>
      <c r="AV513" s="251"/>
      <c r="AW513" s="250"/>
      <c r="AX513" s="249"/>
      <c r="AY513" s="26"/>
      <c r="AZ513" s="26"/>
      <c r="BA513" s="27"/>
      <c r="BB513" s="28"/>
      <c r="BC513" s="29"/>
    </row>
    <row r="514" ht="12.75" customHeight="1">
      <c r="A514" s="26"/>
      <c r="B514" s="12"/>
      <c r="C514" s="240"/>
      <c r="D514" s="241"/>
      <c r="E514" s="5"/>
      <c r="F514" s="5"/>
      <c r="G514" s="5"/>
      <c r="H514" s="5"/>
      <c r="I514" s="5"/>
      <c r="J514" s="5"/>
      <c r="K514" s="8"/>
      <c r="L514" s="9"/>
      <c r="M514" s="10"/>
      <c r="N514" s="255"/>
      <c r="O514" s="86"/>
      <c r="P514" s="86"/>
      <c r="Q514" s="86"/>
      <c r="R514" s="242"/>
      <c r="S514" s="243"/>
      <c r="T514" s="243"/>
      <c r="U514" s="14"/>
      <c r="V514" s="242"/>
      <c r="W514" s="15"/>
      <c r="X514" s="15"/>
      <c r="Y514" s="15"/>
      <c r="Z514" s="8"/>
      <c r="AA514" s="8"/>
      <c r="AB514" s="56"/>
      <c r="AC514" s="56"/>
      <c r="AD514" s="15"/>
      <c r="AE514" s="15"/>
      <c r="AF514" s="15"/>
      <c r="AG514" s="15"/>
      <c r="AH514" s="57"/>
      <c r="AI514" s="254"/>
      <c r="AJ514" s="15"/>
      <c r="AK514" s="245"/>
      <c r="AL514" s="246"/>
      <c r="AM514" s="247"/>
      <c r="AN514" s="246"/>
      <c r="AO514" s="246"/>
      <c r="AP514" s="15"/>
      <c r="AQ514" s="15"/>
      <c r="AR514" s="15"/>
      <c r="AS514" s="249"/>
      <c r="AT514" s="250"/>
      <c r="AU514" s="249"/>
      <c r="AV514" s="251"/>
      <c r="AW514" s="250"/>
      <c r="AX514" s="249"/>
      <c r="AY514" s="26"/>
      <c r="AZ514" s="26"/>
      <c r="BA514" s="27"/>
      <c r="BB514" s="28"/>
      <c r="BC514" s="29"/>
    </row>
    <row r="515" ht="12.75" customHeight="1">
      <c r="A515" s="26"/>
      <c r="B515" s="12"/>
      <c r="C515" s="240"/>
      <c r="D515" s="241"/>
      <c r="E515" s="5"/>
      <c r="F515" s="5"/>
      <c r="G515" s="5"/>
      <c r="H515" s="5"/>
      <c r="I515" s="5"/>
      <c r="J515" s="5"/>
      <c r="K515" s="8"/>
      <c r="L515" s="9"/>
      <c r="M515" s="10"/>
      <c r="N515" s="255"/>
      <c r="O515" s="86"/>
      <c r="P515" s="86"/>
      <c r="Q515" s="86"/>
      <c r="R515" s="242"/>
      <c r="S515" s="243"/>
      <c r="T515" s="243"/>
      <c r="U515" s="14"/>
      <c r="V515" s="242"/>
      <c r="W515" s="15"/>
      <c r="X515" s="15"/>
      <c r="Y515" s="15"/>
      <c r="Z515" s="8"/>
      <c r="AA515" s="8"/>
      <c r="AB515" s="56"/>
      <c r="AC515" s="56"/>
      <c r="AD515" s="15"/>
      <c r="AE515" s="15"/>
      <c r="AF515" s="15"/>
      <c r="AG515" s="15"/>
      <c r="AH515" s="57"/>
      <c r="AI515" s="254"/>
      <c r="AJ515" s="15"/>
      <c r="AK515" s="245"/>
      <c r="AL515" s="246"/>
      <c r="AM515" s="247"/>
      <c r="AN515" s="246"/>
      <c r="AO515" s="246"/>
      <c r="AP515" s="15"/>
      <c r="AQ515" s="15"/>
      <c r="AR515" s="15"/>
      <c r="AS515" s="249"/>
      <c r="AT515" s="250"/>
      <c r="AU515" s="249"/>
      <c r="AV515" s="251"/>
      <c r="AW515" s="250"/>
      <c r="AX515" s="249"/>
      <c r="AY515" s="26"/>
      <c r="AZ515" s="26"/>
      <c r="BA515" s="27"/>
      <c r="BB515" s="28"/>
      <c r="BC515" s="29"/>
    </row>
    <row r="516" ht="12.75" customHeight="1">
      <c r="A516" s="26"/>
      <c r="B516" s="12"/>
      <c r="C516" s="240"/>
      <c r="D516" s="241"/>
      <c r="E516" s="5"/>
      <c r="F516" s="5"/>
      <c r="G516" s="5"/>
      <c r="H516" s="5"/>
      <c r="I516" s="5"/>
      <c r="J516" s="5"/>
      <c r="K516" s="8"/>
      <c r="L516" s="9"/>
      <c r="M516" s="10"/>
      <c r="N516" s="255"/>
      <c r="O516" s="86"/>
      <c r="P516" s="86"/>
      <c r="Q516" s="86"/>
      <c r="R516" s="242"/>
      <c r="S516" s="243"/>
      <c r="T516" s="243"/>
      <c r="U516" s="14"/>
      <c r="V516" s="242"/>
      <c r="W516" s="15"/>
      <c r="X516" s="15"/>
      <c r="Y516" s="15"/>
      <c r="Z516" s="8"/>
      <c r="AA516" s="8"/>
      <c r="AB516" s="56"/>
      <c r="AC516" s="56"/>
      <c r="AD516" s="15"/>
      <c r="AE516" s="15"/>
      <c r="AF516" s="15"/>
      <c r="AG516" s="15"/>
      <c r="AH516" s="57"/>
      <c r="AI516" s="254"/>
      <c r="AJ516" s="15"/>
      <c r="AK516" s="245"/>
      <c r="AL516" s="246"/>
      <c r="AM516" s="247"/>
      <c r="AN516" s="246"/>
      <c r="AO516" s="246"/>
      <c r="AP516" s="15"/>
      <c r="AQ516" s="15"/>
      <c r="AR516" s="15"/>
      <c r="AS516" s="249"/>
      <c r="AT516" s="250"/>
      <c r="AU516" s="249"/>
      <c r="AV516" s="251"/>
      <c r="AW516" s="250"/>
      <c r="AX516" s="249"/>
      <c r="AY516" s="26"/>
      <c r="AZ516" s="26"/>
      <c r="BA516" s="27"/>
      <c r="BB516" s="28"/>
      <c r="BC516" s="29"/>
    </row>
    <row r="517" ht="12.75" customHeight="1">
      <c r="A517" s="26"/>
      <c r="B517" s="12"/>
      <c r="C517" s="240"/>
      <c r="D517" s="241"/>
      <c r="E517" s="5"/>
      <c r="F517" s="5"/>
      <c r="G517" s="5"/>
      <c r="H517" s="5"/>
      <c r="I517" s="5"/>
      <c r="J517" s="5"/>
      <c r="K517" s="8"/>
      <c r="L517" s="9"/>
      <c r="M517" s="10"/>
      <c r="N517" s="255"/>
      <c r="O517" s="86"/>
      <c r="P517" s="86"/>
      <c r="Q517" s="86"/>
      <c r="R517" s="242"/>
      <c r="S517" s="243"/>
      <c r="T517" s="243"/>
      <c r="U517" s="14"/>
      <c r="V517" s="242"/>
      <c r="W517" s="15"/>
      <c r="X517" s="15"/>
      <c r="Y517" s="15"/>
      <c r="Z517" s="8"/>
      <c r="AA517" s="8"/>
      <c r="AB517" s="56"/>
      <c r="AC517" s="56"/>
      <c r="AD517" s="15"/>
      <c r="AE517" s="15"/>
      <c r="AF517" s="15"/>
      <c r="AG517" s="15"/>
      <c r="AH517" s="57"/>
      <c r="AI517" s="254"/>
      <c r="AJ517" s="15"/>
      <c r="AK517" s="245"/>
      <c r="AL517" s="246"/>
      <c r="AM517" s="247"/>
      <c r="AN517" s="246"/>
      <c r="AO517" s="246"/>
      <c r="AP517" s="15"/>
      <c r="AQ517" s="15"/>
      <c r="AR517" s="15"/>
      <c r="AS517" s="249"/>
      <c r="AT517" s="250"/>
      <c r="AU517" s="249"/>
      <c r="AV517" s="251"/>
      <c r="AW517" s="250"/>
      <c r="AX517" s="249"/>
      <c r="AY517" s="26"/>
      <c r="AZ517" s="26"/>
      <c r="BA517" s="27"/>
      <c r="BB517" s="28"/>
      <c r="BC517" s="29"/>
    </row>
    <row r="518" ht="12.75" customHeight="1">
      <c r="A518" s="26"/>
      <c r="B518" s="12"/>
      <c r="C518" s="240"/>
      <c r="D518" s="241"/>
      <c r="E518" s="5"/>
      <c r="F518" s="5"/>
      <c r="G518" s="5"/>
      <c r="H518" s="5"/>
      <c r="I518" s="5"/>
      <c r="J518" s="5"/>
      <c r="K518" s="8"/>
      <c r="L518" s="9"/>
      <c r="M518" s="10"/>
      <c r="N518" s="255"/>
      <c r="O518" s="86"/>
      <c r="P518" s="86"/>
      <c r="Q518" s="86"/>
      <c r="R518" s="242"/>
      <c r="S518" s="243"/>
      <c r="T518" s="243"/>
      <c r="U518" s="14"/>
      <c r="V518" s="242"/>
      <c r="W518" s="15"/>
      <c r="X518" s="15"/>
      <c r="Y518" s="15"/>
      <c r="Z518" s="8"/>
      <c r="AA518" s="8"/>
      <c r="AB518" s="56"/>
      <c r="AC518" s="56"/>
      <c r="AD518" s="15"/>
      <c r="AE518" s="15"/>
      <c r="AF518" s="15"/>
      <c r="AG518" s="15"/>
      <c r="AH518" s="57"/>
      <c r="AI518" s="254"/>
      <c r="AJ518" s="15"/>
      <c r="AK518" s="245"/>
      <c r="AL518" s="246"/>
      <c r="AM518" s="247"/>
      <c r="AN518" s="246"/>
      <c r="AO518" s="246"/>
      <c r="AP518" s="15"/>
      <c r="AQ518" s="15"/>
      <c r="AR518" s="15"/>
      <c r="AS518" s="249"/>
      <c r="AT518" s="250"/>
      <c r="AU518" s="249"/>
      <c r="AV518" s="251"/>
      <c r="AW518" s="250"/>
      <c r="AX518" s="249"/>
      <c r="AY518" s="26"/>
      <c r="AZ518" s="26"/>
      <c r="BA518" s="27"/>
      <c r="BB518" s="28"/>
      <c r="BC518" s="29"/>
    </row>
    <row r="519" ht="12.75" customHeight="1">
      <c r="A519" s="26"/>
      <c r="B519" s="12"/>
      <c r="C519" s="240"/>
      <c r="D519" s="241"/>
      <c r="E519" s="5"/>
      <c r="F519" s="5"/>
      <c r="G519" s="5"/>
      <c r="H519" s="5"/>
      <c r="I519" s="5"/>
      <c r="J519" s="5"/>
      <c r="K519" s="8"/>
      <c r="L519" s="9"/>
      <c r="M519" s="10"/>
      <c r="N519" s="255"/>
      <c r="O519" s="86"/>
      <c r="P519" s="86"/>
      <c r="Q519" s="86"/>
      <c r="R519" s="242"/>
      <c r="S519" s="243"/>
      <c r="T519" s="243"/>
      <c r="U519" s="14"/>
      <c r="V519" s="242"/>
      <c r="W519" s="15"/>
      <c r="X519" s="15"/>
      <c r="Y519" s="15"/>
      <c r="Z519" s="8"/>
      <c r="AA519" s="8"/>
      <c r="AB519" s="56"/>
      <c r="AC519" s="56"/>
      <c r="AD519" s="15"/>
      <c r="AE519" s="15"/>
      <c r="AF519" s="15"/>
      <c r="AG519" s="15"/>
      <c r="AH519" s="57"/>
      <c r="AI519" s="254"/>
      <c r="AJ519" s="15"/>
      <c r="AK519" s="245"/>
      <c r="AL519" s="246"/>
      <c r="AM519" s="247"/>
      <c r="AN519" s="246"/>
      <c r="AO519" s="246"/>
      <c r="AP519" s="15"/>
      <c r="AQ519" s="15"/>
      <c r="AR519" s="15"/>
      <c r="AS519" s="249"/>
      <c r="AT519" s="250"/>
      <c r="AU519" s="249"/>
      <c r="AV519" s="251"/>
      <c r="AW519" s="250"/>
      <c r="AX519" s="249"/>
      <c r="AY519" s="26"/>
      <c r="AZ519" s="26"/>
      <c r="BA519" s="27"/>
      <c r="BB519" s="28"/>
      <c r="BC519" s="29"/>
    </row>
    <row r="520" ht="12.75" customHeight="1">
      <c r="A520" s="26"/>
      <c r="B520" s="12"/>
      <c r="C520" s="240"/>
      <c r="D520" s="241"/>
      <c r="E520" s="5"/>
      <c r="F520" s="5"/>
      <c r="G520" s="5"/>
      <c r="H520" s="5"/>
      <c r="I520" s="5"/>
      <c r="J520" s="5"/>
      <c r="K520" s="8"/>
      <c r="L520" s="9"/>
      <c r="M520" s="10"/>
      <c r="N520" s="255"/>
      <c r="O520" s="86"/>
      <c r="P520" s="86"/>
      <c r="Q520" s="86"/>
      <c r="R520" s="242"/>
      <c r="S520" s="243"/>
      <c r="T520" s="243"/>
      <c r="U520" s="14"/>
      <c r="V520" s="242"/>
      <c r="W520" s="15"/>
      <c r="X520" s="15"/>
      <c r="Y520" s="15"/>
      <c r="Z520" s="8"/>
      <c r="AA520" s="8"/>
      <c r="AB520" s="56"/>
      <c r="AC520" s="56"/>
      <c r="AD520" s="15"/>
      <c r="AE520" s="15"/>
      <c r="AF520" s="15"/>
      <c r="AG520" s="15"/>
      <c r="AH520" s="57"/>
      <c r="AI520" s="254"/>
      <c r="AJ520" s="15"/>
      <c r="AK520" s="245"/>
      <c r="AL520" s="246"/>
      <c r="AM520" s="247"/>
      <c r="AN520" s="246"/>
      <c r="AO520" s="246"/>
      <c r="AP520" s="15"/>
      <c r="AQ520" s="15"/>
      <c r="AR520" s="15"/>
      <c r="AS520" s="249"/>
      <c r="AT520" s="250"/>
      <c r="AU520" s="249"/>
      <c r="AV520" s="251"/>
      <c r="AW520" s="250"/>
      <c r="AX520" s="249"/>
      <c r="AY520" s="26"/>
      <c r="AZ520" s="26"/>
      <c r="BA520" s="27"/>
      <c r="BB520" s="28"/>
      <c r="BC520" s="29"/>
    </row>
    <row r="521" ht="12.75" customHeight="1">
      <c r="A521" s="26"/>
      <c r="B521" s="12"/>
      <c r="C521" s="240"/>
      <c r="D521" s="241"/>
      <c r="E521" s="5"/>
      <c r="F521" s="5"/>
      <c r="G521" s="5"/>
      <c r="H521" s="5"/>
      <c r="I521" s="5"/>
      <c r="J521" s="5"/>
      <c r="K521" s="8"/>
      <c r="L521" s="9"/>
      <c r="M521" s="10"/>
      <c r="N521" s="255"/>
      <c r="O521" s="86"/>
      <c r="P521" s="86"/>
      <c r="Q521" s="86"/>
      <c r="R521" s="242"/>
      <c r="S521" s="243"/>
      <c r="T521" s="243"/>
      <c r="U521" s="14"/>
      <c r="V521" s="242"/>
      <c r="W521" s="15"/>
      <c r="X521" s="15"/>
      <c r="Y521" s="15"/>
      <c r="Z521" s="8"/>
      <c r="AA521" s="8"/>
      <c r="AB521" s="56"/>
      <c r="AC521" s="56"/>
      <c r="AD521" s="15"/>
      <c r="AE521" s="15"/>
      <c r="AF521" s="15"/>
      <c r="AG521" s="15"/>
      <c r="AH521" s="57"/>
      <c r="AI521" s="254"/>
      <c r="AJ521" s="15"/>
      <c r="AK521" s="245"/>
      <c r="AL521" s="246"/>
      <c r="AM521" s="247"/>
      <c r="AN521" s="246"/>
      <c r="AO521" s="246"/>
      <c r="AP521" s="15"/>
      <c r="AQ521" s="15"/>
      <c r="AR521" s="15"/>
      <c r="AS521" s="249"/>
      <c r="AT521" s="250"/>
      <c r="AU521" s="249"/>
      <c r="AV521" s="251"/>
      <c r="AW521" s="250"/>
      <c r="AX521" s="249"/>
      <c r="AY521" s="26"/>
      <c r="AZ521" s="26"/>
      <c r="BA521" s="27"/>
      <c r="BB521" s="28"/>
      <c r="BC521" s="29"/>
    </row>
    <row r="522" ht="12.75" customHeight="1">
      <c r="A522" s="26"/>
      <c r="B522" s="12"/>
      <c r="C522" s="240"/>
      <c r="D522" s="241"/>
      <c r="E522" s="5"/>
      <c r="F522" s="5"/>
      <c r="G522" s="5"/>
      <c r="H522" s="5"/>
      <c r="I522" s="5"/>
      <c r="J522" s="5"/>
      <c r="K522" s="8"/>
      <c r="L522" s="9"/>
      <c r="M522" s="10"/>
      <c r="N522" s="255"/>
      <c r="O522" s="86"/>
      <c r="P522" s="86"/>
      <c r="Q522" s="86"/>
      <c r="R522" s="242"/>
      <c r="S522" s="243"/>
      <c r="T522" s="243"/>
      <c r="U522" s="14"/>
      <c r="V522" s="242"/>
      <c r="W522" s="15"/>
      <c r="X522" s="15"/>
      <c r="Y522" s="15"/>
      <c r="Z522" s="8"/>
      <c r="AA522" s="8"/>
      <c r="AB522" s="56"/>
      <c r="AC522" s="56"/>
      <c r="AD522" s="15"/>
      <c r="AE522" s="15"/>
      <c r="AF522" s="15"/>
      <c r="AG522" s="15"/>
      <c r="AH522" s="57"/>
      <c r="AI522" s="254"/>
      <c r="AJ522" s="15"/>
      <c r="AK522" s="245"/>
      <c r="AL522" s="246"/>
      <c r="AM522" s="247"/>
      <c r="AN522" s="246"/>
      <c r="AO522" s="246"/>
      <c r="AP522" s="15"/>
      <c r="AQ522" s="15"/>
      <c r="AR522" s="15"/>
      <c r="AS522" s="249"/>
      <c r="AT522" s="250"/>
      <c r="AU522" s="249"/>
      <c r="AV522" s="251"/>
      <c r="AW522" s="250"/>
      <c r="AX522" s="249"/>
      <c r="AY522" s="26"/>
      <c r="AZ522" s="26"/>
      <c r="BA522" s="27"/>
      <c r="BB522" s="28"/>
      <c r="BC522" s="29"/>
    </row>
    <row r="523" ht="12.75" customHeight="1">
      <c r="A523" s="26"/>
      <c r="B523" s="12"/>
      <c r="C523" s="240"/>
      <c r="D523" s="241"/>
      <c r="E523" s="5"/>
      <c r="F523" s="5"/>
      <c r="G523" s="5"/>
      <c r="H523" s="5"/>
      <c r="I523" s="5"/>
      <c r="J523" s="5"/>
      <c r="K523" s="8"/>
      <c r="L523" s="9"/>
      <c r="M523" s="10"/>
      <c r="N523" s="255"/>
      <c r="O523" s="86"/>
      <c r="P523" s="86"/>
      <c r="Q523" s="86"/>
      <c r="R523" s="242"/>
      <c r="S523" s="243"/>
      <c r="T523" s="243"/>
      <c r="U523" s="14"/>
      <c r="V523" s="242"/>
      <c r="W523" s="15"/>
      <c r="X523" s="15"/>
      <c r="Y523" s="15"/>
      <c r="Z523" s="8"/>
      <c r="AA523" s="8"/>
      <c r="AB523" s="56"/>
      <c r="AC523" s="56"/>
      <c r="AD523" s="15"/>
      <c r="AE523" s="15"/>
      <c r="AF523" s="15"/>
      <c r="AG523" s="15"/>
      <c r="AH523" s="57"/>
      <c r="AI523" s="254"/>
      <c r="AJ523" s="15"/>
      <c r="AK523" s="245"/>
      <c r="AL523" s="246"/>
      <c r="AM523" s="247"/>
      <c r="AN523" s="246"/>
      <c r="AO523" s="246"/>
      <c r="AP523" s="15"/>
      <c r="AQ523" s="15"/>
      <c r="AR523" s="15"/>
      <c r="AS523" s="249"/>
      <c r="AT523" s="250"/>
      <c r="AU523" s="249"/>
      <c r="AV523" s="251"/>
      <c r="AW523" s="250"/>
      <c r="AX523" s="249"/>
      <c r="AY523" s="26"/>
      <c r="AZ523" s="26"/>
      <c r="BA523" s="27"/>
      <c r="BB523" s="28"/>
      <c r="BC523" s="29"/>
    </row>
    <row r="524" ht="12.75" customHeight="1">
      <c r="A524" s="26"/>
      <c r="B524" s="12"/>
      <c r="C524" s="240"/>
      <c r="D524" s="241"/>
      <c r="E524" s="5"/>
      <c r="F524" s="5"/>
      <c r="G524" s="5"/>
      <c r="H524" s="5"/>
      <c r="I524" s="5"/>
      <c r="J524" s="5"/>
      <c r="K524" s="8"/>
      <c r="L524" s="9"/>
      <c r="M524" s="10"/>
      <c r="N524" s="255"/>
      <c r="O524" s="86"/>
      <c r="P524" s="86"/>
      <c r="Q524" s="86"/>
      <c r="R524" s="242"/>
      <c r="S524" s="243"/>
      <c r="T524" s="243"/>
      <c r="U524" s="14"/>
      <c r="V524" s="242"/>
      <c r="W524" s="15"/>
      <c r="X524" s="15"/>
      <c r="Y524" s="15"/>
      <c r="Z524" s="8"/>
      <c r="AA524" s="8"/>
      <c r="AB524" s="56"/>
      <c r="AC524" s="56"/>
      <c r="AD524" s="15"/>
      <c r="AE524" s="15"/>
      <c r="AF524" s="15"/>
      <c r="AG524" s="15"/>
      <c r="AH524" s="57"/>
      <c r="AI524" s="254"/>
      <c r="AJ524" s="15"/>
      <c r="AK524" s="245"/>
      <c r="AL524" s="246"/>
      <c r="AM524" s="247"/>
      <c r="AN524" s="246"/>
      <c r="AO524" s="246"/>
      <c r="AP524" s="15"/>
      <c r="AQ524" s="15"/>
      <c r="AR524" s="15"/>
      <c r="AS524" s="249"/>
      <c r="AT524" s="250"/>
      <c r="AU524" s="249"/>
      <c r="AV524" s="251"/>
      <c r="AW524" s="250"/>
      <c r="AX524" s="249"/>
      <c r="AY524" s="26"/>
      <c r="AZ524" s="26"/>
      <c r="BA524" s="27"/>
      <c r="BB524" s="28"/>
      <c r="BC524" s="29"/>
    </row>
    <row r="525" ht="12.75" customHeight="1">
      <c r="A525" s="26"/>
      <c r="B525" s="12"/>
      <c r="C525" s="240"/>
      <c r="D525" s="241"/>
      <c r="E525" s="5"/>
      <c r="F525" s="5"/>
      <c r="G525" s="5"/>
      <c r="H525" s="5"/>
      <c r="I525" s="5"/>
      <c r="J525" s="5"/>
      <c r="K525" s="8"/>
      <c r="L525" s="9"/>
      <c r="M525" s="10"/>
      <c r="N525" s="255"/>
      <c r="O525" s="86"/>
      <c r="P525" s="86"/>
      <c r="Q525" s="86"/>
      <c r="R525" s="242"/>
      <c r="S525" s="243"/>
      <c r="T525" s="243"/>
      <c r="U525" s="14"/>
      <c r="V525" s="242"/>
      <c r="W525" s="15"/>
      <c r="X525" s="15"/>
      <c r="Y525" s="15"/>
      <c r="Z525" s="8"/>
      <c r="AA525" s="8"/>
      <c r="AB525" s="56"/>
      <c r="AC525" s="56"/>
      <c r="AD525" s="15"/>
      <c r="AE525" s="15"/>
      <c r="AF525" s="15"/>
      <c r="AG525" s="15"/>
      <c r="AH525" s="57"/>
      <c r="AI525" s="254"/>
      <c r="AJ525" s="15"/>
      <c r="AK525" s="245"/>
      <c r="AL525" s="246"/>
      <c r="AM525" s="247"/>
      <c r="AN525" s="246"/>
      <c r="AO525" s="246"/>
      <c r="AP525" s="15"/>
      <c r="AQ525" s="15"/>
      <c r="AR525" s="15"/>
      <c r="AS525" s="249"/>
      <c r="AT525" s="250"/>
      <c r="AU525" s="249"/>
      <c r="AV525" s="251"/>
      <c r="AW525" s="250"/>
      <c r="AX525" s="249"/>
      <c r="AY525" s="26"/>
      <c r="AZ525" s="26"/>
      <c r="BA525" s="27"/>
      <c r="BB525" s="28"/>
      <c r="BC525" s="29"/>
    </row>
    <row r="526" ht="12.75" customHeight="1">
      <c r="A526" s="26"/>
      <c r="B526" s="12"/>
      <c r="C526" s="240"/>
      <c r="D526" s="241"/>
      <c r="E526" s="5"/>
      <c r="F526" s="5"/>
      <c r="G526" s="5"/>
      <c r="H526" s="5"/>
      <c r="I526" s="5"/>
      <c r="J526" s="5"/>
      <c r="K526" s="8"/>
      <c r="L526" s="9"/>
      <c r="M526" s="10"/>
      <c r="N526" s="255"/>
      <c r="O526" s="86"/>
      <c r="P526" s="86"/>
      <c r="Q526" s="86"/>
      <c r="R526" s="242"/>
      <c r="S526" s="243"/>
      <c r="T526" s="243"/>
      <c r="U526" s="14"/>
      <c r="V526" s="242"/>
      <c r="W526" s="15"/>
      <c r="X526" s="15"/>
      <c r="Y526" s="15"/>
      <c r="Z526" s="8"/>
      <c r="AA526" s="8"/>
      <c r="AB526" s="56"/>
      <c r="AC526" s="56"/>
      <c r="AD526" s="15"/>
      <c r="AE526" s="15"/>
      <c r="AF526" s="15"/>
      <c r="AG526" s="15"/>
      <c r="AH526" s="57"/>
      <c r="AI526" s="254"/>
      <c r="AJ526" s="15"/>
      <c r="AK526" s="245"/>
      <c r="AL526" s="246"/>
      <c r="AM526" s="247"/>
      <c r="AN526" s="246"/>
      <c r="AO526" s="246"/>
      <c r="AP526" s="15"/>
      <c r="AQ526" s="15"/>
      <c r="AR526" s="15"/>
      <c r="AS526" s="249"/>
      <c r="AT526" s="250"/>
      <c r="AU526" s="249"/>
      <c r="AV526" s="251"/>
      <c r="AW526" s="250"/>
      <c r="AX526" s="249"/>
      <c r="AY526" s="26"/>
      <c r="AZ526" s="26"/>
      <c r="BA526" s="27"/>
      <c r="BB526" s="28"/>
      <c r="BC526" s="29"/>
    </row>
    <row r="527" ht="12.75" customHeight="1">
      <c r="A527" s="26"/>
      <c r="B527" s="12"/>
      <c r="C527" s="240"/>
      <c r="D527" s="241"/>
      <c r="E527" s="5"/>
      <c r="F527" s="5"/>
      <c r="G527" s="5"/>
      <c r="H527" s="5"/>
      <c r="I527" s="5"/>
      <c r="J527" s="5"/>
      <c r="K527" s="8"/>
      <c r="L527" s="9"/>
      <c r="M527" s="10"/>
      <c r="N527" s="255"/>
      <c r="O527" s="86"/>
      <c r="P527" s="86"/>
      <c r="Q527" s="86"/>
      <c r="R527" s="242"/>
      <c r="S527" s="243"/>
      <c r="T527" s="243"/>
      <c r="U527" s="14"/>
      <c r="V527" s="242"/>
      <c r="W527" s="15"/>
      <c r="X527" s="15"/>
      <c r="Y527" s="15"/>
      <c r="Z527" s="8"/>
      <c r="AA527" s="8"/>
      <c r="AB527" s="56"/>
      <c r="AC527" s="56"/>
      <c r="AD527" s="15"/>
      <c r="AE527" s="15"/>
      <c r="AF527" s="15"/>
      <c r="AG527" s="15"/>
      <c r="AH527" s="57"/>
      <c r="AI527" s="254"/>
      <c r="AJ527" s="15"/>
      <c r="AK527" s="245"/>
      <c r="AL527" s="246"/>
      <c r="AM527" s="247"/>
      <c r="AN527" s="246"/>
      <c r="AO527" s="246"/>
      <c r="AP527" s="15"/>
      <c r="AQ527" s="15"/>
      <c r="AR527" s="15"/>
      <c r="AS527" s="249"/>
      <c r="AT527" s="250"/>
      <c r="AU527" s="249"/>
      <c r="AV527" s="251"/>
      <c r="AW527" s="250"/>
      <c r="AX527" s="249"/>
      <c r="AY527" s="26"/>
      <c r="AZ527" s="26"/>
      <c r="BA527" s="27"/>
      <c r="BB527" s="28"/>
      <c r="BC527" s="29"/>
    </row>
    <row r="528" ht="12.75" customHeight="1">
      <c r="A528" s="26"/>
      <c r="B528" s="12"/>
      <c r="C528" s="240"/>
      <c r="D528" s="241"/>
      <c r="E528" s="5"/>
      <c r="F528" s="5"/>
      <c r="G528" s="5"/>
      <c r="H528" s="5"/>
      <c r="I528" s="5"/>
      <c r="J528" s="5"/>
      <c r="K528" s="8"/>
      <c r="L528" s="9"/>
      <c r="M528" s="10"/>
      <c r="N528" s="255"/>
      <c r="O528" s="86"/>
      <c r="P528" s="86"/>
      <c r="Q528" s="86"/>
      <c r="R528" s="242"/>
      <c r="S528" s="243"/>
      <c r="T528" s="243"/>
      <c r="U528" s="14"/>
      <c r="V528" s="242"/>
      <c r="W528" s="15"/>
      <c r="X528" s="15"/>
      <c r="Y528" s="15"/>
      <c r="Z528" s="8"/>
      <c r="AA528" s="8"/>
      <c r="AB528" s="56"/>
      <c r="AC528" s="56"/>
      <c r="AD528" s="15"/>
      <c r="AE528" s="15"/>
      <c r="AF528" s="15"/>
      <c r="AG528" s="15"/>
      <c r="AH528" s="57"/>
      <c r="AI528" s="254"/>
      <c r="AJ528" s="15"/>
      <c r="AK528" s="245"/>
      <c r="AL528" s="246"/>
      <c r="AM528" s="247"/>
      <c r="AN528" s="246"/>
      <c r="AO528" s="246"/>
      <c r="AP528" s="15"/>
      <c r="AQ528" s="15"/>
      <c r="AR528" s="15"/>
      <c r="AS528" s="249"/>
      <c r="AT528" s="250"/>
      <c r="AU528" s="249"/>
      <c r="AV528" s="251"/>
      <c r="AW528" s="250"/>
      <c r="AX528" s="249"/>
      <c r="AY528" s="26"/>
      <c r="AZ528" s="26"/>
      <c r="BA528" s="27"/>
      <c r="BB528" s="28"/>
      <c r="BC528" s="29"/>
    </row>
    <row r="529" ht="12.75" customHeight="1">
      <c r="A529" s="26"/>
      <c r="B529" s="12"/>
      <c r="C529" s="240"/>
      <c r="D529" s="241"/>
      <c r="E529" s="5"/>
      <c r="F529" s="5"/>
      <c r="G529" s="5"/>
      <c r="H529" s="5"/>
      <c r="I529" s="5"/>
      <c r="J529" s="5"/>
      <c r="K529" s="8"/>
      <c r="L529" s="9"/>
      <c r="M529" s="10"/>
      <c r="N529" s="255"/>
      <c r="O529" s="86"/>
      <c r="P529" s="86"/>
      <c r="Q529" s="86"/>
      <c r="R529" s="242"/>
      <c r="S529" s="243"/>
      <c r="T529" s="243"/>
      <c r="U529" s="14"/>
      <c r="V529" s="242"/>
      <c r="W529" s="15"/>
      <c r="X529" s="15"/>
      <c r="Y529" s="15"/>
      <c r="Z529" s="8"/>
      <c r="AA529" s="8"/>
      <c r="AB529" s="56"/>
      <c r="AC529" s="56"/>
      <c r="AD529" s="15"/>
      <c r="AE529" s="15"/>
      <c r="AF529" s="15"/>
      <c r="AG529" s="15"/>
      <c r="AH529" s="57"/>
      <c r="AI529" s="254"/>
      <c r="AJ529" s="15"/>
      <c r="AK529" s="245"/>
      <c r="AL529" s="246"/>
      <c r="AM529" s="247"/>
      <c r="AN529" s="246"/>
      <c r="AO529" s="246"/>
      <c r="AP529" s="15"/>
      <c r="AQ529" s="15"/>
      <c r="AR529" s="15"/>
      <c r="AS529" s="249"/>
      <c r="AT529" s="250"/>
      <c r="AU529" s="249"/>
      <c r="AV529" s="251"/>
      <c r="AW529" s="250"/>
      <c r="AX529" s="249"/>
      <c r="AY529" s="26"/>
      <c r="AZ529" s="26"/>
      <c r="BA529" s="27"/>
      <c r="BB529" s="28"/>
      <c r="BC529" s="29"/>
    </row>
    <row r="530" ht="12.75" customHeight="1">
      <c r="A530" s="26"/>
      <c r="B530" s="12"/>
      <c r="C530" s="240"/>
      <c r="D530" s="241"/>
      <c r="E530" s="5"/>
      <c r="F530" s="5"/>
      <c r="G530" s="5"/>
      <c r="H530" s="5"/>
      <c r="I530" s="5"/>
      <c r="J530" s="5"/>
      <c r="K530" s="8"/>
      <c r="L530" s="9"/>
      <c r="M530" s="10"/>
      <c r="N530" s="255"/>
      <c r="O530" s="86"/>
      <c r="P530" s="86"/>
      <c r="Q530" s="86"/>
      <c r="R530" s="242"/>
      <c r="S530" s="243"/>
      <c r="T530" s="243"/>
      <c r="U530" s="14"/>
      <c r="V530" s="242"/>
      <c r="W530" s="15"/>
      <c r="X530" s="15"/>
      <c r="Y530" s="15"/>
      <c r="Z530" s="8"/>
      <c r="AA530" s="8"/>
      <c r="AB530" s="56"/>
      <c r="AC530" s="56"/>
      <c r="AD530" s="15"/>
      <c r="AE530" s="15"/>
      <c r="AF530" s="15"/>
      <c r="AG530" s="15"/>
      <c r="AH530" s="57"/>
      <c r="AI530" s="254"/>
      <c r="AJ530" s="15"/>
      <c r="AK530" s="245"/>
      <c r="AL530" s="246"/>
      <c r="AM530" s="247"/>
      <c r="AN530" s="246"/>
      <c r="AO530" s="246"/>
      <c r="AP530" s="15"/>
      <c r="AQ530" s="15"/>
      <c r="AR530" s="15"/>
      <c r="AS530" s="249"/>
      <c r="AT530" s="250"/>
      <c r="AU530" s="249"/>
      <c r="AV530" s="251"/>
      <c r="AW530" s="250"/>
      <c r="AX530" s="249"/>
      <c r="AY530" s="26"/>
      <c r="AZ530" s="26"/>
      <c r="BA530" s="27"/>
      <c r="BB530" s="28"/>
      <c r="BC530" s="29"/>
    </row>
    <row r="531" ht="12.75" customHeight="1">
      <c r="A531" s="26"/>
      <c r="B531" s="12"/>
      <c r="C531" s="240"/>
      <c r="D531" s="241"/>
      <c r="E531" s="5"/>
      <c r="F531" s="5"/>
      <c r="G531" s="5"/>
      <c r="H531" s="5"/>
      <c r="I531" s="5"/>
      <c r="J531" s="5"/>
      <c r="K531" s="8"/>
      <c r="L531" s="9"/>
      <c r="M531" s="10"/>
      <c r="N531" s="255"/>
      <c r="O531" s="86"/>
      <c r="P531" s="86"/>
      <c r="Q531" s="86"/>
      <c r="R531" s="242"/>
      <c r="S531" s="243"/>
      <c r="T531" s="243"/>
      <c r="U531" s="14"/>
      <c r="V531" s="242"/>
      <c r="W531" s="15"/>
      <c r="X531" s="15"/>
      <c r="Y531" s="15"/>
      <c r="Z531" s="8"/>
      <c r="AA531" s="8"/>
      <c r="AB531" s="56"/>
      <c r="AC531" s="56"/>
      <c r="AD531" s="15"/>
      <c r="AE531" s="15"/>
      <c r="AF531" s="15"/>
      <c r="AG531" s="15"/>
      <c r="AH531" s="57"/>
      <c r="AI531" s="254"/>
      <c r="AJ531" s="15"/>
      <c r="AK531" s="245"/>
      <c r="AL531" s="246"/>
      <c r="AM531" s="247"/>
      <c r="AN531" s="246"/>
      <c r="AO531" s="246"/>
      <c r="AP531" s="15"/>
      <c r="AQ531" s="15"/>
      <c r="AR531" s="15"/>
      <c r="AS531" s="249"/>
      <c r="AT531" s="250"/>
      <c r="AU531" s="249"/>
      <c r="AV531" s="251"/>
      <c r="AW531" s="250"/>
      <c r="AX531" s="249"/>
      <c r="AY531" s="26"/>
      <c r="AZ531" s="26"/>
      <c r="BA531" s="27"/>
      <c r="BB531" s="28"/>
      <c r="BC531" s="29"/>
    </row>
    <row r="532" ht="12.75" customHeight="1">
      <c r="A532" s="26"/>
      <c r="B532" s="12"/>
      <c r="C532" s="240"/>
      <c r="D532" s="241"/>
      <c r="E532" s="5"/>
      <c r="F532" s="5"/>
      <c r="G532" s="5"/>
      <c r="H532" s="5"/>
      <c r="I532" s="5"/>
      <c r="J532" s="5"/>
      <c r="K532" s="8"/>
      <c r="L532" s="9"/>
      <c r="M532" s="10"/>
      <c r="N532" s="255"/>
      <c r="O532" s="86"/>
      <c r="P532" s="86"/>
      <c r="Q532" s="86"/>
      <c r="R532" s="242"/>
      <c r="S532" s="243"/>
      <c r="T532" s="243"/>
      <c r="U532" s="14"/>
      <c r="V532" s="242"/>
      <c r="W532" s="15"/>
      <c r="X532" s="15"/>
      <c r="Y532" s="15"/>
      <c r="Z532" s="8"/>
      <c r="AA532" s="8"/>
      <c r="AB532" s="56"/>
      <c r="AC532" s="56"/>
      <c r="AD532" s="15"/>
      <c r="AE532" s="15"/>
      <c r="AF532" s="15"/>
      <c r="AG532" s="15"/>
      <c r="AH532" s="57"/>
      <c r="AI532" s="254"/>
      <c r="AJ532" s="15"/>
      <c r="AK532" s="245"/>
      <c r="AL532" s="246"/>
      <c r="AM532" s="247"/>
      <c r="AN532" s="246"/>
      <c r="AO532" s="246"/>
      <c r="AP532" s="15"/>
      <c r="AQ532" s="15"/>
      <c r="AR532" s="15"/>
      <c r="AS532" s="249"/>
      <c r="AT532" s="250"/>
      <c r="AU532" s="249"/>
      <c r="AV532" s="251"/>
      <c r="AW532" s="250"/>
      <c r="AX532" s="249"/>
      <c r="AY532" s="26"/>
      <c r="AZ532" s="26"/>
      <c r="BA532" s="27"/>
      <c r="BB532" s="28"/>
      <c r="BC532" s="29"/>
    </row>
    <row r="533" ht="12.75" customHeight="1">
      <c r="A533" s="26"/>
      <c r="B533" s="12"/>
      <c r="C533" s="240"/>
      <c r="D533" s="241"/>
      <c r="E533" s="5"/>
      <c r="F533" s="5"/>
      <c r="G533" s="5"/>
      <c r="H533" s="5"/>
      <c r="I533" s="5"/>
      <c r="J533" s="5"/>
      <c r="K533" s="8"/>
      <c r="L533" s="9"/>
      <c r="M533" s="10"/>
      <c r="N533" s="255"/>
      <c r="O533" s="86"/>
      <c r="P533" s="86"/>
      <c r="Q533" s="86"/>
      <c r="R533" s="242"/>
      <c r="S533" s="243"/>
      <c r="T533" s="243"/>
      <c r="U533" s="14"/>
      <c r="V533" s="242"/>
      <c r="W533" s="15"/>
      <c r="X533" s="15"/>
      <c r="Y533" s="15"/>
      <c r="Z533" s="8"/>
      <c r="AA533" s="8"/>
      <c r="AB533" s="56"/>
      <c r="AC533" s="56"/>
      <c r="AD533" s="15"/>
      <c r="AE533" s="15"/>
      <c r="AF533" s="15"/>
      <c r="AG533" s="15"/>
      <c r="AH533" s="57"/>
      <c r="AI533" s="254"/>
      <c r="AJ533" s="15"/>
      <c r="AK533" s="245"/>
      <c r="AL533" s="246"/>
      <c r="AM533" s="247"/>
      <c r="AN533" s="246"/>
      <c r="AO533" s="246"/>
      <c r="AP533" s="15"/>
      <c r="AQ533" s="15"/>
      <c r="AR533" s="15"/>
      <c r="AS533" s="249"/>
      <c r="AT533" s="250"/>
      <c r="AU533" s="249"/>
      <c r="AV533" s="251"/>
      <c r="AW533" s="250"/>
      <c r="AX533" s="249"/>
      <c r="AY533" s="26"/>
      <c r="AZ533" s="26"/>
      <c r="BA533" s="27"/>
      <c r="BB533" s="28"/>
      <c r="BC533" s="29"/>
    </row>
    <row r="534" ht="12.75" customHeight="1">
      <c r="A534" s="26"/>
      <c r="B534" s="12"/>
      <c r="C534" s="240"/>
      <c r="D534" s="241"/>
      <c r="E534" s="5"/>
      <c r="F534" s="5"/>
      <c r="G534" s="5"/>
      <c r="H534" s="5"/>
      <c r="I534" s="5"/>
      <c r="J534" s="5"/>
      <c r="K534" s="8"/>
      <c r="L534" s="9"/>
      <c r="M534" s="10"/>
      <c r="N534" s="255"/>
      <c r="O534" s="86"/>
      <c r="P534" s="86"/>
      <c r="Q534" s="86"/>
      <c r="R534" s="242"/>
      <c r="S534" s="243"/>
      <c r="T534" s="243"/>
      <c r="U534" s="14"/>
      <c r="V534" s="242"/>
      <c r="W534" s="15"/>
      <c r="X534" s="15"/>
      <c r="Y534" s="15"/>
      <c r="Z534" s="8"/>
      <c r="AA534" s="8"/>
      <c r="AB534" s="56"/>
      <c r="AC534" s="56"/>
      <c r="AD534" s="15"/>
      <c r="AE534" s="15"/>
      <c r="AF534" s="15"/>
      <c r="AG534" s="15"/>
      <c r="AH534" s="57"/>
      <c r="AI534" s="254"/>
      <c r="AJ534" s="15"/>
      <c r="AK534" s="245"/>
      <c r="AL534" s="246"/>
      <c r="AM534" s="247"/>
      <c r="AN534" s="246"/>
      <c r="AO534" s="246"/>
      <c r="AP534" s="15"/>
      <c r="AQ534" s="15"/>
      <c r="AR534" s="15"/>
      <c r="AS534" s="249"/>
      <c r="AT534" s="250"/>
      <c r="AU534" s="249"/>
      <c r="AV534" s="251"/>
      <c r="AW534" s="250"/>
      <c r="AX534" s="249"/>
      <c r="AY534" s="26"/>
      <c r="AZ534" s="26"/>
      <c r="BA534" s="27"/>
      <c r="BB534" s="28"/>
      <c r="BC534" s="29"/>
    </row>
    <row r="535" ht="12.75" customHeight="1">
      <c r="A535" s="26"/>
      <c r="B535" s="12"/>
      <c r="C535" s="240"/>
      <c r="D535" s="241"/>
      <c r="E535" s="5"/>
      <c r="F535" s="5"/>
      <c r="G535" s="5"/>
      <c r="H535" s="5"/>
      <c r="I535" s="5"/>
      <c r="J535" s="5"/>
      <c r="K535" s="8"/>
      <c r="L535" s="9"/>
      <c r="M535" s="10"/>
      <c r="N535" s="255"/>
      <c r="O535" s="86"/>
      <c r="P535" s="86"/>
      <c r="Q535" s="86"/>
      <c r="R535" s="242"/>
      <c r="S535" s="243"/>
      <c r="T535" s="243"/>
      <c r="U535" s="14"/>
      <c r="V535" s="242"/>
      <c r="W535" s="15"/>
      <c r="X535" s="15"/>
      <c r="Y535" s="15"/>
      <c r="Z535" s="8"/>
      <c r="AA535" s="8"/>
      <c r="AB535" s="56"/>
      <c r="AC535" s="56"/>
      <c r="AD535" s="15"/>
      <c r="AE535" s="15"/>
      <c r="AF535" s="15"/>
      <c r="AG535" s="15"/>
      <c r="AH535" s="57"/>
      <c r="AI535" s="254"/>
      <c r="AJ535" s="15"/>
      <c r="AK535" s="245"/>
      <c r="AL535" s="246"/>
      <c r="AM535" s="247"/>
      <c r="AN535" s="246"/>
      <c r="AO535" s="246"/>
      <c r="AP535" s="15"/>
      <c r="AQ535" s="15"/>
      <c r="AR535" s="15"/>
      <c r="AS535" s="249"/>
      <c r="AT535" s="250"/>
      <c r="AU535" s="249"/>
      <c r="AV535" s="251"/>
      <c r="AW535" s="250"/>
      <c r="AX535" s="249"/>
      <c r="AY535" s="26"/>
      <c r="AZ535" s="26"/>
      <c r="BA535" s="27"/>
      <c r="BB535" s="28"/>
      <c r="BC535" s="29"/>
    </row>
    <row r="536" ht="12.75" customHeight="1">
      <c r="A536" s="26"/>
      <c r="B536" s="12"/>
      <c r="C536" s="240"/>
      <c r="D536" s="241"/>
      <c r="E536" s="5"/>
      <c r="F536" s="5"/>
      <c r="G536" s="5"/>
      <c r="H536" s="5"/>
      <c r="I536" s="5"/>
      <c r="J536" s="5"/>
      <c r="K536" s="8"/>
      <c r="L536" s="9"/>
      <c r="M536" s="10"/>
      <c r="N536" s="255"/>
      <c r="O536" s="86"/>
      <c r="P536" s="86"/>
      <c r="Q536" s="86"/>
      <c r="R536" s="242"/>
      <c r="S536" s="243"/>
      <c r="T536" s="243"/>
      <c r="U536" s="14"/>
      <c r="V536" s="242"/>
      <c r="W536" s="15"/>
      <c r="X536" s="15"/>
      <c r="Y536" s="15"/>
      <c r="Z536" s="8"/>
      <c r="AA536" s="8"/>
      <c r="AB536" s="56"/>
      <c r="AC536" s="56"/>
      <c r="AD536" s="15"/>
      <c r="AE536" s="15"/>
      <c r="AF536" s="15"/>
      <c r="AG536" s="15"/>
      <c r="AH536" s="57"/>
      <c r="AI536" s="254"/>
      <c r="AJ536" s="15"/>
      <c r="AK536" s="245"/>
      <c r="AL536" s="246"/>
      <c r="AM536" s="247"/>
      <c r="AN536" s="246"/>
      <c r="AO536" s="246"/>
      <c r="AP536" s="15"/>
      <c r="AQ536" s="15"/>
      <c r="AR536" s="15"/>
      <c r="AS536" s="249"/>
      <c r="AT536" s="250"/>
      <c r="AU536" s="249"/>
      <c r="AV536" s="251"/>
      <c r="AW536" s="250"/>
      <c r="AX536" s="249"/>
      <c r="AY536" s="26"/>
      <c r="AZ536" s="26"/>
      <c r="BA536" s="27"/>
      <c r="BB536" s="28"/>
      <c r="BC536" s="29"/>
    </row>
    <row r="537" ht="12.75" customHeight="1">
      <c r="A537" s="26"/>
      <c r="B537" s="12"/>
      <c r="C537" s="240"/>
      <c r="D537" s="241"/>
      <c r="E537" s="5"/>
      <c r="F537" s="5"/>
      <c r="G537" s="5"/>
      <c r="H537" s="5"/>
      <c r="I537" s="5"/>
      <c r="J537" s="5"/>
      <c r="K537" s="8"/>
      <c r="L537" s="9"/>
      <c r="M537" s="10"/>
      <c r="N537" s="255"/>
      <c r="O537" s="86"/>
      <c r="P537" s="86"/>
      <c r="Q537" s="86"/>
      <c r="R537" s="242"/>
      <c r="S537" s="243"/>
      <c r="T537" s="243"/>
      <c r="U537" s="14"/>
      <c r="V537" s="242"/>
      <c r="W537" s="15"/>
      <c r="X537" s="15"/>
      <c r="Y537" s="15"/>
      <c r="Z537" s="8"/>
      <c r="AA537" s="8"/>
      <c r="AB537" s="56"/>
      <c r="AC537" s="56"/>
      <c r="AD537" s="15"/>
      <c r="AE537" s="15"/>
      <c r="AF537" s="15"/>
      <c r="AG537" s="15"/>
      <c r="AH537" s="57"/>
      <c r="AI537" s="254"/>
      <c r="AJ537" s="15"/>
      <c r="AK537" s="245"/>
      <c r="AL537" s="246"/>
      <c r="AM537" s="247"/>
      <c r="AN537" s="246"/>
      <c r="AO537" s="246"/>
      <c r="AP537" s="15"/>
      <c r="AQ537" s="15"/>
      <c r="AR537" s="15"/>
      <c r="AS537" s="249"/>
      <c r="AT537" s="250"/>
      <c r="AU537" s="249"/>
      <c r="AV537" s="251"/>
      <c r="AW537" s="250"/>
      <c r="AX537" s="249"/>
      <c r="AY537" s="26"/>
      <c r="AZ537" s="26"/>
      <c r="BA537" s="27"/>
      <c r="BB537" s="28"/>
      <c r="BC537" s="29"/>
    </row>
    <row r="538" ht="12.75" customHeight="1">
      <c r="A538" s="26"/>
      <c r="B538" s="12"/>
      <c r="C538" s="240"/>
      <c r="D538" s="241"/>
      <c r="E538" s="5"/>
      <c r="F538" s="5"/>
      <c r="G538" s="5"/>
      <c r="H538" s="5"/>
      <c r="I538" s="5"/>
      <c r="J538" s="5"/>
      <c r="K538" s="8"/>
      <c r="L538" s="9"/>
      <c r="M538" s="10"/>
      <c r="N538" s="255"/>
      <c r="O538" s="86"/>
      <c r="P538" s="86"/>
      <c r="Q538" s="86"/>
      <c r="R538" s="242"/>
      <c r="S538" s="243"/>
      <c r="T538" s="243"/>
      <c r="U538" s="14"/>
      <c r="V538" s="242"/>
      <c r="W538" s="15"/>
      <c r="X538" s="15"/>
      <c r="Y538" s="15"/>
      <c r="Z538" s="8"/>
      <c r="AA538" s="8"/>
      <c r="AB538" s="56"/>
      <c r="AC538" s="56"/>
      <c r="AD538" s="15"/>
      <c r="AE538" s="15"/>
      <c r="AF538" s="15"/>
      <c r="AG538" s="15"/>
      <c r="AH538" s="57"/>
      <c r="AI538" s="254"/>
      <c r="AJ538" s="15"/>
      <c r="AK538" s="245"/>
      <c r="AL538" s="246"/>
      <c r="AM538" s="247"/>
      <c r="AN538" s="246"/>
      <c r="AO538" s="246"/>
      <c r="AP538" s="15"/>
      <c r="AQ538" s="15"/>
      <c r="AR538" s="15"/>
      <c r="AS538" s="249"/>
      <c r="AT538" s="250"/>
      <c r="AU538" s="249"/>
      <c r="AV538" s="251"/>
      <c r="AW538" s="250"/>
      <c r="AX538" s="249"/>
      <c r="AY538" s="26"/>
      <c r="AZ538" s="26"/>
      <c r="BA538" s="27"/>
      <c r="BB538" s="28"/>
      <c r="BC538" s="29"/>
    </row>
    <row r="539" ht="12.75" customHeight="1">
      <c r="A539" s="26"/>
      <c r="B539" s="12"/>
      <c r="C539" s="240"/>
      <c r="D539" s="241"/>
      <c r="E539" s="5"/>
      <c r="F539" s="5"/>
      <c r="G539" s="5"/>
      <c r="H539" s="5"/>
      <c r="I539" s="5"/>
      <c r="J539" s="5"/>
      <c r="K539" s="8"/>
      <c r="L539" s="9"/>
      <c r="M539" s="10"/>
      <c r="N539" s="255"/>
      <c r="O539" s="86"/>
      <c r="P539" s="86"/>
      <c r="Q539" s="86"/>
      <c r="R539" s="242"/>
      <c r="S539" s="243"/>
      <c r="T539" s="243"/>
      <c r="U539" s="14"/>
      <c r="V539" s="242"/>
      <c r="W539" s="15"/>
      <c r="X539" s="15"/>
      <c r="Y539" s="15"/>
      <c r="Z539" s="8"/>
      <c r="AA539" s="8"/>
      <c r="AB539" s="56"/>
      <c r="AC539" s="56"/>
      <c r="AD539" s="15"/>
      <c r="AE539" s="15"/>
      <c r="AF539" s="15"/>
      <c r="AG539" s="15"/>
      <c r="AH539" s="57"/>
      <c r="AI539" s="254"/>
      <c r="AJ539" s="15"/>
      <c r="AK539" s="245"/>
      <c r="AL539" s="246"/>
      <c r="AM539" s="247"/>
      <c r="AN539" s="246"/>
      <c r="AO539" s="246"/>
      <c r="AP539" s="15"/>
      <c r="AQ539" s="15"/>
      <c r="AR539" s="15"/>
      <c r="AS539" s="249"/>
      <c r="AT539" s="250"/>
      <c r="AU539" s="249"/>
      <c r="AV539" s="251"/>
      <c r="AW539" s="250"/>
      <c r="AX539" s="249"/>
      <c r="AY539" s="26"/>
      <c r="AZ539" s="26"/>
      <c r="BA539" s="27"/>
      <c r="BB539" s="28"/>
      <c r="BC539" s="29"/>
    </row>
    <row r="540" ht="12.75" customHeight="1">
      <c r="A540" s="26"/>
      <c r="B540" s="12"/>
      <c r="C540" s="240"/>
      <c r="D540" s="241"/>
      <c r="E540" s="5"/>
      <c r="F540" s="5"/>
      <c r="G540" s="5"/>
      <c r="H540" s="5"/>
      <c r="I540" s="5"/>
      <c r="J540" s="5"/>
      <c r="K540" s="8"/>
      <c r="L540" s="9"/>
      <c r="M540" s="10"/>
      <c r="N540" s="255"/>
      <c r="O540" s="86"/>
      <c r="P540" s="86"/>
      <c r="Q540" s="86"/>
      <c r="R540" s="242"/>
      <c r="S540" s="243"/>
      <c r="T540" s="243"/>
      <c r="U540" s="14"/>
      <c r="V540" s="242"/>
      <c r="W540" s="15"/>
      <c r="X540" s="15"/>
      <c r="Y540" s="15"/>
      <c r="Z540" s="8"/>
      <c r="AA540" s="8"/>
      <c r="AB540" s="56"/>
      <c r="AC540" s="56"/>
      <c r="AD540" s="15"/>
      <c r="AE540" s="15"/>
      <c r="AF540" s="15"/>
      <c r="AG540" s="15"/>
      <c r="AH540" s="57"/>
      <c r="AI540" s="254"/>
      <c r="AJ540" s="15"/>
      <c r="AK540" s="245"/>
      <c r="AL540" s="246"/>
      <c r="AM540" s="247"/>
      <c r="AN540" s="246"/>
      <c r="AO540" s="246"/>
      <c r="AP540" s="15"/>
      <c r="AQ540" s="15"/>
      <c r="AR540" s="15"/>
      <c r="AS540" s="249"/>
      <c r="AT540" s="250"/>
      <c r="AU540" s="249"/>
      <c r="AV540" s="251"/>
      <c r="AW540" s="250"/>
      <c r="AX540" s="249"/>
      <c r="AY540" s="26"/>
      <c r="AZ540" s="26"/>
      <c r="BA540" s="27"/>
      <c r="BB540" s="28"/>
      <c r="BC540" s="29"/>
    </row>
    <row r="541" ht="12.75" customHeight="1">
      <c r="A541" s="26"/>
      <c r="B541" s="12"/>
      <c r="C541" s="240"/>
      <c r="D541" s="241"/>
      <c r="E541" s="5"/>
      <c r="F541" s="5"/>
      <c r="G541" s="5"/>
      <c r="H541" s="5"/>
      <c r="I541" s="5"/>
      <c r="J541" s="5"/>
      <c r="K541" s="8"/>
      <c r="L541" s="9"/>
      <c r="M541" s="10"/>
      <c r="N541" s="255"/>
      <c r="O541" s="86"/>
      <c r="P541" s="86"/>
      <c r="Q541" s="86"/>
      <c r="R541" s="242"/>
      <c r="S541" s="243"/>
      <c r="T541" s="243"/>
      <c r="U541" s="14"/>
      <c r="V541" s="242"/>
      <c r="W541" s="15"/>
      <c r="X541" s="15"/>
      <c r="Y541" s="15"/>
      <c r="Z541" s="8"/>
      <c r="AA541" s="8"/>
      <c r="AB541" s="56"/>
      <c r="AC541" s="56"/>
      <c r="AD541" s="15"/>
      <c r="AE541" s="15"/>
      <c r="AF541" s="15"/>
      <c r="AG541" s="15"/>
      <c r="AH541" s="57"/>
      <c r="AI541" s="254"/>
      <c r="AJ541" s="15"/>
      <c r="AK541" s="245"/>
      <c r="AL541" s="246"/>
      <c r="AM541" s="247"/>
      <c r="AN541" s="246"/>
      <c r="AO541" s="246"/>
      <c r="AP541" s="15"/>
      <c r="AQ541" s="15"/>
      <c r="AR541" s="15"/>
      <c r="AS541" s="249"/>
      <c r="AT541" s="250"/>
      <c r="AU541" s="249"/>
      <c r="AV541" s="251"/>
      <c r="AW541" s="250"/>
      <c r="AX541" s="249"/>
      <c r="AY541" s="26"/>
      <c r="AZ541" s="26"/>
      <c r="BA541" s="27"/>
      <c r="BB541" s="28"/>
      <c r="BC541" s="29"/>
    </row>
    <row r="542" ht="12.75" customHeight="1">
      <c r="A542" s="26"/>
      <c r="B542" s="12"/>
      <c r="C542" s="240"/>
      <c r="D542" s="241"/>
      <c r="E542" s="5"/>
      <c r="F542" s="5"/>
      <c r="G542" s="5"/>
      <c r="H542" s="5"/>
      <c r="I542" s="5"/>
      <c r="J542" s="5"/>
      <c r="K542" s="8"/>
      <c r="L542" s="9"/>
      <c r="M542" s="10"/>
      <c r="N542" s="255"/>
      <c r="O542" s="86"/>
      <c r="P542" s="86"/>
      <c r="Q542" s="86"/>
      <c r="R542" s="242"/>
      <c r="S542" s="243"/>
      <c r="T542" s="243"/>
      <c r="U542" s="14"/>
      <c r="V542" s="242"/>
      <c r="W542" s="15"/>
      <c r="X542" s="15"/>
      <c r="Y542" s="15"/>
      <c r="Z542" s="8"/>
      <c r="AA542" s="8"/>
      <c r="AB542" s="56"/>
      <c r="AC542" s="56"/>
      <c r="AD542" s="15"/>
      <c r="AE542" s="15"/>
      <c r="AF542" s="15"/>
      <c r="AG542" s="15"/>
      <c r="AH542" s="57"/>
      <c r="AI542" s="254"/>
      <c r="AJ542" s="15"/>
      <c r="AK542" s="245"/>
      <c r="AL542" s="246"/>
      <c r="AM542" s="247"/>
      <c r="AN542" s="246"/>
      <c r="AO542" s="246"/>
      <c r="AP542" s="15"/>
      <c r="AQ542" s="15"/>
      <c r="AR542" s="15"/>
      <c r="AS542" s="249"/>
      <c r="AT542" s="250"/>
      <c r="AU542" s="249"/>
      <c r="AV542" s="251"/>
      <c r="AW542" s="250"/>
      <c r="AX542" s="249"/>
      <c r="AY542" s="26"/>
      <c r="AZ542" s="26"/>
      <c r="BA542" s="27"/>
      <c r="BB542" s="28"/>
      <c r="BC542" s="29"/>
    </row>
    <row r="543" ht="12.75" customHeight="1">
      <c r="A543" s="26"/>
      <c r="B543" s="12"/>
      <c r="C543" s="240"/>
      <c r="D543" s="241"/>
      <c r="E543" s="5"/>
      <c r="F543" s="5"/>
      <c r="G543" s="5"/>
      <c r="H543" s="5"/>
      <c r="I543" s="5"/>
      <c r="J543" s="5"/>
      <c r="K543" s="8"/>
      <c r="L543" s="9"/>
      <c r="M543" s="10"/>
      <c r="N543" s="255"/>
      <c r="O543" s="86"/>
      <c r="P543" s="86"/>
      <c r="Q543" s="86"/>
      <c r="R543" s="242"/>
      <c r="S543" s="243"/>
      <c r="T543" s="243"/>
      <c r="U543" s="14"/>
      <c r="V543" s="242"/>
      <c r="W543" s="15"/>
      <c r="X543" s="15"/>
      <c r="Y543" s="15"/>
      <c r="Z543" s="8"/>
      <c r="AA543" s="8"/>
      <c r="AB543" s="56"/>
      <c r="AC543" s="56"/>
      <c r="AD543" s="15"/>
      <c r="AE543" s="15"/>
      <c r="AF543" s="15"/>
      <c r="AG543" s="15"/>
      <c r="AH543" s="57"/>
      <c r="AI543" s="254"/>
      <c r="AJ543" s="15"/>
      <c r="AK543" s="245"/>
      <c r="AL543" s="246"/>
      <c r="AM543" s="247"/>
      <c r="AN543" s="246"/>
      <c r="AO543" s="246"/>
      <c r="AP543" s="15"/>
      <c r="AQ543" s="15"/>
      <c r="AR543" s="15"/>
      <c r="AS543" s="249"/>
      <c r="AT543" s="250"/>
      <c r="AU543" s="249"/>
      <c r="AV543" s="251"/>
      <c r="AW543" s="250"/>
      <c r="AX543" s="249"/>
      <c r="AY543" s="26"/>
      <c r="AZ543" s="26"/>
      <c r="BA543" s="27"/>
      <c r="BB543" s="28"/>
      <c r="BC543" s="29"/>
    </row>
    <row r="544" ht="12.75" customHeight="1">
      <c r="A544" s="26"/>
      <c r="B544" s="12"/>
      <c r="C544" s="240"/>
      <c r="D544" s="241"/>
      <c r="E544" s="5"/>
      <c r="F544" s="5"/>
      <c r="G544" s="5"/>
      <c r="H544" s="5"/>
      <c r="I544" s="5"/>
      <c r="J544" s="5"/>
      <c r="K544" s="8"/>
      <c r="L544" s="9"/>
      <c r="M544" s="10"/>
      <c r="N544" s="255"/>
      <c r="O544" s="86"/>
      <c r="P544" s="86"/>
      <c r="Q544" s="86"/>
      <c r="R544" s="242"/>
      <c r="S544" s="243"/>
      <c r="T544" s="243"/>
      <c r="U544" s="14"/>
      <c r="V544" s="242"/>
      <c r="W544" s="15"/>
      <c r="X544" s="15"/>
      <c r="Y544" s="15"/>
      <c r="Z544" s="8"/>
      <c r="AA544" s="8"/>
      <c r="AB544" s="56"/>
      <c r="AC544" s="56"/>
      <c r="AD544" s="15"/>
      <c r="AE544" s="15"/>
      <c r="AF544" s="15"/>
      <c r="AG544" s="15"/>
      <c r="AH544" s="57"/>
      <c r="AI544" s="254"/>
      <c r="AJ544" s="15"/>
      <c r="AK544" s="245"/>
      <c r="AL544" s="246"/>
      <c r="AM544" s="247"/>
      <c r="AN544" s="246"/>
      <c r="AO544" s="246"/>
      <c r="AP544" s="15"/>
      <c r="AQ544" s="15"/>
      <c r="AR544" s="15"/>
      <c r="AS544" s="249"/>
      <c r="AT544" s="250"/>
      <c r="AU544" s="249"/>
      <c r="AV544" s="251"/>
      <c r="AW544" s="250"/>
      <c r="AX544" s="249"/>
      <c r="AY544" s="26"/>
      <c r="AZ544" s="26"/>
      <c r="BA544" s="27"/>
      <c r="BB544" s="28"/>
      <c r="BC544" s="29"/>
    </row>
    <row r="545" ht="12.75" customHeight="1">
      <c r="A545" s="26"/>
      <c r="B545" s="12"/>
      <c r="C545" s="240"/>
      <c r="D545" s="241"/>
      <c r="E545" s="5"/>
      <c r="F545" s="5"/>
      <c r="G545" s="5"/>
      <c r="H545" s="5"/>
      <c r="I545" s="5"/>
      <c r="J545" s="5"/>
      <c r="K545" s="8"/>
      <c r="L545" s="9"/>
      <c r="M545" s="10"/>
      <c r="N545" s="255"/>
      <c r="O545" s="86"/>
      <c r="P545" s="86"/>
      <c r="Q545" s="86"/>
      <c r="R545" s="242"/>
      <c r="S545" s="243"/>
      <c r="T545" s="243"/>
      <c r="U545" s="14"/>
      <c r="V545" s="242"/>
      <c r="W545" s="15"/>
      <c r="X545" s="15"/>
      <c r="Y545" s="15"/>
      <c r="Z545" s="8"/>
      <c r="AA545" s="8"/>
      <c r="AB545" s="56"/>
      <c r="AC545" s="56"/>
      <c r="AD545" s="15"/>
      <c r="AE545" s="15"/>
      <c r="AF545" s="15"/>
      <c r="AG545" s="15"/>
      <c r="AH545" s="57"/>
      <c r="AI545" s="254"/>
      <c r="AJ545" s="15"/>
      <c r="AK545" s="245"/>
      <c r="AL545" s="246"/>
      <c r="AM545" s="247"/>
      <c r="AN545" s="246"/>
      <c r="AO545" s="246"/>
      <c r="AP545" s="15"/>
      <c r="AQ545" s="15"/>
      <c r="AR545" s="15"/>
      <c r="AS545" s="249"/>
      <c r="AT545" s="250"/>
      <c r="AU545" s="249"/>
      <c r="AV545" s="251"/>
      <c r="AW545" s="250"/>
      <c r="AX545" s="249"/>
      <c r="AY545" s="26"/>
      <c r="AZ545" s="26"/>
      <c r="BA545" s="27"/>
      <c r="BB545" s="28"/>
      <c r="BC545" s="29"/>
    </row>
    <row r="546" ht="12.75" customHeight="1">
      <c r="A546" s="26"/>
      <c r="B546" s="12"/>
      <c r="C546" s="240"/>
      <c r="D546" s="241"/>
      <c r="E546" s="5"/>
      <c r="F546" s="5"/>
      <c r="G546" s="5"/>
      <c r="H546" s="5"/>
      <c r="I546" s="5"/>
      <c r="J546" s="5"/>
      <c r="K546" s="8"/>
      <c r="L546" s="9"/>
      <c r="M546" s="10"/>
      <c r="N546" s="255"/>
      <c r="O546" s="86"/>
      <c r="P546" s="86"/>
      <c r="Q546" s="86"/>
      <c r="R546" s="242"/>
      <c r="S546" s="243"/>
      <c r="T546" s="243"/>
      <c r="U546" s="14"/>
      <c r="V546" s="242"/>
      <c r="W546" s="15"/>
      <c r="X546" s="15"/>
      <c r="Y546" s="15"/>
      <c r="Z546" s="8"/>
      <c r="AA546" s="8"/>
      <c r="AB546" s="56"/>
      <c r="AC546" s="56"/>
      <c r="AD546" s="15"/>
      <c r="AE546" s="15"/>
      <c r="AF546" s="15"/>
      <c r="AG546" s="15"/>
      <c r="AH546" s="57"/>
      <c r="AI546" s="254"/>
      <c r="AJ546" s="15"/>
      <c r="AK546" s="245"/>
      <c r="AL546" s="246"/>
      <c r="AM546" s="247"/>
      <c r="AN546" s="246"/>
      <c r="AO546" s="246"/>
      <c r="AP546" s="15"/>
      <c r="AQ546" s="15"/>
      <c r="AR546" s="15"/>
      <c r="AS546" s="249"/>
      <c r="AT546" s="250"/>
      <c r="AU546" s="249"/>
      <c r="AV546" s="251"/>
      <c r="AW546" s="250"/>
      <c r="AX546" s="249"/>
      <c r="AY546" s="26"/>
      <c r="AZ546" s="26"/>
      <c r="BA546" s="27"/>
      <c r="BB546" s="28"/>
      <c r="BC546" s="29"/>
    </row>
    <row r="547" ht="12.75" customHeight="1">
      <c r="A547" s="26"/>
      <c r="B547" s="12"/>
      <c r="C547" s="240"/>
      <c r="D547" s="241"/>
      <c r="E547" s="5"/>
      <c r="F547" s="5"/>
      <c r="G547" s="5"/>
      <c r="H547" s="5"/>
      <c r="I547" s="5"/>
      <c r="J547" s="5"/>
      <c r="K547" s="8"/>
      <c r="L547" s="9"/>
      <c r="M547" s="10"/>
      <c r="N547" s="255"/>
      <c r="O547" s="86"/>
      <c r="P547" s="86"/>
      <c r="Q547" s="86"/>
      <c r="R547" s="242"/>
      <c r="S547" s="243"/>
      <c r="T547" s="243"/>
      <c r="U547" s="14"/>
      <c r="V547" s="242"/>
      <c r="W547" s="15"/>
      <c r="X547" s="15"/>
      <c r="Y547" s="15"/>
      <c r="Z547" s="8"/>
      <c r="AA547" s="8"/>
      <c r="AB547" s="56"/>
      <c r="AC547" s="56"/>
      <c r="AD547" s="15"/>
      <c r="AE547" s="15"/>
      <c r="AF547" s="15"/>
      <c r="AG547" s="15"/>
      <c r="AH547" s="57"/>
      <c r="AI547" s="254"/>
      <c r="AJ547" s="15"/>
      <c r="AK547" s="245"/>
      <c r="AL547" s="246"/>
      <c r="AM547" s="247"/>
      <c r="AN547" s="246"/>
      <c r="AO547" s="246"/>
      <c r="AP547" s="15"/>
      <c r="AQ547" s="15"/>
      <c r="AR547" s="15"/>
      <c r="AS547" s="249"/>
      <c r="AT547" s="250"/>
      <c r="AU547" s="249"/>
      <c r="AV547" s="251"/>
      <c r="AW547" s="250"/>
      <c r="AX547" s="249"/>
      <c r="AY547" s="26"/>
      <c r="AZ547" s="26"/>
      <c r="BA547" s="27"/>
      <c r="BB547" s="28"/>
      <c r="BC547" s="29"/>
    </row>
    <row r="548" ht="12.75" customHeight="1">
      <c r="A548" s="26"/>
      <c r="B548" s="12"/>
      <c r="C548" s="240"/>
      <c r="D548" s="241"/>
      <c r="E548" s="5"/>
      <c r="F548" s="5"/>
      <c r="G548" s="5"/>
      <c r="H548" s="5"/>
      <c r="I548" s="5"/>
      <c r="J548" s="5"/>
      <c r="K548" s="8"/>
      <c r="L548" s="9"/>
      <c r="M548" s="10"/>
      <c r="N548" s="255"/>
      <c r="O548" s="86"/>
      <c r="P548" s="86"/>
      <c r="Q548" s="86"/>
      <c r="R548" s="242"/>
      <c r="S548" s="243"/>
      <c r="T548" s="243"/>
      <c r="U548" s="14"/>
      <c r="V548" s="242"/>
      <c r="W548" s="15"/>
      <c r="X548" s="15"/>
      <c r="Y548" s="15"/>
      <c r="Z548" s="8"/>
      <c r="AA548" s="8"/>
      <c r="AB548" s="56"/>
      <c r="AC548" s="56"/>
      <c r="AD548" s="15"/>
      <c r="AE548" s="15"/>
      <c r="AF548" s="15"/>
      <c r="AG548" s="15"/>
      <c r="AH548" s="57"/>
      <c r="AI548" s="254"/>
      <c r="AJ548" s="15"/>
      <c r="AK548" s="245"/>
      <c r="AL548" s="246"/>
      <c r="AM548" s="247"/>
      <c r="AN548" s="246"/>
      <c r="AO548" s="246"/>
      <c r="AP548" s="15"/>
      <c r="AQ548" s="15"/>
      <c r="AR548" s="15"/>
      <c r="AS548" s="249"/>
      <c r="AT548" s="250"/>
      <c r="AU548" s="249"/>
      <c r="AV548" s="251"/>
      <c r="AW548" s="250"/>
      <c r="AX548" s="249"/>
      <c r="AY548" s="26"/>
      <c r="AZ548" s="26"/>
      <c r="BA548" s="27"/>
      <c r="BB548" s="28"/>
      <c r="BC548" s="29"/>
    </row>
    <row r="549" ht="12.75" customHeight="1">
      <c r="A549" s="26"/>
      <c r="B549" s="12"/>
      <c r="C549" s="240"/>
      <c r="D549" s="241"/>
      <c r="E549" s="5"/>
      <c r="F549" s="5"/>
      <c r="G549" s="5"/>
      <c r="H549" s="5"/>
      <c r="I549" s="5"/>
      <c r="J549" s="5"/>
      <c r="K549" s="8"/>
      <c r="L549" s="9"/>
      <c r="M549" s="10"/>
      <c r="N549" s="255"/>
      <c r="O549" s="86"/>
      <c r="P549" s="86"/>
      <c r="Q549" s="86"/>
      <c r="R549" s="242"/>
      <c r="S549" s="243"/>
      <c r="T549" s="243"/>
      <c r="U549" s="14"/>
      <c r="V549" s="242"/>
      <c r="W549" s="15"/>
      <c r="X549" s="15"/>
      <c r="Y549" s="15"/>
      <c r="Z549" s="8"/>
      <c r="AA549" s="8"/>
      <c r="AB549" s="56"/>
      <c r="AC549" s="56"/>
      <c r="AD549" s="15"/>
      <c r="AE549" s="15"/>
      <c r="AF549" s="15"/>
      <c r="AG549" s="15"/>
      <c r="AH549" s="57"/>
      <c r="AI549" s="254"/>
      <c r="AJ549" s="15"/>
      <c r="AK549" s="245"/>
      <c r="AL549" s="246"/>
      <c r="AM549" s="247"/>
      <c r="AN549" s="246"/>
      <c r="AO549" s="246"/>
      <c r="AP549" s="15"/>
      <c r="AQ549" s="15"/>
      <c r="AR549" s="15"/>
      <c r="AS549" s="249"/>
      <c r="AT549" s="250"/>
      <c r="AU549" s="249"/>
      <c r="AV549" s="251"/>
      <c r="AW549" s="250"/>
      <c r="AX549" s="249"/>
      <c r="AY549" s="26"/>
      <c r="AZ549" s="26"/>
      <c r="BA549" s="27"/>
      <c r="BB549" s="28"/>
      <c r="BC549" s="29"/>
    </row>
    <row r="550" ht="12.75" customHeight="1">
      <c r="A550" s="26"/>
      <c r="B550" s="12"/>
      <c r="C550" s="240"/>
      <c r="D550" s="241"/>
      <c r="E550" s="5"/>
      <c r="F550" s="5"/>
      <c r="G550" s="5"/>
      <c r="H550" s="5"/>
      <c r="I550" s="5"/>
      <c r="J550" s="5"/>
      <c r="K550" s="8"/>
      <c r="L550" s="9"/>
      <c r="M550" s="10"/>
      <c r="N550" s="255"/>
      <c r="O550" s="86"/>
      <c r="P550" s="86"/>
      <c r="Q550" s="86"/>
      <c r="R550" s="242"/>
      <c r="S550" s="243"/>
      <c r="T550" s="243"/>
      <c r="U550" s="14"/>
      <c r="V550" s="242"/>
      <c r="W550" s="15"/>
      <c r="X550" s="15"/>
      <c r="Y550" s="15"/>
      <c r="Z550" s="8"/>
      <c r="AA550" s="8"/>
      <c r="AB550" s="56"/>
      <c r="AC550" s="56"/>
      <c r="AD550" s="15"/>
      <c r="AE550" s="15"/>
      <c r="AF550" s="15"/>
      <c r="AG550" s="15"/>
      <c r="AH550" s="57"/>
      <c r="AI550" s="254"/>
      <c r="AJ550" s="15"/>
      <c r="AK550" s="245"/>
      <c r="AL550" s="246"/>
      <c r="AM550" s="247"/>
      <c r="AN550" s="246"/>
      <c r="AO550" s="246"/>
      <c r="AP550" s="15"/>
      <c r="AQ550" s="15"/>
      <c r="AR550" s="15"/>
      <c r="AS550" s="249"/>
      <c r="AT550" s="250"/>
      <c r="AU550" s="249"/>
      <c r="AV550" s="251"/>
      <c r="AW550" s="250"/>
      <c r="AX550" s="249"/>
      <c r="AY550" s="26"/>
      <c r="AZ550" s="26"/>
      <c r="BA550" s="27"/>
      <c r="BB550" s="28"/>
      <c r="BC550" s="29"/>
    </row>
    <row r="551" ht="12.75" customHeight="1">
      <c r="A551" s="26"/>
      <c r="B551" s="12"/>
      <c r="C551" s="240"/>
      <c r="D551" s="241"/>
      <c r="E551" s="5"/>
      <c r="F551" s="5"/>
      <c r="G551" s="5"/>
      <c r="H551" s="5"/>
      <c r="I551" s="5"/>
      <c r="J551" s="5"/>
      <c r="K551" s="8"/>
      <c r="L551" s="9"/>
      <c r="M551" s="10"/>
      <c r="N551" s="255"/>
      <c r="O551" s="86"/>
      <c r="P551" s="86"/>
      <c r="Q551" s="86"/>
      <c r="R551" s="242"/>
      <c r="S551" s="243"/>
      <c r="T551" s="243"/>
      <c r="U551" s="14"/>
      <c r="V551" s="242"/>
      <c r="W551" s="15"/>
      <c r="X551" s="15"/>
      <c r="Y551" s="15"/>
      <c r="Z551" s="8"/>
      <c r="AA551" s="8"/>
      <c r="AB551" s="56"/>
      <c r="AC551" s="56"/>
      <c r="AD551" s="15"/>
      <c r="AE551" s="15"/>
      <c r="AF551" s="15"/>
      <c r="AG551" s="15"/>
      <c r="AH551" s="57"/>
      <c r="AI551" s="254"/>
      <c r="AJ551" s="15"/>
      <c r="AK551" s="245"/>
      <c r="AL551" s="246"/>
      <c r="AM551" s="247"/>
      <c r="AN551" s="246"/>
      <c r="AO551" s="246"/>
      <c r="AP551" s="15"/>
      <c r="AQ551" s="15"/>
      <c r="AR551" s="15"/>
      <c r="AS551" s="249"/>
      <c r="AT551" s="250"/>
      <c r="AU551" s="249"/>
      <c r="AV551" s="251"/>
      <c r="AW551" s="250"/>
      <c r="AX551" s="249"/>
      <c r="AY551" s="26"/>
      <c r="AZ551" s="26"/>
      <c r="BA551" s="27"/>
      <c r="BB551" s="28"/>
      <c r="BC551" s="29"/>
    </row>
    <row r="552" ht="12.75" customHeight="1">
      <c r="A552" s="26"/>
      <c r="B552" s="12"/>
      <c r="C552" s="240"/>
      <c r="D552" s="241"/>
      <c r="E552" s="5"/>
      <c r="F552" s="5"/>
      <c r="G552" s="5"/>
      <c r="H552" s="5"/>
      <c r="I552" s="5"/>
      <c r="J552" s="5"/>
      <c r="K552" s="8"/>
      <c r="L552" s="9"/>
      <c r="M552" s="10"/>
      <c r="N552" s="255"/>
      <c r="O552" s="86"/>
      <c r="P552" s="86"/>
      <c r="Q552" s="86"/>
      <c r="R552" s="242"/>
      <c r="S552" s="243"/>
      <c r="T552" s="243"/>
      <c r="U552" s="14"/>
      <c r="V552" s="242"/>
      <c r="W552" s="15"/>
      <c r="X552" s="15"/>
      <c r="Y552" s="15"/>
      <c r="Z552" s="8"/>
      <c r="AA552" s="8"/>
      <c r="AB552" s="56"/>
      <c r="AC552" s="56"/>
      <c r="AD552" s="15"/>
      <c r="AE552" s="15"/>
      <c r="AF552" s="15"/>
      <c r="AG552" s="15"/>
      <c r="AH552" s="57"/>
      <c r="AI552" s="254"/>
      <c r="AJ552" s="15"/>
      <c r="AK552" s="245"/>
      <c r="AL552" s="246"/>
      <c r="AM552" s="247"/>
      <c r="AN552" s="246"/>
      <c r="AO552" s="246"/>
      <c r="AP552" s="15"/>
      <c r="AQ552" s="15"/>
      <c r="AR552" s="15"/>
      <c r="AS552" s="249"/>
      <c r="AT552" s="250"/>
      <c r="AU552" s="249"/>
      <c r="AV552" s="251"/>
      <c r="AW552" s="250"/>
      <c r="AX552" s="249"/>
      <c r="AY552" s="26"/>
      <c r="AZ552" s="26"/>
      <c r="BA552" s="27"/>
      <c r="BB552" s="28"/>
      <c r="BC552" s="29"/>
    </row>
    <row r="553" ht="12.75" customHeight="1">
      <c r="A553" s="26"/>
      <c r="B553" s="12"/>
      <c r="C553" s="240"/>
      <c r="D553" s="241"/>
      <c r="E553" s="5"/>
      <c r="F553" s="5"/>
      <c r="G553" s="5"/>
      <c r="H553" s="5"/>
      <c r="I553" s="5"/>
      <c r="J553" s="5"/>
      <c r="K553" s="8"/>
      <c r="L553" s="9"/>
      <c r="M553" s="10"/>
      <c r="N553" s="255"/>
      <c r="O553" s="86"/>
      <c r="P553" s="86"/>
      <c r="Q553" s="86"/>
      <c r="R553" s="242"/>
      <c r="S553" s="243"/>
      <c r="T553" s="243"/>
      <c r="U553" s="14"/>
      <c r="V553" s="242"/>
      <c r="W553" s="15"/>
      <c r="X553" s="15"/>
      <c r="Y553" s="15"/>
      <c r="Z553" s="8"/>
      <c r="AA553" s="8"/>
      <c r="AB553" s="56"/>
      <c r="AC553" s="56"/>
      <c r="AD553" s="15"/>
      <c r="AE553" s="15"/>
      <c r="AF553" s="15"/>
      <c r="AG553" s="15"/>
      <c r="AH553" s="57"/>
      <c r="AI553" s="254"/>
      <c r="AJ553" s="15"/>
      <c r="AK553" s="245"/>
      <c r="AL553" s="246"/>
      <c r="AM553" s="247"/>
      <c r="AN553" s="246"/>
      <c r="AO553" s="246"/>
      <c r="AP553" s="15"/>
      <c r="AQ553" s="15"/>
      <c r="AR553" s="15"/>
      <c r="AS553" s="249"/>
      <c r="AT553" s="250"/>
      <c r="AU553" s="249"/>
      <c r="AV553" s="251"/>
      <c r="AW553" s="250"/>
      <c r="AX553" s="249"/>
      <c r="AY553" s="26"/>
      <c r="AZ553" s="26"/>
      <c r="BA553" s="27"/>
      <c r="BB553" s="28"/>
      <c r="BC553" s="29"/>
    </row>
  </sheetData>
  <mergeCells count="10">
    <mergeCell ref="W8:Y8"/>
    <mergeCell ref="R8:V8"/>
    <mergeCell ref="AA8:AG8"/>
    <mergeCell ref="AJ8:AK8"/>
    <mergeCell ref="AL8:AR8"/>
    <mergeCell ref="H1:I1"/>
    <mergeCell ref="J4:J5"/>
    <mergeCell ref="AZ7:BC8"/>
    <mergeCell ref="F8:K8"/>
    <mergeCell ref="AS8:AX8"/>
  </mergeCells>
  <conditionalFormatting sqref="AK1:AK7 AK9:AK553 AL10:AX10 AL15:AS15 AL27:AS27 AL38:AS38 AL57:AS57 AL65:AS65 AL70:AS70 AL151:AS151 AU15:AX15 AU27:AX27 AU38:AX38 AU57:AX57 AU65:AX65 AU70:AX70 AU151:AV151">
    <cfRule type="cellIs" dxfId="0" priority="1" operator="lessThan">
      <formula>0</formula>
    </cfRule>
  </conditionalFormatting>
  <conditionalFormatting sqref="AK1:AK7 AK9:AK553 AL10:AX10 AL15:AS15 AL27:AS27 AL38:AS38 AL57:AS57 AL65:AS65 AL70:AS70 AL151:AS151 AU15:AX15 AU27:AX27 AU38:AX38 AU57:AX57 AU65:AX65 AU70:AX70 AU151:AV151">
    <cfRule type="cellIs" dxfId="1" priority="2" operator="greaterThan">
      <formula>0.300001</formula>
    </cfRule>
  </conditionalFormatting>
  <conditionalFormatting sqref="AK1:AK7 AK9:AK553 AL10:AX10 AL15:AS15 AL27:AS27 AL38:AS38 AL57:AS57 AL65:AS65 AL70:AS70 AL151:AS151 AU15:AX15 AU27:AX27 AU38:AX38 AU57:AX57 AU65:AX65 AU70:AX70 AU151:AV151">
    <cfRule type="cellIs" dxfId="2" priority="3" operator="between">
      <formula>0.250001</formula>
      <formula>0.3</formula>
    </cfRule>
  </conditionalFormatting>
  <conditionalFormatting sqref="AK1:AK7 AK9:AK553 AL10:AX10 AL15:AS15 AL27:AS27 AL38:AS38 AL57:AS57 AL65:AS65 AL70:AS70 AL151:AS151 AU15:AX15 AU27:AX27 AU38:AX38 AU57:AX57 AU65:AX65 AU70:AX70 AU151:AV151">
    <cfRule type="cellIs" dxfId="3" priority="4" operator="between">
      <formula>0.200001</formula>
      <formula>0.25</formula>
    </cfRule>
  </conditionalFormatting>
  <conditionalFormatting sqref="AK1:AK7 AK9:AK553 AL10:AX10 AL15:AS15 AL27:AS27 AL38:AS38 AL57:AS57 AL65:AS65 AL70:AS70 AL151:AS151 AU15:AX15 AU27:AX27 AU38:AX38 AU57:AX57 AU65:AX65 AU70:AX70 AU151:AV151">
    <cfRule type="cellIs" dxfId="4" priority="5" operator="between">
      <formula>0.1500001</formula>
      <formula>0.2</formula>
    </cfRule>
  </conditionalFormatting>
  <conditionalFormatting sqref="AK1:AK7 AK9:AK553 AL10:AX10 AL15:AS15 AL27:AS27 AL38:AS38 AL57:AS57 AL65:AS65 AL70:AS70 AL151:AS151 AU15:AX15 AU27:AX27 AU38:AX38 AU57:AX57 AU65:AX65 AU70:AX70 AU151:AV151">
    <cfRule type="cellIs" dxfId="5" priority="6" operator="between">
      <formula>0.0000001</formula>
      <formula>0.15</formula>
    </cfRule>
  </conditionalFormatting>
  <printOptions/>
  <pageMargins bottom="0.7875" footer="0.0" header="0.0" left="0.7875" right="0.7875" top="0.78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4.43" defaultRowHeight="15.0"/>
  <cols>
    <col customWidth="1" min="1" max="1" width="1.43"/>
    <col customWidth="1" min="2" max="2" width="8.71"/>
    <col customWidth="1" min="3" max="3" width="10.71"/>
    <col customWidth="1" min="4" max="4" width="52.71"/>
    <col customWidth="1" min="5" max="5" width="5.71"/>
    <col customWidth="1" hidden="1" min="6" max="6" width="7.71"/>
    <col customWidth="1" hidden="1" min="7" max="7" width="8.29"/>
    <col customWidth="1" hidden="1" min="8" max="8" width="8.0"/>
    <col customWidth="1" hidden="1" min="9" max="9" width="8.14"/>
    <col customWidth="1" hidden="1" min="10" max="10" width="9.86"/>
    <col customWidth="1" hidden="1" min="11" max="11" width="8.14"/>
    <col customWidth="1" min="12" max="12" width="8.14"/>
    <col customWidth="1" min="13" max="14" width="9.0"/>
    <col customWidth="1" min="15" max="15" width="10.14"/>
    <col customWidth="1" min="16" max="19" width="9.0"/>
    <col customWidth="1" min="20" max="20" width="10.29"/>
    <col customWidth="1" min="21" max="21" width="7.14"/>
    <col customWidth="1" min="22" max="29" width="9.0"/>
    <col customWidth="1" min="30" max="30" width="7.43"/>
    <col customWidth="1" min="31" max="33" width="9.0"/>
    <col customWidth="1" min="34" max="34" width="2.0"/>
    <col customWidth="1" min="35" max="36" width="9.0"/>
    <col customWidth="1" min="37" max="37" width="10.14"/>
    <col customWidth="1" min="38" max="38" width="9.0"/>
  </cols>
  <sheetData>
    <row r="1" ht="12.75" customHeight="1">
      <c r="A1" s="26"/>
      <c r="B1" s="308"/>
      <c r="C1" s="3">
        <v>60.0</v>
      </c>
      <c r="D1" s="4" t="s">
        <v>0</v>
      </c>
      <c r="E1" s="5"/>
      <c r="F1" s="5"/>
      <c r="G1" s="309">
        <v>45719.0</v>
      </c>
      <c r="H1" s="310"/>
      <c r="I1" s="5"/>
      <c r="J1" s="8"/>
      <c r="K1" s="9"/>
      <c r="L1" s="10"/>
      <c r="M1" s="10"/>
      <c r="N1" s="12" t="s">
        <v>1</v>
      </c>
      <c r="O1" s="242"/>
      <c r="P1" s="14"/>
      <c r="Q1" s="15" t="s">
        <v>2</v>
      </c>
      <c r="R1" s="15"/>
      <c r="S1" s="15"/>
      <c r="T1" s="15"/>
      <c r="U1" s="8"/>
      <c r="V1" s="8"/>
      <c r="W1" s="16" t="s">
        <v>3</v>
      </c>
      <c r="X1" s="17">
        <v>1.7</v>
      </c>
      <c r="Y1" s="18" t="s">
        <v>4</v>
      </c>
      <c r="Z1" s="19"/>
      <c r="AA1" s="20"/>
      <c r="AB1" s="15"/>
      <c r="AC1" s="21">
        <v>0.0</v>
      </c>
      <c r="AD1" s="22" t="s">
        <v>691</v>
      </c>
      <c r="AE1" s="23"/>
      <c r="AF1" s="24"/>
      <c r="AG1" s="25"/>
      <c r="AH1" s="26"/>
      <c r="AI1" s="26"/>
      <c r="AJ1" s="27"/>
      <c r="AK1" s="28"/>
      <c r="AL1" s="29"/>
    </row>
    <row r="2" ht="12.75" customHeight="1">
      <c r="A2" s="26"/>
      <c r="B2" s="311"/>
      <c r="C2" s="30">
        <v>0.0</v>
      </c>
      <c r="D2" s="31" t="s">
        <v>6</v>
      </c>
      <c r="E2" s="5"/>
      <c r="F2" s="5"/>
      <c r="G2" s="5"/>
      <c r="H2" s="32"/>
      <c r="I2" s="5"/>
      <c r="J2" s="8"/>
      <c r="K2" s="9"/>
      <c r="L2" s="10"/>
      <c r="M2" s="312" t="s">
        <v>8</v>
      </c>
      <c r="N2" s="33">
        <v>170.0</v>
      </c>
      <c r="O2" s="34">
        <v>64.6</v>
      </c>
      <c r="P2" s="35">
        <v>16.15</v>
      </c>
      <c r="Q2" s="36">
        <v>170.0</v>
      </c>
      <c r="R2" s="36">
        <v>0.14</v>
      </c>
      <c r="S2" s="36">
        <v>0.14</v>
      </c>
      <c r="T2" s="15"/>
      <c r="U2" s="8"/>
      <c r="V2" s="8"/>
      <c r="W2" s="37" t="s">
        <v>9</v>
      </c>
      <c r="X2" s="38">
        <v>1.7</v>
      </c>
      <c r="Y2" s="39" t="s">
        <v>10</v>
      </c>
      <c r="Z2" s="38"/>
      <c r="AA2" s="40"/>
      <c r="AB2" s="15"/>
      <c r="AC2" s="41">
        <v>0.0</v>
      </c>
      <c r="AD2" s="22" t="s">
        <v>11</v>
      </c>
      <c r="AE2" s="23"/>
      <c r="AF2" s="24"/>
      <c r="AG2" s="25"/>
      <c r="AH2" s="26"/>
      <c r="AI2" s="26"/>
      <c r="AJ2" s="27"/>
      <c r="AK2" s="28"/>
      <c r="AL2" s="29"/>
    </row>
    <row r="3" ht="12.75" customHeight="1">
      <c r="A3" s="26"/>
      <c r="B3" s="311"/>
      <c r="C3" s="42">
        <v>0.0</v>
      </c>
      <c r="D3" s="43" t="s">
        <v>12</v>
      </c>
      <c r="E3" s="5"/>
      <c r="F3" s="5"/>
      <c r="G3" s="313" t="s">
        <v>692</v>
      </c>
      <c r="H3" s="314">
        <v>12.5</v>
      </c>
      <c r="I3" s="315" t="s">
        <v>693</v>
      </c>
      <c r="J3" s="8"/>
      <c r="K3" s="9"/>
      <c r="L3" s="10"/>
      <c r="M3" s="312" t="s">
        <v>14</v>
      </c>
      <c r="N3" s="33">
        <v>160.0</v>
      </c>
      <c r="O3" s="34">
        <v>60.8</v>
      </c>
      <c r="P3" s="35">
        <v>15.2</v>
      </c>
      <c r="Q3" s="36">
        <v>160.0</v>
      </c>
      <c r="R3" s="36">
        <v>0.13</v>
      </c>
      <c r="S3" s="36">
        <v>0.13</v>
      </c>
      <c r="T3" s="15"/>
      <c r="U3" s="8"/>
      <c r="V3" s="8"/>
      <c r="W3" s="8"/>
      <c r="X3" s="45">
        <v>50.0</v>
      </c>
      <c r="Y3" s="46" t="s">
        <v>15</v>
      </c>
      <c r="Z3" s="38"/>
      <c r="AA3" s="40"/>
      <c r="AB3" s="15"/>
      <c r="AC3" s="47">
        <v>0.0</v>
      </c>
      <c r="AD3" s="48" t="s">
        <v>16</v>
      </c>
      <c r="AE3" s="49"/>
      <c r="AF3" s="50"/>
      <c r="AG3" s="25"/>
      <c r="AH3" s="26"/>
      <c r="AI3" s="26"/>
      <c r="AJ3" s="27"/>
      <c r="AK3" s="28"/>
      <c r="AL3" s="29"/>
    </row>
    <row r="4" ht="12.75" customHeight="1">
      <c r="A4" s="26"/>
      <c r="B4" s="241"/>
      <c r="C4" s="51">
        <v>76.0</v>
      </c>
      <c r="D4" s="52" t="s">
        <v>17</v>
      </c>
      <c r="E4" s="5"/>
      <c r="F4" s="5"/>
      <c r="G4" s="54" t="s">
        <v>18</v>
      </c>
      <c r="H4" s="32"/>
      <c r="I4" s="316">
        <v>0.18</v>
      </c>
      <c r="J4" s="8"/>
      <c r="K4" s="9"/>
      <c r="L4" s="10"/>
      <c r="M4" s="312" t="s">
        <v>19</v>
      </c>
      <c r="N4" s="33">
        <v>115.0</v>
      </c>
      <c r="O4" s="34">
        <v>43.7</v>
      </c>
      <c r="P4" s="35">
        <v>10.93</v>
      </c>
      <c r="Q4" s="36">
        <v>115.0</v>
      </c>
      <c r="R4" s="36">
        <v>0.09</v>
      </c>
      <c r="S4" s="36">
        <v>0.09</v>
      </c>
      <c r="T4" s="15"/>
      <c r="U4" s="8"/>
      <c r="V4" s="8"/>
      <c r="W4" s="8"/>
      <c r="X4" s="15">
        <v>38.0</v>
      </c>
      <c r="Y4" s="56" t="s">
        <v>20</v>
      </c>
      <c r="Z4" s="15"/>
      <c r="AA4" s="15"/>
      <c r="AB4" s="15"/>
      <c r="AC4" s="15"/>
      <c r="AD4" s="57"/>
      <c r="AE4" s="57"/>
      <c r="AF4" s="15"/>
      <c r="AG4" s="25"/>
      <c r="AH4" s="26"/>
      <c r="AI4" s="26"/>
      <c r="AJ4" s="27"/>
      <c r="AK4" s="28"/>
      <c r="AL4" s="29"/>
    </row>
    <row r="5" ht="12.75" customHeight="1">
      <c r="A5" s="26"/>
      <c r="B5" s="241"/>
      <c r="C5" s="58">
        <v>19.0</v>
      </c>
      <c r="D5" s="59" t="s">
        <v>21</v>
      </c>
      <c r="E5" s="5"/>
      <c r="F5" s="5"/>
      <c r="G5" s="54" t="s">
        <v>22</v>
      </c>
      <c r="H5" s="32"/>
      <c r="I5" s="60"/>
      <c r="J5" s="8"/>
      <c r="K5" s="9"/>
      <c r="L5" s="10"/>
      <c r="M5" s="312" t="s">
        <v>23</v>
      </c>
      <c r="N5" s="61">
        <v>200.0</v>
      </c>
      <c r="O5" s="62">
        <v>76.0</v>
      </c>
      <c r="P5" s="63">
        <v>19.0</v>
      </c>
      <c r="Q5" s="36">
        <v>200.0</v>
      </c>
      <c r="R5" s="64">
        <v>0.16</v>
      </c>
      <c r="S5" s="64">
        <v>0.16</v>
      </c>
      <c r="T5" s="15"/>
      <c r="U5" s="8"/>
      <c r="V5" s="8"/>
      <c r="W5" s="8"/>
      <c r="X5" s="15">
        <v>9.5</v>
      </c>
      <c r="Y5" s="56" t="s">
        <v>24</v>
      </c>
      <c r="Z5" s="15"/>
      <c r="AA5" s="15"/>
      <c r="AB5" s="15"/>
      <c r="AC5" s="15"/>
      <c r="AD5" s="57"/>
      <c r="AE5" s="57"/>
      <c r="AF5" s="15"/>
      <c r="AG5" s="25"/>
      <c r="AH5" s="26"/>
      <c r="AI5" s="26"/>
      <c r="AJ5" s="27"/>
      <c r="AK5" s="28"/>
      <c r="AL5" s="29"/>
    </row>
    <row r="6" ht="12.75" customHeight="1">
      <c r="A6" s="26"/>
      <c r="B6" s="241"/>
      <c r="C6" s="51">
        <v>0.16</v>
      </c>
      <c r="D6" s="52" t="s">
        <v>25</v>
      </c>
      <c r="E6" s="5"/>
      <c r="F6" s="5"/>
      <c r="G6" s="5"/>
      <c r="H6" s="5"/>
      <c r="I6" s="5"/>
      <c r="J6" s="8"/>
      <c r="K6" s="9"/>
      <c r="L6" s="10"/>
      <c r="M6" s="312" t="s">
        <v>26</v>
      </c>
      <c r="N6" s="33">
        <v>165.0</v>
      </c>
      <c r="O6" s="34">
        <v>62.7</v>
      </c>
      <c r="P6" s="35">
        <v>15.68</v>
      </c>
      <c r="Q6" s="36">
        <v>165.0</v>
      </c>
      <c r="R6" s="36">
        <v>0.13</v>
      </c>
      <c r="S6" s="36">
        <v>0.13</v>
      </c>
      <c r="T6" s="15"/>
      <c r="U6" s="8"/>
      <c r="V6" s="8"/>
      <c r="W6" s="8"/>
      <c r="X6" s="65"/>
      <c r="Y6" s="66" t="s">
        <v>27</v>
      </c>
      <c r="Z6" s="19"/>
      <c r="AA6" s="20"/>
      <c r="AB6" s="15"/>
      <c r="AC6" s="15"/>
      <c r="AD6" s="57"/>
      <c r="AE6" s="57"/>
      <c r="AF6" s="15"/>
      <c r="AG6" s="25"/>
      <c r="AH6" s="26"/>
      <c r="AI6" s="26"/>
      <c r="AJ6" s="27"/>
      <c r="AK6" s="28"/>
      <c r="AL6" s="29"/>
    </row>
    <row r="7" ht="12.75" customHeight="1">
      <c r="A7" s="26"/>
      <c r="B7" s="311"/>
      <c r="C7" s="67">
        <v>60.0</v>
      </c>
      <c r="D7" s="59" t="s">
        <v>28</v>
      </c>
      <c r="E7" s="5"/>
      <c r="F7" s="5"/>
      <c r="G7" s="5"/>
      <c r="H7" s="5"/>
      <c r="I7" s="5"/>
      <c r="J7" s="8"/>
      <c r="K7" s="9"/>
      <c r="L7" s="10"/>
      <c r="M7" s="312" t="s">
        <v>29</v>
      </c>
      <c r="N7" s="33">
        <v>220.0</v>
      </c>
      <c r="O7" s="34">
        <v>83.6</v>
      </c>
      <c r="P7" s="68">
        <v>20.9</v>
      </c>
      <c r="Q7" s="35">
        <v>220.0</v>
      </c>
      <c r="R7" s="36">
        <v>0.18</v>
      </c>
      <c r="S7" s="36">
        <v>0.18</v>
      </c>
      <c r="T7" s="15"/>
      <c r="U7" s="69"/>
      <c r="V7" s="8"/>
      <c r="W7" s="8"/>
      <c r="X7" s="70">
        <v>0.0356</v>
      </c>
      <c r="Y7" s="71" t="s">
        <v>30</v>
      </c>
      <c r="Z7" s="72"/>
      <c r="AA7" s="73"/>
      <c r="AB7" s="15"/>
      <c r="AC7" s="15"/>
      <c r="AD7" s="57"/>
      <c r="AE7" s="57"/>
      <c r="AF7" s="15"/>
      <c r="AG7" s="25"/>
      <c r="AH7" s="26"/>
      <c r="AI7" s="74" t="s">
        <v>31</v>
      </c>
      <c r="AJ7" s="75"/>
      <c r="AK7" s="75"/>
      <c r="AL7" s="76"/>
    </row>
    <row r="8" ht="12.75" customHeight="1">
      <c r="A8" s="26"/>
      <c r="B8" s="317"/>
      <c r="C8" s="318">
        <v>8.0</v>
      </c>
      <c r="D8" s="79" t="s">
        <v>32</v>
      </c>
      <c r="E8" s="80"/>
      <c r="F8" s="81" t="s">
        <v>694</v>
      </c>
      <c r="G8" s="82"/>
      <c r="H8" s="82"/>
      <c r="I8" s="82"/>
      <c r="J8" s="83"/>
      <c r="K8" s="84"/>
      <c r="L8" s="85"/>
      <c r="M8" s="12"/>
      <c r="N8" s="87" t="s">
        <v>34</v>
      </c>
      <c r="O8" s="88"/>
      <c r="P8" s="88"/>
      <c r="Q8" s="89"/>
      <c r="R8" s="90" t="s">
        <v>35</v>
      </c>
      <c r="S8" s="88"/>
      <c r="T8" s="89"/>
      <c r="U8" s="8"/>
      <c r="V8" s="91" t="s">
        <v>36</v>
      </c>
      <c r="W8" s="75"/>
      <c r="X8" s="75"/>
      <c r="Y8" s="75"/>
      <c r="Z8" s="75"/>
      <c r="AA8" s="75"/>
      <c r="AB8" s="75"/>
      <c r="AC8" s="76"/>
      <c r="AD8" s="57"/>
      <c r="AE8" s="57"/>
      <c r="AF8" s="92" t="s">
        <v>37</v>
      </c>
      <c r="AG8" s="83"/>
      <c r="AH8" s="26"/>
      <c r="AI8" s="93"/>
      <c r="AJ8" s="94"/>
      <c r="AK8" s="94"/>
      <c r="AL8" s="95"/>
    </row>
    <row r="9" ht="52.5" customHeight="1">
      <c r="A9" s="26"/>
      <c r="B9" s="96" t="s">
        <v>38</v>
      </c>
      <c r="C9" s="96" t="s">
        <v>39</v>
      </c>
      <c r="D9" s="97" t="s">
        <v>40</v>
      </c>
      <c r="E9" s="98" t="s">
        <v>41</v>
      </c>
      <c r="F9" s="99" t="s">
        <v>42</v>
      </c>
      <c r="G9" s="100" t="s">
        <v>43</v>
      </c>
      <c r="H9" s="101" t="s">
        <v>695</v>
      </c>
      <c r="I9" s="101" t="s">
        <v>46</v>
      </c>
      <c r="J9" s="102" t="s">
        <v>47</v>
      </c>
      <c r="K9" s="103" t="s">
        <v>48</v>
      </c>
      <c r="L9" s="104" t="s">
        <v>49</v>
      </c>
      <c r="M9" s="259" t="s">
        <v>656</v>
      </c>
      <c r="N9" s="106" t="s">
        <v>51</v>
      </c>
      <c r="O9" s="107" t="s">
        <v>696</v>
      </c>
      <c r="P9" s="109" t="s">
        <v>54</v>
      </c>
      <c r="Q9" s="110" t="s">
        <v>55</v>
      </c>
      <c r="R9" s="111" t="s">
        <v>56</v>
      </c>
      <c r="S9" s="111" t="s">
        <v>57</v>
      </c>
      <c r="T9" s="112" t="s">
        <v>58</v>
      </c>
      <c r="U9" s="113" t="s">
        <v>59</v>
      </c>
      <c r="V9" s="114" t="s">
        <v>60</v>
      </c>
      <c r="W9" s="115" t="s">
        <v>697</v>
      </c>
      <c r="X9" s="115" t="s">
        <v>698</v>
      </c>
      <c r="Y9" s="115" t="s">
        <v>699</v>
      </c>
      <c r="Z9" s="116" t="s">
        <v>63</v>
      </c>
      <c r="AA9" s="116" t="s">
        <v>64</v>
      </c>
      <c r="AB9" s="116" t="s">
        <v>65</v>
      </c>
      <c r="AC9" s="117" t="s">
        <v>700</v>
      </c>
      <c r="AD9" s="118" t="s">
        <v>67</v>
      </c>
      <c r="AE9" s="119" t="s">
        <v>68</v>
      </c>
      <c r="AF9" s="120" t="s">
        <v>69</v>
      </c>
      <c r="AG9" s="121" t="s">
        <v>70</v>
      </c>
      <c r="AH9" s="26"/>
      <c r="AI9" s="122" t="s">
        <v>71</v>
      </c>
      <c r="AJ9" s="123" t="s">
        <v>72</v>
      </c>
      <c r="AK9" s="107" t="s">
        <v>701</v>
      </c>
      <c r="AL9" s="124" t="s">
        <v>74</v>
      </c>
    </row>
    <row r="10" ht="12.75" customHeight="1">
      <c r="A10" s="26"/>
      <c r="B10" s="319" t="s">
        <v>702</v>
      </c>
      <c r="C10" s="126"/>
      <c r="D10" s="209"/>
      <c r="E10" s="128"/>
      <c r="F10" s="129"/>
      <c r="G10" s="128"/>
      <c r="H10" s="128"/>
      <c r="I10" s="128"/>
      <c r="J10" s="130"/>
      <c r="K10" s="131"/>
      <c r="L10" s="132"/>
      <c r="M10" s="320"/>
      <c r="N10" s="134"/>
      <c r="O10" s="321"/>
      <c r="P10" s="136"/>
      <c r="Q10" s="137"/>
      <c r="R10" s="138"/>
      <c r="S10" s="139"/>
      <c r="T10" s="140"/>
      <c r="U10" s="141"/>
      <c r="V10" s="142"/>
      <c r="W10" s="322"/>
      <c r="X10" s="143"/>
      <c r="Y10" s="143"/>
      <c r="Z10" s="139"/>
      <c r="AA10" s="139"/>
      <c r="AB10" s="139"/>
      <c r="AC10" s="140"/>
      <c r="AD10" s="144"/>
      <c r="AE10" s="145"/>
      <c r="AF10" s="138"/>
      <c r="AG10" s="146"/>
      <c r="AH10" s="26"/>
      <c r="AI10" s="147"/>
      <c r="AJ10" s="148"/>
      <c r="AK10" s="149"/>
      <c r="AL10" s="150"/>
    </row>
    <row r="11" ht="12.75" customHeight="1">
      <c r="A11" s="26"/>
      <c r="B11" s="152"/>
      <c r="C11" s="220"/>
      <c r="D11" s="152" t="s">
        <v>703</v>
      </c>
      <c r="E11" s="211" t="s">
        <v>77</v>
      </c>
      <c r="F11" s="323">
        <v>1.0</v>
      </c>
      <c r="G11" s="324">
        <v>5.0</v>
      </c>
      <c r="H11" s="53" t="str">
        <f t="shared" ref="H11:H17" si="1">$H$3</f>
        <v>12.5</v>
      </c>
      <c r="I11" s="53" t="str">
        <f t="shared" ref="I11:I17" si="2">F11*G11*H11</f>
        <v>62.5</v>
      </c>
      <c r="J11" s="155" t="str">
        <f t="shared" ref="J11:J17" si="3">I11*$I$4</f>
        <v>11.25</v>
      </c>
      <c r="K11" s="156" t="str">
        <f t="shared" ref="K11:K17" si="4">J11+I11</f>
        <v>73.75 </v>
      </c>
      <c r="L11" s="132">
        <v>90.0</v>
      </c>
      <c r="M11" s="325" t="str">
        <f t="shared" ref="M11:M17" si="5">K11/F11</f>
        <v>73.75</v>
      </c>
      <c r="N11" s="326">
        <v>316.8</v>
      </c>
      <c r="O11" s="327" t="str">
        <f t="shared" ref="O11:O17" si="6">AK11</f>
        <v>-30.74</v>
      </c>
      <c r="P11" s="328">
        <v>0.21</v>
      </c>
      <c r="Q11" s="162" t="str">
        <f t="shared" ref="Q11:Q17" si="7">N11-(N11*P11)</f>
        <v>250.27</v>
      </c>
      <c r="R11" s="163" t="str">
        <f t="shared" ref="R11:R17" si="8">$C$1</f>
        <v>60.00</v>
      </c>
      <c r="S11" s="164" t="str">
        <f t="shared" ref="S11:S17" si="9">(Q11*7/107)+((Q11-(Q11*7/107))*1%)</f>
        <v>18.71</v>
      </c>
      <c r="T11" s="165" t="str">
        <f t="shared" ref="T11:T17" si="10">M11*$C$3*(L11/30)</f>
        <v>0.00</v>
      </c>
      <c r="U11" s="329">
        <v>0.49</v>
      </c>
      <c r="V11" s="167" t="str">
        <f t="shared" ref="V11:V17" si="11">((_xlfn.CEILING.MATH(U11)-1)*$C$5+$C$4)</f>
        <v>76</v>
      </c>
      <c r="W11" s="330">
        <v>0.185</v>
      </c>
      <c r="X11" s="168" t="str">
        <f t="shared" ref="X11:X17" si="12">N11*W11</f>
        <v>58.608</v>
      </c>
      <c r="Y11" s="168" t="str">
        <f t="shared" ref="Y11:Y17" si="13">Q11*$X$7</f>
        <v>8.910</v>
      </c>
      <c r="Z11" s="164" t="str">
        <f t="shared" ref="Z11:Z17" si="14">$X$3*((100-AA11)/100)</f>
        <v>2.62</v>
      </c>
      <c r="AA11" s="331">
        <v>94.76</v>
      </c>
      <c r="AB11" s="164" t="str">
        <f t="shared" ref="AB11:AB14" si="15">$C$6*$C$7</f>
        <v>9.60</v>
      </c>
      <c r="AC11" s="165" t="str">
        <f t="shared" ref="AC11:AC17" si="16">N11*$C$2</f>
        <v>0.00</v>
      </c>
      <c r="AD11" s="23"/>
      <c r="AE11" s="169" t="str">
        <f t="shared" ref="AE11:AE17" si="17">(_xlfn.CEILING.MATH(U11))*$X$1*$AC$2</f>
        <v>0</v>
      </c>
      <c r="AF11" s="163" t="str">
        <f t="shared" ref="AF11:AF17" si="18">N11-R11-S11-T11-V11-X11-Y11-Z11-AB11-AC11-M11</f>
        <v>8.60</v>
      </c>
      <c r="AG11" s="170" t="str">
        <f t="shared" ref="AG11:AG17" si="19">AF11/M11</f>
        <v>11.66%</v>
      </c>
      <c r="AH11" s="26"/>
      <c r="AI11" s="171" t="str">
        <f t="shared" ref="AI11:AI17" si="20">$AC$3</f>
        <v>0.00%</v>
      </c>
      <c r="AJ11" s="172" t="str">
        <f t="shared" ref="AJ11:AJ17" si="21">M11*AI11</f>
        <v>0.00</v>
      </c>
      <c r="AK11" s="173" t="str">
        <f t="shared" ref="AK11:AK17" si="22">(M11+R11+T11+V11+Z11+AB11+AE11+AJ11)/(100%-($C$2+$C$8+$X$7+W11))</f>
        <v>-30.74</v>
      </c>
      <c r="AL11" s="174" t="str">
        <f t="shared" ref="AL11:AL17" si="23">AK11-(AK11*$AC$1)</f>
        <v>-30.74</v>
      </c>
    </row>
    <row r="12" ht="12.75" customHeight="1">
      <c r="A12" s="26"/>
      <c r="B12" s="152"/>
      <c r="C12" s="220"/>
      <c r="D12" s="152" t="s">
        <v>704</v>
      </c>
      <c r="E12" s="211" t="s">
        <v>77</v>
      </c>
      <c r="F12" s="323">
        <v>1.0</v>
      </c>
      <c r="G12" s="324">
        <v>6.0</v>
      </c>
      <c r="H12" s="53" t="str">
        <f t="shared" si="1"/>
        <v>12.5</v>
      </c>
      <c r="I12" s="53" t="str">
        <f t="shared" si="2"/>
        <v>75</v>
      </c>
      <c r="J12" s="155" t="str">
        <f t="shared" si="3"/>
        <v>13.50</v>
      </c>
      <c r="K12" s="156" t="str">
        <f t="shared" si="4"/>
        <v>88.50 </v>
      </c>
      <c r="L12" s="132">
        <v>90.0</v>
      </c>
      <c r="M12" s="325" t="str">
        <f t="shared" si="5"/>
        <v>88.50</v>
      </c>
      <c r="N12" s="326">
        <v>380.1</v>
      </c>
      <c r="O12" s="327" t="str">
        <f t="shared" si="6"/>
        <v>-32.75</v>
      </c>
      <c r="P12" s="328">
        <v>0.21</v>
      </c>
      <c r="Q12" s="162" t="str">
        <f t="shared" si="7"/>
        <v>300.28</v>
      </c>
      <c r="R12" s="163" t="str">
        <f t="shared" si="8"/>
        <v>60.00</v>
      </c>
      <c r="S12" s="164" t="str">
        <f t="shared" si="9"/>
        <v>22.45</v>
      </c>
      <c r="T12" s="165" t="str">
        <f t="shared" si="10"/>
        <v>0.00</v>
      </c>
      <c r="U12" s="329">
        <v>0.55</v>
      </c>
      <c r="V12" s="167" t="str">
        <f t="shared" si="11"/>
        <v>76</v>
      </c>
      <c r="W12" s="330">
        <v>0.185</v>
      </c>
      <c r="X12" s="168" t="str">
        <f t="shared" si="12"/>
        <v>70.319</v>
      </c>
      <c r="Y12" s="168" t="str">
        <f t="shared" si="13"/>
        <v>10.690</v>
      </c>
      <c r="Z12" s="164" t="str">
        <f t="shared" si="14"/>
        <v>2.36</v>
      </c>
      <c r="AA12" s="331">
        <v>95.29</v>
      </c>
      <c r="AB12" s="164" t="str">
        <f t="shared" si="15"/>
        <v>9.60</v>
      </c>
      <c r="AC12" s="165" t="str">
        <f t="shared" si="16"/>
        <v>0.00</v>
      </c>
      <c r="AD12" s="23"/>
      <c r="AE12" s="169" t="str">
        <f t="shared" si="17"/>
        <v>0</v>
      </c>
      <c r="AF12" s="163" t="str">
        <f t="shared" si="18"/>
        <v>40.19</v>
      </c>
      <c r="AG12" s="170" t="str">
        <f t="shared" si="19"/>
        <v>45.41%</v>
      </c>
      <c r="AH12" s="26"/>
      <c r="AI12" s="171" t="str">
        <f t="shared" si="20"/>
        <v>0.00%</v>
      </c>
      <c r="AJ12" s="172" t="str">
        <f t="shared" si="21"/>
        <v>0.00</v>
      </c>
      <c r="AK12" s="173" t="str">
        <f t="shared" si="22"/>
        <v>-32.75</v>
      </c>
      <c r="AL12" s="174" t="str">
        <f t="shared" si="23"/>
        <v>-32.75</v>
      </c>
    </row>
    <row r="13" ht="12.75" customHeight="1">
      <c r="A13" s="26"/>
      <c r="B13" s="152"/>
      <c r="C13" s="220"/>
      <c r="D13" s="152" t="s">
        <v>705</v>
      </c>
      <c r="E13" s="211" t="s">
        <v>77</v>
      </c>
      <c r="F13" s="323">
        <v>1.0</v>
      </c>
      <c r="G13" s="324">
        <v>4.0</v>
      </c>
      <c r="H13" s="53" t="str">
        <f t="shared" si="1"/>
        <v>12.5</v>
      </c>
      <c r="I13" s="53" t="str">
        <f t="shared" si="2"/>
        <v>50</v>
      </c>
      <c r="J13" s="155" t="str">
        <f t="shared" si="3"/>
        <v>9.00</v>
      </c>
      <c r="K13" s="156" t="str">
        <f t="shared" si="4"/>
        <v>59.00 </v>
      </c>
      <c r="L13" s="132">
        <v>90.0</v>
      </c>
      <c r="M13" s="325" t="str">
        <f t="shared" si="5"/>
        <v>59.00</v>
      </c>
      <c r="N13" s="326">
        <v>300.3</v>
      </c>
      <c r="O13" s="327" t="str">
        <f t="shared" si="6"/>
        <v>-28.95</v>
      </c>
      <c r="P13" s="328">
        <v>0.21</v>
      </c>
      <c r="Q13" s="162" t="str">
        <f t="shared" si="7"/>
        <v>237.24</v>
      </c>
      <c r="R13" s="163" t="str">
        <f t="shared" si="8"/>
        <v>60.00</v>
      </c>
      <c r="S13" s="164" t="str">
        <f t="shared" si="9"/>
        <v>17.74</v>
      </c>
      <c r="T13" s="165" t="str">
        <f t="shared" si="10"/>
        <v>0.00</v>
      </c>
      <c r="U13" s="329">
        <v>0.35</v>
      </c>
      <c r="V13" s="167" t="str">
        <f t="shared" si="11"/>
        <v>76</v>
      </c>
      <c r="W13" s="330">
        <v>0.185</v>
      </c>
      <c r="X13" s="168" t="str">
        <f t="shared" si="12"/>
        <v>55.556</v>
      </c>
      <c r="Y13" s="168" t="str">
        <f t="shared" si="13"/>
        <v>8.446</v>
      </c>
      <c r="Z13" s="164" t="str">
        <f t="shared" si="14"/>
        <v>4.41</v>
      </c>
      <c r="AA13" s="331">
        <v>91.19</v>
      </c>
      <c r="AB13" s="164" t="str">
        <f t="shared" si="15"/>
        <v>9.60</v>
      </c>
      <c r="AC13" s="165" t="str">
        <f t="shared" si="16"/>
        <v>0.00</v>
      </c>
      <c r="AD13" s="23"/>
      <c r="AE13" s="169" t="str">
        <f t="shared" si="17"/>
        <v>0</v>
      </c>
      <c r="AF13" s="163" t="str">
        <f t="shared" si="18"/>
        <v>9.56</v>
      </c>
      <c r="AG13" s="170" t="str">
        <f t="shared" si="19"/>
        <v>16.20%</v>
      </c>
      <c r="AH13" s="26"/>
      <c r="AI13" s="171" t="str">
        <f t="shared" si="20"/>
        <v>0.00%</v>
      </c>
      <c r="AJ13" s="172" t="str">
        <f t="shared" si="21"/>
        <v>0.00</v>
      </c>
      <c r="AK13" s="173" t="str">
        <f t="shared" si="22"/>
        <v>-28.95</v>
      </c>
      <c r="AL13" s="174" t="str">
        <f t="shared" si="23"/>
        <v>-28.95</v>
      </c>
    </row>
    <row r="14" ht="12.75" customHeight="1">
      <c r="A14" s="26"/>
      <c r="B14" s="152"/>
      <c r="C14" s="220"/>
      <c r="D14" s="152" t="s">
        <v>706</v>
      </c>
      <c r="E14" s="211" t="s">
        <v>77</v>
      </c>
      <c r="F14" s="323">
        <v>1.0</v>
      </c>
      <c r="G14" s="324">
        <v>0.0</v>
      </c>
      <c r="H14" s="53" t="str">
        <f t="shared" si="1"/>
        <v>12.5</v>
      </c>
      <c r="I14" s="53" t="str">
        <f t="shared" si="2"/>
        <v>0</v>
      </c>
      <c r="J14" s="155" t="str">
        <f t="shared" si="3"/>
        <v>0.00</v>
      </c>
      <c r="K14" s="156" t="str">
        <f t="shared" si="4"/>
        <v>0.00 </v>
      </c>
      <c r="L14" s="132">
        <v>90.0</v>
      </c>
      <c r="M14" s="325" t="str">
        <f t="shared" si="5"/>
        <v>0.00</v>
      </c>
      <c r="N14" s="326">
        <v>1026.9</v>
      </c>
      <c r="O14" s="327" t="str">
        <f t="shared" si="6"/>
        <v>-20.59</v>
      </c>
      <c r="P14" s="328">
        <v>0.21</v>
      </c>
      <c r="Q14" s="162" t="str">
        <f t="shared" si="7"/>
        <v>811.25</v>
      </c>
      <c r="R14" s="163" t="str">
        <f t="shared" si="8"/>
        <v>60.00</v>
      </c>
      <c r="S14" s="164" t="str">
        <f t="shared" si="9"/>
        <v>60.65</v>
      </c>
      <c r="T14" s="165" t="str">
        <f t="shared" si="10"/>
        <v>0.00</v>
      </c>
      <c r="U14" s="329">
        <v>0.36</v>
      </c>
      <c r="V14" s="167" t="str">
        <f t="shared" si="11"/>
        <v>76</v>
      </c>
      <c r="W14" s="330">
        <v>0.185</v>
      </c>
      <c r="X14" s="168" t="str">
        <f t="shared" si="12"/>
        <v>189.977</v>
      </c>
      <c r="Y14" s="168" t="str">
        <f t="shared" si="13"/>
        <v>28.881</v>
      </c>
      <c r="Z14" s="164" t="str">
        <f t="shared" si="14"/>
        <v>3.05</v>
      </c>
      <c r="AA14" s="331">
        <v>93.91</v>
      </c>
      <c r="AB14" s="164" t="str">
        <f t="shared" si="15"/>
        <v>9.60</v>
      </c>
      <c r="AC14" s="165" t="str">
        <f t="shared" si="16"/>
        <v>0.00</v>
      </c>
      <c r="AD14" s="23"/>
      <c r="AE14" s="169" t="str">
        <f t="shared" si="17"/>
        <v>0</v>
      </c>
      <c r="AF14" s="163" t="str">
        <f t="shared" si="18"/>
        <v>598.74</v>
      </c>
      <c r="AG14" s="170" t="str">
        <f t="shared" si="19"/>
        <v>#DIV/0!</v>
      </c>
      <c r="AH14" s="26"/>
      <c r="AI14" s="171" t="str">
        <f t="shared" si="20"/>
        <v>0.00%</v>
      </c>
      <c r="AJ14" s="172" t="str">
        <f t="shared" si="21"/>
        <v>0.00</v>
      </c>
      <c r="AK14" s="173" t="str">
        <f t="shared" si="22"/>
        <v>-20.59</v>
      </c>
      <c r="AL14" s="174" t="str">
        <f t="shared" si="23"/>
        <v>-20.59</v>
      </c>
    </row>
    <row r="15" ht="12.75" customHeight="1">
      <c r="A15" s="26"/>
      <c r="B15" s="152"/>
      <c r="C15" s="220"/>
      <c r="D15" s="152" t="s">
        <v>707</v>
      </c>
      <c r="E15" s="211" t="s">
        <v>77</v>
      </c>
      <c r="F15" s="323">
        <v>1.0</v>
      </c>
      <c r="G15" s="324">
        <v>0.0</v>
      </c>
      <c r="H15" s="53" t="str">
        <f t="shared" si="1"/>
        <v>12.5</v>
      </c>
      <c r="I15" s="53" t="str">
        <f t="shared" si="2"/>
        <v>0</v>
      </c>
      <c r="J15" s="155" t="str">
        <f t="shared" si="3"/>
        <v>0.00</v>
      </c>
      <c r="K15" s="156" t="str">
        <f t="shared" si="4"/>
        <v>0.00 </v>
      </c>
      <c r="L15" s="132">
        <v>90.0</v>
      </c>
      <c r="M15" s="325" t="str">
        <f t="shared" si="5"/>
        <v>0.00</v>
      </c>
      <c r="N15" s="326">
        <v>1021.2</v>
      </c>
      <c r="O15" s="327" t="str">
        <f t="shared" si="6"/>
        <v>-20.67</v>
      </c>
      <c r="P15" s="328">
        <v>0.21</v>
      </c>
      <c r="Q15" s="162" t="str">
        <f t="shared" si="7"/>
        <v>806.75</v>
      </c>
      <c r="R15" s="163" t="str">
        <f t="shared" si="8"/>
        <v>60.00</v>
      </c>
      <c r="S15" s="164" t="str">
        <f t="shared" si="9"/>
        <v>60.32</v>
      </c>
      <c r="T15" s="165" t="str">
        <f t="shared" si="10"/>
        <v>0.00</v>
      </c>
      <c r="U15" s="329">
        <v>0.36</v>
      </c>
      <c r="V15" s="167" t="str">
        <f t="shared" si="11"/>
        <v>76</v>
      </c>
      <c r="W15" s="330">
        <v>0.185</v>
      </c>
      <c r="X15" s="168" t="str">
        <f t="shared" si="12"/>
        <v>188.922</v>
      </c>
      <c r="Y15" s="168" t="str">
        <f t="shared" si="13"/>
        <v>28.720</v>
      </c>
      <c r="Z15" s="164" t="str">
        <f t="shared" si="14"/>
        <v>3.64</v>
      </c>
      <c r="AA15" s="331">
        <v>92.73</v>
      </c>
      <c r="AB15" s="164" t="str">
        <f t="shared" ref="AB15:AB17" si="24">$C$6*$C$7*_xlfn.CEILING.MATH(U15)</f>
        <v>9.60</v>
      </c>
      <c r="AC15" s="165" t="str">
        <f t="shared" si="16"/>
        <v>0.00</v>
      </c>
      <c r="AD15" s="23"/>
      <c r="AE15" s="169" t="str">
        <f t="shared" si="17"/>
        <v>0</v>
      </c>
      <c r="AF15" s="163" t="str">
        <f t="shared" si="18"/>
        <v>594.01</v>
      </c>
      <c r="AG15" s="170" t="str">
        <f t="shared" si="19"/>
        <v>#DIV/0!</v>
      </c>
      <c r="AH15" s="26"/>
      <c r="AI15" s="171" t="str">
        <f t="shared" si="20"/>
        <v>0.00%</v>
      </c>
      <c r="AJ15" s="172" t="str">
        <f t="shared" si="21"/>
        <v>0.00</v>
      </c>
      <c r="AK15" s="173" t="str">
        <f t="shared" si="22"/>
        <v>-20.67</v>
      </c>
      <c r="AL15" s="174" t="str">
        <f t="shared" si="23"/>
        <v>-20.67</v>
      </c>
    </row>
    <row r="16" ht="12.75" customHeight="1">
      <c r="A16" s="26"/>
      <c r="B16" s="152"/>
      <c r="C16" s="220"/>
      <c r="D16" s="152" t="s">
        <v>708</v>
      </c>
      <c r="E16" s="211" t="s">
        <v>77</v>
      </c>
      <c r="F16" s="323">
        <v>1.0</v>
      </c>
      <c r="G16" s="324">
        <v>39.5</v>
      </c>
      <c r="H16" s="53" t="str">
        <f t="shared" si="1"/>
        <v>12.5</v>
      </c>
      <c r="I16" s="53" t="str">
        <f t="shared" si="2"/>
        <v>493.75</v>
      </c>
      <c r="J16" s="155" t="str">
        <f t="shared" si="3"/>
        <v>88.88</v>
      </c>
      <c r="K16" s="156" t="str">
        <f t="shared" si="4"/>
        <v>582.63 </v>
      </c>
      <c r="L16" s="132">
        <v>90.0</v>
      </c>
      <c r="M16" s="325" t="str">
        <f t="shared" si="5"/>
        <v>582.63</v>
      </c>
      <c r="N16" s="326">
        <v>1084.75</v>
      </c>
      <c r="O16" s="327" t="str">
        <f t="shared" si="6"/>
        <v>-103.31</v>
      </c>
      <c r="P16" s="328">
        <v>0.21</v>
      </c>
      <c r="Q16" s="162" t="str">
        <f t="shared" si="7"/>
        <v>856.95</v>
      </c>
      <c r="R16" s="163" t="str">
        <f t="shared" si="8"/>
        <v>60.00</v>
      </c>
      <c r="S16" s="164" t="str">
        <f t="shared" si="9"/>
        <v>64.07</v>
      </c>
      <c r="T16" s="165" t="str">
        <f t="shared" si="10"/>
        <v>0.00</v>
      </c>
      <c r="U16" s="329">
        <v>0.98</v>
      </c>
      <c r="V16" s="167" t="str">
        <f t="shared" si="11"/>
        <v>76</v>
      </c>
      <c r="W16" s="330">
        <v>0.115</v>
      </c>
      <c r="X16" s="168" t="str">
        <f t="shared" si="12"/>
        <v>124.746</v>
      </c>
      <c r="Y16" s="168" t="str">
        <f t="shared" si="13"/>
        <v>30.508</v>
      </c>
      <c r="Z16" s="164" t="str">
        <f t="shared" si="14"/>
        <v>10.53</v>
      </c>
      <c r="AA16" s="331">
        <v>78.95</v>
      </c>
      <c r="AB16" s="164" t="str">
        <f t="shared" si="24"/>
        <v>9.60</v>
      </c>
      <c r="AC16" s="165" t="str">
        <f t="shared" si="16"/>
        <v>0.00</v>
      </c>
      <c r="AD16" s="23"/>
      <c r="AE16" s="169" t="str">
        <f t="shared" si="17"/>
        <v>0</v>
      </c>
      <c r="AF16" s="163" t="str">
        <f t="shared" si="18"/>
        <v>126.68</v>
      </c>
      <c r="AG16" s="170" t="str">
        <f t="shared" si="19"/>
        <v>21.74%</v>
      </c>
      <c r="AH16" s="26"/>
      <c r="AI16" s="171" t="str">
        <f t="shared" si="20"/>
        <v>0.00%</v>
      </c>
      <c r="AJ16" s="172" t="str">
        <f t="shared" si="21"/>
        <v>0.00</v>
      </c>
      <c r="AK16" s="173" t="str">
        <f t="shared" si="22"/>
        <v>-103.31</v>
      </c>
      <c r="AL16" s="174" t="str">
        <f t="shared" si="23"/>
        <v>-103.31</v>
      </c>
    </row>
    <row r="17" ht="12.75" customHeight="1">
      <c r="A17" s="26"/>
      <c r="B17" s="152"/>
      <c r="C17" s="220"/>
      <c r="D17" s="152" t="s">
        <v>709</v>
      </c>
      <c r="E17" s="211" t="s">
        <v>77</v>
      </c>
      <c r="F17" s="323">
        <v>1.0</v>
      </c>
      <c r="G17" s="324">
        <v>39.5</v>
      </c>
      <c r="H17" s="53" t="str">
        <f t="shared" si="1"/>
        <v>12.5</v>
      </c>
      <c r="I17" s="53" t="str">
        <f t="shared" si="2"/>
        <v>493.75</v>
      </c>
      <c r="J17" s="155" t="str">
        <f t="shared" si="3"/>
        <v>88.88</v>
      </c>
      <c r="K17" s="156" t="str">
        <f t="shared" si="4"/>
        <v>582.63 </v>
      </c>
      <c r="L17" s="132">
        <v>90.0</v>
      </c>
      <c r="M17" s="325" t="str">
        <f t="shared" si="5"/>
        <v>582.63</v>
      </c>
      <c r="N17" s="326">
        <v>1142.5</v>
      </c>
      <c r="O17" s="327" t="str">
        <f t="shared" si="6"/>
        <v>-103.31</v>
      </c>
      <c r="P17" s="328">
        <v>0.21</v>
      </c>
      <c r="Q17" s="162" t="str">
        <f t="shared" si="7"/>
        <v>902.58</v>
      </c>
      <c r="R17" s="163" t="str">
        <f t="shared" si="8"/>
        <v>60.00</v>
      </c>
      <c r="S17" s="164" t="str">
        <f t="shared" si="9"/>
        <v>67.48</v>
      </c>
      <c r="T17" s="165" t="str">
        <f t="shared" si="10"/>
        <v>0.00</v>
      </c>
      <c r="U17" s="329">
        <v>0.98</v>
      </c>
      <c r="V17" s="167" t="str">
        <f t="shared" si="11"/>
        <v>76</v>
      </c>
      <c r="W17" s="330">
        <v>0.115</v>
      </c>
      <c r="X17" s="168" t="str">
        <f t="shared" si="12"/>
        <v>131.388</v>
      </c>
      <c r="Y17" s="168" t="str">
        <f t="shared" si="13"/>
        <v>32.132</v>
      </c>
      <c r="Z17" s="164" t="str">
        <f t="shared" si="14"/>
        <v>10.53</v>
      </c>
      <c r="AA17" s="331">
        <v>78.95</v>
      </c>
      <c r="AB17" s="164" t="str">
        <f t="shared" si="24"/>
        <v>9.60</v>
      </c>
      <c r="AC17" s="165" t="str">
        <f t="shared" si="16"/>
        <v>0.00</v>
      </c>
      <c r="AD17" s="23"/>
      <c r="AE17" s="169" t="str">
        <f t="shared" si="17"/>
        <v>0</v>
      </c>
      <c r="AF17" s="163" t="str">
        <f t="shared" si="18"/>
        <v>172.75</v>
      </c>
      <c r="AG17" s="170" t="str">
        <f t="shared" si="19"/>
        <v>29.65%</v>
      </c>
      <c r="AH17" s="26"/>
      <c r="AI17" s="171" t="str">
        <f t="shared" si="20"/>
        <v>0.00%</v>
      </c>
      <c r="AJ17" s="172" t="str">
        <f t="shared" si="21"/>
        <v>0.00</v>
      </c>
      <c r="AK17" s="173" t="str">
        <f t="shared" si="22"/>
        <v>-103.31</v>
      </c>
      <c r="AL17" s="174" t="str">
        <f t="shared" si="23"/>
        <v>-103.31</v>
      </c>
    </row>
    <row r="18" ht="12.75" customHeight="1">
      <c r="A18" s="26"/>
      <c r="B18" s="319" t="s">
        <v>710</v>
      </c>
      <c r="C18" s="126"/>
      <c r="D18" s="127"/>
      <c r="E18" s="128"/>
      <c r="F18" s="129"/>
      <c r="G18" s="128"/>
      <c r="H18" s="197"/>
      <c r="I18" s="128"/>
      <c r="J18" s="130"/>
      <c r="K18" s="131"/>
      <c r="L18" s="132"/>
      <c r="M18" s="320"/>
      <c r="N18" s="134"/>
      <c r="O18" s="321"/>
      <c r="P18" s="136"/>
      <c r="Q18" s="137"/>
      <c r="R18" s="177"/>
      <c r="S18" s="178"/>
      <c r="T18" s="179"/>
      <c r="U18" s="332"/>
      <c r="V18" s="181"/>
      <c r="W18" s="333"/>
      <c r="X18" s="182"/>
      <c r="Y18" s="182"/>
      <c r="Z18" s="178"/>
      <c r="AA18" s="178"/>
      <c r="AB18" s="178"/>
      <c r="AC18" s="179"/>
      <c r="AD18" s="183"/>
      <c r="AE18" s="184"/>
      <c r="AF18" s="177"/>
      <c r="AG18" s="185"/>
      <c r="AH18" s="26"/>
      <c r="AI18" s="186"/>
      <c r="AJ18" s="187"/>
      <c r="AK18" s="188"/>
      <c r="AL18" s="189"/>
    </row>
    <row r="19" ht="12.75" customHeight="1">
      <c r="A19" s="26"/>
      <c r="B19" s="152"/>
      <c r="C19" s="216"/>
      <c r="D19" s="152" t="s">
        <v>711</v>
      </c>
      <c r="E19" s="53" t="s">
        <v>77</v>
      </c>
      <c r="F19" s="323">
        <v>1.0</v>
      </c>
      <c r="G19" s="324">
        <v>0.0</v>
      </c>
      <c r="H19" s="53" t="str">
        <f t="shared" ref="H19:H23" si="25">$H$3</f>
        <v>12.5</v>
      </c>
      <c r="I19" s="53" t="str">
        <f t="shared" ref="I19:I23" si="26">F19*G19*H19</f>
        <v>0</v>
      </c>
      <c r="J19" s="155" t="str">
        <f t="shared" ref="J19:J23" si="27">I19*$I$4</f>
        <v>0.00</v>
      </c>
      <c r="K19" s="156" t="str">
        <f t="shared" ref="K19:K23" si="28">J19+I19</f>
        <v>0.00 </v>
      </c>
      <c r="L19" s="132">
        <v>90.0</v>
      </c>
      <c r="M19" s="325" t="str">
        <f t="shared" ref="M19:M23" si="29">K19/F19</f>
        <v>0.00</v>
      </c>
      <c r="N19" s="326">
        <v>1294.8</v>
      </c>
      <c r="O19" s="327" t="str">
        <f t="shared" ref="O19:O23" si="30">AK19</f>
        <v>-75.74</v>
      </c>
      <c r="P19" s="161">
        <v>0.26</v>
      </c>
      <c r="Q19" s="162" t="str">
        <f t="shared" ref="Q19:Q23" si="31">N19-(N19*P19)</f>
        <v>958.15</v>
      </c>
      <c r="R19" s="163" t="str">
        <f t="shared" ref="R19:R23" si="32">$C$1</f>
        <v>60.00</v>
      </c>
      <c r="S19" s="164" t="str">
        <f t="shared" ref="S19:S23" si="33">(Q19*7/107)+((Q19-(Q19*7/107))*1%)</f>
        <v>71.64</v>
      </c>
      <c r="T19" s="165" t="str">
        <f t="shared" ref="T19:T23" si="34">M19*$C$3*(L19/30)</f>
        <v>0.00</v>
      </c>
      <c r="U19" s="329">
        <v>14.4</v>
      </c>
      <c r="V19" s="167" t="str">
        <f t="shared" ref="V19:V23" si="35">((_xlfn.CEILING.MATH(U19)-1)*$C$5+$C$4)</f>
        <v>342</v>
      </c>
      <c r="W19" s="330">
        <v>0.225</v>
      </c>
      <c r="X19" s="168" t="str">
        <f t="shared" ref="X19:X23" si="36">N19*W19</f>
        <v>291.330</v>
      </c>
      <c r="Y19" s="168" t="str">
        <f t="shared" ref="Y19:Y23" si="37">Q19*$X$7</f>
        <v>34.110</v>
      </c>
      <c r="Z19" s="164" t="str">
        <f t="shared" ref="Z19:Z23" si="38">$X$3*((100-AA19)/100)</f>
        <v>3.93</v>
      </c>
      <c r="AA19" s="331">
        <v>92.15</v>
      </c>
      <c r="AB19" s="164" t="str">
        <f t="shared" ref="AB19:AB23" si="39">$C$6*$C$7*_xlfn.CEILING.MATH(U19)</f>
        <v>144.00</v>
      </c>
      <c r="AC19" s="165" t="str">
        <f t="shared" ref="AC19:AC23" si="40">N19*$C$2</f>
        <v>0.00</v>
      </c>
      <c r="AD19" s="23"/>
      <c r="AE19" s="169" t="str">
        <f t="shared" ref="AE19:AE23" si="41">(_xlfn.CEILING.MATH(U19))*$X$1*$AC$2</f>
        <v>0</v>
      </c>
      <c r="AF19" s="163" t="str">
        <f t="shared" ref="AF19:AF23" si="42">N19-R19-S19-T19-V19-X19-Y19-Z19-AB19-AC19-M19</f>
        <v>347.80</v>
      </c>
      <c r="AG19" s="170" t="str">
        <f t="shared" ref="AG19:AG23" si="43">AF19/M19</f>
        <v>#DIV/0!</v>
      </c>
      <c r="AH19" s="26"/>
      <c r="AI19" s="171" t="str">
        <f t="shared" ref="AI19:AI23" si="44">$AC$3</f>
        <v>0.00%</v>
      </c>
      <c r="AJ19" s="172" t="str">
        <f t="shared" ref="AJ19:AJ23" si="45">M19*AI19</f>
        <v>0.00</v>
      </c>
      <c r="AK19" s="173" t="str">
        <f t="shared" ref="AK19:AK23" si="46">(M19+R19+T19+V19+Z19+AB19+AE19+AJ19)/(100%-($C$2+$C$8+$X$7+W19))</f>
        <v>-75.74</v>
      </c>
      <c r="AL19" s="174" t="str">
        <f t="shared" ref="AL19:AL23" si="47">AK19-(AK19*$AC$1)</f>
        <v>-75.74</v>
      </c>
    </row>
    <row r="20" ht="12.75" customHeight="1">
      <c r="A20" s="26"/>
      <c r="B20" s="152"/>
      <c r="C20" s="216"/>
      <c r="D20" s="152" t="s">
        <v>712</v>
      </c>
      <c r="E20" s="53" t="s">
        <v>77</v>
      </c>
      <c r="F20" s="323">
        <v>1.0</v>
      </c>
      <c r="G20" s="324">
        <v>0.0</v>
      </c>
      <c r="H20" s="53" t="str">
        <f t="shared" si="25"/>
        <v>12.5</v>
      </c>
      <c r="I20" s="53" t="str">
        <f t="shared" si="26"/>
        <v>0</v>
      </c>
      <c r="J20" s="155" t="str">
        <f t="shared" si="27"/>
        <v>0.00</v>
      </c>
      <c r="K20" s="156" t="str">
        <f t="shared" si="28"/>
        <v>0.00 </v>
      </c>
      <c r="L20" s="132">
        <v>90.0</v>
      </c>
      <c r="M20" s="325" t="str">
        <f t="shared" si="29"/>
        <v>0.00</v>
      </c>
      <c r="N20" s="326">
        <v>1407.3</v>
      </c>
      <c r="O20" s="327" t="str">
        <f t="shared" si="30"/>
        <v>-72.49</v>
      </c>
      <c r="P20" s="161">
        <v>0.26</v>
      </c>
      <c r="Q20" s="162" t="str">
        <f t="shared" si="31"/>
        <v>1,041.40</v>
      </c>
      <c r="R20" s="163" t="str">
        <f t="shared" si="32"/>
        <v>60.00</v>
      </c>
      <c r="S20" s="164" t="str">
        <f t="shared" si="33"/>
        <v>77.86</v>
      </c>
      <c r="T20" s="165" t="str">
        <f t="shared" si="34"/>
        <v>0.00</v>
      </c>
      <c r="U20" s="329">
        <v>13.28</v>
      </c>
      <c r="V20" s="167" t="str">
        <f t="shared" si="35"/>
        <v>323</v>
      </c>
      <c r="W20" s="330">
        <v>0.155</v>
      </c>
      <c r="X20" s="168" t="str">
        <f t="shared" si="36"/>
        <v>218.132</v>
      </c>
      <c r="Y20" s="168" t="str">
        <f t="shared" si="37"/>
        <v>37.074</v>
      </c>
      <c r="Z20" s="164" t="str">
        <f t="shared" si="38"/>
        <v>3.86</v>
      </c>
      <c r="AA20" s="331">
        <v>92.29</v>
      </c>
      <c r="AB20" s="164" t="str">
        <f t="shared" si="39"/>
        <v>134.40</v>
      </c>
      <c r="AC20" s="165" t="str">
        <f t="shared" si="40"/>
        <v>0.00</v>
      </c>
      <c r="AD20" s="23"/>
      <c r="AE20" s="169" t="str">
        <f t="shared" si="41"/>
        <v>0</v>
      </c>
      <c r="AF20" s="163" t="str">
        <f t="shared" si="42"/>
        <v>552.98</v>
      </c>
      <c r="AG20" s="170" t="str">
        <f t="shared" si="43"/>
        <v>#DIV/0!</v>
      </c>
      <c r="AH20" s="26"/>
      <c r="AI20" s="171" t="str">
        <f t="shared" si="44"/>
        <v>0.00%</v>
      </c>
      <c r="AJ20" s="172" t="str">
        <f t="shared" si="45"/>
        <v>0.00</v>
      </c>
      <c r="AK20" s="173" t="str">
        <f t="shared" si="46"/>
        <v>-72.49</v>
      </c>
      <c r="AL20" s="174" t="str">
        <f t="shared" si="47"/>
        <v>-72.49</v>
      </c>
    </row>
    <row r="21" ht="12.75" customHeight="1">
      <c r="A21" s="26"/>
      <c r="B21" s="152"/>
      <c r="C21" s="216"/>
      <c r="D21" s="152" t="s">
        <v>713</v>
      </c>
      <c r="E21" s="53" t="s">
        <v>77</v>
      </c>
      <c r="F21" s="323">
        <v>1.0</v>
      </c>
      <c r="G21" s="324">
        <v>0.0</v>
      </c>
      <c r="H21" s="53" t="str">
        <f t="shared" si="25"/>
        <v>12.5</v>
      </c>
      <c r="I21" s="53" t="str">
        <f t="shared" si="26"/>
        <v>0</v>
      </c>
      <c r="J21" s="155" t="str">
        <f t="shared" si="27"/>
        <v>0.00</v>
      </c>
      <c r="K21" s="156" t="str">
        <f t="shared" si="28"/>
        <v>0.00 </v>
      </c>
      <c r="L21" s="132">
        <v>90.0</v>
      </c>
      <c r="M21" s="325" t="str">
        <f t="shared" si="29"/>
        <v>0.00</v>
      </c>
      <c r="N21" s="326">
        <v>930.9</v>
      </c>
      <c r="O21" s="327" t="str">
        <f t="shared" si="30"/>
        <v>-32.76</v>
      </c>
      <c r="P21" s="161">
        <v>0.26</v>
      </c>
      <c r="Q21" s="162" t="str">
        <f t="shared" si="31"/>
        <v>688.87</v>
      </c>
      <c r="R21" s="163" t="str">
        <f t="shared" si="32"/>
        <v>60.00</v>
      </c>
      <c r="S21" s="164" t="str">
        <f t="shared" si="33"/>
        <v>51.50</v>
      </c>
      <c r="T21" s="165" t="str">
        <f t="shared" si="34"/>
        <v>0.00</v>
      </c>
      <c r="U21" s="329">
        <v>3.23</v>
      </c>
      <c r="V21" s="167" t="str">
        <f t="shared" si="35"/>
        <v>133</v>
      </c>
      <c r="W21" s="330">
        <v>0.155</v>
      </c>
      <c r="X21" s="168" t="str">
        <f t="shared" si="36"/>
        <v>144.290</v>
      </c>
      <c r="Y21" s="168" t="str">
        <f t="shared" si="37"/>
        <v>24.524</v>
      </c>
      <c r="Z21" s="164" t="str">
        <f t="shared" si="38"/>
        <v>4.14</v>
      </c>
      <c r="AA21" s="331">
        <v>91.73</v>
      </c>
      <c r="AB21" s="164" t="str">
        <f t="shared" si="39"/>
        <v>38.40</v>
      </c>
      <c r="AC21" s="165" t="str">
        <f t="shared" si="40"/>
        <v>0.00</v>
      </c>
      <c r="AD21" s="23"/>
      <c r="AE21" s="169" t="str">
        <f t="shared" si="41"/>
        <v>0</v>
      </c>
      <c r="AF21" s="163" t="str">
        <f t="shared" si="42"/>
        <v>475.05</v>
      </c>
      <c r="AG21" s="170" t="str">
        <f t="shared" si="43"/>
        <v>#DIV/0!</v>
      </c>
      <c r="AH21" s="26"/>
      <c r="AI21" s="171" t="str">
        <f t="shared" si="44"/>
        <v>0.00%</v>
      </c>
      <c r="AJ21" s="172" t="str">
        <f t="shared" si="45"/>
        <v>0.00</v>
      </c>
      <c r="AK21" s="173" t="str">
        <f t="shared" si="46"/>
        <v>-32.76</v>
      </c>
      <c r="AL21" s="174" t="str">
        <f t="shared" si="47"/>
        <v>-32.76</v>
      </c>
    </row>
    <row r="22" ht="12.75" customHeight="1">
      <c r="A22" s="26"/>
      <c r="B22" s="152"/>
      <c r="C22" s="216"/>
      <c r="D22" s="152" t="s">
        <v>714</v>
      </c>
      <c r="E22" s="53" t="s">
        <v>77</v>
      </c>
      <c r="F22" s="323">
        <v>1.0</v>
      </c>
      <c r="G22" s="324">
        <v>0.0</v>
      </c>
      <c r="H22" s="53" t="str">
        <f t="shared" si="25"/>
        <v>12.5</v>
      </c>
      <c r="I22" s="53" t="str">
        <f t="shared" si="26"/>
        <v>0</v>
      </c>
      <c r="J22" s="155" t="str">
        <f t="shared" si="27"/>
        <v>0.00</v>
      </c>
      <c r="K22" s="156" t="str">
        <f t="shared" si="28"/>
        <v>0.00 </v>
      </c>
      <c r="L22" s="132">
        <v>90.0</v>
      </c>
      <c r="M22" s="325" t="str">
        <f t="shared" si="29"/>
        <v>0.00</v>
      </c>
      <c r="N22" s="326">
        <v>380.4</v>
      </c>
      <c r="O22" s="327" t="str">
        <f t="shared" si="30"/>
        <v>-28.75</v>
      </c>
      <c r="P22" s="161">
        <v>0.26</v>
      </c>
      <c r="Q22" s="162" t="str">
        <f t="shared" si="31"/>
        <v>281.50</v>
      </c>
      <c r="R22" s="163" t="str">
        <f t="shared" si="32"/>
        <v>60.00</v>
      </c>
      <c r="S22" s="164" t="str">
        <f t="shared" si="33"/>
        <v>21.05</v>
      </c>
      <c r="T22" s="165" t="str">
        <f t="shared" si="34"/>
        <v>0.00</v>
      </c>
      <c r="U22" s="329">
        <v>2.18</v>
      </c>
      <c r="V22" s="167" t="str">
        <f t="shared" si="35"/>
        <v>114</v>
      </c>
      <c r="W22" s="330">
        <v>0.155</v>
      </c>
      <c r="X22" s="168" t="str">
        <f t="shared" si="36"/>
        <v>58.962</v>
      </c>
      <c r="Y22" s="168" t="str">
        <f t="shared" si="37"/>
        <v>10.021</v>
      </c>
      <c r="Z22" s="164" t="str">
        <f t="shared" si="38"/>
        <v>3.97</v>
      </c>
      <c r="AA22" s="331">
        <v>92.07</v>
      </c>
      <c r="AB22" s="164" t="str">
        <f t="shared" si="39"/>
        <v>28.80</v>
      </c>
      <c r="AC22" s="165" t="str">
        <f t="shared" si="40"/>
        <v>0.00</v>
      </c>
      <c r="AD22" s="23"/>
      <c r="AE22" s="169" t="str">
        <f t="shared" si="41"/>
        <v>0</v>
      </c>
      <c r="AF22" s="163" t="str">
        <f t="shared" si="42"/>
        <v>83.61</v>
      </c>
      <c r="AG22" s="170" t="str">
        <f t="shared" si="43"/>
        <v>#DIV/0!</v>
      </c>
      <c r="AH22" s="26"/>
      <c r="AI22" s="171" t="str">
        <f t="shared" si="44"/>
        <v>0.00%</v>
      </c>
      <c r="AJ22" s="172" t="str">
        <f t="shared" si="45"/>
        <v>0.00</v>
      </c>
      <c r="AK22" s="173" t="str">
        <f t="shared" si="46"/>
        <v>-28.75</v>
      </c>
      <c r="AL22" s="174" t="str">
        <f t="shared" si="47"/>
        <v>-28.75</v>
      </c>
    </row>
    <row r="23" ht="12.75" customHeight="1">
      <c r="A23" s="26"/>
      <c r="B23" s="152"/>
      <c r="C23" s="216"/>
      <c r="D23" s="152" t="s">
        <v>715</v>
      </c>
      <c r="E23" s="53" t="s">
        <v>77</v>
      </c>
      <c r="F23" s="323">
        <v>1.0</v>
      </c>
      <c r="G23" s="324">
        <v>0.0</v>
      </c>
      <c r="H23" s="53" t="str">
        <f t="shared" si="25"/>
        <v>12.5</v>
      </c>
      <c r="I23" s="53" t="str">
        <f t="shared" si="26"/>
        <v>0</v>
      </c>
      <c r="J23" s="155" t="str">
        <f t="shared" si="27"/>
        <v>0.00</v>
      </c>
      <c r="K23" s="156" t="str">
        <f t="shared" si="28"/>
        <v>0.00 </v>
      </c>
      <c r="L23" s="132">
        <v>90.0</v>
      </c>
      <c r="M23" s="325" t="str">
        <f t="shared" si="29"/>
        <v>0.00</v>
      </c>
      <c r="N23" s="326">
        <v>1490.63</v>
      </c>
      <c r="O23" s="327" t="str">
        <f t="shared" si="30"/>
        <v>-49.25</v>
      </c>
      <c r="P23" s="161">
        <v>0.26</v>
      </c>
      <c r="Q23" s="162" t="str">
        <f t="shared" si="31"/>
        <v>1,103.07</v>
      </c>
      <c r="R23" s="163" t="str">
        <f t="shared" si="32"/>
        <v>60.00</v>
      </c>
      <c r="S23" s="164" t="str">
        <f t="shared" si="33"/>
        <v>82.47</v>
      </c>
      <c r="T23" s="165" t="str">
        <f t="shared" si="34"/>
        <v>0.00</v>
      </c>
      <c r="U23" s="329">
        <v>7.2</v>
      </c>
      <c r="V23" s="167" t="str">
        <f t="shared" si="35"/>
        <v>209</v>
      </c>
      <c r="W23" s="330">
        <v>0.155</v>
      </c>
      <c r="X23" s="168" t="str">
        <f t="shared" si="36"/>
        <v>231.048</v>
      </c>
      <c r="Y23" s="168" t="str">
        <f t="shared" si="37"/>
        <v>39.269</v>
      </c>
      <c r="Z23" s="164" t="str">
        <f t="shared" si="38"/>
        <v>8.34</v>
      </c>
      <c r="AA23" s="331">
        <v>83.33</v>
      </c>
      <c r="AB23" s="164" t="str">
        <f t="shared" si="39"/>
        <v>76.80</v>
      </c>
      <c r="AC23" s="165" t="str">
        <f t="shared" si="40"/>
        <v>0.00</v>
      </c>
      <c r="AD23" s="23"/>
      <c r="AE23" s="169" t="str">
        <f t="shared" si="41"/>
        <v>0</v>
      </c>
      <c r="AF23" s="163" t="str">
        <f t="shared" si="42"/>
        <v>783.71</v>
      </c>
      <c r="AG23" s="170" t="str">
        <f t="shared" si="43"/>
        <v>#DIV/0!</v>
      </c>
      <c r="AH23" s="26"/>
      <c r="AI23" s="171" t="str">
        <f t="shared" si="44"/>
        <v>0.00%</v>
      </c>
      <c r="AJ23" s="172" t="str">
        <f t="shared" si="45"/>
        <v>0.00</v>
      </c>
      <c r="AK23" s="173" t="str">
        <f t="shared" si="46"/>
        <v>-49.25</v>
      </c>
      <c r="AL23" s="174" t="str">
        <f t="shared" si="47"/>
        <v>-49.25</v>
      </c>
    </row>
    <row r="24" ht="12.75" customHeight="1">
      <c r="A24" s="26"/>
      <c r="B24" s="319" t="s">
        <v>716</v>
      </c>
      <c r="C24" s="126"/>
      <c r="D24" s="127"/>
      <c r="E24" s="128"/>
      <c r="F24" s="129"/>
      <c r="G24" s="128"/>
      <c r="H24" s="197"/>
      <c r="I24" s="128"/>
      <c r="J24" s="130"/>
      <c r="K24" s="131"/>
      <c r="L24" s="132"/>
      <c r="M24" s="320"/>
      <c r="N24" s="134"/>
      <c r="O24" s="321"/>
      <c r="P24" s="136"/>
      <c r="Q24" s="137"/>
      <c r="R24" s="177"/>
      <c r="S24" s="178"/>
      <c r="T24" s="179"/>
      <c r="U24" s="332"/>
      <c r="V24" s="181"/>
      <c r="W24" s="333"/>
      <c r="X24" s="182"/>
      <c r="Y24" s="182"/>
      <c r="Z24" s="178"/>
      <c r="AA24" s="178"/>
      <c r="AB24" s="178"/>
      <c r="AC24" s="179"/>
      <c r="AD24" s="183"/>
      <c r="AE24" s="184"/>
      <c r="AF24" s="177"/>
      <c r="AG24" s="185"/>
      <c r="AH24" s="26"/>
      <c r="AI24" s="186"/>
      <c r="AJ24" s="187"/>
      <c r="AK24" s="188"/>
      <c r="AL24" s="189"/>
    </row>
    <row r="25" ht="12.75" customHeight="1">
      <c r="A25" s="26"/>
      <c r="B25" s="152"/>
      <c r="C25" s="334">
        <v>1.00680844E8</v>
      </c>
      <c r="D25" s="152" t="s">
        <v>717</v>
      </c>
      <c r="E25" s="53" t="s">
        <v>77</v>
      </c>
      <c r="F25" s="323">
        <v>1.0</v>
      </c>
      <c r="G25" s="324"/>
      <c r="H25" s="53"/>
      <c r="I25" s="53"/>
      <c r="J25" s="155"/>
      <c r="K25" s="156"/>
      <c r="L25" s="132">
        <v>90.0</v>
      </c>
      <c r="M25" s="335">
        <v>2458.463643790847</v>
      </c>
      <c r="N25" s="326">
        <v>4914.0</v>
      </c>
      <c r="O25" s="327"/>
      <c r="P25" s="161">
        <v>0.24</v>
      </c>
      <c r="Q25" s="162" t="str">
        <f t="shared" ref="Q25:Q32" si="48">N25-(N25*P25)</f>
        <v>3,734.64</v>
      </c>
      <c r="R25" s="163" t="str">
        <f t="shared" ref="R25:R32" si="49">$C$1</f>
        <v>60.00</v>
      </c>
      <c r="S25" s="164" t="str">
        <f t="shared" ref="S25:S32" si="50">(Q25*7/107)+((Q25-(Q25*7/107))*1%)</f>
        <v>279.23</v>
      </c>
      <c r="T25" s="165" t="str">
        <f t="shared" ref="T25:T32" si="51">M25*$C$3*(L25/30)</f>
        <v>0.00</v>
      </c>
      <c r="U25" s="329">
        <v>13.6</v>
      </c>
      <c r="V25" s="167">
        <v>490.0</v>
      </c>
      <c r="W25" s="330">
        <v>0.255</v>
      </c>
      <c r="X25" s="168" t="str">
        <f t="shared" ref="X25:X32" si="52">N25*W25</f>
        <v>1,253.070</v>
      </c>
      <c r="Y25" s="168" t="str">
        <f t="shared" ref="Y25:Y32" si="53">Q25*$X$7</f>
        <v>132.953</v>
      </c>
      <c r="Z25" s="164" t="str">
        <f t="shared" ref="Z25:Z32" si="54">$X$3*((100-AA25)/100)</f>
        <v>4.18</v>
      </c>
      <c r="AA25" s="331">
        <v>91.65</v>
      </c>
      <c r="AB25" s="164" t="str">
        <f t="shared" ref="AB25:AB32" si="55">$C$6*$C$7*_xlfn.CEILING.MATH(U25)</f>
        <v>134.40</v>
      </c>
      <c r="AC25" s="165" t="str">
        <f t="shared" ref="AC25:AC32" si="56">N25*$C$2</f>
        <v>0.00</v>
      </c>
      <c r="AD25" s="23"/>
      <c r="AE25" s="169" t="str">
        <f t="shared" ref="AE25:AE32" si="57">(_xlfn.CEILING.MATH(U25))*$X$1*$AC$2</f>
        <v>0</v>
      </c>
      <c r="AF25" s="163" t="str">
        <f t="shared" ref="AF25:AF32" si="58">N25-R25-S25-T25-V25-X25-Y25-Z25-AB25-AC25-M25</f>
        <v>101.71</v>
      </c>
      <c r="AG25" s="170" t="str">
        <f t="shared" ref="AG25:AG32" si="59">AF25/M25</f>
        <v>4.14%</v>
      </c>
      <c r="AH25" s="26"/>
      <c r="AI25" s="171" t="str">
        <f t="shared" ref="AI25:AI32" si="60">$AC$3</f>
        <v>0.00%</v>
      </c>
      <c r="AJ25" s="172" t="str">
        <f t="shared" ref="AJ25:AJ32" si="61">M25*AI25</f>
        <v>0.00</v>
      </c>
      <c r="AK25" s="173" t="str">
        <f t="shared" ref="AK25:AK32" si="62">(M25+R25+T25+V25+Z25+AB25+AE25+AJ25)/(100%-($C$2+$C$8+$X$7+W25))</f>
        <v>-431.66</v>
      </c>
      <c r="AL25" s="174" t="str">
        <f t="shared" ref="AL25:AL32" si="63">AK25-(AK25*$AC$1)</f>
        <v>-431.66</v>
      </c>
    </row>
    <row r="26" ht="12.75" customHeight="1">
      <c r="A26" s="26"/>
      <c r="B26" s="152"/>
      <c r="C26" s="334">
        <v>1.00680843E8</v>
      </c>
      <c r="D26" s="152" t="s">
        <v>718</v>
      </c>
      <c r="E26" s="53" t="s">
        <v>77</v>
      </c>
      <c r="F26" s="323">
        <v>1.0</v>
      </c>
      <c r="G26" s="324"/>
      <c r="H26" s="53"/>
      <c r="I26" s="53"/>
      <c r="J26" s="155"/>
      <c r="K26" s="156"/>
      <c r="L26" s="132">
        <v>90.0</v>
      </c>
      <c r="M26" s="335">
        <v>2517.3661764705885</v>
      </c>
      <c r="N26" s="326">
        <v>5100.0</v>
      </c>
      <c r="O26" s="327"/>
      <c r="P26" s="161">
        <v>0.21</v>
      </c>
      <c r="Q26" s="162" t="str">
        <f t="shared" si="48"/>
        <v>4,029.00</v>
      </c>
      <c r="R26" s="163" t="str">
        <f t="shared" si="49"/>
        <v>60.00</v>
      </c>
      <c r="S26" s="164" t="str">
        <f t="shared" si="50"/>
        <v>301.23</v>
      </c>
      <c r="T26" s="165" t="str">
        <f t="shared" si="51"/>
        <v>0.00</v>
      </c>
      <c r="U26" s="329">
        <v>13.6</v>
      </c>
      <c r="V26" s="167">
        <v>440.0</v>
      </c>
      <c r="W26" s="330">
        <v>0.255</v>
      </c>
      <c r="X26" s="168" t="str">
        <f t="shared" si="52"/>
        <v>1,300.500</v>
      </c>
      <c r="Y26" s="168" t="str">
        <f t="shared" si="53"/>
        <v>143.432</v>
      </c>
      <c r="Z26" s="164" t="str">
        <f t="shared" si="54"/>
        <v>1.32</v>
      </c>
      <c r="AA26" s="331">
        <v>97.37</v>
      </c>
      <c r="AB26" s="164" t="str">
        <f t="shared" si="55"/>
        <v>134.40</v>
      </c>
      <c r="AC26" s="165" t="str">
        <f t="shared" si="56"/>
        <v>0.00</v>
      </c>
      <c r="AD26" s="23"/>
      <c r="AE26" s="169" t="str">
        <f t="shared" si="57"/>
        <v>0</v>
      </c>
      <c r="AF26" s="163" t="str">
        <f t="shared" si="58"/>
        <v>201.75</v>
      </c>
      <c r="AG26" s="170" t="str">
        <f t="shared" si="59"/>
        <v>8.01%</v>
      </c>
      <c r="AH26" s="26"/>
      <c r="AI26" s="171" t="str">
        <f t="shared" si="60"/>
        <v>0.00%</v>
      </c>
      <c r="AJ26" s="172" t="str">
        <f t="shared" si="61"/>
        <v>0.00</v>
      </c>
      <c r="AK26" s="173" t="str">
        <f t="shared" si="62"/>
        <v>-432.49</v>
      </c>
      <c r="AL26" s="174" t="str">
        <f t="shared" si="63"/>
        <v>-432.49</v>
      </c>
    </row>
    <row r="27" ht="12.75" customHeight="1">
      <c r="A27" s="26"/>
      <c r="B27" s="152"/>
      <c r="C27" s="334">
        <v>1.5211551E8</v>
      </c>
      <c r="D27" s="152" t="s">
        <v>719</v>
      </c>
      <c r="E27" s="53" t="s">
        <v>77</v>
      </c>
      <c r="F27" s="323">
        <v>1.0</v>
      </c>
      <c r="G27" s="324"/>
      <c r="H27" s="53"/>
      <c r="I27" s="53"/>
      <c r="J27" s="155"/>
      <c r="K27" s="156"/>
      <c r="L27" s="132">
        <v>90.0</v>
      </c>
      <c r="M27" s="335">
        <v>2694.073774509804</v>
      </c>
      <c r="N27" s="326">
        <v>5400.0</v>
      </c>
      <c r="O27" s="327"/>
      <c r="P27" s="161">
        <v>0.21</v>
      </c>
      <c r="Q27" s="162" t="str">
        <f t="shared" si="48"/>
        <v>4,266.00</v>
      </c>
      <c r="R27" s="163" t="str">
        <f t="shared" si="49"/>
        <v>60.00</v>
      </c>
      <c r="S27" s="164" t="str">
        <f t="shared" si="50"/>
        <v>318.95</v>
      </c>
      <c r="T27" s="165" t="str">
        <f t="shared" si="51"/>
        <v>0.00</v>
      </c>
      <c r="U27" s="329">
        <v>13.6</v>
      </c>
      <c r="V27" s="167">
        <v>470.0</v>
      </c>
      <c r="W27" s="330">
        <v>0.255</v>
      </c>
      <c r="X27" s="168" t="str">
        <f t="shared" si="52"/>
        <v>1,377.000</v>
      </c>
      <c r="Y27" s="168" t="str">
        <f t="shared" si="53"/>
        <v>151.870</v>
      </c>
      <c r="Z27" s="164" t="str">
        <f t="shared" si="54"/>
        <v>3.92</v>
      </c>
      <c r="AA27" s="331">
        <v>92.16</v>
      </c>
      <c r="AB27" s="164" t="str">
        <f t="shared" si="55"/>
        <v>134.40</v>
      </c>
      <c r="AC27" s="165" t="str">
        <f t="shared" si="56"/>
        <v>0.00</v>
      </c>
      <c r="AD27" s="23"/>
      <c r="AE27" s="169" t="str">
        <f t="shared" si="57"/>
        <v>0</v>
      </c>
      <c r="AF27" s="163" t="str">
        <f t="shared" si="58"/>
        <v>189.78</v>
      </c>
      <c r="AG27" s="170" t="str">
        <f t="shared" si="59"/>
        <v>7.04%</v>
      </c>
      <c r="AH27" s="26"/>
      <c r="AI27" s="171" t="str">
        <f t="shared" si="60"/>
        <v>0.00%</v>
      </c>
      <c r="AJ27" s="172" t="str">
        <f t="shared" si="61"/>
        <v>0.00</v>
      </c>
      <c r="AK27" s="173" t="str">
        <f t="shared" si="62"/>
        <v>-461.20</v>
      </c>
      <c r="AL27" s="174" t="str">
        <f t="shared" si="63"/>
        <v>-461.20</v>
      </c>
    </row>
    <row r="28" ht="12.75" customHeight="1">
      <c r="A28" s="26"/>
      <c r="B28" s="152"/>
      <c r="C28" s="334">
        <v>2.40311751E8</v>
      </c>
      <c r="D28" s="152" t="s">
        <v>720</v>
      </c>
      <c r="E28" s="53" t="s">
        <v>77</v>
      </c>
      <c r="F28" s="323">
        <v>1.0</v>
      </c>
      <c r="G28" s="324"/>
      <c r="H28" s="53"/>
      <c r="I28" s="53"/>
      <c r="J28" s="155"/>
      <c r="K28" s="156"/>
      <c r="L28" s="132">
        <v>90.0</v>
      </c>
      <c r="M28" s="335">
        <v>2988.586437908497</v>
      </c>
      <c r="N28" s="326">
        <v>5790.0</v>
      </c>
      <c r="O28" s="327"/>
      <c r="P28" s="161">
        <v>0.35</v>
      </c>
      <c r="Q28" s="162" t="str">
        <f t="shared" si="48"/>
        <v>3,763.50</v>
      </c>
      <c r="R28" s="163" t="str">
        <f t="shared" si="49"/>
        <v>60.00</v>
      </c>
      <c r="S28" s="164" t="str">
        <f t="shared" si="50"/>
        <v>281.38</v>
      </c>
      <c r="T28" s="165" t="str">
        <f t="shared" si="51"/>
        <v>0.00</v>
      </c>
      <c r="U28" s="329">
        <v>13.6</v>
      </c>
      <c r="V28" s="167">
        <v>470.0</v>
      </c>
      <c r="W28" s="330">
        <v>0.255</v>
      </c>
      <c r="X28" s="168" t="str">
        <f t="shared" si="52"/>
        <v>1,476.450</v>
      </c>
      <c r="Y28" s="168" t="str">
        <f t="shared" si="53"/>
        <v>133.981</v>
      </c>
      <c r="Z28" s="164" t="str">
        <f t="shared" si="54"/>
        <v>3.84</v>
      </c>
      <c r="AA28" s="331">
        <v>92.33</v>
      </c>
      <c r="AB28" s="164" t="str">
        <f t="shared" si="55"/>
        <v>134.40</v>
      </c>
      <c r="AC28" s="165" t="str">
        <f t="shared" si="56"/>
        <v>0.00</v>
      </c>
      <c r="AD28" s="23"/>
      <c r="AE28" s="169" t="str">
        <f t="shared" si="57"/>
        <v>0</v>
      </c>
      <c r="AF28" s="163" t="str">
        <f t="shared" si="58"/>
        <v>241.36</v>
      </c>
      <c r="AG28" s="170" t="str">
        <f t="shared" si="59"/>
        <v>8.08%</v>
      </c>
      <c r="AH28" s="26"/>
      <c r="AI28" s="171" t="str">
        <f t="shared" si="60"/>
        <v>0.00%</v>
      </c>
      <c r="AJ28" s="172" t="str">
        <f t="shared" si="61"/>
        <v>0.00</v>
      </c>
      <c r="AK28" s="173" t="str">
        <f t="shared" si="62"/>
        <v>-501.58</v>
      </c>
      <c r="AL28" s="174" t="str">
        <f t="shared" si="63"/>
        <v>-501.58</v>
      </c>
    </row>
    <row r="29" ht="12.75" customHeight="1">
      <c r="A29" s="26"/>
      <c r="B29" s="152"/>
      <c r="C29" s="334">
        <v>1.76944957E8</v>
      </c>
      <c r="D29" s="152" t="s">
        <v>721</v>
      </c>
      <c r="E29" s="53" t="s">
        <v>77</v>
      </c>
      <c r="F29" s="323">
        <v>1.0</v>
      </c>
      <c r="G29" s="324"/>
      <c r="H29" s="53"/>
      <c r="I29" s="53"/>
      <c r="J29" s="155"/>
      <c r="K29" s="156"/>
      <c r="L29" s="132">
        <v>90.0</v>
      </c>
      <c r="M29" s="335">
        <v>3323.1425070028017</v>
      </c>
      <c r="N29" s="326">
        <v>6300.0</v>
      </c>
      <c r="O29" s="327"/>
      <c r="P29" s="161">
        <v>0.21</v>
      </c>
      <c r="Q29" s="162" t="str">
        <f t="shared" si="48"/>
        <v>4,977.00</v>
      </c>
      <c r="R29" s="163" t="str">
        <f t="shared" si="49"/>
        <v>60.00</v>
      </c>
      <c r="S29" s="164" t="str">
        <f t="shared" si="50"/>
        <v>372.11</v>
      </c>
      <c r="T29" s="165" t="str">
        <f t="shared" si="51"/>
        <v>0.00</v>
      </c>
      <c r="U29" s="329">
        <v>13.6</v>
      </c>
      <c r="V29" s="167">
        <v>470.0</v>
      </c>
      <c r="W29" s="330">
        <v>0.255</v>
      </c>
      <c r="X29" s="168" t="str">
        <f t="shared" si="52"/>
        <v>1,606.500</v>
      </c>
      <c r="Y29" s="168" t="str">
        <f t="shared" si="53"/>
        <v>177.181</v>
      </c>
      <c r="Z29" s="164" t="str">
        <f t="shared" si="54"/>
        <v>4.16</v>
      </c>
      <c r="AA29" s="331">
        <v>91.69</v>
      </c>
      <c r="AB29" s="164" t="str">
        <f t="shared" si="55"/>
        <v>134.40</v>
      </c>
      <c r="AC29" s="165" t="str">
        <f t="shared" si="56"/>
        <v>0.00</v>
      </c>
      <c r="AD29" s="23"/>
      <c r="AE29" s="169" t="str">
        <f t="shared" si="57"/>
        <v>0</v>
      </c>
      <c r="AF29" s="163" t="str">
        <f t="shared" si="58"/>
        <v>152.51</v>
      </c>
      <c r="AG29" s="170" t="str">
        <f t="shared" si="59"/>
        <v>4.59%</v>
      </c>
      <c r="AH29" s="26"/>
      <c r="AI29" s="171" t="str">
        <f t="shared" si="60"/>
        <v>0.00%</v>
      </c>
      <c r="AJ29" s="172" t="str">
        <f t="shared" si="61"/>
        <v>0.00</v>
      </c>
      <c r="AK29" s="173" t="str">
        <f t="shared" si="62"/>
        <v>-547.51</v>
      </c>
      <c r="AL29" s="174" t="str">
        <f t="shared" si="63"/>
        <v>-547.51</v>
      </c>
    </row>
    <row r="30" ht="12.75" customHeight="1">
      <c r="A30" s="26"/>
      <c r="B30" s="152"/>
      <c r="C30" s="334">
        <v>1.769457E8</v>
      </c>
      <c r="D30" s="152" t="s">
        <v>722</v>
      </c>
      <c r="E30" s="53" t="s">
        <v>77</v>
      </c>
      <c r="F30" s="323">
        <v>1.0</v>
      </c>
      <c r="G30" s="324"/>
      <c r="H30" s="53"/>
      <c r="I30" s="53"/>
      <c r="J30" s="155"/>
      <c r="K30" s="156"/>
      <c r="L30" s="132">
        <v>90.0</v>
      </c>
      <c r="M30" s="335">
        <v>4445.896031746033</v>
      </c>
      <c r="N30" s="326">
        <v>10740.0</v>
      </c>
      <c r="O30" s="327"/>
      <c r="P30" s="161">
        <v>0.21</v>
      </c>
      <c r="Q30" s="162" t="str">
        <f t="shared" si="48"/>
        <v>8,484.60</v>
      </c>
      <c r="R30" s="163" t="str">
        <f t="shared" si="49"/>
        <v>60.00</v>
      </c>
      <c r="S30" s="164" t="str">
        <f t="shared" si="50"/>
        <v>634.36</v>
      </c>
      <c r="T30" s="165" t="str">
        <f t="shared" si="51"/>
        <v>0.00</v>
      </c>
      <c r="U30" s="329">
        <v>10.8</v>
      </c>
      <c r="V30" s="167">
        <v>470.0</v>
      </c>
      <c r="W30" s="330">
        <v>0.255</v>
      </c>
      <c r="X30" s="168" t="str">
        <f t="shared" si="52"/>
        <v>2,738.700</v>
      </c>
      <c r="Y30" s="168" t="str">
        <f t="shared" si="53"/>
        <v>302.052</v>
      </c>
      <c r="Z30" s="164" t="str">
        <f t="shared" si="54"/>
        <v>3.34</v>
      </c>
      <c r="AA30" s="331">
        <v>93.33</v>
      </c>
      <c r="AB30" s="164" t="str">
        <f t="shared" si="55"/>
        <v>105.60</v>
      </c>
      <c r="AC30" s="165" t="str">
        <f t="shared" si="56"/>
        <v>0.00</v>
      </c>
      <c r="AD30" s="23"/>
      <c r="AE30" s="169" t="str">
        <f t="shared" si="57"/>
        <v>0</v>
      </c>
      <c r="AF30" s="163" t="str">
        <f t="shared" si="58"/>
        <v>1,980.05</v>
      </c>
      <c r="AG30" s="170" t="str">
        <f t="shared" si="59"/>
        <v>44.54%</v>
      </c>
      <c r="AH30" s="26"/>
      <c r="AI30" s="171" t="str">
        <f t="shared" si="60"/>
        <v>0.00%</v>
      </c>
      <c r="AJ30" s="172" t="str">
        <f t="shared" si="61"/>
        <v>0.00</v>
      </c>
      <c r="AK30" s="173" t="str">
        <f t="shared" si="62"/>
        <v>-697.45</v>
      </c>
      <c r="AL30" s="174" t="str">
        <f t="shared" si="63"/>
        <v>-697.45</v>
      </c>
    </row>
    <row r="31" ht="12.75" customHeight="1">
      <c r="A31" s="26"/>
      <c r="B31" s="152"/>
      <c r="C31" s="216"/>
      <c r="D31" s="152" t="s">
        <v>723</v>
      </c>
      <c r="E31" s="53" t="s">
        <v>724</v>
      </c>
      <c r="F31" s="323">
        <v>1.0</v>
      </c>
      <c r="G31" s="324"/>
      <c r="H31" s="53"/>
      <c r="I31" s="53"/>
      <c r="J31" s="155"/>
      <c r="K31" s="156"/>
      <c r="L31" s="132">
        <v>90.0</v>
      </c>
      <c r="M31" s="325" t="str">
        <f t="shared" ref="M31:M32" si="64">K31/F31</f>
        <v>0.00</v>
      </c>
      <c r="N31" s="326">
        <v>641.4</v>
      </c>
      <c r="O31" s="327"/>
      <c r="P31" s="161">
        <v>0.21</v>
      </c>
      <c r="Q31" s="162" t="str">
        <f t="shared" si="48"/>
        <v>506.71</v>
      </c>
      <c r="R31" s="163" t="str">
        <f t="shared" si="49"/>
        <v>60.00</v>
      </c>
      <c r="S31" s="164" t="str">
        <f t="shared" si="50"/>
        <v>37.88</v>
      </c>
      <c r="T31" s="165" t="str">
        <f t="shared" si="51"/>
        <v>0.00</v>
      </c>
      <c r="U31" s="329">
        <v>1.5</v>
      </c>
      <c r="V31" s="167" t="str">
        <f t="shared" ref="V31:V32" si="65">((_xlfn.CEILING.MATH(U31)-1)*$C$5+$C$4)</f>
        <v>95</v>
      </c>
      <c r="W31" s="330">
        <v>0.255</v>
      </c>
      <c r="X31" s="168" t="str">
        <f t="shared" si="52"/>
        <v>163.557</v>
      </c>
      <c r="Y31" s="168" t="str">
        <f t="shared" si="53"/>
        <v>18.039</v>
      </c>
      <c r="Z31" s="164" t="str">
        <f t="shared" si="54"/>
        <v>5.47</v>
      </c>
      <c r="AA31" s="331">
        <v>89.07</v>
      </c>
      <c r="AB31" s="164" t="str">
        <f t="shared" si="55"/>
        <v>19.20</v>
      </c>
      <c r="AC31" s="165" t="str">
        <f t="shared" si="56"/>
        <v>0.00</v>
      </c>
      <c r="AD31" s="23"/>
      <c r="AE31" s="169" t="str">
        <f t="shared" si="57"/>
        <v>0</v>
      </c>
      <c r="AF31" s="163" t="str">
        <f t="shared" si="58"/>
        <v>242.25</v>
      </c>
      <c r="AG31" s="170" t="str">
        <f t="shared" si="59"/>
        <v>#DIV/0!</v>
      </c>
      <c r="AH31" s="26"/>
      <c r="AI31" s="171" t="str">
        <f t="shared" si="60"/>
        <v>0.00%</v>
      </c>
      <c r="AJ31" s="172" t="str">
        <f t="shared" si="61"/>
        <v>0.00</v>
      </c>
      <c r="AK31" s="173" t="str">
        <f t="shared" si="62"/>
        <v>-24.64</v>
      </c>
      <c r="AL31" s="174" t="str">
        <f t="shared" si="63"/>
        <v>-24.64</v>
      </c>
    </row>
    <row r="32" ht="12.75" customHeight="1">
      <c r="A32" s="26"/>
      <c r="B32" s="152"/>
      <c r="C32" s="216"/>
      <c r="D32" s="26" t="s">
        <v>725</v>
      </c>
      <c r="E32" s="53" t="s">
        <v>724</v>
      </c>
      <c r="F32" s="323">
        <v>1.0</v>
      </c>
      <c r="G32" s="324"/>
      <c r="H32" s="53"/>
      <c r="I32" s="53"/>
      <c r="J32" s="155"/>
      <c r="K32" s="156"/>
      <c r="L32" s="132">
        <v>90.0</v>
      </c>
      <c r="M32" s="325" t="str">
        <f t="shared" si="64"/>
        <v>0.00</v>
      </c>
      <c r="N32" s="158"/>
      <c r="O32" s="327"/>
      <c r="P32" s="161">
        <v>0.21</v>
      </c>
      <c r="Q32" s="162" t="str">
        <f t="shared" si="48"/>
        <v>0.00</v>
      </c>
      <c r="R32" s="163" t="str">
        <f t="shared" si="49"/>
        <v>60.00</v>
      </c>
      <c r="S32" s="164" t="str">
        <f t="shared" si="50"/>
        <v>0.00</v>
      </c>
      <c r="T32" s="165" t="str">
        <f t="shared" si="51"/>
        <v>0.00</v>
      </c>
      <c r="U32" s="329">
        <v>0.0</v>
      </c>
      <c r="V32" s="167" t="str">
        <f t="shared" si="65"/>
        <v>57</v>
      </c>
      <c r="W32" s="330">
        <v>0.255</v>
      </c>
      <c r="X32" s="168" t="str">
        <f t="shared" si="52"/>
        <v>0.000</v>
      </c>
      <c r="Y32" s="168" t="str">
        <f t="shared" si="53"/>
        <v>0.000</v>
      </c>
      <c r="Z32" s="164" t="str">
        <f t="shared" si="54"/>
        <v>0.00</v>
      </c>
      <c r="AA32" s="164">
        <v>100.0</v>
      </c>
      <c r="AB32" s="164" t="str">
        <f t="shared" si="55"/>
        <v>0.00</v>
      </c>
      <c r="AC32" s="165" t="str">
        <f t="shared" si="56"/>
        <v>0.00</v>
      </c>
      <c r="AD32" s="23"/>
      <c r="AE32" s="169" t="str">
        <f t="shared" si="57"/>
        <v>0</v>
      </c>
      <c r="AF32" s="163" t="str">
        <f t="shared" si="58"/>
        <v>-117.00</v>
      </c>
      <c r="AG32" s="170" t="str">
        <f t="shared" si="59"/>
        <v>#DIV/0!</v>
      </c>
      <c r="AH32" s="26"/>
      <c r="AI32" s="171" t="str">
        <f t="shared" si="60"/>
        <v>0.00%</v>
      </c>
      <c r="AJ32" s="172" t="str">
        <f t="shared" si="61"/>
        <v>0.00</v>
      </c>
      <c r="AK32" s="173" t="str">
        <f t="shared" si="62"/>
        <v>-16.05</v>
      </c>
      <c r="AL32" s="174" t="str">
        <f t="shared" si="63"/>
        <v>-16.05</v>
      </c>
    </row>
    <row r="33" ht="12.75" customHeight="1">
      <c r="A33" s="26"/>
      <c r="B33" s="319" t="s">
        <v>726</v>
      </c>
      <c r="C33" s="126"/>
      <c r="D33" s="127"/>
      <c r="E33" s="128"/>
      <c r="F33" s="129"/>
      <c r="G33" s="128"/>
      <c r="H33" s="197"/>
      <c r="I33" s="128"/>
      <c r="J33" s="130"/>
      <c r="K33" s="131"/>
      <c r="L33" s="132"/>
      <c r="M33" s="320"/>
      <c r="N33" s="134"/>
      <c r="O33" s="321"/>
      <c r="P33" s="136"/>
      <c r="Q33" s="137"/>
      <c r="R33" s="177"/>
      <c r="S33" s="178"/>
      <c r="T33" s="179"/>
      <c r="U33" s="180"/>
      <c r="V33" s="181"/>
      <c r="W33" s="333"/>
      <c r="X33" s="182"/>
      <c r="Y33" s="182"/>
      <c r="Z33" s="178"/>
      <c r="AA33" s="178"/>
      <c r="AB33" s="178"/>
      <c r="AC33" s="179"/>
      <c r="AD33" s="183"/>
      <c r="AE33" s="184"/>
      <c r="AF33" s="177"/>
      <c r="AG33" s="185"/>
      <c r="AH33" s="26"/>
      <c r="AI33" s="186"/>
      <c r="AJ33" s="187"/>
      <c r="AK33" s="188"/>
      <c r="AL33" s="189"/>
    </row>
    <row r="34" ht="12.75" customHeight="1">
      <c r="A34" s="26"/>
      <c r="B34" s="336"/>
      <c r="C34" s="336">
        <v>4.8905926E7</v>
      </c>
      <c r="D34" s="152" t="s">
        <v>727</v>
      </c>
      <c r="E34" s="53" t="s">
        <v>77</v>
      </c>
      <c r="F34" s="323"/>
      <c r="G34" s="324"/>
      <c r="H34" s="53"/>
      <c r="I34" s="53"/>
      <c r="J34" s="155"/>
      <c r="K34" s="156"/>
      <c r="L34" s="132">
        <v>90.0</v>
      </c>
      <c r="M34" s="325">
        <v>291.75</v>
      </c>
      <c r="N34" s="326">
        <v>1138.0</v>
      </c>
      <c r="O34" s="327" t="str">
        <f t="shared" ref="O34:O58" si="66">N34</f>
        <v>1,138.00</v>
      </c>
      <c r="P34" s="161">
        <v>0.34</v>
      </c>
      <c r="Q34" s="162" t="str">
        <f t="shared" ref="Q34:Q58" si="67">N34-(N34*P34)</f>
        <v>751.08</v>
      </c>
      <c r="R34" s="163" t="str">
        <f t="shared" ref="R34:R58" si="68">$C$1</f>
        <v>60.00</v>
      </c>
      <c r="S34" s="164" t="str">
        <f t="shared" ref="S34:S58" si="69">(Q34*7/107)+((Q34-(Q34*7/107))*1%)</f>
        <v>56.16</v>
      </c>
      <c r="T34" s="165" t="str">
        <f t="shared" ref="T34:T58" si="70">M34*$C$3*(L34/30)</f>
        <v>0.00</v>
      </c>
      <c r="U34" s="166">
        <v>5.76</v>
      </c>
      <c r="V34" s="167">
        <v>250.0</v>
      </c>
      <c r="W34" s="330">
        <v>0.345</v>
      </c>
      <c r="X34" s="168" t="str">
        <f t="shared" ref="X34:X58" si="71">N34*W34</f>
        <v>392.610</v>
      </c>
      <c r="Y34" s="168" t="str">
        <f t="shared" ref="Y34:Y58" si="72">Q34*$X$7</f>
        <v>26.738</v>
      </c>
      <c r="Z34" s="164" t="str">
        <f t="shared" ref="Z34:Z58" si="73">$X$3*((100-AA34)/100)</f>
        <v>5.00</v>
      </c>
      <c r="AA34" s="164">
        <v>90.0</v>
      </c>
      <c r="AB34" s="164">
        <v>20.0</v>
      </c>
      <c r="AC34" s="165" t="str">
        <f t="shared" ref="AC34:AC58" si="74">N34*$C$2</f>
        <v>0.00</v>
      </c>
      <c r="AD34" s="23"/>
      <c r="AE34" s="169" t="str">
        <f t="shared" ref="AE34:AE58" si="75">(_xlfn.CEILING.MATH(U34))*$X$1*$AC$2</f>
        <v>0</v>
      </c>
      <c r="AF34" s="163" t="str">
        <f t="shared" ref="AF34:AF58" si="76">N34-R34-S34-T34-V34-X34-Y34-Z34-AB34-AC34-M34</f>
        <v>35.75</v>
      </c>
      <c r="AG34" s="170" t="str">
        <f t="shared" ref="AG34:AG58" si="77">AF34/M34</f>
        <v>12.25%</v>
      </c>
      <c r="AH34" s="26"/>
      <c r="AI34" s="171" t="str">
        <f t="shared" ref="AI34:AI50" si="78">$AC$3</f>
        <v>0.00%</v>
      </c>
      <c r="AJ34" s="172" t="str">
        <f t="shared" ref="AJ34:AJ50" si="79">M34*AI34</f>
        <v>0.00</v>
      </c>
      <c r="AK34" s="173" t="str">
        <f t="shared" ref="AK34:AK50" si="80">(M34+R34+T34+V34+Z34+AB34+AE34+AJ34)/(100%-($C$2+$C$8+$X$7+W34))</f>
        <v>-84.92</v>
      </c>
      <c r="AL34" s="174" t="str">
        <f t="shared" ref="AL34:AL50" si="81">AK34-(AK34*$AC$1)</f>
        <v>-84.92</v>
      </c>
    </row>
    <row r="35" ht="12.75" customHeight="1">
      <c r="A35" s="26"/>
      <c r="B35" s="152"/>
      <c r="C35" s="152"/>
      <c r="D35" s="152" t="s">
        <v>728</v>
      </c>
      <c r="E35" s="53" t="s">
        <v>77</v>
      </c>
      <c r="F35" s="323"/>
      <c r="G35" s="324"/>
      <c r="H35" s="53"/>
      <c r="I35" s="53"/>
      <c r="J35" s="155"/>
      <c r="K35" s="156"/>
      <c r="L35" s="132">
        <v>90.0</v>
      </c>
      <c r="M35" s="325" t="str">
        <f>K35/F35</f>
        <v>#DIV/0!</v>
      </c>
      <c r="N35" s="326"/>
      <c r="O35" s="327" t="str">
        <f t="shared" si="66"/>
        <v/>
      </c>
      <c r="P35" s="161">
        <v>0.34</v>
      </c>
      <c r="Q35" s="162" t="str">
        <f t="shared" si="67"/>
        <v>0.00</v>
      </c>
      <c r="R35" s="163" t="str">
        <f t="shared" si="68"/>
        <v>60.00</v>
      </c>
      <c r="S35" s="164" t="str">
        <f t="shared" si="69"/>
        <v>0.00</v>
      </c>
      <c r="T35" s="165" t="str">
        <f t="shared" si="70"/>
        <v>#DIV/0!</v>
      </c>
      <c r="U35" s="166">
        <v>5.76</v>
      </c>
      <c r="V35" s="167">
        <v>250.0</v>
      </c>
      <c r="W35" s="330">
        <v>0.345</v>
      </c>
      <c r="X35" s="168" t="str">
        <f t="shared" si="71"/>
        <v>0.000</v>
      </c>
      <c r="Y35" s="168" t="str">
        <f t="shared" si="72"/>
        <v>0.000</v>
      </c>
      <c r="Z35" s="164" t="str">
        <f t="shared" si="73"/>
        <v>5.00</v>
      </c>
      <c r="AA35" s="164">
        <v>90.0</v>
      </c>
      <c r="AB35" s="164">
        <v>20.0</v>
      </c>
      <c r="AC35" s="165" t="str">
        <f t="shared" si="74"/>
        <v>0.00</v>
      </c>
      <c r="AD35" s="23"/>
      <c r="AE35" s="169" t="str">
        <f t="shared" si="75"/>
        <v>0</v>
      </c>
      <c r="AF35" s="163" t="str">
        <f t="shared" si="76"/>
        <v>#DIV/0!</v>
      </c>
      <c r="AG35" s="170" t="str">
        <f t="shared" si="77"/>
        <v>#DIV/0!</v>
      </c>
      <c r="AH35" s="26"/>
      <c r="AI35" s="171" t="str">
        <f t="shared" si="78"/>
        <v>0.00%</v>
      </c>
      <c r="AJ35" s="172" t="str">
        <f t="shared" si="79"/>
        <v>#DIV/0!</v>
      </c>
      <c r="AK35" s="173" t="str">
        <f t="shared" si="80"/>
        <v>#DIV/0!</v>
      </c>
      <c r="AL35" s="174" t="str">
        <f t="shared" si="81"/>
        <v>#DIV/0!</v>
      </c>
    </row>
    <row r="36" ht="12.75" customHeight="1">
      <c r="A36" s="26"/>
      <c r="B36" s="336"/>
      <c r="C36" s="336">
        <v>4.8906308E7</v>
      </c>
      <c r="D36" s="152" t="s">
        <v>729</v>
      </c>
      <c r="E36" s="53" t="s">
        <v>77</v>
      </c>
      <c r="F36" s="323"/>
      <c r="G36" s="324"/>
      <c r="H36" s="53"/>
      <c r="I36" s="53"/>
      <c r="J36" s="155"/>
      <c r="K36" s="156"/>
      <c r="L36" s="132">
        <v>90.0</v>
      </c>
      <c r="M36" s="325">
        <v>291.75</v>
      </c>
      <c r="N36" s="326">
        <v>1138.0</v>
      </c>
      <c r="O36" s="327" t="str">
        <f t="shared" si="66"/>
        <v>1,138.00</v>
      </c>
      <c r="P36" s="161">
        <v>0.34</v>
      </c>
      <c r="Q36" s="162" t="str">
        <f t="shared" si="67"/>
        <v>751.08</v>
      </c>
      <c r="R36" s="163" t="str">
        <f t="shared" si="68"/>
        <v>60.00</v>
      </c>
      <c r="S36" s="164" t="str">
        <f t="shared" si="69"/>
        <v>56.16</v>
      </c>
      <c r="T36" s="165" t="str">
        <f t="shared" si="70"/>
        <v>0.00</v>
      </c>
      <c r="U36" s="166">
        <v>5.76</v>
      </c>
      <c r="V36" s="167">
        <v>250.0</v>
      </c>
      <c r="W36" s="330">
        <v>0.345</v>
      </c>
      <c r="X36" s="168" t="str">
        <f t="shared" si="71"/>
        <v>392.610</v>
      </c>
      <c r="Y36" s="168" t="str">
        <f t="shared" si="72"/>
        <v>26.738</v>
      </c>
      <c r="Z36" s="164" t="str">
        <f t="shared" si="73"/>
        <v>5.00</v>
      </c>
      <c r="AA36" s="164">
        <v>90.0</v>
      </c>
      <c r="AB36" s="164">
        <v>20.0</v>
      </c>
      <c r="AC36" s="165" t="str">
        <f t="shared" si="74"/>
        <v>0.00</v>
      </c>
      <c r="AD36" s="23"/>
      <c r="AE36" s="169" t="str">
        <f t="shared" si="75"/>
        <v>0</v>
      </c>
      <c r="AF36" s="163" t="str">
        <f t="shared" si="76"/>
        <v>35.75</v>
      </c>
      <c r="AG36" s="170" t="str">
        <f t="shared" si="77"/>
        <v>12.25%</v>
      </c>
      <c r="AH36" s="26"/>
      <c r="AI36" s="171" t="str">
        <f t="shared" si="78"/>
        <v>0.00%</v>
      </c>
      <c r="AJ36" s="172" t="str">
        <f t="shared" si="79"/>
        <v>0.00</v>
      </c>
      <c r="AK36" s="173" t="str">
        <f t="shared" si="80"/>
        <v>-84.92</v>
      </c>
      <c r="AL36" s="174" t="str">
        <f t="shared" si="81"/>
        <v>-84.92</v>
      </c>
    </row>
    <row r="37" ht="12.75" customHeight="1">
      <c r="A37" s="26"/>
      <c r="B37" s="152"/>
      <c r="C37" s="152"/>
      <c r="D37" s="152" t="s">
        <v>730</v>
      </c>
      <c r="E37" s="53" t="s">
        <v>77</v>
      </c>
      <c r="F37" s="323"/>
      <c r="G37" s="324"/>
      <c r="H37" s="53"/>
      <c r="I37" s="53"/>
      <c r="J37" s="155"/>
      <c r="K37" s="156"/>
      <c r="L37" s="132">
        <v>90.0</v>
      </c>
      <c r="M37" s="325" t="str">
        <f>K37/F37</f>
        <v>#DIV/0!</v>
      </c>
      <c r="N37" s="326"/>
      <c r="O37" s="327" t="str">
        <f t="shared" si="66"/>
        <v/>
      </c>
      <c r="P37" s="161">
        <v>0.34</v>
      </c>
      <c r="Q37" s="162" t="str">
        <f t="shared" si="67"/>
        <v>0.00</v>
      </c>
      <c r="R37" s="163" t="str">
        <f t="shared" si="68"/>
        <v>60.00</v>
      </c>
      <c r="S37" s="164" t="str">
        <f t="shared" si="69"/>
        <v>0.00</v>
      </c>
      <c r="T37" s="165" t="str">
        <f t="shared" si="70"/>
        <v>#DIV/0!</v>
      </c>
      <c r="U37" s="166">
        <v>5.76</v>
      </c>
      <c r="V37" s="167">
        <v>250.0</v>
      </c>
      <c r="W37" s="330">
        <v>0.345</v>
      </c>
      <c r="X37" s="168" t="str">
        <f t="shared" si="71"/>
        <v>0.000</v>
      </c>
      <c r="Y37" s="168" t="str">
        <f t="shared" si="72"/>
        <v>0.000</v>
      </c>
      <c r="Z37" s="164" t="str">
        <f t="shared" si="73"/>
        <v>5.00</v>
      </c>
      <c r="AA37" s="164">
        <v>90.0</v>
      </c>
      <c r="AB37" s="164">
        <v>20.0</v>
      </c>
      <c r="AC37" s="165" t="str">
        <f t="shared" si="74"/>
        <v>0.00</v>
      </c>
      <c r="AD37" s="23"/>
      <c r="AE37" s="169" t="str">
        <f t="shared" si="75"/>
        <v>0</v>
      </c>
      <c r="AF37" s="163" t="str">
        <f t="shared" si="76"/>
        <v>#DIV/0!</v>
      </c>
      <c r="AG37" s="170" t="str">
        <f t="shared" si="77"/>
        <v>#DIV/0!</v>
      </c>
      <c r="AH37" s="26"/>
      <c r="AI37" s="171" t="str">
        <f t="shared" si="78"/>
        <v>0.00%</v>
      </c>
      <c r="AJ37" s="172" t="str">
        <f t="shared" si="79"/>
        <v>#DIV/0!</v>
      </c>
      <c r="AK37" s="173" t="str">
        <f t="shared" si="80"/>
        <v>#DIV/0!</v>
      </c>
      <c r="AL37" s="174" t="str">
        <f t="shared" si="81"/>
        <v>#DIV/0!</v>
      </c>
    </row>
    <row r="38" ht="12.75" customHeight="1">
      <c r="A38" s="26"/>
      <c r="B38" s="336"/>
      <c r="C38" s="336">
        <v>4.8906952E7</v>
      </c>
      <c r="D38" s="152" t="s">
        <v>731</v>
      </c>
      <c r="E38" s="53" t="s">
        <v>77</v>
      </c>
      <c r="F38" s="323"/>
      <c r="G38" s="324"/>
      <c r="H38" s="53"/>
      <c r="I38" s="53"/>
      <c r="J38" s="155"/>
      <c r="K38" s="156"/>
      <c r="L38" s="132">
        <v>90.0</v>
      </c>
      <c r="M38" s="325">
        <v>291.75</v>
      </c>
      <c r="N38" s="326">
        <v>1138.0</v>
      </c>
      <c r="O38" s="327" t="str">
        <f t="shared" si="66"/>
        <v>1,138.00</v>
      </c>
      <c r="P38" s="161">
        <v>0.34</v>
      </c>
      <c r="Q38" s="162" t="str">
        <f t="shared" si="67"/>
        <v>751.08</v>
      </c>
      <c r="R38" s="163" t="str">
        <f t="shared" si="68"/>
        <v>60.00</v>
      </c>
      <c r="S38" s="164" t="str">
        <f t="shared" si="69"/>
        <v>56.16</v>
      </c>
      <c r="T38" s="165" t="str">
        <f t="shared" si="70"/>
        <v>0.00</v>
      </c>
      <c r="U38" s="166">
        <v>5.76</v>
      </c>
      <c r="V38" s="167">
        <v>250.0</v>
      </c>
      <c r="W38" s="330">
        <v>0.345</v>
      </c>
      <c r="X38" s="168" t="str">
        <f t="shared" si="71"/>
        <v>392.610</v>
      </c>
      <c r="Y38" s="168" t="str">
        <f t="shared" si="72"/>
        <v>26.738</v>
      </c>
      <c r="Z38" s="164" t="str">
        <f t="shared" si="73"/>
        <v>5.00</v>
      </c>
      <c r="AA38" s="164">
        <v>90.0</v>
      </c>
      <c r="AB38" s="164">
        <v>20.0</v>
      </c>
      <c r="AC38" s="165" t="str">
        <f t="shared" si="74"/>
        <v>0.00</v>
      </c>
      <c r="AD38" s="23"/>
      <c r="AE38" s="169" t="str">
        <f t="shared" si="75"/>
        <v>0</v>
      </c>
      <c r="AF38" s="163" t="str">
        <f t="shared" si="76"/>
        <v>35.75</v>
      </c>
      <c r="AG38" s="170" t="str">
        <f t="shared" si="77"/>
        <v>12.25%</v>
      </c>
      <c r="AH38" s="26"/>
      <c r="AI38" s="171" t="str">
        <f t="shared" si="78"/>
        <v>0.00%</v>
      </c>
      <c r="AJ38" s="172" t="str">
        <f t="shared" si="79"/>
        <v>0.00</v>
      </c>
      <c r="AK38" s="173" t="str">
        <f t="shared" si="80"/>
        <v>-84.92</v>
      </c>
      <c r="AL38" s="174" t="str">
        <f t="shared" si="81"/>
        <v>-84.92</v>
      </c>
    </row>
    <row r="39" ht="12.75" customHeight="1">
      <c r="A39" s="26"/>
      <c r="B39" s="336"/>
      <c r="C39" s="336">
        <v>4.8908708E7</v>
      </c>
      <c r="D39" s="152" t="s">
        <v>732</v>
      </c>
      <c r="E39" s="53" t="s">
        <v>77</v>
      </c>
      <c r="F39" s="323"/>
      <c r="G39" s="324"/>
      <c r="H39" s="53"/>
      <c r="I39" s="53"/>
      <c r="J39" s="155"/>
      <c r="K39" s="156"/>
      <c r="L39" s="132">
        <v>90.0</v>
      </c>
      <c r="M39" s="325">
        <v>291.75</v>
      </c>
      <c r="N39" s="326">
        <v>1138.0</v>
      </c>
      <c r="O39" s="327" t="str">
        <f t="shared" si="66"/>
        <v>1,138.00</v>
      </c>
      <c r="P39" s="161">
        <v>0.34</v>
      </c>
      <c r="Q39" s="162" t="str">
        <f t="shared" si="67"/>
        <v>751.08</v>
      </c>
      <c r="R39" s="163" t="str">
        <f t="shared" si="68"/>
        <v>60.00</v>
      </c>
      <c r="S39" s="164" t="str">
        <f t="shared" si="69"/>
        <v>56.16</v>
      </c>
      <c r="T39" s="165" t="str">
        <f t="shared" si="70"/>
        <v>0.00</v>
      </c>
      <c r="U39" s="166">
        <v>5.76</v>
      </c>
      <c r="V39" s="167">
        <v>250.0</v>
      </c>
      <c r="W39" s="330">
        <v>0.345</v>
      </c>
      <c r="X39" s="168" t="str">
        <f t="shared" si="71"/>
        <v>392.610</v>
      </c>
      <c r="Y39" s="168" t="str">
        <f t="shared" si="72"/>
        <v>26.738</v>
      </c>
      <c r="Z39" s="164" t="str">
        <f t="shared" si="73"/>
        <v>5.00</v>
      </c>
      <c r="AA39" s="164">
        <v>90.0</v>
      </c>
      <c r="AB39" s="164">
        <v>20.0</v>
      </c>
      <c r="AC39" s="165" t="str">
        <f t="shared" si="74"/>
        <v>0.00</v>
      </c>
      <c r="AD39" s="23"/>
      <c r="AE39" s="169" t="str">
        <f t="shared" si="75"/>
        <v>0</v>
      </c>
      <c r="AF39" s="163" t="str">
        <f t="shared" si="76"/>
        <v>35.75</v>
      </c>
      <c r="AG39" s="170" t="str">
        <f t="shared" si="77"/>
        <v>12.25%</v>
      </c>
      <c r="AH39" s="26"/>
      <c r="AI39" s="171" t="str">
        <f t="shared" si="78"/>
        <v>0.00%</v>
      </c>
      <c r="AJ39" s="172" t="str">
        <f t="shared" si="79"/>
        <v>0.00</v>
      </c>
      <c r="AK39" s="173" t="str">
        <f t="shared" si="80"/>
        <v>-84.92</v>
      </c>
      <c r="AL39" s="174" t="str">
        <f t="shared" si="81"/>
        <v>-84.92</v>
      </c>
    </row>
    <row r="40" ht="12.75" customHeight="1">
      <c r="A40" s="26"/>
      <c r="B40" s="152"/>
      <c r="C40" s="152"/>
      <c r="D40" s="152" t="s">
        <v>733</v>
      </c>
      <c r="E40" s="53" t="s">
        <v>77</v>
      </c>
      <c r="F40" s="323"/>
      <c r="G40" s="324"/>
      <c r="H40" s="53"/>
      <c r="I40" s="53"/>
      <c r="J40" s="155"/>
      <c r="K40" s="156"/>
      <c r="L40" s="132">
        <v>90.0</v>
      </c>
      <c r="M40" s="325" t="str">
        <f t="shared" ref="M40:M41" si="82">K40/F40</f>
        <v>#DIV/0!</v>
      </c>
      <c r="N40" s="326"/>
      <c r="O40" s="327" t="str">
        <f t="shared" si="66"/>
        <v/>
      </c>
      <c r="P40" s="161">
        <v>0.34</v>
      </c>
      <c r="Q40" s="162" t="str">
        <f t="shared" si="67"/>
        <v>0.00</v>
      </c>
      <c r="R40" s="163" t="str">
        <f t="shared" si="68"/>
        <v>60.00</v>
      </c>
      <c r="S40" s="164" t="str">
        <f t="shared" si="69"/>
        <v>0.00</v>
      </c>
      <c r="T40" s="165" t="str">
        <f t="shared" si="70"/>
        <v>#DIV/0!</v>
      </c>
      <c r="U40" s="166">
        <v>5.76</v>
      </c>
      <c r="V40" s="167">
        <v>250.0</v>
      </c>
      <c r="W40" s="330">
        <v>0.345</v>
      </c>
      <c r="X40" s="168" t="str">
        <f t="shared" si="71"/>
        <v>0.000</v>
      </c>
      <c r="Y40" s="168" t="str">
        <f t="shared" si="72"/>
        <v>0.000</v>
      </c>
      <c r="Z40" s="164" t="str">
        <f t="shared" si="73"/>
        <v>5.00</v>
      </c>
      <c r="AA40" s="164">
        <v>90.0</v>
      </c>
      <c r="AB40" s="164">
        <v>20.0</v>
      </c>
      <c r="AC40" s="165" t="str">
        <f t="shared" si="74"/>
        <v>0.00</v>
      </c>
      <c r="AD40" s="23"/>
      <c r="AE40" s="169" t="str">
        <f t="shared" si="75"/>
        <v>0</v>
      </c>
      <c r="AF40" s="163" t="str">
        <f t="shared" si="76"/>
        <v>#DIV/0!</v>
      </c>
      <c r="AG40" s="170" t="str">
        <f t="shared" si="77"/>
        <v>#DIV/0!</v>
      </c>
      <c r="AH40" s="26"/>
      <c r="AI40" s="171" t="str">
        <f t="shared" si="78"/>
        <v>0.00%</v>
      </c>
      <c r="AJ40" s="172" t="str">
        <f t="shared" si="79"/>
        <v>#DIV/0!</v>
      </c>
      <c r="AK40" s="173" t="str">
        <f t="shared" si="80"/>
        <v>#DIV/0!</v>
      </c>
      <c r="AL40" s="174" t="str">
        <f t="shared" si="81"/>
        <v>#DIV/0!</v>
      </c>
    </row>
    <row r="41" ht="12.75" customHeight="1">
      <c r="A41" s="26"/>
      <c r="B41" s="152"/>
      <c r="C41" s="152"/>
      <c r="D41" s="152" t="s">
        <v>734</v>
      </c>
      <c r="E41" s="53" t="s">
        <v>77</v>
      </c>
      <c r="F41" s="323"/>
      <c r="G41" s="324"/>
      <c r="H41" s="53"/>
      <c r="I41" s="53"/>
      <c r="J41" s="155"/>
      <c r="K41" s="156"/>
      <c r="L41" s="132">
        <v>90.0</v>
      </c>
      <c r="M41" s="325" t="str">
        <f t="shared" si="82"/>
        <v>#DIV/0!</v>
      </c>
      <c r="N41" s="326"/>
      <c r="O41" s="327" t="str">
        <f t="shared" si="66"/>
        <v/>
      </c>
      <c r="P41" s="161">
        <v>0.34</v>
      </c>
      <c r="Q41" s="162" t="str">
        <f t="shared" si="67"/>
        <v>0.00</v>
      </c>
      <c r="R41" s="163" t="str">
        <f t="shared" si="68"/>
        <v>60.00</v>
      </c>
      <c r="S41" s="164" t="str">
        <f t="shared" si="69"/>
        <v>0.00</v>
      </c>
      <c r="T41" s="165" t="str">
        <f t="shared" si="70"/>
        <v>#DIV/0!</v>
      </c>
      <c r="U41" s="166">
        <v>5.76</v>
      </c>
      <c r="V41" s="167">
        <v>250.0</v>
      </c>
      <c r="W41" s="330">
        <v>0.345</v>
      </c>
      <c r="X41" s="168" t="str">
        <f t="shared" si="71"/>
        <v>0.000</v>
      </c>
      <c r="Y41" s="168" t="str">
        <f t="shared" si="72"/>
        <v>0.000</v>
      </c>
      <c r="Z41" s="164" t="str">
        <f t="shared" si="73"/>
        <v>5.00</v>
      </c>
      <c r="AA41" s="164">
        <v>90.0</v>
      </c>
      <c r="AB41" s="164">
        <v>20.0</v>
      </c>
      <c r="AC41" s="165" t="str">
        <f t="shared" si="74"/>
        <v>0.00</v>
      </c>
      <c r="AD41" s="23"/>
      <c r="AE41" s="169" t="str">
        <f t="shared" si="75"/>
        <v>0</v>
      </c>
      <c r="AF41" s="163" t="str">
        <f t="shared" si="76"/>
        <v>#DIV/0!</v>
      </c>
      <c r="AG41" s="170" t="str">
        <f t="shared" si="77"/>
        <v>#DIV/0!</v>
      </c>
      <c r="AH41" s="26"/>
      <c r="AI41" s="171" t="str">
        <f t="shared" si="78"/>
        <v>0.00%</v>
      </c>
      <c r="AJ41" s="172" t="str">
        <f t="shared" si="79"/>
        <v>#DIV/0!</v>
      </c>
      <c r="AK41" s="173" t="str">
        <f t="shared" si="80"/>
        <v>#DIV/0!</v>
      </c>
      <c r="AL41" s="174" t="str">
        <f t="shared" si="81"/>
        <v>#DIV/0!</v>
      </c>
    </row>
    <row r="42" ht="12.75" customHeight="1">
      <c r="A42" s="26"/>
      <c r="B42" s="336"/>
      <c r="C42" s="336">
        <v>1.03431353E8</v>
      </c>
      <c r="D42" s="152" t="s">
        <v>735</v>
      </c>
      <c r="E42" s="53" t="s">
        <v>77</v>
      </c>
      <c r="F42" s="323"/>
      <c r="G42" s="324"/>
      <c r="H42" s="53"/>
      <c r="I42" s="53"/>
      <c r="J42" s="155"/>
      <c r="K42" s="156"/>
      <c r="L42" s="132">
        <v>90.0</v>
      </c>
      <c r="M42" s="325">
        <v>291.75</v>
      </c>
      <c r="N42" s="326">
        <v>1138.0</v>
      </c>
      <c r="O42" s="327" t="str">
        <f t="shared" si="66"/>
        <v>1,138.00</v>
      </c>
      <c r="P42" s="161">
        <v>0.34</v>
      </c>
      <c r="Q42" s="162" t="str">
        <f t="shared" si="67"/>
        <v>751.08</v>
      </c>
      <c r="R42" s="163" t="str">
        <f t="shared" si="68"/>
        <v>60.00</v>
      </c>
      <c r="S42" s="164" t="str">
        <f t="shared" si="69"/>
        <v>56.16</v>
      </c>
      <c r="T42" s="165" t="str">
        <f t="shared" si="70"/>
        <v>0.00</v>
      </c>
      <c r="U42" s="166">
        <v>5.76</v>
      </c>
      <c r="V42" s="167">
        <v>250.0</v>
      </c>
      <c r="W42" s="330">
        <v>0.345</v>
      </c>
      <c r="X42" s="168" t="str">
        <f t="shared" si="71"/>
        <v>392.610</v>
      </c>
      <c r="Y42" s="168" t="str">
        <f t="shared" si="72"/>
        <v>26.738</v>
      </c>
      <c r="Z42" s="164" t="str">
        <f t="shared" si="73"/>
        <v>5.00</v>
      </c>
      <c r="AA42" s="164">
        <v>90.0</v>
      </c>
      <c r="AB42" s="164">
        <v>20.0</v>
      </c>
      <c r="AC42" s="165" t="str">
        <f t="shared" si="74"/>
        <v>0.00</v>
      </c>
      <c r="AD42" s="23"/>
      <c r="AE42" s="169" t="str">
        <f t="shared" si="75"/>
        <v>0</v>
      </c>
      <c r="AF42" s="163" t="str">
        <f t="shared" si="76"/>
        <v>35.75</v>
      </c>
      <c r="AG42" s="170" t="str">
        <f t="shared" si="77"/>
        <v>12.25%</v>
      </c>
      <c r="AH42" s="26"/>
      <c r="AI42" s="171" t="str">
        <f t="shared" si="78"/>
        <v>0.00%</v>
      </c>
      <c r="AJ42" s="172" t="str">
        <f t="shared" si="79"/>
        <v>0.00</v>
      </c>
      <c r="AK42" s="173" t="str">
        <f t="shared" si="80"/>
        <v>-84.92</v>
      </c>
      <c r="AL42" s="174" t="str">
        <f t="shared" si="81"/>
        <v>-84.92</v>
      </c>
    </row>
    <row r="43" ht="12.75" customHeight="1">
      <c r="A43" s="26"/>
      <c r="B43" s="336"/>
      <c r="C43" s="336">
        <v>1.0343181E8</v>
      </c>
      <c r="D43" s="152" t="s">
        <v>736</v>
      </c>
      <c r="E43" s="53" t="s">
        <v>77</v>
      </c>
      <c r="F43" s="323"/>
      <c r="G43" s="324"/>
      <c r="H43" s="53"/>
      <c r="I43" s="53"/>
      <c r="J43" s="155"/>
      <c r="K43" s="156"/>
      <c r="L43" s="132">
        <v>90.0</v>
      </c>
      <c r="M43" s="325">
        <v>291.75</v>
      </c>
      <c r="N43" s="326">
        <v>1138.0</v>
      </c>
      <c r="O43" s="327" t="str">
        <f t="shared" si="66"/>
        <v>1,138.00</v>
      </c>
      <c r="P43" s="161">
        <v>0.34</v>
      </c>
      <c r="Q43" s="162" t="str">
        <f t="shared" si="67"/>
        <v>751.08</v>
      </c>
      <c r="R43" s="163" t="str">
        <f t="shared" si="68"/>
        <v>60.00</v>
      </c>
      <c r="S43" s="164" t="str">
        <f t="shared" si="69"/>
        <v>56.16</v>
      </c>
      <c r="T43" s="165" t="str">
        <f t="shared" si="70"/>
        <v>0.00</v>
      </c>
      <c r="U43" s="166">
        <v>5.76</v>
      </c>
      <c r="V43" s="167">
        <v>250.0</v>
      </c>
      <c r="W43" s="330">
        <v>0.345</v>
      </c>
      <c r="X43" s="168" t="str">
        <f t="shared" si="71"/>
        <v>392.610</v>
      </c>
      <c r="Y43" s="168" t="str">
        <f t="shared" si="72"/>
        <v>26.738</v>
      </c>
      <c r="Z43" s="164" t="str">
        <f t="shared" si="73"/>
        <v>5.00</v>
      </c>
      <c r="AA43" s="164">
        <v>90.0</v>
      </c>
      <c r="AB43" s="164">
        <v>20.0</v>
      </c>
      <c r="AC43" s="165" t="str">
        <f t="shared" si="74"/>
        <v>0.00</v>
      </c>
      <c r="AD43" s="23"/>
      <c r="AE43" s="169" t="str">
        <f t="shared" si="75"/>
        <v>0</v>
      </c>
      <c r="AF43" s="163" t="str">
        <f t="shared" si="76"/>
        <v>35.75</v>
      </c>
      <c r="AG43" s="170" t="str">
        <f t="shared" si="77"/>
        <v>12.25%</v>
      </c>
      <c r="AH43" s="26"/>
      <c r="AI43" s="171" t="str">
        <f t="shared" si="78"/>
        <v>0.00%</v>
      </c>
      <c r="AJ43" s="172" t="str">
        <f t="shared" si="79"/>
        <v>0.00</v>
      </c>
      <c r="AK43" s="173" t="str">
        <f t="shared" si="80"/>
        <v>-84.92</v>
      </c>
      <c r="AL43" s="174" t="str">
        <f t="shared" si="81"/>
        <v>-84.92</v>
      </c>
    </row>
    <row r="44" ht="12.75" customHeight="1">
      <c r="A44" s="26"/>
      <c r="B44" s="336"/>
      <c r="C44" s="336">
        <v>1.04590122E8</v>
      </c>
      <c r="D44" s="152" t="s">
        <v>737</v>
      </c>
      <c r="E44" s="53" t="s">
        <v>77</v>
      </c>
      <c r="F44" s="323"/>
      <c r="G44" s="324"/>
      <c r="H44" s="53"/>
      <c r="I44" s="53"/>
      <c r="J44" s="155"/>
      <c r="K44" s="156"/>
      <c r="L44" s="132">
        <v>90.0</v>
      </c>
      <c r="M44" s="325">
        <v>291.75</v>
      </c>
      <c r="N44" s="326">
        <v>1138.0</v>
      </c>
      <c r="O44" s="327" t="str">
        <f t="shared" si="66"/>
        <v>1,138.00</v>
      </c>
      <c r="P44" s="161">
        <v>0.34</v>
      </c>
      <c r="Q44" s="162" t="str">
        <f t="shared" si="67"/>
        <v>751.08</v>
      </c>
      <c r="R44" s="163" t="str">
        <f t="shared" si="68"/>
        <v>60.00</v>
      </c>
      <c r="S44" s="164" t="str">
        <f t="shared" si="69"/>
        <v>56.16</v>
      </c>
      <c r="T44" s="165" t="str">
        <f t="shared" si="70"/>
        <v>0.00</v>
      </c>
      <c r="U44" s="166">
        <v>5.76</v>
      </c>
      <c r="V44" s="167">
        <v>250.0</v>
      </c>
      <c r="W44" s="330">
        <v>0.345</v>
      </c>
      <c r="X44" s="168" t="str">
        <f t="shared" si="71"/>
        <v>392.610</v>
      </c>
      <c r="Y44" s="168" t="str">
        <f t="shared" si="72"/>
        <v>26.738</v>
      </c>
      <c r="Z44" s="164" t="str">
        <f t="shared" si="73"/>
        <v>5.00</v>
      </c>
      <c r="AA44" s="164">
        <v>90.0</v>
      </c>
      <c r="AB44" s="164">
        <v>20.0</v>
      </c>
      <c r="AC44" s="165" t="str">
        <f t="shared" si="74"/>
        <v>0.00</v>
      </c>
      <c r="AD44" s="23"/>
      <c r="AE44" s="169" t="str">
        <f t="shared" si="75"/>
        <v>0</v>
      </c>
      <c r="AF44" s="163" t="str">
        <f t="shared" si="76"/>
        <v>35.75</v>
      </c>
      <c r="AG44" s="170" t="str">
        <f t="shared" si="77"/>
        <v>12.25%</v>
      </c>
      <c r="AH44" s="26"/>
      <c r="AI44" s="171" t="str">
        <f t="shared" si="78"/>
        <v>0.00%</v>
      </c>
      <c r="AJ44" s="172" t="str">
        <f t="shared" si="79"/>
        <v>0.00</v>
      </c>
      <c r="AK44" s="173" t="str">
        <f t="shared" si="80"/>
        <v>-84.92</v>
      </c>
      <c r="AL44" s="174" t="str">
        <f t="shared" si="81"/>
        <v>-84.92</v>
      </c>
    </row>
    <row r="45" ht="12.75" customHeight="1">
      <c r="A45" s="26"/>
      <c r="B45" s="336"/>
      <c r="C45" s="336">
        <v>1.03441912E8</v>
      </c>
      <c r="D45" s="152" t="s">
        <v>738</v>
      </c>
      <c r="E45" s="53" t="s">
        <v>77</v>
      </c>
      <c r="F45" s="323"/>
      <c r="G45" s="324"/>
      <c r="H45" s="53"/>
      <c r="I45" s="53"/>
      <c r="J45" s="155"/>
      <c r="K45" s="156"/>
      <c r="L45" s="132">
        <v>90.0</v>
      </c>
      <c r="M45" s="325">
        <v>291.75</v>
      </c>
      <c r="N45" s="326">
        <v>1138.0</v>
      </c>
      <c r="O45" s="327" t="str">
        <f t="shared" si="66"/>
        <v>1,138.00</v>
      </c>
      <c r="P45" s="161">
        <v>0.34</v>
      </c>
      <c r="Q45" s="162" t="str">
        <f t="shared" si="67"/>
        <v>751.08</v>
      </c>
      <c r="R45" s="163" t="str">
        <f t="shared" si="68"/>
        <v>60.00</v>
      </c>
      <c r="S45" s="164" t="str">
        <f t="shared" si="69"/>
        <v>56.16</v>
      </c>
      <c r="T45" s="165" t="str">
        <f t="shared" si="70"/>
        <v>0.00</v>
      </c>
      <c r="U45" s="166">
        <v>5.76</v>
      </c>
      <c r="V45" s="167">
        <v>250.0</v>
      </c>
      <c r="W45" s="330">
        <v>0.345</v>
      </c>
      <c r="X45" s="168" t="str">
        <f t="shared" si="71"/>
        <v>392.610</v>
      </c>
      <c r="Y45" s="168" t="str">
        <f t="shared" si="72"/>
        <v>26.738</v>
      </c>
      <c r="Z45" s="164" t="str">
        <f t="shared" si="73"/>
        <v>5.00</v>
      </c>
      <c r="AA45" s="164">
        <v>90.0</v>
      </c>
      <c r="AB45" s="164">
        <v>20.0</v>
      </c>
      <c r="AC45" s="165" t="str">
        <f t="shared" si="74"/>
        <v>0.00</v>
      </c>
      <c r="AD45" s="23"/>
      <c r="AE45" s="169" t="str">
        <f t="shared" si="75"/>
        <v>0</v>
      </c>
      <c r="AF45" s="163" t="str">
        <f t="shared" si="76"/>
        <v>35.75</v>
      </c>
      <c r="AG45" s="170" t="str">
        <f t="shared" si="77"/>
        <v>12.25%</v>
      </c>
      <c r="AH45" s="26"/>
      <c r="AI45" s="171" t="str">
        <f t="shared" si="78"/>
        <v>0.00%</v>
      </c>
      <c r="AJ45" s="172" t="str">
        <f t="shared" si="79"/>
        <v>0.00</v>
      </c>
      <c r="AK45" s="173" t="str">
        <f t="shared" si="80"/>
        <v>-84.92</v>
      </c>
      <c r="AL45" s="174" t="str">
        <f t="shared" si="81"/>
        <v>-84.92</v>
      </c>
    </row>
    <row r="46" ht="12.75" customHeight="1">
      <c r="A46" s="26"/>
      <c r="B46" s="336"/>
      <c r="C46" s="336">
        <v>1.03442522E8</v>
      </c>
      <c r="D46" s="152" t="s">
        <v>739</v>
      </c>
      <c r="E46" s="53" t="s">
        <v>77</v>
      </c>
      <c r="F46" s="323"/>
      <c r="G46" s="324"/>
      <c r="H46" s="53"/>
      <c r="I46" s="53"/>
      <c r="J46" s="155"/>
      <c r="K46" s="156"/>
      <c r="L46" s="132">
        <v>90.0</v>
      </c>
      <c r="M46" s="325">
        <v>291.75</v>
      </c>
      <c r="N46" s="326">
        <v>1138.0</v>
      </c>
      <c r="O46" s="327" t="str">
        <f t="shared" si="66"/>
        <v>1,138.00</v>
      </c>
      <c r="P46" s="161">
        <v>0.34</v>
      </c>
      <c r="Q46" s="162" t="str">
        <f t="shared" si="67"/>
        <v>751.08</v>
      </c>
      <c r="R46" s="163" t="str">
        <f t="shared" si="68"/>
        <v>60.00</v>
      </c>
      <c r="S46" s="164" t="str">
        <f t="shared" si="69"/>
        <v>56.16</v>
      </c>
      <c r="T46" s="165" t="str">
        <f t="shared" si="70"/>
        <v>0.00</v>
      </c>
      <c r="U46" s="166">
        <v>5.76</v>
      </c>
      <c r="V46" s="167">
        <v>250.0</v>
      </c>
      <c r="W46" s="330">
        <v>0.345</v>
      </c>
      <c r="X46" s="168" t="str">
        <f t="shared" si="71"/>
        <v>392.610</v>
      </c>
      <c r="Y46" s="168" t="str">
        <f t="shared" si="72"/>
        <v>26.738</v>
      </c>
      <c r="Z46" s="164" t="str">
        <f t="shared" si="73"/>
        <v>5.00</v>
      </c>
      <c r="AA46" s="164">
        <v>90.0</v>
      </c>
      <c r="AB46" s="164">
        <v>20.0</v>
      </c>
      <c r="AC46" s="165" t="str">
        <f t="shared" si="74"/>
        <v>0.00</v>
      </c>
      <c r="AD46" s="23"/>
      <c r="AE46" s="169" t="str">
        <f t="shared" si="75"/>
        <v>0</v>
      </c>
      <c r="AF46" s="163" t="str">
        <f t="shared" si="76"/>
        <v>35.75</v>
      </c>
      <c r="AG46" s="170" t="str">
        <f t="shared" si="77"/>
        <v>12.25%</v>
      </c>
      <c r="AH46" s="26"/>
      <c r="AI46" s="171" t="str">
        <f t="shared" si="78"/>
        <v>0.00%</v>
      </c>
      <c r="AJ46" s="172" t="str">
        <f t="shared" si="79"/>
        <v>0.00</v>
      </c>
      <c r="AK46" s="173" t="str">
        <f t="shared" si="80"/>
        <v>-84.92</v>
      </c>
      <c r="AL46" s="174" t="str">
        <f t="shared" si="81"/>
        <v>-84.92</v>
      </c>
    </row>
    <row r="47" ht="12.75" customHeight="1">
      <c r="A47" s="26"/>
      <c r="B47" s="152"/>
      <c r="C47" s="216"/>
      <c r="D47" s="152" t="s">
        <v>740</v>
      </c>
      <c r="E47" s="53" t="s">
        <v>77</v>
      </c>
      <c r="F47" s="323"/>
      <c r="G47" s="324"/>
      <c r="H47" s="53"/>
      <c r="I47" s="53"/>
      <c r="J47" s="155"/>
      <c r="K47" s="156"/>
      <c r="L47" s="132">
        <v>90.0</v>
      </c>
      <c r="M47" s="325" t="str">
        <f t="shared" ref="M47:M48" si="83">K47/F47</f>
        <v>#DIV/0!</v>
      </c>
      <c r="N47" s="326"/>
      <c r="O47" s="327" t="str">
        <f t="shared" si="66"/>
        <v/>
      </c>
      <c r="P47" s="161">
        <v>0.34</v>
      </c>
      <c r="Q47" s="162" t="str">
        <f t="shared" si="67"/>
        <v>0.00</v>
      </c>
      <c r="R47" s="163" t="str">
        <f t="shared" si="68"/>
        <v>60.00</v>
      </c>
      <c r="S47" s="164" t="str">
        <f t="shared" si="69"/>
        <v>0.00</v>
      </c>
      <c r="T47" s="165" t="str">
        <f t="shared" si="70"/>
        <v>#DIV/0!</v>
      </c>
      <c r="U47" s="166">
        <v>5.76</v>
      </c>
      <c r="V47" s="167">
        <v>244.0</v>
      </c>
      <c r="W47" s="330">
        <v>0.345</v>
      </c>
      <c r="X47" s="168" t="str">
        <f t="shared" si="71"/>
        <v>0.000</v>
      </c>
      <c r="Y47" s="168" t="str">
        <f t="shared" si="72"/>
        <v>0.000</v>
      </c>
      <c r="Z47" s="164" t="str">
        <f t="shared" si="73"/>
        <v>5.00</v>
      </c>
      <c r="AA47" s="164">
        <v>90.0</v>
      </c>
      <c r="AB47" s="164">
        <v>20.0</v>
      </c>
      <c r="AC47" s="165" t="str">
        <f t="shared" si="74"/>
        <v>0.00</v>
      </c>
      <c r="AD47" s="23"/>
      <c r="AE47" s="169" t="str">
        <f t="shared" si="75"/>
        <v>0</v>
      </c>
      <c r="AF47" s="163" t="str">
        <f t="shared" si="76"/>
        <v>#DIV/0!</v>
      </c>
      <c r="AG47" s="170" t="str">
        <f t="shared" si="77"/>
        <v>#DIV/0!</v>
      </c>
      <c r="AH47" s="26"/>
      <c r="AI47" s="171" t="str">
        <f t="shared" si="78"/>
        <v>0.00%</v>
      </c>
      <c r="AJ47" s="172" t="str">
        <f t="shared" si="79"/>
        <v>#DIV/0!</v>
      </c>
      <c r="AK47" s="173" t="str">
        <f t="shared" si="80"/>
        <v>#DIV/0!</v>
      </c>
      <c r="AL47" s="174" t="str">
        <f t="shared" si="81"/>
        <v>#DIV/0!</v>
      </c>
    </row>
    <row r="48" ht="12.75" customHeight="1">
      <c r="A48" s="26"/>
      <c r="B48" s="152"/>
      <c r="C48" s="216"/>
      <c r="D48" s="152" t="s">
        <v>741</v>
      </c>
      <c r="E48" s="53" t="s">
        <v>77</v>
      </c>
      <c r="F48" s="323"/>
      <c r="G48" s="324"/>
      <c r="H48" s="53"/>
      <c r="I48" s="53"/>
      <c r="J48" s="155"/>
      <c r="K48" s="156"/>
      <c r="L48" s="132">
        <v>90.0</v>
      </c>
      <c r="M48" s="325" t="str">
        <f t="shared" si="83"/>
        <v>#DIV/0!</v>
      </c>
      <c r="N48" s="326"/>
      <c r="O48" s="327" t="str">
        <f t="shared" si="66"/>
        <v/>
      </c>
      <c r="P48" s="161">
        <v>0.34</v>
      </c>
      <c r="Q48" s="162" t="str">
        <f t="shared" si="67"/>
        <v>0.00</v>
      </c>
      <c r="R48" s="163" t="str">
        <f t="shared" si="68"/>
        <v>60.00</v>
      </c>
      <c r="S48" s="164" t="str">
        <f t="shared" si="69"/>
        <v>0.00</v>
      </c>
      <c r="T48" s="165" t="str">
        <f t="shared" si="70"/>
        <v>#DIV/0!</v>
      </c>
      <c r="U48" s="166">
        <v>5.76</v>
      </c>
      <c r="V48" s="167">
        <v>244.0</v>
      </c>
      <c r="W48" s="330">
        <v>0.345</v>
      </c>
      <c r="X48" s="168" t="str">
        <f t="shared" si="71"/>
        <v>0.000</v>
      </c>
      <c r="Y48" s="168" t="str">
        <f t="shared" si="72"/>
        <v>0.000</v>
      </c>
      <c r="Z48" s="164" t="str">
        <f t="shared" si="73"/>
        <v>5.00</v>
      </c>
      <c r="AA48" s="164">
        <v>90.0</v>
      </c>
      <c r="AB48" s="164">
        <v>20.0</v>
      </c>
      <c r="AC48" s="165" t="str">
        <f t="shared" si="74"/>
        <v>0.00</v>
      </c>
      <c r="AD48" s="23"/>
      <c r="AE48" s="169" t="str">
        <f t="shared" si="75"/>
        <v>0</v>
      </c>
      <c r="AF48" s="163" t="str">
        <f t="shared" si="76"/>
        <v>#DIV/0!</v>
      </c>
      <c r="AG48" s="170" t="str">
        <f t="shared" si="77"/>
        <v>#DIV/0!</v>
      </c>
      <c r="AH48" s="26"/>
      <c r="AI48" s="171" t="str">
        <f t="shared" si="78"/>
        <v>0.00%</v>
      </c>
      <c r="AJ48" s="172" t="str">
        <f t="shared" si="79"/>
        <v>#DIV/0!</v>
      </c>
      <c r="AK48" s="173" t="str">
        <f t="shared" si="80"/>
        <v>#DIV/0!</v>
      </c>
      <c r="AL48" s="174" t="str">
        <f t="shared" si="81"/>
        <v>#DIV/0!</v>
      </c>
    </row>
    <row r="49" ht="12.75" customHeight="1">
      <c r="A49" s="26"/>
      <c r="B49" s="152"/>
      <c r="C49" s="336">
        <v>5.55134309E8</v>
      </c>
      <c r="D49" s="152" t="s">
        <v>742</v>
      </c>
      <c r="E49" s="53" t="s">
        <v>77</v>
      </c>
      <c r="F49" s="323"/>
      <c r="G49" s="324"/>
      <c r="H49" s="53"/>
      <c r="I49" s="53"/>
      <c r="J49" s="155"/>
      <c r="K49" s="156"/>
      <c r="L49" s="132">
        <v>90.0</v>
      </c>
      <c r="M49" s="325">
        <v>452.43</v>
      </c>
      <c r="N49" s="337">
        <v>1890.0</v>
      </c>
      <c r="O49" s="327" t="str">
        <f t="shared" si="66"/>
        <v>1,890.00</v>
      </c>
      <c r="P49" s="161">
        <v>0.34</v>
      </c>
      <c r="Q49" s="162" t="str">
        <f t="shared" si="67"/>
        <v>1,247.40</v>
      </c>
      <c r="R49" s="163" t="str">
        <f t="shared" si="68"/>
        <v>60.00</v>
      </c>
      <c r="S49" s="164" t="str">
        <f t="shared" si="69"/>
        <v>93.26</v>
      </c>
      <c r="T49" s="165" t="str">
        <f t="shared" si="70"/>
        <v>0.00</v>
      </c>
      <c r="U49" s="166">
        <v>10.08</v>
      </c>
      <c r="V49" s="167">
        <v>340.0</v>
      </c>
      <c r="W49" s="330">
        <v>0.345</v>
      </c>
      <c r="X49" s="168" t="str">
        <f t="shared" si="71"/>
        <v>652.050</v>
      </c>
      <c r="Y49" s="168" t="str">
        <f t="shared" si="72"/>
        <v>44.407</v>
      </c>
      <c r="Z49" s="164" t="str">
        <f t="shared" si="73"/>
        <v>5.00</v>
      </c>
      <c r="AA49" s="164">
        <v>90.0</v>
      </c>
      <c r="AB49" s="164">
        <v>30.0</v>
      </c>
      <c r="AC49" s="165" t="str">
        <f t="shared" si="74"/>
        <v>0.00</v>
      </c>
      <c r="AD49" s="23"/>
      <c r="AE49" s="169" t="str">
        <f t="shared" si="75"/>
        <v>0</v>
      </c>
      <c r="AF49" s="163" t="str">
        <f t="shared" si="76"/>
        <v>212.85</v>
      </c>
      <c r="AG49" s="170" t="str">
        <f t="shared" si="77"/>
        <v>47.05%</v>
      </c>
      <c r="AH49" s="26"/>
      <c r="AI49" s="171" t="str">
        <f t="shared" si="78"/>
        <v>0.00%</v>
      </c>
      <c r="AJ49" s="172" t="str">
        <f t="shared" si="79"/>
        <v>0.00</v>
      </c>
      <c r="AK49" s="173" t="str">
        <f t="shared" si="80"/>
        <v>-120.24</v>
      </c>
      <c r="AL49" s="174" t="str">
        <f t="shared" si="81"/>
        <v>-120.24</v>
      </c>
    </row>
    <row r="50" ht="12.75" customHeight="1">
      <c r="A50" s="26"/>
      <c r="B50" s="152"/>
      <c r="C50" s="336">
        <v>5.55135716E8</v>
      </c>
      <c r="D50" s="152" t="s">
        <v>743</v>
      </c>
      <c r="E50" s="53" t="s">
        <v>77</v>
      </c>
      <c r="F50" s="323"/>
      <c r="G50" s="324"/>
      <c r="H50" s="53"/>
      <c r="I50" s="53"/>
      <c r="J50" s="155"/>
      <c r="K50" s="156"/>
      <c r="L50" s="132">
        <v>90.0</v>
      </c>
      <c r="M50" s="325">
        <v>506.68</v>
      </c>
      <c r="N50" s="337">
        <v>3000.0</v>
      </c>
      <c r="O50" s="327" t="str">
        <f t="shared" si="66"/>
        <v>3,000.00</v>
      </c>
      <c r="P50" s="161">
        <v>0.34</v>
      </c>
      <c r="Q50" s="162" t="str">
        <f t="shared" si="67"/>
        <v>1,980.00</v>
      </c>
      <c r="R50" s="163" t="str">
        <f t="shared" si="68"/>
        <v>60.00</v>
      </c>
      <c r="S50" s="164" t="str">
        <f t="shared" si="69"/>
        <v>148.04</v>
      </c>
      <c r="T50" s="165" t="str">
        <f t="shared" si="70"/>
        <v>0.00</v>
      </c>
      <c r="U50" s="166">
        <v>14.85</v>
      </c>
      <c r="V50" s="167">
        <v>370.0</v>
      </c>
      <c r="W50" s="330">
        <v>0.345</v>
      </c>
      <c r="X50" s="168" t="str">
        <f t="shared" si="71"/>
        <v>1,035.000</v>
      </c>
      <c r="Y50" s="168" t="str">
        <f t="shared" si="72"/>
        <v>70.488</v>
      </c>
      <c r="Z50" s="164" t="str">
        <f t="shared" si="73"/>
        <v>5.00</v>
      </c>
      <c r="AA50" s="164">
        <v>90.0</v>
      </c>
      <c r="AB50" s="164">
        <v>30.0</v>
      </c>
      <c r="AC50" s="165" t="str">
        <f t="shared" si="74"/>
        <v>0.00</v>
      </c>
      <c r="AD50" s="23"/>
      <c r="AE50" s="169" t="str">
        <f t="shared" si="75"/>
        <v>0</v>
      </c>
      <c r="AF50" s="163" t="str">
        <f t="shared" si="76"/>
        <v>774.79</v>
      </c>
      <c r="AG50" s="170" t="str">
        <f t="shared" si="77"/>
        <v>152.92%</v>
      </c>
      <c r="AH50" s="26"/>
      <c r="AI50" s="171" t="str">
        <f t="shared" si="78"/>
        <v>0.00%</v>
      </c>
      <c r="AJ50" s="172" t="str">
        <f t="shared" si="79"/>
        <v>0.00</v>
      </c>
      <c r="AK50" s="173" t="str">
        <f t="shared" si="80"/>
        <v>-131.65</v>
      </c>
      <c r="AL50" s="174" t="str">
        <f t="shared" si="81"/>
        <v>-131.65</v>
      </c>
    </row>
    <row r="51" ht="12.75" customHeight="1">
      <c r="A51" s="26"/>
      <c r="B51" s="152"/>
      <c r="C51" s="336">
        <v>5.55151552E8</v>
      </c>
      <c r="D51" s="152" t="s">
        <v>744</v>
      </c>
      <c r="E51" s="53"/>
      <c r="F51" s="323"/>
      <c r="G51" s="324"/>
      <c r="H51" s="53"/>
      <c r="I51" s="53"/>
      <c r="J51" s="155"/>
      <c r="K51" s="156"/>
      <c r="L51" s="132">
        <v>90.0</v>
      </c>
      <c r="M51" s="325">
        <v>841.0</v>
      </c>
      <c r="N51" s="337">
        <v>5000.0</v>
      </c>
      <c r="O51" s="327" t="str">
        <f t="shared" si="66"/>
        <v>5,000.00</v>
      </c>
      <c r="P51" s="161">
        <v>0.34</v>
      </c>
      <c r="Q51" s="162" t="str">
        <f t="shared" si="67"/>
        <v>3,300.00</v>
      </c>
      <c r="R51" s="163" t="str">
        <f t="shared" si="68"/>
        <v>60.00</v>
      </c>
      <c r="S51" s="164" t="str">
        <f t="shared" si="69"/>
        <v>246.73</v>
      </c>
      <c r="T51" s="165" t="str">
        <f t="shared" si="70"/>
        <v>0.00</v>
      </c>
      <c r="U51" s="166">
        <v>14.85</v>
      </c>
      <c r="V51" s="167">
        <v>967.0</v>
      </c>
      <c r="W51" s="330">
        <v>0.345</v>
      </c>
      <c r="X51" s="168" t="str">
        <f t="shared" si="71"/>
        <v>1,725.000</v>
      </c>
      <c r="Y51" s="168" t="str">
        <f t="shared" si="72"/>
        <v>117.480</v>
      </c>
      <c r="Z51" s="164" t="str">
        <f t="shared" si="73"/>
        <v>5.00</v>
      </c>
      <c r="AA51" s="164">
        <v>90.0</v>
      </c>
      <c r="AB51" s="164">
        <v>30.0</v>
      </c>
      <c r="AC51" s="165" t="str">
        <f t="shared" si="74"/>
        <v>0.00</v>
      </c>
      <c r="AD51" s="23"/>
      <c r="AE51" s="169" t="str">
        <f t="shared" si="75"/>
        <v>0</v>
      </c>
      <c r="AF51" s="163" t="str">
        <f t="shared" si="76"/>
        <v>1,007.79</v>
      </c>
      <c r="AG51" s="170" t="str">
        <f t="shared" si="77"/>
        <v>119.83%</v>
      </c>
      <c r="AH51" s="26"/>
      <c r="AI51" s="171"/>
      <c r="AJ51" s="172"/>
      <c r="AK51" s="173"/>
      <c r="AL51" s="174"/>
    </row>
    <row r="52" ht="12.75" customHeight="1">
      <c r="A52" s="26"/>
      <c r="B52" s="152"/>
      <c r="C52" s="336">
        <v>5.55169767E8</v>
      </c>
      <c r="D52" s="152" t="s">
        <v>745</v>
      </c>
      <c r="E52" s="53"/>
      <c r="F52" s="323"/>
      <c r="G52" s="324"/>
      <c r="H52" s="53"/>
      <c r="I52" s="53"/>
      <c r="J52" s="155"/>
      <c r="K52" s="156"/>
      <c r="L52" s="132">
        <v>90.0</v>
      </c>
      <c r="M52" s="325">
        <v>1157.34</v>
      </c>
      <c r="N52" s="337">
        <v>9000.0</v>
      </c>
      <c r="O52" s="327" t="str">
        <f t="shared" si="66"/>
        <v>9,000.00</v>
      </c>
      <c r="P52" s="161">
        <v>0.34</v>
      </c>
      <c r="Q52" s="162" t="str">
        <f t="shared" si="67"/>
        <v>5,940.00</v>
      </c>
      <c r="R52" s="163" t="str">
        <f t="shared" si="68"/>
        <v>60.00</v>
      </c>
      <c r="S52" s="164" t="str">
        <f t="shared" si="69"/>
        <v>444.11</v>
      </c>
      <c r="T52" s="165" t="str">
        <f t="shared" si="70"/>
        <v>0.00</v>
      </c>
      <c r="U52" s="166">
        <v>14.85</v>
      </c>
      <c r="V52" s="167">
        <v>2443.0</v>
      </c>
      <c r="W52" s="330">
        <v>0.345</v>
      </c>
      <c r="X52" s="168" t="str">
        <f t="shared" si="71"/>
        <v>3,105.000</v>
      </c>
      <c r="Y52" s="168" t="str">
        <f t="shared" si="72"/>
        <v>211.464</v>
      </c>
      <c r="Z52" s="164" t="str">
        <f t="shared" si="73"/>
        <v>5.00</v>
      </c>
      <c r="AA52" s="164">
        <v>90.0</v>
      </c>
      <c r="AB52" s="164">
        <v>30.0</v>
      </c>
      <c r="AC52" s="165" t="str">
        <f t="shared" si="74"/>
        <v>0.00</v>
      </c>
      <c r="AD52" s="23"/>
      <c r="AE52" s="169" t="str">
        <f t="shared" si="75"/>
        <v>0</v>
      </c>
      <c r="AF52" s="163" t="str">
        <f t="shared" si="76"/>
        <v>1,544.08</v>
      </c>
      <c r="AG52" s="170" t="str">
        <f t="shared" si="77"/>
        <v>133.42%</v>
      </c>
      <c r="AH52" s="26"/>
      <c r="AI52" s="171"/>
      <c r="AJ52" s="172"/>
      <c r="AK52" s="173"/>
      <c r="AL52" s="174"/>
    </row>
    <row r="53" ht="12.75" customHeight="1">
      <c r="A53" s="26"/>
      <c r="B53" s="152"/>
      <c r="C53" s="336">
        <v>5.55204573E8</v>
      </c>
      <c r="D53" s="152" t="s">
        <v>746</v>
      </c>
      <c r="E53" s="53"/>
      <c r="F53" s="323"/>
      <c r="G53" s="324"/>
      <c r="H53" s="53"/>
      <c r="I53" s="53"/>
      <c r="J53" s="155"/>
      <c r="K53" s="156"/>
      <c r="L53" s="132">
        <v>90.0</v>
      </c>
      <c r="M53" s="325">
        <v>452.43</v>
      </c>
      <c r="N53" s="337">
        <v>2400.0</v>
      </c>
      <c r="O53" s="327" t="str">
        <f t="shared" si="66"/>
        <v>2,400.00</v>
      </c>
      <c r="P53" s="161">
        <v>0.34</v>
      </c>
      <c r="Q53" s="162" t="str">
        <f t="shared" si="67"/>
        <v>1,584.00</v>
      </c>
      <c r="R53" s="163" t="str">
        <f t="shared" si="68"/>
        <v>60.00</v>
      </c>
      <c r="S53" s="164" t="str">
        <f t="shared" si="69"/>
        <v>118.43</v>
      </c>
      <c r="T53" s="165" t="str">
        <f t="shared" si="70"/>
        <v>0.00</v>
      </c>
      <c r="U53" s="166">
        <v>10.08</v>
      </c>
      <c r="V53" s="167">
        <v>340.0</v>
      </c>
      <c r="W53" s="330">
        <v>0.345</v>
      </c>
      <c r="X53" s="168" t="str">
        <f t="shared" si="71"/>
        <v>828.000</v>
      </c>
      <c r="Y53" s="168" t="str">
        <f t="shared" si="72"/>
        <v>56.390</v>
      </c>
      <c r="Z53" s="164" t="str">
        <f t="shared" si="73"/>
        <v>5.00</v>
      </c>
      <c r="AA53" s="164">
        <v>90.0</v>
      </c>
      <c r="AB53" s="164">
        <v>30.0</v>
      </c>
      <c r="AC53" s="165" t="str">
        <f t="shared" si="74"/>
        <v>0.00</v>
      </c>
      <c r="AD53" s="23"/>
      <c r="AE53" s="169" t="str">
        <f t="shared" si="75"/>
        <v>0</v>
      </c>
      <c r="AF53" s="163" t="str">
        <f t="shared" si="76"/>
        <v>509.75</v>
      </c>
      <c r="AG53" s="170" t="str">
        <f t="shared" si="77"/>
        <v>112.67%</v>
      </c>
      <c r="AH53" s="26"/>
      <c r="AI53" s="171"/>
      <c r="AJ53" s="172"/>
      <c r="AK53" s="173"/>
      <c r="AL53" s="174"/>
    </row>
    <row r="54" ht="12.75" customHeight="1">
      <c r="A54" s="26"/>
      <c r="B54" s="152"/>
      <c r="C54" s="336">
        <v>5.55208894E8</v>
      </c>
      <c r="D54" s="152" t="s">
        <v>747</v>
      </c>
      <c r="E54" s="53"/>
      <c r="F54" s="323"/>
      <c r="G54" s="324"/>
      <c r="H54" s="53"/>
      <c r="I54" s="53"/>
      <c r="J54" s="155"/>
      <c r="K54" s="156"/>
      <c r="L54" s="132">
        <v>90.0</v>
      </c>
      <c r="M54" s="325">
        <v>506.68</v>
      </c>
      <c r="N54" s="337">
        <v>2600.0</v>
      </c>
      <c r="O54" s="327" t="str">
        <f t="shared" si="66"/>
        <v>2,600.00</v>
      </c>
      <c r="P54" s="161">
        <v>0.34</v>
      </c>
      <c r="Q54" s="162" t="str">
        <f t="shared" si="67"/>
        <v>1,716.00</v>
      </c>
      <c r="R54" s="163" t="str">
        <f t="shared" si="68"/>
        <v>60.00</v>
      </c>
      <c r="S54" s="164" t="str">
        <f t="shared" si="69"/>
        <v>128.30</v>
      </c>
      <c r="T54" s="165" t="str">
        <f t="shared" si="70"/>
        <v>0.00</v>
      </c>
      <c r="U54" s="166">
        <v>14.85</v>
      </c>
      <c r="V54" s="167">
        <v>370.0</v>
      </c>
      <c r="W54" s="330">
        <v>0.345</v>
      </c>
      <c r="X54" s="168" t="str">
        <f t="shared" si="71"/>
        <v>897.000</v>
      </c>
      <c r="Y54" s="168" t="str">
        <f t="shared" si="72"/>
        <v>61.090</v>
      </c>
      <c r="Z54" s="164" t="str">
        <f t="shared" si="73"/>
        <v>5.00</v>
      </c>
      <c r="AA54" s="164">
        <v>90.0</v>
      </c>
      <c r="AB54" s="164">
        <v>30.0</v>
      </c>
      <c r="AC54" s="165" t="str">
        <f t="shared" si="74"/>
        <v>0.00</v>
      </c>
      <c r="AD54" s="23"/>
      <c r="AE54" s="169" t="str">
        <f t="shared" si="75"/>
        <v>0</v>
      </c>
      <c r="AF54" s="163" t="str">
        <f t="shared" si="76"/>
        <v>541.93</v>
      </c>
      <c r="AG54" s="170" t="str">
        <f t="shared" si="77"/>
        <v>106.96%</v>
      </c>
      <c r="AH54" s="26"/>
      <c r="AI54" s="171"/>
      <c r="AJ54" s="172"/>
      <c r="AK54" s="173"/>
      <c r="AL54" s="174"/>
    </row>
    <row r="55" ht="12.75" customHeight="1">
      <c r="A55" s="26"/>
      <c r="B55" s="152"/>
      <c r="C55" s="336">
        <v>5.55212357E8</v>
      </c>
      <c r="D55" s="152" t="s">
        <v>748</v>
      </c>
      <c r="E55" s="53" t="s">
        <v>77</v>
      </c>
      <c r="F55" s="323"/>
      <c r="G55" s="324"/>
      <c r="H55" s="53"/>
      <c r="I55" s="53"/>
      <c r="J55" s="155"/>
      <c r="K55" s="156"/>
      <c r="L55" s="132">
        <v>90.0</v>
      </c>
      <c r="M55" s="325">
        <v>452.43</v>
      </c>
      <c r="N55" s="337">
        <v>2400.0</v>
      </c>
      <c r="O55" s="327" t="str">
        <f t="shared" si="66"/>
        <v>2,400.00</v>
      </c>
      <c r="P55" s="161">
        <v>0.34</v>
      </c>
      <c r="Q55" s="162" t="str">
        <f t="shared" si="67"/>
        <v>1,584.00</v>
      </c>
      <c r="R55" s="163" t="str">
        <f t="shared" si="68"/>
        <v>60.00</v>
      </c>
      <c r="S55" s="164" t="str">
        <f t="shared" si="69"/>
        <v>118.43</v>
      </c>
      <c r="T55" s="165" t="str">
        <f t="shared" si="70"/>
        <v>0.00</v>
      </c>
      <c r="U55" s="166">
        <v>10.08</v>
      </c>
      <c r="V55" s="167">
        <v>340.0</v>
      </c>
      <c r="W55" s="330">
        <v>0.345</v>
      </c>
      <c r="X55" s="168" t="str">
        <f t="shared" si="71"/>
        <v>828.000</v>
      </c>
      <c r="Y55" s="168" t="str">
        <f t="shared" si="72"/>
        <v>56.390</v>
      </c>
      <c r="Z55" s="164" t="str">
        <f t="shared" si="73"/>
        <v>5.00</v>
      </c>
      <c r="AA55" s="164">
        <v>90.0</v>
      </c>
      <c r="AB55" s="164">
        <v>30.0</v>
      </c>
      <c r="AC55" s="165" t="str">
        <f t="shared" si="74"/>
        <v>0.00</v>
      </c>
      <c r="AD55" s="23"/>
      <c r="AE55" s="169" t="str">
        <f t="shared" si="75"/>
        <v>0</v>
      </c>
      <c r="AF55" s="163" t="str">
        <f t="shared" si="76"/>
        <v>509.75</v>
      </c>
      <c r="AG55" s="170" t="str">
        <f t="shared" si="77"/>
        <v>112.67%</v>
      </c>
      <c r="AH55" s="26"/>
      <c r="AI55" s="171" t="str">
        <f t="shared" ref="AI55:AI58" si="84">$AC$3</f>
        <v>0.00%</v>
      </c>
      <c r="AJ55" s="172" t="str">
        <f t="shared" ref="AJ55:AJ58" si="85">M55*AI55</f>
        <v>0.00</v>
      </c>
      <c r="AK55" s="173" t="str">
        <f t="shared" ref="AK55:AK58" si="86">(M55+R55+T55+V55+Z55+AB55+AE55+AJ55)/(100%-($C$2+$C$8+$X$7+W55))</f>
        <v>-120.24</v>
      </c>
      <c r="AL55" s="174" t="str">
        <f t="shared" ref="AL55:AL58" si="87">AK55-(AK55*$AC$1)</f>
        <v>-120.24</v>
      </c>
    </row>
    <row r="56" ht="12.75" customHeight="1">
      <c r="A56" s="26"/>
      <c r="B56" s="152"/>
      <c r="C56" s="336">
        <v>5.5521358E8</v>
      </c>
      <c r="D56" s="152" t="s">
        <v>749</v>
      </c>
      <c r="E56" s="53" t="s">
        <v>77</v>
      </c>
      <c r="F56" s="323"/>
      <c r="G56" s="324"/>
      <c r="H56" s="53"/>
      <c r="I56" s="53"/>
      <c r="J56" s="155"/>
      <c r="K56" s="156"/>
      <c r="L56" s="132">
        <v>90.0</v>
      </c>
      <c r="M56" s="325">
        <v>506.68</v>
      </c>
      <c r="N56" s="337">
        <v>2600.0</v>
      </c>
      <c r="O56" s="327" t="str">
        <f t="shared" si="66"/>
        <v>2,600.00</v>
      </c>
      <c r="P56" s="161">
        <v>0.34</v>
      </c>
      <c r="Q56" s="162" t="str">
        <f t="shared" si="67"/>
        <v>1,716.00</v>
      </c>
      <c r="R56" s="163" t="str">
        <f t="shared" si="68"/>
        <v>60.00</v>
      </c>
      <c r="S56" s="164" t="str">
        <f t="shared" si="69"/>
        <v>128.30</v>
      </c>
      <c r="T56" s="165" t="str">
        <f t="shared" si="70"/>
        <v>0.00</v>
      </c>
      <c r="U56" s="166">
        <v>14.85</v>
      </c>
      <c r="V56" s="167">
        <v>370.0</v>
      </c>
      <c r="W56" s="330">
        <v>0.345</v>
      </c>
      <c r="X56" s="168" t="str">
        <f t="shared" si="71"/>
        <v>897.000</v>
      </c>
      <c r="Y56" s="168" t="str">
        <f t="shared" si="72"/>
        <v>61.090</v>
      </c>
      <c r="Z56" s="164" t="str">
        <f t="shared" si="73"/>
        <v>5.00</v>
      </c>
      <c r="AA56" s="164">
        <v>90.0</v>
      </c>
      <c r="AB56" s="164">
        <v>30.0</v>
      </c>
      <c r="AC56" s="165" t="str">
        <f t="shared" si="74"/>
        <v>0.00</v>
      </c>
      <c r="AD56" s="23"/>
      <c r="AE56" s="169" t="str">
        <f t="shared" si="75"/>
        <v>0</v>
      </c>
      <c r="AF56" s="163" t="str">
        <f t="shared" si="76"/>
        <v>541.93</v>
      </c>
      <c r="AG56" s="170" t="str">
        <f t="shared" si="77"/>
        <v>106.96%</v>
      </c>
      <c r="AH56" s="26"/>
      <c r="AI56" s="171" t="str">
        <f t="shared" si="84"/>
        <v>0.00%</v>
      </c>
      <c r="AJ56" s="172" t="str">
        <f t="shared" si="85"/>
        <v>0.00</v>
      </c>
      <c r="AK56" s="173" t="str">
        <f t="shared" si="86"/>
        <v>-131.65</v>
      </c>
      <c r="AL56" s="174" t="str">
        <f t="shared" si="87"/>
        <v>-131.65</v>
      </c>
    </row>
    <row r="57" ht="12.75" customHeight="1">
      <c r="A57" s="26"/>
      <c r="B57" s="152"/>
      <c r="C57" s="336">
        <v>1.90314124E8</v>
      </c>
      <c r="D57" s="152" t="s">
        <v>750</v>
      </c>
      <c r="E57" s="53" t="s">
        <v>77</v>
      </c>
      <c r="F57" s="323"/>
      <c r="G57" s="324"/>
      <c r="H57" s="53"/>
      <c r="I57" s="53"/>
      <c r="J57" s="155"/>
      <c r="K57" s="156"/>
      <c r="L57" s="132">
        <v>90.0</v>
      </c>
      <c r="M57" s="325">
        <v>303.72</v>
      </c>
      <c r="N57" s="337">
        <v>1410.0</v>
      </c>
      <c r="O57" s="327" t="str">
        <f t="shared" si="66"/>
        <v>1,410.00</v>
      </c>
      <c r="P57" s="161">
        <v>0.34</v>
      </c>
      <c r="Q57" s="162" t="str">
        <f t="shared" si="67"/>
        <v>930.60</v>
      </c>
      <c r="R57" s="163" t="str">
        <f t="shared" si="68"/>
        <v>60.00</v>
      </c>
      <c r="S57" s="164" t="str">
        <f t="shared" si="69"/>
        <v>69.58</v>
      </c>
      <c r="T57" s="165" t="str">
        <f t="shared" si="70"/>
        <v>0.00</v>
      </c>
      <c r="U57" s="166">
        <v>6.3</v>
      </c>
      <c r="V57" s="167">
        <v>270.0</v>
      </c>
      <c r="W57" s="330">
        <v>0.345</v>
      </c>
      <c r="X57" s="168" t="str">
        <f t="shared" si="71"/>
        <v>486.450</v>
      </c>
      <c r="Y57" s="168" t="str">
        <f t="shared" si="72"/>
        <v>33.129</v>
      </c>
      <c r="Z57" s="164" t="str">
        <f t="shared" si="73"/>
        <v>5.00</v>
      </c>
      <c r="AA57" s="164">
        <v>90.0</v>
      </c>
      <c r="AB57" s="164">
        <v>19.0</v>
      </c>
      <c r="AC57" s="165" t="str">
        <f t="shared" si="74"/>
        <v>0.00</v>
      </c>
      <c r="AD57" s="23"/>
      <c r="AE57" s="169" t="str">
        <f t="shared" si="75"/>
        <v>0</v>
      </c>
      <c r="AF57" s="163" t="str">
        <f t="shared" si="76"/>
        <v>163.12</v>
      </c>
      <c r="AG57" s="170" t="str">
        <f t="shared" si="77"/>
        <v>53.71%</v>
      </c>
      <c r="AH57" s="26"/>
      <c r="AI57" s="171" t="str">
        <f t="shared" si="84"/>
        <v>0.00%</v>
      </c>
      <c r="AJ57" s="172" t="str">
        <f t="shared" si="85"/>
        <v>0.00</v>
      </c>
      <c r="AK57" s="173" t="str">
        <f t="shared" si="86"/>
        <v>-89.11</v>
      </c>
      <c r="AL57" s="174" t="str">
        <f t="shared" si="87"/>
        <v>-89.11</v>
      </c>
    </row>
    <row r="58" ht="12.75" customHeight="1">
      <c r="A58" s="26"/>
      <c r="B58" s="152"/>
      <c r="C58" s="336">
        <v>1.90314349E8</v>
      </c>
      <c r="D58" s="152" t="s">
        <v>751</v>
      </c>
      <c r="E58" s="53" t="s">
        <v>77</v>
      </c>
      <c r="F58" s="323"/>
      <c r="G58" s="324"/>
      <c r="H58" s="53"/>
      <c r="I58" s="53"/>
      <c r="J58" s="155"/>
      <c r="K58" s="156"/>
      <c r="L58" s="132">
        <v>90.0</v>
      </c>
      <c r="M58" s="325">
        <v>303.72</v>
      </c>
      <c r="N58" s="337">
        <v>1500.0</v>
      </c>
      <c r="O58" s="327" t="str">
        <f t="shared" si="66"/>
        <v>1,500.00</v>
      </c>
      <c r="P58" s="161">
        <v>0.34</v>
      </c>
      <c r="Q58" s="162" t="str">
        <f t="shared" si="67"/>
        <v>990.00</v>
      </c>
      <c r="R58" s="163" t="str">
        <f t="shared" si="68"/>
        <v>60.00</v>
      </c>
      <c r="S58" s="164" t="str">
        <f t="shared" si="69"/>
        <v>74.02</v>
      </c>
      <c r="T58" s="165" t="str">
        <f t="shared" si="70"/>
        <v>0.00</v>
      </c>
      <c r="U58" s="166">
        <v>6.3</v>
      </c>
      <c r="V58" s="167">
        <v>270.0</v>
      </c>
      <c r="W58" s="330">
        <v>0.345</v>
      </c>
      <c r="X58" s="168" t="str">
        <f t="shared" si="71"/>
        <v>517.500</v>
      </c>
      <c r="Y58" s="168" t="str">
        <f t="shared" si="72"/>
        <v>35.244</v>
      </c>
      <c r="Z58" s="164" t="str">
        <f t="shared" si="73"/>
        <v>5.00</v>
      </c>
      <c r="AA58" s="164">
        <v>90.0</v>
      </c>
      <c r="AB58" s="164">
        <v>19.0</v>
      </c>
      <c r="AC58" s="165" t="str">
        <f t="shared" si="74"/>
        <v>0.00</v>
      </c>
      <c r="AD58" s="23"/>
      <c r="AE58" s="169" t="str">
        <f t="shared" si="75"/>
        <v>0</v>
      </c>
      <c r="AF58" s="163" t="str">
        <f t="shared" si="76"/>
        <v>215.52</v>
      </c>
      <c r="AG58" s="170" t="str">
        <f t="shared" si="77"/>
        <v>70.96%</v>
      </c>
      <c r="AH58" s="26"/>
      <c r="AI58" s="171" t="str">
        <f t="shared" si="84"/>
        <v>0.00%</v>
      </c>
      <c r="AJ58" s="172" t="str">
        <f t="shared" si="85"/>
        <v>0.00</v>
      </c>
      <c r="AK58" s="173" t="str">
        <f t="shared" si="86"/>
        <v>-89.11</v>
      </c>
      <c r="AL58" s="174" t="str">
        <f t="shared" si="87"/>
        <v>-89.11</v>
      </c>
    </row>
    <row r="59" ht="12.75" customHeight="1">
      <c r="A59" s="26"/>
      <c r="B59" s="319" t="s">
        <v>752</v>
      </c>
      <c r="C59" s="126"/>
      <c r="D59" s="127"/>
      <c r="E59" s="128"/>
      <c r="F59" s="129"/>
      <c r="G59" s="128"/>
      <c r="H59" s="197"/>
      <c r="I59" s="128"/>
      <c r="J59" s="130"/>
      <c r="K59" s="131"/>
      <c r="L59" s="132"/>
      <c r="M59" s="320"/>
      <c r="N59" s="134"/>
      <c r="O59" s="321"/>
      <c r="P59" s="136"/>
      <c r="Q59" s="137"/>
      <c r="R59" s="177"/>
      <c r="S59" s="178"/>
      <c r="T59" s="179"/>
      <c r="U59" s="180"/>
      <c r="V59" s="181"/>
      <c r="W59" s="333"/>
      <c r="X59" s="182"/>
      <c r="Y59" s="182"/>
      <c r="Z59" s="178"/>
      <c r="AA59" s="178"/>
      <c r="AB59" s="178"/>
      <c r="AC59" s="179"/>
      <c r="AD59" s="183"/>
      <c r="AE59" s="184"/>
      <c r="AF59" s="177"/>
      <c r="AG59" s="185"/>
      <c r="AH59" s="26"/>
      <c r="AI59" s="186"/>
      <c r="AJ59" s="187"/>
      <c r="AK59" s="188"/>
      <c r="AL59" s="189"/>
    </row>
    <row r="60" ht="12.75" customHeight="1">
      <c r="A60" s="26"/>
      <c r="B60" s="152"/>
      <c r="C60" s="338">
        <v>1.99864239E8</v>
      </c>
      <c r="D60" s="152" t="s">
        <v>753</v>
      </c>
      <c r="E60" s="53" t="s">
        <v>77</v>
      </c>
      <c r="F60" s="323">
        <v>1.0</v>
      </c>
      <c r="G60" s="324"/>
      <c r="H60" s="53" t="str">
        <f t="shared" ref="H60:H70" si="88">$H$3</f>
        <v>12.5</v>
      </c>
      <c r="I60" s="53" t="str">
        <f t="shared" ref="I60:I70" si="89">F60*G60*H60</f>
        <v>0</v>
      </c>
      <c r="J60" s="155" t="str">
        <f t="shared" ref="J60:J70" si="90">I60*$I$4</f>
        <v>0.00</v>
      </c>
      <c r="K60" s="156" t="str">
        <f t="shared" ref="K60:K70" si="91">J60+I60</f>
        <v>0.00 </v>
      </c>
      <c r="L60" s="132">
        <v>90.0</v>
      </c>
      <c r="M60" s="325">
        <v>2048.85</v>
      </c>
      <c r="N60" s="326">
        <v>3250.25</v>
      </c>
      <c r="O60" s="327"/>
      <c r="P60" s="161">
        <v>0.21</v>
      </c>
      <c r="Q60" s="162" t="str">
        <f t="shared" ref="Q60:Q70" si="92">N60-(N60*P60)</f>
        <v>2,567.70</v>
      </c>
      <c r="R60" s="163" t="str">
        <f t="shared" ref="R60:R70" si="93">$C$1</f>
        <v>60.00</v>
      </c>
      <c r="S60" s="164" t="str">
        <f t="shared" ref="S60:S70" si="94">(Q60*7/107)+((Q60-(Q60*7/107))*1%)</f>
        <v>191.98</v>
      </c>
      <c r="T60" s="165" t="str">
        <f t="shared" ref="T60:T70" si="95">M60*$C$3*(L60/30)</f>
        <v>0.00</v>
      </c>
      <c r="U60" s="329">
        <v>4.1</v>
      </c>
      <c r="V60" s="167" t="str">
        <f t="shared" ref="V60:V63" si="96">((_xlfn.CEILING.MATH(U60)-1)*$C$5+$C$4)</f>
        <v>152</v>
      </c>
      <c r="W60" s="330">
        <v>0.145</v>
      </c>
      <c r="X60" s="168" t="str">
        <f t="shared" ref="X60:X70" si="97">N60*W60</f>
        <v>471.286</v>
      </c>
      <c r="Y60" s="168" t="str">
        <f t="shared" ref="Y60:Y70" si="98">Q60*$X$7</f>
        <v>91.410</v>
      </c>
      <c r="Z60" s="164" t="str">
        <f t="shared" ref="Z60:Z70" si="99">$X$3*((100-AA60)/100)</f>
        <v>7.15</v>
      </c>
      <c r="AA60" s="331">
        <v>85.71</v>
      </c>
      <c r="AB60" s="164" t="str">
        <f t="shared" ref="AB60:AB70" si="100">$C$6*$C$7*_xlfn.CEILING.MATH(U60)</f>
        <v>48.00</v>
      </c>
      <c r="AC60" s="165" t="str">
        <f t="shared" ref="AC60:AC70" si="101">N60*$C$2</f>
        <v>0.00</v>
      </c>
      <c r="AD60" s="23"/>
      <c r="AE60" s="169" t="str">
        <f t="shared" ref="AE60:AE70" si="102">(_xlfn.CEILING.MATH(U60))*$X$1*$AC$2</f>
        <v>0</v>
      </c>
      <c r="AF60" s="163" t="str">
        <f t="shared" ref="AF60:AF70" si="103">N60-R60-S60-T60-V60-X60-Y60-Z60-AB60-AC60-M60</f>
        <v>179.58</v>
      </c>
      <c r="AG60" s="170" t="str">
        <f t="shared" ref="AG60:AG70" si="104">AF60/M60</f>
        <v>8.76%</v>
      </c>
      <c r="AH60" s="26"/>
      <c r="AI60" s="171" t="str">
        <f t="shared" ref="AI60:AI70" si="105">$AC$3</f>
        <v>0.00%</v>
      </c>
      <c r="AJ60" s="172" t="str">
        <f t="shared" ref="AJ60:AJ70" si="106">M60*AI60</f>
        <v>0.00</v>
      </c>
      <c r="AK60" s="173" t="str">
        <f t="shared" ref="AK60:AK70" si="107">(M60+R60+T60+V60+Z60+AB60+AE60+AJ60)/(100%-($C$2+$C$8+$X$7+W60))</f>
        <v>-322.54</v>
      </c>
      <c r="AL60" s="174" t="str">
        <f t="shared" ref="AL60:AL70" si="108">AK60-(AK60*$AC$1)</f>
        <v>-322.54</v>
      </c>
    </row>
    <row r="61" ht="12.75" customHeight="1">
      <c r="A61" s="26"/>
      <c r="B61" s="152"/>
      <c r="C61" s="216"/>
      <c r="D61" s="152" t="s">
        <v>754</v>
      </c>
      <c r="E61" s="53" t="s">
        <v>77</v>
      </c>
      <c r="F61" s="323">
        <v>1.0</v>
      </c>
      <c r="G61" s="324">
        <v>49.0</v>
      </c>
      <c r="H61" s="53" t="str">
        <f t="shared" si="88"/>
        <v>12.5</v>
      </c>
      <c r="I61" s="53" t="str">
        <f t="shared" si="89"/>
        <v>612.5</v>
      </c>
      <c r="J61" s="155" t="str">
        <f t="shared" si="90"/>
        <v>110.25</v>
      </c>
      <c r="K61" s="156" t="str">
        <f t="shared" si="91"/>
        <v>722.75 </v>
      </c>
      <c r="L61" s="132">
        <v>90.0</v>
      </c>
      <c r="M61" s="325" t="str">
        <f t="shared" ref="M61:M62" si="109">K61/F61</f>
        <v>722.75</v>
      </c>
      <c r="N61" s="326">
        <v>1496.04</v>
      </c>
      <c r="O61" s="327"/>
      <c r="P61" s="161">
        <v>0.21</v>
      </c>
      <c r="Q61" s="162" t="str">
        <f t="shared" si="92"/>
        <v>1,181.87</v>
      </c>
      <c r="R61" s="163" t="str">
        <f t="shared" si="93"/>
        <v>60.00</v>
      </c>
      <c r="S61" s="164" t="str">
        <f t="shared" si="94"/>
        <v>88.36</v>
      </c>
      <c r="T61" s="165" t="str">
        <f t="shared" si="95"/>
        <v>0.00</v>
      </c>
      <c r="U61" s="329">
        <v>4.1</v>
      </c>
      <c r="V61" s="167" t="str">
        <f t="shared" si="96"/>
        <v>152</v>
      </c>
      <c r="W61" s="330">
        <v>0.145</v>
      </c>
      <c r="X61" s="168" t="str">
        <f t="shared" si="97"/>
        <v>216.926</v>
      </c>
      <c r="Y61" s="168" t="str">
        <f t="shared" si="98"/>
        <v>42.075</v>
      </c>
      <c r="Z61" s="164" t="str">
        <f t="shared" si="99"/>
        <v>7.64</v>
      </c>
      <c r="AA61" s="331">
        <v>84.73</v>
      </c>
      <c r="AB61" s="164" t="str">
        <f t="shared" si="100"/>
        <v>48.00</v>
      </c>
      <c r="AC61" s="165" t="str">
        <f t="shared" si="101"/>
        <v>0.00</v>
      </c>
      <c r="AD61" s="23"/>
      <c r="AE61" s="169" t="str">
        <f t="shared" si="102"/>
        <v>0</v>
      </c>
      <c r="AF61" s="163" t="str">
        <f t="shared" si="103"/>
        <v>158.29</v>
      </c>
      <c r="AG61" s="170" t="str">
        <f t="shared" si="104"/>
        <v>21.90%</v>
      </c>
      <c r="AH61" s="26"/>
      <c r="AI61" s="171" t="str">
        <f t="shared" si="105"/>
        <v>0.00%</v>
      </c>
      <c r="AJ61" s="172" t="str">
        <f t="shared" si="106"/>
        <v>0.00</v>
      </c>
      <c r="AK61" s="173" t="str">
        <f t="shared" si="107"/>
        <v>-137.93</v>
      </c>
      <c r="AL61" s="174" t="str">
        <f t="shared" si="108"/>
        <v>-137.93</v>
      </c>
    </row>
    <row r="62" ht="12.75" customHeight="1">
      <c r="A62" s="26"/>
      <c r="B62" s="152"/>
      <c r="C62" s="216"/>
      <c r="D62" s="152" t="s">
        <v>755</v>
      </c>
      <c r="E62" s="53" t="s">
        <v>77</v>
      </c>
      <c r="F62" s="323">
        <v>1.0</v>
      </c>
      <c r="G62" s="324"/>
      <c r="H62" s="53" t="str">
        <f t="shared" si="88"/>
        <v>12.5</v>
      </c>
      <c r="I62" s="53" t="str">
        <f t="shared" si="89"/>
        <v>0</v>
      </c>
      <c r="J62" s="155" t="str">
        <f t="shared" si="90"/>
        <v>0.00</v>
      </c>
      <c r="K62" s="156" t="str">
        <f t="shared" si="91"/>
        <v>0.00 </v>
      </c>
      <c r="L62" s="132">
        <v>90.0</v>
      </c>
      <c r="M62" s="325" t="str">
        <f t="shared" si="109"/>
        <v>0.00</v>
      </c>
      <c r="N62" s="326">
        <v>1786.5</v>
      </c>
      <c r="O62" s="327"/>
      <c r="P62" s="161">
        <v>0.24</v>
      </c>
      <c r="Q62" s="162" t="str">
        <f t="shared" si="92"/>
        <v>1,357.74</v>
      </c>
      <c r="R62" s="163" t="str">
        <f t="shared" si="93"/>
        <v>60.00</v>
      </c>
      <c r="S62" s="164" t="str">
        <f t="shared" si="94"/>
        <v>101.51</v>
      </c>
      <c r="T62" s="165" t="str">
        <f t="shared" si="95"/>
        <v>0.00</v>
      </c>
      <c r="U62" s="329">
        <v>25.74</v>
      </c>
      <c r="V62" s="167" t="str">
        <f t="shared" si="96"/>
        <v>551</v>
      </c>
      <c r="W62" s="330">
        <v>0.185</v>
      </c>
      <c r="X62" s="168" t="str">
        <f t="shared" si="97"/>
        <v>330.503</v>
      </c>
      <c r="Y62" s="168" t="str">
        <f t="shared" si="98"/>
        <v>48.336</v>
      </c>
      <c r="Z62" s="164" t="str">
        <f t="shared" si="99"/>
        <v>4.71</v>
      </c>
      <c r="AA62" s="331">
        <v>90.59</v>
      </c>
      <c r="AB62" s="164" t="str">
        <f t="shared" si="100"/>
        <v>249.60</v>
      </c>
      <c r="AC62" s="165" t="str">
        <f t="shared" si="101"/>
        <v>0.00</v>
      </c>
      <c r="AD62" s="23"/>
      <c r="AE62" s="169" t="str">
        <f t="shared" si="102"/>
        <v>0</v>
      </c>
      <c r="AF62" s="163" t="str">
        <f t="shared" si="103"/>
        <v>440.84</v>
      </c>
      <c r="AG62" s="170" t="str">
        <f t="shared" si="104"/>
        <v>#DIV/0!</v>
      </c>
      <c r="AH62" s="26"/>
      <c r="AI62" s="171" t="str">
        <f t="shared" si="105"/>
        <v>0.00%</v>
      </c>
      <c r="AJ62" s="172" t="str">
        <f t="shared" si="106"/>
        <v>0.00</v>
      </c>
      <c r="AK62" s="173" t="str">
        <f t="shared" si="107"/>
        <v>-119.84</v>
      </c>
      <c r="AL62" s="174" t="str">
        <f t="shared" si="108"/>
        <v>-119.84</v>
      </c>
    </row>
    <row r="63" ht="12.75" customHeight="1">
      <c r="A63" s="26"/>
      <c r="B63" s="152"/>
      <c r="C63" s="216"/>
      <c r="D63" s="152" t="s">
        <v>756</v>
      </c>
      <c r="E63" s="53" t="s">
        <v>77</v>
      </c>
      <c r="F63" s="323">
        <v>1.0</v>
      </c>
      <c r="G63" s="324"/>
      <c r="H63" s="53" t="str">
        <f t="shared" si="88"/>
        <v>12.5</v>
      </c>
      <c r="I63" s="53" t="str">
        <f t="shared" si="89"/>
        <v>0</v>
      </c>
      <c r="J63" s="155" t="str">
        <f t="shared" si="90"/>
        <v>0.00</v>
      </c>
      <c r="K63" s="156" t="str">
        <f t="shared" si="91"/>
        <v>0.00 </v>
      </c>
      <c r="L63" s="132">
        <v>90.0</v>
      </c>
      <c r="M63" s="325">
        <v>452.0</v>
      </c>
      <c r="N63" s="326">
        <v>2240.0</v>
      </c>
      <c r="O63" s="327"/>
      <c r="P63" s="161">
        <v>0.24</v>
      </c>
      <c r="Q63" s="162" t="str">
        <f t="shared" si="92"/>
        <v>1,702.40</v>
      </c>
      <c r="R63" s="163" t="str">
        <f t="shared" si="93"/>
        <v>60.00</v>
      </c>
      <c r="S63" s="164" t="str">
        <f t="shared" si="94"/>
        <v>127.28</v>
      </c>
      <c r="T63" s="165" t="str">
        <f t="shared" si="95"/>
        <v>0.00</v>
      </c>
      <c r="U63" s="329">
        <v>19.305</v>
      </c>
      <c r="V63" s="167" t="str">
        <f t="shared" si="96"/>
        <v>437</v>
      </c>
      <c r="W63" s="330">
        <v>0.185</v>
      </c>
      <c r="X63" s="168" t="str">
        <f t="shared" si="97"/>
        <v>414.400</v>
      </c>
      <c r="Y63" s="168" t="str">
        <f t="shared" si="98"/>
        <v>60.605</v>
      </c>
      <c r="Z63" s="164" t="str">
        <f t="shared" si="99"/>
        <v>6.28</v>
      </c>
      <c r="AA63" s="331">
        <v>87.45</v>
      </c>
      <c r="AB63" s="164" t="str">
        <f t="shared" si="100"/>
        <v>192.00</v>
      </c>
      <c r="AC63" s="165" t="str">
        <f t="shared" si="101"/>
        <v>0.00</v>
      </c>
      <c r="AD63" s="23"/>
      <c r="AE63" s="169" t="str">
        <f t="shared" si="102"/>
        <v>0</v>
      </c>
      <c r="AF63" s="163" t="str">
        <f t="shared" si="103"/>
        <v>490.44</v>
      </c>
      <c r="AG63" s="170" t="str">
        <f t="shared" si="104"/>
        <v>108.50%</v>
      </c>
      <c r="AH63" s="26"/>
      <c r="AI63" s="171" t="str">
        <f t="shared" si="105"/>
        <v>0.00%</v>
      </c>
      <c r="AJ63" s="172" t="str">
        <f t="shared" si="106"/>
        <v>0.00</v>
      </c>
      <c r="AK63" s="173" t="str">
        <f t="shared" si="107"/>
        <v>-158.89</v>
      </c>
      <c r="AL63" s="174" t="str">
        <f t="shared" si="108"/>
        <v>-158.89</v>
      </c>
    </row>
    <row r="64" ht="12.75" customHeight="1">
      <c r="A64" s="26"/>
      <c r="B64" s="152"/>
      <c r="C64" s="338">
        <v>2.08208674E8</v>
      </c>
      <c r="D64" s="152" t="s">
        <v>757</v>
      </c>
      <c r="E64" s="53" t="s">
        <v>77</v>
      </c>
      <c r="F64" s="323">
        <v>1.0</v>
      </c>
      <c r="G64" s="324">
        <v>57.0</v>
      </c>
      <c r="H64" s="53" t="str">
        <f t="shared" si="88"/>
        <v>12.5</v>
      </c>
      <c r="I64" s="53" t="str">
        <f t="shared" si="89"/>
        <v>712.5</v>
      </c>
      <c r="J64" s="155" t="str">
        <f t="shared" si="90"/>
        <v>128.25</v>
      </c>
      <c r="K64" s="156" t="str">
        <f t="shared" si="91"/>
        <v>840.75 </v>
      </c>
      <c r="L64" s="132">
        <v>90.0</v>
      </c>
      <c r="M64" s="325" t="str">
        <f t="shared" ref="M64:M65" si="110">K64/F64</f>
        <v>840.75</v>
      </c>
      <c r="N64" s="326">
        <v>3249.0</v>
      </c>
      <c r="O64" s="327">
        <v>2860.0</v>
      </c>
      <c r="P64" s="161">
        <v>0.31</v>
      </c>
      <c r="Q64" s="162" t="str">
        <f t="shared" si="92"/>
        <v>2,241.81</v>
      </c>
      <c r="R64" s="163" t="str">
        <f t="shared" si="93"/>
        <v>60.00</v>
      </c>
      <c r="S64" s="164" t="str">
        <f t="shared" si="94"/>
        <v>167.61</v>
      </c>
      <c r="T64" s="165" t="str">
        <f t="shared" si="95"/>
        <v>0.00</v>
      </c>
      <c r="U64" s="329">
        <v>2.59</v>
      </c>
      <c r="V64" s="167">
        <v>104.0</v>
      </c>
      <c r="W64" s="330">
        <v>0.275</v>
      </c>
      <c r="X64" s="168" t="str">
        <f t="shared" si="97"/>
        <v>893.475</v>
      </c>
      <c r="Y64" s="168" t="str">
        <f t="shared" si="98"/>
        <v>79.808</v>
      </c>
      <c r="Z64" s="164" t="str">
        <f t="shared" si="99"/>
        <v>4.25</v>
      </c>
      <c r="AA64" s="331">
        <v>91.5</v>
      </c>
      <c r="AB64" s="164" t="str">
        <f t="shared" si="100"/>
        <v>28.80</v>
      </c>
      <c r="AC64" s="165" t="str">
        <f t="shared" si="101"/>
        <v>0.00</v>
      </c>
      <c r="AD64" s="23"/>
      <c r="AE64" s="169" t="str">
        <f t="shared" si="102"/>
        <v>0</v>
      </c>
      <c r="AF64" s="163" t="str">
        <f t="shared" si="103"/>
        <v>1,070.30</v>
      </c>
      <c r="AG64" s="170" t="str">
        <f t="shared" si="104"/>
        <v>127.30%</v>
      </c>
      <c r="AH64" s="26"/>
      <c r="AI64" s="171" t="str">
        <f t="shared" si="105"/>
        <v>0.00%</v>
      </c>
      <c r="AJ64" s="172" t="str">
        <f t="shared" si="106"/>
        <v>0.00</v>
      </c>
      <c r="AK64" s="173" t="str">
        <f t="shared" si="107"/>
        <v>-141.96</v>
      </c>
      <c r="AL64" s="174" t="str">
        <f t="shared" si="108"/>
        <v>-141.96</v>
      </c>
    </row>
    <row r="65" ht="12.75" customHeight="1">
      <c r="A65" s="26"/>
      <c r="B65" s="152"/>
      <c r="C65" s="216"/>
      <c r="D65" s="152" t="s">
        <v>758</v>
      </c>
      <c r="E65" s="53" t="s">
        <v>77</v>
      </c>
      <c r="F65" s="323">
        <v>1.0</v>
      </c>
      <c r="G65" s="324"/>
      <c r="H65" s="53" t="str">
        <f t="shared" si="88"/>
        <v>12.5</v>
      </c>
      <c r="I65" s="53" t="str">
        <f t="shared" si="89"/>
        <v>0</v>
      </c>
      <c r="J65" s="155" t="str">
        <f t="shared" si="90"/>
        <v>0.00</v>
      </c>
      <c r="K65" s="156" t="str">
        <f t="shared" si="91"/>
        <v>0.00 </v>
      </c>
      <c r="L65" s="132">
        <v>90.0</v>
      </c>
      <c r="M65" s="325" t="str">
        <f t="shared" si="110"/>
        <v>0.00</v>
      </c>
      <c r="N65" s="326">
        <v>2175.0</v>
      </c>
      <c r="O65" s="327"/>
      <c r="P65" s="161">
        <v>0.28</v>
      </c>
      <c r="Q65" s="162" t="str">
        <f t="shared" si="92"/>
        <v>1,566.00</v>
      </c>
      <c r="R65" s="163" t="str">
        <f t="shared" si="93"/>
        <v>60.00</v>
      </c>
      <c r="S65" s="164" t="str">
        <f t="shared" si="94"/>
        <v>117.08</v>
      </c>
      <c r="T65" s="165" t="str">
        <f t="shared" si="95"/>
        <v>0.00</v>
      </c>
      <c r="U65" s="329">
        <v>2.38</v>
      </c>
      <c r="V65" s="167" t="str">
        <f>((_xlfn.CEILING.MATH(U65)-1)*$C$5+$C$4)</f>
        <v>114</v>
      </c>
      <c r="W65" s="330">
        <v>0.225</v>
      </c>
      <c r="X65" s="168" t="str">
        <f t="shared" si="97"/>
        <v>489.375</v>
      </c>
      <c r="Y65" s="168" t="str">
        <f t="shared" si="98"/>
        <v>55.750</v>
      </c>
      <c r="Z65" s="164" t="str">
        <f t="shared" si="99"/>
        <v>2.81</v>
      </c>
      <c r="AA65" s="331">
        <v>94.38</v>
      </c>
      <c r="AB65" s="164" t="str">
        <f t="shared" si="100"/>
        <v>28.80</v>
      </c>
      <c r="AC65" s="165" t="str">
        <f t="shared" si="101"/>
        <v>0.00</v>
      </c>
      <c r="AD65" s="23"/>
      <c r="AE65" s="169" t="str">
        <f t="shared" si="102"/>
        <v>0</v>
      </c>
      <c r="AF65" s="163" t="str">
        <f t="shared" si="103"/>
        <v>1,307.18</v>
      </c>
      <c r="AG65" s="170" t="str">
        <f t="shared" si="104"/>
        <v>#DIV/0!</v>
      </c>
      <c r="AH65" s="26"/>
      <c r="AI65" s="171" t="str">
        <f t="shared" si="105"/>
        <v>0.00%</v>
      </c>
      <c r="AJ65" s="172" t="str">
        <f t="shared" si="106"/>
        <v>0.00</v>
      </c>
      <c r="AK65" s="173" t="str">
        <f t="shared" si="107"/>
        <v>-28.32</v>
      </c>
      <c r="AL65" s="174" t="str">
        <f t="shared" si="108"/>
        <v>-28.32</v>
      </c>
    </row>
    <row r="66" ht="12.75" customHeight="1">
      <c r="A66" s="26"/>
      <c r="B66" s="152"/>
      <c r="C66" s="338">
        <v>1.80852804E8</v>
      </c>
      <c r="D66" s="152" t="s">
        <v>759</v>
      </c>
      <c r="E66" s="53" t="s">
        <v>77</v>
      </c>
      <c r="F66" s="323">
        <v>1.0</v>
      </c>
      <c r="G66" s="324">
        <v>49.5</v>
      </c>
      <c r="H66" s="53" t="str">
        <f t="shared" si="88"/>
        <v>12.5</v>
      </c>
      <c r="I66" s="53" t="str">
        <f t="shared" si="89"/>
        <v>618.75</v>
      </c>
      <c r="J66" s="155" t="str">
        <f t="shared" si="90"/>
        <v>111.38</v>
      </c>
      <c r="K66" s="156" t="str">
        <f t="shared" si="91"/>
        <v>730.13 </v>
      </c>
      <c r="L66" s="132">
        <v>90.0</v>
      </c>
      <c r="M66" s="325">
        <v>760.0</v>
      </c>
      <c r="N66" s="326">
        <v>1800.0</v>
      </c>
      <c r="O66" s="327"/>
      <c r="P66" s="161">
        <v>0.27</v>
      </c>
      <c r="Q66" s="162" t="str">
        <f t="shared" si="92"/>
        <v>1,314.00</v>
      </c>
      <c r="R66" s="163" t="str">
        <f t="shared" si="93"/>
        <v>60.00</v>
      </c>
      <c r="S66" s="164" t="str">
        <f t="shared" si="94"/>
        <v>98.24</v>
      </c>
      <c r="T66" s="165" t="str">
        <f t="shared" si="95"/>
        <v>0.00</v>
      </c>
      <c r="U66" s="329">
        <v>1.375</v>
      </c>
      <c r="V66" s="167">
        <v>89.0</v>
      </c>
      <c r="W66" s="330">
        <v>0.255</v>
      </c>
      <c r="X66" s="168" t="str">
        <f t="shared" si="97"/>
        <v>459.000</v>
      </c>
      <c r="Y66" s="168" t="str">
        <f t="shared" si="98"/>
        <v>46.778</v>
      </c>
      <c r="Z66" s="164" t="str">
        <f t="shared" si="99"/>
        <v>5.31</v>
      </c>
      <c r="AA66" s="331">
        <v>89.39</v>
      </c>
      <c r="AB66" s="164" t="str">
        <f t="shared" si="100"/>
        <v>19.20</v>
      </c>
      <c r="AC66" s="165" t="str">
        <f t="shared" si="101"/>
        <v>0.00</v>
      </c>
      <c r="AD66" s="23"/>
      <c r="AE66" s="169" t="str">
        <f t="shared" si="102"/>
        <v>0</v>
      </c>
      <c r="AF66" s="163" t="str">
        <f t="shared" si="103"/>
        <v>262.47</v>
      </c>
      <c r="AG66" s="170" t="str">
        <f t="shared" si="104"/>
        <v>34.54%</v>
      </c>
      <c r="AH66" s="26"/>
      <c r="AI66" s="171" t="str">
        <f t="shared" si="105"/>
        <v>0.00%</v>
      </c>
      <c r="AJ66" s="172" t="str">
        <f t="shared" si="106"/>
        <v>0.00</v>
      </c>
      <c r="AK66" s="173" t="str">
        <f t="shared" si="107"/>
        <v>-128.04</v>
      </c>
      <c r="AL66" s="174" t="str">
        <f t="shared" si="108"/>
        <v>-128.04</v>
      </c>
    </row>
    <row r="67" ht="12.75" customHeight="1">
      <c r="A67" s="26"/>
      <c r="B67" s="152"/>
      <c r="C67" s="216"/>
      <c r="D67" s="190" t="s">
        <v>760</v>
      </c>
      <c r="E67" s="53" t="s">
        <v>77</v>
      </c>
      <c r="F67" s="323">
        <v>1.0</v>
      </c>
      <c r="G67" s="324"/>
      <c r="H67" s="53" t="str">
        <f t="shared" si="88"/>
        <v>12.5</v>
      </c>
      <c r="I67" s="53" t="str">
        <f t="shared" si="89"/>
        <v>0</v>
      </c>
      <c r="J67" s="155" t="str">
        <f t="shared" si="90"/>
        <v>0.00</v>
      </c>
      <c r="K67" s="156" t="str">
        <f t="shared" si="91"/>
        <v>0.00 </v>
      </c>
      <c r="L67" s="132">
        <v>90.0</v>
      </c>
      <c r="M67" s="325" t="str">
        <f t="shared" ref="M67:M70" si="111">K67/F67</f>
        <v>0.00</v>
      </c>
      <c r="N67" s="326">
        <v>780.0</v>
      </c>
      <c r="O67" s="327"/>
      <c r="P67" s="161">
        <v>0.21</v>
      </c>
      <c r="Q67" s="162" t="str">
        <f t="shared" si="92"/>
        <v>616.20</v>
      </c>
      <c r="R67" s="163" t="str">
        <f t="shared" si="93"/>
        <v>60.00</v>
      </c>
      <c r="S67" s="164" t="str">
        <f t="shared" si="94"/>
        <v>46.07</v>
      </c>
      <c r="T67" s="165" t="str">
        <f t="shared" si="95"/>
        <v>0.00</v>
      </c>
      <c r="U67" s="329">
        <v>1.2</v>
      </c>
      <c r="V67" s="167" t="str">
        <f t="shared" ref="V67:V70" si="112">((_xlfn.CEILING.MATH(U67)-1)*$C$5+$C$4)</f>
        <v>95</v>
      </c>
      <c r="W67" s="330">
        <v>0.155</v>
      </c>
      <c r="X67" s="168" t="str">
        <f t="shared" si="97"/>
        <v>120.900</v>
      </c>
      <c r="Y67" s="168" t="str">
        <f t="shared" si="98"/>
        <v>21.937</v>
      </c>
      <c r="Z67" s="164" t="str">
        <f t="shared" si="99"/>
        <v>2.46</v>
      </c>
      <c r="AA67" s="331">
        <v>95.09</v>
      </c>
      <c r="AB67" s="164" t="str">
        <f t="shared" si="100"/>
        <v>19.20</v>
      </c>
      <c r="AC67" s="165" t="str">
        <f t="shared" si="101"/>
        <v>0.00</v>
      </c>
      <c r="AD67" s="23"/>
      <c r="AE67" s="169" t="str">
        <f t="shared" si="102"/>
        <v>0</v>
      </c>
      <c r="AF67" s="163" t="str">
        <f t="shared" si="103"/>
        <v>414.44</v>
      </c>
      <c r="AG67" s="170" t="str">
        <f t="shared" si="104"/>
        <v>#DIV/0!</v>
      </c>
      <c r="AH67" s="26"/>
      <c r="AI67" s="171" t="str">
        <f t="shared" si="105"/>
        <v>0.00%</v>
      </c>
      <c r="AJ67" s="172" t="str">
        <f t="shared" si="106"/>
        <v>0.00</v>
      </c>
      <c r="AK67" s="173" t="str">
        <f t="shared" si="107"/>
        <v>-24.57</v>
      </c>
      <c r="AL67" s="174" t="str">
        <f t="shared" si="108"/>
        <v>-24.57</v>
      </c>
    </row>
    <row r="68" ht="12.75" customHeight="1">
      <c r="A68" s="26"/>
      <c r="B68" s="152"/>
      <c r="C68" s="216"/>
      <c r="D68" s="152" t="s">
        <v>761</v>
      </c>
      <c r="E68" s="53" t="s">
        <v>77</v>
      </c>
      <c r="F68" s="323">
        <v>1.0</v>
      </c>
      <c r="G68" s="324"/>
      <c r="H68" s="53" t="str">
        <f t="shared" si="88"/>
        <v>12.5</v>
      </c>
      <c r="I68" s="53" t="str">
        <f t="shared" si="89"/>
        <v>0</v>
      </c>
      <c r="J68" s="155" t="str">
        <f t="shared" si="90"/>
        <v>0.00</v>
      </c>
      <c r="K68" s="156" t="str">
        <f t="shared" si="91"/>
        <v>0.00 </v>
      </c>
      <c r="L68" s="132">
        <v>90.0</v>
      </c>
      <c r="M68" s="325" t="str">
        <f t="shared" si="111"/>
        <v>0.00</v>
      </c>
      <c r="N68" s="326">
        <v>1586.0</v>
      </c>
      <c r="O68" s="327"/>
      <c r="P68" s="161">
        <v>0.21</v>
      </c>
      <c r="Q68" s="162" t="str">
        <f t="shared" si="92"/>
        <v>1,252.94</v>
      </c>
      <c r="R68" s="163" t="str">
        <f t="shared" si="93"/>
        <v>60.00</v>
      </c>
      <c r="S68" s="164" t="str">
        <f t="shared" si="94"/>
        <v>93.68</v>
      </c>
      <c r="T68" s="165" t="str">
        <f t="shared" si="95"/>
        <v>0.00</v>
      </c>
      <c r="U68" s="329">
        <v>3.56</v>
      </c>
      <c r="V68" s="167" t="str">
        <f t="shared" si="112"/>
        <v>133</v>
      </c>
      <c r="W68" s="330">
        <v>0.155</v>
      </c>
      <c r="X68" s="168" t="str">
        <f t="shared" si="97"/>
        <v>245.830</v>
      </c>
      <c r="Y68" s="168" t="str">
        <f t="shared" si="98"/>
        <v>44.605</v>
      </c>
      <c r="Z68" s="164" t="str">
        <f t="shared" si="99"/>
        <v>0.63</v>
      </c>
      <c r="AA68" s="331">
        <v>98.75</v>
      </c>
      <c r="AB68" s="164" t="str">
        <f t="shared" si="100"/>
        <v>38.40</v>
      </c>
      <c r="AC68" s="165" t="str">
        <f t="shared" si="101"/>
        <v>0.00</v>
      </c>
      <c r="AD68" s="23"/>
      <c r="AE68" s="169" t="str">
        <f t="shared" si="102"/>
        <v>0</v>
      </c>
      <c r="AF68" s="163" t="str">
        <f t="shared" si="103"/>
        <v>969.86</v>
      </c>
      <c r="AG68" s="170" t="str">
        <f t="shared" si="104"/>
        <v>#DIV/0!</v>
      </c>
      <c r="AH68" s="26"/>
      <c r="AI68" s="171" t="str">
        <f t="shared" si="105"/>
        <v>0.00%</v>
      </c>
      <c r="AJ68" s="172" t="str">
        <f t="shared" si="106"/>
        <v>0.00</v>
      </c>
      <c r="AK68" s="173" t="str">
        <f t="shared" si="107"/>
        <v>-32.27</v>
      </c>
      <c r="AL68" s="174" t="str">
        <f t="shared" si="108"/>
        <v>-32.27</v>
      </c>
    </row>
    <row r="69" ht="12.75" customHeight="1">
      <c r="A69" s="26"/>
      <c r="B69" s="152"/>
      <c r="C69" s="216"/>
      <c r="D69" s="152" t="s">
        <v>762</v>
      </c>
      <c r="E69" s="53" t="s">
        <v>77</v>
      </c>
      <c r="F69" s="323">
        <v>1.0</v>
      </c>
      <c r="G69" s="324">
        <v>12.0</v>
      </c>
      <c r="H69" s="53" t="str">
        <f t="shared" si="88"/>
        <v>12.5</v>
      </c>
      <c r="I69" s="53" t="str">
        <f t="shared" si="89"/>
        <v>150</v>
      </c>
      <c r="J69" s="155" t="str">
        <f t="shared" si="90"/>
        <v>27.00</v>
      </c>
      <c r="K69" s="156" t="str">
        <f t="shared" si="91"/>
        <v>177.00 </v>
      </c>
      <c r="L69" s="132">
        <v>90.0</v>
      </c>
      <c r="M69" s="325" t="str">
        <f t="shared" si="111"/>
        <v>177.00</v>
      </c>
      <c r="N69" s="326">
        <v>619.0</v>
      </c>
      <c r="O69" s="327"/>
      <c r="P69" s="328">
        <v>0.21</v>
      </c>
      <c r="Q69" s="162" t="str">
        <f t="shared" si="92"/>
        <v>489.01</v>
      </c>
      <c r="R69" s="163" t="str">
        <f t="shared" si="93"/>
        <v>60.00</v>
      </c>
      <c r="S69" s="164" t="str">
        <f t="shared" si="94"/>
        <v>36.56</v>
      </c>
      <c r="T69" s="165" t="str">
        <f t="shared" si="95"/>
        <v>0.00</v>
      </c>
      <c r="U69" s="329">
        <v>3.36</v>
      </c>
      <c r="V69" s="167" t="str">
        <f t="shared" si="112"/>
        <v>133</v>
      </c>
      <c r="W69" s="330">
        <v>0.155</v>
      </c>
      <c r="X69" s="168" t="str">
        <f t="shared" si="97"/>
        <v>95.945</v>
      </c>
      <c r="Y69" s="168" t="str">
        <f t="shared" si="98"/>
        <v>17.409</v>
      </c>
      <c r="Z69" s="164" t="str">
        <f t="shared" si="99"/>
        <v>6.79</v>
      </c>
      <c r="AA69" s="331">
        <v>86.43</v>
      </c>
      <c r="AB69" s="164" t="str">
        <f t="shared" si="100"/>
        <v>38.40</v>
      </c>
      <c r="AC69" s="165" t="str">
        <f t="shared" si="101"/>
        <v>0.00</v>
      </c>
      <c r="AD69" s="23"/>
      <c r="AE69" s="169" t="str">
        <f t="shared" si="102"/>
        <v>0</v>
      </c>
      <c r="AF69" s="163" t="str">
        <f t="shared" si="103"/>
        <v>53.90</v>
      </c>
      <c r="AG69" s="170" t="str">
        <f t="shared" si="104"/>
        <v>30.45%</v>
      </c>
      <c r="AH69" s="26"/>
      <c r="AI69" s="171" t="str">
        <f t="shared" si="105"/>
        <v>0.00%</v>
      </c>
      <c r="AJ69" s="172" t="str">
        <f t="shared" si="106"/>
        <v>0.00</v>
      </c>
      <c r="AK69" s="173" t="str">
        <f t="shared" si="107"/>
        <v>-57.74</v>
      </c>
      <c r="AL69" s="174" t="str">
        <f t="shared" si="108"/>
        <v>-57.74</v>
      </c>
    </row>
    <row r="70" ht="12.75" customHeight="1">
      <c r="A70" s="26"/>
      <c r="B70" s="152"/>
      <c r="C70" s="216"/>
      <c r="D70" s="152"/>
      <c r="E70" s="53" t="s">
        <v>77</v>
      </c>
      <c r="F70" s="323">
        <v>1.0</v>
      </c>
      <c r="G70" s="324"/>
      <c r="H70" s="53" t="str">
        <f t="shared" si="88"/>
        <v>12.5</v>
      </c>
      <c r="I70" s="53" t="str">
        <f t="shared" si="89"/>
        <v>0</v>
      </c>
      <c r="J70" s="155" t="str">
        <f t="shared" si="90"/>
        <v>0.00</v>
      </c>
      <c r="K70" s="156" t="str">
        <f t="shared" si="91"/>
        <v>0.00 </v>
      </c>
      <c r="L70" s="132">
        <v>90.0</v>
      </c>
      <c r="M70" s="325" t="str">
        <f t="shared" si="111"/>
        <v>0.00</v>
      </c>
      <c r="N70" s="158">
        <v>0.0</v>
      </c>
      <c r="O70" s="327"/>
      <c r="P70" s="161">
        <v>0.0</v>
      </c>
      <c r="Q70" s="162" t="str">
        <f t="shared" si="92"/>
        <v>0.00</v>
      </c>
      <c r="R70" s="163" t="str">
        <f t="shared" si="93"/>
        <v>60.00</v>
      </c>
      <c r="S70" s="164" t="str">
        <f t="shared" si="94"/>
        <v>0.00</v>
      </c>
      <c r="T70" s="165" t="str">
        <f t="shared" si="95"/>
        <v>0.00</v>
      </c>
      <c r="U70" s="166">
        <v>0.0</v>
      </c>
      <c r="V70" s="167" t="str">
        <f t="shared" si="112"/>
        <v>57</v>
      </c>
      <c r="W70" s="330"/>
      <c r="X70" s="168" t="str">
        <f t="shared" si="97"/>
        <v>0.000</v>
      </c>
      <c r="Y70" s="168" t="str">
        <f t="shared" si="98"/>
        <v>0.000</v>
      </c>
      <c r="Z70" s="164" t="str">
        <f t="shared" si="99"/>
        <v>2.05</v>
      </c>
      <c r="AA70" s="164">
        <v>95.9</v>
      </c>
      <c r="AB70" s="164" t="str">
        <f t="shared" si="100"/>
        <v>0.00</v>
      </c>
      <c r="AC70" s="165" t="str">
        <f t="shared" si="101"/>
        <v>0.00</v>
      </c>
      <c r="AD70" s="23"/>
      <c r="AE70" s="169" t="str">
        <f t="shared" si="102"/>
        <v>0</v>
      </c>
      <c r="AF70" s="163" t="str">
        <f t="shared" si="103"/>
        <v>-119.05</v>
      </c>
      <c r="AG70" s="200" t="str">
        <f t="shared" si="104"/>
        <v>#DIV/0!</v>
      </c>
      <c r="AH70" s="26"/>
      <c r="AI70" s="171" t="str">
        <f t="shared" si="105"/>
        <v>0.00%</v>
      </c>
      <c r="AJ70" s="172" t="str">
        <f t="shared" si="106"/>
        <v>0.00</v>
      </c>
      <c r="AK70" s="173" t="str">
        <f t="shared" si="107"/>
        <v>-16.92</v>
      </c>
      <c r="AL70" s="174" t="str">
        <f t="shared" si="108"/>
        <v>-16.92</v>
      </c>
    </row>
    <row r="71" ht="12.75" customHeight="1">
      <c r="A71" s="26"/>
      <c r="B71" s="241"/>
      <c r="C71" s="240"/>
      <c r="D71" s="339" t="s">
        <v>763</v>
      </c>
      <c r="E71" s="340"/>
      <c r="F71" s="341"/>
      <c r="G71" s="341"/>
      <c r="H71" s="341"/>
      <c r="I71" s="341"/>
      <c r="J71" s="342"/>
      <c r="K71" s="343" t="str">
        <f>SUM(K11:K70)</f>
        <v>3,857.13 </v>
      </c>
      <c r="L71" s="10"/>
      <c r="M71" s="12"/>
      <c r="N71" s="242"/>
      <c r="O71" s="344"/>
      <c r="P71" s="14"/>
      <c r="Q71" s="242"/>
      <c r="R71" s="15"/>
      <c r="S71" s="15"/>
      <c r="T71" s="345" t="str">
        <f>SUM(T11:T70)</f>
        <v>#DIV/0!</v>
      </c>
      <c r="U71" s="8"/>
      <c r="V71" s="8"/>
      <c r="W71" s="8"/>
      <c r="X71" s="56"/>
      <c r="Y71" s="56"/>
      <c r="Z71" s="15"/>
      <c r="AA71" s="15"/>
      <c r="AB71" s="15"/>
      <c r="AC71" s="346"/>
      <c r="AD71" s="57"/>
      <c r="AE71" s="57"/>
      <c r="AF71" s="15"/>
      <c r="AG71" s="25"/>
      <c r="AH71" s="26"/>
      <c r="AI71" s="26"/>
      <c r="AJ71" s="27"/>
      <c r="AK71" s="28"/>
      <c r="AL71" s="29"/>
    </row>
    <row r="72" ht="12.75" customHeight="1">
      <c r="A72" s="26"/>
      <c r="B72" s="241"/>
      <c r="C72" s="240"/>
      <c r="D72" s="241"/>
      <c r="E72" s="5"/>
      <c r="F72" s="5"/>
      <c r="G72" s="5"/>
      <c r="H72" s="5"/>
      <c r="I72" s="5"/>
      <c r="J72" s="8"/>
      <c r="K72" s="9"/>
      <c r="L72" s="10"/>
      <c r="M72" s="12"/>
      <c r="N72" s="242"/>
      <c r="O72" s="344"/>
      <c r="P72" s="14"/>
      <c r="Q72" s="242"/>
      <c r="R72" s="15"/>
      <c r="S72" s="15"/>
      <c r="T72" s="15"/>
      <c r="U72" s="8"/>
      <c r="V72" s="8"/>
      <c r="W72" s="8"/>
      <c r="X72" s="56"/>
      <c r="Y72" s="56"/>
      <c r="Z72" s="15"/>
      <c r="AA72" s="15"/>
      <c r="AB72" s="15"/>
      <c r="AC72" s="15"/>
      <c r="AD72" s="57"/>
      <c r="AE72" s="57"/>
      <c r="AF72" s="15"/>
      <c r="AG72" s="25"/>
      <c r="AH72" s="26"/>
      <c r="AI72" s="26"/>
      <c r="AJ72" s="27"/>
      <c r="AK72" s="28"/>
      <c r="AL72" s="29"/>
    </row>
    <row r="73" ht="12.75" customHeight="1">
      <c r="A73" s="26"/>
      <c r="B73" s="241"/>
      <c r="C73" s="240"/>
      <c r="D73" s="241"/>
      <c r="E73" s="5"/>
      <c r="F73" s="5"/>
      <c r="G73" s="5"/>
      <c r="H73" s="5"/>
      <c r="I73" s="5"/>
      <c r="J73" s="8"/>
      <c r="K73" s="9"/>
      <c r="L73" s="10"/>
      <c r="M73" s="12"/>
      <c r="N73" s="242"/>
      <c r="O73" s="344"/>
      <c r="P73" s="14"/>
      <c r="Q73" s="242"/>
      <c r="R73" s="15"/>
      <c r="S73" s="15"/>
      <c r="T73" s="15"/>
      <c r="U73" s="8"/>
      <c r="V73" s="8"/>
      <c r="W73" s="8"/>
      <c r="X73" s="56"/>
      <c r="Y73" s="56"/>
      <c r="Z73" s="15"/>
      <c r="AA73" s="15"/>
      <c r="AB73" s="15"/>
      <c r="AC73" s="15"/>
      <c r="AD73" s="57"/>
      <c r="AE73" s="57"/>
      <c r="AF73" s="15"/>
      <c r="AG73" s="25"/>
      <c r="AH73" s="26"/>
      <c r="AI73" s="26"/>
      <c r="AJ73" s="27"/>
      <c r="AK73" s="28"/>
      <c r="AL73" s="29"/>
    </row>
    <row r="74" ht="12.75" customHeight="1">
      <c r="A74" s="26"/>
      <c r="B74" s="241"/>
      <c r="C74" s="240"/>
      <c r="D74" s="241"/>
      <c r="E74" s="5"/>
      <c r="F74" s="5"/>
      <c r="G74" s="5"/>
      <c r="H74" s="5"/>
      <c r="I74" s="5"/>
      <c r="J74" s="8"/>
      <c r="K74" s="9"/>
      <c r="L74" s="10"/>
      <c r="M74" s="12"/>
      <c r="N74" s="242"/>
      <c r="O74" s="344"/>
      <c r="P74" s="14"/>
      <c r="Q74" s="242"/>
      <c r="R74" s="15"/>
      <c r="S74" s="15"/>
      <c r="T74" s="15"/>
      <c r="U74" s="8"/>
      <c r="V74" s="8"/>
      <c r="W74" s="8"/>
      <c r="X74" s="56"/>
      <c r="Y74" s="56"/>
      <c r="Z74" s="15"/>
      <c r="AA74" s="15"/>
      <c r="AB74" s="15"/>
      <c r="AC74" s="15"/>
      <c r="AD74" s="57"/>
      <c r="AE74" s="57"/>
      <c r="AF74" s="15"/>
      <c r="AG74" s="25"/>
      <c r="AH74" s="26"/>
      <c r="AI74" s="26"/>
      <c r="AJ74" s="27"/>
      <c r="AK74" s="28"/>
      <c r="AL74" s="29"/>
    </row>
    <row r="75" ht="12.75" customHeight="1">
      <c r="A75" s="26"/>
      <c r="B75" s="241"/>
      <c r="C75" s="240"/>
      <c r="D75" s="241"/>
      <c r="E75" s="5"/>
      <c r="F75" s="5"/>
      <c r="G75" s="5"/>
      <c r="H75" s="5"/>
      <c r="I75" s="5"/>
      <c r="J75" s="8"/>
      <c r="K75" s="9"/>
      <c r="L75" s="10"/>
      <c r="M75" s="12"/>
      <c r="N75" s="242"/>
      <c r="O75" s="344"/>
      <c r="P75" s="14"/>
      <c r="Q75" s="242"/>
      <c r="R75" s="15"/>
      <c r="S75" s="15"/>
      <c r="T75" s="15"/>
      <c r="U75" s="8"/>
      <c r="V75" s="8"/>
      <c r="W75" s="8"/>
      <c r="X75" s="56"/>
      <c r="Y75" s="56"/>
      <c r="Z75" s="15"/>
      <c r="AA75" s="15"/>
      <c r="AB75" s="15"/>
      <c r="AC75" s="15"/>
      <c r="AD75" s="57"/>
      <c r="AE75" s="57"/>
      <c r="AF75" s="15"/>
      <c r="AG75" s="25"/>
      <c r="AH75" s="26"/>
      <c r="AI75" s="26"/>
      <c r="AJ75" s="27"/>
      <c r="AK75" s="28"/>
      <c r="AL75" s="29"/>
    </row>
    <row r="76" ht="12.75" customHeight="1">
      <c r="A76" s="26"/>
      <c r="B76" s="241"/>
      <c r="C76" s="240"/>
      <c r="D76" s="241"/>
      <c r="E76" s="5"/>
      <c r="F76" s="5"/>
      <c r="G76" s="5"/>
      <c r="H76" s="5"/>
      <c r="I76" s="5"/>
      <c r="J76" s="8"/>
      <c r="K76" s="9"/>
      <c r="L76" s="10"/>
      <c r="M76" s="12"/>
      <c r="N76" s="242"/>
      <c r="O76" s="344"/>
      <c r="P76" s="14"/>
      <c r="Q76" s="242"/>
      <c r="R76" s="15"/>
      <c r="S76" s="15"/>
      <c r="T76" s="15"/>
      <c r="U76" s="8"/>
      <c r="V76" s="8"/>
      <c r="W76" s="8"/>
      <c r="X76" s="56"/>
      <c r="Y76" s="56"/>
      <c r="Z76" s="15"/>
      <c r="AA76" s="15"/>
      <c r="AB76" s="15"/>
      <c r="AC76" s="15"/>
      <c r="AD76" s="57"/>
      <c r="AE76" s="57"/>
      <c r="AF76" s="15"/>
      <c r="AG76" s="25"/>
      <c r="AH76" s="26"/>
      <c r="AI76" s="26"/>
      <c r="AJ76" s="27"/>
      <c r="AK76" s="28"/>
      <c r="AL76" s="29"/>
    </row>
    <row r="77" ht="12.75" customHeight="1">
      <c r="A77" s="26"/>
      <c r="B77" s="241"/>
      <c r="C77" s="240"/>
      <c r="D77" s="241"/>
      <c r="E77" s="5"/>
      <c r="F77" s="5"/>
      <c r="G77" s="5"/>
      <c r="H77" s="5"/>
      <c r="I77" s="5"/>
      <c r="J77" s="8"/>
      <c r="K77" s="9"/>
      <c r="L77" s="10"/>
      <c r="M77" s="12"/>
      <c r="N77" s="242"/>
      <c r="O77" s="344"/>
      <c r="P77" s="14"/>
      <c r="Q77" s="242"/>
      <c r="R77" s="15"/>
      <c r="S77" s="15"/>
      <c r="T77" s="15"/>
      <c r="U77" s="8"/>
      <c r="V77" s="8"/>
      <c r="W77" s="8"/>
      <c r="X77" s="56"/>
      <c r="Y77" s="56"/>
      <c r="Z77" s="15"/>
      <c r="AA77" s="15"/>
      <c r="AB77" s="15"/>
      <c r="AC77" s="15"/>
      <c r="AD77" s="57"/>
      <c r="AE77" s="57"/>
      <c r="AF77" s="15"/>
      <c r="AG77" s="25"/>
      <c r="AH77" s="26"/>
      <c r="AI77" s="26"/>
      <c r="AJ77" s="27"/>
      <c r="AK77" s="28"/>
      <c r="AL77" s="29"/>
    </row>
    <row r="78" ht="12.75" customHeight="1">
      <c r="A78" s="26"/>
      <c r="B78" s="241"/>
      <c r="C78" s="240"/>
      <c r="D78" s="241"/>
      <c r="E78" s="5"/>
      <c r="F78" s="5"/>
      <c r="G78" s="5"/>
      <c r="H78" s="5"/>
      <c r="I78" s="5"/>
      <c r="J78" s="8"/>
      <c r="K78" s="9"/>
      <c r="L78" s="10"/>
      <c r="M78" s="12"/>
      <c r="N78" s="242"/>
      <c r="O78" s="344"/>
      <c r="P78" s="14"/>
      <c r="Q78" s="242"/>
      <c r="R78" s="15"/>
      <c r="S78" s="15"/>
      <c r="T78" s="15"/>
      <c r="U78" s="8"/>
      <c r="V78" s="8"/>
      <c r="W78" s="8"/>
      <c r="X78" s="56"/>
      <c r="Y78" s="56"/>
      <c r="Z78" s="15"/>
      <c r="AA78" s="15"/>
      <c r="AB78" s="15"/>
      <c r="AC78" s="15"/>
      <c r="AD78" s="57"/>
      <c r="AE78" s="57"/>
      <c r="AF78" s="15"/>
      <c r="AG78" s="25"/>
      <c r="AH78" s="26"/>
      <c r="AI78" s="26"/>
      <c r="AJ78" s="27"/>
      <c r="AK78" s="28"/>
      <c r="AL78" s="29"/>
    </row>
    <row r="79" ht="12.75" customHeight="1">
      <c r="A79" s="26"/>
      <c r="B79" s="241"/>
      <c r="C79" s="240"/>
      <c r="D79" s="241"/>
      <c r="E79" s="5"/>
      <c r="F79" s="5"/>
      <c r="G79" s="5"/>
      <c r="H79" s="5"/>
      <c r="I79" s="5"/>
      <c r="J79" s="8"/>
      <c r="K79" s="9"/>
      <c r="L79" s="10"/>
      <c r="M79" s="12"/>
      <c r="N79" s="242"/>
      <c r="O79" s="344"/>
      <c r="P79" s="14"/>
      <c r="Q79" s="242"/>
      <c r="R79" s="15"/>
      <c r="S79" s="15"/>
      <c r="T79" s="15"/>
      <c r="U79" s="8"/>
      <c r="V79" s="8"/>
      <c r="W79" s="8"/>
      <c r="X79" s="56"/>
      <c r="Y79" s="56"/>
      <c r="Z79" s="15"/>
      <c r="AA79" s="15"/>
      <c r="AB79" s="15"/>
      <c r="AC79" s="15"/>
      <c r="AD79" s="57"/>
      <c r="AE79" s="57"/>
      <c r="AF79" s="15"/>
      <c r="AG79" s="25"/>
      <c r="AH79" s="26"/>
      <c r="AI79" s="26"/>
      <c r="AJ79" s="27"/>
      <c r="AK79" s="28"/>
      <c r="AL79" s="29"/>
    </row>
    <row r="80" ht="12.75" customHeight="1">
      <c r="A80" s="26"/>
      <c r="B80" s="241"/>
      <c r="C80" s="240"/>
      <c r="D80" s="241"/>
      <c r="E80" s="5"/>
      <c r="F80" s="5"/>
      <c r="G80" s="5"/>
      <c r="H80" s="5"/>
      <c r="I80" s="5"/>
      <c r="J80" s="8"/>
      <c r="K80" s="9"/>
      <c r="L80" s="10"/>
      <c r="M80" s="12"/>
      <c r="N80" s="242"/>
      <c r="O80" s="344"/>
      <c r="P80" s="14"/>
      <c r="Q80" s="242"/>
      <c r="R80" s="15"/>
      <c r="S80" s="15"/>
      <c r="T80" s="15"/>
      <c r="U80" s="8"/>
      <c r="V80" s="8"/>
      <c r="W80" s="8"/>
      <c r="X80" s="56"/>
      <c r="Y80" s="56"/>
      <c r="Z80" s="15"/>
      <c r="AA80" s="15"/>
      <c r="AB80" s="15"/>
      <c r="AC80" s="15"/>
      <c r="AD80" s="57"/>
      <c r="AE80" s="57"/>
      <c r="AF80" s="15"/>
      <c r="AG80" s="25"/>
      <c r="AH80" s="26"/>
      <c r="AI80" s="26"/>
      <c r="AJ80" s="27"/>
      <c r="AK80" s="28"/>
      <c r="AL80" s="29"/>
    </row>
    <row r="81" ht="12.75" customHeight="1">
      <c r="A81" s="26"/>
      <c r="B81" s="241"/>
      <c r="C81" s="240"/>
      <c r="D81" s="241"/>
      <c r="E81" s="5"/>
      <c r="F81" s="5"/>
      <c r="G81" s="5"/>
      <c r="H81" s="5"/>
      <c r="I81" s="5"/>
      <c r="J81" s="8"/>
      <c r="K81" s="9"/>
      <c r="L81" s="10"/>
      <c r="M81" s="12"/>
      <c r="N81" s="242"/>
      <c r="O81" s="344"/>
      <c r="P81" s="14"/>
      <c r="Q81" s="242"/>
      <c r="R81" s="15"/>
      <c r="S81" s="15"/>
      <c r="T81" s="15"/>
      <c r="U81" s="8"/>
      <c r="V81" s="8"/>
      <c r="W81" s="8"/>
      <c r="X81" s="56"/>
      <c r="Y81" s="56"/>
      <c r="Z81" s="15"/>
      <c r="AA81" s="15"/>
      <c r="AB81" s="15"/>
      <c r="AC81" s="15"/>
      <c r="AD81" s="57"/>
      <c r="AE81" s="57"/>
      <c r="AF81" s="15"/>
      <c r="AG81" s="25"/>
      <c r="AH81" s="26"/>
      <c r="AI81" s="26"/>
      <c r="AJ81" s="27"/>
      <c r="AK81" s="28"/>
      <c r="AL81" s="29"/>
    </row>
    <row r="82" ht="12.75" customHeight="1">
      <c r="A82" s="26"/>
      <c r="B82" s="241"/>
      <c r="C82" s="240"/>
      <c r="D82" s="241"/>
      <c r="E82" s="5"/>
      <c r="F82" s="5"/>
      <c r="G82" s="5"/>
      <c r="H82" s="5"/>
      <c r="I82" s="5"/>
      <c r="J82" s="8"/>
      <c r="K82" s="9"/>
      <c r="L82" s="10"/>
      <c r="M82" s="12"/>
      <c r="N82" s="242"/>
      <c r="O82" s="344"/>
      <c r="P82" s="14"/>
      <c r="Q82" s="242"/>
      <c r="R82" s="15"/>
      <c r="S82" s="15"/>
      <c r="T82" s="15"/>
      <c r="U82" s="8"/>
      <c r="V82" s="8"/>
      <c r="W82" s="8"/>
      <c r="X82" s="56"/>
      <c r="Y82" s="56"/>
      <c r="Z82" s="15"/>
      <c r="AA82" s="15"/>
      <c r="AB82" s="15"/>
      <c r="AC82" s="15"/>
      <c r="AD82" s="57"/>
      <c r="AE82" s="57"/>
      <c r="AF82" s="15"/>
      <c r="AG82" s="25"/>
      <c r="AH82" s="26"/>
      <c r="AI82" s="26"/>
      <c r="AJ82" s="27"/>
      <c r="AK82" s="28"/>
      <c r="AL82" s="29"/>
    </row>
    <row r="83" ht="12.75" customHeight="1">
      <c r="A83" s="26"/>
      <c r="B83" s="241"/>
      <c r="C83" s="240"/>
      <c r="D83" s="241"/>
      <c r="E83" s="5"/>
      <c r="F83" s="5"/>
      <c r="G83" s="5"/>
      <c r="H83" s="5"/>
      <c r="I83" s="5"/>
      <c r="J83" s="8"/>
      <c r="K83" s="9"/>
      <c r="L83" s="10"/>
      <c r="M83" s="12"/>
      <c r="N83" s="242"/>
      <c r="O83" s="344"/>
      <c r="P83" s="14"/>
      <c r="Q83" s="242"/>
      <c r="R83" s="15"/>
      <c r="S83" s="15"/>
      <c r="T83" s="15"/>
      <c r="U83" s="8"/>
      <c r="V83" s="8"/>
      <c r="W83" s="8"/>
      <c r="X83" s="56"/>
      <c r="Y83" s="56"/>
      <c r="Z83" s="15"/>
      <c r="AA83" s="15"/>
      <c r="AB83" s="15"/>
      <c r="AC83" s="15"/>
      <c r="AD83" s="57"/>
      <c r="AE83" s="57"/>
      <c r="AF83" s="15"/>
      <c r="AG83" s="25"/>
      <c r="AH83" s="26"/>
      <c r="AI83" s="26"/>
      <c r="AJ83" s="27"/>
      <c r="AK83" s="28"/>
      <c r="AL83" s="29"/>
    </row>
    <row r="84" ht="12.75" customHeight="1">
      <c r="A84" s="26"/>
      <c r="B84" s="241"/>
      <c r="C84" s="240"/>
      <c r="D84" s="241"/>
      <c r="E84" s="5"/>
      <c r="F84" s="5"/>
      <c r="G84" s="5"/>
      <c r="H84" s="5"/>
      <c r="I84" s="5"/>
      <c r="J84" s="8"/>
      <c r="K84" s="9"/>
      <c r="L84" s="10"/>
      <c r="M84" s="12"/>
      <c r="N84" s="242"/>
      <c r="O84" s="344"/>
      <c r="P84" s="14"/>
      <c r="Q84" s="242"/>
      <c r="R84" s="15"/>
      <c r="S84" s="15"/>
      <c r="T84" s="15"/>
      <c r="U84" s="8"/>
      <c r="V84" s="8"/>
      <c r="W84" s="8"/>
      <c r="X84" s="56"/>
      <c r="Y84" s="56"/>
      <c r="Z84" s="15"/>
      <c r="AA84" s="15"/>
      <c r="AB84" s="15"/>
      <c r="AC84" s="15"/>
      <c r="AD84" s="57"/>
      <c r="AE84" s="57"/>
      <c r="AF84" s="15"/>
      <c r="AG84" s="25"/>
      <c r="AH84" s="26"/>
      <c r="AI84" s="26"/>
      <c r="AJ84" s="27"/>
      <c r="AK84" s="28"/>
      <c r="AL84" s="29"/>
    </row>
    <row r="85" ht="12.75" customHeight="1">
      <c r="A85" s="26"/>
      <c r="B85" s="241"/>
      <c r="C85" s="240"/>
      <c r="D85" s="241"/>
      <c r="E85" s="5"/>
      <c r="F85" s="5"/>
      <c r="G85" s="5"/>
      <c r="H85" s="5"/>
      <c r="I85" s="5"/>
      <c r="J85" s="8"/>
      <c r="K85" s="9"/>
      <c r="L85" s="10"/>
      <c r="M85" s="12"/>
      <c r="N85" s="242"/>
      <c r="O85" s="344"/>
      <c r="P85" s="14"/>
      <c r="Q85" s="242"/>
      <c r="R85" s="15"/>
      <c r="S85" s="15"/>
      <c r="T85" s="15"/>
      <c r="U85" s="8"/>
      <c r="V85" s="8"/>
      <c r="W85" s="8"/>
      <c r="X85" s="56"/>
      <c r="Y85" s="56"/>
      <c r="Z85" s="15"/>
      <c r="AA85" s="15"/>
      <c r="AB85" s="15"/>
      <c r="AC85" s="15"/>
      <c r="AD85" s="57"/>
      <c r="AE85" s="57"/>
      <c r="AF85" s="15"/>
      <c r="AG85" s="25"/>
      <c r="AH85" s="26"/>
      <c r="AI85" s="26"/>
      <c r="AJ85" s="27"/>
      <c r="AK85" s="28"/>
      <c r="AL85" s="29"/>
    </row>
    <row r="86" ht="12.75" customHeight="1">
      <c r="A86" s="26"/>
      <c r="B86" s="241"/>
      <c r="C86" s="240"/>
      <c r="D86" s="241"/>
      <c r="E86" s="5"/>
      <c r="F86" s="5"/>
      <c r="G86" s="5"/>
      <c r="H86" s="5"/>
      <c r="I86" s="5"/>
      <c r="J86" s="8"/>
      <c r="K86" s="9"/>
      <c r="L86" s="10"/>
      <c r="M86" s="12"/>
      <c r="N86" s="242"/>
      <c r="O86" s="344"/>
      <c r="P86" s="14"/>
      <c r="Q86" s="242"/>
      <c r="R86" s="15"/>
      <c r="S86" s="15"/>
      <c r="T86" s="15"/>
      <c r="U86" s="8"/>
      <c r="V86" s="8"/>
      <c r="W86" s="8"/>
      <c r="X86" s="56"/>
      <c r="Y86" s="56"/>
      <c r="Z86" s="15"/>
      <c r="AA86" s="15"/>
      <c r="AB86" s="15"/>
      <c r="AC86" s="15"/>
      <c r="AD86" s="57"/>
      <c r="AE86" s="57"/>
      <c r="AF86" s="15"/>
      <c r="AG86" s="25"/>
      <c r="AH86" s="26"/>
      <c r="AI86" s="26"/>
      <c r="AJ86" s="27"/>
      <c r="AK86" s="28"/>
      <c r="AL86" s="29"/>
    </row>
    <row r="87" ht="12.75" customHeight="1">
      <c r="A87" s="26"/>
      <c r="B87" s="241"/>
      <c r="C87" s="240"/>
      <c r="D87" s="241"/>
      <c r="E87" s="5"/>
      <c r="F87" s="5"/>
      <c r="G87" s="5"/>
      <c r="H87" s="5"/>
      <c r="I87" s="5"/>
      <c r="J87" s="8"/>
      <c r="K87" s="9"/>
      <c r="L87" s="10"/>
      <c r="M87" s="12"/>
      <c r="N87" s="242"/>
      <c r="O87" s="344"/>
      <c r="P87" s="14"/>
      <c r="Q87" s="242"/>
      <c r="R87" s="15"/>
      <c r="S87" s="15"/>
      <c r="T87" s="15"/>
      <c r="U87" s="8"/>
      <c r="V87" s="8"/>
      <c r="W87" s="8"/>
      <c r="X87" s="56"/>
      <c r="Y87" s="56"/>
      <c r="Z87" s="15"/>
      <c r="AA87" s="15"/>
      <c r="AB87" s="15"/>
      <c r="AC87" s="15"/>
      <c r="AD87" s="57"/>
      <c r="AE87" s="57"/>
      <c r="AF87" s="15"/>
      <c r="AG87" s="25"/>
      <c r="AH87" s="26"/>
      <c r="AI87" s="26"/>
      <c r="AJ87" s="27"/>
      <c r="AK87" s="28"/>
      <c r="AL87" s="29"/>
    </row>
    <row r="88" ht="12.75" customHeight="1">
      <c r="A88" s="26"/>
      <c r="B88" s="241"/>
      <c r="C88" s="240"/>
      <c r="D88" s="241"/>
      <c r="E88" s="5"/>
      <c r="F88" s="5"/>
      <c r="G88" s="5"/>
      <c r="H88" s="5"/>
      <c r="I88" s="5"/>
      <c r="J88" s="8"/>
      <c r="K88" s="9"/>
      <c r="L88" s="10"/>
      <c r="M88" s="12"/>
      <c r="N88" s="242"/>
      <c r="O88" s="344"/>
      <c r="P88" s="14"/>
      <c r="Q88" s="242"/>
      <c r="R88" s="15"/>
      <c r="S88" s="15"/>
      <c r="T88" s="15"/>
      <c r="U88" s="8"/>
      <c r="V88" s="8"/>
      <c r="W88" s="8"/>
      <c r="X88" s="56"/>
      <c r="Y88" s="56"/>
      <c r="Z88" s="15"/>
      <c r="AA88" s="15"/>
      <c r="AB88" s="15"/>
      <c r="AC88" s="15"/>
      <c r="AD88" s="57"/>
      <c r="AE88" s="57"/>
      <c r="AF88" s="15"/>
      <c r="AG88" s="25"/>
      <c r="AH88" s="26"/>
      <c r="AI88" s="26"/>
      <c r="AJ88" s="27"/>
      <c r="AK88" s="28"/>
      <c r="AL88" s="29"/>
    </row>
    <row r="89" ht="12.75" customHeight="1">
      <c r="A89" s="26"/>
      <c r="B89" s="241"/>
      <c r="C89" s="240"/>
      <c r="D89" s="241"/>
      <c r="E89" s="5"/>
      <c r="F89" s="5"/>
      <c r="G89" s="5"/>
      <c r="H89" s="5"/>
      <c r="I89" s="5"/>
      <c r="J89" s="8"/>
      <c r="K89" s="9"/>
      <c r="L89" s="10"/>
      <c r="M89" s="12"/>
      <c r="N89" s="242"/>
      <c r="O89" s="344"/>
      <c r="P89" s="14"/>
      <c r="Q89" s="242"/>
      <c r="R89" s="15"/>
      <c r="S89" s="15"/>
      <c r="T89" s="15"/>
      <c r="U89" s="8"/>
      <c r="V89" s="8"/>
      <c r="W89" s="8"/>
      <c r="X89" s="56"/>
      <c r="Y89" s="56"/>
      <c r="Z89" s="15"/>
      <c r="AA89" s="15"/>
      <c r="AB89" s="15"/>
      <c r="AC89" s="15"/>
      <c r="AD89" s="57"/>
      <c r="AE89" s="57"/>
      <c r="AF89" s="15"/>
      <c r="AG89" s="25"/>
      <c r="AH89" s="26"/>
      <c r="AI89" s="26"/>
      <c r="AJ89" s="27"/>
      <c r="AK89" s="28"/>
      <c r="AL89" s="29"/>
    </row>
    <row r="90" ht="12.75" customHeight="1">
      <c r="A90" s="26"/>
      <c r="B90" s="241"/>
      <c r="C90" s="240"/>
      <c r="D90" s="241"/>
      <c r="E90" s="5"/>
      <c r="F90" s="5"/>
      <c r="G90" s="5"/>
      <c r="H90" s="5"/>
      <c r="I90" s="5"/>
      <c r="J90" s="8"/>
      <c r="K90" s="9"/>
      <c r="L90" s="10"/>
      <c r="M90" s="12"/>
      <c r="N90" s="242"/>
      <c r="O90" s="344"/>
      <c r="P90" s="14"/>
      <c r="Q90" s="242"/>
      <c r="R90" s="15"/>
      <c r="S90" s="15"/>
      <c r="T90" s="15"/>
      <c r="U90" s="8"/>
      <c r="V90" s="8"/>
      <c r="W90" s="8"/>
      <c r="X90" s="56"/>
      <c r="Y90" s="56"/>
      <c r="Z90" s="15"/>
      <c r="AA90" s="15"/>
      <c r="AB90" s="15"/>
      <c r="AC90" s="15"/>
      <c r="AD90" s="57"/>
      <c r="AE90" s="57"/>
      <c r="AF90" s="15"/>
      <c r="AG90" s="25"/>
      <c r="AH90" s="26"/>
      <c r="AI90" s="26"/>
      <c r="AJ90" s="27"/>
      <c r="AK90" s="28"/>
      <c r="AL90" s="29"/>
    </row>
    <row r="91" ht="12.75" customHeight="1">
      <c r="A91" s="26"/>
      <c r="B91" s="241"/>
      <c r="C91" s="240"/>
      <c r="D91" s="241"/>
      <c r="E91" s="5"/>
      <c r="F91" s="5"/>
      <c r="G91" s="5"/>
      <c r="H91" s="5"/>
      <c r="I91" s="5"/>
      <c r="J91" s="8"/>
      <c r="K91" s="9"/>
      <c r="L91" s="10"/>
      <c r="M91" s="12"/>
      <c r="N91" s="242"/>
      <c r="O91" s="344"/>
      <c r="P91" s="14"/>
      <c r="Q91" s="242"/>
      <c r="R91" s="15"/>
      <c r="S91" s="15"/>
      <c r="T91" s="15"/>
      <c r="U91" s="8"/>
      <c r="V91" s="8"/>
      <c r="W91" s="8"/>
      <c r="X91" s="56"/>
      <c r="Y91" s="56"/>
      <c r="Z91" s="15"/>
      <c r="AA91" s="15"/>
      <c r="AB91" s="15"/>
      <c r="AC91" s="15"/>
      <c r="AD91" s="57"/>
      <c r="AE91" s="57"/>
      <c r="AF91" s="15"/>
      <c r="AG91" s="25"/>
      <c r="AH91" s="26"/>
      <c r="AI91" s="26"/>
      <c r="AJ91" s="27"/>
      <c r="AK91" s="28"/>
      <c r="AL91" s="29"/>
    </row>
    <row r="92" ht="12.75" customHeight="1">
      <c r="A92" s="26"/>
      <c r="B92" s="241"/>
      <c r="C92" s="240"/>
      <c r="D92" s="241"/>
      <c r="E92" s="5"/>
      <c r="F92" s="5"/>
      <c r="G92" s="5"/>
      <c r="H92" s="5"/>
      <c r="I92" s="5"/>
      <c r="J92" s="8"/>
      <c r="K92" s="9"/>
      <c r="L92" s="10"/>
      <c r="M92" s="12"/>
      <c r="N92" s="242"/>
      <c r="O92" s="344"/>
      <c r="P92" s="14"/>
      <c r="Q92" s="242"/>
      <c r="R92" s="15"/>
      <c r="S92" s="15"/>
      <c r="T92" s="15"/>
      <c r="U92" s="8"/>
      <c r="V92" s="8"/>
      <c r="W92" s="8"/>
      <c r="X92" s="56"/>
      <c r="Y92" s="56"/>
      <c r="Z92" s="15"/>
      <c r="AA92" s="15"/>
      <c r="AB92" s="15"/>
      <c r="AC92" s="15"/>
      <c r="AD92" s="57"/>
      <c r="AE92" s="57"/>
      <c r="AF92" s="15"/>
      <c r="AG92" s="25"/>
      <c r="AH92" s="26"/>
      <c r="AI92" s="26"/>
      <c r="AJ92" s="27"/>
      <c r="AK92" s="28"/>
      <c r="AL92" s="29"/>
    </row>
    <row r="93" ht="12.75" customHeight="1">
      <c r="A93" s="26"/>
      <c r="B93" s="241"/>
      <c r="C93" s="240"/>
      <c r="D93" s="241"/>
      <c r="E93" s="5"/>
      <c r="F93" s="5"/>
      <c r="G93" s="5"/>
      <c r="H93" s="5"/>
      <c r="I93" s="5"/>
      <c r="J93" s="8"/>
      <c r="K93" s="9"/>
      <c r="L93" s="10"/>
      <c r="M93" s="12"/>
      <c r="N93" s="242"/>
      <c r="O93" s="344"/>
      <c r="P93" s="14"/>
      <c r="Q93" s="242"/>
      <c r="R93" s="15"/>
      <c r="S93" s="15"/>
      <c r="T93" s="15"/>
      <c r="U93" s="8"/>
      <c r="V93" s="8"/>
      <c r="W93" s="8"/>
      <c r="X93" s="56"/>
      <c r="Y93" s="56"/>
      <c r="Z93" s="15"/>
      <c r="AA93" s="15"/>
      <c r="AB93" s="15"/>
      <c r="AC93" s="15"/>
      <c r="AD93" s="57"/>
      <c r="AE93" s="57"/>
      <c r="AF93" s="15"/>
      <c r="AG93" s="25"/>
      <c r="AH93" s="26"/>
      <c r="AI93" s="26"/>
      <c r="AJ93" s="27"/>
      <c r="AK93" s="28"/>
      <c r="AL93" s="29"/>
    </row>
    <row r="94" ht="12.75" customHeight="1">
      <c r="A94" s="26"/>
      <c r="B94" s="241"/>
      <c r="C94" s="240"/>
      <c r="D94" s="241"/>
      <c r="E94" s="5"/>
      <c r="F94" s="5"/>
      <c r="G94" s="5"/>
      <c r="H94" s="5"/>
      <c r="I94" s="5"/>
      <c r="J94" s="8"/>
      <c r="K94" s="9"/>
      <c r="L94" s="10"/>
      <c r="M94" s="12"/>
      <c r="N94" s="242"/>
      <c r="O94" s="344"/>
      <c r="P94" s="14"/>
      <c r="Q94" s="242"/>
      <c r="R94" s="15"/>
      <c r="S94" s="15"/>
      <c r="T94" s="15"/>
      <c r="U94" s="8"/>
      <c r="V94" s="8"/>
      <c r="W94" s="8"/>
      <c r="X94" s="56"/>
      <c r="Y94" s="56"/>
      <c r="Z94" s="15"/>
      <c r="AA94" s="15"/>
      <c r="AB94" s="15"/>
      <c r="AC94" s="15"/>
      <c r="AD94" s="57"/>
      <c r="AE94" s="57"/>
      <c r="AF94" s="15"/>
      <c r="AG94" s="25"/>
      <c r="AH94" s="26"/>
      <c r="AI94" s="26"/>
      <c r="AJ94" s="27"/>
      <c r="AK94" s="28"/>
      <c r="AL94" s="29"/>
    </row>
    <row r="95" ht="12.75" customHeight="1">
      <c r="A95" s="26"/>
      <c r="B95" s="241"/>
      <c r="C95" s="240"/>
      <c r="D95" s="241"/>
      <c r="E95" s="5"/>
      <c r="F95" s="5"/>
      <c r="G95" s="5"/>
      <c r="H95" s="5"/>
      <c r="I95" s="5"/>
      <c r="J95" s="8"/>
      <c r="K95" s="9"/>
      <c r="L95" s="10"/>
      <c r="M95" s="12"/>
      <c r="N95" s="242"/>
      <c r="O95" s="344"/>
      <c r="P95" s="14"/>
      <c r="Q95" s="242"/>
      <c r="R95" s="15"/>
      <c r="S95" s="15"/>
      <c r="T95" s="15"/>
      <c r="U95" s="8"/>
      <c r="V95" s="8"/>
      <c r="W95" s="8"/>
      <c r="X95" s="56"/>
      <c r="Y95" s="56"/>
      <c r="Z95" s="15"/>
      <c r="AA95" s="15"/>
      <c r="AB95" s="15"/>
      <c r="AC95" s="15"/>
      <c r="AD95" s="57"/>
      <c r="AE95" s="57"/>
      <c r="AF95" s="15"/>
      <c r="AG95" s="25"/>
      <c r="AH95" s="26"/>
      <c r="AI95" s="26"/>
      <c r="AJ95" s="27"/>
      <c r="AK95" s="28"/>
      <c r="AL95" s="29"/>
    </row>
    <row r="96" ht="12.75" customHeight="1">
      <c r="A96" s="26"/>
      <c r="B96" s="241"/>
      <c r="C96" s="240"/>
      <c r="D96" s="241"/>
      <c r="E96" s="5"/>
      <c r="F96" s="5"/>
      <c r="G96" s="5"/>
      <c r="H96" s="5"/>
      <c r="I96" s="5"/>
      <c r="J96" s="8"/>
      <c r="K96" s="9"/>
      <c r="L96" s="10"/>
      <c r="M96" s="12"/>
      <c r="N96" s="242"/>
      <c r="O96" s="344"/>
      <c r="P96" s="14"/>
      <c r="Q96" s="242"/>
      <c r="R96" s="15"/>
      <c r="S96" s="15"/>
      <c r="T96" s="15"/>
      <c r="U96" s="8"/>
      <c r="V96" s="8"/>
      <c r="W96" s="8"/>
      <c r="X96" s="56"/>
      <c r="Y96" s="56"/>
      <c r="Z96" s="15"/>
      <c r="AA96" s="15"/>
      <c r="AB96" s="15"/>
      <c r="AC96" s="15"/>
      <c r="AD96" s="57"/>
      <c r="AE96" s="57"/>
      <c r="AF96" s="15"/>
      <c r="AG96" s="25"/>
      <c r="AH96" s="26"/>
      <c r="AI96" s="26"/>
      <c r="AJ96" s="27"/>
      <c r="AK96" s="28"/>
      <c r="AL96" s="29"/>
    </row>
    <row r="97" ht="12.75" customHeight="1">
      <c r="A97" s="26"/>
      <c r="B97" s="241"/>
      <c r="C97" s="240"/>
      <c r="D97" s="241"/>
      <c r="E97" s="5"/>
      <c r="F97" s="5"/>
      <c r="G97" s="5"/>
      <c r="H97" s="5"/>
      <c r="I97" s="5"/>
      <c r="J97" s="8"/>
      <c r="K97" s="9"/>
      <c r="L97" s="10"/>
      <c r="M97" s="12"/>
      <c r="N97" s="242"/>
      <c r="O97" s="344"/>
      <c r="P97" s="14"/>
      <c r="Q97" s="242"/>
      <c r="R97" s="15"/>
      <c r="S97" s="15"/>
      <c r="T97" s="15"/>
      <c r="U97" s="8"/>
      <c r="V97" s="8"/>
      <c r="W97" s="8"/>
      <c r="X97" s="56"/>
      <c r="Y97" s="56"/>
      <c r="Z97" s="15"/>
      <c r="AA97" s="15"/>
      <c r="AB97" s="15"/>
      <c r="AC97" s="15"/>
      <c r="AD97" s="57"/>
      <c r="AE97" s="57"/>
      <c r="AF97" s="15"/>
      <c r="AG97" s="25"/>
      <c r="AH97" s="26"/>
      <c r="AI97" s="26"/>
      <c r="AJ97" s="27"/>
      <c r="AK97" s="28"/>
      <c r="AL97" s="29"/>
    </row>
    <row r="98" ht="12.75" customHeight="1">
      <c r="A98" s="26"/>
      <c r="B98" s="241"/>
      <c r="C98" s="240"/>
      <c r="D98" s="241"/>
      <c r="E98" s="5"/>
      <c r="F98" s="5"/>
      <c r="G98" s="5"/>
      <c r="H98" s="5"/>
      <c r="I98" s="5"/>
      <c r="J98" s="8"/>
      <c r="K98" s="9"/>
      <c r="L98" s="10"/>
      <c r="M98" s="12"/>
      <c r="N98" s="242"/>
      <c r="O98" s="344"/>
      <c r="P98" s="14"/>
      <c r="Q98" s="242"/>
      <c r="R98" s="15"/>
      <c r="S98" s="15"/>
      <c r="T98" s="15"/>
      <c r="U98" s="8"/>
      <c r="V98" s="8"/>
      <c r="W98" s="8"/>
      <c r="X98" s="56"/>
      <c r="Y98" s="56"/>
      <c r="Z98" s="15"/>
      <c r="AA98" s="15"/>
      <c r="AB98" s="15"/>
      <c r="AC98" s="15"/>
      <c r="AD98" s="57"/>
      <c r="AE98" s="57"/>
      <c r="AF98" s="15"/>
      <c r="AG98" s="25"/>
      <c r="AH98" s="26"/>
      <c r="AI98" s="26"/>
      <c r="AJ98" s="27"/>
      <c r="AK98" s="28"/>
      <c r="AL98" s="29"/>
    </row>
    <row r="99" ht="12.75" customHeight="1">
      <c r="A99" s="26"/>
      <c r="B99" s="241"/>
      <c r="C99" s="240"/>
      <c r="D99" s="241"/>
      <c r="E99" s="5"/>
      <c r="F99" s="5"/>
      <c r="G99" s="5"/>
      <c r="H99" s="5"/>
      <c r="I99" s="5"/>
      <c r="J99" s="8"/>
      <c r="K99" s="9"/>
      <c r="L99" s="10"/>
      <c r="M99" s="12"/>
      <c r="N99" s="242"/>
      <c r="O99" s="344"/>
      <c r="P99" s="14"/>
      <c r="Q99" s="242"/>
      <c r="R99" s="15"/>
      <c r="S99" s="15"/>
      <c r="T99" s="15"/>
      <c r="U99" s="8"/>
      <c r="V99" s="8"/>
      <c r="W99" s="8"/>
      <c r="X99" s="56"/>
      <c r="Y99" s="56"/>
      <c r="Z99" s="15"/>
      <c r="AA99" s="15"/>
      <c r="AB99" s="15"/>
      <c r="AC99" s="15"/>
      <c r="AD99" s="57"/>
      <c r="AE99" s="57"/>
      <c r="AF99" s="15"/>
      <c r="AG99" s="25"/>
      <c r="AH99" s="26"/>
      <c r="AI99" s="26"/>
      <c r="AJ99" s="27"/>
      <c r="AK99" s="28"/>
      <c r="AL99" s="29"/>
    </row>
    <row r="100" ht="12.75" customHeight="1">
      <c r="A100" s="26"/>
      <c r="B100" s="241"/>
      <c r="C100" s="240"/>
      <c r="D100" s="241"/>
      <c r="E100" s="5"/>
      <c r="F100" s="5"/>
      <c r="G100" s="5"/>
      <c r="H100" s="5"/>
      <c r="I100" s="5"/>
      <c r="J100" s="8"/>
      <c r="K100" s="9"/>
      <c r="L100" s="10"/>
      <c r="M100" s="12"/>
      <c r="N100" s="242"/>
      <c r="O100" s="344"/>
      <c r="P100" s="14"/>
      <c r="Q100" s="242"/>
      <c r="R100" s="15"/>
      <c r="S100" s="15"/>
      <c r="T100" s="15"/>
      <c r="U100" s="8"/>
      <c r="V100" s="8"/>
      <c r="W100" s="8"/>
      <c r="X100" s="56"/>
      <c r="Y100" s="56"/>
      <c r="Z100" s="15"/>
      <c r="AA100" s="15"/>
      <c r="AB100" s="15"/>
      <c r="AC100" s="15"/>
      <c r="AD100" s="57"/>
      <c r="AE100" s="57"/>
      <c r="AF100" s="15"/>
      <c r="AG100" s="25"/>
      <c r="AH100" s="26"/>
      <c r="AI100" s="26"/>
      <c r="AJ100" s="27"/>
      <c r="AK100" s="28"/>
      <c r="AL100" s="29"/>
    </row>
    <row r="101" ht="12.75" customHeight="1">
      <c r="A101" s="26"/>
      <c r="B101" s="241"/>
      <c r="C101" s="240"/>
      <c r="D101" s="241"/>
      <c r="E101" s="5"/>
      <c r="F101" s="5"/>
      <c r="G101" s="5"/>
      <c r="H101" s="5"/>
      <c r="I101" s="5"/>
      <c r="J101" s="8"/>
      <c r="K101" s="9"/>
      <c r="L101" s="10"/>
      <c r="M101" s="12"/>
      <c r="N101" s="242"/>
      <c r="O101" s="344"/>
      <c r="P101" s="14"/>
      <c r="Q101" s="242"/>
      <c r="R101" s="15"/>
      <c r="S101" s="15"/>
      <c r="T101" s="15"/>
      <c r="U101" s="8"/>
      <c r="V101" s="8"/>
      <c r="W101" s="8"/>
      <c r="X101" s="56"/>
      <c r="Y101" s="56"/>
      <c r="Z101" s="15"/>
      <c r="AA101" s="15"/>
      <c r="AB101" s="15"/>
      <c r="AC101" s="15"/>
      <c r="AD101" s="57"/>
      <c r="AE101" s="57"/>
      <c r="AF101" s="15"/>
      <c r="AG101" s="25"/>
      <c r="AH101" s="26"/>
      <c r="AI101" s="26"/>
      <c r="AJ101" s="27"/>
      <c r="AK101" s="28"/>
      <c r="AL101" s="29"/>
    </row>
    <row r="102" ht="12.75" customHeight="1">
      <c r="A102" s="26"/>
      <c r="B102" s="241"/>
      <c r="C102" s="240"/>
      <c r="D102" s="241"/>
      <c r="E102" s="5"/>
      <c r="F102" s="5"/>
      <c r="G102" s="5"/>
      <c r="H102" s="5"/>
      <c r="I102" s="5"/>
      <c r="J102" s="8"/>
      <c r="K102" s="9"/>
      <c r="L102" s="10"/>
      <c r="M102" s="12"/>
      <c r="N102" s="242"/>
      <c r="O102" s="344"/>
      <c r="P102" s="14"/>
      <c r="Q102" s="242"/>
      <c r="R102" s="15"/>
      <c r="S102" s="15"/>
      <c r="T102" s="15"/>
      <c r="U102" s="8"/>
      <c r="V102" s="8"/>
      <c r="W102" s="8"/>
      <c r="X102" s="56"/>
      <c r="Y102" s="56"/>
      <c r="Z102" s="15"/>
      <c r="AA102" s="15"/>
      <c r="AB102" s="15"/>
      <c r="AC102" s="15"/>
      <c r="AD102" s="57"/>
      <c r="AE102" s="57"/>
      <c r="AF102" s="15"/>
      <c r="AG102" s="25"/>
      <c r="AH102" s="26"/>
      <c r="AI102" s="26"/>
      <c r="AJ102" s="27"/>
      <c r="AK102" s="28"/>
      <c r="AL102" s="29"/>
    </row>
    <row r="103" ht="12.75" customHeight="1">
      <c r="A103" s="26"/>
      <c r="B103" s="241"/>
      <c r="C103" s="240"/>
      <c r="D103" s="241"/>
      <c r="E103" s="5"/>
      <c r="F103" s="5"/>
      <c r="G103" s="5"/>
      <c r="H103" s="5"/>
      <c r="I103" s="5"/>
      <c r="J103" s="8"/>
      <c r="K103" s="9"/>
      <c r="L103" s="10"/>
      <c r="M103" s="12"/>
      <c r="N103" s="242"/>
      <c r="O103" s="344"/>
      <c r="P103" s="14"/>
      <c r="Q103" s="242"/>
      <c r="R103" s="15"/>
      <c r="S103" s="15"/>
      <c r="T103" s="15"/>
      <c r="U103" s="8"/>
      <c r="V103" s="8"/>
      <c r="W103" s="8"/>
      <c r="X103" s="56"/>
      <c r="Y103" s="56"/>
      <c r="Z103" s="15"/>
      <c r="AA103" s="15"/>
      <c r="AB103" s="15"/>
      <c r="AC103" s="15"/>
      <c r="AD103" s="57"/>
      <c r="AE103" s="57"/>
      <c r="AF103" s="15"/>
      <c r="AG103" s="25"/>
      <c r="AH103" s="26"/>
      <c r="AI103" s="26"/>
      <c r="AJ103" s="27"/>
      <c r="AK103" s="28"/>
      <c r="AL103" s="29"/>
    </row>
    <row r="104" ht="12.75" customHeight="1">
      <c r="A104" s="26"/>
      <c r="B104" s="241"/>
      <c r="C104" s="240"/>
      <c r="D104" s="241"/>
      <c r="E104" s="5"/>
      <c r="F104" s="5"/>
      <c r="G104" s="5"/>
      <c r="H104" s="5"/>
      <c r="I104" s="5"/>
      <c r="J104" s="8"/>
      <c r="K104" s="9"/>
      <c r="L104" s="10"/>
      <c r="M104" s="12"/>
      <c r="N104" s="242"/>
      <c r="O104" s="344"/>
      <c r="P104" s="14"/>
      <c r="Q104" s="242"/>
      <c r="R104" s="15"/>
      <c r="S104" s="15"/>
      <c r="T104" s="15"/>
      <c r="U104" s="8"/>
      <c r="V104" s="8"/>
      <c r="W104" s="8"/>
      <c r="X104" s="56"/>
      <c r="Y104" s="56"/>
      <c r="Z104" s="15"/>
      <c r="AA104" s="15"/>
      <c r="AB104" s="15"/>
      <c r="AC104" s="15"/>
      <c r="AD104" s="57"/>
      <c r="AE104" s="57"/>
      <c r="AF104" s="15"/>
      <c r="AG104" s="25"/>
      <c r="AH104" s="26"/>
      <c r="AI104" s="26"/>
      <c r="AJ104" s="27"/>
      <c r="AK104" s="28"/>
      <c r="AL104" s="29"/>
    </row>
    <row r="105" ht="12.75" customHeight="1">
      <c r="A105" s="26"/>
      <c r="B105" s="241"/>
      <c r="C105" s="240"/>
      <c r="D105" s="241"/>
      <c r="E105" s="5"/>
      <c r="F105" s="5"/>
      <c r="G105" s="5"/>
      <c r="H105" s="5"/>
      <c r="I105" s="5"/>
      <c r="J105" s="8"/>
      <c r="K105" s="9"/>
      <c r="L105" s="10"/>
      <c r="M105" s="12"/>
      <c r="N105" s="242"/>
      <c r="O105" s="344"/>
      <c r="P105" s="14"/>
      <c r="Q105" s="242"/>
      <c r="R105" s="15"/>
      <c r="S105" s="15"/>
      <c r="T105" s="15"/>
      <c r="U105" s="8"/>
      <c r="V105" s="8"/>
      <c r="W105" s="8"/>
      <c r="X105" s="56"/>
      <c r="Y105" s="56"/>
      <c r="Z105" s="15"/>
      <c r="AA105" s="15"/>
      <c r="AB105" s="15"/>
      <c r="AC105" s="15"/>
      <c r="AD105" s="57"/>
      <c r="AE105" s="57"/>
      <c r="AF105" s="15"/>
      <c r="AG105" s="25"/>
      <c r="AH105" s="26"/>
      <c r="AI105" s="26"/>
      <c r="AJ105" s="27"/>
      <c r="AK105" s="28"/>
      <c r="AL105" s="29"/>
    </row>
    <row r="106" ht="12.75" customHeight="1">
      <c r="A106" s="26"/>
      <c r="B106" s="241"/>
      <c r="C106" s="240"/>
      <c r="D106" s="241"/>
      <c r="E106" s="5"/>
      <c r="F106" s="5"/>
      <c r="G106" s="5"/>
      <c r="H106" s="5"/>
      <c r="I106" s="5"/>
      <c r="J106" s="8"/>
      <c r="K106" s="9"/>
      <c r="L106" s="10"/>
      <c r="M106" s="12"/>
      <c r="N106" s="242"/>
      <c r="O106" s="344"/>
      <c r="P106" s="14"/>
      <c r="Q106" s="242"/>
      <c r="R106" s="15"/>
      <c r="S106" s="15"/>
      <c r="T106" s="15"/>
      <c r="U106" s="8"/>
      <c r="V106" s="8"/>
      <c r="W106" s="8"/>
      <c r="X106" s="56"/>
      <c r="Y106" s="56"/>
      <c r="Z106" s="15"/>
      <c r="AA106" s="15"/>
      <c r="AB106" s="15"/>
      <c r="AC106" s="15"/>
      <c r="AD106" s="57"/>
      <c r="AE106" s="57"/>
      <c r="AF106" s="15"/>
      <c r="AG106" s="25"/>
      <c r="AH106" s="26"/>
      <c r="AI106" s="26"/>
      <c r="AJ106" s="27"/>
      <c r="AK106" s="28"/>
      <c r="AL106" s="29"/>
    </row>
    <row r="107" ht="12.75" customHeight="1">
      <c r="A107" s="26"/>
      <c r="B107" s="241"/>
      <c r="C107" s="240"/>
      <c r="D107" s="241"/>
      <c r="E107" s="5"/>
      <c r="F107" s="5"/>
      <c r="G107" s="5"/>
      <c r="H107" s="5"/>
      <c r="I107" s="5"/>
      <c r="J107" s="8"/>
      <c r="K107" s="9"/>
      <c r="L107" s="10"/>
      <c r="M107" s="12"/>
      <c r="N107" s="242"/>
      <c r="O107" s="344"/>
      <c r="P107" s="14"/>
      <c r="Q107" s="242"/>
      <c r="R107" s="15"/>
      <c r="S107" s="15"/>
      <c r="T107" s="15"/>
      <c r="U107" s="8"/>
      <c r="V107" s="8"/>
      <c r="W107" s="8"/>
      <c r="X107" s="56"/>
      <c r="Y107" s="56"/>
      <c r="Z107" s="15"/>
      <c r="AA107" s="15"/>
      <c r="AB107" s="15"/>
      <c r="AC107" s="15"/>
      <c r="AD107" s="57"/>
      <c r="AE107" s="57"/>
      <c r="AF107" s="15"/>
      <c r="AG107" s="25"/>
      <c r="AH107" s="26"/>
      <c r="AI107" s="26"/>
      <c r="AJ107" s="27"/>
      <c r="AK107" s="28"/>
      <c r="AL107" s="29"/>
    </row>
    <row r="108" ht="12.75" customHeight="1">
      <c r="A108" s="26"/>
      <c r="B108" s="241"/>
      <c r="C108" s="240"/>
      <c r="D108" s="241"/>
      <c r="E108" s="5"/>
      <c r="F108" s="5"/>
      <c r="G108" s="5"/>
      <c r="H108" s="5"/>
      <c r="I108" s="5"/>
      <c r="J108" s="8"/>
      <c r="K108" s="9"/>
      <c r="L108" s="10"/>
      <c r="M108" s="12"/>
      <c r="N108" s="242"/>
      <c r="O108" s="344"/>
      <c r="P108" s="14"/>
      <c r="Q108" s="242"/>
      <c r="R108" s="15"/>
      <c r="S108" s="15"/>
      <c r="T108" s="15"/>
      <c r="U108" s="8"/>
      <c r="V108" s="8"/>
      <c r="W108" s="8"/>
      <c r="X108" s="56"/>
      <c r="Y108" s="56"/>
      <c r="Z108" s="15"/>
      <c r="AA108" s="15"/>
      <c r="AB108" s="15"/>
      <c r="AC108" s="15"/>
      <c r="AD108" s="57"/>
      <c r="AE108" s="57"/>
      <c r="AF108" s="15"/>
      <c r="AG108" s="25"/>
      <c r="AH108" s="26"/>
      <c r="AI108" s="26"/>
      <c r="AJ108" s="27"/>
      <c r="AK108" s="28"/>
      <c r="AL108" s="29"/>
    </row>
    <row r="109" ht="12.75" customHeight="1">
      <c r="A109" s="26"/>
      <c r="B109" s="241"/>
      <c r="C109" s="240"/>
      <c r="D109" s="241"/>
      <c r="E109" s="5"/>
      <c r="F109" s="5"/>
      <c r="G109" s="5"/>
      <c r="H109" s="5"/>
      <c r="I109" s="5"/>
      <c r="J109" s="8"/>
      <c r="K109" s="9"/>
      <c r="L109" s="10"/>
      <c r="M109" s="12"/>
      <c r="N109" s="242"/>
      <c r="O109" s="344"/>
      <c r="P109" s="14"/>
      <c r="Q109" s="242"/>
      <c r="R109" s="15"/>
      <c r="S109" s="15"/>
      <c r="T109" s="15"/>
      <c r="U109" s="8"/>
      <c r="V109" s="8"/>
      <c r="W109" s="8"/>
      <c r="X109" s="56"/>
      <c r="Y109" s="56"/>
      <c r="Z109" s="15"/>
      <c r="AA109" s="15"/>
      <c r="AB109" s="15"/>
      <c r="AC109" s="15"/>
      <c r="AD109" s="57"/>
      <c r="AE109" s="57"/>
      <c r="AF109" s="15"/>
      <c r="AG109" s="25"/>
      <c r="AH109" s="26"/>
      <c r="AI109" s="26"/>
      <c r="AJ109" s="27"/>
      <c r="AK109" s="28"/>
      <c r="AL109" s="29"/>
    </row>
    <row r="110" ht="12.75" customHeight="1">
      <c r="A110" s="26"/>
      <c r="B110" s="241"/>
      <c r="C110" s="240"/>
      <c r="D110" s="241"/>
      <c r="E110" s="5"/>
      <c r="F110" s="5"/>
      <c r="G110" s="5"/>
      <c r="H110" s="5"/>
      <c r="I110" s="5"/>
      <c r="J110" s="8"/>
      <c r="K110" s="9"/>
      <c r="L110" s="10"/>
      <c r="M110" s="12"/>
      <c r="N110" s="242"/>
      <c r="O110" s="344"/>
      <c r="P110" s="14"/>
      <c r="Q110" s="242"/>
      <c r="R110" s="15"/>
      <c r="S110" s="15"/>
      <c r="T110" s="15"/>
      <c r="U110" s="8"/>
      <c r="V110" s="8"/>
      <c r="W110" s="8"/>
      <c r="X110" s="56"/>
      <c r="Y110" s="56"/>
      <c r="Z110" s="15"/>
      <c r="AA110" s="15"/>
      <c r="AB110" s="15"/>
      <c r="AC110" s="15"/>
      <c r="AD110" s="57"/>
      <c r="AE110" s="57"/>
      <c r="AF110" s="15"/>
      <c r="AG110" s="25"/>
      <c r="AH110" s="26"/>
      <c r="AI110" s="26"/>
      <c r="AJ110" s="27"/>
      <c r="AK110" s="28"/>
      <c r="AL110" s="29"/>
    </row>
    <row r="111" ht="12.75" customHeight="1">
      <c r="A111" s="26"/>
      <c r="B111" s="241"/>
      <c r="C111" s="240"/>
      <c r="D111" s="241"/>
      <c r="E111" s="5"/>
      <c r="F111" s="5"/>
      <c r="G111" s="5"/>
      <c r="H111" s="5"/>
      <c r="I111" s="5"/>
      <c r="J111" s="8"/>
      <c r="K111" s="9"/>
      <c r="L111" s="10"/>
      <c r="M111" s="12"/>
      <c r="N111" s="242"/>
      <c r="O111" s="344"/>
      <c r="P111" s="14"/>
      <c r="Q111" s="242"/>
      <c r="R111" s="15"/>
      <c r="S111" s="15"/>
      <c r="T111" s="15"/>
      <c r="U111" s="8"/>
      <c r="V111" s="8"/>
      <c r="W111" s="8"/>
      <c r="X111" s="56"/>
      <c r="Y111" s="56"/>
      <c r="Z111" s="15"/>
      <c r="AA111" s="15"/>
      <c r="AB111" s="15"/>
      <c r="AC111" s="15"/>
      <c r="AD111" s="57"/>
      <c r="AE111" s="57"/>
      <c r="AF111" s="15"/>
      <c r="AG111" s="25"/>
      <c r="AH111" s="26"/>
      <c r="AI111" s="26"/>
      <c r="AJ111" s="27"/>
      <c r="AK111" s="28"/>
      <c r="AL111" s="29"/>
    </row>
    <row r="112" ht="12.75" customHeight="1">
      <c r="A112" s="26"/>
      <c r="B112" s="241"/>
      <c r="C112" s="240"/>
      <c r="D112" s="241"/>
      <c r="E112" s="5"/>
      <c r="F112" s="5"/>
      <c r="G112" s="5"/>
      <c r="H112" s="5"/>
      <c r="I112" s="5"/>
      <c r="J112" s="8"/>
      <c r="K112" s="9"/>
      <c r="L112" s="10"/>
      <c r="M112" s="12"/>
      <c r="N112" s="242"/>
      <c r="O112" s="344"/>
      <c r="P112" s="14"/>
      <c r="Q112" s="242"/>
      <c r="R112" s="15"/>
      <c r="S112" s="15"/>
      <c r="T112" s="15"/>
      <c r="U112" s="8"/>
      <c r="V112" s="8"/>
      <c r="W112" s="8"/>
      <c r="X112" s="56"/>
      <c r="Y112" s="56"/>
      <c r="Z112" s="15"/>
      <c r="AA112" s="15"/>
      <c r="AB112" s="15"/>
      <c r="AC112" s="15"/>
      <c r="AD112" s="57"/>
      <c r="AE112" s="57"/>
      <c r="AF112" s="15"/>
      <c r="AG112" s="25"/>
      <c r="AH112" s="26"/>
      <c r="AI112" s="26"/>
      <c r="AJ112" s="27"/>
      <c r="AK112" s="28"/>
      <c r="AL112" s="29"/>
    </row>
    <row r="113" ht="12.75" customHeight="1">
      <c r="A113" s="26"/>
      <c r="B113" s="241"/>
      <c r="C113" s="240"/>
      <c r="D113" s="241"/>
      <c r="E113" s="5"/>
      <c r="F113" s="5"/>
      <c r="G113" s="5"/>
      <c r="H113" s="5"/>
      <c r="I113" s="5"/>
      <c r="J113" s="8"/>
      <c r="K113" s="9"/>
      <c r="L113" s="10"/>
      <c r="M113" s="12"/>
      <c r="N113" s="242"/>
      <c r="O113" s="344"/>
      <c r="P113" s="14"/>
      <c r="Q113" s="242"/>
      <c r="R113" s="15"/>
      <c r="S113" s="15"/>
      <c r="T113" s="15"/>
      <c r="U113" s="8"/>
      <c r="V113" s="8"/>
      <c r="W113" s="8"/>
      <c r="X113" s="56"/>
      <c r="Y113" s="56"/>
      <c r="Z113" s="15"/>
      <c r="AA113" s="15"/>
      <c r="AB113" s="15"/>
      <c r="AC113" s="15"/>
      <c r="AD113" s="57"/>
      <c r="AE113" s="57"/>
      <c r="AF113" s="15"/>
      <c r="AG113" s="25"/>
      <c r="AH113" s="26"/>
      <c r="AI113" s="26"/>
      <c r="AJ113" s="27"/>
      <c r="AK113" s="28"/>
      <c r="AL113" s="29"/>
    </row>
    <row r="114" ht="12.75" customHeight="1">
      <c r="A114" s="26"/>
      <c r="B114" s="241"/>
      <c r="C114" s="240"/>
      <c r="D114" s="241"/>
      <c r="E114" s="5"/>
      <c r="F114" s="5"/>
      <c r="G114" s="5"/>
      <c r="H114" s="5"/>
      <c r="I114" s="5"/>
      <c r="J114" s="8"/>
      <c r="K114" s="9"/>
      <c r="L114" s="10"/>
      <c r="M114" s="12"/>
      <c r="N114" s="242"/>
      <c r="O114" s="344"/>
      <c r="P114" s="14"/>
      <c r="Q114" s="242"/>
      <c r="R114" s="15"/>
      <c r="S114" s="15"/>
      <c r="T114" s="15"/>
      <c r="U114" s="8"/>
      <c r="V114" s="8"/>
      <c r="W114" s="8"/>
      <c r="X114" s="56"/>
      <c r="Y114" s="56"/>
      <c r="Z114" s="15"/>
      <c r="AA114" s="15"/>
      <c r="AB114" s="15"/>
      <c r="AC114" s="15"/>
      <c r="AD114" s="57"/>
      <c r="AE114" s="57"/>
      <c r="AF114" s="15"/>
      <c r="AG114" s="25"/>
      <c r="AH114" s="26"/>
      <c r="AI114" s="26"/>
      <c r="AJ114" s="27"/>
      <c r="AK114" s="28"/>
      <c r="AL114" s="29"/>
    </row>
    <row r="115" ht="12.75" customHeight="1">
      <c r="A115" s="26"/>
      <c r="B115" s="241"/>
      <c r="C115" s="240"/>
      <c r="D115" s="241"/>
      <c r="E115" s="5"/>
      <c r="F115" s="5"/>
      <c r="G115" s="5"/>
      <c r="H115" s="5"/>
      <c r="I115" s="5"/>
      <c r="J115" s="8"/>
      <c r="K115" s="9"/>
      <c r="L115" s="10"/>
      <c r="M115" s="12"/>
      <c r="N115" s="242"/>
      <c r="O115" s="344"/>
      <c r="P115" s="14"/>
      <c r="Q115" s="242"/>
      <c r="R115" s="15"/>
      <c r="S115" s="15"/>
      <c r="T115" s="15"/>
      <c r="U115" s="8"/>
      <c r="V115" s="8"/>
      <c r="W115" s="8"/>
      <c r="X115" s="56"/>
      <c r="Y115" s="56"/>
      <c r="Z115" s="15"/>
      <c r="AA115" s="15"/>
      <c r="AB115" s="15"/>
      <c r="AC115" s="15"/>
      <c r="AD115" s="57"/>
      <c r="AE115" s="57"/>
      <c r="AF115" s="15"/>
      <c r="AG115" s="25"/>
      <c r="AH115" s="26"/>
      <c r="AI115" s="26"/>
      <c r="AJ115" s="27"/>
      <c r="AK115" s="28"/>
      <c r="AL115" s="29"/>
    </row>
    <row r="116" ht="12.75" customHeight="1">
      <c r="A116" s="26"/>
      <c r="B116" s="241"/>
      <c r="C116" s="240"/>
      <c r="D116" s="241"/>
      <c r="E116" s="5"/>
      <c r="F116" s="5"/>
      <c r="G116" s="5"/>
      <c r="H116" s="5"/>
      <c r="I116" s="5"/>
      <c r="J116" s="8"/>
      <c r="K116" s="9"/>
      <c r="L116" s="10"/>
      <c r="M116" s="12"/>
      <c r="N116" s="242"/>
      <c r="O116" s="344"/>
      <c r="P116" s="14"/>
      <c r="Q116" s="242"/>
      <c r="R116" s="15"/>
      <c r="S116" s="15"/>
      <c r="T116" s="15"/>
      <c r="U116" s="8"/>
      <c r="V116" s="8"/>
      <c r="W116" s="8"/>
      <c r="X116" s="56"/>
      <c r="Y116" s="56"/>
      <c r="Z116" s="15"/>
      <c r="AA116" s="15"/>
      <c r="AB116" s="15"/>
      <c r="AC116" s="15"/>
      <c r="AD116" s="57"/>
      <c r="AE116" s="57"/>
      <c r="AF116" s="15"/>
      <c r="AG116" s="25"/>
      <c r="AH116" s="26"/>
      <c r="AI116" s="26"/>
      <c r="AJ116" s="27"/>
      <c r="AK116" s="28"/>
      <c r="AL116" s="29"/>
    </row>
    <row r="117" ht="12.75" customHeight="1">
      <c r="A117" s="26"/>
      <c r="B117" s="241"/>
      <c r="C117" s="240"/>
      <c r="D117" s="241"/>
      <c r="E117" s="5"/>
      <c r="F117" s="5"/>
      <c r="G117" s="5"/>
      <c r="H117" s="5"/>
      <c r="I117" s="5"/>
      <c r="J117" s="8"/>
      <c r="K117" s="9"/>
      <c r="L117" s="10"/>
      <c r="M117" s="12"/>
      <c r="N117" s="242"/>
      <c r="O117" s="344"/>
      <c r="P117" s="14"/>
      <c r="Q117" s="242"/>
      <c r="R117" s="15"/>
      <c r="S117" s="15"/>
      <c r="T117" s="15"/>
      <c r="U117" s="8"/>
      <c r="V117" s="8"/>
      <c r="W117" s="8"/>
      <c r="X117" s="56"/>
      <c r="Y117" s="56"/>
      <c r="Z117" s="15"/>
      <c r="AA117" s="15"/>
      <c r="AB117" s="15"/>
      <c r="AC117" s="15"/>
      <c r="AD117" s="57"/>
      <c r="AE117" s="57"/>
      <c r="AF117" s="15"/>
      <c r="AG117" s="25"/>
      <c r="AH117" s="26"/>
      <c r="AI117" s="26"/>
      <c r="AJ117" s="27"/>
      <c r="AK117" s="28"/>
      <c r="AL117" s="29"/>
    </row>
    <row r="118" ht="12.75" customHeight="1">
      <c r="A118" s="26"/>
      <c r="B118" s="241"/>
      <c r="C118" s="240"/>
      <c r="D118" s="241"/>
      <c r="E118" s="5"/>
      <c r="F118" s="5"/>
      <c r="G118" s="5"/>
      <c r="H118" s="5"/>
      <c r="I118" s="5"/>
      <c r="J118" s="8"/>
      <c r="K118" s="9"/>
      <c r="L118" s="10"/>
      <c r="M118" s="12"/>
      <c r="N118" s="242"/>
      <c r="O118" s="344"/>
      <c r="P118" s="14"/>
      <c r="Q118" s="242"/>
      <c r="R118" s="15"/>
      <c r="S118" s="15"/>
      <c r="T118" s="15"/>
      <c r="U118" s="8"/>
      <c r="V118" s="8"/>
      <c r="W118" s="8"/>
      <c r="X118" s="56"/>
      <c r="Y118" s="56"/>
      <c r="Z118" s="15"/>
      <c r="AA118" s="15"/>
      <c r="AB118" s="15"/>
      <c r="AC118" s="15"/>
      <c r="AD118" s="57"/>
      <c r="AE118" s="57"/>
      <c r="AF118" s="15"/>
      <c r="AG118" s="25"/>
      <c r="AH118" s="26"/>
      <c r="AI118" s="26"/>
      <c r="AJ118" s="27"/>
      <c r="AK118" s="28"/>
      <c r="AL118" s="29"/>
    </row>
    <row r="119" ht="12.75" customHeight="1">
      <c r="A119" s="26"/>
      <c r="B119" s="241"/>
      <c r="C119" s="240"/>
      <c r="D119" s="241"/>
      <c r="E119" s="5"/>
      <c r="F119" s="5"/>
      <c r="G119" s="5"/>
      <c r="H119" s="5"/>
      <c r="I119" s="5"/>
      <c r="J119" s="8"/>
      <c r="K119" s="9"/>
      <c r="L119" s="10"/>
      <c r="M119" s="12"/>
      <c r="N119" s="242"/>
      <c r="O119" s="344"/>
      <c r="P119" s="14"/>
      <c r="Q119" s="242"/>
      <c r="R119" s="15"/>
      <c r="S119" s="15"/>
      <c r="T119" s="15"/>
      <c r="U119" s="8"/>
      <c r="V119" s="8"/>
      <c r="W119" s="8"/>
      <c r="X119" s="56"/>
      <c r="Y119" s="56"/>
      <c r="Z119" s="15"/>
      <c r="AA119" s="15"/>
      <c r="AB119" s="15"/>
      <c r="AC119" s="15"/>
      <c r="AD119" s="57"/>
      <c r="AE119" s="57"/>
      <c r="AF119" s="15"/>
      <c r="AG119" s="25"/>
      <c r="AH119" s="26"/>
      <c r="AI119" s="26"/>
      <c r="AJ119" s="27"/>
      <c r="AK119" s="28"/>
      <c r="AL119" s="29"/>
    </row>
    <row r="120" ht="12.75" customHeight="1">
      <c r="A120" s="26"/>
      <c r="B120" s="241"/>
      <c r="C120" s="240"/>
      <c r="D120" s="241"/>
      <c r="E120" s="5"/>
      <c r="F120" s="5"/>
      <c r="G120" s="5"/>
      <c r="H120" s="5"/>
      <c r="I120" s="5"/>
      <c r="J120" s="8"/>
      <c r="K120" s="9"/>
      <c r="L120" s="10"/>
      <c r="M120" s="12"/>
      <c r="N120" s="242"/>
      <c r="O120" s="344"/>
      <c r="P120" s="14"/>
      <c r="Q120" s="242"/>
      <c r="R120" s="15"/>
      <c r="S120" s="15"/>
      <c r="T120" s="15"/>
      <c r="U120" s="8"/>
      <c r="V120" s="8"/>
      <c r="W120" s="8"/>
      <c r="X120" s="56"/>
      <c r="Y120" s="56"/>
      <c r="Z120" s="15"/>
      <c r="AA120" s="15"/>
      <c r="AB120" s="15"/>
      <c r="AC120" s="15"/>
      <c r="AD120" s="57"/>
      <c r="AE120" s="57"/>
      <c r="AF120" s="15"/>
      <c r="AG120" s="25"/>
      <c r="AH120" s="26"/>
      <c r="AI120" s="26"/>
      <c r="AJ120" s="27"/>
      <c r="AK120" s="28"/>
      <c r="AL120" s="29"/>
    </row>
    <row r="121" ht="12.75" customHeight="1">
      <c r="A121" s="26"/>
      <c r="B121" s="241"/>
      <c r="C121" s="240"/>
      <c r="D121" s="241"/>
      <c r="E121" s="5"/>
      <c r="F121" s="5"/>
      <c r="G121" s="5"/>
      <c r="H121" s="5"/>
      <c r="I121" s="5"/>
      <c r="J121" s="8"/>
      <c r="K121" s="9"/>
      <c r="L121" s="10"/>
      <c r="M121" s="12"/>
      <c r="N121" s="242"/>
      <c r="O121" s="344"/>
      <c r="P121" s="14"/>
      <c r="Q121" s="242"/>
      <c r="R121" s="15"/>
      <c r="S121" s="15"/>
      <c r="T121" s="15"/>
      <c r="U121" s="8"/>
      <c r="V121" s="8"/>
      <c r="W121" s="8"/>
      <c r="X121" s="56"/>
      <c r="Y121" s="56"/>
      <c r="Z121" s="15"/>
      <c r="AA121" s="15"/>
      <c r="AB121" s="15"/>
      <c r="AC121" s="15"/>
      <c r="AD121" s="57"/>
      <c r="AE121" s="57"/>
      <c r="AF121" s="15"/>
      <c r="AG121" s="25"/>
      <c r="AH121" s="26"/>
      <c r="AI121" s="26"/>
      <c r="AJ121" s="27"/>
      <c r="AK121" s="28"/>
      <c r="AL121" s="29"/>
    </row>
    <row r="122" ht="12.75" customHeight="1">
      <c r="A122" s="26"/>
      <c r="B122" s="241"/>
      <c r="C122" s="240"/>
      <c r="D122" s="241"/>
      <c r="E122" s="5"/>
      <c r="F122" s="5"/>
      <c r="G122" s="5"/>
      <c r="H122" s="5"/>
      <c r="I122" s="5"/>
      <c r="J122" s="8"/>
      <c r="K122" s="9"/>
      <c r="L122" s="10"/>
      <c r="M122" s="12"/>
      <c r="N122" s="242"/>
      <c r="O122" s="344"/>
      <c r="P122" s="14"/>
      <c r="Q122" s="242"/>
      <c r="R122" s="15"/>
      <c r="S122" s="15"/>
      <c r="T122" s="15"/>
      <c r="U122" s="8"/>
      <c r="V122" s="8"/>
      <c r="W122" s="8"/>
      <c r="X122" s="56"/>
      <c r="Y122" s="56"/>
      <c r="Z122" s="15"/>
      <c r="AA122" s="15"/>
      <c r="AB122" s="15"/>
      <c r="AC122" s="15"/>
      <c r="AD122" s="57"/>
      <c r="AE122" s="57"/>
      <c r="AF122" s="15"/>
      <c r="AG122" s="25"/>
      <c r="AH122" s="26"/>
      <c r="AI122" s="26"/>
      <c r="AJ122" s="27"/>
      <c r="AK122" s="28"/>
      <c r="AL122" s="29"/>
    </row>
    <row r="123" ht="12.75" customHeight="1">
      <c r="A123" s="26"/>
      <c r="B123" s="241"/>
      <c r="C123" s="240"/>
      <c r="D123" s="241"/>
      <c r="E123" s="5"/>
      <c r="F123" s="5"/>
      <c r="G123" s="5"/>
      <c r="H123" s="5"/>
      <c r="I123" s="5"/>
      <c r="J123" s="8"/>
      <c r="K123" s="9"/>
      <c r="L123" s="10"/>
      <c r="M123" s="12"/>
      <c r="N123" s="242"/>
      <c r="O123" s="344"/>
      <c r="P123" s="14"/>
      <c r="Q123" s="242"/>
      <c r="R123" s="15"/>
      <c r="S123" s="15"/>
      <c r="T123" s="15"/>
      <c r="U123" s="8"/>
      <c r="V123" s="8"/>
      <c r="W123" s="8"/>
      <c r="X123" s="56"/>
      <c r="Y123" s="56"/>
      <c r="Z123" s="15"/>
      <c r="AA123" s="15"/>
      <c r="AB123" s="15"/>
      <c r="AC123" s="15"/>
      <c r="AD123" s="57"/>
      <c r="AE123" s="57"/>
      <c r="AF123" s="15"/>
      <c r="AG123" s="25"/>
      <c r="AH123" s="26"/>
      <c r="AI123" s="26"/>
      <c r="AJ123" s="27"/>
      <c r="AK123" s="28"/>
      <c r="AL123" s="29"/>
    </row>
    <row r="124" ht="12.75" customHeight="1">
      <c r="A124" s="26"/>
      <c r="B124" s="241"/>
      <c r="C124" s="240"/>
      <c r="D124" s="241"/>
      <c r="E124" s="5"/>
      <c r="F124" s="5"/>
      <c r="G124" s="5"/>
      <c r="H124" s="5"/>
      <c r="I124" s="5"/>
      <c r="J124" s="8"/>
      <c r="K124" s="9"/>
      <c r="L124" s="10"/>
      <c r="M124" s="12"/>
      <c r="N124" s="242"/>
      <c r="O124" s="344"/>
      <c r="P124" s="14"/>
      <c r="Q124" s="242"/>
      <c r="R124" s="15"/>
      <c r="S124" s="15"/>
      <c r="T124" s="15"/>
      <c r="U124" s="8"/>
      <c r="V124" s="8"/>
      <c r="W124" s="8"/>
      <c r="X124" s="56"/>
      <c r="Y124" s="56"/>
      <c r="Z124" s="15"/>
      <c r="AA124" s="15"/>
      <c r="AB124" s="15"/>
      <c r="AC124" s="15"/>
      <c r="AD124" s="57"/>
      <c r="AE124" s="57"/>
      <c r="AF124" s="15"/>
      <c r="AG124" s="25"/>
      <c r="AH124" s="26"/>
      <c r="AI124" s="26"/>
      <c r="AJ124" s="27"/>
      <c r="AK124" s="28"/>
      <c r="AL124" s="29"/>
    </row>
    <row r="125" ht="12.75" customHeight="1">
      <c r="A125" s="26"/>
      <c r="B125" s="241"/>
      <c r="C125" s="240"/>
      <c r="D125" s="241"/>
      <c r="E125" s="5"/>
      <c r="F125" s="5"/>
      <c r="G125" s="5"/>
      <c r="H125" s="5"/>
      <c r="I125" s="5"/>
      <c r="J125" s="8"/>
      <c r="K125" s="9"/>
      <c r="L125" s="10"/>
      <c r="M125" s="12"/>
      <c r="N125" s="242"/>
      <c r="O125" s="344"/>
      <c r="P125" s="14"/>
      <c r="Q125" s="242"/>
      <c r="R125" s="15"/>
      <c r="S125" s="15"/>
      <c r="T125" s="15"/>
      <c r="U125" s="8"/>
      <c r="V125" s="8"/>
      <c r="W125" s="8"/>
      <c r="X125" s="56"/>
      <c r="Y125" s="56"/>
      <c r="Z125" s="15"/>
      <c r="AA125" s="15"/>
      <c r="AB125" s="15"/>
      <c r="AC125" s="15"/>
      <c r="AD125" s="57"/>
      <c r="AE125" s="57"/>
      <c r="AF125" s="15"/>
      <c r="AG125" s="25"/>
      <c r="AH125" s="26"/>
      <c r="AI125" s="26"/>
      <c r="AJ125" s="27"/>
      <c r="AK125" s="28"/>
      <c r="AL125" s="29"/>
    </row>
    <row r="126" ht="12.75" customHeight="1">
      <c r="A126" s="26"/>
      <c r="B126" s="241"/>
      <c r="C126" s="240"/>
      <c r="D126" s="241"/>
      <c r="E126" s="5"/>
      <c r="F126" s="5"/>
      <c r="G126" s="5"/>
      <c r="H126" s="5"/>
      <c r="I126" s="5"/>
      <c r="J126" s="8"/>
      <c r="K126" s="9"/>
      <c r="L126" s="10"/>
      <c r="M126" s="12"/>
      <c r="N126" s="242"/>
      <c r="O126" s="344"/>
      <c r="P126" s="14"/>
      <c r="Q126" s="242"/>
      <c r="R126" s="15"/>
      <c r="S126" s="15"/>
      <c r="T126" s="15"/>
      <c r="U126" s="8"/>
      <c r="V126" s="8"/>
      <c r="W126" s="8"/>
      <c r="X126" s="56"/>
      <c r="Y126" s="56"/>
      <c r="Z126" s="15"/>
      <c r="AA126" s="15"/>
      <c r="AB126" s="15"/>
      <c r="AC126" s="15"/>
      <c r="AD126" s="57"/>
      <c r="AE126" s="57"/>
      <c r="AF126" s="15"/>
      <c r="AG126" s="25"/>
      <c r="AH126" s="26"/>
      <c r="AI126" s="26"/>
      <c r="AJ126" s="27"/>
      <c r="AK126" s="28"/>
      <c r="AL126" s="29"/>
    </row>
    <row r="127" ht="12.75" customHeight="1">
      <c r="A127" s="26"/>
      <c r="B127" s="241"/>
      <c r="C127" s="240"/>
      <c r="D127" s="241"/>
      <c r="E127" s="5"/>
      <c r="F127" s="5"/>
      <c r="G127" s="5"/>
      <c r="H127" s="5"/>
      <c r="I127" s="5"/>
      <c r="J127" s="8"/>
      <c r="K127" s="9"/>
      <c r="L127" s="10"/>
      <c r="M127" s="12"/>
      <c r="N127" s="242"/>
      <c r="O127" s="344"/>
      <c r="P127" s="14"/>
      <c r="Q127" s="242"/>
      <c r="R127" s="15"/>
      <c r="S127" s="15"/>
      <c r="T127" s="15"/>
      <c r="U127" s="8"/>
      <c r="V127" s="8"/>
      <c r="W127" s="8"/>
      <c r="X127" s="56"/>
      <c r="Y127" s="56"/>
      <c r="Z127" s="15"/>
      <c r="AA127" s="15"/>
      <c r="AB127" s="15"/>
      <c r="AC127" s="15"/>
      <c r="AD127" s="57"/>
      <c r="AE127" s="57"/>
      <c r="AF127" s="15"/>
      <c r="AG127" s="25"/>
      <c r="AH127" s="26"/>
      <c r="AI127" s="26"/>
      <c r="AJ127" s="27"/>
      <c r="AK127" s="28"/>
      <c r="AL127" s="29"/>
    </row>
    <row r="128" ht="12.75" customHeight="1">
      <c r="A128" s="26"/>
      <c r="B128" s="241"/>
      <c r="C128" s="240"/>
      <c r="D128" s="241"/>
      <c r="E128" s="5"/>
      <c r="F128" s="5"/>
      <c r="G128" s="5"/>
      <c r="H128" s="5"/>
      <c r="I128" s="5"/>
      <c r="J128" s="8"/>
      <c r="K128" s="9"/>
      <c r="L128" s="10"/>
      <c r="M128" s="12"/>
      <c r="N128" s="242"/>
      <c r="O128" s="344"/>
      <c r="P128" s="14"/>
      <c r="Q128" s="242"/>
      <c r="R128" s="15"/>
      <c r="S128" s="15"/>
      <c r="T128" s="15"/>
      <c r="U128" s="8"/>
      <c r="V128" s="8"/>
      <c r="W128" s="8"/>
      <c r="X128" s="56"/>
      <c r="Y128" s="56"/>
      <c r="Z128" s="15"/>
      <c r="AA128" s="15"/>
      <c r="AB128" s="15"/>
      <c r="AC128" s="15"/>
      <c r="AD128" s="57"/>
      <c r="AE128" s="57"/>
      <c r="AF128" s="15"/>
      <c r="AG128" s="25"/>
      <c r="AH128" s="26"/>
      <c r="AI128" s="26"/>
      <c r="AJ128" s="27"/>
      <c r="AK128" s="28"/>
      <c r="AL128" s="29"/>
    </row>
    <row r="129" ht="12.75" customHeight="1">
      <c r="A129" s="26"/>
      <c r="B129" s="241"/>
      <c r="C129" s="240"/>
      <c r="D129" s="241"/>
      <c r="E129" s="5"/>
      <c r="F129" s="5"/>
      <c r="G129" s="5"/>
      <c r="H129" s="5"/>
      <c r="I129" s="5"/>
      <c r="J129" s="8"/>
      <c r="K129" s="9"/>
      <c r="L129" s="10"/>
      <c r="M129" s="12"/>
      <c r="N129" s="242"/>
      <c r="O129" s="344"/>
      <c r="P129" s="14"/>
      <c r="Q129" s="242"/>
      <c r="R129" s="15"/>
      <c r="S129" s="15"/>
      <c r="T129" s="15"/>
      <c r="U129" s="8"/>
      <c r="V129" s="8"/>
      <c r="W129" s="8"/>
      <c r="X129" s="56"/>
      <c r="Y129" s="56"/>
      <c r="Z129" s="15"/>
      <c r="AA129" s="15"/>
      <c r="AB129" s="15"/>
      <c r="AC129" s="15"/>
      <c r="AD129" s="57"/>
      <c r="AE129" s="57"/>
      <c r="AF129" s="15"/>
      <c r="AG129" s="25"/>
      <c r="AH129" s="26"/>
      <c r="AI129" s="26"/>
      <c r="AJ129" s="27"/>
      <c r="AK129" s="28"/>
      <c r="AL129" s="29"/>
    </row>
    <row r="130" ht="12.75" customHeight="1">
      <c r="A130" s="26"/>
      <c r="B130" s="241"/>
      <c r="C130" s="240"/>
      <c r="D130" s="241"/>
      <c r="E130" s="5"/>
      <c r="F130" s="5"/>
      <c r="G130" s="5"/>
      <c r="H130" s="5"/>
      <c r="I130" s="5"/>
      <c r="J130" s="8"/>
      <c r="K130" s="9"/>
      <c r="L130" s="10"/>
      <c r="M130" s="12"/>
      <c r="N130" s="242"/>
      <c r="O130" s="344"/>
      <c r="P130" s="14"/>
      <c r="Q130" s="242"/>
      <c r="R130" s="15"/>
      <c r="S130" s="15"/>
      <c r="T130" s="15"/>
      <c r="U130" s="8"/>
      <c r="V130" s="8"/>
      <c r="W130" s="8"/>
      <c r="X130" s="56"/>
      <c r="Y130" s="56"/>
      <c r="Z130" s="15"/>
      <c r="AA130" s="15"/>
      <c r="AB130" s="15"/>
      <c r="AC130" s="15"/>
      <c r="AD130" s="57"/>
      <c r="AE130" s="57"/>
      <c r="AF130" s="15"/>
      <c r="AG130" s="25"/>
      <c r="AH130" s="26"/>
      <c r="AI130" s="26"/>
      <c r="AJ130" s="27"/>
      <c r="AK130" s="28"/>
      <c r="AL130" s="29"/>
    </row>
    <row r="131" ht="12.75" customHeight="1">
      <c r="A131" s="26"/>
      <c r="B131" s="241"/>
      <c r="C131" s="240"/>
      <c r="D131" s="241"/>
      <c r="E131" s="5"/>
      <c r="F131" s="5"/>
      <c r="G131" s="5"/>
      <c r="H131" s="5"/>
      <c r="I131" s="5"/>
      <c r="J131" s="8"/>
      <c r="K131" s="9"/>
      <c r="L131" s="10"/>
      <c r="M131" s="12"/>
      <c r="N131" s="242"/>
      <c r="O131" s="344"/>
      <c r="P131" s="14"/>
      <c r="Q131" s="242"/>
      <c r="R131" s="15"/>
      <c r="S131" s="15"/>
      <c r="T131" s="15"/>
      <c r="U131" s="8"/>
      <c r="V131" s="8"/>
      <c r="W131" s="8"/>
      <c r="X131" s="56"/>
      <c r="Y131" s="56"/>
      <c r="Z131" s="15"/>
      <c r="AA131" s="15"/>
      <c r="AB131" s="15"/>
      <c r="AC131" s="15"/>
      <c r="AD131" s="57"/>
      <c r="AE131" s="57"/>
      <c r="AF131" s="15"/>
      <c r="AG131" s="25"/>
      <c r="AH131" s="26"/>
      <c r="AI131" s="26"/>
      <c r="AJ131" s="27"/>
      <c r="AK131" s="28"/>
      <c r="AL131" s="29"/>
    </row>
    <row r="132" ht="12.75" customHeight="1">
      <c r="A132" s="26"/>
      <c r="B132" s="241"/>
      <c r="C132" s="240"/>
      <c r="D132" s="241"/>
      <c r="E132" s="5"/>
      <c r="F132" s="5"/>
      <c r="G132" s="5"/>
      <c r="H132" s="5"/>
      <c r="I132" s="5"/>
      <c r="J132" s="8"/>
      <c r="K132" s="9"/>
      <c r="L132" s="10"/>
      <c r="M132" s="12"/>
      <c r="N132" s="242"/>
      <c r="O132" s="344"/>
      <c r="P132" s="14"/>
      <c r="Q132" s="242"/>
      <c r="R132" s="15"/>
      <c r="S132" s="15"/>
      <c r="T132" s="15"/>
      <c r="U132" s="8"/>
      <c r="V132" s="8"/>
      <c r="W132" s="8"/>
      <c r="X132" s="56"/>
      <c r="Y132" s="56"/>
      <c r="Z132" s="15"/>
      <c r="AA132" s="15"/>
      <c r="AB132" s="15"/>
      <c r="AC132" s="15"/>
      <c r="AD132" s="57"/>
      <c r="AE132" s="57"/>
      <c r="AF132" s="15"/>
      <c r="AG132" s="25"/>
      <c r="AH132" s="26"/>
      <c r="AI132" s="26"/>
      <c r="AJ132" s="27"/>
      <c r="AK132" s="28"/>
      <c r="AL132" s="29"/>
    </row>
    <row r="133" ht="12.75" customHeight="1">
      <c r="A133" s="26"/>
      <c r="B133" s="241"/>
      <c r="C133" s="240"/>
      <c r="D133" s="241"/>
      <c r="E133" s="5"/>
      <c r="F133" s="5"/>
      <c r="G133" s="5"/>
      <c r="H133" s="5"/>
      <c r="I133" s="5"/>
      <c r="J133" s="8"/>
      <c r="K133" s="9"/>
      <c r="L133" s="10"/>
      <c r="M133" s="12"/>
      <c r="N133" s="242"/>
      <c r="O133" s="344"/>
      <c r="P133" s="14"/>
      <c r="Q133" s="242"/>
      <c r="R133" s="15"/>
      <c r="S133" s="15"/>
      <c r="T133" s="15"/>
      <c r="U133" s="8"/>
      <c r="V133" s="8"/>
      <c r="W133" s="8"/>
      <c r="X133" s="56"/>
      <c r="Y133" s="56"/>
      <c r="Z133" s="15"/>
      <c r="AA133" s="15"/>
      <c r="AB133" s="15"/>
      <c r="AC133" s="15"/>
      <c r="AD133" s="57"/>
      <c r="AE133" s="57"/>
      <c r="AF133" s="15"/>
      <c r="AG133" s="25"/>
      <c r="AH133" s="26"/>
      <c r="AI133" s="26"/>
      <c r="AJ133" s="27"/>
      <c r="AK133" s="28"/>
      <c r="AL133" s="29"/>
    </row>
    <row r="134" ht="12.75" customHeight="1">
      <c r="A134" s="26"/>
      <c r="B134" s="241"/>
      <c r="C134" s="240"/>
      <c r="D134" s="241"/>
      <c r="E134" s="5"/>
      <c r="F134" s="5"/>
      <c r="G134" s="5"/>
      <c r="H134" s="5"/>
      <c r="I134" s="5"/>
      <c r="J134" s="8"/>
      <c r="K134" s="9"/>
      <c r="L134" s="10"/>
      <c r="M134" s="12"/>
      <c r="N134" s="242"/>
      <c r="O134" s="344"/>
      <c r="P134" s="14"/>
      <c r="Q134" s="242"/>
      <c r="R134" s="15"/>
      <c r="S134" s="15"/>
      <c r="T134" s="15"/>
      <c r="U134" s="8"/>
      <c r="V134" s="8"/>
      <c r="W134" s="8"/>
      <c r="X134" s="56"/>
      <c r="Y134" s="56"/>
      <c r="Z134" s="15"/>
      <c r="AA134" s="15"/>
      <c r="AB134" s="15"/>
      <c r="AC134" s="15"/>
      <c r="AD134" s="57"/>
      <c r="AE134" s="57"/>
      <c r="AF134" s="15"/>
      <c r="AG134" s="25"/>
      <c r="AH134" s="26"/>
      <c r="AI134" s="26"/>
      <c r="AJ134" s="27"/>
      <c r="AK134" s="28"/>
      <c r="AL134" s="29"/>
    </row>
    <row r="135" ht="12.75" customHeight="1">
      <c r="A135" s="26"/>
      <c r="B135" s="241"/>
      <c r="C135" s="240"/>
      <c r="D135" s="241"/>
      <c r="E135" s="5"/>
      <c r="F135" s="5"/>
      <c r="G135" s="5"/>
      <c r="H135" s="5"/>
      <c r="I135" s="5"/>
      <c r="J135" s="8"/>
      <c r="K135" s="9"/>
      <c r="L135" s="10"/>
      <c r="M135" s="12"/>
      <c r="N135" s="242"/>
      <c r="O135" s="344"/>
      <c r="P135" s="14"/>
      <c r="Q135" s="242"/>
      <c r="R135" s="15"/>
      <c r="S135" s="15"/>
      <c r="T135" s="15"/>
      <c r="U135" s="8"/>
      <c r="V135" s="8"/>
      <c r="W135" s="8"/>
      <c r="X135" s="56"/>
      <c r="Y135" s="56"/>
      <c r="Z135" s="15"/>
      <c r="AA135" s="15"/>
      <c r="AB135" s="15"/>
      <c r="AC135" s="15"/>
      <c r="AD135" s="57"/>
      <c r="AE135" s="57"/>
      <c r="AF135" s="15"/>
      <c r="AG135" s="25"/>
      <c r="AH135" s="26"/>
      <c r="AI135" s="26"/>
      <c r="AJ135" s="27"/>
      <c r="AK135" s="28"/>
      <c r="AL135" s="29"/>
    </row>
    <row r="136" ht="12.75" customHeight="1">
      <c r="A136" s="26"/>
      <c r="B136" s="241"/>
      <c r="C136" s="240"/>
      <c r="D136" s="241"/>
      <c r="E136" s="5"/>
      <c r="F136" s="5"/>
      <c r="G136" s="5"/>
      <c r="H136" s="5"/>
      <c r="I136" s="5"/>
      <c r="J136" s="8"/>
      <c r="K136" s="9"/>
      <c r="L136" s="10"/>
      <c r="M136" s="12"/>
      <c r="N136" s="242"/>
      <c r="O136" s="344"/>
      <c r="P136" s="14"/>
      <c r="Q136" s="242"/>
      <c r="R136" s="15"/>
      <c r="S136" s="15"/>
      <c r="T136" s="15"/>
      <c r="U136" s="8"/>
      <c r="V136" s="8"/>
      <c r="W136" s="8"/>
      <c r="X136" s="56"/>
      <c r="Y136" s="56"/>
      <c r="Z136" s="15"/>
      <c r="AA136" s="15"/>
      <c r="AB136" s="15"/>
      <c r="AC136" s="15"/>
      <c r="AD136" s="57"/>
      <c r="AE136" s="57"/>
      <c r="AF136" s="15"/>
      <c r="AG136" s="25"/>
      <c r="AH136" s="26"/>
      <c r="AI136" s="26"/>
      <c r="AJ136" s="27"/>
      <c r="AK136" s="28"/>
      <c r="AL136" s="29"/>
    </row>
    <row r="137" ht="12.75" customHeight="1">
      <c r="A137" s="26"/>
      <c r="B137" s="241"/>
      <c r="C137" s="240"/>
      <c r="D137" s="241"/>
      <c r="E137" s="5"/>
      <c r="F137" s="5"/>
      <c r="G137" s="5"/>
      <c r="H137" s="5"/>
      <c r="I137" s="5"/>
      <c r="J137" s="8"/>
      <c r="K137" s="9"/>
      <c r="L137" s="10"/>
      <c r="M137" s="12"/>
      <c r="N137" s="242"/>
      <c r="O137" s="344"/>
      <c r="P137" s="14"/>
      <c r="Q137" s="242"/>
      <c r="R137" s="15"/>
      <c r="S137" s="15"/>
      <c r="T137" s="15"/>
      <c r="U137" s="8"/>
      <c r="V137" s="8"/>
      <c r="W137" s="8"/>
      <c r="X137" s="56"/>
      <c r="Y137" s="56"/>
      <c r="Z137" s="15"/>
      <c r="AA137" s="15"/>
      <c r="AB137" s="15"/>
      <c r="AC137" s="15"/>
      <c r="AD137" s="57"/>
      <c r="AE137" s="57"/>
      <c r="AF137" s="15"/>
      <c r="AG137" s="25"/>
      <c r="AH137" s="26"/>
      <c r="AI137" s="26"/>
      <c r="AJ137" s="27"/>
      <c r="AK137" s="28"/>
      <c r="AL137" s="29"/>
    </row>
    <row r="138" ht="12.75" customHeight="1">
      <c r="A138" s="26"/>
      <c r="B138" s="241"/>
      <c r="C138" s="240"/>
      <c r="D138" s="241"/>
      <c r="E138" s="5"/>
      <c r="F138" s="5"/>
      <c r="G138" s="5"/>
      <c r="H138" s="5"/>
      <c r="I138" s="5"/>
      <c r="J138" s="8"/>
      <c r="K138" s="9"/>
      <c r="L138" s="10"/>
      <c r="M138" s="12"/>
      <c r="N138" s="242"/>
      <c r="O138" s="344"/>
      <c r="P138" s="14"/>
      <c r="Q138" s="242"/>
      <c r="R138" s="15"/>
      <c r="S138" s="15"/>
      <c r="T138" s="15"/>
      <c r="U138" s="8"/>
      <c r="V138" s="8"/>
      <c r="W138" s="8"/>
      <c r="X138" s="56"/>
      <c r="Y138" s="56"/>
      <c r="Z138" s="15"/>
      <c r="AA138" s="15"/>
      <c r="AB138" s="15"/>
      <c r="AC138" s="15"/>
      <c r="AD138" s="57"/>
      <c r="AE138" s="57"/>
      <c r="AF138" s="15"/>
      <c r="AG138" s="25"/>
      <c r="AH138" s="26"/>
      <c r="AI138" s="26"/>
      <c r="AJ138" s="27"/>
      <c r="AK138" s="28"/>
      <c r="AL138" s="29"/>
    </row>
    <row r="139" ht="12.75" customHeight="1">
      <c r="A139" s="26"/>
      <c r="B139" s="241"/>
      <c r="C139" s="240"/>
      <c r="D139" s="241"/>
      <c r="E139" s="5"/>
      <c r="F139" s="5"/>
      <c r="G139" s="5"/>
      <c r="H139" s="5"/>
      <c r="I139" s="5"/>
      <c r="J139" s="8"/>
      <c r="K139" s="9"/>
      <c r="L139" s="10"/>
      <c r="M139" s="12"/>
      <c r="N139" s="242"/>
      <c r="O139" s="344"/>
      <c r="P139" s="14"/>
      <c r="Q139" s="242"/>
      <c r="R139" s="15"/>
      <c r="S139" s="15"/>
      <c r="T139" s="15"/>
      <c r="U139" s="8"/>
      <c r="V139" s="8"/>
      <c r="W139" s="8"/>
      <c r="X139" s="56"/>
      <c r="Y139" s="56"/>
      <c r="Z139" s="15"/>
      <c r="AA139" s="15"/>
      <c r="AB139" s="15"/>
      <c r="AC139" s="15"/>
      <c r="AD139" s="57"/>
      <c r="AE139" s="57"/>
      <c r="AF139" s="15"/>
      <c r="AG139" s="25"/>
      <c r="AH139" s="26"/>
      <c r="AI139" s="26"/>
      <c r="AJ139" s="27"/>
      <c r="AK139" s="28"/>
      <c r="AL139" s="29"/>
    </row>
    <row r="140" ht="12.75" customHeight="1">
      <c r="A140" s="26"/>
      <c r="B140" s="241"/>
      <c r="C140" s="240"/>
      <c r="D140" s="241"/>
      <c r="E140" s="5"/>
      <c r="F140" s="5"/>
      <c r="G140" s="5"/>
      <c r="H140" s="5"/>
      <c r="I140" s="5"/>
      <c r="J140" s="8"/>
      <c r="K140" s="9"/>
      <c r="L140" s="10"/>
      <c r="M140" s="12"/>
      <c r="N140" s="242"/>
      <c r="O140" s="344"/>
      <c r="P140" s="14"/>
      <c r="Q140" s="242"/>
      <c r="R140" s="15"/>
      <c r="S140" s="15"/>
      <c r="T140" s="15"/>
      <c r="U140" s="8"/>
      <c r="V140" s="8"/>
      <c r="W140" s="8"/>
      <c r="X140" s="56"/>
      <c r="Y140" s="56"/>
      <c r="Z140" s="15"/>
      <c r="AA140" s="15"/>
      <c r="AB140" s="15"/>
      <c r="AC140" s="15"/>
      <c r="AD140" s="57"/>
      <c r="AE140" s="57"/>
      <c r="AF140" s="15"/>
      <c r="AG140" s="25"/>
      <c r="AH140" s="26"/>
      <c r="AI140" s="26"/>
      <c r="AJ140" s="27"/>
      <c r="AK140" s="28"/>
      <c r="AL140" s="29"/>
    </row>
    <row r="141" ht="12.75" customHeight="1">
      <c r="A141" s="26"/>
      <c r="B141" s="241"/>
      <c r="C141" s="240"/>
      <c r="D141" s="241"/>
      <c r="E141" s="5"/>
      <c r="F141" s="5"/>
      <c r="G141" s="5"/>
      <c r="H141" s="5"/>
      <c r="I141" s="5"/>
      <c r="J141" s="8"/>
      <c r="K141" s="9"/>
      <c r="L141" s="10"/>
      <c r="M141" s="12"/>
      <c r="N141" s="242"/>
      <c r="O141" s="344"/>
      <c r="P141" s="14"/>
      <c r="Q141" s="242"/>
      <c r="R141" s="15"/>
      <c r="S141" s="15"/>
      <c r="T141" s="15"/>
      <c r="U141" s="8"/>
      <c r="V141" s="8"/>
      <c r="W141" s="8"/>
      <c r="X141" s="56"/>
      <c r="Y141" s="56"/>
      <c r="Z141" s="15"/>
      <c r="AA141" s="15"/>
      <c r="AB141" s="15"/>
      <c r="AC141" s="15"/>
      <c r="AD141" s="57"/>
      <c r="AE141" s="57"/>
      <c r="AF141" s="15"/>
      <c r="AG141" s="25"/>
      <c r="AH141" s="26"/>
      <c r="AI141" s="26"/>
      <c r="AJ141" s="27"/>
      <c r="AK141" s="28"/>
      <c r="AL141" s="29"/>
    </row>
    <row r="142" ht="12.75" customHeight="1">
      <c r="A142" s="26"/>
      <c r="B142" s="241"/>
      <c r="C142" s="240"/>
      <c r="D142" s="241"/>
      <c r="E142" s="5"/>
      <c r="F142" s="5"/>
      <c r="G142" s="5"/>
      <c r="H142" s="5"/>
      <c r="I142" s="5"/>
      <c r="J142" s="8"/>
      <c r="K142" s="9"/>
      <c r="L142" s="10"/>
      <c r="M142" s="12"/>
      <c r="N142" s="242"/>
      <c r="O142" s="344"/>
      <c r="P142" s="14"/>
      <c r="Q142" s="242"/>
      <c r="R142" s="15"/>
      <c r="S142" s="15"/>
      <c r="T142" s="15"/>
      <c r="U142" s="8"/>
      <c r="V142" s="8"/>
      <c r="W142" s="8"/>
      <c r="X142" s="56"/>
      <c r="Y142" s="56"/>
      <c r="Z142" s="15"/>
      <c r="AA142" s="15"/>
      <c r="AB142" s="15"/>
      <c r="AC142" s="15"/>
      <c r="AD142" s="57"/>
      <c r="AE142" s="57"/>
      <c r="AF142" s="15"/>
      <c r="AG142" s="25"/>
      <c r="AH142" s="26"/>
      <c r="AI142" s="26"/>
      <c r="AJ142" s="27"/>
      <c r="AK142" s="28"/>
      <c r="AL142" s="29"/>
    </row>
    <row r="143" ht="12.75" customHeight="1">
      <c r="A143" s="26"/>
      <c r="B143" s="241"/>
      <c r="C143" s="240"/>
      <c r="D143" s="241"/>
      <c r="E143" s="5"/>
      <c r="F143" s="5"/>
      <c r="G143" s="5"/>
      <c r="H143" s="5"/>
      <c r="I143" s="5"/>
      <c r="J143" s="8"/>
      <c r="K143" s="9"/>
      <c r="L143" s="10"/>
      <c r="M143" s="12"/>
      <c r="N143" s="242"/>
      <c r="O143" s="344"/>
      <c r="P143" s="14"/>
      <c r="Q143" s="242"/>
      <c r="R143" s="15"/>
      <c r="S143" s="15"/>
      <c r="T143" s="15"/>
      <c r="U143" s="8"/>
      <c r="V143" s="8"/>
      <c r="W143" s="8"/>
      <c r="X143" s="56"/>
      <c r="Y143" s="56"/>
      <c r="Z143" s="15"/>
      <c r="AA143" s="15"/>
      <c r="AB143" s="15"/>
      <c r="AC143" s="15"/>
      <c r="AD143" s="57"/>
      <c r="AE143" s="57"/>
      <c r="AF143" s="15"/>
      <c r="AG143" s="25"/>
      <c r="AH143" s="26"/>
      <c r="AI143" s="26"/>
      <c r="AJ143" s="27"/>
      <c r="AK143" s="28"/>
      <c r="AL143" s="29"/>
    </row>
    <row r="144" ht="12.75" customHeight="1">
      <c r="A144" s="26"/>
      <c r="B144" s="241"/>
      <c r="C144" s="240"/>
      <c r="D144" s="241"/>
      <c r="E144" s="5"/>
      <c r="F144" s="5"/>
      <c r="G144" s="5"/>
      <c r="H144" s="5"/>
      <c r="I144" s="5"/>
      <c r="J144" s="8"/>
      <c r="K144" s="9"/>
      <c r="L144" s="10"/>
      <c r="M144" s="12"/>
      <c r="N144" s="242"/>
      <c r="O144" s="344"/>
      <c r="P144" s="14"/>
      <c r="Q144" s="242"/>
      <c r="R144" s="15"/>
      <c r="S144" s="15"/>
      <c r="T144" s="15"/>
      <c r="U144" s="8"/>
      <c r="V144" s="8"/>
      <c r="W144" s="8"/>
      <c r="X144" s="56"/>
      <c r="Y144" s="56"/>
      <c r="Z144" s="15"/>
      <c r="AA144" s="15"/>
      <c r="AB144" s="15"/>
      <c r="AC144" s="15"/>
      <c r="AD144" s="57"/>
      <c r="AE144" s="57"/>
      <c r="AF144" s="15"/>
      <c r="AG144" s="25"/>
      <c r="AH144" s="26"/>
      <c r="AI144" s="26"/>
      <c r="AJ144" s="27"/>
      <c r="AK144" s="28"/>
      <c r="AL144" s="29"/>
    </row>
    <row r="145" ht="12.75" customHeight="1">
      <c r="A145" s="26"/>
      <c r="B145" s="241"/>
      <c r="C145" s="240"/>
      <c r="D145" s="241"/>
      <c r="E145" s="5"/>
      <c r="F145" s="5"/>
      <c r="G145" s="5"/>
      <c r="H145" s="5"/>
      <c r="I145" s="5"/>
      <c r="J145" s="8"/>
      <c r="K145" s="9"/>
      <c r="L145" s="10"/>
      <c r="M145" s="12"/>
      <c r="N145" s="242"/>
      <c r="O145" s="344"/>
      <c r="P145" s="14"/>
      <c r="Q145" s="242"/>
      <c r="R145" s="15"/>
      <c r="S145" s="15"/>
      <c r="T145" s="15"/>
      <c r="U145" s="8"/>
      <c r="V145" s="8"/>
      <c r="W145" s="8"/>
      <c r="X145" s="56"/>
      <c r="Y145" s="56"/>
      <c r="Z145" s="15"/>
      <c r="AA145" s="15"/>
      <c r="AB145" s="15"/>
      <c r="AC145" s="15"/>
      <c r="AD145" s="57"/>
      <c r="AE145" s="57"/>
      <c r="AF145" s="15"/>
      <c r="AG145" s="25"/>
      <c r="AH145" s="26"/>
      <c r="AI145" s="26"/>
      <c r="AJ145" s="27"/>
      <c r="AK145" s="28"/>
      <c r="AL145" s="29"/>
    </row>
    <row r="146" ht="12.75" customHeight="1">
      <c r="A146" s="26"/>
      <c r="B146" s="241"/>
      <c r="C146" s="240"/>
      <c r="D146" s="241"/>
      <c r="E146" s="5"/>
      <c r="F146" s="5"/>
      <c r="G146" s="5"/>
      <c r="H146" s="5"/>
      <c r="I146" s="5"/>
      <c r="J146" s="8"/>
      <c r="K146" s="9"/>
      <c r="L146" s="10"/>
      <c r="M146" s="12"/>
      <c r="N146" s="242"/>
      <c r="O146" s="344"/>
      <c r="P146" s="14"/>
      <c r="Q146" s="242"/>
      <c r="R146" s="15"/>
      <c r="S146" s="15"/>
      <c r="T146" s="15"/>
      <c r="U146" s="8"/>
      <c r="V146" s="8"/>
      <c r="W146" s="8"/>
      <c r="X146" s="56"/>
      <c r="Y146" s="56"/>
      <c r="Z146" s="15"/>
      <c r="AA146" s="15"/>
      <c r="AB146" s="15"/>
      <c r="AC146" s="15"/>
      <c r="AD146" s="57"/>
      <c r="AE146" s="57"/>
      <c r="AF146" s="15"/>
      <c r="AG146" s="25"/>
      <c r="AH146" s="26"/>
      <c r="AI146" s="26"/>
      <c r="AJ146" s="27"/>
      <c r="AK146" s="28"/>
      <c r="AL146" s="29"/>
    </row>
    <row r="147" ht="12.75" customHeight="1">
      <c r="A147" s="26"/>
      <c r="B147" s="241"/>
      <c r="C147" s="240"/>
      <c r="D147" s="241"/>
      <c r="E147" s="5"/>
      <c r="F147" s="5"/>
      <c r="G147" s="5"/>
      <c r="H147" s="5"/>
      <c r="I147" s="5"/>
      <c r="J147" s="8"/>
      <c r="K147" s="9"/>
      <c r="L147" s="10"/>
      <c r="M147" s="12"/>
      <c r="N147" s="242"/>
      <c r="O147" s="344"/>
      <c r="P147" s="14"/>
      <c r="Q147" s="242"/>
      <c r="R147" s="15"/>
      <c r="S147" s="15"/>
      <c r="T147" s="15"/>
      <c r="U147" s="8"/>
      <c r="V147" s="8"/>
      <c r="W147" s="8"/>
      <c r="X147" s="56"/>
      <c r="Y147" s="56"/>
      <c r="Z147" s="15"/>
      <c r="AA147" s="15"/>
      <c r="AB147" s="15"/>
      <c r="AC147" s="15"/>
      <c r="AD147" s="57"/>
      <c r="AE147" s="57"/>
      <c r="AF147" s="15"/>
      <c r="AG147" s="25"/>
      <c r="AH147" s="26"/>
      <c r="AI147" s="26"/>
      <c r="AJ147" s="27"/>
      <c r="AK147" s="28"/>
      <c r="AL147" s="29"/>
    </row>
    <row r="148" ht="12.75" customHeight="1">
      <c r="A148" s="26"/>
      <c r="B148" s="241"/>
      <c r="C148" s="240"/>
      <c r="D148" s="241"/>
      <c r="E148" s="5"/>
      <c r="F148" s="5"/>
      <c r="G148" s="5"/>
      <c r="H148" s="5"/>
      <c r="I148" s="5"/>
      <c r="J148" s="8"/>
      <c r="K148" s="9"/>
      <c r="L148" s="10"/>
      <c r="M148" s="12"/>
      <c r="N148" s="242"/>
      <c r="O148" s="344"/>
      <c r="P148" s="14"/>
      <c r="Q148" s="242"/>
      <c r="R148" s="15"/>
      <c r="S148" s="15"/>
      <c r="T148" s="15"/>
      <c r="U148" s="8"/>
      <c r="V148" s="8"/>
      <c r="W148" s="8"/>
      <c r="X148" s="56"/>
      <c r="Y148" s="56"/>
      <c r="Z148" s="15"/>
      <c r="AA148" s="15"/>
      <c r="AB148" s="15"/>
      <c r="AC148" s="15"/>
      <c r="AD148" s="57"/>
      <c r="AE148" s="57"/>
      <c r="AF148" s="15"/>
      <c r="AG148" s="25"/>
      <c r="AH148" s="26"/>
      <c r="AI148" s="26"/>
      <c r="AJ148" s="27"/>
      <c r="AK148" s="28"/>
      <c r="AL148" s="29"/>
    </row>
    <row r="149" ht="12.75" customHeight="1">
      <c r="A149" s="26"/>
      <c r="B149" s="241"/>
      <c r="C149" s="240"/>
      <c r="D149" s="241"/>
      <c r="E149" s="5"/>
      <c r="F149" s="5"/>
      <c r="G149" s="5"/>
      <c r="H149" s="5"/>
      <c r="I149" s="5"/>
      <c r="J149" s="8"/>
      <c r="K149" s="9"/>
      <c r="L149" s="10"/>
      <c r="M149" s="12"/>
      <c r="N149" s="242"/>
      <c r="O149" s="344"/>
      <c r="P149" s="14"/>
      <c r="Q149" s="242"/>
      <c r="R149" s="15"/>
      <c r="S149" s="15"/>
      <c r="T149" s="15"/>
      <c r="U149" s="8"/>
      <c r="V149" s="8"/>
      <c r="W149" s="8"/>
      <c r="X149" s="56"/>
      <c r="Y149" s="56"/>
      <c r="Z149" s="15"/>
      <c r="AA149" s="15"/>
      <c r="AB149" s="15"/>
      <c r="AC149" s="15"/>
      <c r="AD149" s="57"/>
      <c r="AE149" s="57"/>
      <c r="AF149" s="15"/>
      <c r="AG149" s="25"/>
      <c r="AH149" s="26"/>
      <c r="AI149" s="26"/>
      <c r="AJ149" s="27"/>
      <c r="AK149" s="28"/>
      <c r="AL149" s="29"/>
    </row>
    <row r="150" ht="12.75" customHeight="1">
      <c r="A150" s="26"/>
      <c r="B150" s="241"/>
      <c r="C150" s="240"/>
      <c r="D150" s="241"/>
      <c r="E150" s="5"/>
      <c r="F150" s="5"/>
      <c r="G150" s="5"/>
      <c r="H150" s="5"/>
      <c r="I150" s="5"/>
      <c r="J150" s="8"/>
      <c r="K150" s="9"/>
      <c r="L150" s="10"/>
      <c r="M150" s="12"/>
      <c r="N150" s="242"/>
      <c r="O150" s="344"/>
      <c r="P150" s="14"/>
      <c r="Q150" s="242"/>
      <c r="R150" s="15"/>
      <c r="S150" s="15"/>
      <c r="T150" s="15"/>
      <c r="U150" s="8"/>
      <c r="V150" s="8"/>
      <c r="W150" s="8"/>
      <c r="X150" s="56"/>
      <c r="Y150" s="56"/>
      <c r="Z150" s="15"/>
      <c r="AA150" s="15"/>
      <c r="AB150" s="15"/>
      <c r="AC150" s="15"/>
      <c r="AD150" s="57"/>
      <c r="AE150" s="57"/>
      <c r="AF150" s="15"/>
      <c r="AG150" s="25"/>
      <c r="AH150" s="26"/>
      <c r="AI150" s="26"/>
      <c r="AJ150" s="27"/>
      <c r="AK150" s="28"/>
      <c r="AL150" s="29"/>
    </row>
    <row r="151" ht="12.75" customHeight="1">
      <c r="A151" s="26"/>
      <c r="B151" s="241"/>
      <c r="C151" s="240"/>
      <c r="D151" s="241"/>
      <c r="E151" s="5"/>
      <c r="F151" s="5"/>
      <c r="G151" s="5"/>
      <c r="H151" s="5"/>
      <c r="I151" s="5"/>
      <c r="J151" s="8"/>
      <c r="K151" s="9"/>
      <c r="L151" s="10"/>
      <c r="M151" s="12"/>
      <c r="N151" s="242"/>
      <c r="O151" s="344"/>
      <c r="P151" s="14"/>
      <c r="Q151" s="242"/>
      <c r="R151" s="15"/>
      <c r="S151" s="15"/>
      <c r="T151" s="15"/>
      <c r="U151" s="8"/>
      <c r="V151" s="8"/>
      <c r="W151" s="8"/>
      <c r="X151" s="56"/>
      <c r="Y151" s="56"/>
      <c r="Z151" s="15"/>
      <c r="AA151" s="15"/>
      <c r="AB151" s="15"/>
      <c r="AC151" s="15"/>
      <c r="AD151" s="57"/>
      <c r="AE151" s="57"/>
      <c r="AF151" s="15"/>
      <c r="AG151" s="25"/>
      <c r="AH151" s="26"/>
      <c r="AI151" s="26"/>
      <c r="AJ151" s="27"/>
      <c r="AK151" s="28"/>
      <c r="AL151" s="29"/>
    </row>
    <row r="152" ht="12.75" customHeight="1">
      <c r="A152" s="26"/>
      <c r="B152" s="241"/>
      <c r="C152" s="240"/>
      <c r="D152" s="241"/>
      <c r="E152" s="5"/>
      <c r="F152" s="5"/>
      <c r="G152" s="5"/>
      <c r="H152" s="5"/>
      <c r="I152" s="5"/>
      <c r="J152" s="8"/>
      <c r="K152" s="9"/>
      <c r="L152" s="10"/>
      <c r="M152" s="12"/>
      <c r="N152" s="242"/>
      <c r="O152" s="344"/>
      <c r="P152" s="14"/>
      <c r="Q152" s="242"/>
      <c r="R152" s="15"/>
      <c r="S152" s="15"/>
      <c r="T152" s="15"/>
      <c r="U152" s="8"/>
      <c r="V152" s="8"/>
      <c r="W152" s="8"/>
      <c r="X152" s="56"/>
      <c r="Y152" s="56"/>
      <c r="Z152" s="15"/>
      <c r="AA152" s="15"/>
      <c r="AB152" s="15"/>
      <c r="AC152" s="15"/>
      <c r="AD152" s="57"/>
      <c r="AE152" s="57"/>
      <c r="AF152" s="15"/>
      <c r="AG152" s="25"/>
      <c r="AH152" s="26"/>
      <c r="AI152" s="26"/>
      <c r="AJ152" s="27"/>
      <c r="AK152" s="28"/>
      <c r="AL152" s="29"/>
    </row>
    <row r="153" ht="12.75" customHeight="1">
      <c r="A153" s="26"/>
      <c r="B153" s="241"/>
      <c r="C153" s="240"/>
      <c r="D153" s="241"/>
      <c r="E153" s="5"/>
      <c r="F153" s="5"/>
      <c r="G153" s="5"/>
      <c r="H153" s="5"/>
      <c r="I153" s="5"/>
      <c r="J153" s="8"/>
      <c r="K153" s="9"/>
      <c r="L153" s="10"/>
      <c r="M153" s="12"/>
      <c r="N153" s="242"/>
      <c r="O153" s="344"/>
      <c r="P153" s="14"/>
      <c r="Q153" s="242"/>
      <c r="R153" s="15"/>
      <c r="S153" s="15"/>
      <c r="T153" s="15"/>
      <c r="U153" s="8"/>
      <c r="V153" s="8"/>
      <c r="W153" s="8"/>
      <c r="X153" s="56"/>
      <c r="Y153" s="56"/>
      <c r="Z153" s="15"/>
      <c r="AA153" s="15"/>
      <c r="AB153" s="15"/>
      <c r="AC153" s="15"/>
      <c r="AD153" s="57"/>
      <c r="AE153" s="57"/>
      <c r="AF153" s="15"/>
      <c r="AG153" s="25"/>
      <c r="AH153" s="26"/>
      <c r="AI153" s="26"/>
      <c r="AJ153" s="27"/>
      <c r="AK153" s="28"/>
      <c r="AL153" s="29"/>
    </row>
    <row r="154" ht="12.75" customHeight="1">
      <c r="A154" s="26"/>
      <c r="B154" s="241"/>
      <c r="C154" s="240"/>
      <c r="D154" s="241"/>
      <c r="E154" s="5"/>
      <c r="F154" s="5"/>
      <c r="G154" s="5"/>
      <c r="H154" s="5"/>
      <c r="I154" s="5"/>
      <c r="J154" s="8"/>
      <c r="K154" s="9"/>
      <c r="L154" s="10"/>
      <c r="M154" s="12"/>
      <c r="N154" s="242"/>
      <c r="O154" s="344"/>
      <c r="P154" s="14"/>
      <c r="Q154" s="242"/>
      <c r="R154" s="15"/>
      <c r="S154" s="15"/>
      <c r="T154" s="15"/>
      <c r="U154" s="8"/>
      <c r="V154" s="8"/>
      <c r="W154" s="8"/>
      <c r="X154" s="56"/>
      <c r="Y154" s="56"/>
      <c r="Z154" s="15"/>
      <c r="AA154" s="15"/>
      <c r="AB154" s="15"/>
      <c r="AC154" s="15"/>
      <c r="AD154" s="57"/>
      <c r="AE154" s="57"/>
      <c r="AF154" s="15"/>
      <c r="AG154" s="25"/>
      <c r="AH154" s="26"/>
      <c r="AI154" s="26"/>
      <c r="AJ154" s="27"/>
      <c r="AK154" s="28"/>
      <c r="AL154" s="29"/>
    </row>
    <row r="155" ht="12.75" customHeight="1">
      <c r="A155" s="26"/>
      <c r="B155" s="241"/>
      <c r="C155" s="240"/>
      <c r="D155" s="241"/>
      <c r="E155" s="5"/>
      <c r="F155" s="5"/>
      <c r="G155" s="5"/>
      <c r="H155" s="5"/>
      <c r="I155" s="5"/>
      <c r="J155" s="8"/>
      <c r="K155" s="9"/>
      <c r="L155" s="10"/>
      <c r="M155" s="12"/>
      <c r="N155" s="242"/>
      <c r="O155" s="344"/>
      <c r="P155" s="14"/>
      <c r="Q155" s="242"/>
      <c r="R155" s="15"/>
      <c r="S155" s="15"/>
      <c r="T155" s="15"/>
      <c r="U155" s="8"/>
      <c r="V155" s="8"/>
      <c r="W155" s="8"/>
      <c r="X155" s="56"/>
      <c r="Y155" s="56"/>
      <c r="Z155" s="15"/>
      <c r="AA155" s="15"/>
      <c r="AB155" s="15"/>
      <c r="AC155" s="15"/>
      <c r="AD155" s="57"/>
      <c r="AE155" s="57"/>
      <c r="AF155" s="15"/>
      <c r="AG155" s="25"/>
      <c r="AH155" s="26"/>
      <c r="AI155" s="26"/>
      <c r="AJ155" s="27"/>
      <c r="AK155" s="28"/>
      <c r="AL155" s="29"/>
    </row>
    <row r="156" ht="12.75" customHeight="1">
      <c r="A156" s="26"/>
      <c r="B156" s="241"/>
      <c r="C156" s="240"/>
      <c r="D156" s="241"/>
      <c r="E156" s="5"/>
      <c r="F156" s="5"/>
      <c r="G156" s="5"/>
      <c r="H156" s="5"/>
      <c r="I156" s="5"/>
      <c r="J156" s="8"/>
      <c r="K156" s="9"/>
      <c r="L156" s="10"/>
      <c r="M156" s="12"/>
      <c r="N156" s="242"/>
      <c r="O156" s="344"/>
      <c r="P156" s="14"/>
      <c r="Q156" s="242"/>
      <c r="R156" s="15"/>
      <c r="S156" s="15"/>
      <c r="T156" s="15"/>
      <c r="U156" s="8"/>
      <c r="V156" s="8"/>
      <c r="W156" s="8"/>
      <c r="X156" s="56"/>
      <c r="Y156" s="56"/>
      <c r="Z156" s="15"/>
      <c r="AA156" s="15"/>
      <c r="AB156" s="15"/>
      <c r="AC156" s="15"/>
      <c r="AD156" s="57"/>
      <c r="AE156" s="57"/>
      <c r="AF156" s="15"/>
      <c r="AG156" s="25"/>
      <c r="AH156" s="26"/>
      <c r="AI156" s="26"/>
      <c r="AJ156" s="27"/>
      <c r="AK156" s="28"/>
      <c r="AL156" s="29"/>
    </row>
    <row r="157" ht="12.75" customHeight="1">
      <c r="A157" s="26"/>
      <c r="B157" s="241"/>
      <c r="C157" s="240"/>
      <c r="D157" s="241"/>
      <c r="E157" s="5"/>
      <c r="F157" s="5"/>
      <c r="G157" s="5"/>
      <c r="H157" s="5"/>
      <c r="I157" s="5"/>
      <c r="J157" s="8"/>
      <c r="K157" s="9"/>
      <c r="L157" s="10"/>
      <c r="M157" s="12"/>
      <c r="N157" s="242"/>
      <c r="O157" s="344"/>
      <c r="P157" s="14"/>
      <c r="Q157" s="242"/>
      <c r="R157" s="15"/>
      <c r="S157" s="15"/>
      <c r="T157" s="15"/>
      <c r="U157" s="8"/>
      <c r="V157" s="8"/>
      <c r="W157" s="8"/>
      <c r="X157" s="56"/>
      <c r="Y157" s="56"/>
      <c r="Z157" s="15"/>
      <c r="AA157" s="15"/>
      <c r="AB157" s="15"/>
      <c r="AC157" s="15"/>
      <c r="AD157" s="57"/>
      <c r="AE157" s="57"/>
      <c r="AF157" s="15"/>
      <c r="AG157" s="25"/>
      <c r="AH157" s="26"/>
      <c r="AI157" s="26"/>
      <c r="AJ157" s="27"/>
      <c r="AK157" s="28"/>
      <c r="AL157" s="29"/>
    </row>
    <row r="158" ht="12.75" customHeight="1">
      <c r="A158" s="26"/>
      <c r="B158" s="241"/>
      <c r="C158" s="240"/>
      <c r="D158" s="241"/>
      <c r="E158" s="5"/>
      <c r="F158" s="5"/>
      <c r="G158" s="5"/>
      <c r="H158" s="5"/>
      <c r="I158" s="5"/>
      <c r="J158" s="8"/>
      <c r="K158" s="9"/>
      <c r="L158" s="10"/>
      <c r="M158" s="12"/>
      <c r="N158" s="242"/>
      <c r="O158" s="344"/>
      <c r="P158" s="14"/>
      <c r="Q158" s="242"/>
      <c r="R158" s="15"/>
      <c r="S158" s="15"/>
      <c r="T158" s="15"/>
      <c r="U158" s="8"/>
      <c r="V158" s="8"/>
      <c r="W158" s="8"/>
      <c r="X158" s="56"/>
      <c r="Y158" s="56"/>
      <c r="Z158" s="15"/>
      <c r="AA158" s="15"/>
      <c r="AB158" s="15"/>
      <c r="AC158" s="15"/>
      <c r="AD158" s="57"/>
      <c r="AE158" s="57"/>
      <c r="AF158" s="15"/>
      <c r="AG158" s="25"/>
      <c r="AH158" s="26"/>
      <c r="AI158" s="26"/>
      <c r="AJ158" s="27"/>
      <c r="AK158" s="28"/>
      <c r="AL158" s="29"/>
    </row>
    <row r="159" ht="12.75" customHeight="1">
      <c r="A159" s="26"/>
      <c r="B159" s="241"/>
      <c r="C159" s="240"/>
      <c r="D159" s="241"/>
      <c r="E159" s="5"/>
      <c r="F159" s="5"/>
      <c r="G159" s="5"/>
      <c r="H159" s="5"/>
      <c r="I159" s="5"/>
      <c r="J159" s="8"/>
      <c r="K159" s="9"/>
      <c r="L159" s="10"/>
      <c r="M159" s="12"/>
      <c r="N159" s="242"/>
      <c r="O159" s="344"/>
      <c r="P159" s="14"/>
      <c r="Q159" s="242"/>
      <c r="R159" s="15"/>
      <c r="S159" s="15"/>
      <c r="T159" s="15"/>
      <c r="U159" s="8"/>
      <c r="V159" s="8"/>
      <c r="W159" s="8"/>
      <c r="X159" s="56"/>
      <c r="Y159" s="56"/>
      <c r="Z159" s="15"/>
      <c r="AA159" s="15"/>
      <c r="AB159" s="15"/>
      <c r="AC159" s="15"/>
      <c r="AD159" s="57"/>
      <c r="AE159" s="57"/>
      <c r="AF159" s="15"/>
      <c r="AG159" s="25"/>
      <c r="AH159" s="26"/>
      <c r="AI159" s="26"/>
      <c r="AJ159" s="27"/>
      <c r="AK159" s="28"/>
      <c r="AL159" s="29"/>
    </row>
    <row r="160" ht="12.75" customHeight="1">
      <c r="A160" s="26"/>
      <c r="B160" s="241"/>
      <c r="C160" s="240"/>
      <c r="D160" s="241"/>
      <c r="E160" s="5"/>
      <c r="F160" s="5"/>
      <c r="G160" s="5"/>
      <c r="H160" s="5"/>
      <c r="I160" s="5"/>
      <c r="J160" s="8"/>
      <c r="K160" s="9"/>
      <c r="L160" s="10"/>
      <c r="M160" s="12"/>
      <c r="N160" s="242"/>
      <c r="O160" s="344"/>
      <c r="P160" s="14"/>
      <c r="Q160" s="242"/>
      <c r="R160" s="15"/>
      <c r="S160" s="15"/>
      <c r="T160" s="15"/>
      <c r="U160" s="8"/>
      <c r="V160" s="8"/>
      <c r="W160" s="8"/>
      <c r="X160" s="56"/>
      <c r="Y160" s="56"/>
      <c r="Z160" s="15"/>
      <c r="AA160" s="15"/>
      <c r="AB160" s="15"/>
      <c r="AC160" s="15"/>
      <c r="AD160" s="57"/>
      <c r="AE160" s="57"/>
      <c r="AF160" s="15"/>
      <c r="AG160" s="25"/>
      <c r="AH160" s="26"/>
      <c r="AI160" s="26"/>
      <c r="AJ160" s="27"/>
      <c r="AK160" s="28"/>
      <c r="AL160" s="29"/>
    </row>
    <row r="161" ht="12.75" customHeight="1">
      <c r="A161" s="26"/>
      <c r="B161" s="241"/>
      <c r="C161" s="240"/>
      <c r="D161" s="241"/>
      <c r="E161" s="5"/>
      <c r="F161" s="5"/>
      <c r="G161" s="5"/>
      <c r="H161" s="5"/>
      <c r="I161" s="5"/>
      <c r="J161" s="8"/>
      <c r="K161" s="9"/>
      <c r="L161" s="10"/>
      <c r="M161" s="12"/>
      <c r="N161" s="242"/>
      <c r="O161" s="344"/>
      <c r="P161" s="14"/>
      <c r="Q161" s="242"/>
      <c r="R161" s="15"/>
      <c r="S161" s="15"/>
      <c r="T161" s="15"/>
      <c r="U161" s="8"/>
      <c r="V161" s="8"/>
      <c r="W161" s="8"/>
      <c r="X161" s="56"/>
      <c r="Y161" s="56"/>
      <c r="Z161" s="15"/>
      <c r="AA161" s="15"/>
      <c r="AB161" s="15"/>
      <c r="AC161" s="15"/>
      <c r="AD161" s="57"/>
      <c r="AE161" s="57"/>
      <c r="AF161" s="15"/>
      <c r="AG161" s="25"/>
      <c r="AH161" s="26"/>
      <c r="AI161" s="26"/>
      <c r="AJ161" s="27"/>
      <c r="AK161" s="28"/>
      <c r="AL161" s="29"/>
    </row>
    <row r="162" ht="12.75" customHeight="1">
      <c r="A162" s="26"/>
      <c r="B162" s="241"/>
      <c r="C162" s="240"/>
      <c r="D162" s="241"/>
      <c r="E162" s="5"/>
      <c r="F162" s="5"/>
      <c r="G162" s="5"/>
      <c r="H162" s="5"/>
      <c r="I162" s="5"/>
      <c r="J162" s="8"/>
      <c r="K162" s="9"/>
      <c r="L162" s="10"/>
      <c r="M162" s="12"/>
      <c r="N162" s="242"/>
      <c r="O162" s="344"/>
      <c r="P162" s="14"/>
      <c r="Q162" s="242"/>
      <c r="R162" s="15"/>
      <c r="S162" s="15"/>
      <c r="T162" s="15"/>
      <c r="U162" s="8"/>
      <c r="V162" s="8"/>
      <c r="W162" s="8"/>
      <c r="X162" s="56"/>
      <c r="Y162" s="56"/>
      <c r="Z162" s="15"/>
      <c r="AA162" s="15"/>
      <c r="AB162" s="15"/>
      <c r="AC162" s="15"/>
      <c r="AD162" s="57"/>
      <c r="AE162" s="57"/>
      <c r="AF162" s="15"/>
      <c r="AG162" s="25"/>
      <c r="AH162" s="26"/>
      <c r="AI162" s="26"/>
      <c r="AJ162" s="27"/>
      <c r="AK162" s="28"/>
      <c r="AL162" s="29"/>
    </row>
    <row r="163" ht="12.75" customHeight="1">
      <c r="A163" s="26"/>
      <c r="B163" s="241"/>
      <c r="C163" s="240"/>
      <c r="D163" s="241"/>
      <c r="E163" s="5"/>
      <c r="F163" s="5"/>
      <c r="G163" s="5"/>
      <c r="H163" s="5"/>
      <c r="I163" s="5"/>
      <c r="J163" s="8"/>
      <c r="K163" s="9"/>
      <c r="L163" s="10"/>
      <c r="M163" s="12"/>
      <c r="N163" s="242"/>
      <c r="O163" s="344"/>
      <c r="P163" s="14"/>
      <c r="Q163" s="242"/>
      <c r="R163" s="15"/>
      <c r="S163" s="15"/>
      <c r="T163" s="15"/>
      <c r="U163" s="8"/>
      <c r="V163" s="8"/>
      <c r="W163" s="8"/>
      <c r="X163" s="56"/>
      <c r="Y163" s="56"/>
      <c r="Z163" s="15"/>
      <c r="AA163" s="15"/>
      <c r="AB163" s="15"/>
      <c r="AC163" s="15"/>
      <c r="AD163" s="57"/>
      <c r="AE163" s="57"/>
      <c r="AF163" s="15"/>
      <c r="AG163" s="25"/>
      <c r="AH163" s="26"/>
      <c r="AI163" s="26"/>
      <c r="AJ163" s="27"/>
      <c r="AK163" s="28"/>
      <c r="AL163" s="29"/>
    </row>
    <row r="164" ht="12.75" customHeight="1">
      <c r="A164" s="26"/>
      <c r="B164" s="241"/>
      <c r="C164" s="240"/>
      <c r="D164" s="241"/>
      <c r="E164" s="5"/>
      <c r="F164" s="5"/>
      <c r="G164" s="5"/>
      <c r="H164" s="5"/>
      <c r="I164" s="5"/>
      <c r="J164" s="8"/>
      <c r="K164" s="9"/>
      <c r="L164" s="10"/>
      <c r="M164" s="12"/>
      <c r="N164" s="242"/>
      <c r="O164" s="344"/>
      <c r="P164" s="14"/>
      <c r="Q164" s="242"/>
      <c r="R164" s="15"/>
      <c r="S164" s="15"/>
      <c r="T164" s="15"/>
      <c r="U164" s="8"/>
      <c r="V164" s="8"/>
      <c r="W164" s="8"/>
      <c r="X164" s="56"/>
      <c r="Y164" s="56"/>
      <c r="Z164" s="15"/>
      <c r="AA164" s="15"/>
      <c r="AB164" s="15"/>
      <c r="AC164" s="15"/>
      <c r="AD164" s="57"/>
      <c r="AE164" s="57"/>
      <c r="AF164" s="15"/>
      <c r="AG164" s="25"/>
      <c r="AH164" s="26"/>
      <c r="AI164" s="26"/>
      <c r="AJ164" s="27"/>
      <c r="AK164" s="28"/>
      <c r="AL164" s="29"/>
    </row>
    <row r="165" ht="12.75" customHeight="1">
      <c r="A165" s="26"/>
      <c r="B165" s="241"/>
      <c r="C165" s="240"/>
      <c r="D165" s="241"/>
      <c r="E165" s="5"/>
      <c r="F165" s="5"/>
      <c r="G165" s="5"/>
      <c r="H165" s="5"/>
      <c r="I165" s="5"/>
      <c r="J165" s="8"/>
      <c r="K165" s="9"/>
      <c r="L165" s="10"/>
      <c r="M165" s="12"/>
      <c r="N165" s="242"/>
      <c r="O165" s="344"/>
      <c r="P165" s="14"/>
      <c r="Q165" s="242"/>
      <c r="R165" s="15"/>
      <c r="S165" s="15"/>
      <c r="T165" s="15"/>
      <c r="U165" s="8"/>
      <c r="V165" s="8"/>
      <c r="W165" s="8"/>
      <c r="X165" s="56"/>
      <c r="Y165" s="56"/>
      <c r="Z165" s="15"/>
      <c r="AA165" s="15"/>
      <c r="AB165" s="15"/>
      <c r="AC165" s="15"/>
      <c r="AD165" s="57"/>
      <c r="AE165" s="57"/>
      <c r="AF165" s="15"/>
      <c r="AG165" s="25"/>
      <c r="AH165" s="26"/>
      <c r="AI165" s="26"/>
      <c r="AJ165" s="27"/>
      <c r="AK165" s="28"/>
      <c r="AL165" s="29"/>
    </row>
    <row r="166" ht="12.75" customHeight="1">
      <c r="A166" s="26"/>
      <c r="B166" s="241"/>
      <c r="C166" s="240"/>
      <c r="D166" s="241"/>
      <c r="E166" s="5"/>
      <c r="F166" s="5"/>
      <c r="G166" s="5"/>
      <c r="H166" s="5"/>
      <c r="I166" s="5"/>
      <c r="J166" s="8"/>
      <c r="K166" s="9"/>
      <c r="L166" s="10"/>
      <c r="M166" s="12"/>
      <c r="N166" s="242"/>
      <c r="O166" s="344"/>
      <c r="P166" s="14"/>
      <c r="Q166" s="242"/>
      <c r="R166" s="15"/>
      <c r="S166" s="15"/>
      <c r="T166" s="15"/>
      <c r="U166" s="8"/>
      <c r="V166" s="8"/>
      <c r="W166" s="8"/>
      <c r="X166" s="56"/>
      <c r="Y166" s="56"/>
      <c r="Z166" s="15"/>
      <c r="AA166" s="15"/>
      <c r="AB166" s="15"/>
      <c r="AC166" s="15"/>
      <c r="AD166" s="57"/>
      <c r="AE166" s="57"/>
      <c r="AF166" s="15"/>
      <c r="AG166" s="25"/>
      <c r="AH166" s="26"/>
      <c r="AI166" s="26"/>
      <c r="AJ166" s="27"/>
      <c r="AK166" s="28"/>
      <c r="AL166" s="29"/>
    </row>
    <row r="167" ht="12.75" customHeight="1">
      <c r="A167" s="26"/>
      <c r="B167" s="241"/>
      <c r="C167" s="240"/>
      <c r="D167" s="241"/>
      <c r="E167" s="5"/>
      <c r="F167" s="5"/>
      <c r="G167" s="5"/>
      <c r="H167" s="5"/>
      <c r="I167" s="5"/>
      <c r="J167" s="8"/>
      <c r="K167" s="9"/>
      <c r="L167" s="10"/>
      <c r="M167" s="12"/>
      <c r="N167" s="242"/>
      <c r="O167" s="344"/>
      <c r="P167" s="14"/>
      <c r="Q167" s="242"/>
      <c r="R167" s="15"/>
      <c r="S167" s="15"/>
      <c r="T167" s="15"/>
      <c r="U167" s="8"/>
      <c r="V167" s="8"/>
      <c r="W167" s="8"/>
      <c r="X167" s="56"/>
      <c r="Y167" s="56"/>
      <c r="Z167" s="15"/>
      <c r="AA167" s="15"/>
      <c r="AB167" s="15"/>
      <c r="AC167" s="15"/>
      <c r="AD167" s="57"/>
      <c r="AE167" s="57"/>
      <c r="AF167" s="15"/>
      <c r="AG167" s="25"/>
      <c r="AH167" s="26"/>
      <c r="AI167" s="26"/>
      <c r="AJ167" s="27"/>
      <c r="AK167" s="28"/>
      <c r="AL167" s="29"/>
    </row>
    <row r="168" ht="12.75" customHeight="1">
      <c r="A168" s="26"/>
      <c r="B168" s="241"/>
      <c r="C168" s="240"/>
      <c r="D168" s="241"/>
      <c r="E168" s="5"/>
      <c r="F168" s="5"/>
      <c r="G168" s="5"/>
      <c r="H168" s="5"/>
      <c r="I168" s="5"/>
      <c r="J168" s="8"/>
      <c r="K168" s="9"/>
      <c r="L168" s="10"/>
      <c r="M168" s="12"/>
      <c r="N168" s="242"/>
      <c r="O168" s="344"/>
      <c r="P168" s="14"/>
      <c r="Q168" s="242"/>
      <c r="R168" s="15"/>
      <c r="S168" s="15"/>
      <c r="T168" s="15"/>
      <c r="U168" s="8"/>
      <c r="V168" s="8"/>
      <c r="W168" s="8"/>
      <c r="X168" s="56"/>
      <c r="Y168" s="56"/>
      <c r="Z168" s="15"/>
      <c r="AA168" s="15"/>
      <c r="AB168" s="15"/>
      <c r="AC168" s="15"/>
      <c r="AD168" s="57"/>
      <c r="AE168" s="57"/>
      <c r="AF168" s="15"/>
      <c r="AG168" s="25"/>
      <c r="AH168" s="26"/>
      <c r="AI168" s="26"/>
      <c r="AJ168" s="27"/>
      <c r="AK168" s="28"/>
      <c r="AL168" s="29"/>
    </row>
    <row r="169" ht="12.75" customHeight="1">
      <c r="A169" s="26"/>
      <c r="B169" s="241"/>
      <c r="C169" s="240"/>
      <c r="D169" s="241"/>
      <c r="E169" s="5"/>
      <c r="F169" s="5"/>
      <c r="G169" s="5"/>
      <c r="H169" s="5"/>
      <c r="I169" s="5"/>
      <c r="J169" s="8"/>
      <c r="K169" s="9"/>
      <c r="L169" s="10"/>
      <c r="M169" s="12"/>
      <c r="N169" s="242"/>
      <c r="O169" s="344"/>
      <c r="P169" s="14"/>
      <c r="Q169" s="242"/>
      <c r="R169" s="15"/>
      <c r="S169" s="15"/>
      <c r="T169" s="15"/>
      <c r="U169" s="8"/>
      <c r="V169" s="8"/>
      <c r="W169" s="8"/>
      <c r="X169" s="56"/>
      <c r="Y169" s="56"/>
      <c r="Z169" s="15"/>
      <c r="AA169" s="15"/>
      <c r="AB169" s="15"/>
      <c r="AC169" s="15"/>
      <c r="AD169" s="57"/>
      <c r="AE169" s="57"/>
      <c r="AF169" s="15"/>
      <c r="AG169" s="25"/>
      <c r="AH169" s="26"/>
      <c r="AI169" s="26"/>
      <c r="AJ169" s="27"/>
      <c r="AK169" s="28"/>
      <c r="AL169" s="29"/>
    </row>
    <row r="170" ht="12.75" customHeight="1">
      <c r="A170" s="26"/>
      <c r="B170" s="241"/>
      <c r="C170" s="240"/>
      <c r="D170" s="241"/>
      <c r="E170" s="5"/>
      <c r="F170" s="5"/>
      <c r="G170" s="5"/>
      <c r="H170" s="5"/>
      <c r="I170" s="5"/>
      <c r="J170" s="8"/>
      <c r="K170" s="9"/>
      <c r="L170" s="10"/>
      <c r="M170" s="12"/>
      <c r="N170" s="242"/>
      <c r="O170" s="344"/>
      <c r="P170" s="14"/>
      <c r="Q170" s="242"/>
      <c r="R170" s="15"/>
      <c r="S170" s="15"/>
      <c r="T170" s="15"/>
      <c r="U170" s="8"/>
      <c r="V170" s="8"/>
      <c r="W170" s="8"/>
      <c r="X170" s="56"/>
      <c r="Y170" s="56"/>
      <c r="Z170" s="15"/>
      <c r="AA170" s="15"/>
      <c r="AB170" s="15"/>
      <c r="AC170" s="15"/>
      <c r="AD170" s="57"/>
      <c r="AE170" s="57"/>
      <c r="AF170" s="15"/>
      <c r="AG170" s="25"/>
      <c r="AH170" s="26"/>
      <c r="AI170" s="26"/>
      <c r="AJ170" s="27"/>
      <c r="AK170" s="28"/>
      <c r="AL170" s="29"/>
    </row>
    <row r="171" ht="12.75" customHeight="1">
      <c r="A171" s="26"/>
      <c r="B171" s="241"/>
      <c r="C171" s="240"/>
      <c r="D171" s="241"/>
      <c r="E171" s="5"/>
      <c r="F171" s="5"/>
      <c r="G171" s="5"/>
      <c r="H171" s="5"/>
      <c r="I171" s="5"/>
      <c r="J171" s="8"/>
      <c r="K171" s="9"/>
      <c r="L171" s="10"/>
      <c r="M171" s="12"/>
      <c r="N171" s="242"/>
      <c r="O171" s="344"/>
      <c r="P171" s="14"/>
      <c r="Q171" s="242"/>
      <c r="R171" s="15"/>
      <c r="S171" s="15"/>
      <c r="T171" s="15"/>
      <c r="U171" s="8"/>
      <c r="V171" s="8"/>
      <c r="W171" s="8"/>
      <c r="X171" s="56"/>
      <c r="Y171" s="56"/>
      <c r="Z171" s="15"/>
      <c r="AA171" s="15"/>
      <c r="AB171" s="15"/>
      <c r="AC171" s="15"/>
      <c r="AD171" s="57"/>
      <c r="AE171" s="57"/>
      <c r="AF171" s="15"/>
      <c r="AG171" s="25"/>
      <c r="AH171" s="26"/>
      <c r="AI171" s="26"/>
      <c r="AJ171" s="27"/>
      <c r="AK171" s="28"/>
      <c r="AL171" s="29"/>
    </row>
    <row r="172" ht="12.75" customHeight="1">
      <c r="A172" s="26"/>
      <c r="B172" s="241"/>
      <c r="C172" s="240"/>
      <c r="D172" s="241"/>
      <c r="E172" s="5"/>
      <c r="F172" s="5"/>
      <c r="G172" s="5"/>
      <c r="H172" s="5"/>
      <c r="I172" s="5"/>
      <c r="J172" s="8"/>
      <c r="K172" s="9"/>
      <c r="L172" s="10"/>
      <c r="M172" s="12"/>
      <c r="N172" s="242"/>
      <c r="O172" s="344"/>
      <c r="P172" s="14"/>
      <c r="Q172" s="242"/>
      <c r="R172" s="15"/>
      <c r="S172" s="15"/>
      <c r="T172" s="15"/>
      <c r="U172" s="8"/>
      <c r="V172" s="8"/>
      <c r="W172" s="8"/>
      <c r="X172" s="56"/>
      <c r="Y172" s="56"/>
      <c r="Z172" s="15"/>
      <c r="AA172" s="15"/>
      <c r="AB172" s="15"/>
      <c r="AC172" s="15"/>
      <c r="AD172" s="57"/>
      <c r="AE172" s="57"/>
      <c r="AF172" s="15"/>
      <c r="AG172" s="25"/>
      <c r="AH172" s="26"/>
      <c r="AI172" s="26"/>
      <c r="AJ172" s="27"/>
      <c r="AK172" s="28"/>
      <c r="AL172" s="29"/>
    </row>
    <row r="173" ht="12.75" customHeight="1">
      <c r="A173" s="26"/>
      <c r="B173" s="241"/>
      <c r="C173" s="240"/>
      <c r="D173" s="241"/>
      <c r="E173" s="5"/>
      <c r="F173" s="5"/>
      <c r="G173" s="5"/>
      <c r="H173" s="5"/>
      <c r="I173" s="5"/>
      <c r="J173" s="8"/>
      <c r="K173" s="9"/>
      <c r="L173" s="10"/>
      <c r="M173" s="12"/>
      <c r="N173" s="242"/>
      <c r="O173" s="344"/>
      <c r="P173" s="14"/>
      <c r="Q173" s="242"/>
      <c r="R173" s="15"/>
      <c r="S173" s="15"/>
      <c r="T173" s="15"/>
      <c r="U173" s="8"/>
      <c r="V173" s="8"/>
      <c r="W173" s="8"/>
      <c r="X173" s="56"/>
      <c r="Y173" s="56"/>
      <c r="Z173" s="15"/>
      <c r="AA173" s="15"/>
      <c r="AB173" s="15"/>
      <c r="AC173" s="15"/>
      <c r="AD173" s="57"/>
      <c r="AE173" s="57"/>
      <c r="AF173" s="15"/>
      <c r="AG173" s="25"/>
      <c r="AH173" s="26"/>
      <c r="AI173" s="26"/>
      <c r="AJ173" s="27"/>
      <c r="AK173" s="28"/>
      <c r="AL173" s="29"/>
    </row>
    <row r="174" ht="12.75" customHeight="1">
      <c r="A174" s="26"/>
      <c r="B174" s="241"/>
      <c r="C174" s="240"/>
      <c r="D174" s="241"/>
      <c r="E174" s="5"/>
      <c r="F174" s="5"/>
      <c r="G174" s="5"/>
      <c r="H174" s="5"/>
      <c r="I174" s="5"/>
      <c r="J174" s="8"/>
      <c r="K174" s="9"/>
      <c r="L174" s="10"/>
      <c r="M174" s="12"/>
      <c r="N174" s="242"/>
      <c r="O174" s="344"/>
      <c r="P174" s="14"/>
      <c r="Q174" s="242"/>
      <c r="R174" s="15"/>
      <c r="S174" s="15"/>
      <c r="T174" s="15"/>
      <c r="U174" s="8"/>
      <c r="V174" s="8"/>
      <c r="W174" s="8"/>
      <c r="X174" s="56"/>
      <c r="Y174" s="56"/>
      <c r="Z174" s="15"/>
      <c r="AA174" s="15"/>
      <c r="AB174" s="15"/>
      <c r="AC174" s="15"/>
      <c r="AD174" s="57"/>
      <c r="AE174" s="57"/>
      <c r="AF174" s="15"/>
      <c r="AG174" s="25"/>
      <c r="AH174" s="26"/>
      <c r="AI174" s="26"/>
      <c r="AJ174" s="27"/>
      <c r="AK174" s="28"/>
      <c r="AL174" s="29"/>
    </row>
    <row r="175" ht="12.75" customHeight="1">
      <c r="A175" s="26"/>
      <c r="B175" s="241"/>
      <c r="C175" s="240"/>
      <c r="D175" s="241"/>
      <c r="E175" s="5"/>
      <c r="F175" s="5"/>
      <c r="G175" s="5"/>
      <c r="H175" s="5"/>
      <c r="I175" s="5"/>
      <c r="J175" s="8"/>
      <c r="K175" s="9"/>
      <c r="L175" s="10"/>
      <c r="M175" s="12"/>
      <c r="N175" s="242"/>
      <c r="O175" s="344"/>
      <c r="P175" s="14"/>
      <c r="Q175" s="242"/>
      <c r="R175" s="15"/>
      <c r="S175" s="15"/>
      <c r="T175" s="15"/>
      <c r="U175" s="8"/>
      <c r="V175" s="8"/>
      <c r="W175" s="8"/>
      <c r="X175" s="56"/>
      <c r="Y175" s="56"/>
      <c r="Z175" s="15"/>
      <c r="AA175" s="15"/>
      <c r="AB175" s="15"/>
      <c r="AC175" s="15"/>
      <c r="AD175" s="57"/>
      <c r="AE175" s="57"/>
      <c r="AF175" s="15"/>
      <c r="AG175" s="25"/>
      <c r="AH175" s="26"/>
      <c r="AI175" s="26"/>
      <c r="AJ175" s="27"/>
      <c r="AK175" s="28"/>
      <c r="AL175" s="29"/>
    </row>
    <row r="176" ht="12.75" customHeight="1">
      <c r="A176" s="26"/>
      <c r="B176" s="241"/>
      <c r="C176" s="240"/>
      <c r="D176" s="241"/>
      <c r="E176" s="5"/>
      <c r="F176" s="5"/>
      <c r="G176" s="5"/>
      <c r="H176" s="5"/>
      <c r="I176" s="5"/>
      <c r="J176" s="8"/>
      <c r="K176" s="9"/>
      <c r="L176" s="10"/>
      <c r="M176" s="12"/>
      <c r="N176" s="242"/>
      <c r="O176" s="344"/>
      <c r="P176" s="14"/>
      <c r="Q176" s="242"/>
      <c r="R176" s="15"/>
      <c r="S176" s="15"/>
      <c r="T176" s="15"/>
      <c r="U176" s="8"/>
      <c r="V176" s="8"/>
      <c r="W176" s="8"/>
      <c r="X176" s="56"/>
      <c r="Y176" s="56"/>
      <c r="Z176" s="15"/>
      <c r="AA176" s="15"/>
      <c r="AB176" s="15"/>
      <c r="AC176" s="15"/>
      <c r="AD176" s="57"/>
      <c r="AE176" s="57"/>
      <c r="AF176" s="15"/>
      <c r="AG176" s="25"/>
      <c r="AH176" s="26"/>
      <c r="AI176" s="26"/>
      <c r="AJ176" s="27"/>
      <c r="AK176" s="28"/>
      <c r="AL176" s="29"/>
    </row>
    <row r="177" ht="12.75" customHeight="1">
      <c r="A177" s="26"/>
      <c r="B177" s="241"/>
      <c r="C177" s="240"/>
      <c r="D177" s="241"/>
      <c r="E177" s="5"/>
      <c r="F177" s="5"/>
      <c r="G177" s="5"/>
      <c r="H177" s="5"/>
      <c r="I177" s="5"/>
      <c r="J177" s="8"/>
      <c r="K177" s="9"/>
      <c r="L177" s="10"/>
      <c r="M177" s="12"/>
      <c r="N177" s="242"/>
      <c r="O177" s="344"/>
      <c r="P177" s="14"/>
      <c r="Q177" s="242"/>
      <c r="R177" s="15"/>
      <c r="S177" s="15"/>
      <c r="T177" s="15"/>
      <c r="U177" s="8"/>
      <c r="V177" s="8"/>
      <c r="W177" s="8"/>
      <c r="X177" s="56"/>
      <c r="Y177" s="56"/>
      <c r="Z177" s="15"/>
      <c r="AA177" s="15"/>
      <c r="AB177" s="15"/>
      <c r="AC177" s="15"/>
      <c r="AD177" s="57"/>
      <c r="AE177" s="57"/>
      <c r="AF177" s="15"/>
      <c r="AG177" s="25"/>
      <c r="AH177" s="26"/>
      <c r="AI177" s="26"/>
      <c r="AJ177" s="27"/>
      <c r="AK177" s="28"/>
      <c r="AL177" s="29"/>
    </row>
    <row r="178" ht="12.75" customHeight="1">
      <c r="A178" s="26"/>
      <c r="B178" s="241"/>
      <c r="C178" s="240"/>
      <c r="D178" s="241"/>
      <c r="E178" s="5"/>
      <c r="F178" s="5"/>
      <c r="G178" s="5"/>
      <c r="H178" s="5"/>
      <c r="I178" s="5"/>
      <c r="J178" s="8"/>
      <c r="K178" s="9"/>
      <c r="L178" s="10"/>
      <c r="M178" s="12"/>
      <c r="N178" s="242"/>
      <c r="O178" s="344"/>
      <c r="P178" s="14"/>
      <c r="Q178" s="242"/>
      <c r="R178" s="15"/>
      <c r="S178" s="15"/>
      <c r="T178" s="15"/>
      <c r="U178" s="8"/>
      <c r="V178" s="8"/>
      <c r="W178" s="8"/>
      <c r="X178" s="56"/>
      <c r="Y178" s="56"/>
      <c r="Z178" s="15"/>
      <c r="AA178" s="15"/>
      <c r="AB178" s="15"/>
      <c r="AC178" s="15"/>
      <c r="AD178" s="57"/>
      <c r="AE178" s="57"/>
      <c r="AF178" s="15"/>
      <c r="AG178" s="25"/>
      <c r="AH178" s="26"/>
      <c r="AI178" s="26"/>
      <c r="AJ178" s="27"/>
      <c r="AK178" s="28"/>
      <c r="AL178" s="29"/>
    </row>
    <row r="179" ht="12.75" customHeight="1">
      <c r="A179" s="26"/>
      <c r="B179" s="241"/>
      <c r="C179" s="240"/>
      <c r="D179" s="241"/>
      <c r="E179" s="5"/>
      <c r="F179" s="5"/>
      <c r="G179" s="5"/>
      <c r="H179" s="5"/>
      <c r="I179" s="5"/>
      <c r="J179" s="8"/>
      <c r="K179" s="9"/>
      <c r="L179" s="10"/>
      <c r="M179" s="12"/>
      <c r="N179" s="242"/>
      <c r="O179" s="344"/>
      <c r="P179" s="14"/>
      <c r="Q179" s="242"/>
      <c r="R179" s="15"/>
      <c r="S179" s="15"/>
      <c r="T179" s="15"/>
      <c r="U179" s="8"/>
      <c r="V179" s="8"/>
      <c r="W179" s="8"/>
      <c r="X179" s="56"/>
      <c r="Y179" s="56"/>
      <c r="Z179" s="15"/>
      <c r="AA179" s="15"/>
      <c r="AB179" s="15"/>
      <c r="AC179" s="15"/>
      <c r="AD179" s="57"/>
      <c r="AE179" s="57"/>
      <c r="AF179" s="15"/>
      <c r="AG179" s="25"/>
      <c r="AH179" s="26"/>
      <c r="AI179" s="26"/>
      <c r="AJ179" s="27"/>
      <c r="AK179" s="28"/>
      <c r="AL179" s="29"/>
    </row>
    <row r="180" ht="12.75" customHeight="1">
      <c r="A180" s="26"/>
      <c r="B180" s="241"/>
      <c r="C180" s="240"/>
      <c r="D180" s="241"/>
      <c r="E180" s="5"/>
      <c r="F180" s="5"/>
      <c r="G180" s="5"/>
      <c r="H180" s="5"/>
      <c r="I180" s="5"/>
      <c r="J180" s="8"/>
      <c r="K180" s="9"/>
      <c r="L180" s="10"/>
      <c r="M180" s="12"/>
      <c r="N180" s="242"/>
      <c r="O180" s="344"/>
      <c r="P180" s="14"/>
      <c r="Q180" s="242"/>
      <c r="R180" s="15"/>
      <c r="S180" s="15"/>
      <c r="T180" s="15"/>
      <c r="U180" s="8"/>
      <c r="V180" s="8"/>
      <c r="W180" s="8"/>
      <c r="X180" s="56"/>
      <c r="Y180" s="56"/>
      <c r="Z180" s="15"/>
      <c r="AA180" s="15"/>
      <c r="AB180" s="15"/>
      <c r="AC180" s="15"/>
      <c r="AD180" s="57"/>
      <c r="AE180" s="57"/>
      <c r="AF180" s="15"/>
      <c r="AG180" s="25"/>
      <c r="AH180" s="26"/>
      <c r="AI180" s="26"/>
      <c r="AJ180" s="27"/>
      <c r="AK180" s="28"/>
      <c r="AL180" s="29"/>
    </row>
    <row r="181" ht="12.75" customHeight="1">
      <c r="A181" s="26"/>
      <c r="B181" s="241"/>
      <c r="C181" s="240"/>
      <c r="D181" s="241"/>
      <c r="E181" s="5"/>
      <c r="F181" s="5"/>
      <c r="G181" s="5"/>
      <c r="H181" s="5"/>
      <c r="I181" s="5"/>
      <c r="J181" s="8"/>
      <c r="K181" s="9"/>
      <c r="L181" s="10"/>
      <c r="M181" s="12"/>
      <c r="N181" s="242"/>
      <c r="O181" s="344"/>
      <c r="P181" s="14"/>
      <c r="Q181" s="242"/>
      <c r="R181" s="15"/>
      <c r="S181" s="15"/>
      <c r="T181" s="15"/>
      <c r="U181" s="8"/>
      <c r="V181" s="8"/>
      <c r="W181" s="8"/>
      <c r="X181" s="56"/>
      <c r="Y181" s="56"/>
      <c r="Z181" s="15"/>
      <c r="AA181" s="15"/>
      <c r="AB181" s="15"/>
      <c r="AC181" s="15"/>
      <c r="AD181" s="57"/>
      <c r="AE181" s="57"/>
      <c r="AF181" s="15"/>
      <c r="AG181" s="25"/>
      <c r="AH181" s="26"/>
      <c r="AI181" s="26"/>
      <c r="AJ181" s="27"/>
      <c r="AK181" s="28"/>
      <c r="AL181" s="29"/>
    </row>
    <row r="182" ht="12.75" customHeight="1">
      <c r="A182" s="26"/>
      <c r="B182" s="241"/>
      <c r="C182" s="240"/>
      <c r="D182" s="241"/>
      <c r="E182" s="5"/>
      <c r="F182" s="5"/>
      <c r="G182" s="5"/>
      <c r="H182" s="5"/>
      <c r="I182" s="5"/>
      <c r="J182" s="8"/>
      <c r="K182" s="9"/>
      <c r="L182" s="10"/>
      <c r="M182" s="12"/>
      <c r="N182" s="242"/>
      <c r="O182" s="344"/>
      <c r="P182" s="14"/>
      <c r="Q182" s="242"/>
      <c r="R182" s="15"/>
      <c r="S182" s="15"/>
      <c r="T182" s="15"/>
      <c r="U182" s="8"/>
      <c r="V182" s="8"/>
      <c r="W182" s="8"/>
      <c r="X182" s="56"/>
      <c r="Y182" s="56"/>
      <c r="Z182" s="15"/>
      <c r="AA182" s="15"/>
      <c r="AB182" s="15"/>
      <c r="AC182" s="15"/>
      <c r="AD182" s="57"/>
      <c r="AE182" s="57"/>
      <c r="AF182" s="15"/>
      <c r="AG182" s="25"/>
      <c r="AH182" s="26"/>
      <c r="AI182" s="26"/>
      <c r="AJ182" s="27"/>
      <c r="AK182" s="28"/>
      <c r="AL182" s="29"/>
    </row>
    <row r="183" ht="12.75" customHeight="1">
      <c r="A183" s="26"/>
      <c r="B183" s="241"/>
      <c r="C183" s="240"/>
      <c r="D183" s="241"/>
      <c r="E183" s="5"/>
      <c r="F183" s="5"/>
      <c r="G183" s="5"/>
      <c r="H183" s="5"/>
      <c r="I183" s="5"/>
      <c r="J183" s="8"/>
      <c r="K183" s="9"/>
      <c r="L183" s="10"/>
      <c r="M183" s="12"/>
      <c r="N183" s="242"/>
      <c r="O183" s="344"/>
      <c r="P183" s="14"/>
      <c r="Q183" s="242"/>
      <c r="R183" s="15"/>
      <c r="S183" s="15"/>
      <c r="T183" s="15"/>
      <c r="U183" s="8"/>
      <c r="V183" s="8"/>
      <c r="W183" s="8"/>
      <c r="X183" s="56"/>
      <c r="Y183" s="56"/>
      <c r="Z183" s="15"/>
      <c r="AA183" s="15"/>
      <c r="AB183" s="15"/>
      <c r="AC183" s="15"/>
      <c r="AD183" s="57"/>
      <c r="AE183" s="57"/>
      <c r="AF183" s="15"/>
      <c r="AG183" s="25"/>
      <c r="AH183" s="26"/>
      <c r="AI183" s="26"/>
      <c r="AJ183" s="27"/>
      <c r="AK183" s="28"/>
      <c r="AL183" s="29"/>
    </row>
    <row r="184" ht="12.75" customHeight="1">
      <c r="A184" s="26"/>
      <c r="B184" s="241"/>
      <c r="C184" s="240"/>
      <c r="D184" s="241"/>
      <c r="E184" s="5"/>
      <c r="F184" s="5"/>
      <c r="G184" s="5"/>
      <c r="H184" s="5"/>
      <c r="I184" s="5"/>
      <c r="J184" s="8"/>
      <c r="K184" s="9"/>
      <c r="L184" s="10"/>
      <c r="M184" s="12"/>
      <c r="N184" s="242"/>
      <c r="O184" s="344"/>
      <c r="P184" s="14"/>
      <c r="Q184" s="242"/>
      <c r="R184" s="15"/>
      <c r="S184" s="15"/>
      <c r="T184" s="15"/>
      <c r="U184" s="8"/>
      <c r="V184" s="8"/>
      <c r="W184" s="8"/>
      <c r="X184" s="56"/>
      <c r="Y184" s="56"/>
      <c r="Z184" s="15"/>
      <c r="AA184" s="15"/>
      <c r="AB184" s="15"/>
      <c r="AC184" s="15"/>
      <c r="AD184" s="57"/>
      <c r="AE184" s="57"/>
      <c r="AF184" s="15"/>
      <c r="AG184" s="25"/>
      <c r="AH184" s="26"/>
      <c r="AI184" s="26"/>
      <c r="AJ184" s="27"/>
      <c r="AK184" s="28"/>
      <c r="AL184" s="29"/>
    </row>
    <row r="185" ht="12.75" customHeight="1">
      <c r="A185" s="26"/>
      <c r="B185" s="241"/>
      <c r="C185" s="240"/>
      <c r="D185" s="241"/>
      <c r="E185" s="5"/>
      <c r="F185" s="5"/>
      <c r="G185" s="5"/>
      <c r="H185" s="5"/>
      <c r="I185" s="5"/>
      <c r="J185" s="8"/>
      <c r="K185" s="9"/>
      <c r="L185" s="10"/>
      <c r="M185" s="12"/>
      <c r="N185" s="242"/>
      <c r="O185" s="344"/>
      <c r="P185" s="14"/>
      <c r="Q185" s="242"/>
      <c r="R185" s="15"/>
      <c r="S185" s="15"/>
      <c r="T185" s="15"/>
      <c r="U185" s="8"/>
      <c r="V185" s="8"/>
      <c r="W185" s="8"/>
      <c r="X185" s="56"/>
      <c r="Y185" s="56"/>
      <c r="Z185" s="15"/>
      <c r="AA185" s="15"/>
      <c r="AB185" s="15"/>
      <c r="AC185" s="15"/>
      <c r="AD185" s="57"/>
      <c r="AE185" s="57"/>
      <c r="AF185" s="15"/>
      <c r="AG185" s="25"/>
      <c r="AH185" s="26"/>
      <c r="AI185" s="26"/>
      <c r="AJ185" s="27"/>
      <c r="AK185" s="28"/>
      <c r="AL185" s="29"/>
    </row>
    <row r="186" ht="12.75" customHeight="1">
      <c r="A186" s="26"/>
      <c r="B186" s="241"/>
      <c r="C186" s="240"/>
      <c r="D186" s="241"/>
      <c r="E186" s="5"/>
      <c r="F186" s="5"/>
      <c r="G186" s="5"/>
      <c r="H186" s="5"/>
      <c r="I186" s="5"/>
      <c r="J186" s="8"/>
      <c r="K186" s="9"/>
      <c r="L186" s="10"/>
      <c r="M186" s="12"/>
      <c r="N186" s="242"/>
      <c r="O186" s="344"/>
      <c r="P186" s="14"/>
      <c r="Q186" s="242"/>
      <c r="R186" s="15"/>
      <c r="S186" s="15"/>
      <c r="T186" s="15"/>
      <c r="U186" s="8"/>
      <c r="V186" s="8"/>
      <c r="W186" s="8"/>
      <c r="X186" s="56"/>
      <c r="Y186" s="56"/>
      <c r="Z186" s="15"/>
      <c r="AA186" s="15"/>
      <c r="AB186" s="15"/>
      <c r="AC186" s="15"/>
      <c r="AD186" s="57"/>
      <c r="AE186" s="57"/>
      <c r="AF186" s="15"/>
      <c r="AG186" s="25"/>
      <c r="AH186" s="26"/>
      <c r="AI186" s="26"/>
      <c r="AJ186" s="27"/>
      <c r="AK186" s="28"/>
      <c r="AL186" s="29"/>
    </row>
    <row r="187" ht="12.75" customHeight="1">
      <c r="A187" s="26"/>
      <c r="B187" s="241"/>
      <c r="C187" s="240"/>
      <c r="D187" s="241"/>
      <c r="E187" s="5"/>
      <c r="F187" s="5"/>
      <c r="G187" s="5"/>
      <c r="H187" s="5"/>
      <c r="I187" s="5"/>
      <c r="J187" s="8"/>
      <c r="K187" s="9"/>
      <c r="L187" s="10"/>
      <c r="M187" s="12"/>
      <c r="N187" s="242"/>
      <c r="O187" s="344"/>
      <c r="P187" s="14"/>
      <c r="Q187" s="242"/>
      <c r="R187" s="15"/>
      <c r="S187" s="15"/>
      <c r="T187" s="15"/>
      <c r="U187" s="8"/>
      <c r="V187" s="8"/>
      <c r="W187" s="8"/>
      <c r="X187" s="56"/>
      <c r="Y187" s="56"/>
      <c r="Z187" s="15"/>
      <c r="AA187" s="15"/>
      <c r="AB187" s="15"/>
      <c r="AC187" s="15"/>
      <c r="AD187" s="57"/>
      <c r="AE187" s="57"/>
      <c r="AF187" s="15"/>
      <c r="AG187" s="25"/>
      <c r="AH187" s="26"/>
      <c r="AI187" s="26"/>
      <c r="AJ187" s="27"/>
      <c r="AK187" s="28"/>
      <c r="AL187" s="29"/>
    </row>
    <row r="188" ht="12.75" customHeight="1">
      <c r="A188" s="26"/>
      <c r="B188" s="241"/>
      <c r="C188" s="240"/>
      <c r="D188" s="241"/>
      <c r="E188" s="5"/>
      <c r="F188" s="5"/>
      <c r="G188" s="5"/>
      <c r="H188" s="5"/>
      <c r="I188" s="5"/>
      <c r="J188" s="8"/>
      <c r="K188" s="9"/>
      <c r="L188" s="10"/>
      <c r="M188" s="12"/>
      <c r="N188" s="242"/>
      <c r="O188" s="344"/>
      <c r="P188" s="14"/>
      <c r="Q188" s="242"/>
      <c r="R188" s="15"/>
      <c r="S188" s="15"/>
      <c r="T188" s="15"/>
      <c r="U188" s="8"/>
      <c r="V188" s="8"/>
      <c r="W188" s="8"/>
      <c r="X188" s="56"/>
      <c r="Y188" s="56"/>
      <c r="Z188" s="15"/>
      <c r="AA188" s="15"/>
      <c r="AB188" s="15"/>
      <c r="AC188" s="15"/>
      <c r="AD188" s="57"/>
      <c r="AE188" s="57"/>
      <c r="AF188" s="15"/>
      <c r="AG188" s="25"/>
      <c r="AH188" s="26"/>
      <c r="AI188" s="26"/>
      <c r="AJ188" s="27"/>
      <c r="AK188" s="28"/>
      <c r="AL188" s="29"/>
    </row>
    <row r="189" ht="12.75" customHeight="1">
      <c r="A189" s="26"/>
      <c r="B189" s="241"/>
      <c r="C189" s="240"/>
      <c r="D189" s="241"/>
      <c r="E189" s="5"/>
      <c r="F189" s="5"/>
      <c r="G189" s="5"/>
      <c r="H189" s="5"/>
      <c r="I189" s="5"/>
      <c r="J189" s="8"/>
      <c r="K189" s="9"/>
      <c r="L189" s="10"/>
      <c r="M189" s="12"/>
      <c r="N189" s="242"/>
      <c r="O189" s="344"/>
      <c r="P189" s="14"/>
      <c r="Q189" s="242"/>
      <c r="R189" s="15"/>
      <c r="S189" s="15"/>
      <c r="T189" s="15"/>
      <c r="U189" s="8"/>
      <c r="V189" s="8"/>
      <c r="W189" s="8"/>
      <c r="X189" s="56"/>
      <c r="Y189" s="56"/>
      <c r="Z189" s="15"/>
      <c r="AA189" s="15"/>
      <c r="AB189" s="15"/>
      <c r="AC189" s="15"/>
      <c r="AD189" s="57"/>
      <c r="AE189" s="57"/>
      <c r="AF189" s="15"/>
      <c r="AG189" s="25"/>
      <c r="AH189" s="26"/>
      <c r="AI189" s="26"/>
      <c r="AJ189" s="27"/>
      <c r="AK189" s="28"/>
      <c r="AL189" s="29"/>
    </row>
    <row r="190" ht="12.75" customHeight="1">
      <c r="A190" s="26"/>
      <c r="B190" s="241"/>
      <c r="C190" s="240"/>
      <c r="D190" s="241"/>
      <c r="E190" s="5"/>
      <c r="F190" s="5"/>
      <c r="G190" s="5"/>
      <c r="H190" s="5"/>
      <c r="I190" s="5"/>
      <c r="J190" s="8"/>
      <c r="K190" s="9"/>
      <c r="L190" s="10"/>
      <c r="M190" s="12"/>
      <c r="N190" s="242"/>
      <c r="O190" s="344"/>
      <c r="P190" s="14"/>
      <c r="Q190" s="242"/>
      <c r="R190" s="15"/>
      <c r="S190" s="15"/>
      <c r="T190" s="15"/>
      <c r="U190" s="8"/>
      <c r="V190" s="8"/>
      <c r="W190" s="8"/>
      <c r="X190" s="56"/>
      <c r="Y190" s="56"/>
      <c r="Z190" s="15"/>
      <c r="AA190" s="15"/>
      <c r="AB190" s="15"/>
      <c r="AC190" s="15"/>
      <c r="AD190" s="57"/>
      <c r="AE190" s="57"/>
      <c r="AF190" s="15"/>
      <c r="AG190" s="25"/>
      <c r="AH190" s="26"/>
      <c r="AI190" s="26"/>
      <c r="AJ190" s="27"/>
      <c r="AK190" s="28"/>
      <c r="AL190" s="29"/>
    </row>
    <row r="191" ht="12.75" customHeight="1">
      <c r="A191" s="26"/>
      <c r="B191" s="241"/>
      <c r="C191" s="240"/>
      <c r="D191" s="241"/>
      <c r="E191" s="5"/>
      <c r="F191" s="5"/>
      <c r="G191" s="5"/>
      <c r="H191" s="5"/>
      <c r="I191" s="5"/>
      <c r="J191" s="8"/>
      <c r="K191" s="9"/>
      <c r="L191" s="10"/>
      <c r="M191" s="12"/>
      <c r="N191" s="242"/>
      <c r="O191" s="344"/>
      <c r="P191" s="14"/>
      <c r="Q191" s="242"/>
      <c r="R191" s="15"/>
      <c r="S191" s="15"/>
      <c r="T191" s="15"/>
      <c r="U191" s="8"/>
      <c r="V191" s="8"/>
      <c r="W191" s="8"/>
      <c r="X191" s="56"/>
      <c r="Y191" s="56"/>
      <c r="Z191" s="15"/>
      <c r="AA191" s="15"/>
      <c r="AB191" s="15"/>
      <c r="AC191" s="15"/>
      <c r="AD191" s="57"/>
      <c r="AE191" s="57"/>
      <c r="AF191" s="15"/>
      <c r="AG191" s="25"/>
      <c r="AH191" s="26"/>
      <c r="AI191" s="26"/>
      <c r="AJ191" s="27"/>
      <c r="AK191" s="28"/>
      <c r="AL191" s="29"/>
    </row>
    <row r="192" ht="12.75" customHeight="1">
      <c r="A192" s="26"/>
      <c r="B192" s="241"/>
      <c r="C192" s="240"/>
      <c r="D192" s="241"/>
      <c r="E192" s="5"/>
      <c r="F192" s="5"/>
      <c r="G192" s="5"/>
      <c r="H192" s="5"/>
      <c r="I192" s="5"/>
      <c r="J192" s="8"/>
      <c r="K192" s="9"/>
      <c r="L192" s="10"/>
      <c r="M192" s="12"/>
      <c r="N192" s="242"/>
      <c r="O192" s="344"/>
      <c r="P192" s="14"/>
      <c r="Q192" s="242"/>
      <c r="R192" s="15"/>
      <c r="S192" s="15"/>
      <c r="T192" s="15"/>
      <c r="U192" s="8"/>
      <c r="V192" s="8"/>
      <c r="W192" s="8"/>
      <c r="X192" s="56"/>
      <c r="Y192" s="56"/>
      <c r="Z192" s="15"/>
      <c r="AA192" s="15"/>
      <c r="AB192" s="15"/>
      <c r="AC192" s="15"/>
      <c r="AD192" s="57"/>
      <c r="AE192" s="57"/>
      <c r="AF192" s="15"/>
      <c r="AG192" s="25"/>
      <c r="AH192" s="26"/>
      <c r="AI192" s="26"/>
      <c r="AJ192" s="27"/>
      <c r="AK192" s="28"/>
      <c r="AL192" s="29"/>
    </row>
    <row r="193" ht="12.75" customHeight="1">
      <c r="A193" s="26"/>
      <c r="B193" s="241"/>
      <c r="C193" s="240"/>
      <c r="D193" s="241"/>
      <c r="E193" s="5"/>
      <c r="F193" s="5"/>
      <c r="G193" s="5"/>
      <c r="H193" s="5"/>
      <c r="I193" s="5"/>
      <c r="J193" s="8"/>
      <c r="K193" s="9"/>
      <c r="L193" s="10"/>
      <c r="M193" s="12"/>
      <c r="N193" s="242"/>
      <c r="O193" s="344"/>
      <c r="P193" s="14"/>
      <c r="Q193" s="242"/>
      <c r="R193" s="15"/>
      <c r="S193" s="15"/>
      <c r="T193" s="15"/>
      <c r="U193" s="8"/>
      <c r="V193" s="8"/>
      <c r="W193" s="8"/>
      <c r="X193" s="56"/>
      <c r="Y193" s="56"/>
      <c r="Z193" s="15"/>
      <c r="AA193" s="15"/>
      <c r="AB193" s="15"/>
      <c r="AC193" s="15"/>
      <c r="AD193" s="57"/>
      <c r="AE193" s="57"/>
      <c r="AF193" s="15"/>
      <c r="AG193" s="25"/>
      <c r="AH193" s="26"/>
      <c r="AI193" s="26"/>
      <c r="AJ193" s="27"/>
      <c r="AK193" s="28"/>
      <c r="AL193" s="29"/>
    </row>
    <row r="194" ht="12.75" customHeight="1">
      <c r="A194" s="26"/>
      <c r="B194" s="241"/>
      <c r="C194" s="240"/>
      <c r="D194" s="241"/>
      <c r="E194" s="5"/>
      <c r="F194" s="5"/>
      <c r="G194" s="5"/>
      <c r="H194" s="5"/>
      <c r="I194" s="5"/>
      <c r="J194" s="8"/>
      <c r="K194" s="9"/>
      <c r="L194" s="10"/>
      <c r="M194" s="12"/>
      <c r="N194" s="242"/>
      <c r="O194" s="344"/>
      <c r="P194" s="14"/>
      <c r="Q194" s="242"/>
      <c r="R194" s="15"/>
      <c r="S194" s="15"/>
      <c r="T194" s="15"/>
      <c r="U194" s="8"/>
      <c r="V194" s="8"/>
      <c r="W194" s="8"/>
      <c r="X194" s="56"/>
      <c r="Y194" s="56"/>
      <c r="Z194" s="15"/>
      <c r="AA194" s="15"/>
      <c r="AB194" s="15"/>
      <c r="AC194" s="15"/>
      <c r="AD194" s="57"/>
      <c r="AE194" s="57"/>
      <c r="AF194" s="15"/>
      <c r="AG194" s="25"/>
      <c r="AH194" s="26"/>
      <c r="AI194" s="26"/>
      <c r="AJ194" s="27"/>
      <c r="AK194" s="28"/>
      <c r="AL194" s="29"/>
    </row>
    <row r="195" ht="12.75" customHeight="1">
      <c r="A195" s="26"/>
      <c r="B195" s="241"/>
      <c r="C195" s="240"/>
      <c r="D195" s="241"/>
      <c r="E195" s="5"/>
      <c r="F195" s="5"/>
      <c r="G195" s="5"/>
      <c r="H195" s="5"/>
      <c r="I195" s="5"/>
      <c r="J195" s="8"/>
      <c r="K195" s="9"/>
      <c r="L195" s="10"/>
      <c r="M195" s="12"/>
      <c r="N195" s="242"/>
      <c r="O195" s="344"/>
      <c r="P195" s="14"/>
      <c r="Q195" s="242"/>
      <c r="R195" s="15"/>
      <c r="S195" s="15"/>
      <c r="T195" s="15"/>
      <c r="U195" s="8"/>
      <c r="V195" s="8"/>
      <c r="W195" s="8"/>
      <c r="X195" s="56"/>
      <c r="Y195" s="56"/>
      <c r="Z195" s="15"/>
      <c r="AA195" s="15"/>
      <c r="AB195" s="15"/>
      <c r="AC195" s="15"/>
      <c r="AD195" s="57"/>
      <c r="AE195" s="57"/>
      <c r="AF195" s="15"/>
      <c r="AG195" s="25"/>
      <c r="AH195" s="26"/>
      <c r="AI195" s="26"/>
      <c r="AJ195" s="27"/>
      <c r="AK195" s="28"/>
      <c r="AL195" s="29"/>
    </row>
    <row r="196" ht="12.75" customHeight="1">
      <c r="A196" s="26"/>
      <c r="B196" s="241"/>
      <c r="C196" s="240"/>
      <c r="D196" s="241"/>
      <c r="E196" s="5"/>
      <c r="F196" s="5"/>
      <c r="G196" s="5"/>
      <c r="H196" s="5"/>
      <c r="I196" s="5"/>
      <c r="J196" s="8"/>
      <c r="K196" s="9"/>
      <c r="L196" s="10"/>
      <c r="M196" s="12"/>
      <c r="N196" s="242"/>
      <c r="O196" s="344"/>
      <c r="P196" s="14"/>
      <c r="Q196" s="242"/>
      <c r="R196" s="15"/>
      <c r="S196" s="15"/>
      <c r="T196" s="15"/>
      <c r="U196" s="8"/>
      <c r="V196" s="8"/>
      <c r="W196" s="8"/>
      <c r="X196" s="56"/>
      <c r="Y196" s="56"/>
      <c r="Z196" s="15"/>
      <c r="AA196" s="15"/>
      <c r="AB196" s="15"/>
      <c r="AC196" s="15"/>
      <c r="AD196" s="57"/>
      <c r="AE196" s="57"/>
      <c r="AF196" s="15"/>
      <c r="AG196" s="25"/>
      <c r="AH196" s="26"/>
      <c r="AI196" s="26"/>
      <c r="AJ196" s="27"/>
      <c r="AK196" s="28"/>
      <c r="AL196" s="29"/>
    </row>
    <row r="197" ht="12.75" customHeight="1">
      <c r="A197" s="26"/>
      <c r="B197" s="241"/>
      <c r="C197" s="240"/>
      <c r="D197" s="241"/>
      <c r="E197" s="5"/>
      <c r="F197" s="5"/>
      <c r="G197" s="5"/>
      <c r="H197" s="5"/>
      <c r="I197" s="5"/>
      <c r="J197" s="8"/>
      <c r="K197" s="9"/>
      <c r="L197" s="10"/>
      <c r="M197" s="12"/>
      <c r="N197" s="242"/>
      <c r="O197" s="344"/>
      <c r="P197" s="14"/>
      <c r="Q197" s="242"/>
      <c r="R197" s="15"/>
      <c r="S197" s="15"/>
      <c r="T197" s="15"/>
      <c r="U197" s="8"/>
      <c r="V197" s="8"/>
      <c r="W197" s="8"/>
      <c r="X197" s="56"/>
      <c r="Y197" s="56"/>
      <c r="Z197" s="15"/>
      <c r="AA197" s="15"/>
      <c r="AB197" s="15"/>
      <c r="AC197" s="15"/>
      <c r="AD197" s="57"/>
      <c r="AE197" s="57"/>
      <c r="AF197" s="15"/>
      <c r="AG197" s="25"/>
      <c r="AH197" s="26"/>
      <c r="AI197" s="26"/>
      <c r="AJ197" s="27"/>
      <c r="AK197" s="28"/>
      <c r="AL197" s="29"/>
    </row>
    <row r="198" ht="12.75" customHeight="1">
      <c r="A198" s="26"/>
      <c r="B198" s="241"/>
      <c r="C198" s="240"/>
      <c r="D198" s="241"/>
      <c r="E198" s="5"/>
      <c r="F198" s="5"/>
      <c r="G198" s="5"/>
      <c r="H198" s="5"/>
      <c r="I198" s="5"/>
      <c r="J198" s="8"/>
      <c r="K198" s="9"/>
      <c r="L198" s="10"/>
      <c r="M198" s="12"/>
      <c r="N198" s="242"/>
      <c r="O198" s="344"/>
      <c r="P198" s="14"/>
      <c r="Q198" s="242"/>
      <c r="R198" s="15"/>
      <c r="S198" s="15"/>
      <c r="T198" s="15"/>
      <c r="U198" s="8"/>
      <c r="V198" s="8"/>
      <c r="W198" s="8"/>
      <c r="X198" s="56"/>
      <c r="Y198" s="56"/>
      <c r="Z198" s="15"/>
      <c r="AA198" s="15"/>
      <c r="AB198" s="15"/>
      <c r="AC198" s="15"/>
      <c r="AD198" s="57"/>
      <c r="AE198" s="57"/>
      <c r="AF198" s="15"/>
      <c r="AG198" s="25"/>
      <c r="AH198" s="26"/>
      <c r="AI198" s="26"/>
      <c r="AJ198" s="27"/>
      <c r="AK198" s="28"/>
      <c r="AL198" s="29"/>
    </row>
    <row r="199" ht="12.75" customHeight="1">
      <c r="A199" s="26"/>
      <c r="B199" s="241"/>
      <c r="C199" s="240"/>
      <c r="D199" s="241"/>
      <c r="E199" s="5"/>
      <c r="F199" s="5"/>
      <c r="G199" s="5"/>
      <c r="H199" s="5"/>
      <c r="I199" s="5"/>
      <c r="J199" s="8"/>
      <c r="K199" s="9"/>
      <c r="L199" s="10"/>
      <c r="M199" s="12"/>
      <c r="N199" s="242"/>
      <c r="O199" s="344"/>
      <c r="P199" s="14"/>
      <c r="Q199" s="242"/>
      <c r="R199" s="15"/>
      <c r="S199" s="15"/>
      <c r="T199" s="15"/>
      <c r="U199" s="8"/>
      <c r="V199" s="8"/>
      <c r="W199" s="8"/>
      <c r="X199" s="56"/>
      <c r="Y199" s="56"/>
      <c r="Z199" s="15"/>
      <c r="AA199" s="15"/>
      <c r="AB199" s="15"/>
      <c r="AC199" s="15"/>
      <c r="AD199" s="57"/>
      <c r="AE199" s="57"/>
      <c r="AF199" s="15"/>
      <c r="AG199" s="25"/>
      <c r="AH199" s="26"/>
      <c r="AI199" s="26"/>
      <c r="AJ199" s="27"/>
      <c r="AK199" s="28"/>
      <c r="AL199" s="29"/>
    </row>
    <row r="200" ht="12.75" customHeight="1">
      <c r="A200" s="26"/>
      <c r="B200" s="241"/>
      <c r="C200" s="240"/>
      <c r="D200" s="241"/>
      <c r="E200" s="5"/>
      <c r="F200" s="5"/>
      <c r="G200" s="5"/>
      <c r="H200" s="5"/>
      <c r="I200" s="5"/>
      <c r="J200" s="8"/>
      <c r="K200" s="9"/>
      <c r="L200" s="10"/>
      <c r="M200" s="12"/>
      <c r="N200" s="242"/>
      <c r="O200" s="344"/>
      <c r="P200" s="14"/>
      <c r="Q200" s="242"/>
      <c r="R200" s="15"/>
      <c r="S200" s="15"/>
      <c r="T200" s="15"/>
      <c r="U200" s="8"/>
      <c r="V200" s="8"/>
      <c r="W200" s="8"/>
      <c r="X200" s="56"/>
      <c r="Y200" s="56"/>
      <c r="Z200" s="15"/>
      <c r="AA200" s="15"/>
      <c r="AB200" s="15"/>
      <c r="AC200" s="15"/>
      <c r="AD200" s="57"/>
      <c r="AE200" s="57"/>
      <c r="AF200" s="15"/>
      <c r="AG200" s="25"/>
      <c r="AH200" s="26"/>
      <c r="AI200" s="26"/>
      <c r="AJ200" s="27"/>
      <c r="AK200" s="28"/>
      <c r="AL200" s="29"/>
    </row>
    <row r="201" ht="12.75" customHeight="1">
      <c r="A201" s="26"/>
      <c r="B201" s="241"/>
      <c r="C201" s="240"/>
      <c r="D201" s="241"/>
      <c r="E201" s="5"/>
      <c r="F201" s="5"/>
      <c r="G201" s="5"/>
      <c r="H201" s="5"/>
      <c r="I201" s="5"/>
      <c r="J201" s="8"/>
      <c r="K201" s="9"/>
      <c r="L201" s="10"/>
      <c r="M201" s="12"/>
      <c r="N201" s="242"/>
      <c r="O201" s="344"/>
      <c r="P201" s="14"/>
      <c r="Q201" s="242"/>
      <c r="R201" s="15"/>
      <c r="S201" s="15"/>
      <c r="T201" s="15"/>
      <c r="U201" s="8"/>
      <c r="V201" s="8"/>
      <c r="W201" s="8"/>
      <c r="X201" s="56"/>
      <c r="Y201" s="56"/>
      <c r="Z201" s="15"/>
      <c r="AA201" s="15"/>
      <c r="AB201" s="15"/>
      <c r="AC201" s="15"/>
      <c r="AD201" s="57"/>
      <c r="AE201" s="57"/>
      <c r="AF201" s="15"/>
      <c r="AG201" s="25"/>
      <c r="AH201" s="26"/>
      <c r="AI201" s="26"/>
      <c r="AJ201" s="27"/>
      <c r="AK201" s="28"/>
      <c r="AL201" s="29"/>
    </row>
    <row r="202" ht="12.75" customHeight="1">
      <c r="A202" s="26"/>
      <c r="B202" s="241"/>
      <c r="C202" s="240"/>
      <c r="D202" s="241"/>
      <c r="E202" s="5"/>
      <c r="F202" s="5"/>
      <c r="G202" s="5"/>
      <c r="H202" s="5"/>
      <c r="I202" s="5"/>
      <c r="J202" s="8"/>
      <c r="K202" s="9"/>
      <c r="L202" s="10"/>
      <c r="M202" s="12"/>
      <c r="N202" s="242"/>
      <c r="O202" s="344"/>
      <c r="P202" s="14"/>
      <c r="Q202" s="242"/>
      <c r="R202" s="15"/>
      <c r="S202" s="15"/>
      <c r="T202" s="15"/>
      <c r="U202" s="8"/>
      <c r="V202" s="8"/>
      <c r="W202" s="8"/>
      <c r="X202" s="56"/>
      <c r="Y202" s="56"/>
      <c r="Z202" s="15"/>
      <c r="AA202" s="15"/>
      <c r="AB202" s="15"/>
      <c r="AC202" s="15"/>
      <c r="AD202" s="57"/>
      <c r="AE202" s="57"/>
      <c r="AF202" s="15"/>
      <c r="AG202" s="25"/>
      <c r="AH202" s="26"/>
      <c r="AI202" s="26"/>
      <c r="AJ202" s="27"/>
      <c r="AK202" s="28"/>
      <c r="AL202" s="29"/>
    </row>
    <row r="203" ht="12.75" customHeight="1">
      <c r="A203" s="26"/>
      <c r="B203" s="241"/>
      <c r="C203" s="240"/>
      <c r="D203" s="241"/>
      <c r="E203" s="5"/>
      <c r="F203" s="5"/>
      <c r="G203" s="5"/>
      <c r="H203" s="5"/>
      <c r="I203" s="5"/>
      <c r="J203" s="8"/>
      <c r="K203" s="9"/>
      <c r="L203" s="10"/>
      <c r="M203" s="12"/>
      <c r="N203" s="242"/>
      <c r="O203" s="344"/>
      <c r="P203" s="14"/>
      <c r="Q203" s="242"/>
      <c r="R203" s="15"/>
      <c r="S203" s="15"/>
      <c r="T203" s="15"/>
      <c r="U203" s="8"/>
      <c r="V203" s="8"/>
      <c r="W203" s="8"/>
      <c r="X203" s="56"/>
      <c r="Y203" s="56"/>
      <c r="Z203" s="15"/>
      <c r="AA203" s="15"/>
      <c r="AB203" s="15"/>
      <c r="AC203" s="15"/>
      <c r="AD203" s="57"/>
      <c r="AE203" s="57"/>
      <c r="AF203" s="15"/>
      <c r="AG203" s="25"/>
      <c r="AH203" s="26"/>
      <c r="AI203" s="26"/>
      <c r="AJ203" s="27"/>
      <c r="AK203" s="28"/>
      <c r="AL203" s="29"/>
    </row>
    <row r="204" ht="12.75" customHeight="1">
      <c r="A204" s="26"/>
      <c r="B204" s="241"/>
      <c r="C204" s="240"/>
      <c r="D204" s="241"/>
      <c r="E204" s="5"/>
      <c r="F204" s="5"/>
      <c r="G204" s="5"/>
      <c r="H204" s="5"/>
      <c r="I204" s="5"/>
      <c r="J204" s="8"/>
      <c r="K204" s="9"/>
      <c r="L204" s="10"/>
      <c r="M204" s="12"/>
      <c r="N204" s="242"/>
      <c r="O204" s="344"/>
      <c r="P204" s="14"/>
      <c r="Q204" s="242"/>
      <c r="R204" s="15"/>
      <c r="S204" s="15"/>
      <c r="T204" s="15"/>
      <c r="U204" s="8"/>
      <c r="V204" s="8"/>
      <c r="W204" s="8"/>
      <c r="X204" s="56"/>
      <c r="Y204" s="56"/>
      <c r="Z204" s="15"/>
      <c r="AA204" s="15"/>
      <c r="AB204" s="15"/>
      <c r="AC204" s="15"/>
      <c r="AD204" s="57"/>
      <c r="AE204" s="57"/>
      <c r="AF204" s="15"/>
      <c r="AG204" s="25"/>
      <c r="AH204" s="26"/>
      <c r="AI204" s="26"/>
      <c r="AJ204" s="27"/>
      <c r="AK204" s="28"/>
      <c r="AL204" s="29"/>
    </row>
    <row r="205" ht="12.75" customHeight="1">
      <c r="A205" s="26"/>
      <c r="B205" s="241"/>
      <c r="C205" s="240"/>
      <c r="D205" s="241"/>
      <c r="E205" s="5"/>
      <c r="F205" s="5"/>
      <c r="G205" s="5"/>
      <c r="H205" s="5"/>
      <c r="I205" s="5"/>
      <c r="J205" s="8"/>
      <c r="K205" s="9"/>
      <c r="L205" s="10"/>
      <c r="M205" s="12"/>
      <c r="N205" s="242"/>
      <c r="O205" s="344"/>
      <c r="P205" s="14"/>
      <c r="Q205" s="242"/>
      <c r="R205" s="15"/>
      <c r="S205" s="15"/>
      <c r="T205" s="15"/>
      <c r="U205" s="8"/>
      <c r="V205" s="8"/>
      <c r="W205" s="8"/>
      <c r="X205" s="56"/>
      <c r="Y205" s="56"/>
      <c r="Z205" s="15"/>
      <c r="AA205" s="15"/>
      <c r="AB205" s="15"/>
      <c r="AC205" s="15"/>
      <c r="AD205" s="57"/>
      <c r="AE205" s="57"/>
      <c r="AF205" s="15"/>
      <c r="AG205" s="25"/>
      <c r="AH205" s="26"/>
      <c r="AI205" s="26"/>
      <c r="AJ205" s="27"/>
      <c r="AK205" s="28"/>
      <c r="AL205" s="29"/>
    </row>
    <row r="206" ht="12.75" customHeight="1">
      <c r="A206" s="26"/>
      <c r="B206" s="241"/>
      <c r="C206" s="240"/>
      <c r="D206" s="241"/>
      <c r="E206" s="5"/>
      <c r="F206" s="5"/>
      <c r="G206" s="5"/>
      <c r="H206" s="5"/>
      <c r="I206" s="5"/>
      <c r="J206" s="8"/>
      <c r="K206" s="9"/>
      <c r="L206" s="10"/>
      <c r="M206" s="12"/>
      <c r="N206" s="242"/>
      <c r="O206" s="344"/>
      <c r="P206" s="14"/>
      <c r="Q206" s="242"/>
      <c r="R206" s="15"/>
      <c r="S206" s="15"/>
      <c r="T206" s="15"/>
      <c r="U206" s="8"/>
      <c r="V206" s="8"/>
      <c r="W206" s="8"/>
      <c r="X206" s="56"/>
      <c r="Y206" s="56"/>
      <c r="Z206" s="15"/>
      <c r="AA206" s="15"/>
      <c r="AB206" s="15"/>
      <c r="AC206" s="15"/>
      <c r="AD206" s="57"/>
      <c r="AE206" s="57"/>
      <c r="AF206" s="15"/>
      <c r="AG206" s="25"/>
      <c r="AH206" s="26"/>
      <c r="AI206" s="26"/>
      <c r="AJ206" s="27"/>
      <c r="AK206" s="28"/>
      <c r="AL206" s="29"/>
    </row>
    <row r="207" ht="12.75" customHeight="1">
      <c r="A207" s="26"/>
      <c r="B207" s="241"/>
      <c r="C207" s="240"/>
      <c r="D207" s="241"/>
      <c r="E207" s="5"/>
      <c r="F207" s="5"/>
      <c r="G207" s="5"/>
      <c r="H207" s="5"/>
      <c r="I207" s="5"/>
      <c r="J207" s="8"/>
      <c r="K207" s="9"/>
      <c r="L207" s="10"/>
      <c r="M207" s="12"/>
      <c r="N207" s="242"/>
      <c r="O207" s="344"/>
      <c r="P207" s="14"/>
      <c r="Q207" s="242"/>
      <c r="R207" s="15"/>
      <c r="S207" s="15"/>
      <c r="T207" s="15"/>
      <c r="U207" s="8"/>
      <c r="V207" s="8"/>
      <c r="W207" s="8"/>
      <c r="X207" s="56"/>
      <c r="Y207" s="56"/>
      <c r="Z207" s="15"/>
      <c r="AA207" s="15"/>
      <c r="AB207" s="15"/>
      <c r="AC207" s="15"/>
      <c r="AD207" s="57"/>
      <c r="AE207" s="57"/>
      <c r="AF207" s="15"/>
      <c r="AG207" s="25"/>
      <c r="AH207" s="26"/>
      <c r="AI207" s="26"/>
      <c r="AJ207" s="27"/>
      <c r="AK207" s="28"/>
      <c r="AL207" s="29"/>
    </row>
    <row r="208" ht="12.75" customHeight="1">
      <c r="A208" s="26"/>
      <c r="B208" s="241"/>
      <c r="C208" s="240"/>
      <c r="D208" s="241"/>
      <c r="E208" s="5"/>
      <c r="F208" s="5"/>
      <c r="G208" s="5"/>
      <c r="H208" s="5"/>
      <c r="I208" s="5"/>
      <c r="J208" s="8"/>
      <c r="K208" s="9"/>
      <c r="L208" s="10"/>
      <c r="M208" s="12"/>
      <c r="N208" s="242"/>
      <c r="O208" s="344"/>
      <c r="P208" s="14"/>
      <c r="Q208" s="242"/>
      <c r="R208" s="15"/>
      <c r="S208" s="15"/>
      <c r="T208" s="15"/>
      <c r="U208" s="8"/>
      <c r="V208" s="8"/>
      <c r="W208" s="8"/>
      <c r="X208" s="56"/>
      <c r="Y208" s="56"/>
      <c r="Z208" s="15"/>
      <c r="AA208" s="15"/>
      <c r="AB208" s="15"/>
      <c r="AC208" s="15"/>
      <c r="AD208" s="57"/>
      <c r="AE208" s="57"/>
      <c r="AF208" s="15"/>
      <c r="AG208" s="25"/>
      <c r="AH208" s="26"/>
      <c r="AI208" s="26"/>
      <c r="AJ208" s="27"/>
      <c r="AK208" s="28"/>
      <c r="AL208" s="29"/>
    </row>
    <row r="209" ht="12.75" customHeight="1">
      <c r="A209" s="26"/>
      <c r="B209" s="241"/>
      <c r="C209" s="240"/>
      <c r="D209" s="241"/>
      <c r="E209" s="5"/>
      <c r="F209" s="5"/>
      <c r="G209" s="5"/>
      <c r="H209" s="5"/>
      <c r="I209" s="5"/>
      <c r="J209" s="8"/>
      <c r="K209" s="9"/>
      <c r="L209" s="10"/>
      <c r="M209" s="12"/>
      <c r="N209" s="242"/>
      <c r="O209" s="344"/>
      <c r="P209" s="14"/>
      <c r="Q209" s="242"/>
      <c r="R209" s="15"/>
      <c r="S209" s="15"/>
      <c r="T209" s="15"/>
      <c r="U209" s="8"/>
      <c r="V209" s="8"/>
      <c r="W209" s="8"/>
      <c r="X209" s="56"/>
      <c r="Y209" s="56"/>
      <c r="Z209" s="15"/>
      <c r="AA209" s="15"/>
      <c r="AB209" s="15"/>
      <c r="AC209" s="15"/>
      <c r="AD209" s="57"/>
      <c r="AE209" s="57"/>
      <c r="AF209" s="15"/>
      <c r="AG209" s="25"/>
      <c r="AH209" s="26"/>
      <c r="AI209" s="26"/>
      <c r="AJ209" s="27"/>
      <c r="AK209" s="28"/>
      <c r="AL209" s="29"/>
    </row>
    <row r="210" ht="12.75" customHeight="1">
      <c r="A210" s="26"/>
      <c r="B210" s="241"/>
      <c r="C210" s="240"/>
      <c r="D210" s="241"/>
      <c r="E210" s="5"/>
      <c r="F210" s="5"/>
      <c r="G210" s="5"/>
      <c r="H210" s="5"/>
      <c r="I210" s="5"/>
      <c r="J210" s="8"/>
      <c r="K210" s="9"/>
      <c r="L210" s="10"/>
      <c r="M210" s="12"/>
      <c r="N210" s="242"/>
      <c r="O210" s="344"/>
      <c r="P210" s="14"/>
      <c r="Q210" s="242"/>
      <c r="R210" s="15"/>
      <c r="S210" s="15"/>
      <c r="T210" s="15"/>
      <c r="U210" s="8"/>
      <c r="V210" s="8"/>
      <c r="W210" s="8"/>
      <c r="X210" s="56"/>
      <c r="Y210" s="56"/>
      <c r="Z210" s="15"/>
      <c r="AA210" s="15"/>
      <c r="AB210" s="15"/>
      <c r="AC210" s="15"/>
      <c r="AD210" s="57"/>
      <c r="AE210" s="57"/>
      <c r="AF210" s="15"/>
      <c r="AG210" s="25"/>
      <c r="AH210" s="26"/>
      <c r="AI210" s="26"/>
      <c r="AJ210" s="27"/>
      <c r="AK210" s="28"/>
      <c r="AL210" s="29"/>
    </row>
    <row r="211" ht="12.75" customHeight="1">
      <c r="A211" s="26"/>
      <c r="B211" s="241"/>
      <c r="C211" s="240"/>
      <c r="D211" s="241"/>
      <c r="E211" s="5"/>
      <c r="F211" s="5"/>
      <c r="G211" s="5"/>
      <c r="H211" s="5"/>
      <c r="I211" s="5"/>
      <c r="J211" s="8"/>
      <c r="K211" s="9"/>
      <c r="L211" s="10"/>
      <c r="M211" s="12"/>
      <c r="N211" s="242"/>
      <c r="O211" s="344"/>
      <c r="P211" s="14"/>
      <c r="Q211" s="242"/>
      <c r="R211" s="15"/>
      <c r="S211" s="15"/>
      <c r="T211" s="15"/>
      <c r="U211" s="8"/>
      <c r="V211" s="8"/>
      <c r="W211" s="8"/>
      <c r="X211" s="56"/>
      <c r="Y211" s="56"/>
      <c r="Z211" s="15"/>
      <c r="AA211" s="15"/>
      <c r="AB211" s="15"/>
      <c r="AC211" s="15"/>
      <c r="AD211" s="57"/>
      <c r="AE211" s="57"/>
      <c r="AF211" s="15"/>
      <c r="AG211" s="25"/>
      <c r="AH211" s="26"/>
      <c r="AI211" s="26"/>
      <c r="AJ211" s="27"/>
      <c r="AK211" s="28"/>
      <c r="AL211" s="29"/>
    </row>
    <row r="212" ht="12.75" customHeight="1">
      <c r="A212" s="26"/>
      <c r="B212" s="241"/>
      <c r="C212" s="240"/>
      <c r="D212" s="241"/>
      <c r="E212" s="5"/>
      <c r="F212" s="5"/>
      <c r="G212" s="5"/>
      <c r="H212" s="5"/>
      <c r="I212" s="5"/>
      <c r="J212" s="8"/>
      <c r="K212" s="9"/>
      <c r="L212" s="10"/>
      <c r="M212" s="12"/>
      <c r="N212" s="242"/>
      <c r="O212" s="344"/>
      <c r="P212" s="14"/>
      <c r="Q212" s="242"/>
      <c r="R212" s="15"/>
      <c r="S212" s="15"/>
      <c r="T212" s="15"/>
      <c r="U212" s="8"/>
      <c r="V212" s="8"/>
      <c r="W212" s="8"/>
      <c r="X212" s="56"/>
      <c r="Y212" s="56"/>
      <c r="Z212" s="15"/>
      <c r="AA212" s="15"/>
      <c r="AB212" s="15"/>
      <c r="AC212" s="15"/>
      <c r="AD212" s="57"/>
      <c r="AE212" s="57"/>
      <c r="AF212" s="15"/>
      <c r="AG212" s="25"/>
      <c r="AH212" s="26"/>
      <c r="AI212" s="26"/>
      <c r="AJ212" s="27"/>
      <c r="AK212" s="28"/>
      <c r="AL212" s="29"/>
    </row>
    <row r="213" ht="12.75" customHeight="1">
      <c r="A213" s="26"/>
      <c r="B213" s="241"/>
      <c r="C213" s="240"/>
      <c r="D213" s="241"/>
      <c r="E213" s="5"/>
      <c r="F213" s="5"/>
      <c r="G213" s="5"/>
      <c r="H213" s="5"/>
      <c r="I213" s="5"/>
      <c r="J213" s="8"/>
      <c r="K213" s="9"/>
      <c r="L213" s="10"/>
      <c r="M213" s="12"/>
      <c r="N213" s="242"/>
      <c r="O213" s="344"/>
      <c r="P213" s="14"/>
      <c r="Q213" s="242"/>
      <c r="R213" s="15"/>
      <c r="S213" s="15"/>
      <c r="T213" s="15"/>
      <c r="U213" s="8"/>
      <c r="V213" s="8"/>
      <c r="W213" s="8"/>
      <c r="X213" s="56"/>
      <c r="Y213" s="56"/>
      <c r="Z213" s="15"/>
      <c r="AA213" s="15"/>
      <c r="AB213" s="15"/>
      <c r="AC213" s="15"/>
      <c r="AD213" s="57"/>
      <c r="AE213" s="57"/>
      <c r="AF213" s="15"/>
      <c r="AG213" s="25"/>
      <c r="AH213" s="26"/>
      <c r="AI213" s="26"/>
      <c r="AJ213" s="27"/>
      <c r="AK213" s="28"/>
      <c r="AL213" s="29"/>
    </row>
    <row r="214" ht="12.75" customHeight="1">
      <c r="A214" s="26"/>
      <c r="B214" s="241"/>
      <c r="C214" s="240"/>
      <c r="D214" s="241"/>
      <c r="E214" s="5"/>
      <c r="F214" s="5"/>
      <c r="G214" s="5"/>
      <c r="H214" s="5"/>
      <c r="I214" s="5"/>
      <c r="J214" s="8"/>
      <c r="K214" s="9"/>
      <c r="L214" s="10"/>
      <c r="M214" s="12"/>
      <c r="N214" s="242"/>
      <c r="O214" s="344"/>
      <c r="P214" s="14"/>
      <c r="Q214" s="242"/>
      <c r="R214" s="15"/>
      <c r="S214" s="15"/>
      <c r="T214" s="15"/>
      <c r="U214" s="8"/>
      <c r="V214" s="8"/>
      <c r="W214" s="8"/>
      <c r="X214" s="56"/>
      <c r="Y214" s="56"/>
      <c r="Z214" s="15"/>
      <c r="AA214" s="15"/>
      <c r="AB214" s="15"/>
      <c r="AC214" s="15"/>
      <c r="AD214" s="57"/>
      <c r="AE214" s="57"/>
      <c r="AF214" s="15"/>
      <c r="AG214" s="25"/>
      <c r="AH214" s="26"/>
      <c r="AI214" s="26"/>
      <c r="AJ214" s="27"/>
      <c r="AK214" s="28"/>
      <c r="AL214" s="29"/>
    </row>
    <row r="215" ht="12.75" customHeight="1">
      <c r="A215" s="26"/>
      <c r="B215" s="241"/>
      <c r="C215" s="240"/>
      <c r="D215" s="241"/>
      <c r="E215" s="5"/>
      <c r="F215" s="5"/>
      <c r="G215" s="5"/>
      <c r="H215" s="5"/>
      <c r="I215" s="5"/>
      <c r="J215" s="8"/>
      <c r="K215" s="9"/>
      <c r="L215" s="10"/>
      <c r="M215" s="12"/>
      <c r="N215" s="242"/>
      <c r="O215" s="344"/>
      <c r="P215" s="14"/>
      <c r="Q215" s="242"/>
      <c r="R215" s="15"/>
      <c r="S215" s="15"/>
      <c r="T215" s="15"/>
      <c r="U215" s="8"/>
      <c r="V215" s="8"/>
      <c r="W215" s="8"/>
      <c r="X215" s="56"/>
      <c r="Y215" s="56"/>
      <c r="Z215" s="15"/>
      <c r="AA215" s="15"/>
      <c r="AB215" s="15"/>
      <c r="AC215" s="15"/>
      <c r="AD215" s="57"/>
      <c r="AE215" s="57"/>
      <c r="AF215" s="15"/>
      <c r="AG215" s="25"/>
      <c r="AH215" s="26"/>
      <c r="AI215" s="26"/>
      <c r="AJ215" s="27"/>
      <c r="AK215" s="28"/>
      <c r="AL215" s="29"/>
    </row>
    <row r="216" ht="12.75" customHeight="1">
      <c r="A216" s="26"/>
      <c r="B216" s="241"/>
      <c r="C216" s="240"/>
      <c r="D216" s="241"/>
      <c r="E216" s="5"/>
      <c r="F216" s="5"/>
      <c r="G216" s="5"/>
      <c r="H216" s="5"/>
      <c r="I216" s="5"/>
      <c r="J216" s="8"/>
      <c r="K216" s="9"/>
      <c r="L216" s="10"/>
      <c r="M216" s="12"/>
      <c r="N216" s="242"/>
      <c r="O216" s="344"/>
      <c r="P216" s="14"/>
      <c r="Q216" s="242"/>
      <c r="R216" s="15"/>
      <c r="S216" s="15"/>
      <c r="T216" s="15"/>
      <c r="U216" s="8"/>
      <c r="V216" s="8"/>
      <c r="W216" s="8"/>
      <c r="X216" s="56"/>
      <c r="Y216" s="56"/>
      <c r="Z216" s="15"/>
      <c r="AA216" s="15"/>
      <c r="AB216" s="15"/>
      <c r="AC216" s="15"/>
      <c r="AD216" s="57"/>
      <c r="AE216" s="57"/>
      <c r="AF216" s="15"/>
      <c r="AG216" s="25"/>
      <c r="AH216" s="26"/>
      <c r="AI216" s="26"/>
      <c r="AJ216" s="27"/>
      <c r="AK216" s="28"/>
      <c r="AL216" s="29"/>
    </row>
    <row r="217" ht="12.75" customHeight="1">
      <c r="A217" s="26"/>
      <c r="B217" s="241"/>
      <c r="C217" s="240"/>
      <c r="D217" s="241"/>
      <c r="E217" s="5"/>
      <c r="F217" s="5"/>
      <c r="G217" s="5"/>
      <c r="H217" s="5"/>
      <c r="I217" s="5"/>
      <c r="J217" s="8"/>
      <c r="K217" s="9"/>
      <c r="L217" s="10"/>
      <c r="M217" s="12"/>
      <c r="N217" s="242"/>
      <c r="O217" s="344"/>
      <c r="P217" s="14"/>
      <c r="Q217" s="242"/>
      <c r="R217" s="15"/>
      <c r="S217" s="15"/>
      <c r="T217" s="15"/>
      <c r="U217" s="8"/>
      <c r="V217" s="8"/>
      <c r="W217" s="8"/>
      <c r="X217" s="56"/>
      <c r="Y217" s="56"/>
      <c r="Z217" s="15"/>
      <c r="AA217" s="15"/>
      <c r="AB217" s="15"/>
      <c r="AC217" s="15"/>
      <c r="AD217" s="57"/>
      <c r="AE217" s="57"/>
      <c r="AF217" s="15"/>
      <c r="AG217" s="25"/>
      <c r="AH217" s="26"/>
      <c r="AI217" s="26"/>
      <c r="AJ217" s="27"/>
      <c r="AK217" s="28"/>
      <c r="AL217" s="29"/>
    </row>
    <row r="218" ht="12.75" customHeight="1">
      <c r="A218" s="26"/>
      <c r="B218" s="241"/>
      <c r="C218" s="240"/>
      <c r="D218" s="241"/>
      <c r="E218" s="5"/>
      <c r="F218" s="5"/>
      <c r="G218" s="5"/>
      <c r="H218" s="5"/>
      <c r="I218" s="5"/>
      <c r="J218" s="8"/>
      <c r="K218" s="9"/>
      <c r="L218" s="10"/>
      <c r="M218" s="12"/>
      <c r="N218" s="242"/>
      <c r="O218" s="344"/>
      <c r="P218" s="14"/>
      <c r="Q218" s="242"/>
      <c r="R218" s="15"/>
      <c r="S218" s="15"/>
      <c r="T218" s="15"/>
      <c r="U218" s="8"/>
      <c r="V218" s="8"/>
      <c r="W218" s="8"/>
      <c r="X218" s="56"/>
      <c r="Y218" s="56"/>
      <c r="Z218" s="15"/>
      <c r="AA218" s="15"/>
      <c r="AB218" s="15"/>
      <c r="AC218" s="15"/>
      <c r="AD218" s="57"/>
      <c r="AE218" s="57"/>
      <c r="AF218" s="15"/>
      <c r="AG218" s="25"/>
      <c r="AH218" s="26"/>
      <c r="AI218" s="26"/>
      <c r="AJ218" s="27"/>
      <c r="AK218" s="28"/>
      <c r="AL218" s="29"/>
    </row>
    <row r="219" ht="12.75" customHeight="1">
      <c r="A219" s="26"/>
      <c r="B219" s="241"/>
      <c r="C219" s="240"/>
      <c r="D219" s="241"/>
      <c r="E219" s="5"/>
      <c r="F219" s="5"/>
      <c r="G219" s="5"/>
      <c r="H219" s="5"/>
      <c r="I219" s="5"/>
      <c r="J219" s="8"/>
      <c r="K219" s="9"/>
      <c r="L219" s="10"/>
      <c r="M219" s="12"/>
      <c r="N219" s="242"/>
      <c r="O219" s="344"/>
      <c r="P219" s="14"/>
      <c r="Q219" s="242"/>
      <c r="R219" s="15"/>
      <c r="S219" s="15"/>
      <c r="T219" s="15"/>
      <c r="U219" s="8"/>
      <c r="V219" s="8"/>
      <c r="W219" s="8"/>
      <c r="X219" s="56"/>
      <c r="Y219" s="56"/>
      <c r="Z219" s="15"/>
      <c r="AA219" s="15"/>
      <c r="AB219" s="15"/>
      <c r="AC219" s="15"/>
      <c r="AD219" s="57"/>
      <c r="AE219" s="57"/>
      <c r="AF219" s="15"/>
      <c r="AG219" s="25"/>
      <c r="AH219" s="26"/>
      <c r="AI219" s="26"/>
      <c r="AJ219" s="27"/>
      <c r="AK219" s="28"/>
      <c r="AL219" s="29"/>
    </row>
    <row r="220" ht="12.75" customHeight="1">
      <c r="A220" s="26"/>
      <c r="B220" s="241"/>
      <c r="C220" s="240"/>
      <c r="D220" s="241"/>
      <c r="E220" s="5"/>
      <c r="F220" s="5"/>
      <c r="G220" s="5"/>
      <c r="H220" s="5"/>
      <c r="I220" s="5"/>
      <c r="J220" s="8"/>
      <c r="K220" s="9"/>
      <c r="L220" s="10"/>
      <c r="M220" s="12"/>
      <c r="N220" s="242"/>
      <c r="O220" s="344"/>
      <c r="P220" s="14"/>
      <c r="Q220" s="242"/>
      <c r="R220" s="15"/>
      <c r="S220" s="15"/>
      <c r="T220" s="15"/>
      <c r="U220" s="8"/>
      <c r="V220" s="8"/>
      <c r="W220" s="8"/>
      <c r="X220" s="56"/>
      <c r="Y220" s="56"/>
      <c r="Z220" s="15"/>
      <c r="AA220" s="15"/>
      <c r="AB220" s="15"/>
      <c r="AC220" s="15"/>
      <c r="AD220" s="57"/>
      <c r="AE220" s="57"/>
      <c r="AF220" s="15"/>
      <c r="AG220" s="25"/>
      <c r="AH220" s="26"/>
      <c r="AI220" s="26"/>
      <c r="AJ220" s="27"/>
      <c r="AK220" s="28"/>
      <c r="AL220" s="29"/>
    </row>
    <row r="221" ht="12.75" customHeight="1">
      <c r="A221" s="26"/>
      <c r="B221" s="241"/>
      <c r="C221" s="240"/>
      <c r="D221" s="241"/>
      <c r="E221" s="5"/>
      <c r="F221" s="5"/>
      <c r="G221" s="5"/>
      <c r="H221" s="5"/>
      <c r="I221" s="5"/>
      <c r="J221" s="8"/>
      <c r="K221" s="9"/>
      <c r="L221" s="10"/>
      <c r="M221" s="12"/>
      <c r="N221" s="242"/>
      <c r="O221" s="344"/>
      <c r="P221" s="14"/>
      <c r="Q221" s="242"/>
      <c r="R221" s="15"/>
      <c r="S221" s="15"/>
      <c r="T221" s="15"/>
      <c r="U221" s="8"/>
      <c r="V221" s="8"/>
      <c r="W221" s="8"/>
      <c r="X221" s="56"/>
      <c r="Y221" s="56"/>
      <c r="Z221" s="15"/>
      <c r="AA221" s="15"/>
      <c r="AB221" s="15"/>
      <c r="AC221" s="15"/>
      <c r="AD221" s="57"/>
      <c r="AE221" s="57"/>
      <c r="AF221" s="15"/>
      <c r="AG221" s="25"/>
      <c r="AH221" s="26"/>
      <c r="AI221" s="26"/>
      <c r="AJ221" s="27"/>
      <c r="AK221" s="28"/>
      <c r="AL221" s="29"/>
    </row>
    <row r="222" ht="12.75" customHeight="1">
      <c r="A222" s="26"/>
      <c r="B222" s="241"/>
      <c r="C222" s="240"/>
      <c r="D222" s="241"/>
      <c r="E222" s="5"/>
      <c r="F222" s="5"/>
      <c r="G222" s="5"/>
      <c r="H222" s="5"/>
      <c r="I222" s="5"/>
      <c r="J222" s="8"/>
      <c r="K222" s="9"/>
      <c r="L222" s="10"/>
      <c r="M222" s="12"/>
      <c r="N222" s="242"/>
      <c r="O222" s="344"/>
      <c r="P222" s="14"/>
      <c r="Q222" s="242"/>
      <c r="R222" s="15"/>
      <c r="S222" s="15"/>
      <c r="T222" s="15"/>
      <c r="U222" s="8"/>
      <c r="V222" s="8"/>
      <c r="W222" s="8"/>
      <c r="X222" s="56"/>
      <c r="Y222" s="56"/>
      <c r="Z222" s="15"/>
      <c r="AA222" s="15"/>
      <c r="AB222" s="15"/>
      <c r="AC222" s="15"/>
      <c r="AD222" s="57"/>
      <c r="AE222" s="57"/>
      <c r="AF222" s="15"/>
      <c r="AG222" s="25"/>
      <c r="AH222" s="26"/>
      <c r="AI222" s="26"/>
      <c r="AJ222" s="27"/>
      <c r="AK222" s="28"/>
      <c r="AL222" s="29"/>
    </row>
    <row r="223" ht="12.75" customHeight="1">
      <c r="A223" s="26"/>
      <c r="B223" s="241"/>
      <c r="C223" s="240"/>
      <c r="D223" s="241"/>
      <c r="E223" s="5"/>
      <c r="F223" s="5"/>
      <c r="G223" s="5"/>
      <c r="H223" s="5"/>
      <c r="I223" s="5"/>
      <c r="J223" s="8"/>
      <c r="K223" s="9"/>
      <c r="L223" s="10"/>
      <c r="M223" s="12"/>
      <c r="N223" s="242"/>
      <c r="O223" s="344"/>
      <c r="P223" s="14"/>
      <c r="Q223" s="242"/>
      <c r="R223" s="15"/>
      <c r="S223" s="15"/>
      <c r="T223" s="15"/>
      <c r="U223" s="8"/>
      <c r="V223" s="8"/>
      <c r="W223" s="8"/>
      <c r="X223" s="56"/>
      <c r="Y223" s="56"/>
      <c r="Z223" s="15"/>
      <c r="AA223" s="15"/>
      <c r="AB223" s="15"/>
      <c r="AC223" s="15"/>
      <c r="AD223" s="57"/>
      <c r="AE223" s="57"/>
      <c r="AF223" s="15"/>
      <c r="AG223" s="25"/>
      <c r="AH223" s="26"/>
      <c r="AI223" s="26"/>
      <c r="AJ223" s="27"/>
      <c r="AK223" s="28"/>
      <c r="AL223" s="29"/>
    </row>
    <row r="224" ht="12.75" customHeight="1">
      <c r="A224" s="26"/>
      <c r="B224" s="241"/>
      <c r="C224" s="240"/>
      <c r="D224" s="241"/>
      <c r="E224" s="5"/>
      <c r="F224" s="5"/>
      <c r="G224" s="5"/>
      <c r="H224" s="5"/>
      <c r="I224" s="5"/>
      <c r="J224" s="8"/>
      <c r="K224" s="9"/>
      <c r="L224" s="10"/>
      <c r="M224" s="12"/>
      <c r="N224" s="242"/>
      <c r="O224" s="344"/>
      <c r="P224" s="14"/>
      <c r="Q224" s="242"/>
      <c r="R224" s="15"/>
      <c r="S224" s="15"/>
      <c r="T224" s="15"/>
      <c r="U224" s="8"/>
      <c r="V224" s="8"/>
      <c r="W224" s="8"/>
      <c r="X224" s="56"/>
      <c r="Y224" s="56"/>
      <c r="Z224" s="15"/>
      <c r="AA224" s="15"/>
      <c r="AB224" s="15"/>
      <c r="AC224" s="15"/>
      <c r="AD224" s="57"/>
      <c r="AE224" s="57"/>
      <c r="AF224" s="15"/>
      <c r="AG224" s="25"/>
      <c r="AH224" s="26"/>
      <c r="AI224" s="26"/>
      <c r="AJ224" s="27"/>
      <c r="AK224" s="28"/>
      <c r="AL224" s="29"/>
    </row>
    <row r="225" ht="12.75" customHeight="1">
      <c r="A225" s="26"/>
      <c r="B225" s="241"/>
      <c r="C225" s="240"/>
      <c r="D225" s="241"/>
      <c r="E225" s="5"/>
      <c r="F225" s="5"/>
      <c r="G225" s="5"/>
      <c r="H225" s="5"/>
      <c r="I225" s="5"/>
      <c r="J225" s="8"/>
      <c r="K225" s="9"/>
      <c r="L225" s="10"/>
      <c r="M225" s="12"/>
      <c r="N225" s="242"/>
      <c r="O225" s="344"/>
      <c r="P225" s="14"/>
      <c r="Q225" s="242"/>
      <c r="R225" s="15"/>
      <c r="S225" s="15"/>
      <c r="T225" s="15"/>
      <c r="U225" s="8"/>
      <c r="V225" s="8"/>
      <c r="W225" s="8"/>
      <c r="X225" s="56"/>
      <c r="Y225" s="56"/>
      <c r="Z225" s="15"/>
      <c r="AA225" s="15"/>
      <c r="AB225" s="15"/>
      <c r="AC225" s="15"/>
      <c r="AD225" s="57"/>
      <c r="AE225" s="57"/>
      <c r="AF225" s="15"/>
      <c r="AG225" s="25"/>
      <c r="AH225" s="26"/>
      <c r="AI225" s="26"/>
      <c r="AJ225" s="27"/>
      <c r="AK225" s="28"/>
      <c r="AL225" s="29"/>
    </row>
    <row r="226" ht="12.75" customHeight="1">
      <c r="A226" s="26"/>
      <c r="B226" s="241"/>
      <c r="C226" s="240"/>
      <c r="D226" s="241"/>
      <c r="E226" s="5"/>
      <c r="F226" s="5"/>
      <c r="G226" s="5"/>
      <c r="H226" s="5"/>
      <c r="I226" s="5"/>
      <c r="J226" s="8"/>
      <c r="K226" s="9"/>
      <c r="L226" s="10"/>
      <c r="M226" s="12"/>
      <c r="N226" s="242"/>
      <c r="O226" s="344"/>
      <c r="P226" s="14"/>
      <c r="Q226" s="242"/>
      <c r="R226" s="15"/>
      <c r="S226" s="15"/>
      <c r="T226" s="15"/>
      <c r="U226" s="8"/>
      <c r="V226" s="8"/>
      <c r="W226" s="8"/>
      <c r="X226" s="56"/>
      <c r="Y226" s="56"/>
      <c r="Z226" s="15"/>
      <c r="AA226" s="15"/>
      <c r="AB226" s="15"/>
      <c r="AC226" s="15"/>
      <c r="AD226" s="57"/>
      <c r="AE226" s="57"/>
      <c r="AF226" s="15"/>
      <c r="AG226" s="25"/>
      <c r="AH226" s="26"/>
      <c r="AI226" s="26"/>
      <c r="AJ226" s="27"/>
      <c r="AK226" s="28"/>
      <c r="AL226" s="29"/>
    </row>
    <row r="227" ht="12.75" customHeight="1">
      <c r="A227" s="26"/>
      <c r="B227" s="241"/>
      <c r="C227" s="240"/>
      <c r="D227" s="241"/>
      <c r="E227" s="5"/>
      <c r="F227" s="5"/>
      <c r="G227" s="5"/>
      <c r="H227" s="5"/>
      <c r="I227" s="5"/>
      <c r="J227" s="8"/>
      <c r="K227" s="9"/>
      <c r="L227" s="10"/>
      <c r="M227" s="12"/>
      <c r="N227" s="242"/>
      <c r="O227" s="344"/>
      <c r="P227" s="14"/>
      <c r="Q227" s="242"/>
      <c r="R227" s="15"/>
      <c r="S227" s="15"/>
      <c r="T227" s="15"/>
      <c r="U227" s="8"/>
      <c r="V227" s="8"/>
      <c r="W227" s="8"/>
      <c r="X227" s="56"/>
      <c r="Y227" s="56"/>
      <c r="Z227" s="15"/>
      <c r="AA227" s="15"/>
      <c r="AB227" s="15"/>
      <c r="AC227" s="15"/>
      <c r="AD227" s="57"/>
      <c r="AE227" s="57"/>
      <c r="AF227" s="15"/>
      <c r="AG227" s="25"/>
      <c r="AH227" s="26"/>
      <c r="AI227" s="26"/>
      <c r="AJ227" s="27"/>
      <c r="AK227" s="28"/>
      <c r="AL227" s="29"/>
    </row>
    <row r="228" ht="12.75" customHeight="1">
      <c r="A228" s="26"/>
      <c r="B228" s="241"/>
      <c r="C228" s="240"/>
      <c r="D228" s="241"/>
      <c r="E228" s="5"/>
      <c r="F228" s="5"/>
      <c r="G228" s="5"/>
      <c r="H228" s="5"/>
      <c r="I228" s="5"/>
      <c r="J228" s="8"/>
      <c r="K228" s="9"/>
      <c r="L228" s="10"/>
      <c r="M228" s="12"/>
      <c r="N228" s="242"/>
      <c r="O228" s="344"/>
      <c r="P228" s="14"/>
      <c r="Q228" s="242"/>
      <c r="R228" s="15"/>
      <c r="S228" s="15"/>
      <c r="T228" s="15"/>
      <c r="U228" s="8"/>
      <c r="V228" s="8"/>
      <c r="W228" s="8"/>
      <c r="X228" s="56"/>
      <c r="Y228" s="56"/>
      <c r="Z228" s="15"/>
      <c r="AA228" s="15"/>
      <c r="AB228" s="15"/>
      <c r="AC228" s="15"/>
      <c r="AD228" s="57"/>
      <c r="AE228" s="57"/>
      <c r="AF228" s="15"/>
      <c r="AG228" s="25"/>
      <c r="AH228" s="26"/>
      <c r="AI228" s="26"/>
      <c r="AJ228" s="27"/>
      <c r="AK228" s="28"/>
      <c r="AL228" s="29"/>
    </row>
    <row r="229" ht="12.75" customHeight="1">
      <c r="A229" s="26"/>
      <c r="B229" s="241"/>
      <c r="C229" s="240"/>
      <c r="D229" s="241"/>
      <c r="E229" s="5"/>
      <c r="F229" s="5"/>
      <c r="G229" s="5"/>
      <c r="H229" s="5"/>
      <c r="I229" s="5"/>
      <c r="J229" s="8"/>
      <c r="K229" s="9"/>
      <c r="L229" s="10"/>
      <c r="M229" s="12"/>
      <c r="N229" s="242"/>
      <c r="O229" s="344"/>
      <c r="P229" s="14"/>
      <c r="Q229" s="242"/>
      <c r="R229" s="15"/>
      <c r="S229" s="15"/>
      <c r="T229" s="15"/>
      <c r="U229" s="8"/>
      <c r="V229" s="8"/>
      <c r="W229" s="8"/>
      <c r="X229" s="56"/>
      <c r="Y229" s="56"/>
      <c r="Z229" s="15"/>
      <c r="AA229" s="15"/>
      <c r="AB229" s="15"/>
      <c r="AC229" s="15"/>
      <c r="AD229" s="57"/>
      <c r="AE229" s="57"/>
      <c r="AF229" s="15"/>
      <c r="AG229" s="25"/>
      <c r="AH229" s="26"/>
      <c r="AI229" s="26"/>
      <c r="AJ229" s="27"/>
      <c r="AK229" s="28"/>
      <c r="AL229" s="29"/>
    </row>
    <row r="230" ht="12.75" customHeight="1">
      <c r="A230" s="26"/>
      <c r="B230" s="241"/>
      <c r="C230" s="240"/>
      <c r="D230" s="241"/>
      <c r="E230" s="5"/>
      <c r="F230" s="5"/>
      <c r="G230" s="5"/>
      <c r="H230" s="5"/>
      <c r="I230" s="5"/>
      <c r="J230" s="8"/>
      <c r="K230" s="9"/>
      <c r="L230" s="10"/>
      <c r="M230" s="12"/>
      <c r="N230" s="242"/>
      <c r="O230" s="344"/>
      <c r="P230" s="14"/>
      <c r="Q230" s="242"/>
      <c r="R230" s="15"/>
      <c r="S230" s="15"/>
      <c r="T230" s="15"/>
      <c r="U230" s="8"/>
      <c r="V230" s="8"/>
      <c r="W230" s="8"/>
      <c r="X230" s="56"/>
      <c r="Y230" s="56"/>
      <c r="Z230" s="15"/>
      <c r="AA230" s="15"/>
      <c r="AB230" s="15"/>
      <c r="AC230" s="15"/>
      <c r="AD230" s="57"/>
      <c r="AE230" s="57"/>
      <c r="AF230" s="15"/>
      <c r="AG230" s="25"/>
      <c r="AH230" s="26"/>
      <c r="AI230" s="26"/>
      <c r="AJ230" s="27"/>
      <c r="AK230" s="28"/>
      <c r="AL230" s="29"/>
    </row>
    <row r="231" ht="12.75" customHeight="1">
      <c r="A231" s="26"/>
      <c r="B231" s="241"/>
      <c r="C231" s="240"/>
      <c r="D231" s="241"/>
      <c r="E231" s="5"/>
      <c r="F231" s="5"/>
      <c r="G231" s="5"/>
      <c r="H231" s="5"/>
      <c r="I231" s="5"/>
      <c r="J231" s="8"/>
      <c r="K231" s="9"/>
      <c r="L231" s="10"/>
      <c r="M231" s="12"/>
      <c r="N231" s="242"/>
      <c r="O231" s="344"/>
      <c r="P231" s="14"/>
      <c r="Q231" s="242"/>
      <c r="R231" s="15"/>
      <c r="S231" s="15"/>
      <c r="T231" s="15"/>
      <c r="U231" s="8"/>
      <c r="V231" s="8"/>
      <c r="W231" s="8"/>
      <c r="X231" s="56"/>
      <c r="Y231" s="56"/>
      <c r="Z231" s="15"/>
      <c r="AA231" s="15"/>
      <c r="AB231" s="15"/>
      <c r="AC231" s="15"/>
      <c r="AD231" s="57"/>
      <c r="AE231" s="57"/>
      <c r="AF231" s="15"/>
      <c r="AG231" s="25"/>
      <c r="AH231" s="26"/>
      <c r="AI231" s="26"/>
      <c r="AJ231" s="27"/>
      <c r="AK231" s="28"/>
      <c r="AL231" s="29"/>
    </row>
    <row r="232" ht="12.75" customHeight="1">
      <c r="A232" s="26"/>
      <c r="B232" s="241"/>
      <c r="C232" s="240"/>
      <c r="D232" s="241"/>
      <c r="E232" s="5"/>
      <c r="F232" s="5"/>
      <c r="G232" s="5"/>
      <c r="H232" s="5"/>
      <c r="I232" s="5"/>
      <c r="J232" s="8"/>
      <c r="K232" s="9"/>
      <c r="L232" s="10"/>
      <c r="M232" s="12"/>
      <c r="N232" s="242"/>
      <c r="O232" s="344"/>
      <c r="P232" s="14"/>
      <c r="Q232" s="242"/>
      <c r="R232" s="15"/>
      <c r="S232" s="15"/>
      <c r="T232" s="15"/>
      <c r="U232" s="8"/>
      <c r="V232" s="8"/>
      <c r="W232" s="8"/>
      <c r="X232" s="56"/>
      <c r="Y232" s="56"/>
      <c r="Z232" s="15"/>
      <c r="AA232" s="15"/>
      <c r="AB232" s="15"/>
      <c r="AC232" s="15"/>
      <c r="AD232" s="57"/>
      <c r="AE232" s="57"/>
      <c r="AF232" s="15"/>
      <c r="AG232" s="25"/>
      <c r="AH232" s="26"/>
      <c r="AI232" s="26"/>
      <c r="AJ232" s="27"/>
      <c r="AK232" s="28"/>
      <c r="AL232" s="29"/>
    </row>
    <row r="233" ht="12.75" customHeight="1">
      <c r="A233" s="26"/>
      <c r="B233" s="241"/>
      <c r="C233" s="240"/>
      <c r="D233" s="241"/>
      <c r="E233" s="5"/>
      <c r="F233" s="5"/>
      <c r="G233" s="5"/>
      <c r="H233" s="5"/>
      <c r="I233" s="5"/>
      <c r="J233" s="8"/>
      <c r="K233" s="9"/>
      <c r="L233" s="10"/>
      <c r="M233" s="12"/>
      <c r="N233" s="242"/>
      <c r="O233" s="344"/>
      <c r="P233" s="14"/>
      <c r="Q233" s="242"/>
      <c r="R233" s="15"/>
      <c r="S233" s="15"/>
      <c r="T233" s="15"/>
      <c r="U233" s="8"/>
      <c r="V233" s="8"/>
      <c r="W233" s="8"/>
      <c r="X233" s="56"/>
      <c r="Y233" s="56"/>
      <c r="Z233" s="15"/>
      <c r="AA233" s="15"/>
      <c r="AB233" s="15"/>
      <c r="AC233" s="15"/>
      <c r="AD233" s="57"/>
      <c r="AE233" s="57"/>
      <c r="AF233" s="15"/>
      <c r="AG233" s="25"/>
      <c r="AH233" s="26"/>
      <c r="AI233" s="26"/>
      <c r="AJ233" s="27"/>
      <c r="AK233" s="28"/>
      <c r="AL233" s="29"/>
    </row>
    <row r="234" ht="12.75" customHeight="1">
      <c r="A234" s="26"/>
      <c r="B234" s="241"/>
      <c r="C234" s="240"/>
      <c r="D234" s="241"/>
      <c r="E234" s="5"/>
      <c r="F234" s="5"/>
      <c r="G234" s="5"/>
      <c r="H234" s="5"/>
      <c r="I234" s="5"/>
      <c r="J234" s="8"/>
      <c r="K234" s="9"/>
      <c r="L234" s="10"/>
      <c r="M234" s="12"/>
      <c r="N234" s="242"/>
      <c r="O234" s="344"/>
      <c r="P234" s="14"/>
      <c r="Q234" s="242"/>
      <c r="R234" s="15"/>
      <c r="S234" s="15"/>
      <c r="T234" s="15"/>
      <c r="U234" s="8"/>
      <c r="V234" s="8"/>
      <c r="W234" s="8"/>
      <c r="X234" s="56"/>
      <c r="Y234" s="56"/>
      <c r="Z234" s="15"/>
      <c r="AA234" s="15"/>
      <c r="AB234" s="15"/>
      <c r="AC234" s="15"/>
      <c r="AD234" s="57"/>
      <c r="AE234" s="57"/>
      <c r="AF234" s="15"/>
      <c r="AG234" s="25"/>
      <c r="AH234" s="26"/>
      <c r="AI234" s="26"/>
      <c r="AJ234" s="27"/>
      <c r="AK234" s="28"/>
      <c r="AL234" s="29"/>
    </row>
    <row r="235" ht="12.75" customHeight="1">
      <c r="A235" s="26"/>
      <c r="B235" s="241"/>
      <c r="C235" s="240"/>
      <c r="D235" s="241"/>
      <c r="E235" s="5"/>
      <c r="F235" s="5"/>
      <c r="G235" s="5"/>
      <c r="H235" s="5"/>
      <c r="I235" s="5"/>
      <c r="J235" s="8"/>
      <c r="K235" s="9"/>
      <c r="L235" s="10"/>
      <c r="M235" s="12"/>
      <c r="N235" s="242"/>
      <c r="O235" s="344"/>
      <c r="P235" s="14"/>
      <c r="Q235" s="242"/>
      <c r="R235" s="15"/>
      <c r="S235" s="15"/>
      <c r="T235" s="15"/>
      <c r="U235" s="8"/>
      <c r="V235" s="8"/>
      <c r="W235" s="8"/>
      <c r="X235" s="56"/>
      <c r="Y235" s="56"/>
      <c r="Z235" s="15"/>
      <c r="AA235" s="15"/>
      <c r="AB235" s="15"/>
      <c r="AC235" s="15"/>
      <c r="AD235" s="57"/>
      <c r="AE235" s="57"/>
      <c r="AF235" s="15"/>
      <c r="AG235" s="25"/>
      <c r="AH235" s="26"/>
      <c r="AI235" s="26"/>
      <c r="AJ235" s="27"/>
      <c r="AK235" s="28"/>
      <c r="AL235" s="29"/>
    </row>
    <row r="236" ht="12.75" customHeight="1">
      <c r="A236" s="26"/>
      <c r="B236" s="241"/>
      <c r="C236" s="240"/>
      <c r="D236" s="241"/>
      <c r="E236" s="5"/>
      <c r="F236" s="5"/>
      <c r="G236" s="5"/>
      <c r="H236" s="5"/>
      <c r="I236" s="5"/>
      <c r="J236" s="8"/>
      <c r="K236" s="9"/>
      <c r="L236" s="10"/>
      <c r="M236" s="12"/>
      <c r="N236" s="242"/>
      <c r="O236" s="344"/>
      <c r="P236" s="14"/>
      <c r="Q236" s="242"/>
      <c r="R236" s="15"/>
      <c r="S236" s="15"/>
      <c r="T236" s="15"/>
      <c r="U236" s="8"/>
      <c r="V236" s="8"/>
      <c r="W236" s="8"/>
      <c r="X236" s="56"/>
      <c r="Y236" s="56"/>
      <c r="Z236" s="15"/>
      <c r="AA236" s="15"/>
      <c r="AB236" s="15"/>
      <c r="AC236" s="15"/>
      <c r="AD236" s="57"/>
      <c r="AE236" s="57"/>
      <c r="AF236" s="15"/>
      <c r="AG236" s="25"/>
      <c r="AH236" s="26"/>
      <c r="AI236" s="26"/>
      <c r="AJ236" s="27"/>
      <c r="AK236" s="28"/>
      <c r="AL236" s="29"/>
    </row>
    <row r="237" ht="12.75" customHeight="1">
      <c r="A237" s="26"/>
      <c r="B237" s="241"/>
      <c r="C237" s="240"/>
      <c r="D237" s="241"/>
      <c r="E237" s="5"/>
      <c r="F237" s="5"/>
      <c r="G237" s="5"/>
      <c r="H237" s="5"/>
      <c r="I237" s="5"/>
      <c r="J237" s="8"/>
      <c r="K237" s="9"/>
      <c r="L237" s="10"/>
      <c r="M237" s="12"/>
      <c r="N237" s="242"/>
      <c r="O237" s="344"/>
      <c r="P237" s="14"/>
      <c r="Q237" s="242"/>
      <c r="R237" s="15"/>
      <c r="S237" s="15"/>
      <c r="T237" s="15"/>
      <c r="U237" s="8"/>
      <c r="V237" s="8"/>
      <c r="W237" s="8"/>
      <c r="X237" s="56"/>
      <c r="Y237" s="56"/>
      <c r="Z237" s="15"/>
      <c r="AA237" s="15"/>
      <c r="AB237" s="15"/>
      <c r="AC237" s="15"/>
      <c r="AD237" s="57"/>
      <c r="AE237" s="57"/>
      <c r="AF237" s="15"/>
      <c r="AG237" s="25"/>
      <c r="AH237" s="26"/>
      <c r="AI237" s="26"/>
      <c r="AJ237" s="27"/>
      <c r="AK237" s="28"/>
      <c r="AL237" s="29"/>
    </row>
    <row r="238" ht="12.75" customHeight="1">
      <c r="A238" s="26"/>
      <c r="B238" s="241"/>
      <c r="C238" s="240"/>
      <c r="D238" s="241"/>
      <c r="E238" s="5"/>
      <c r="F238" s="5"/>
      <c r="G238" s="5"/>
      <c r="H238" s="5"/>
      <c r="I238" s="5"/>
      <c r="J238" s="8"/>
      <c r="K238" s="9"/>
      <c r="L238" s="10"/>
      <c r="M238" s="12"/>
      <c r="N238" s="242"/>
      <c r="O238" s="344"/>
      <c r="P238" s="14"/>
      <c r="Q238" s="242"/>
      <c r="R238" s="15"/>
      <c r="S238" s="15"/>
      <c r="T238" s="15"/>
      <c r="U238" s="8"/>
      <c r="V238" s="8"/>
      <c r="W238" s="8"/>
      <c r="X238" s="56"/>
      <c r="Y238" s="56"/>
      <c r="Z238" s="15"/>
      <c r="AA238" s="15"/>
      <c r="AB238" s="15"/>
      <c r="AC238" s="15"/>
      <c r="AD238" s="57"/>
      <c r="AE238" s="57"/>
      <c r="AF238" s="15"/>
      <c r="AG238" s="25"/>
      <c r="AH238" s="26"/>
      <c r="AI238" s="26"/>
      <c r="AJ238" s="27"/>
      <c r="AK238" s="28"/>
      <c r="AL238" s="29"/>
    </row>
    <row r="239" ht="12.75" customHeight="1">
      <c r="A239" s="26"/>
      <c r="B239" s="241"/>
      <c r="C239" s="240"/>
      <c r="D239" s="241"/>
      <c r="E239" s="5"/>
      <c r="F239" s="5"/>
      <c r="G239" s="5"/>
      <c r="H239" s="5"/>
      <c r="I239" s="5"/>
      <c r="J239" s="8"/>
      <c r="K239" s="9"/>
      <c r="L239" s="10"/>
      <c r="M239" s="12"/>
      <c r="N239" s="242"/>
      <c r="O239" s="344"/>
      <c r="P239" s="14"/>
      <c r="Q239" s="242"/>
      <c r="R239" s="15"/>
      <c r="S239" s="15"/>
      <c r="T239" s="15"/>
      <c r="U239" s="8"/>
      <c r="V239" s="8"/>
      <c r="W239" s="8"/>
      <c r="X239" s="56"/>
      <c r="Y239" s="56"/>
      <c r="Z239" s="15"/>
      <c r="AA239" s="15"/>
      <c r="AB239" s="15"/>
      <c r="AC239" s="15"/>
      <c r="AD239" s="57"/>
      <c r="AE239" s="57"/>
      <c r="AF239" s="15"/>
      <c r="AG239" s="25"/>
      <c r="AH239" s="26"/>
      <c r="AI239" s="26"/>
      <c r="AJ239" s="27"/>
      <c r="AK239" s="28"/>
      <c r="AL239" s="29"/>
    </row>
    <row r="240" ht="12.75" customHeight="1">
      <c r="A240" s="26"/>
      <c r="B240" s="241"/>
      <c r="C240" s="240"/>
      <c r="D240" s="241"/>
      <c r="E240" s="5"/>
      <c r="F240" s="5"/>
      <c r="G240" s="5"/>
      <c r="H240" s="5"/>
      <c r="I240" s="5"/>
      <c r="J240" s="8"/>
      <c r="K240" s="9"/>
      <c r="L240" s="10"/>
      <c r="M240" s="12"/>
      <c r="N240" s="242"/>
      <c r="O240" s="344"/>
      <c r="P240" s="14"/>
      <c r="Q240" s="242"/>
      <c r="R240" s="15"/>
      <c r="S240" s="15"/>
      <c r="T240" s="15"/>
      <c r="U240" s="8"/>
      <c r="V240" s="8"/>
      <c r="W240" s="8"/>
      <c r="X240" s="56"/>
      <c r="Y240" s="56"/>
      <c r="Z240" s="15"/>
      <c r="AA240" s="15"/>
      <c r="AB240" s="15"/>
      <c r="AC240" s="15"/>
      <c r="AD240" s="57"/>
      <c r="AE240" s="57"/>
      <c r="AF240" s="15"/>
      <c r="AG240" s="25"/>
      <c r="AH240" s="26"/>
      <c r="AI240" s="26"/>
      <c r="AJ240" s="27"/>
      <c r="AK240" s="28"/>
      <c r="AL240" s="29"/>
    </row>
    <row r="241" ht="12.75" customHeight="1">
      <c r="A241" s="26"/>
      <c r="B241" s="241"/>
      <c r="C241" s="240"/>
      <c r="D241" s="241"/>
      <c r="E241" s="5"/>
      <c r="F241" s="5"/>
      <c r="G241" s="5"/>
      <c r="H241" s="5"/>
      <c r="I241" s="5"/>
      <c r="J241" s="8"/>
      <c r="K241" s="9"/>
      <c r="L241" s="10"/>
      <c r="M241" s="12"/>
      <c r="N241" s="242"/>
      <c r="O241" s="344"/>
      <c r="P241" s="14"/>
      <c r="Q241" s="242"/>
      <c r="R241" s="15"/>
      <c r="S241" s="15"/>
      <c r="T241" s="15"/>
      <c r="U241" s="8"/>
      <c r="V241" s="8"/>
      <c r="W241" s="8"/>
      <c r="X241" s="56"/>
      <c r="Y241" s="56"/>
      <c r="Z241" s="15"/>
      <c r="AA241" s="15"/>
      <c r="AB241" s="15"/>
      <c r="AC241" s="15"/>
      <c r="AD241" s="57"/>
      <c r="AE241" s="57"/>
      <c r="AF241" s="15"/>
      <c r="AG241" s="25"/>
      <c r="AH241" s="26"/>
      <c r="AI241" s="26"/>
      <c r="AJ241" s="27"/>
      <c r="AK241" s="28"/>
      <c r="AL241" s="29"/>
    </row>
    <row r="242" ht="12.75" customHeight="1">
      <c r="A242" s="26"/>
      <c r="B242" s="241"/>
      <c r="C242" s="240"/>
      <c r="D242" s="241"/>
      <c r="E242" s="5"/>
      <c r="F242" s="5"/>
      <c r="G242" s="5"/>
      <c r="H242" s="5"/>
      <c r="I242" s="5"/>
      <c r="J242" s="8"/>
      <c r="K242" s="9"/>
      <c r="L242" s="10"/>
      <c r="M242" s="12"/>
      <c r="N242" s="242"/>
      <c r="O242" s="344"/>
      <c r="P242" s="14"/>
      <c r="Q242" s="242"/>
      <c r="R242" s="15"/>
      <c r="S242" s="15"/>
      <c r="T242" s="15"/>
      <c r="U242" s="8"/>
      <c r="V242" s="8"/>
      <c r="W242" s="8"/>
      <c r="X242" s="56"/>
      <c r="Y242" s="56"/>
      <c r="Z242" s="15"/>
      <c r="AA242" s="15"/>
      <c r="AB242" s="15"/>
      <c r="AC242" s="15"/>
      <c r="AD242" s="57"/>
      <c r="AE242" s="57"/>
      <c r="AF242" s="15"/>
      <c r="AG242" s="25"/>
      <c r="AH242" s="26"/>
      <c r="AI242" s="26"/>
      <c r="AJ242" s="27"/>
      <c r="AK242" s="28"/>
      <c r="AL242" s="29"/>
    </row>
    <row r="243" ht="12.75" customHeight="1">
      <c r="A243" s="26"/>
      <c r="B243" s="241"/>
      <c r="C243" s="240"/>
      <c r="D243" s="241"/>
      <c r="E243" s="5"/>
      <c r="F243" s="5"/>
      <c r="G243" s="5"/>
      <c r="H243" s="5"/>
      <c r="I243" s="5"/>
      <c r="J243" s="8"/>
      <c r="K243" s="9"/>
      <c r="L243" s="10"/>
      <c r="M243" s="12"/>
      <c r="N243" s="242"/>
      <c r="O243" s="344"/>
      <c r="P243" s="14"/>
      <c r="Q243" s="242"/>
      <c r="R243" s="15"/>
      <c r="S243" s="15"/>
      <c r="T243" s="15"/>
      <c r="U243" s="8"/>
      <c r="V243" s="8"/>
      <c r="W243" s="8"/>
      <c r="X243" s="56"/>
      <c r="Y243" s="56"/>
      <c r="Z243" s="15"/>
      <c r="AA243" s="15"/>
      <c r="AB243" s="15"/>
      <c r="AC243" s="15"/>
      <c r="AD243" s="57"/>
      <c r="AE243" s="57"/>
      <c r="AF243" s="15"/>
      <c r="AG243" s="25"/>
      <c r="AH243" s="26"/>
      <c r="AI243" s="26"/>
      <c r="AJ243" s="27"/>
      <c r="AK243" s="28"/>
      <c r="AL243" s="29"/>
    </row>
    <row r="244" ht="12.75" customHeight="1">
      <c r="A244" s="26"/>
      <c r="B244" s="241"/>
      <c r="C244" s="240"/>
      <c r="D244" s="241"/>
      <c r="E244" s="5"/>
      <c r="F244" s="5"/>
      <c r="G244" s="5"/>
      <c r="H244" s="5"/>
      <c r="I244" s="5"/>
      <c r="J244" s="8"/>
      <c r="K244" s="9"/>
      <c r="L244" s="10"/>
      <c r="M244" s="12"/>
      <c r="N244" s="242"/>
      <c r="O244" s="344"/>
      <c r="P244" s="14"/>
      <c r="Q244" s="242"/>
      <c r="R244" s="15"/>
      <c r="S244" s="15"/>
      <c r="T244" s="15"/>
      <c r="U244" s="8"/>
      <c r="V244" s="8"/>
      <c r="W244" s="8"/>
      <c r="X244" s="56"/>
      <c r="Y244" s="56"/>
      <c r="Z244" s="15"/>
      <c r="AA244" s="15"/>
      <c r="AB244" s="15"/>
      <c r="AC244" s="15"/>
      <c r="AD244" s="57"/>
      <c r="AE244" s="57"/>
      <c r="AF244" s="15"/>
      <c r="AG244" s="25"/>
      <c r="AH244" s="26"/>
      <c r="AI244" s="26"/>
      <c r="AJ244" s="27"/>
      <c r="AK244" s="28"/>
      <c r="AL244" s="29"/>
    </row>
    <row r="245" ht="12.75" customHeight="1">
      <c r="A245" s="26"/>
      <c r="B245" s="241"/>
      <c r="C245" s="240"/>
      <c r="D245" s="241"/>
      <c r="E245" s="5"/>
      <c r="F245" s="5"/>
      <c r="G245" s="5"/>
      <c r="H245" s="5"/>
      <c r="I245" s="5"/>
      <c r="J245" s="8"/>
      <c r="K245" s="9"/>
      <c r="L245" s="10"/>
      <c r="M245" s="12"/>
      <c r="N245" s="242"/>
      <c r="O245" s="344"/>
      <c r="P245" s="14"/>
      <c r="Q245" s="242"/>
      <c r="R245" s="15"/>
      <c r="S245" s="15"/>
      <c r="T245" s="15"/>
      <c r="U245" s="8"/>
      <c r="V245" s="8"/>
      <c r="W245" s="8"/>
      <c r="X245" s="56"/>
      <c r="Y245" s="56"/>
      <c r="Z245" s="15"/>
      <c r="AA245" s="15"/>
      <c r="AB245" s="15"/>
      <c r="AC245" s="15"/>
      <c r="AD245" s="57"/>
      <c r="AE245" s="57"/>
      <c r="AF245" s="15"/>
      <c r="AG245" s="25"/>
      <c r="AH245" s="26"/>
      <c r="AI245" s="26"/>
      <c r="AJ245" s="27"/>
      <c r="AK245" s="28"/>
      <c r="AL245" s="29"/>
    </row>
    <row r="246" ht="12.75" customHeight="1">
      <c r="A246" s="26"/>
      <c r="B246" s="241"/>
      <c r="C246" s="240"/>
      <c r="D246" s="241"/>
      <c r="E246" s="5"/>
      <c r="F246" s="5"/>
      <c r="G246" s="5"/>
      <c r="H246" s="5"/>
      <c r="I246" s="5"/>
      <c r="J246" s="8"/>
      <c r="K246" s="9"/>
      <c r="L246" s="10"/>
      <c r="M246" s="12"/>
      <c r="N246" s="242"/>
      <c r="O246" s="344"/>
      <c r="P246" s="14"/>
      <c r="Q246" s="242"/>
      <c r="R246" s="15"/>
      <c r="S246" s="15"/>
      <c r="T246" s="15"/>
      <c r="U246" s="8"/>
      <c r="V246" s="8"/>
      <c r="W246" s="8"/>
      <c r="X246" s="56"/>
      <c r="Y246" s="56"/>
      <c r="Z246" s="15"/>
      <c r="AA246" s="15"/>
      <c r="AB246" s="15"/>
      <c r="AC246" s="15"/>
      <c r="AD246" s="57"/>
      <c r="AE246" s="57"/>
      <c r="AF246" s="15"/>
      <c r="AG246" s="25"/>
      <c r="AH246" s="26"/>
      <c r="AI246" s="26"/>
      <c r="AJ246" s="27"/>
      <c r="AK246" s="28"/>
      <c r="AL246" s="29"/>
    </row>
    <row r="247" ht="12.75" customHeight="1">
      <c r="A247" s="26"/>
      <c r="B247" s="241"/>
      <c r="C247" s="240"/>
      <c r="D247" s="241"/>
      <c r="E247" s="5"/>
      <c r="F247" s="5"/>
      <c r="G247" s="5"/>
      <c r="H247" s="5"/>
      <c r="I247" s="5"/>
      <c r="J247" s="8"/>
      <c r="K247" s="9"/>
      <c r="L247" s="10"/>
      <c r="M247" s="12"/>
      <c r="N247" s="242"/>
      <c r="O247" s="344"/>
      <c r="P247" s="14"/>
      <c r="Q247" s="242"/>
      <c r="R247" s="15"/>
      <c r="S247" s="15"/>
      <c r="T247" s="15"/>
      <c r="U247" s="8"/>
      <c r="V247" s="8"/>
      <c r="W247" s="8"/>
      <c r="X247" s="56"/>
      <c r="Y247" s="56"/>
      <c r="Z247" s="15"/>
      <c r="AA247" s="15"/>
      <c r="AB247" s="15"/>
      <c r="AC247" s="15"/>
      <c r="AD247" s="57"/>
      <c r="AE247" s="57"/>
      <c r="AF247" s="15"/>
      <c r="AG247" s="25"/>
      <c r="AH247" s="26"/>
      <c r="AI247" s="26"/>
      <c r="AJ247" s="27"/>
      <c r="AK247" s="28"/>
      <c r="AL247" s="29"/>
    </row>
    <row r="248" ht="12.75" customHeight="1">
      <c r="A248" s="26"/>
      <c r="B248" s="241"/>
      <c r="C248" s="240"/>
      <c r="D248" s="241"/>
      <c r="E248" s="5"/>
      <c r="F248" s="5"/>
      <c r="G248" s="5"/>
      <c r="H248" s="5"/>
      <c r="I248" s="5"/>
      <c r="J248" s="8"/>
      <c r="K248" s="9"/>
      <c r="L248" s="10"/>
      <c r="M248" s="12"/>
      <c r="N248" s="242"/>
      <c r="O248" s="344"/>
      <c r="P248" s="14"/>
      <c r="Q248" s="242"/>
      <c r="R248" s="15"/>
      <c r="S248" s="15"/>
      <c r="T248" s="15"/>
      <c r="U248" s="8"/>
      <c r="V248" s="8"/>
      <c r="W248" s="8"/>
      <c r="X248" s="56"/>
      <c r="Y248" s="56"/>
      <c r="Z248" s="15"/>
      <c r="AA248" s="15"/>
      <c r="AB248" s="15"/>
      <c r="AC248" s="15"/>
      <c r="AD248" s="57"/>
      <c r="AE248" s="57"/>
      <c r="AF248" s="15"/>
      <c r="AG248" s="25"/>
      <c r="AH248" s="26"/>
      <c r="AI248" s="26"/>
      <c r="AJ248" s="27"/>
      <c r="AK248" s="28"/>
      <c r="AL248" s="29"/>
    </row>
    <row r="249" ht="12.75" customHeight="1">
      <c r="A249" s="26"/>
      <c r="B249" s="241"/>
      <c r="C249" s="240"/>
      <c r="D249" s="241"/>
      <c r="E249" s="5"/>
      <c r="F249" s="5"/>
      <c r="G249" s="5"/>
      <c r="H249" s="5"/>
      <c r="I249" s="5"/>
      <c r="J249" s="8"/>
      <c r="K249" s="9"/>
      <c r="L249" s="10"/>
      <c r="M249" s="12"/>
      <c r="N249" s="242"/>
      <c r="O249" s="344"/>
      <c r="P249" s="14"/>
      <c r="Q249" s="242"/>
      <c r="R249" s="15"/>
      <c r="S249" s="15"/>
      <c r="T249" s="15"/>
      <c r="U249" s="8"/>
      <c r="V249" s="8"/>
      <c r="W249" s="8"/>
      <c r="X249" s="56"/>
      <c r="Y249" s="56"/>
      <c r="Z249" s="15"/>
      <c r="AA249" s="15"/>
      <c r="AB249" s="15"/>
      <c r="AC249" s="15"/>
      <c r="AD249" s="57"/>
      <c r="AE249" s="57"/>
      <c r="AF249" s="15"/>
      <c r="AG249" s="25"/>
      <c r="AH249" s="26"/>
      <c r="AI249" s="26"/>
      <c r="AJ249" s="27"/>
      <c r="AK249" s="28"/>
      <c r="AL249" s="29"/>
    </row>
    <row r="250" ht="12.75" customHeight="1">
      <c r="A250" s="26"/>
      <c r="B250" s="241"/>
      <c r="C250" s="240"/>
      <c r="D250" s="241"/>
      <c r="E250" s="5"/>
      <c r="F250" s="5"/>
      <c r="G250" s="5"/>
      <c r="H250" s="5"/>
      <c r="I250" s="5"/>
      <c r="J250" s="8"/>
      <c r="K250" s="9"/>
      <c r="L250" s="10"/>
      <c r="M250" s="12"/>
      <c r="N250" s="242"/>
      <c r="O250" s="344"/>
      <c r="P250" s="14"/>
      <c r="Q250" s="242"/>
      <c r="R250" s="15"/>
      <c r="S250" s="15"/>
      <c r="T250" s="15"/>
      <c r="U250" s="8"/>
      <c r="V250" s="8"/>
      <c r="W250" s="8"/>
      <c r="X250" s="56"/>
      <c r="Y250" s="56"/>
      <c r="Z250" s="15"/>
      <c r="AA250" s="15"/>
      <c r="AB250" s="15"/>
      <c r="AC250" s="15"/>
      <c r="AD250" s="57"/>
      <c r="AE250" s="57"/>
      <c r="AF250" s="15"/>
      <c r="AG250" s="25"/>
      <c r="AH250" s="26"/>
      <c r="AI250" s="26"/>
      <c r="AJ250" s="27"/>
      <c r="AK250" s="28"/>
      <c r="AL250" s="29"/>
    </row>
    <row r="251" ht="12.75" customHeight="1">
      <c r="A251" s="26"/>
      <c r="B251" s="241"/>
      <c r="C251" s="240"/>
      <c r="D251" s="241"/>
      <c r="E251" s="5"/>
      <c r="F251" s="5"/>
      <c r="G251" s="5"/>
      <c r="H251" s="5"/>
      <c r="I251" s="5"/>
      <c r="J251" s="8"/>
      <c r="K251" s="9"/>
      <c r="L251" s="10"/>
      <c r="M251" s="12"/>
      <c r="N251" s="242"/>
      <c r="O251" s="344"/>
      <c r="P251" s="14"/>
      <c r="Q251" s="242"/>
      <c r="R251" s="15"/>
      <c r="S251" s="15"/>
      <c r="T251" s="15"/>
      <c r="U251" s="8"/>
      <c r="V251" s="8"/>
      <c r="W251" s="8"/>
      <c r="X251" s="56"/>
      <c r="Y251" s="56"/>
      <c r="Z251" s="15"/>
      <c r="AA251" s="15"/>
      <c r="AB251" s="15"/>
      <c r="AC251" s="15"/>
      <c r="AD251" s="57"/>
      <c r="AE251" s="57"/>
      <c r="AF251" s="15"/>
      <c r="AG251" s="25"/>
      <c r="AH251" s="26"/>
      <c r="AI251" s="26"/>
      <c r="AJ251" s="27"/>
      <c r="AK251" s="28"/>
      <c r="AL251" s="29"/>
    </row>
    <row r="252" ht="12.75" customHeight="1">
      <c r="A252" s="26"/>
      <c r="B252" s="241"/>
      <c r="C252" s="240"/>
      <c r="D252" s="241"/>
      <c r="E252" s="5"/>
      <c r="F252" s="5"/>
      <c r="G252" s="5"/>
      <c r="H252" s="5"/>
      <c r="I252" s="5"/>
      <c r="J252" s="8"/>
      <c r="K252" s="9"/>
      <c r="L252" s="10"/>
      <c r="M252" s="12"/>
      <c r="N252" s="242"/>
      <c r="O252" s="344"/>
      <c r="P252" s="14"/>
      <c r="Q252" s="242"/>
      <c r="R252" s="15"/>
      <c r="S252" s="15"/>
      <c r="T252" s="15"/>
      <c r="U252" s="8"/>
      <c r="V252" s="8"/>
      <c r="W252" s="8"/>
      <c r="X252" s="56"/>
      <c r="Y252" s="56"/>
      <c r="Z252" s="15"/>
      <c r="AA252" s="15"/>
      <c r="AB252" s="15"/>
      <c r="AC252" s="15"/>
      <c r="AD252" s="57"/>
      <c r="AE252" s="57"/>
      <c r="AF252" s="15"/>
      <c r="AG252" s="25"/>
      <c r="AH252" s="26"/>
      <c r="AI252" s="26"/>
      <c r="AJ252" s="27"/>
      <c r="AK252" s="28"/>
      <c r="AL252" s="29"/>
    </row>
    <row r="253" ht="12.75" customHeight="1">
      <c r="A253" s="26"/>
      <c r="B253" s="241"/>
      <c r="C253" s="240"/>
      <c r="D253" s="241"/>
      <c r="E253" s="5"/>
      <c r="F253" s="5"/>
      <c r="G253" s="5"/>
      <c r="H253" s="5"/>
      <c r="I253" s="5"/>
      <c r="J253" s="8"/>
      <c r="K253" s="9"/>
      <c r="L253" s="10"/>
      <c r="M253" s="12"/>
      <c r="N253" s="242"/>
      <c r="O253" s="344"/>
      <c r="P253" s="14"/>
      <c r="Q253" s="242"/>
      <c r="R253" s="15"/>
      <c r="S253" s="15"/>
      <c r="T253" s="15"/>
      <c r="U253" s="8"/>
      <c r="V253" s="8"/>
      <c r="W253" s="8"/>
      <c r="X253" s="56"/>
      <c r="Y253" s="56"/>
      <c r="Z253" s="15"/>
      <c r="AA253" s="15"/>
      <c r="AB253" s="15"/>
      <c r="AC253" s="15"/>
      <c r="AD253" s="57"/>
      <c r="AE253" s="57"/>
      <c r="AF253" s="15"/>
      <c r="AG253" s="25"/>
      <c r="AH253" s="26"/>
      <c r="AI253" s="26"/>
      <c r="AJ253" s="27"/>
      <c r="AK253" s="28"/>
      <c r="AL253" s="29"/>
    </row>
    <row r="254" ht="12.75" customHeight="1">
      <c r="A254" s="26"/>
      <c r="B254" s="241"/>
      <c r="C254" s="240"/>
      <c r="D254" s="241"/>
      <c r="E254" s="5"/>
      <c r="F254" s="5"/>
      <c r="G254" s="5"/>
      <c r="H254" s="5"/>
      <c r="I254" s="5"/>
      <c r="J254" s="8"/>
      <c r="K254" s="9"/>
      <c r="L254" s="10"/>
      <c r="M254" s="12"/>
      <c r="N254" s="242"/>
      <c r="O254" s="344"/>
      <c r="P254" s="14"/>
      <c r="Q254" s="242"/>
      <c r="R254" s="15"/>
      <c r="S254" s="15"/>
      <c r="T254" s="15"/>
      <c r="U254" s="8"/>
      <c r="V254" s="8"/>
      <c r="W254" s="8"/>
      <c r="X254" s="56"/>
      <c r="Y254" s="56"/>
      <c r="Z254" s="15"/>
      <c r="AA254" s="15"/>
      <c r="AB254" s="15"/>
      <c r="AC254" s="15"/>
      <c r="AD254" s="57"/>
      <c r="AE254" s="57"/>
      <c r="AF254" s="15"/>
      <c r="AG254" s="25"/>
      <c r="AH254" s="26"/>
      <c r="AI254" s="26"/>
      <c r="AJ254" s="27"/>
      <c r="AK254" s="28"/>
      <c r="AL254" s="29"/>
    </row>
    <row r="255" ht="12.75" customHeight="1">
      <c r="A255" s="26"/>
      <c r="B255" s="241"/>
      <c r="C255" s="240"/>
      <c r="D255" s="241"/>
      <c r="E255" s="5"/>
      <c r="F255" s="5"/>
      <c r="G255" s="5"/>
      <c r="H255" s="5"/>
      <c r="I255" s="5"/>
      <c r="J255" s="8"/>
      <c r="K255" s="9"/>
      <c r="L255" s="10"/>
      <c r="M255" s="12"/>
      <c r="N255" s="242"/>
      <c r="O255" s="344"/>
      <c r="P255" s="14"/>
      <c r="Q255" s="242"/>
      <c r="R255" s="15"/>
      <c r="S255" s="15"/>
      <c r="T255" s="15"/>
      <c r="U255" s="8"/>
      <c r="V255" s="8"/>
      <c r="W255" s="8"/>
      <c r="X255" s="56"/>
      <c r="Y255" s="56"/>
      <c r="Z255" s="15"/>
      <c r="AA255" s="15"/>
      <c r="AB255" s="15"/>
      <c r="AC255" s="15"/>
      <c r="AD255" s="57"/>
      <c r="AE255" s="57"/>
      <c r="AF255" s="15"/>
      <c r="AG255" s="25"/>
      <c r="AH255" s="26"/>
      <c r="AI255" s="26"/>
      <c r="AJ255" s="27"/>
      <c r="AK255" s="28"/>
      <c r="AL255" s="29"/>
    </row>
    <row r="256" ht="12.75" customHeight="1">
      <c r="A256" s="26"/>
      <c r="B256" s="241"/>
      <c r="C256" s="240"/>
      <c r="D256" s="241"/>
      <c r="E256" s="5"/>
      <c r="F256" s="5"/>
      <c r="G256" s="5"/>
      <c r="H256" s="5"/>
      <c r="I256" s="5"/>
      <c r="J256" s="8"/>
      <c r="K256" s="9"/>
      <c r="L256" s="10"/>
      <c r="M256" s="12"/>
      <c r="N256" s="242"/>
      <c r="O256" s="344"/>
      <c r="P256" s="14"/>
      <c r="Q256" s="242"/>
      <c r="R256" s="15"/>
      <c r="S256" s="15"/>
      <c r="T256" s="15"/>
      <c r="U256" s="8"/>
      <c r="V256" s="8"/>
      <c r="W256" s="8"/>
      <c r="X256" s="56"/>
      <c r="Y256" s="56"/>
      <c r="Z256" s="15"/>
      <c r="AA256" s="15"/>
      <c r="AB256" s="15"/>
      <c r="AC256" s="15"/>
      <c r="AD256" s="57"/>
      <c r="AE256" s="57"/>
      <c r="AF256" s="15"/>
      <c r="AG256" s="25"/>
      <c r="AH256" s="26"/>
      <c r="AI256" s="26"/>
      <c r="AJ256" s="27"/>
      <c r="AK256" s="28"/>
      <c r="AL256" s="29"/>
    </row>
    <row r="257" ht="12.75" customHeight="1">
      <c r="A257" s="26"/>
      <c r="B257" s="241"/>
      <c r="C257" s="240"/>
      <c r="D257" s="241"/>
      <c r="E257" s="5"/>
      <c r="F257" s="5"/>
      <c r="G257" s="5"/>
      <c r="H257" s="5"/>
      <c r="I257" s="5"/>
      <c r="J257" s="8"/>
      <c r="K257" s="9"/>
      <c r="L257" s="10"/>
      <c r="M257" s="12"/>
      <c r="N257" s="242"/>
      <c r="O257" s="344"/>
      <c r="P257" s="14"/>
      <c r="Q257" s="242"/>
      <c r="R257" s="15"/>
      <c r="S257" s="15"/>
      <c r="T257" s="15"/>
      <c r="U257" s="8"/>
      <c r="V257" s="8"/>
      <c r="W257" s="8"/>
      <c r="X257" s="56"/>
      <c r="Y257" s="56"/>
      <c r="Z257" s="15"/>
      <c r="AA257" s="15"/>
      <c r="AB257" s="15"/>
      <c r="AC257" s="15"/>
      <c r="AD257" s="57"/>
      <c r="AE257" s="57"/>
      <c r="AF257" s="15"/>
      <c r="AG257" s="25"/>
      <c r="AH257" s="26"/>
      <c r="AI257" s="26"/>
      <c r="AJ257" s="27"/>
      <c r="AK257" s="28"/>
      <c r="AL257" s="29"/>
    </row>
    <row r="258" ht="12.75" customHeight="1">
      <c r="A258" s="26"/>
      <c r="B258" s="241"/>
      <c r="C258" s="240"/>
      <c r="D258" s="241"/>
      <c r="E258" s="5"/>
      <c r="F258" s="5"/>
      <c r="G258" s="5"/>
      <c r="H258" s="5"/>
      <c r="I258" s="5"/>
      <c r="J258" s="8"/>
      <c r="K258" s="9"/>
      <c r="L258" s="10"/>
      <c r="M258" s="12"/>
      <c r="N258" s="242"/>
      <c r="O258" s="344"/>
      <c r="P258" s="14"/>
      <c r="Q258" s="242"/>
      <c r="R258" s="15"/>
      <c r="S258" s="15"/>
      <c r="T258" s="15"/>
      <c r="U258" s="8"/>
      <c r="V258" s="8"/>
      <c r="W258" s="8"/>
      <c r="X258" s="56"/>
      <c r="Y258" s="56"/>
      <c r="Z258" s="15"/>
      <c r="AA258" s="15"/>
      <c r="AB258" s="15"/>
      <c r="AC258" s="15"/>
      <c r="AD258" s="57"/>
      <c r="AE258" s="57"/>
      <c r="AF258" s="15"/>
      <c r="AG258" s="25"/>
      <c r="AH258" s="26"/>
      <c r="AI258" s="26"/>
      <c r="AJ258" s="27"/>
      <c r="AK258" s="28"/>
      <c r="AL258" s="29"/>
    </row>
    <row r="259" ht="12.75" customHeight="1">
      <c r="A259" s="26"/>
      <c r="B259" s="241"/>
      <c r="C259" s="240"/>
      <c r="D259" s="241"/>
      <c r="E259" s="5"/>
      <c r="F259" s="5"/>
      <c r="G259" s="5"/>
      <c r="H259" s="5"/>
      <c r="I259" s="5"/>
      <c r="J259" s="8"/>
      <c r="K259" s="9"/>
      <c r="L259" s="10"/>
      <c r="M259" s="12"/>
      <c r="N259" s="242"/>
      <c r="O259" s="344"/>
      <c r="P259" s="14"/>
      <c r="Q259" s="242"/>
      <c r="R259" s="15"/>
      <c r="S259" s="15"/>
      <c r="T259" s="15"/>
      <c r="U259" s="8"/>
      <c r="V259" s="8"/>
      <c r="W259" s="8"/>
      <c r="X259" s="56"/>
      <c r="Y259" s="56"/>
      <c r="Z259" s="15"/>
      <c r="AA259" s="15"/>
      <c r="AB259" s="15"/>
      <c r="AC259" s="15"/>
      <c r="AD259" s="57"/>
      <c r="AE259" s="57"/>
      <c r="AF259" s="15"/>
      <c r="AG259" s="25"/>
      <c r="AH259" s="26"/>
      <c r="AI259" s="26"/>
      <c r="AJ259" s="27"/>
      <c r="AK259" s="28"/>
      <c r="AL259" s="29"/>
    </row>
    <row r="260" ht="12.75" customHeight="1">
      <c r="A260" s="26"/>
      <c r="B260" s="241"/>
      <c r="C260" s="240"/>
      <c r="D260" s="241"/>
      <c r="E260" s="5"/>
      <c r="F260" s="5"/>
      <c r="G260" s="5"/>
      <c r="H260" s="5"/>
      <c r="I260" s="5"/>
      <c r="J260" s="8"/>
      <c r="K260" s="9"/>
      <c r="L260" s="10"/>
      <c r="M260" s="12"/>
      <c r="N260" s="242"/>
      <c r="O260" s="344"/>
      <c r="P260" s="14"/>
      <c r="Q260" s="242"/>
      <c r="R260" s="15"/>
      <c r="S260" s="15"/>
      <c r="T260" s="15"/>
      <c r="U260" s="8"/>
      <c r="V260" s="8"/>
      <c r="W260" s="8"/>
      <c r="X260" s="56"/>
      <c r="Y260" s="56"/>
      <c r="Z260" s="15"/>
      <c r="AA260" s="15"/>
      <c r="AB260" s="15"/>
      <c r="AC260" s="15"/>
      <c r="AD260" s="57"/>
      <c r="AE260" s="57"/>
      <c r="AF260" s="15"/>
      <c r="AG260" s="25"/>
      <c r="AH260" s="26"/>
      <c r="AI260" s="26"/>
      <c r="AJ260" s="27"/>
      <c r="AK260" s="28"/>
      <c r="AL260" s="29"/>
    </row>
    <row r="261" ht="12.75" customHeight="1">
      <c r="A261" s="26"/>
      <c r="B261" s="241"/>
      <c r="C261" s="240"/>
      <c r="D261" s="241"/>
      <c r="E261" s="5"/>
      <c r="F261" s="5"/>
      <c r="G261" s="5"/>
      <c r="H261" s="5"/>
      <c r="I261" s="5"/>
      <c r="J261" s="8"/>
      <c r="K261" s="9"/>
      <c r="L261" s="10"/>
      <c r="M261" s="12"/>
      <c r="N261" s="242"/>
      <c r="O261" s="344"/>
      <c r="P261" s="14"/>
      <c r="Q261" s="242"/>
      <c r="R261" s="15"/>
      <c r="S261" s="15"/>
      <c r="T261" s="15"/>
      <c r="U261" s="8"/>
      <c r="V261" s="8"/>
      <c r="W261" s="8"/>
      <c r="X261" s="56"/>
      <c r="Y261" s="56"/>
      <c r="Z261" s="15"/>
      <c r="AA261" s="15"/>
      <c r="AB261" s="15"/>
      <c r="AC261" s="15"/>
      <c r="AD261" s="57"/>
      <c r="AE261" s="57"/>
      <c r="AF261" s="15"/>
      <c r="AG261" s="25"/>
      <c r="AH261" s="26"/>
      <c r="AI261" s="26"/>
      <c r="AJ261" s="27"/>
      <c r="AK261" s="28"/>
      <c r="AL261" s="29"/>
    </row>
    <row r="262" ht="12.75" customHeight="1">
      <c r="A262" s="26"/>
      <c r="B262" s="241"/>
      <c r="C262" s="240"/>
      <c r="D262" s="241"/>
      <c r="E262" s="5"/>
      <c r="F262" s="5"/>
      <c r="G262" s="5"/>
      <c r="H262" s="5"/>
      <c r="I262" s="5"/>
      <c r="J262" s="8"/>
      <c r="K262" s="9"/>
      <c r="L262" s="10"/>
      <c r="M262" s="12"/>
      <c r="N262" s="242"/>
      <c r="O262" s="344"/>
      <c r="P262" s="14"/>
      <c r="Q262" s="242"/>
      <c r="R262" s="15"/>
      <c r="S262" s="15"/>
      <c r="T262" s="15"/>
      <c r="U262" s="8"/>
      <c r="V262" s="8"/>
      <c r="W262" s="8"/>
      <c r="X262" s="56"/>
      <c r="Y262" s="56"/>
      <c r="Z262" s="15"/>
      <c r="AA262" s="15"/>
      <c r="AB262" s="15"/>
      <c r="AC262" s="15"/>
      <c r="AD262" s="57"/>
      <c r="AE262" s="57"/>
      <c r="AF262" s="15"/>
      <c r="AG262" s="25"/>
      <c r="AH262" s="26"/>
      <c r="AI262" s="26"/>
      <c r="AJ262" s="27"/>
      <c r="AK262" s="28"/>
      <c r="AL262" s="29"/>
    </row>
    <row r="263" ht="12.75" customHeight="1">
      <c r="A263" s="26"/>
      <c r="B263" s="241"/>
      <c r="C263" s="240"/>
      <c r="D263" s="241"/>
      <c r="E263" s="5"/>
      <c r="F263" s="5"/>
      <c r="G263" s="5"/>
      <c r="H263" s="5"/>
      <c r="I263" s="5"/>
      <c r="J263" s="8"/>
      <c r="K263" s="9"/>
      <c r="L263" s="10"/>
      <c r="M263" s="12"/>
      <c r="N263" s="242"/>
      <c r="O263" s="344"/>
      <c r="P263" s="14"/>
      <c r="Q263" s="242"/>
      <c r="R263" s="15"/>
      <c r="S263" s="15"/>
      <c r="T263" s="15"/>
      <c r="U263" s="8"/>
      <c r="V263" s="8"/>
      <c r="W263" s="8"/>
      <c r="X263" s="56"/>
      <c r="Y263" s="56"/>
      <c r="Z263" s="15"/>
      <c r="AA263" s="15"/>
      <c r="AB263" s="15"/>
      <c r="AC263" s="15"/>
      <c r="AD263" s="57"/>
      <c r="AE263" s="57"/>
      <c r="AF263" s="15"/>
      <c r="AG263" s="25"/>
      <c r="AH263" s="26"/>
      <c r="AI263" s="26"/>
      <c r="AJ263" s="27"/>
      <c r="AK263" s="28"/>
      <c r="AL263" s="29"/>
    </row>
    <row r="264" ht="12.75" customHeight="1">
      <c r="A264" s="26"/>
      <c r="B264" s="241"/>
      <c r="C264" s="240"/>
      <c r="D264" s="241"/>
      <c r="E264" s="5"/>
      <c r="F264" s="5"/>
      <c r="G264" s="5"/>
      <c r="H264" s="5"/>
      <c r="I264" s="5"/>
      <c r="J264" s="8"/>
      <c r="K264" s="9"/>
      <c r="L264" s="10"/>
      <c r="M264" s="12"/>
      <c r="N264" s="242"/>
      <c r="O264" s="344"/>
      <c r="P264" s="14"/>
      <c r="Q264" s="242"/>
      <c r="R264" s="15"/>
      <c r="S264" s="15"/>
      <c r="T264" s="15"/>
      <c r="U264" s="8"/>
      <c r="V264" s="8"/>
      <c r="W264" s="8"/>
      <c r="X264" s="56"/>
      <c r="Y264" s="56"/>
      <c r="Z264" s="15"/>
      <c r="AA264" s="15"/>
      <c r="AB264" s="15"/>
      <c r="AC264" s="15"/>
      <c r="AD264" s="57"/>
      <c r="AE264" s="57"/>
      <c r="AF264" s="15"/>
      <c r="AG264" s="25"/>
      <c r="AH264" s="26"/>
      <c r="AI264" s="26"/>
      <c r="AJ264" s="27"/>
      <c r="AK264" s="28"/>
      <c r="AL264" s="29"/>
    </row>
    <row r="265" ht="12.75" customHeight="1">
      <c r="A265" s="26"/>
      <c r="B265" s="241"/>
      <c r="C265" s="240"/>
      <c r="D265" s="241"/>
      <c r="E265" s="5"/>
      <c r="F265" s="5"/>
      <c r="G265" s="5"/>
      <c r="H265" s="5"/>
      <c r="I265" s="5"/>
      <c r="J265" s="8"/>
      <c r="K265" s="9"/>
      <c r="L265" s="10"/>
      <c r="M265" s="12"/>
      <c r="N265" s="242"/>
      <c r="O265" s="344"/>
      <c r="P265" s="14"/>
      <c r="Q265" s="242"/>
      <c r="R265" s="15"/>
      <c r="S265" s="15"/>
      <c r="T265" s="15"/>
      <c r="U265" s="8"/>
      <c r="V265" s="8"/>
      <c r="W265" s="8"/>
      <c r="X265" s="56"/>
      <c r="Y265" s="56"/>
      <c r="Z265" s="15"/>
      <c r="AA265" s="15"/>
      <c r="AB265" s="15"/>
      <c r="AC265" s="15"/>
      <c r="AD265" s="57"/>
      <c r="AE265" s="57"/>
      <c r="AF265" s="15"/>
      <c r="AG265" s="25"/>
      <c r="AH265" s="26"/>
      <c r="AI265" s="26"/>
      <c r="AJ265" s="27"/>
      <c r="AK265" s="28"/>
      <c r="AL265" s="29"/>
    </row>
    <row r="266" ht="12.75" customHeight="1">
      <c r="A266" s="26"/>
      <c r="B266" s="241"/>
      <c r="C266" s="240"/>
      <c r="D266" s="241"/>
      <c r="E266" s="5"/>
      <c r="F266" s="5"/>
      <c r="G266" s="5"/>
      <c r="H266" s="5"/>
      <c r="I266" s="5"/>
      <c r="J266" s="8"/>
      <c r="K266" s="9"/>
      <c r="L266" s="10"/>
      <c r="M266" s="12"/>
      <c r="N266" s="242"/>
      <c r="O266" s="344"/>
      <c r="P266" s="14"/>
      <c r="Q266" s="242"/>
      <c r="R266" s="15"/>
      <c r="S266" s="15"/>
      <c r="T266" s="15"/>
      <c r="U266" s="8"/>
      <c r="V266" s="8"/>
      <c r="W266" s="8"/>
      <c r="X266" s="56"/>
      <c r="Y266" s="56"/>
      <c r="Z266" s="15"/>
      <c r="AA266" s="15"/>
      <c r="AB266" s="15"/>
      <c r="AC266" s="15"/>
      <c r="AD266" s="57"/>
      <c r="AE266" s="57"/>
      <c r="AF266" s="15"/>
      <c r="AG266" s="25"/>
      <c r="AH266" s="26"/>
      <c r="AI266" s="26"/>
      <c r="AJ266" s="27"/>
      <c r="AK266" s="28"/>
      <c r="AL266" s="29"/>
    </row>
    <row r="267" ht="12.75" customHeight="1">
      <c r="A267" s="26"/>
      <c r="B267" s="241"/>
      <c r="C267" s="240"/>
      <c r="D267" s="241"/>
      <c r="E267" s="5"/>
      <c r="F267" s="5"/>
      <c r="G267" s="5"/>
      <c r="H267" s="5"/>
      <c r="I267" s="5"/>
      <c r="J267" s="8"/>
      <c r="K267" s="9"/>
      <c r="L267" s="10"/>
      <c r="M267" s="12"/>
      <c r="N267" s="242"/>
      <c r="O267" s="344"/>
      <c r="P267" s="14"/>
      <c r="Q267" s="242"/>
      <c r="R267" s="15"/>
      <c r="S267" s="15"/>
      <c r="T267" s="15"/>
      <c r="U267" s="8"/>
      <c r="V267" s="8"/>
      <c r="W267" s="8"/>
      <c r="X267" s="56"/>
      <c r="Y267" s="56"/>
      <c r="Z267" s="15"/>
      <c r="AA267" s="15"/>
      <c r="AB267" s="15"/>
      <c r="AC267" s="15"/>
      <c r="AD267" s="57"/>
      <c r="AE267" s="57"/>
      <c r="AF267" s="15"/>
      <c r="AG267" s="25"/>
      <c r="AH267" s="26"/>
      <c r="AI267" s="26"/>
      <c r="AJ267" s="27"/>
      <c r="AK267" s="28"/>
      <c r="AL267" s="29"/>
    </row>
    <row r="268" ht="12.75" customHeight="1">
      <c r="A268" s="26"/>
      <c r="B268" s="241"/>
      <c r="C268" s="240"/>
      <c r="D268" s="241"/>
      <c r="E268" s="5"/>
      <c r="F268" s="5"/>
      <c r="G268" s="5"/>
      <c r="H268" s="5"/>
      <c r="I268" s="5"/>
      <c r="J268" s="8"/>
      <c r="K268" s="9"/>
      <c r="L268" s="10"/>
      <c r="M268" s="12"/>
      <c r="N268" s="242"/>
      <c r="O268" s="344"/>
      <c r="P268" s="14"/>
      <c r="Q268" s="242"/>
      <c r="R268" s="15"/>
      <c r="S268" s="15"/>
      <c r="T268" s="15"/>
      <c r="U268" s="8"/>
      <c r="V268" s="8"/>
      <c r="W268" s="8"/>
      <c r="X268" s="56"/>
      <c r="Y268" s="56"/>
      <c r="Z268" s="15"/>
      <c r="AA268" s="15"/>
      <c r="AB268" s="15"/>
      <c r="AC268" s="15"/>
      <c r="AD268" s="57"/>
      <c r="AE268" s="57"/>
      <c r="AF268" s="15"/>
      <c r="AG268" s="25"/>
      <c r="AH268" s="26"/>
      <c r="AI268" s="26"/>
      <c r="AJ268" s="27"/>
      <c r="AK268" s="28"/>
      <c r="AL268" s="29"/>
    </row>
    <row r="269" ht="12.75" customHeight="1">
      <c r="A269" s="26"/>
      <c r="B269" s="241"/>
      <c r="C269" s="240"/>
      <c r="D269" s="241"/>
      <c r="E269" s="5"/>
      <c r="F269" s="5"/>
      <c r="G269" s="5"/>
      <c r="H269" s="5"/>
      <c r="I269" s="5"/>
      <c r="J269" s="8"/>
      <c r="K269" s="9"/>
      <c r="L269" s="10"/>
      <c r="M269" s="12"/>
      <c r="N269" s="242"/>
      <c r="O269" s="344"/>
      <c r="P269" s="14"/>
      <c r="Q269" s="242"/>
      <c r="R269" s="15"/>
      <c r="S269" s="15"/>
      <c r="T269" s="15"/>
      <c r="U269" s="8"/>
      <c r="V269" s="8"/>
      <c r="W269" s="8"/>
      <c r="X269" s="56"/>
      <c r="Y269" s="56"/>
      <c r="Z269" s="15"/>
      <c r="AA269" s="15"/>
      <c r="AB269" s="15"/>
      <c r="AC269" s="15"/>
      <c r="AD269" s="57"/>
      <c r="AE269" s="57"/>
      <c r="AF269" s="15"/>
      <c r="AG269" s="25"/>
      <c r="AH269" s="26"/>
      <c r="AI269" s="26"/>
      <c r="AJ269" s="27"/>
      <c r="AK269" s="28"/>
      <c r="AL269" s="29"/>
    </row>
    <row r="270" ht="12.75" customHeight="1">
      <c r="A270" s="26"/>
      <c r="B270" s="241"/>
      <c r="C270" s="240"/>
      <c r="D270" s="241"/>
      <c r="E270" s="5"/>
      <c r="F270" s="5"/>
      <c r="G270" s="5"/>
      <c r="H270" s="5"/>
      <c r="I270" s="5"/>
      <c r="J270" s="8"/>
      <c r="K270" s="9"/>
      <c r="L270" s="10"/>
      <c r="M270" s="12"/>
      <c r="N270" s="242"/>
      <c r="O270" s="344"/>
      <c r="P270" s="14"/>
      <c r="Q270" s="242"/>
      <c r="R270" s="15"/>
      <c r="S270" s="15"/>
      <c r="T270" s="15"/>
      <c r="U270" s="8"/>
      <c r="V270" s="8"/>
      <c r="W270" s="8"/>
      <c r="X270" s="56"/>
      <c r="Y270" s="56"/>
      <c r="Z270" s="15"/>
      <c r="AA270" s="15"/>
      <c r="AB270" s="15"/>
      <c r="AC270" s="15"/>
      <c r="AD270" s="57"/>
      <c r="AE270" s="57"/>
      <c r="AF270" s="15"/>
      <c r="AG270" s="25"/>
      <c r="AH270" s="26"/>
      <c r="AI270" s="26"/>
      <c r="AJ270" s="27"/>
      <c r="AK270" s="28"/>
      <c r="AL270" s="29"/>
    </row>
    <row r="271" ht="12.75" customHeight="1">
      <c r="A271" s="26"/>
      <c r="B271" s="241"/>
      <c r="C271" s="240"/>
      <c r="D271" s="241"/>
      <c r="E271" s="5"/>
      <c r="F271" s="5"/>
      <c r="G271" s="5"/>
      <c r="H271" s="5"/>
      <c r="I271" s="5"/>
      <c r="J271" s="8"/>
      <c r="K271" s="9"/>
      <c r="L271" s="10"/>
      <c r="M271" s="12"/>
      <c r="N271" s="242"/>
      <c r="O271" s="344"/>
      <c r="P271" s="14"/>
      <c r="Q271" s="242"/>
      <c r="R271" s="15"/>
      <c r="S271" s="15"/>
      <c r="T271" s="15"/>
      <c r="U271" s="8"/>
      <c r="V271" s="8"/>
      <c r="W271" s="8"/>
      <c r="X271" s="56"/>
      <c r="Y271" s="56"/>
      <c r="Z271" s="15"/>
      <c r="AA271" s="15"/>
      <c r="AB271" s="15"/>
      <c r="AC271" s="15"/>
      <c r="AD271" s="57"/>
      <c r="AE271" s="57"/>
      <c r="AF271" s="15"/>
      <c r="AG271" s="25"/>
      <c r="AH271" s="26"/>
      <c r="AI271" s="26"/>
      <c r="AJ271" s="27"/>
      <c r="AK271" s="28"/>
      <c r="AL271" s="29"/>
    </row>
  </sheetData>
  <mergeCells count="8">
    <mergeCell ref="G1:H1"/>
    <mergeCell ref="I4:I5"/>
    <mergeCell ref="AI7:AL8"/>
    <mergeCell ref="F8:J8"/>
    <mergeCell ref="N8:Q8"/>
    <mergeCell ref="R8:T8"/>
    <mergeCell ref="V8:AC8"/>
    <mergeCell ref="AF8:AG8"/>
  </mergeCells>
  <conditionalFormatting sqref="AG1:AG32 AG49:AG271">
    <cfRule type="cellIs" dxfId="0" priority="1" operator="lessThan">
      <formula>0</formula>
    </cfRule>
  </conditionalFormatting>
  <conditionalFormatting sqref="AG1:AG32 AG49:AG271">
    <cfRule type="cellIs" dxfId="1" priority="2" operator="greaterThan">
      <formula>0.300001</formula>
    </cfRule>
  </conditionalFormatting>
  <conditionalFormatting sqref="AG1:AG32 AG49:AG271">
    <cfRule type="cellIs" dxfId="2" priority="3" operator="between">
      <formula>0.250001</formula>
      <formula>0.3</formula>
    </cfRule>
  </conditionalFormatting>
  <conditionalFormatting sqref="AG1:AG32 AG49:AG271">
    <cfRule type="cellIs" dxfId="3" priority="4" operator="between">
      <formula>0.200001</formula>
      <formula>0.25</formula>
    </cfRule>
  </conditionalFormatting>
  <conditionalFormatting sqref="AG1:AG32 AG49:AG271">
    <cfRule type="cellIs" dxfId="4" priority="5" operator="between">
      <formula>0.1500001</formula>
      <formula>0.2</formula>
    </cfRule>
  </conditionalFormatting>
  <conditionalFormatting sqref="AG1:AG32 AG49:AG271">
    <cfRule type="cellIs" dxfId="5" priority="6" operator="between">
      <formula>0.0000001</formula>
      <formula>0.15</formula>
    </cfRule>
  </conditionalFormatting>
  <conditionalFormatting sqref="AG33:AG41">
    <cfRule type="cellIs" dxfId="0" priority="7" operator="lessThan">
      <formula>0</formula>
    </cfRule>
  </conditionalFormatting>
  <conditionalFormatting sqref="AG33:AG41">
    <cfRule type="cellIs" dxfId="1" priority="8" operator="greaterThan">
      <formula>0.300001</formula>
    </cfRule>
  </conditionalFormatting>
  <conditionalFormatting sqref="AG33:AG41">
    <cfRule type="cellIs" dxfId="2" priority="9" operator="between">
      <formula>0.250001</formula>
      <formula>0.3</formula>
    </cfRule>
  </conditionalFormatting>
  <conditionalFormatting sqref="AG33:AG41">
    <cfRule type="cellIs" dxfId="3" priority="10" operator="between">
      <formula>0.200001</formula>
      <formula>0.25</formula>
    </cfRule>
  </conditionalFormatting>
  <conditionalFormatting sqref="AG33:AG41">
    <cfRule type="cellIs" dxfId="4" priority="11" operator="between">
      <formula>0.1500001</formula>
      <formula>0.2</formula>
    </cfRule>
  </conditionalFormatting>
  <conditionalFormatting sqref="AG33:AG41">
    <cfRule type="cellIs" dxfId="5" priority="12" operator="between">
      <formula>0.0000001</formula>
      <formula>0.15</formula>
    </cfRule>
  </conditionalFormatting>
  <conditionalFormatting sqref="AG42:AG58">
    <cfRule type="cellIs" dxfId="0" priority="13" operator="lessThan">
      <formula>0</formula>
    </cfRule>
  </conditionalFormatting>
  <conditionalFormatting sqref="AG42:AG58">
    <cfRule type="cellIs" dxfId="1" priority="14" operator="greaterThan">
      <formula>0.300001</formula>
    </cfRule>
  </conditionalFormatting>
  <conditionalFormatting sqref="AG42:AG58">
    <cfRule type="cellIs" dxfId="2" priority="15" operator="between">
      <formula>0.250001</formula>
      <formula>0.3</formula>
    </cfRule>
  </conditionalFormatting>
  <conditionalFormatting sqref="AG42:AG58">
    <cfRule type="cellIs" dxfId="3" priority="16" operator="between">
      <formula>0.200001</formula>
      <formula>0.25</formula>
    </cfRule>
  </conditionalFormatting>
  <conditionalFormatting sqref="AG42:AG58">
    <cfRule type="cellIs" dxfId="4" priority="17" operator="between">
      <formula>0.1500001</formula>
      <formula>0.2</formula>
    </cfRule>
  </conditionalFormatting>
  <conditionalFormatting sqref="AG42:AG58">
    <cfRule type="cellIs" dxfId="5" priority="18" operator="between">
      <formula>0.0000001</formula>
      <formula>0.15</formula>
    </cfRule>
  </conditionalFormatting>
  <hyperlinks>
    <hyperlink r:id="rId1" ref="C25"/>
    <hyperlink r:id="rId2" ref="C26"/>
    <hyperlink r:id="rId3" ref="C27"/>
    <hyperlink r:id="rId4" ref="C28"/>
    <hyperlink r:id="rId5" ref="C29"/>
    <hyperlink r:id="rId6" ref="C30"/>
  </hyperlinks>
  <printOptions/>
  <pageMargins bottom="0.75" footer="0.0" header="0.0" left="0.7" right="0.7" top="0.75"/>
  <pageSetup paperSize="9" orientation="portrait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4.43" defaultRowHeight="15.0"/>
  <cols>
    <col customWidth="1" min="1" max="1" width="1.43"/>
    <col customWidth="1" min="2" max="2" width="8.71"/>
    <col customWidth="1" min="3" max="3" width="10.71"/>
    <col customWidth="1" min="4" max="4" width="52.71"/>
    <col customWidth="1" min="5" max="5" width="5.71"/>
    <col customWidth="1" hidden="1" min="6" max="6" width="7.71"/>
    <col customWidth="1" hidden="1" min="7" max="7" width="8.29"/>
    <col customWidth="1" hidden="1" min="8" max="9" width="8.0"/>
    <col customWidth="1" hidden="1" min="10" max="10" width="8.14"/>
    <col customWidth="1" hidden="1" min="11" max="11" width="9.86"/>
    <col customWidth="1" hidden="1" min="12" max="12" width="8.14"/>
    <col customWidth="1" min="13" max="13" width="8.14"/>
    <col customWidth="1" min="14" max="15" width="9.0"/>
    <col customWidth="1" min="16" max="17" width="10.14"/>
    <col customWidth="1" min="18" max="22" width="9.0"/>
    <col customWidth="1" min="23" max="23" width="7.14"/>
    <col customWidth="1" min="24" max="30" width="9.0"/>
    <col customWidth="1" min="31" max="31" width="7.43"/>
    <col customWidth="1" min="32" max="34" width="9.0"/>
    <col customWidth="1" hidden="1" min="35" max="35" width="2.0"/>
    <col customWidth="1" hidden="1" min="36" max="37" width="9.0"/>
    <col customWidth="1" hidden="1" min="38" max="38" width="10.14"/>
    <col customWidth="1" hidden="1" min="39" max="39" width="9.0"/>
  </cols>
  <sheetData>
    <row r="1" ht="12.75" customHeight="1">
      <c r="A1" s="1"/>
      <c r="B1" s="2"/>
      <c r="C1" s="3">
        <v>60.0</v>
      </c>
      <c r="D1" s="4" t="s">
        <v>0</v>
      </c>
      <c r="E1" s="5"/>
      <c r="F1" s="5"/>
      <c r="G1" s="5"/>
      <c r="H1" s="6">
        <v>45712.0</v>
      </c>
      <c r="I1" s="7"/>
      <c r="J1" s="5"/>
      <c r="K1" s="8"/>
      <c r="L1" s="9"/>
      <c r="M1" s="10"/>
      <c r="N1" s="10"/>
      <c r="O1" s="12" t="s">
        <v>1</v>
      </c>
      <c r="P1" s="13"/>
      <c r="Q1" s="13"/>
      <c r="R1" s="14"/>
      <c r="S1" s="15" t="s">
        <v>2</v>
      </c>
      <c r="T1" s="15"/>
      <c r="U1" s="15"/>
      <c r="V1" s="15"/>
      <c r="W1" s="8"/>
      <c r="X1" s="16" t="s">
        <v>3</v>
      </c>
      <c r="Y1" s="17">
        <v>1.7</v>
      </c>
      <c r="Z1" s="18" t="s">
        <v>4</v>
      </c>
      <c r="AA1" s="19"/>
      <c r="AB1" s="20"/>
      <c r="AC1" s="15"/>
      <c r="AD1" s="21">
        <v>0.29</v>
      </c>
      <c r="AE1" s="22" t="s">
        <v>5</v>
      </c>
      <c r="AF1" s="23"/>
      <c r="AG1" s="24"/>
      <c r="AH1" s="25"/>
      <c r="AI1" s="26"/>
      <c r="AJ1" s="26"/>
      <c r="AK1" s="27"/>
      <c r="AL1" s="28"/>
      <c r="AM1" s="29"/>
    </row>
    <row r="2" ht="12.75" customHeight="1">
      <c r="A2" s="26"/>
      <c r="B2" s="12"/>
      <c r="C2" s="30">
        <v>0.15</v>
      </c>
      <c r="D2" s="31" t="s">
        <v>6</v>
      </c>
      <c r="E2" s="5"/>
      <c r="F2" s="5"/>
      <c r="G2" s="5"/>
      <c r="H2" s="32" t="s">
        <v>7</v>
      </c>
      <c r="I2" s="32">
        <v>6.9E-4</v>
      </c>
      <c r="J2" s="5"/>
      <c r="K2" s="8"/>
      <c r="L2" s="9"/>
      <c r="M2" s="10"/>
      <c r="N2" s="347" t="s">
        <v>8</v>
      </c>
      <c r="O2" s="33">
        <v>170.0</v>
      </c>
      <c r="P2" s="34">
        <v>64.6</v>
      </c>
      <c r="Q2" s="34"/>
      <c r="R2" s="35">
        <v>16.15</v>
      </c>
      <c r="S2" s="36">
        <v>170.0</v>
      </c>
      <c r="T2" s="36">
        <v>0.14</v>
      </c>
      <c r="U2" s="36">
        <v>0.14</v>
      </c>
      <c r="V2" s="15"/>
      <c r="W2" s="8"/>
      <c r="X2" s="37" t="s">
        <v>9</v>
      </c>
      <c r="Y2" s="38">
        <v>1.7</v>
      </c>
      <c r="Z2" s="39" t="s">
        <v>10</v>
      </c>
      <c r="AA2" s="38"/>
      <c r="AB2" s="40"/>
      <c r="AC2" s="15"/>
      <c r="AD2" s="41">
        <v>0.0</v>
      </c>
      <c r="AE2" s="22" t="s">
        <v>11</v>
      </c>
      <c r="AF2" s="23"/>
      <c r="AG2" s="24"/>
      <c r="AH2" s="25"/>
      <c r="AI2" s="26"/>
      <c r="AJ2" s="26"/>
      <c r="AK2" s="27"/>
      <c r="AL2" s="28"/>
      <c r="AM2" s="29"/>
    </row>
    <row r="3" ht="12.75" customHeight="1">
      <c r="A3" s="26"/>
      <c r="B3" s="12"/>
      <c r="C3" s="42">
        <v>0.0</v>
      </c>
      <c r="D3" s="43" t="s">
        <v>12</v>
      </c>
      <c r="E3" s="5"/>
      <c r="F3" s="5"/>
      <c r="G3" s="5"/>
      <c r="H3" s="44" t="s">
        <v>13</v>
      </c>
      <c r="I3" s="44">
        <v>89.0</v>
      </c>
      <c r="J3" s="5"/>
      <c r="K3" s="8"/>
      <c r="L3" s="9"/>
      <c r="M3" s="10"/>
      <c r="N3" s="347" t="s">
        <v>14</v>
      </c>
      <c r="O3" s="33">
        <v>160.0</v>
      </c>
      <c r="P3" s="34">
        <v>60.8</v>
      </c>
      <c r="Q3" s="34"/>
      <c r="R3" s="35">
        <v>15.2</v>
      </c>
      <c r="S3" s="36">
        <v>160.0</v>
      </c>
      <c r="T3" s="36">
        <v>0.13</v>
      </c>
      <c r="U3" s="36">
        <v>0.13</v>
      </c>
      <c r="V3" s="15"/>
      <c r="W3" s="8"/>
      <c r="X3" s="8"/>
      <c r="Y3" s="45">
        <v>50.0</v>
      </c>
      <c r="Z3" s="46" t="s">
        <v>15</v>
      </c>
      <c r="AA3" s="38"/>
      <c r="AB3" s="40"/>
      <c r="AC3" s="15"/>
      <c r="AD3" s="47">
        <v>0.0</v>
      </c>
      <c r="AE3" s="48" t="s">
        <v>16</v>
      </c>
      <c r="AF3" s="49"/>
      <c r="AG3" s="50"/>
      <c r="AH3" s="25"/>
      <c r="AI3" s="26"/>
      <c r="AJ3" s="26"/>
      <c r="AK3" s="27"/>
      <c r="AL3" s="28"/>
      <c r="AM3" s="29"/>
    </row>
    <row r="4" ht="12.75" customHeight="1">
      <c r="A4" s="26"/>
      <c r="B4" s="12"/>
      <c r="C4" s="51">
        <v>76.0</v>
      </c>
      <c r="D4" s="52" t="s">
        <v>17</v>
      </c>
      <c r="E4" s="5"/>
      <c r="F4" s="5"/>
      <c r="G4" s="53"/>
      <c r="H4" s="54" t="s">
        <v>18</v>
      </c>
      <c r="I4" s="32"/>
      <c r="J4" s="55">
        <v>0.3</v>
      </c>
      <c r="K4" s="8"/>
      <c r="L4" s="9"/>
      <c r="M4" s="10"/>
      <c r="N4" s="347" t="s">
        <v>19</v>
      </c>
      <c r="O4" s="33">
        <v>115.0</v>
      </c>
      <c r="P4" s="34">
        <v>43.7</v>
      </c>
      <c r="Q4" s="34"/>
      <c r="R4" s="35">
        <v>10.93</v>
      </c>
      <c r="S4" s="36">
        <v>115.0</v>
      </c>
      <c r="T4" s="36">
        <v>0.09</v>
      </c>
      <c r="U4" s="36">
        <v>0.09</v>
      </c>
      <c r="V4" s="15"/>
      <c r="W4" s="8"/>
      <c r="X4" s="8"/>
      <c r="Y4" s="15">
        <v>38.0</v>
      </c>
      <c r="Z4" s="56" t="s">
        <v>20</v>
      </c>
      <c r="AA4" s="15"/>
      <c r="AB4" s="15"/>
      <c r="AC4" s="15"/>
      <c r="AD4" s="15"/>
      <c r="AE4" s="57"/>
      <c r="AF4" s="57"/>
      <c r="AG4" s="15"/>
      <c r="AH4" s="25"/>
      <c r="AI4" s="26"/>
      <c r="AJ4" s="26"/>
      <c r="AK4" s="27"/>
      <c r="AL4" s="28"/>
      <c r="AM4" s="29"/>
    </row>
    <row r="5" ht="12.75" customHeight="1">
      <c r="A5" s="26"/>
      <c r="B5" s="12"/>
      <c r="C5" s="58">
        <v>19.0</v>
      </c>
      <c r="D5" s="59" t="s">
        <v>21</v>
      </c>
      <c r="E5" s="5"/>
      <c r="F5" s="5"/>
      <c r="G5" s="53"/>
      <c r="H5" s="54" t="s">
        <v>22</v>
      </c>
      <c r="I5" s="32"/>
      <c r="J5" s="60"/>
      <c r="K5" s="8"/>
      <c r="L5" s="9"/>
      <c r="M5" s="10"/>
      <c r="N5" s="347" t="s">
        <v>23</v>
      </c>
      <c r="O5" s="61">
        <v>200.0</v>
      </c>
      <c r="P5" s="62">
        <v>76.0</v>
      </c>
      <c r="Q5" s="62"/>
      <c r="R5" s="63">
        <v>19.0</v>
      </c>
      <c r="S5" s="36">
        <v>200.0</v>
      </c>
      <c r="T5" s="64">
        <v>0.16</v>
      </c>
      <c r="U5" s="64">
        <v>0.16</v>
      </c>
      <c r="V5" s="15"/>
      <c r="W5" s="8"/>
      <c r="X5" s="8"/>
      <c r="Y5" s="15">
        <v>9.5</v>
      </c>
      <c r="Z5" s="56" t="s">
        <v>24</v>
      </c>
      <c r="AA5" s="15"/>
      <c r="AB5" s="15"/>
      <c r="AC5" s="15"/>
      <c r="AD5" s="15"/>
      <c r="AE5" s="57"/>
      <c r="AF5" s="57"/>
      <c r="AG5" s="15"/>
      <c r="AH5" s="25"/>
      <c r="AI5" s="26"/>
      <c r="AJ5" s="26"/>
      <c r="AK5" s="27"/>
      <c r="AL5" s="28"/>
      <c r="AM5" s="29"/>
    </row>
    <row r="6" ht="12.75" customHeight="1">
      <c r="A6" s="26"/>
      <c r="B6" s="12"/>
      <c r="C6" s="51">
        <v>0.16</v>
      </c>
      <c r="D6" s="52" t="s">
        <v>25</v>
      </c>
      <c r="E6" s="5"/>
      <c r="F6" s="5"/>
      <c r="G6" s="5"/>
      <c r="H6" s="5"/>
      <c r="I6" s="5"/>
      <c r="J6" s="5"/>
      <c r="K6" s="8"/>
      <c r="L6" s="9"/>
      <c r="M6" s="10"/>
      <c r="N6" s="347" t="s">
        <v>26</v>
      </c>
      <c r="O6" s="33">
        <v>165.0</v>
      </c>
      <c r="P6" s="34">
        <v>62.7</v>
      </c>
      <c r="Q6" s="34"/>
      <c r="R6" s="35">
        <v>15.68</v>
      </c>
      <c r="S6" s="36">
        <v>165.0</v>
      </c>
      <c r="T6" s="36">
        <v>0.13</v>
      </c>
      <c r="U6" s="36">
        <v>0.13</v>
      </c>
      <c r="V6" s="15"/>
      <c r="W6" s="8"/>
      <c r="X6" s="8"/>
      <c r="Y6" s="65">
        <v>0.275</v>
      </c>
      <c r="Z6" s="66" t="s">
        <v>27</v>
      </c>
      <c r="AA6" s="19"/>
      <c r="AB6" s="20"/>
      <c r="AC6" s="15"/>
      <c r="AD6" s="15"/>
      <c r="AE6" s="57"/>
      <c r="AF6" s="57"/>
      <c r="AG6" s="15"/>
      <c r="AH6" s="25"/>
      <c r="AI6" s="26"/>
      <c r="AJ6" s="26"/>
      <c r="AK6" s="27"/>
      <c r="AL6" s="28"/>
      <c r="AM6" s="29"/>
    </row>
    <row r="7" ht="12.75" customHeight="1">
      <c r="A7" s="26"/>
      <c r="B7" s="12"/>
      <c r="C7" s="67">
        <v>30.0</v>
      </c>
      <c r="D7" s="59" t="s">
        <v>28</v>
      </c>
      <c r="E7" s="5"/>
      <c r="F7" s="5"/>
      <c r="G7" s="5"/>
      <c r="H7" s="5"/>
      <c r="I7" s="5"/>
      <c r="J7" s="5"/>
      <c r="K7" s="8"/>
      <c r="L7" s="9"/>
      <c r="M7" s="10"/>
      <c r="N7" s="347" t="s">
        <v>29</v>
      </c>
      <c r="O7" s="33">
        <v>220.0</v>
      </c>
      <c r="P7" s="34">
        <v>83.6</v>
      </c>
      <c r="Q7" s="34"/>
      <c r="R7" s="68">
        <v>20.9</v>
      </c>
      <c r="S7" s="35">
        <v>220.0</v>
      </c>
      <c r="T7" s="36">
        <v>0.18</v>
      </c>
      <c r="U7" s="36">
        <v>0.18</v>
      </c>
      <c r="V7" s="15"/>
      <c r="W7" s="69"/>
      <c r="X7" s="8"/>
      <c r="Y7" s="70">
        <v>0.0217</v>
      </c>
      <c r="Z7" s="71" t="s">
        <v>30</v>
      </c>
      <c r="AA7" s="72"/>
      <c r="AB7" s="73"/>
      <c r="AC7" s="15"/>
      <c r="AD7" s="15"/>
      <c r="AE7" s="57"/>
      <c r="AF7" s="57"/>
      <c r="AG7" s="15"/>
      <c r="AH7" s="25"/>
      <c r="AI7" s="26"/>
      <c r="AJ7" s="74" t="s">
        <v>31</v>
      </c>
      <c r="AK7" s="75"/>
      <c r="AL7" s="75"/>
      <c r="AM7" s="76"/>
    </row>
    <row r="8" ht="12.75" customHeight="1">
      <c r="A8" s="26"/>
      <c r="B8" s="77"/>
      <c r="C8" s="78">
        <v>0.08</v>
      </c>
      <c r="D8" s="79" t="s">
        <v>32</v>
      </c>
      <c r="E8" s="80"/>
      <c r="F8" s="81" t="s">
        <v>33</v>
      </c>
      <c r="G8" s="82"/>
      <c r="H8" s="82"/>
      <c r="I8" s="82"/>
      <c r="J8" s="82"/>
      <c r="K8" s="83"/>
      <c r="L8" s="84"/>
      <c r="M8" s="85"/>
      <c r="N8" s="255"/>
      <c r="O8" s="87" t="s">
        <v>34</v>
      </c>
      <c r="P8" s="88"/>
      <c r="Q8" s="88"/>
      <c r="R8" s="88"/>
      <c r="S8" s="89"/>
      <c r="T8" s="90" t="s">
        <v>35</v>
      </c>
      <c r="U8" s="88"/>
      <c r="V8" s="89"/>
      <c r="W8" s="8"/>
      <c r="X8" s="91" t="s">
        <v>36</v>
      </c>
      <c r="Y8" s="75"/>
      <c r="Z8" s="75"/>
      <c r="AA8" s="75"/>
      <c r="AB8" s="75"/>
      <c r="AC8" s="75"/>
      <c r="AD8" s="76"/>
      <c r="AE8" s="57"/>
      <c r="AF8" s="57"/>
      <c r="AG8" s="92" t="s">
        <v>37</v>
      </c>
      <c r="AH8" s="83"/>
      <c r="AI8" s="26"/>
      <c r="AJ8" s="93"/>
      <c r="AK8" s="94"/>
      <c r="AL8" s="94"/>
      <c r="AM8" s="95"/>
    </row>
    <row r="9" ht="52.5" customHeight="1">
      <c r="A9" s="26"/>
      <c r="B9" s="96" t="s">
        <v>38</v>
      </c>
      <c r="C9" s="96" t="s">
        <v>39</v>
      </c>
      <c r="D9" s="97" t="s">
        <v>40</v>
      </c>
      <c r="E9" s="98" t="s">
        <v>41</v>
      </c>
      <c r="F9" s="99" t="s">
        <v>42</v>
      </c>
      <c r="G9" s="100" t="s">
        <v>43</v>
      </c>
      <c r="H9" s="101" t="s">
        <v>44</v>
      </c>
      <c r="I9" s="101" t="s">
        <v>45</v>
      </c>
      <c r="J9" s="101" t="s">
        <v>46</v>
      </c>
      <c r="K9" s="102" t="s">
        <v>47</v>
      </c>
      <c r="L9" s="103" t="s">
        <v>48</v>
      </c>
      <c r="M9" s="104" t="s">
        <v>49</v>
      </c>
      <c r="N9" s="259" t="s">
        <v>656</v>
      </c>
      <c r="O9" s="106" t="s">
        <v>51</v>
      </c>
      <c r="P9" s="107" t="s">
        <v>764</v>
      </c>
      <c r="Q9" s="108" t="s">
        <v>765</v>
      </c>
      <c r="R9" s="109" t="s">
        <v>54</v>
      </c>
      <c r="S9" s="110" t="s">
        <v>55</v>
      </c>
      <c r="T9" s="348" t="s">
        <v>56</v>
      </c>
      <c r="U9" s="349" t="s">
        <v>766</v>
      </c>
      <c r="V9" s="350" t="s">
        <v>58</v>
      </c>
      <c r="W9" s="351" t="s">
        <v>59</v>
      </c>
      <c r="X9" s="352" t="s">
        <v>60</v>
      </c>
      <c r="Y9" s="353" t="s">
        <v>767</v>
      </c>
      <c r="Z9" s="353" t="s">
        <v>768</v>
      </c>
      <c r="AA9" s="354" t="s">
        <v>63</v>
      </c>
      <c r="AB9" s="354" t="s">
        <v>64</v>
      </c>
      <c r="AC9" s="354" t="s">
        <v>65</v>
      </c>
      <c r="AD9" s="355" t="s">
        <v>769</v>
      </c>
      <c r="AE9" s="118" t="s">
        <v>67</v>
      </c>
      <c r="AF9" s="119" t="s">
        <v>68</v>
      </c>
      <c r="AG9" s="356" t="s">
        <v>69</v>
      </c>
      <c r="AH9" s="357" t="s">
        <v>70</v>
      </c>
      <c r="AI9" s="26"/>
      <c r="AJ9" s="122" t="s">
        <v>71</v>
      </c>
      <c r="AK9" s="123" t="s">
        <v>72</v>
      </c>
      <c r="AL9" s="107" t="s">
        <v>770</v>
      </c>
      <c r="AM9" s="124" t="s">
        <v>74</v>
      </c>
    </row>
    <row r="10" ht="12.75" customHeight="1">
      <c r="A10" s="26"/>
      <c r="B10" s="125" t="s">
        <v>75</v>
      </c>
      <c r="C10" s="126"/>
      <c r="D10" s="358" t="s">
        <v>771</v>
      </c>
      <c r="E10" s="359"/>
      <c r="F10" s="359"/>
      <c r="G10" s="359"/>
      <c r="H10" s="359"/>
      <c r="I10" s="359"/>
      <c r="J10" s="359"/>
      <c r="K10" s="360"/>
      <c r="L10" s="361"/>
      <c r="M10" s="362"/>
      <c r="N10" s="363"/>
      <c r="O10" s="134"/>
      <c r="P10" s="188"/>
      <c r="Q10" s="188"/>
      <c r="R10" s="364"/>
      <c r="S10" s="134"/>
      <c r="T10" s="178"/>
      <c r="U10" s="178"/>
      <c r="V10" s="178"/>
      <c r="W10" s="187"/>
      <c r="X10" s="187"/>
      <c r="Y10" s="182"/>
      <c r="Z10" s="182"/>
      <c r="AA10" s="178"/>
      <c r="AB10" s="178"/>
      <c r="AC10" s="178"/>
      <c r="AD10" s="178"/>
      <c r="AE10" s="365"/>
      <c r="AF10" s="365"/>
      <c r="AG10" s="178"/>
      <c r="AH10" s="366"/>
      <c r="AI10" s="26"/>
      <c r="AJ10" s="147"/>
      <c r="AK10" s="148"/>
      <c r="AL10" s="149"/>
      <c r="AM10" s="150"/>
    </row>
    <row r="11" ht="12.75" customHeight="1">
      <c r="A11" s="26"/>
      <c r="C11" s="191"/>
      <c r="D11" s="367" t="s">
        <v>772</v>
      </c>
      <c r="E11" s="32" t="s">
        <v>77</v>
      </c>
      <c r="F11" s="32"/>
      <c r="G11" s="32"/>
      <c r="H11" s="32"/>
      <c r="I11" s="32"/>
      <c r="J11" s="32"/>
      <c r="K11" s="172"/>
      <c r="L11" s="368"/>
      <c r="M11" s="362">
        <v>90.0</v>
      </c>
      <c r="N11" s="369">
        <v>92.0</v>
      </c>
      <c r="O11" s="158">
        <v>428.0</v>
      </c>
      <c r="P11" s="173" t="str">
        <f t="shared" ref="P11:P15" si="1">O11</f>
        <v>428.00</v>
      </c>
      <c r="Q11" s="370">
        <v>1000.0</v>
      </c>
      <c r="R11" s="371">
        <v>0.25</v>
      </c>
      <c r="S11" s="164" t="str">
        <f t="shared" ref="S11:S15" si="2">O11-(O11*R11)</f>
        <v>321.00</v>
      </c>
      <c r="T11" s="164" t="str">
        <f t="shared" ref="T11:T15" si="3">$C$1</f>
        <v>60.00</v>
      </c>
      <c r="U11" s="164" t="str">
        <f t="shared" ref="U11:U15" si="4">S11*$C$8</f>
        <v>25.68</v>
      </c>
      <c r="V11" s="164"/>
      <c r="W11" s="172">
        <v>1.0</v>
      </c>
      <c r="X11" s="372" t="str">
        <f t="shared" ref="X11:X15" si="5">((_xlfn.CEILING.MATH(W11)-1)*$C$5+$C$4)</f>
        <v>76</v>
      </c>
      <c r="Y11" s="168" t="str">
        <f t="shared" ref="Y11:Y15" si="6">O11*$Y$6</f>
        <v>117.700</v>
      </c>
      <c r="Z11" s="168" t="str">
        <f t="shared" ref="Z11:Z15" si="7">S11*$Y$7</f>
        <v>6.966</v>
      </c>
      <c r="AA11" s="164" t="str">
        <f t="shared" ref="AA11:AA15" si="8">$Y$3*((100-AB11)/100)</f>
        <v>2.00</v>
      </c>
      <c r="AB11" s="164">
        <v>96.0</v>
      </c>
      <c r="AC11" s="164" t="str">
        <f t="shared" ref="AC11:AC15" si="9">$C$6*$C$7</f>
        <v>4.80</v>
      </c>
      <c r="AD11" s="164" t="str">
        <f t="shared" ref="AD11:AD15" si="10">O11*$C$2</f>
        <v>64.20</v>
      </c>
      <c r="AE11" s="373"/>
      <c r="AF11" s="372"/>
      <c r="AG11" s="164" t="str">
        <f t="shared" ref="AG11:AG15" si="11">O11-T11-U11-V11-X11-Y11-Z11-AA11-AC11-AD11-N11</f>
        <v>-21.35</v>
      </c>
      <c r="AH11" s="374" t="str">
        <f t="shared" ref="AH11:AH15" si="12">AG11/N11</f>
        <v>-23.20%</v>
      </c>
      <c r="AI11" s="26"/>
      <c r="AJ11" s="171"/>
      <c r="AK11" s="172"/>
      <c r="AL11" s="173"/>
      <c r="AM11" s="174"/>
    </row>
    <row r="12" ht="12.75" customHeight="1">
      <c r="A12" s="26"/>
      <c r="C12" s="191"/>
      <c r="D12" s="367" t="s">
        <v>773</v>
      </c>
      <c r="E12" s="32" t="s">
        <v>77</v>
      </c>
      <c r="F12" s="32">
        <v>1.0</v>
      </c>
      <c r="G12" s="32"/>
      <c r="H12" s="32"/>
      <c r="I12" s="32"/>
      <c r="J12" s="32"/>
      <c r="K12" s="172"/>
      <c r="L12" s="368"/>
      <c r="M12" s="362">
        <v>90.0</v>
      </c>
      <c r="N12" s="369">
        <v>184.0</v>
      </c>
      <c r="O12" s="158">
        <v>727.0</v>
      </c>
      <c r="P12" s="173" t="str">
        <f t="shared" si="1"/>
        <v>727.00</v>
      </c>
      <c r="Q12" s="370">
        <v>2000.0</v>
      </c>
      <c r="R12" s="371">
        <v>0.25</v>
      </c>
      <c r="S12" s="164" t="str">
        <f t="shared" si="2"/>
        <v>545.25</v>
      </c>
      <c r="T12" s="164" t="str">
        <f t="shared" si="3"/>
        <v>60.00</v>
      </c>
      <c r="U12" s="164" t="str">
        <f t="shared" si="4"/>
        <v>43.62</v>
      </c>
      <c r="V12" s="164"/>
      <c r="W12" s="172">
        <v>1.0</v>
      </c>
      <c r="X12" s="372" t="str">
        <f t="shared" si="5"/>
        <v>76</v>
      </c>
      <c r="Y12" s="168" t="str">
        <f t="shared" si="6"/>
        <v>199.925</v>
      </c>
      <c r="Z12" s="168" t="str">
        <f t="shared" si="7"/>
        <v>11.832</v>
      </c>
      <c r="AA12" s="164" t="str">
        <f t="shared" si="8"/>
        <v>2.00</v>
      </c>
      <c r="AB12" s="164">
        <v>96.0</v>
      </c>
      <c r="AC12" s="164" t="str">
        <f t="shared" si="9"/>
        <v>4.80</v>
      </c>
      <c r="AD12" s="164" t="str">
        <f t="shared" si="10"/>
        <v>109.05</v>
      </c>
      <c r="AE12" s="373"/>
      <c r="AF12" s="372"/>
      <c r="AG12" s="164" t="str">
        <f t="shared" si="11"/>
        <v>35.77</v>
      </c>
      <c r="AH12" s="374" t="str">
        <f t="shared" si="12"/>
        <v>19.44%</v>
      </c>
      <c r="AI12" s="26"/>
      <c r="AJ12" s="171"/>
      <c r="AK12" s="172"/>
      <c r="AL12" s="173"/>
      <c r="AM12" s="174"/>
    </row>
    <row r="13" ht="12.75" customHeight="1">
      <c r="A13" s="26"/>
      <c r="C13" s="191"/>
      <c r="D13" s="367" t="s">
        <v>774</v>
      </c>
      <c r="E13" s="32" t="s">
        <v>77</v>
      </c>
      <c r="F13" s="32">
        <v>1.0</v>
      </c>
      <c r="G13" s="32">
        <v>0.0</v>
      </c>
      <c r="H13" s="32" t="str">
        <f t="shared" ref="H13:H15" si="13">$I$2</f>
        <v>0.00069</v>
      </c>
      <c r="I13" s="32" t="str">
        <f t="shared" ref="I13:I15" si="14">$I$3</f>
        <v>89</v>
      </c>
      <c r="J13" s="32" t="str">
        <f t="shared" ref="J13:J15" si="15">G13*H13*I13*F13</f>
        <v>0</v>
      </c>
      <c r="K13" s="172" t="str">
        <f t="shared" ref="K13:K15" si="16">J13*$J$4</f>
        <v>0.00</v>
      </c>
      <c r="L13" s="368" t="str">
        <f t="shared" ref="L13:L15" si="17">K13+J13</f>
        <v>0.00 </v>
      </c>
      <c r="M13" s="362">
        <v>60.0</v>
      </c>
      <c r="N13" s="369">
        <v>25.0</v>
      </c>
      <c r="O13" s="158">
        <v>250.0</v>
      </c>
      <c r="P13" s="173" t="str">
        <f t="shared" si="1"/>
        <v>250.00</v>
      </c>
      <c r="Q13" s="370">
        <v>1000.0</v>
      </c>
      <c r="R13" s="371">
        <v>0.25</v>
      </c>
      <c r="S13" s="164" t="str">
        <f t="shared" si="2"/>
        <v>187.50</v>
      </c>
      <c r="T13" s="164" t="str">
        <f t="shared" si="3"/>
        <v>60.00</v>
      </c>
      <c r="U13" s="164" t="str">
        <f t="shared" si="4"/>
        <v>15.00</v>
      </c>
      <c r="V13" s="164" t="str">
        <f t="shared" ref="V13:V15" si="18">N13*$C$3*(M13/30)</f>
        <v>0.00</v>
      </c>
      <c r="W13" s="172">
        <v>0.4</v>
      </c>
      <c r="X13" s="372" t="str">
        <f t="shared" si="5"/>
        <v>76</v>
      </c>
      <c r="Y13" s="168" t="str">
        <f t="shared" si="6"/>
        <v>68.750</v>
      </c>
      <c r="Z13" s="168" t="str">
        <f t="shared" si="7"/>
        <v>4.069</v>
      </c>
      <c r="AA13" s="164" t="str">
        <f t="shared" si="8"/>
        <v>3.91</v>
      </c>
      <c r="AB13" s="164">
        <v>92.19</v>
      </c>
      <c r="AC13" s="164" t="str">
        <f t="shared" si="9"/>
        <v>4.80</v>
      </c>
      <c r="AD13" s="164" t="str">
        <f t="shared" si="10"/>
        <v>37.50</v>
      </c>
      <c r="AE13" s="373"/>
      <c r="AF13" s="372" t="str">
        <f t="shared" ref="AF13:AF15" si="19">(_xlfn.CEILING.MATH(W13))*$Y$1*$AD$2</f>
        <v>0</v>
      </c>
      <c r="AG13" s="164" t="str">
        <f t="shared" si="11"/>
        <v>-45.02</v>
      </c>
      <c r="AH13" s="374" t="str">
        <f t="shared" si="12"/>
        <v>-180.10%</v>
      </c>
      <c r="AI13" s="26"/>
      <c r="AJ13" s="171" t="str">
        <f t="shared" ref="AJ13:AJ15" si="20">$AD$3</f>
        <v>0.00%</v>
      </c>
      <c r="AK13" s="172" t="str">
        <f t="shared" ref="AK13:AK15" si="21">N13*AJ13</f>
        <v>0.00</v>
      </c>
      <c r="AL13" s="173" t="str">
        <f t="shared" ref="AL13:AL15" si="22">(N13+T13+V13+X13+AA13+AC13+AF13+AK13)/(100%-($C$2+$C$8+$Y$6+$Y$7))</f>
        <v>358.56</v>
      </c>
      <c r="AM13" s="174" t="str">
        <f t="shared" ref="AM13:AM15" si="23">AL13-(AL13*$AD$1)</f>
        <v>254.58</v>
      </c>
    </row>
    <row r="14" ht="12.75" customHeight="1">
      <c r="A14" s="26"/>
      <c r="C14" s="191"/>
      <c r="D14" s="367" t="s">
        <v>775</v>
      </c>
      <c r="E14" s="32" t="s">
        <v>77</v>
      </c>
      <c r="F14" s="32">
        <v>1.0</v>
      </c>
      <c r="G14" s="32"/>
      <c r="H14" s="32" t="str">
        <f t="shared" si="13"/>
        <v>0.00069</v>
      </c>
      <c r="I14" s="32" t="str">
        <f t="shared" si="14"/>
        <v>89</v>
      </c>
      <c r="J14" s="32" t="str">
        <f t="shared" si="15"/>
        <v>0</v>
      </c>
      <c r="K14" s="172" t="str">
        <f t="shared" si="16"/>
        <v>0.00</v>
      </c>
      <c r="L14" s="368" t="str">
        <f t="shared" si="17"/>
        <v>0.00 </v>
      </c>
      <c r="M14" s="362">
        <v>60.0</v>
      </c>
      <c r="N14" s="369">
        <v>50.0</v>
      </c>
      <c r="O14" s="158">
        <v>419.0</v>
      </c>
      <c r="P14" s="173" t="str">
        <f t="shared" si="1"/>
        <v>419.00</v>
      </c>
      <c r="Q14" s="370">
        <v>2000.0</v>
      </c>
      <c r="R14" s="371">
        <v>0.25</v>
      </c>
      <c r="S14" s="164" t="str">
        <f t="shared" si="2"/>
        <v>314.25</v>
      </c>
      <c r="T14" s="164" t="str">
        <f t="shared" si="3"/>
        <v>60.00</v>
      </c>
      <c r="U14" s="164" t="str">
        <f t="shared" si="4"/>
        <v>25.14</v>
      </c>
      <c r="V14" s="164" t="str">
        <f t="shared" si="18"/>
        <v>0.00</v>
      </c>
      <c r="W14" s="172">
        <v>0.45</v>
      </c>
      <c r="X14" s="372" t="str">
        <f t="shared" si="5"/>
        <v>76</v>
      </c>
      <c r="Y14" s="168" t="str">
        <f t="shared" si="6"/>
        <v>115.225</v>
      </c>
      <c r="Z14" s="168" t="str">
        <f t="shared" si="7"/>
        <v>6.819</v>
      </c>
      <c r="AA14" s="164" t="str">
        <f t="shared" si="8"/>
        <v>5.23</v>
      </c>
      <c r="AB14" s="164">
        <v>89.55</v>
      </c>
      <c r="AC14" s="164" t="str">
        <f t="shared" si="9"/>
        <v>4.80</v>
      </c>
      <c r="AD14" s="164" t="str">
        <f t="shared" si="10"/>
        <v>62.85</v>
      </c>
      <c r="AE14" s="373"/>
      <c r="AF14" s="372" t="str">
        <f t="shared" si="19"/>
        <v>0</v>
      </c>
      <c r="AG14" s="164" t="str">
        <f t="shared" si="11"/>
        <v>12.94</v>
      </c>
      <c r="AH14" s="374" t="str">
        <f t="shared" si="12"/>
        <v>25.88%</v>
      </c>
      <c r="AI14" s="26"/>
      <c r="AJ14" s="171" t="str">
        <f t="shared" si="20"/>
        <v>0.00%</v>
      </c>
      <c r="AK14" s="172" t="str">
        <f t="shared" si="21"/>
        <v>0.00</v>
      </c>
      <c r="AL14" s="173" t="str">
        <f t="shared" si="22"/>
        <v>414.17</v>
      </c>
      <c r="AM14" s="174" t="str">
        <f t="shared" si="23"/>
        <v>294.06</v>
      </c>
    </row>
    <row r="15" ht="12.75" customHeight="1">
      <c r="A15" s="26"/>
      <c r="C15" s="191"/>
      <c r="D15" s="367" t="s">
        <v>776</v>
      </c>
      <c r="E15" s="32" t="s">
        <v>77</v>
      </c>
      <c r="F15" s="32">
        <v>1.0</v>
      </c>
      <c r="G15" s="32"/>
      <c r="H15" s="32" t="str">
        <f t="shared" si="13"/>
        <v>0.00069</v>
      </c>
      <c r="I15" s="32" t="str">
        <f t="shared" si="14"/>
        <v>89</v>
      </c>
      <c r="J15" s="32" t="str">
        <f t="shared" si="15"/>
        <v>0</v>
      </c>
      <c r="K15" s="172" t="str">
        <f t="shared" si="16"/>
        <v>0.00</v>
      </c>
      <c r="L15" s="368" t="str">
        <f t="shared" si="17"/>
        <v>0.00 </v>
      </c>
      <c r="M15" s="362">
        <v>60.0</v>
      </c>
      <c r="N15" s="369">
        <v>75.0</v>
      </c>
      <c r="O15" s="158">
        <v>567.0</v>
      </c>
      <c r="P15" s="173" t="str">
        <f t="shared" si="1"/>
        <v>567.00</v>
      </c>
      <c r="Q15" s="370">
        <v>1000.0</v>
      </c>
      <c r="R15" s="371">
        <v>0.25</v>
      </c>
      <c r="S15" s="164" t="str">
        <f t="shared" si="2"/>
        <v>425.25</v>
      </c>
      <c r="T15" s="164" t="str">
        <f t="shared" si="3"/>
        <v>60.00</v>
      </c>
      <c r="U15" s="164" t="str">
        <f t="shared" si="4"/>
        <v>34.02</v>
      </c>
      <c r="V15" s="164" t="str">
        <f t="shared" si="18"/>
        <v>0.00</v>
      </c>
      <c r="W15" s="172">
        <v>0.68</v>
      </c>
      <c r="X15" s="372" t="str">
        <f t="shared" si="5"/>
        <v>76</v>
      </c>
      <c r="Y15" s="168" t="str">
        <f t="shared" si="6"/>
        <v>155.925</v>
      </c>
      <c r="Z15" s="168" t="str">
        <f t="shared" si="7"/>
        <v>9.228</v>
      </c>
      <c r="AA15" s="164" t="str">
        <f t="shared" si="8"/>
        <v>1.47</v>
      </c>
      <c r="AB15" s="164">
        <v>97.07</v>
      </c>
      <c r="AC15" s="164" t="str">
        <f t="shared" si="9"/>
        <v>4.80</v>
      </c>
      <c r="AD15" s="164" t="str">
        <f t="shared" si="10"/>
        <v>85.05</v>
      </c>
      <c r="AE15" s="373"/>
      <c r="AF15" s="372" t="str">
        <f t="shared" si="19"/>
        <v>0</v>
      </c>
      <c r="AG15" s="164" t="str">
        <f t="shared" si="11"/>
        <v>65.51</v>
      </c>
      <c r="AH15" s="374" t="str">
        <f t="shared" si="12"/>
        <v>87.35%</v>
      </c>
      <c r="AI15" s="26"/>
      <c r="AJ15" s="171" t="str">
        <f t="shared" si="20"/>
        <v>0.00%</v>
      </c>
      <c r="AK15" s="172" t="str">
        <f t="shared" si="21"/>
        <v>0.00</v>
      </c>
      <c r="AL15" s="173" t="str">
        <f t="shared" si="22"/>
        <v>459.04</v>
      </c>
      <c r="AM15" s="174" t="str">
        <f t="shared" si="23"/>
        <v>325.92</v>
      </c>
    </row>
    <row r="16" ht="12.75" customHeight="1">
      <c r="A16" s="26"/>
      <c r="B16" s="125" t="s">
        <v>82</v>
      </c>
      <c r="C16" s="126"/>
      <c r="D16" s="358" t="s">
        <v>777</v>
      </c>
      <c r="E16" s="359"/>
      <c r="F16" s="359"/>
      <c r="G16" s="359"/>
      <c r="H16" s="359"/>
      <c r="I16" s="359"/>
      <c r="J16" s="359"/>
      <c r="K16" s="360"/>
      <c r="L16" s="361"/>
      <c r="M16" s="362"/>
      <c r="N16" s="363"/>
      <c r="O16" s="134"/>
      <c r="P16" s="188"/>
      <c r="Q16" s="188"/>
      <c r="R16" s="364"/>
      <c r="S16" s="134"/>
      <c r="T16" s="178"/>
      <c r="U16" s="178"/>
      <c r="V16" s="178"/>
      <c r="W16" s="187"/>
      <c r="X16" s="187"/>
      <c r="Y16" s="182"/>
      <c r="Z16" s="182"/>
      <c r="AA16" s="178"/>
      <c r="AB16" s="178"/>
      <c r="AC16" s="178"/>
      <c r="AD16" s="178"/>
      <c r="AE16" s="365"/>
      <c r="AF16" s="365"/>
      <c r="AG16" s="178"/>
      <c r="AH16" s="366"/>
      <c r="AI16" s="26"/>
      <c r="AJ16" s="186"/>
      <c r="AK16" s="187"/>
      <c r="AL16" s="188"/>
      <c r="AM16" s="189"/>
    </row>
    <row r="17" ht="12.75" customHeight="1">
      <c r="A17" s="26"/>
      <c r="B17" s="190" t="s">
        <v>83</v>
      </c>
      <c r="C17" s="191"/>
      <c r="D17" s="367" t="s">
        <v>778</v>
      </c>
      <c r="E17" s="32" t="s">
        <v>77</v>
      </c>
      <c r="F17" s="32"/>
      <c r="G17" s="32">
        <v>0.0</v>
      </c>
      <c r="H17" s="32" t="str">
        <f t="shared" ref="H17:H20" si="24">$I$2</f>
        <v>0.00069</v>
      </c>
      <c r="I17" s="32" t="str">
        <f t="shared" ref="I17:I20" si="25">$I$3</f>
        <v>89</v>
      </c>
      <c r="J17" s="32" t="str">
        <f t="shared" ref="J17:J20" si="26">G17*H17*I17*F17</f>
        <v>0</v>
      </c>
      <c r="K17" s="172" t="str">
        <f t="shared" ref="K17:K20" si="27">J17*$J$4</f>
        <v>0.00</v>
      </c>
      <c r="L17" s="368" t="str">
        <f t="shared" ref="L17:L20" si="28">K17+J17</f>
        <v>0.00 </v>
      </c>
      <c r="M17" s="362">
        <v>60.0</v>
      </c>
      <c r="N17" s="369">
        <v>90.0</v>
      </c>
      <c r="O17" s="158">
        <v>518.0</v>
      </c>
      <c r="P17" s="173" t="str">
        <f t="shared" ref="P17:P20" si="29">O17</f>
        <v>518.00</v>
      </c>
      <c r="Q17" s="370">
        <v>5000.0</v>
      </c>
      <c r="R17" s="371">
        <v>0.25</v>
      </c>
      <c r="S17" s="164" t="str">
        <f t="shared" ref="S17:S20" si="30">O17-(O17*R17)</f>
        <v>388.50</v>
      </c>
      <c r="T17" s="164" t="str">
        <f t="shared" ref="T17:T19" si="31">$C$1</f>
        <v>60.00</v>
      </c>
      <c r="U17" s="164" t="str">
        <f t="shared" ref="U17:U20" si="32">S17*$C$8</f>
        <v>31.08</v>
      </c>
      <c r="V17" s="164" t="str">
        <f t="shared" ref="V17:V20" si="33">N17*$C$3*(M17/30)</f>
        <v>0.00</v>
      </c>
      <c r="W17" s="172">
        <v>0.7</v>
      </c>
      <c r="X17" s="372" t="str">
        <f t="shared" ref="X17:X20" si="34">((_xlfn.CEILING.MATH(W17)-1)*$C$5+$C$4)</f>
        <v>76</v>
      </c>
      <c r="Y17" s="168" t="str">
        <f t="shared" ref="Y17:Y20" si="35">O17*$Y$6</f>
        <v>142.450</v>
      </c>
      <c r="Z17" s="168" t="str">
        <f t="shared" ref="Z17:Z20" si="36">S17*$Y$7</f>
        <v>8.430</v>
      </c>
      <c r="AA17" s="164" t="str">
        <f t="shared" ref="AA17:AA20" si="37">$Y$3*((100-AB17)/100)</f>
        <v>0.00</v>
      </c>
      <c r="AB17" s="164">
        <v>100.0</v>
      </c>
      <c r="AC17" s="164" t="str">
        <f t="shared" ref="AC17:AC20" si="38">$C$6*$C$7*_xlfn.CEILING.MATH(W17)</f>
        <v>4.80</v>
      </c>
      <c r="AD17" s="164" t="str">
        <f t="shared" ref="AD17:AD20" si="39">O17*$C$2</f>
        <v>77.70</v>
      </c>
      <c r="AE17" s="373"/>
      <c r="AF17" s="372" t="str">
        <f t="shared" ref="AF17:AF20" si="40">(_xlfn.CEILING.MATH(W17))*$Y$1*$AD$2</f>
        <v>0</v>
      </c>
      <c r="AG17" s="164" t="str">
        <f t="shared" ref="AG17:AG20" si="41">O17-T17-U17-V17-X17-Y17-Z17-AA17-AC17-AD17-N17</f>
        <v>27.54</v>
      </c>
      <c r="AH17" s="374" t="str">
        <f t="shared" ref="AH17:AH20" si="42">AG17/N17</f>
        <v>30.60%</v>
      </c>
      <c r="AI17" s="26"/>
      <c r="AJ17" s="171" t="str">
        <f t="shared" ref="AJ17:AJ20" si="43">$AD$3</f>
        <v>0.00%</v>
      </c>
      <c r="AK17" s="172" t="str">
        <f t="shared" ref="AK17:AK20" si="44">N17*AJ17</f>
        <v>0.00</v>
      </c>
      <c r="AL17" s="173" t="str">
        <f t="shared" ref="AL17:AL20" si="45">(N17+T17+V17+X17+AA17+AC17+AF17+AK17)/(100%-($C$2+$C$8+$Y$6+$Y$7))</f>
        <v>487.64</v>
      </c>
      <c r="AM17" s="174" t="str">
        <f t="shared" ref="AM17:AM20" si="46">AL17-(AL17*$AD$1)</f>
        <v>346.22</v>
      </c>
    </row>
    <row r="18" ht="12.75" customHeight="1">
      <c r="A18" s="26"/>
      <c r="B18" s="190" t="s">
        <v>85</v>
      </c>
      <c r="C18" s="191"/>
      <c r="D18" s="367" t="s">
        <v>779</v>
      </c>
      <c r="E18" s="32" t="s">
        <v>77</v>
      </c>
      <c r="F18" s="32"/>
      <c r="G18" s="32"/>
      <c r="H18" s="32" t="str">
        <f t="shared" si="24"/>
        <v>0.00069</v>
      </c>
      <c r="I18" s="32" t="str">
        <f t="shared" si="25"/>
        <v>89</v>
      </c>
      <c r="J18" s="32" t="str">
        <f t="shared" si="26"/>
        <v>0</v>
      </c>
      <c r="K18" s="172" t="str">
        <f t="shared" si="27"/>
        <v>0.00</v>
      </c>
      <c r="L18" s="368" t="str">
        <f t="shared" si="28"/>
        <v>0.00 </v>
      </c>
      <c r="M18" s="362">
        <v>60.0</v>
      </c>
      <c r="N18" s="369">
        <v>120.0</v>
      </c>
      <c r="O18" s="158">
        <v>596.0</v>
      </c>
      <c r="P18" s="173" t="str">
        <f t="shared" si="29"/>
        <v>596.00</v>
      </c>
      <c r="Q18" s="370">
        <v>1500.0</v>
      </c>
      <c r="R18" s="371">
        <v>0.26</v>
      </c>
      <c r="S18" s="164" t="str">
        <f t="shared" si="30"/>
        <v>441.04</v>
      </c>
      <c r="T18" s="164" t="str">
        <f t="shared" si="31"/>
        <v>60.00</v>
      </c>
      <c r="U18" s="164" t="str">
        <f t="shared" si="32"/>
        <v>35.28</v>
      </c>
      <c r="V18" s="164" t="str">
        <f t="shared" si="33"/>
        <v>0.00</v>
      </c>
      <c r="W18" s="172">
        <v>0.7</v>
      </c>
      <c r="X18" s="372" t="str">
        <f t="shared" si="34"/>
        <v>76</v>
      </c>
      <c r="Y18" s="168" t="str">
        <f t="shared" si="35"/>
        <v>163.900</v>
      </c>
      <c r="Z18" s="168" t="str">
        <f t="shared" si="36"/>
        <v>9.571</v>
      </c>
      <c r="AA18" s="164" t="str">
        <f t="shared" si="37"/>
        <v>2.50</v>
      </c>
      <c r="AB18" s="164">
        <v>95.0</v>
      </c>
      <c r="AC18" s="164" t="str">
        <f t="shared" si="38"/>
        <v>4.80</v>
      </c>
      <c r="AD18" s="164" t="str">
        <f t="shared" si="39"/>
        <v>89.40</v>
      </c>
      <c r="AE18" s="373"/>
      <c r="AF18" s="372" t="str">
        <f t="shared" si="40"/>
        <v>0</v>
      </c>
      <c r="AG18" s="164" t="str">
        <f t="shared" si="41"/>
        <v>34.55</v>
      </c>
      <c r="AH18" s="374" t="str">
        <f t="shared" si="42"/>
        <v>28.79%</v>
      </c>
      <c r="AI18" s="26"/>
      <c r="AJ18" s="171" t="str">
        <f t="shared" si="43"/>
        <v>0.00%</v>
      </c>
      <c r="AK18" s="172" t="str">
        <f t="shared" si="44"/>
        <v>0.00</v>
      </c>
      <c r="AL18" s="173" t="str">
        <f t="shared" si="45"/>
        <v>556.31</v>
      </c>
      <c r="AM18" s="174" t="str">
        <f t="shared" si="46"/>
        <v>394.98</v>
      </c>
    </row>
    <row r="19" ht="12.75" customHeight="1">
      <c r="A19" s="26"/>
      <c r="B19" s="190" t="s">
        <v>87</v>
      </c>
      <c r="C19" s="191"/>
      <c r="D19" s="367" t="s">
        <v>780</v>
      </c>
      <c r="E19" s="32" t="s">
        <v>77</v>
      </c>
      <c r="F19" s="32"/>
      <c r="G19" s="32"/>
      <c r="H19" s="32" t="str">
        <f t="shared" si="24"/>
        <v>0.00069</v>
      </c>
      <c r="I19" s="32" t="str">
        <f t="shared" si="25"/>
        <v>89</v>
      </c>
      <c r="J19" s="32" t="str">
        <f t="shared" si="26"/>
        <v>0</v>
      </c>
      <c r="K19" s="172" t="str">
        <f t="shared" si="27"/>
        <v>0.00</v>
      </c>
      <c r="L19" s="368" t="str">
        <f t="shared" si="28"/>
        <v>0.00 </v>
      </c>
      <c r="M19" s="362">
        <v>90.0</v>
      </c>
      <c r="N19" s="369">
        <v>75.0</v>
      </c>
      <c r="O19" s="158">
        <v>479.0</v>
      </c>
      <c r="P19" s="173" t="str">
        <f t="shared" si="29"/>
        <v>479.00</v>
      </c>
      <c r="Q19" s="370">
        <v>4000.0</v>
      </c>
      <c r="R19" s="371">
        <v>0.26</v>
      </c>
      <c r="S19" s="164" t="str">
        <f t="shared" si="30"/>
        <v>354.46</v>
      </c>
      <c r="T19" s="164" t="str">
        <f t="shared" si="31"/>
        <v>60.00</v>
      </c>
      <c r="U19" s="164" t="str">
        <f t="shared" si="32"/>
        <v>28.36</v>
      </c>
      <c r="V19" s="164" t="str">
        <f t="shared" si="33"/>
        <v>0.00</v>
      </c>
      <c r="W19" s="172">
        <v>0.45</v>
      </c>
      <c r="X19" s="372" t="str">
        <f t="shared" si="34"/>
        <v>76</v>
      </c>
      <c r="Y19" s="168" t="str">
        <f t="shared" si="35"/>
        <v>131.725</v>
      </c>
      <c r="Z19" s="168" t="str">
        <f t="shared" si="36"/>
        <v>7.692</v>
      </c>
      <c r="AA19" s="164" t="str">
        <f t="shared" si="37"/>
        <v>3.38</v>
      </c>
      <c r="AB19" s="164">
        <v>93.24</v>
      </c>
      <c r="AC19" s="164" t="str">
        <f t="shared" si="38"/>
        <v>4.80</v>
      </c>
      <c r="AD19" s="164" t="str">
        <f t="shared" si="39"/>
        <v>71.85</v>
      </c>
      <c r="AE19" s="373"/>
      <c r="AF19" s="372" t="str">
        <f t="shared" si="40"/>
        <v>0</v>
      </c>
      <c r="AG19" s="164" t="str">
        <f t="shared" si="41"/>
        <v>20.20</v>
      </c>
      <c r="AH19" s="374" t="str">
        <f t="shared" si="42"/>
        <v>26.93%</v>
      </c>
      <c r="AI19" s="26"/>
      <c r="AJ19" s="171" t="str">
        <f t="shared" si="43"/>
        <v>0.00%</v>
      </c>
      <c r="AK19" s="172" t="str">
        <f t="shared" si="44"/>
        <v>0.00</v>
      </c>
      <c r="AL19" s="173" t="str">
        <f t="shared" si="45"/>
        <v>463.09</v>
      </c>
      <c r="AM19" s="174" t="str">
        <f t="shared" si="46"/>
        <v>328.79</v>
      </c>
    </row>
    <row r="20" ht="12.75" customHeight="1">
      <c r="A20" s="26"/>
      <c r="C20" s="375"/>
      <c r="D20" s="376" t="s">
        <v>781</v>
      </c>
      <c r="E20" s="32" t="s">
        <v>77</v>
      </c>
      <c r="F20" s="377"/>
      <c r="G20" s="377"/>
      <c r="H20" s="32" t="str">
        <f t="shared" si="24"/>
        <v>0.00069</v>
      </c>
      <c r="I20" s="32" t="str">
        <f t="shared" si="25"/>
        <v>89</v>
      </c>
      <c r="J20" s="32" t="str">
        <f t="shared" si="26"/>
        <v>0</v>
      </c>
      <c r="K20" s="172" t="str">
        <f t="shared" si="27"/>
        <v>0.00</v>
      </c>
      <c r="L20" s="368" t="str">
        <f t="shared" si="28"/>
        <v>0.00 </v>
      </c>
      <c r="M20" s="362">
        <v>90.0</v>
      </c>
      <c r="N20" s="369">
        <v>170.0</v>
      </c>
      <c r="O20" s="158">
        <v>597.0</v>
      </c>
      <c r="P20" s="173" t="str">
        <f t="shared" si="29"/>
        <v>597.00</v>
      </c>
      <c r="Q20" s="370">
        <v>15000.0</v>
      </c>
      <c r="R20" s="371">
        <v>0.26</v>
      </c>
      <c r="S20" s="164" t="str">
        <f t="shared" si="30"/>
        <v>441.78</v>
      </c>
      <c r="T20" s="164">
        <v>0.0</v>
      </c>
      <c r="U20" s="164" t="str">
        <f t="shared" si="32"/>
        <v>35.34</v>
      </c>
      <c r="V20" s="164" t="str">
        <f t="shared" si="33"/>
        <v>0.00</v>
      </c>
      <c r="W20" s="172">
        <v>0.45</v>
      </c>
      <c r="X20" s="372" t="str">
        <f t="shared" si="34"/>
        <v>76</v>
      </c>
      <c r="Y20" s="168" t="str">
        <f t="shared" si="35"/>
        <v>164.175</v>
      </c>
      <c r="Z20" s="168" t="str">
        <f t="shared" si="36"/>
        <v>9.587</v>
      </c>
      <c r="AA20" s="164" t="str">
        <f t="shared" si="37"/>
        <v>0.00</v>
      </c>
      <c r="AB20" s="164">
        <v>100.0</v>
      </c>
      <c r="AC20" s="164" t="str">
        <f t="shared" si="38"/>
        <v>4.80</v>
      </c>
      <c r="AD20" s="164" t="str">
        <f t="shared" si="39"/>
        <v>89.55</v>
      </c>
      <c r="AE20" s="373"/>
      <c r="AF20" s="372" t="str">
        <f t="shared" si="40"/>
        <v>0</v>
      </c>
      <c r="AG20" s="164" t="str">
        <f t="shared" si="41"/>
        <v>47.55</v>
      </c>
      <c r="AH20" s="374" t="str">
        <f t="shared" si="42"/>
        <v>27.97%</v>
      </c>
      <c r="AI20" s="26"/>
      <c r="AJ20" s="171" t="str">
        <f t="shared" si="43"/>
        <v>0.00%</v>
      </c>
      <c r="AK20" s="172" t="str">
        <f t="shared" si="44"/>
        <v>0.00</v>
      </c>
      <c r="AL20" s="173" t="str">
        <f t="shared" si="45"/>
        <v>529.90</v>
      </c>
      <c r="AM20" s="174" t="str">
        <f t="shared" si="46"/>
        <v>376.23</v>
      </c>
    </row>
    <row r="21" ht="12.75" customHeight="1">
      <c r="A21" s="26"/>
      <c r="B21" s="125" t="s">
        <v>104</v>
      </c>
      <c r="C21" s="126"/>
      <c r="D21" s="358" t="s">
        <v>782</v>
      </c>
      <c r="E21" s="359"/>
      <c r="F21" s="359"/>
      <c r="G21" s="359"/>
      <c r="H21" s="359"/>
      <c r="I21" s="378"/>
      <c r="J21" s="359"/>
      <c r="K21" s="360"/>
      <c r="L21" s="361"/>
      <c r="M21" s="362"/>
      <c r="N21" s="363"/>
      <c r="O21" s="134"/>
      <c r="P21" s="188"/>
      <c r="Q21" s="188"/>
      <c r="R21" s="364"/>
      <c r="S21" s="134"/>
      <c r="T21" s="178"/>
      <c r="U21" s="178"/>
      <c r="V21" s="178"/>
      <c r="W21" s="187"/>
      <c r="X21" s="187"/>
      <c r="Y21" s="182"/>
      <c r="Z21" s="182"/>
      <c r="AA21" s="178"/>
      <c r="AB21" s="178"/>
      <c r="AC21" s="178"/>
      <c r="AD21" s="178"/>
      <c r="AE21" s="365"/>
      <c r="AF21" s="365"/>
      <c r="AG21" s="178"/>
      <c r="AH21" s="366"/>
      <c r="AI21" s="26"/>
      <c r="AJ21" s="186"/>
      <c r="AK21" s="187"/>
      <c r="AL21" s="188"/>
      <c r="AM21" s="189"/>
    </row>
    <row r="22" ht="12.75" customHeight="1">
      <c r="A22" s="26"/>
      <c r="B22" s="190" t="s">
        <v>105</v>
      </c>
      <c r="C22" s="191"/>
      <c r="D22" s="367" t="s">
        <v>783</v>
      </c>
      <c r="E22" s="32" t="s">
        <v>77</v>
      </c>
      <c r="F22" s="32"/>
      <c r="G22" s="32"/>
      <c r="H22" s="32" t="str">
        <f t="shared" ref="H22:H23" si="47">$I$2</f>
        <v>0.00069</v>
      </c>
      <c r="I22" s="32" t="str">
        <f t="shared" ref="I22:I23" si="48">$I$3</f>
        <v>89</v>
      </c>
      <c r="J22" s="32" t="str">
        <f t="shared" ref="J22:J23" si="49">G22*H22*I22*F22</f>
        <v>0</v>
      </c>
      <c r="K22" s="172" t="str">
        <f t="shared" ref="K22:K23" si="50">J22*$J$4</f>
        <v>0.00</v>
      </c>
      <c r="L22" s="368" t="str">
        <f t="shared" ref="L22:L23" si="51">K22+J22</f>
        <v>0.00 </v>
      </c>
      <c r="M22" s="362">
        <v>90.0</v>
      </c>
      <c r="N22" s="369">
        <v>80.0</v>
      </c>
      <c r="O22" s="158">
        <v>596.0</v>
      </c>
      <c r="P22" s="173" t="str">
        <f t="shared" ref="P22:P23" si="52">O22</f>
        <v>596.00</v>
      </c>
      <c r="Q22" s="370">
        <v>12000.0</v>
      </c>
      <c r="R22" s="371">
        <v>0.26</v>
      </c>
      <c r="S22" s="164" t="str">
        <f>O22-(O22*R22)</f>
        <v>441.04</v>
      </c>
      <c r="T22" s="164" t="str">
        <f>$C$1</f>
        <v>60.00</v>
      </c>
      <c r="U22" s="164" t="str">
        <f>S22*$C$8</f>
        <v>35.28</v>
      </c>
      <c r="V22" s="164" t="str">
        <f>N22*$C$3*(M22/30)</f>
        <v>0.00</v>
      </c>
      <c r="W22" s="172">
        <v>2.27</v>
      </c>
      <c r="X22" s="372" t="str">
        <f>((_xlfn.CEILING.MATH(W22)-1)*$C$5+$C$4)</f>
        <v>114</v>
      </c>
      <c r="Y22" s="168" t="str">
        <f>O22*$Y$6</f>
        <v>163.900</v>
      </c>
      <c r="Z22" s="168" t="str">
        <f>S22*$Y$7</f>
        <v>9.571</v>
      </c>
      <c r="AA22" s="164" t="str">
        <f>$Y$3*((100-AB22)/100)</f>
        <v>2.28</v>
      </c>
      <c r="AB22" s="164">
        <v>95.45</v>
      </c>
      <c r="AC22" s="164" t="str">
        <f>$C$6*$C$7*_xlfn.CEILING.MATH(W22)</f>
        <v>14.40</v>
      </c>
      <c r="AD22" s="164" t="str">
        <f>O22*$C$2</f>
        <v>89.40</v>
      </c>
      <c r="AE22" s="373"/>
      <c r="AF22" s="372" t="str">
        <f>(_xlfn.CEILING.MATH(W22))*$Y$1*$AD$2</f>
        <v>0</v>
      </c>
      <c r="AG22" s="164" t="str">
        <f>O22-T22-U22-V22-X22-Y22-Z22-AA22-AC22-AD22-N22</f>
        <v>27.17</v>
      </c>
      <c r="AH22" s="374" t="str">
        <f>AG22/N22</f>
        <v>33.96%</v>
      </c>
      <c r="AI22" s="26"/>
      <c r="AJ22" s="171" t="str">
        <f t="shared" ref="AJ22:AJ23" si="53">$AD$3</f>
        <v>0.00%</v>
      </c>
      <c r="AK22" s="172" t="str">
        <f t="shared" ref="AK22:AK23" si="54">N22*AJ22</f>
        <v>0.00</v>
      </c>
      <c r="AL22" s="173" t="str">
        <f t="shared" ref="AL22:AL23" si="55">(N22+T22+V22+X22+AA22+AC22+AF22+AK22)/(100%-($C$2+$C$8+$Y$6+$Y$7))</f>
        <v>571.89</v>
      </c>
      <c r="AM22" s="174" t="str">
        <f t="shared" ref="AM22:AM23" si="56">AL22-(AL22*$AD$1)</f>
        <v>406.04</v>
      </c>
    </row>
    <row r="23" ht="12.75" customHeight="1">
      <c r="A23" s="26"/>
      <c r="B23" s="190" t="s">
        <v>107</v>
      </c>
      <c r="C23" s="191"/>
      <c r="D23" s="367" t="s">
        <v>784</v>
      </c>
      <c r="E23" s="32" t="s">
        <v>77</v>
      </c>
      <c r="F23" s="32"/>
      <c r="G23" s="32"/>
      <c r="H23" s="32" t="str">
        <f t="shared" si="47"/>
        <v>0.00069</v>
      </c>
      <c r="I23" s="32" t="str">
        <f t="shared" si="48"/>
        <v>89</v>
      </c>
      <c r="J23" s="32" t="str">
        <f t="shared" si="49"/>
        <v>0</v>
      </c>
      <c r="K23" s="172" t="str">
        <f t="shared" si="50"/>
        <v>0.00</v>
      </c>
      <c r="L23" s="368" t="str">
        <f t="shared" si="51"/>
        <v>0.00 </v>
      </c>
      <c r="M23" s="362">
        <v>90.0</v>
      </c>
      <c r="N23" s="369"/>
      <c r="O23" s="158"/>
      <c r="P23" s="173" t="str">
        <f t="shared" si="52"/>
        <v/>
      </c>
      <c r="Q23" s="370"/>
      <c r="R23" s="371"/>
      <c r="S23" s="164"/>
      <c r="T23" s="164"/>
      <c r="U23" s="164"/>
      <c r="V23" s="164"/>
      <c r="W23" s="172"/>
      <c r="X23" s="372"/>
      <c r="Y23" s="168"/>
      <c r="Z23" s="168"/>
      <c r="AA23" s="164"/>
      <c r="AB23" s="164"/>
      <c r="AC23" s="164"/>
      <c r="AD23" s="164"/>
      <c r="AE23" s="373"/>
      <c r="AF23" s="372"/>
      <c r="AG23" s="164"/>
      <c r="AH23" s="374"/>
      <c r="AI23" s="26"/>
      <c r="AJ23" s="171" t="str">
        <f t="shared" si="53"/>
        <v>0.00%</v>
      </c>
      <c r="AK23" s="172" t="str">
        <f t="shared" si="54"/>
        <v>0.00</v>
      </c>
      <c r="AL23" s="173" t="str">
        <f t="shared" si="55"/>
        <v>0.00</v>
      </c>
      <c r="AM23" s="174" t="str">
        <f t="shared" si="56"/>
        <v>0.00</v>
      </c>
    </row>
    <row r="24" ht="12.75" customHeight="1">
      <c r="A24" s="26"/>
      <c r="B24" s="125" t="s">
        <v>111</v>
      </c>
      <c r="C24" s="126"/>
      <c r="D24" s="358" t="s">
        <v>785</v>
      </c>
      <c r="E24" s="359"/>
      <c r="F24" s="359"/>
      <c r="G24" s="359"/>
      <c r="H24" s="378"/>
      <c r="I24" s="378"/>
      <c r="J24" s="359"/>
      <c r="K24" s="360"/>
      <c r="L24" s="361"/>
      <c r="M24" s="362"/>
      <c r="N24" s="363"/>
      <c r="O24" s="134"/>
      <c r="P24" s="188"/>
      <c r="Q24" s="188"/>
      <c r="R24" s="364"/>
      <c r="S24" s="134"/>
      <c r="T24" s="178"/>
      <c r="U24" s="178"/>
      <c r="V24" s="178"/>
      <c r="W24" s="187"/>
      <c r="X24" s="187"/>
      <c r="Y24" s="182"/>
      <c r="Z24" s="182"/>
      <c r="AA24" s="178"/>
      <c r="AB24" s="178"/>
      <c r="AC24" s="178"/>
      <c r="AD24" s="178"/>
      <c r="AE24" s="365"/>
      <c r="AF24" s="365"/>
      <c r="AG24" s="178"/>
      <c r="AH24" s="366"/>
      <c r="AI24" s="26"/>
      <c r="AJ24" s="186"/>
      <c r="AK24" s="187"/>
      <c r="AL24" s="188"/>
      <c r="AM24" s="189"/>
    </row>
    <row r="25" ht="12.75" customHeight="1">
      <c r="A25" s="26"/>
      <c r="B25" s="12"/>
      <c r="C25" s="216"/>
      <c r="D25" s="367" t="s">
        <v>786</v>
      </c>
      <c r="E25" s="32" t="s">
        <v>77</v>
      </c>
      <c r="F25" s="32"/>
      <c r="G25" s="32"/>
      <c r="H25" s="32"/>
      <c r="I25" s="32"/>
      <c r="J25" s="32"/>
      <c r="K25" s="172"/>
      <c r="L25" s="368"/>
      <c r="M25" s="362">
        <v>90.0</v>
      </c>
      <c r="N25" s="369">
        <v>100.0</v>
      </c>
      <c r="O25" s="158">
        <v>647.0</v>
      </c>
      <c r="P25" s="173" t="str">
        <f t="shared" ref="P25:P26" si="57">O25</f>
        <v>647.00</v>
      </c>
      <c r="Q25" s="370">
        <v>3000.0</v>
      </c>
      <c r="R25" s="371">
        <v>0.26</v>
      </c>
      <c r="S25" s="164" t="str">
        <f t="shared" ref="S25:S26" si="58">O25-(O25*R25)</f>
        <v>478.78</v>
      </c>
      <c r="T25" s="164" t="str">
        <f t="shared" ref="T25:T26" si="59">$C$1</f>
        <v>60.00</v>
      </c>
      <c r="U25" s="164" t="str">
        <f t="shared" ref="U25:U26" si="60">S25*$C$8</f>
        <v>38.30</v>
      </c>
      <c r="V25" s="164" t="str">
        <f t="shared" ref="V25:V26" si="61">N25*$C$3*(M25/30)</f>
        <v>0.00</v>
      </c>
      <c r="W25" s="172">
        <v>2.27</v>
      </c>
      <c r="X25" s="372" t="str">
        <f t="shared" ref="X25:X26" si="62">((_xlfn.CEILING.MATH(W25)-1)*$C$5+$C$4)</f>
        <v>114</v>
      </c>
      <c r="Y25" s="168" t="str">
        <f t="shared" ref="Y25:Y26" si="63">O25*$Y$6</f>
        <v>177.925</v>
      </c>
      <c r="Z25" s="168" t="str">
        <f t="shared" ref="Z25:Z26" si="64">S25*$Y$7</f>
        <v>10.390</v>
      </c>
      <c r="AA25" s="164" t="str">
        <f t="shared" ref="AA25:AA26" si="65">$Y$3*((100-AB25)/100)</f>
        <v>2.28</v>
      </c>
      <c r="AB25" s="164">
        <v>95.45</v>
      </c>
      <c r="AC25" s="164" t="str">
        <f t="shared" ref="AC25:AC26" si="66">$C$6*$C$7*_xlfn.CEILING.MATH(W25)</f>
        <v>14.40</v>
      </c>
      <c r="AD25" s="164" t="str">
        <f t="shared" ref="AD25:AD26" si="67">O25*$C$2</f>
        <v>97.05</v>
      </c>
      <c r="AE25" s="373"/>
      <c r="AF25" s="372" t="str">
        <f t="shared" ref="AF25:AF26" si="68">(_xlfn.CEILING.MATH(W25))*$Y$1*$AD$2</f>
        <v>0</v>
      </c>
      <c r="AG25" s="164" t="str">
        <f t="shared" ref="AG25:AG26" si="69">O25-T25-U25-V25-X25-Y25-Z25-AA25-AC25-AD25-N25</f>
        <v>32.66</v>
      </c>
      <c r="AH25" s="374" t="str">
        <f t="shared" ref="AH25:AH26" si="70">AG25/N25</f>
        <v>32.66%</v>
      </c>
      <c r="AI25" s="26"/>
      <c r="AJ25" s="26"/>
      <c r="AK25" s="27"/>
      <c r="AL25" s="28"/>
      <c r="AM25" s="29"/>
    </row>
    <row r="26" ht="12.75" customHeight="1">
      <c r="A26" s="26"/>
      <c r="B26" s="12"/>
      <c r="C26" s="216"/>
      <c r="D26" s="367" t="s">
        <v>787</v>
      </c>
      <c r="E26" s="32" t="s">
        <v>77</v>
      </c>
      <c r="F26" s="32"/>
      <c r="G26" s="32"/>
      <c r="H26" s="32"/>
      <c r="I26" s="32"/>
      <c r="J26" s="32"/>
      <c r="K26" s="172"/>
      <c r="L26" s="368"/>
      <c r="M26" s="362">
        <v>90.0</v>
      </c>
      <c r="N26" s="369">
        <v>170.0</v>
      </c>
      <c r="O26" s="158">
        <v>834.0</v>
      </c>
      <c r="P26" s="173" t="str">
        <f t="shared" si="57"/>
        <v>834.00</v>
      </c>
      <c r="Q26" s="370">
        <v>2000.0</v>
      </c>
      <c r="R26" s="371">
        <v>0.26</v>
      </c>
      <c r="S26" s="164" t="str">
        <f t="shared" si="58"/>
        <v>617.16</v>
      </c>
      <c r="T26" s="164" t="str">
        <f t="shared" si="59"/>
        <v>60.00</v>
      </c>
      <c r="U26" s="164" t="str">
        <f t="shared" si="60"/>
        <v>49.37</v>
      </c>
      <c r="V26" s="164" t="str">
        <f t="shared" si="61"/>
        <v>0.00</v>
      </c>
      <c r="W26" s="172">
        <v>2.27</v>
      </c>
      <c r="X26" s="372" t="str">
        <f t="shared" si="62"/>
        <v>114</v>
      </c>
      <c r="Y26" s="168" t="str">
        <f t="shared" si="63"/>
        <v>229.350</v>
      </c>
      <c r="Z26" s="168" t="str">
        <f t="shared" si="64"/>
        <v>13.392</v>
      </c>
      <c r="AA26" s="164" t="str">
        <f t="shared" si="65"/>
        <v>2.28</v>
      </c>
      <c r="AB26" s="164">
        <v>95.45</v>
      </c>
      <c r="AC26" s="164" t="str">
        <f t="shared" si="66"/>
        <v>14.40</v>
      </c>
      <c r="AD26" s="164" t="str">
        <f t="shared" si="67"/>
        <v>125.10</v>
      </c>
      <c r="AE26" s="373"/>
      <c r="AF26" s="372" t="str">
        <f t="shared" si="68"/>
        <v>0</v>
      </c>
      <c r="AG26" s="164" t="str">
        <f t="shared" si="69"/>
        <v>56.11</v>
      </c>
      <c r="AH26" s="374" t="str">
        <f t="shared" si="70"/>
        <v>33.01%</v>
      </c>
      <c r="AI26" s="26"/>
      <c r="AJ26" s="26"/>
      <c r="AK26" s="27"/>
      <c r="AL26" s="28"/>
      <c r="AM26" s="29"/>
    </row>
    <row r="27" ht="12.75" customHeight="1">
      <c r="A27" s="26"/>
      <c r="B27" s="12"/>
      <c r="C27" s="240"/>
      <c r="D27" s="241"/>
      <c r="E27" s="5"/>
      <c r="F27" s="5"/>
      <c r="G27" s="5"/>
      <c r="H27" s="5"/>
      <c r="I27" s="5"/>
      <c r="J27" s="5"/>
      <c r="K27" s="8"/>
      <c r="L27" s="9"/>
      <c r="M27" s="10"/>
      <c r="N27" s="255"/>
      <c r="O27" s="242"/>
      <c r="P27" s="243"/>
      <c r="Q27" s="243"/>
      <c r="R27" s="14"/>
      <c r="S27" s="242"/>
      <c r="T27" s="15"/>
      <c r="U27" s="15"/>
      <c r="V27" s="15"/>
      <c r="W27" s="8"/>
      <c r="X27" s="8"/>
      <c r="Y27" s="56"/>
      <c r="Z27" s="56"/>
      <c r="AA27" s="15"/>
      <c r="AB27" s="15"/>
      <c r="AC27" s="15"/>
      <c r="AD27" s="15"/>
      <c r="AE27" s="57"/>
      <c r="AF27" s="57"/>
      <c r="AG27" s="15"/>
      <c r="AH27" s="25"/>
      <c r="AI27" s="26"/>
      <c r="AJ27" s="26"/>
      <c r="AK27" s="27"/>
      <c r="AL27" s="28"/>
      <c r="AM27" s="29"/>
    </row>
    <row r="28" ht="12.75" customHeight="1">
      <c r="A28" s="26"/>
      <c r="B28" s="12"/>
      <c r="C28" s="240"/>
      <c r="D28" s="241"/>
      <c r="E28" s="5"/>
      <c r="F28" s="5"/>
      <c r="G28" s="5"/>
      <c r="H28" s="5"/>
      <c r="I28" s="5"/>
      <c r="J28" s="5"/>
      <c r="K28" s="8"/>
      <c r="L28" s="9"/>
      <c r="M28" s="10"/>
      <c r="N28" s="255"/>
      <c r="O28" s="242"/>
      <c r="P28" s="243"/>
      <c r="Q28" s="243"/>
      <c r="R28" s="14"/>
      <c r="S28" s="242"/>
      <c r="T28" s="15"/>
      <c r="U28" s="15"/>
      <c r="V28" s="15"/>
      <c r="W28" s="8"/>
      <c r="X28" s="8"/>
      <c r="Y28" s="56"/>
      <c r="Z28" s="56"/>
      <c r="AA28" s="15"/>
      <c r="AB28" s="15"/>
      <c r="AC28" s="15"/>
      <c r="AD28" s="15"/>
      <c r="AE28" s="57"/>
      <c r="AF28" s="57"/>
      <c r="AG28" s="15"/>
      <c r="AH28" s="25"/>
      <c r="AI28" s="26"/>
      <c r="AJ28" s="26"/>
      <c r="AK28" s="27"/>
      <c r="AL28" s="28"/>
      <c r="AM28" s="29"/>
    </row>
    <row r="29" ht="12.75" customHeight="1">
      <c r="A29" s="26"/>
      <c r="B29" s="12"/>
      <c r="C29" s="240"/>
      <c r="D29" s="241"/>
      <c r="E29" s="5"/>
      <c r="F29" s="5"/>
      <c r="G29" s="5"/>
      <c r="H29" s="5"/>
      <c r="I29" s="5"/>
      <c r="J29" s="5"/>
      <c r="K29" s="8"/>
      <c r="L29" s="9"/>
      <c r="M29" s="10"/>
      <c r="N29" s="255"/>
      <c r="O29" s="242"/>
      <c r="P29" s="243"/>
      <c r="Q29" s="243"/>
      <c r="R29" s="14"/>
      <c r="S29" s="242"/>
      <c r="T29" s="15"/>
      <c r="U29" s="15"/>
      <c r="V29" s="15"/>
      <c r="W29" s="8"/>
      <c r="X29" s="8"/>
      <c r="Y29" s="56"/>
      <c r="Z29" s="56"/>
      <c r="AA29" s="15"/>
      <c r="AB29" s="15"/>
      <c r="AC29" s="15"/>
      <c r="AD29" s="15"/>
      <c r="AE29" s="57"/>
      <c r="AF29" s="57"/>
      <c r="AG29" s="15"/>
      <c r="AH29" s="25"/>
      <c r="AI29" s="26"/>
      <c r="AJ29" s="26"/>
      <c r="AK29" s="27"/>
      <c r="AL29" s="28"/>
      <c r="AM29" s="29"/>
    </row>
    <row r="30" ht="12.75" customHeight="1">
      <c r="A30" s="26"/>
      <c r="B30" s="12"/>
      <c r="C30" s="240"/>
      <c r="D30" s="241"/>
      <c r="E30" s="5"/>
      <c r="F30" s="5"/>
      <c r="G30" s="5"/>
      <c r="H30" s="5"/>
      <c r="I30" s="5"/>
      <c r="J30" s="5"/>
      <c r="K30" s="8"/>
      <c r="L30" s="9"/>
      <c r="M30" s="10"/>
      <c r="N30" s="255"/>
      <c r="O30" s="242"/>
      <c r="P30" s="243"/>
      <c r="Q30" s="243"/>
      <c r="R30" s="14"/>
      <c r="S30" s="242"/>
      <c r="T30" s="15"/>
      <c r="U30" s="15"/>
      <c r="V30" s="15"/>
      <c r="W30" s="8"/>
      <c r="X30" s="8"/>
      <c r="Y30" s="56"/>
      <c r="Z30" s="56"/>
      <c r="AA30" s="15"/>
      <c r="AB30" s="15"/>
      <c r="AC30" s="15"/>
      <c r="AD30" s="15"/>
      <c r="AE30" s="57"/>
      <c r="AF30" s="57"/>
      <c r="AG30" s="15"/>
      <c r="AH30" s="25"/>
      <c r="AI30" s="26"/>
      <c r="AJ30" s="26"/>
      <c r="AK30" s="27"/>
      <c r="AL30" s="28"/>
      <c r="AM30" s="29"/>
    </row>
    <row r="31" ht="12.75" customHeight="1">
      <c r="A31" s="26"/>
      <c r="B31" s="12"/>
      <c r="C31" s="240"/>
      <c r="D31" s="241"/>
      <c r="E31" s="5"/>
      <c r="F31" s="5"/>
      <c r="G31" s="5"/>
      <c r="H31" s="5"/>
      <c r="I31" s="5"/>
      <c r="J31" s="5"/>
      <c r="K31" s="8"/>
      <c r="L31" s="9"/>
      <c r="M31" s="10"/>
      <c r="N31" s="255"/>
      <c r="O31" s="242"/>
      <c r="P31" s="243"/>
      <c r="Q31" s="243"/>
      <c r="R31" s="14"/>
      <c r="S31" s="242"/>
      <c r="T31" s="15"/>
      <c r="U31" s="15"/>
      <c r="V31" s="15"/>
      <c r="W31" s="8"/>
      <c r="X31" s="8"/>
      <c r="Y31" s="56"/>
      <c r="Z31" s="56"/>
      <c r="AA31" s="15"/>
      <c r="AB31" s="15"/>
      <c r="AC31" s="15"/>
      <c r="AD31" s="15"/>
      <c r="AE31" s="57"/>
      <c r="AF31" s="57"/>
      <c r="AG31" s="15"/>
      <c r="AH31" s="25"/>
      <c r="AI31" s="26"/>
      <c r="AJ31" s="26"/>
      <c r="AK31" s="27"/>
      <c r="AL31" s="28"/>
      <c r="AM31" s="29"/>
    </row>
    <row r="32" ht="12.75" customHeight="1">
      <c r="A32" s="26"/>
      <c r="B32" s="12"/>
      <c r="C32" s="240"/>
      <c r="D32" s="241"/>
      <c r="E32" s="5"/>
      <c r="F32" s="5"/>
      <c r="G32" s="5"/>
      <c r="H32" s="5"/>
      <c r="I32" s="5"/>
      <c r="J32" s="5"/>
      <c r="K32" s="8"/>
      <c r="L32" s="9"/>
      <c r="M32" s="10"/>
      <c r="N32" s="255"/>
      <c r="O32" s="242"/>
      <c r="P32" s="243"/>
      <c r="Q32" s="243"/>
      <c r="R32" s="14"/>
      <c r="S32" s="242"/>
      <c r="T32" s="15"/>
      <c r="U32" s="15"/>
      <c r="V32" s="15"/>
      <c r="W32" s="8"/>
      <c r="X32" s="8"/>
      <c r="Y32" s="56"/>
      <c r="Z32" s="56"/>
      <c r="AA32" s="15"/>
      <c r="AB32" s="15"/>
      <c r="AC32" s="15"/>
      <c r="AD32" s="15"/>
      <c r="AE32" s="57"/>
      <c r="AF32" s="57"/>
      <c r="AG32" s="15"/>
      <c r="AH32" s="25"/>
      <c r="AI32" s="26"/>
      <c r="AJ32" s="26"/>
      <c r="AK32" s="27"/>
      <c r="AL32" s="28"/>
      <c r="AM32" s="29"/>
    </row>
    <row r="33" ht="12.75" customHeight="1">
      <c r="A33" s="26"/>
      <c r="B33" s="12"/>
      <c r="C33" s="240"/>
      <c r="D33" s="241"/>
      <c r="E33" s="5"/>
      <c r="F33" s="5"/>
      <c r="G33" s="5"/>
      <c r="H33" s="5"/>
      <c r="I33" s="5"/>
      <c r="J33" s="5"/>
      <c r="K33" s="8"/>
      <c r="L33" s="9"/>
      <c r="M33" s="10"/>
      <c r="N33" s="255"/>
      <c r="O33" s="242"/>
      <c r="P33" s="243"/>
      <c r="Q33" s="243"/>
      <c r="R33" s="14"/>
      <c r="S33" s="242"/>
      <c r="T33" s="15"/>
      <c r="U33" s="15"/>
      <c r="V33" s="15"/>
      <c r="W33" s="8"/>
      <c r="X33" s="8"/>
      <c r="Y33" s="56"/>
      <c r="Z33" s="56"/>
      <c r="AA33" s="15"/>
      <c r="AB33" s="15"/>
      <c r="AC33" s="15"/>
      <c r="AD33" s="15"/>
      <c r="AE33" s="57"/>
      <c r="AF33" s="57"/>
      <c r="AG33" s="15"/>
      <c r="AH33" s="25"/>
      <c r="AI33" s="26"/>
      <c r="AJ33" s="26"/>
      <c r="AK33" s="27"/>
      <c r="AL33" s="28"/>
      <c r="AM33" s="29"/>
    </row>
    <row r="34" ht="12.75" customHeight="1">
      <c r="A34" s="26"/>
      <c r="B34" s="12"/>
      <c r="C34" s="240"/>
      <c r="D34" s="241"/>
      <c r="E34" s="5"/>
      <c r="F34" s="5"/>
      <c r="G34" s="5"/>
      <c r="H34" s="5"/>
      <c r="I34" s="5"/>
      <c r="J34" s="5"/>
      <c r="K34" s="8"/>
      <c r="L34" s="9"/>
      <c r="M34" s="10"/>
      <c r="N34" s="255"/>
      <c r="O34" s="242"/>
      <c r="P34" s="243"/>
      <c r="Q34" s="243"/>
      <c r="R34" s="14"/>
      <c r="S34" s="242"/>
      <c r="T34" s="15"/>
      <c r="U34" s="15"/>
      <c r="V34" s="15"/>
      <c r="W34" s="8"/>
      <c r="X34" s="8"/>
      <c r="Y34" s="56"/>
      <c r="Z34" s="56"/>
      <c r="AA34" s="15"/>
      <c r="AB34" s="15"/>
      <c r="AC34" s="15"/>
      <c r="AD34" s="15"/>
      <c r="AE34" s="57"/>
      <c r="AF34" s="57"/>
      <c r="AG34" s="15"/>
      <c r="AH34" s="25"/>
      <c r="AI34" s="26"/>
      <c r="AJ34" s="26"/>
      <c r="AK34" s="27"/>
      <c r="AL34" s="28"/>
      <c r="AM34" s="29"/>
    </row>
    <row r="35" ht="12.75" customHeight="1">
      <c r="A35" s="26"/>
      <c r="B35" s="12"/>
      <c r="C35" s="240"/>
      <c r="D35" s="241"/>
      <c r="E35" s="5"/>
      <c r="F35" s="5"/>
      <c r="G35" s="5"/>
      <c r="H35" s="5"/>
      <c r="I35" s="5"/>
      <c r="J35" s="5"/>
      <c r="K35" s="8"/>
      <c r="L35" s="9"/>
      <c r="M35" s="10"/>
      <c r="N35" s="255"/>
      <c r="O35" s="242"/>
      <c r="P35" s="243"/>
      <c r="Q35" s="243"/>
      <c r="R35" s="14"/>
      <c r="S35" s="242"/>
      <c r="T35" s="15"/>
      <c r="U35" s="15"/>
      <c r="V35" s="15"/>
      <c r="W35" s="8"/>
      <c r="X35" s="8"/>
      <c r="Y35" s="56"/>
      <c r="Z35" s="56"/>
      <c r="AA35" s="15"/>
      <c r="AB35" s="15"/>
      <c r="AC35" s="15"/>
      <c r="AD35" s="15"/>
      <c r="AE35" s="57"/>
      <c r="AF35" s="57"/>
      <c r="AG35" s="15"/>
      <c r="AH35" s="25"/>
      <c r="AI35" s="26"/>
      <c r="AJ35" s="26"/>
      <c r="AK35" s="27"/>
      <c r="AL35" s="28"/>
      <c r="AM35" s="29"/>
    </row>
    <row r="36" ht="12.75" customHeight="1">
      <c r="A36" s="26"/>
      <c r="B36" s="12"/>
      <c r="C36" s="240"/>
      <c r="D36" s="241"/>
      <c r="E36" s="5"/>
      <c r="F36" s="5"/>
      <c r="G36" s="5"/>
      <c r="H36" s="5"/>
      <c r="I36" s="5"/>
      <c r="J36" s="5"/>
      <c r="K36" s="8"/>
      <c r="L36" s="9"/>
      <c r="M36" s="10"/>
      <c r="N36" s="255"/>
      <c r="O36" s="242"/>
      <c r="P36" s="243"/>
      <c r="Q36" s="243"/>
      <c r="R36" s="14"/>
      <c r="S36" s="242"/>
      <c r="T36" s="15"/>
      <c r="U36" s="15"/>
      <c r="V36" s="15"/>
      <c r="W36" s="8"/>
      <c r="X36" s="8"/>
      <c r="Y36" s="56"/>
      <c r="Z36" s="56"/>
      <c r="AA36" s="15"/>
      <c r="AB36" s="15"/>
      <c r="AC36" s="15"/>
      <c r="AD36" s="15"/>
      <c r="AE36" s="57"/>
      <c r="AF36" s="57"/>
      <c r="AG36" s="15"/>
      <c r="AH36" s="25"/>
      <c r="AI36" s="26"/>
      <c r="AJ36" s="26"/>
      <c r="AK36" s="27"/>
      <c r="AL36" s="28"/>
      <c r="AM36" s="29"/>
    </row>
    <row r="37" ht="12.75" customHeight="1">
      <c r="A37" s="26"/>
      <c r="B37" s="12"/>
      <c r="C37" s="240"/>
      <c r="D37" s="241"/>
      <c r="E37" s="5"/>
      <c r="F37" s="5"/>
      <c r="G37" s="5"/>
      <c r="H37" s="5"/>
      <c r="I37" s="5"/>
      <c r="J37" s="5"/>
      <c r="K37" s="8"/>
      <c r="L37" s="9"/>
      <c r="M37" s="10"/>
      <c r="N37" s="255"/>
      <c r="O37" s="242"/>
      <c r="P37" s="243"/>
      <c r="Q37" s="243"/>
      <c r="R37" s="14"/>
      <c r="S37" s="242"/>
      <c r="T37" s="15"/>
      <c r="U37" s="15"/>
      <c r="V37" s="15"/>
      <c r="W37" s="8"/>
      <c r="X37" s="8"/>
      <c r="Y37" s="56"/>
      <c r="Z37" s="56"/>
      <c r="AA37" s="15"/>
      <c r="AB37" s="15"/>
      <c r="AC37" s="15"/>
      <c r="AD37" s="15"/>
      <c r="AE37" s="57"/>
      <c r="AF37" s="57"/>
      <c r="AG37" s="15"/>
      <c r="AH37" s="25"/>
      <c r="AI37" s="26"/>
      <c r="AJ37" s="26"/>
      <c r="AK37" s="27"/>
      <c r="AL37" s="28"/>
      <c r="AM37" s="29"/>
    </row>
    <row r="38" ht="12.75" customHeight="1">
      <c r="A38" s="26"/>
      <c r="B38" s="12"/>
      <c r="C38" s="240"/>
      <c r="D38" s="241"/>
      <c r="E38" s="5"/>
      <c r="F38" s="5"/>
      <c r="G38" s="5"/>
      <c r="H38" s="5"/>
      <c r="I38" s="5"/>
      <c r="J38" s="5"/>
      <c r="K38" s="8"/>
      <c r="L38" s="9"/>
      <c r="M38" s="10"/>
      <c r="N38" s="255"/>
      <c r="O38" s="242"/>
      <c r="P38" s="243"/>
      <c r="Q38" s="243"/>
      <c r="R38" s="14"/>
      <c r="S38" s="242"/>
      <c r="T38" s="15"/>
      <c r="U38" s="15"/>
      <c r="V38" s="15"/>
      <c r="W38" s="8"/>
      <c r="X38" s="8"/>
      <c r="Y38" s="56"/>
      <c r="Z38" s="56"/>
      <c r="AA38" s="15"/>
      <c r="AB38" s="15"/>
      <c r="AC38" s="15"/>
      <c r="AD38" s="15"/>
      <c r="AE38" s="57"/>
      <c r="AF38" s="57"/>
      <c r="AG38" s="15"/>
      <c r="AH38" s="25"/>
      <c r="AI38" s="26"/>
      <c r="AJ38" s="26"/>
      <c r="AK38" s="27"/>
      <c r="AL38" s="28"/>
      <c r="AM38" s="29"/>
    </row>
    <row r="39" ht="12.75" customHeight="1">
      <c r="A39" s="26"/>
      <c r="B39" s="12"/>
      <c r="C39" s="240"/>
      <c r="D39" s="241"/>
      <c r="E39" s="5"/>
      <c r="F39" s="5"/>
      <c r="G39" s="5"/>
      <c r="H39" s="5"/>
      <c r="I39" s="5"/>
      <c r="J39" s="5"/>
      <c r="K39" s="8"/>
      <c r="L39" s="9"/>
      <c r="M39" s="10"/>
      <c r="N39" s="255"/>
      <c r="O39" s="242"/>
      <c r="P39" s="243"/>
      <c r="Q39" s="243"/>
      <c r="R39" s="14"/>
      <c r="S39" s="242"/>
      <c r="T39" s="15"/>
      <c r="U39" s="15"/>
      <c r="V39" s="15"/>
      <c r="W39" s="8"/>
      <c r="X39" s="8"/>
      <c r="Y39" s="56"/>
      <c r="Z39" s="56"/>
      <c r="AA39" s="15"/>
      <c r="AB39" s="15"/>
      <c r="AC39" s="15"/>
      <c r="AD39" s="15"/>
      <c r="AE39" s="57"/>
      <c r="AF39" s="57"/>
      <c r="AG39" s="15"/>
      <c r="AH39" s="25"/>
      <c r="AI39" s="26"/>
      <c r="AJ39" s="26"/>
      <c r="AK39" s="27"/>
      <c r="AL39" s="28"/>
      <c r="AM39" s="29"/>
    </row>
    <row r="40" ht="12.75" customHeight="1">
      <c r="A40" s="26"/>
      <c r="B40" s="12"/>
      <c r="C40" s="240"/>
      <c r="D40" s="241"/>
      <c r="E40" s="5"/>
      <c r="F40" s="5"/>
      <c r="G40" s="5"/>
      <c r="H40" s="5"/>
      <c r="I40" s="5"/>
      <c r="J40" s="5"/>
      <c r="K40" s="8"/>
      <c r="L40" s="9"/>
      <c r="M40" s="10"/>
      <c r="N40" s="255"/>
      <c r="O40" s="242"/>
      <c r="P40" s="243"/>
      <c r="Q40" s="243"/>
      <c r="R40" s="14"/>
      <c r="S40" s="242"/>
      <c r="T40" s="15"/>
      <c r="U40" s="15"/>
      <c r="V40" s="15"/>
      <c r="W40" s="8"/>
      <c r="X40" s="8"/>
      <c r="Y40" s="56"/>
      <c r="Z40" s="56"/>
      <c r="AA40" s="15"/>
      <c r="AB40" s="15"/>
      <c r="AC40" s="15"/>
      <c r="AD40" s="15"/>
      <c r="AE40" s="57"/>
      <c r="AF40" s="57"/>
      <c r="AG40" s="15"/>
      <c r="AH40" s="25"/>
      <c r="AI40" s="26"/>
      <c r="AJ40" s="26"/>
      <c r="AK40" s="27"/>
      <c r="AL40" s="28"/>
      <c r="AM40" s="29"/>
    </row>
    <row r="41" ht="12.75" customHeight="1">
      <c r="A41" s="26"/>
      <c r="B41" s="12"/>
      <c r="C41" s="240"/>
      <c r="D41" s="241"/>
      <c r="E41" s="5"/>
      <c r="F41" s="5"/>
      <c r="G41" s="5"/>
      <c r="H41" s="5"/>
      <c r="I41" s="5"/>
      <c r="J41" s="5"/>
      <c r="K41" s="8"/>
      <c r="L41" s="9"/>
      <c r="M41" s="10"/>
      <c r="N41" s="255"/>
      <c r="O41" s="242"/>
      <c r="P41" s="243"/>
      <c r="Q41" s="243"/>
      <c r="R41" s="14"/>
      <c r="S41" s="242"/>
      <c r="T41" s="15"/>
      <c r="U41" s="15"/>
      <c r="V41" s="15"/>
      <c r="W41" s="8"/>
      <c r="X41" s="8"/>
      <c r="Y41" s="56"/>
      <c r="Z41" s="56"/>
      <c r="AA41" s="15"/>
      <c r="AB41" s="15"/>
      <c r="AC41" s="15"/>
      <c r="AD41" s="15"/>
      <c r="AE41" s="57"/>
      <c r="AF41" s="57"/>
      <c r="AG41" s="15"/>
      <c r="AH41" s="25"/>
      <c r="AI41" s="26"/>
      <c r="AJ41" s="26"/>
      <c r="AK41" s="27"/>
      <c r="AL41" s="28"/>
      <c r="AM41" s="29"/>
    </row>
    <row r="42" ht="12.75" customHeight="1">
      <c r="A42" s="26"/>
      <c r="B42" s="12"/>
      <c r="C42" s="240"/>
      <c r="D42" s="241"/>
      <c r="E42" s="5"/>
      <c r="F42" s="5"/>
      <c r="G42" s="5"/>
      <c r="H42" s="5"/>
      <c r="I42" s="5"/>
      <c r="J42" s="5"/>
      <c r="K42" s="8"/>
      <c r="L42" s="9"/>
      <c r="M42" s="10"/>
      <c r="N42" s="255"/>
      <c r="O42" s="242"/>
      <c r="P42" s="243"/>
      <c r="Q42" s="243"/>
      <c r="R42" s="14"/>
      <c r="S42" s="242"/>
      <c r="T42" s="15"/>
      <c r="U42" s="15"/>
      <c r="V42" s="15"/>
      <c r="W42" s="8"/>
      <c r="X42" s="8"/>
      <c r="Y42" s="56"/>
      <c r="Z42" s="56"/>
      <c r="AA42" s="15"/>
      <c r="AB42" s="15"/>
      <c r="AC42" s="15"/>
      <c r="AD42" s="15"/>
      <c r="AE42" s="57"/>
      <c r="AF42" s="57"/>
      <c r="AG42" s="15"/>
      <c r="AH42" s="25"/>
      <c r="AI42" s="26"/>
      <c r="AJ42" s="26"/>
      <c r="AK42" s="27"/>
      <c r="AL42" s="28"/>
      <c r="AM42" s="29"/>
    </row>
    <row r="43" ht="12.75" customHeight="1">
      <c r="A43" s="26"/>
      <c r="B43" s="12"/>
      <c r="C43" s="240"/>
      <c r="D43" s="241"/>
      <c r="E43" s="5"/>
      <c r="F43" s="5"/>
      <c r="G43" s="5"/>
      <c r="H43" s="5"/>
      <c r="I43" s="5"/>
      <c r="J43" s="5"/>
      <c r="K43" s="8"/>
      <c r="L43" s="9"/>
      <c r="M43" s="10"/>
      <c r="N43" s="255"/>
      <c r="O43" s="242"/>
      <c r="P43" s="243"/>
      <c r="Q43" s="243"/>
      <c r="R43" s="14"/>
      <c r="S43" s="242"/>
      <c r="T43" s="15"/>
      <c r="U43" s="15"/>
      <c r="V43" s="15"/>
      <c r="W43" s="8"/>
      <c r="X43" s="8"/>
      <c r="Y43" s="56"/>
      <c r="Z43" s="56"/>
      <c r="AA43" s="15"/>
      <c r="AB43" s="15"/>
      <c r="AC43" s="15"/>
      <c r="AD43" s="15"/>
      <c r="AE43" s="57"/>
      <c r="AF43" s="57"/>
      <c r="AG43" s="15"/>
      <c r="AH43" s="25"/>
      <c r="AI43" s="26"/>
      <c r="AJ43" s="26"/>
      <c r="AK43" s="27"/>
      <c r="AL43" s="28"/>
      <c r="AM43" s="29"/>
    </row>
    <row r="44" ht="12.75" customHeight="1">
      <c r="A44" s="26"/>
      <c r="B44" s="12"/>
      <c r="C44" s="240"/>
      <c r="D44" s="241"/>
      <c r="E44" s="5"/>
      <c r="F44" s="5"/>
      <c r="G44" s="5"/>
      <c r="H44" s="5"/>
      <c r="I44" s="5"/>
      <c r="J44" s="5"/>
      <c r="K44" s="8"/>
      <c r="L44" s="9"/>
      <c r="M44" s="10"/>
      <c r="N44" s="255"/>
      <c r="O44" s="242"/>
      <c r="P44" s="243"/>
      <c r="Q44" s="243"/>
      <c r="R44" s="14"/>
      <c r="S44" s="242"/>
      <c r="T44" s="15"/>
      <c r="U44" s="15"/>
      <c r="V44" s="15"/>
      <c r="W44" s="8"/>
      <c r="X44" s="8"/>
      <c r="Y44" s="56"/>
      <c r="Z44" s="56"/>
      <c r="AA44" s="15"/>
      <c r="AB44" s="15"/>
      <c r="AC44" s="15"/>
      <c r="AD44" s="15"/>
      <c r="AE44" s="57"/>
      <c r="AF44" s="57"/>
      <c r="AG44" s="15"/>
      <c r="AH44" s="25"/>
      <c r="AI44" s="26"/>
      <c r="AJ44" s="26"/>
      <c r="AK44" s="27"/>
      <c r="AL44" s="28"/>
      <c r="AM44" s="29"/>
    </row>
    <row r="45" ht="12.75" customHeight="1">
      <c r="A45" s="26"/>
      <c r="B45" s="12"/>
      <c r="C45" s="240"/>
      <c r="D45" s="241"/>
      <c r="E45" s="5"/>
      <c r="F45" s="5"/>
      <c r="G45" s="5"/>
      <c r="H45" s="5"/>
      <c r="I45" s="5"/>
      <c r="J45" s="5"/>
      <c r="K45" s="8"/>
      <c r="L45" s="9"/>
      <c r="M45" s="10"/>
      <c r="N45" s="255"/>
      <c r="O45" s="242"/>
      <c r="P45" s="243"/>
      <c r="Q45" s="243"/>
      <c r="R45" s="14"/>
      <c r="S45" s="242"/>
      <c r="T45" s="15"/>
      <c r="U45" s="15"/>
      <c r="V45" s="15"/>
      <c r="W45" s="8"/>
      <c r="X45" s="8"/>
      <c r="Y45" s="56"/>
      <c r="Z45" s="56"/>
      <c r="AA45" s="15"/>
      <c r="AB45" s="15"/>
      <c r="AC45" s="15"/>
      <c r="AD45" s="15"/>
      <c r="AE45" s="57"/>
      <c r="AF45" s="57"/>
      <c r="AG45" s="15"/>
      <c r="AH45" s="25"/>
      <c r="AI45" s="26"/>
      <c r="AJ45" s="26"/>
      <c r="AK45" s="27"/>
      <c r="AL45" s="28"/>
      <c r="AM45" s="29"/>
    </row>
    <row r="46" ht="12.75" customHeight="1">
      <c r="A46" s="26"/>
      <c r="B46" s="12"/>
      <c r="C46" s="240"/>
      <c r="D46" s="241"/>
      <c r="E46" s="5"/>
      <c r="F46" s="5"/>
      <c r="G46" s="5"/>
      <c r="H46" s="5"/>
      <c r="I46" s="5"/>
      <c r="J46" s="5"/>
      <c r="K46" s="8"/>
      <c r="L46" s="9"/>
      <c r="M46" s="10"/>
      <c r="N46" s="255"/>
      <c r="O46" s="242"/>
      <c r="P46" s="243"/>
      <c r="Q46" s="243"/>
      <c r="R46" s="14"/>
      <c r="S46" s="242"/>
      <c r="T46" s="15"/>
      <c r="U46" s="15"/>
      <c r="V46" s="15"/>
      <c r="W46" s="8"/>
      <c r="X46" s="8"/>
      <c r="Y46" s="56"/>
      <c r="Z46" s="56"/>
      <c r="AA46" s="15"/>
      <c r="AB46" s="15"/>
      <c r="AC46" s="15"/>
      <c r="AD46" s="15"/>
      <c r="AE46" s="57"/>
      <c r="AF46" s="57"/>
      <c r="AG46" s="15"/>
      <c r="AH46" s="25"/>
      <c r="AI46" s="26"/>
      <c r="AJ46" s="26"/>
      <c r="AK46" s="27"/>
      <c r="AL46" s="28"/>
      <c r="AM46" s="29"/>
    </row>
    <row r="47" ht="12.75" customHeight="1">
      <c r="A47" s="26"/>
      <c r="B47" s="12"/>
      <c r="C47" s="240"/>
      <c r="D47" s="241"/>
      <c r="E47" s="5"/>
      <c r="F47" s="5"/>
      <c r="G47" s="5"/>
      <c r="H47" s="5"/>
      <c r="I47" s="5"/>
      <c r="J47" s="5"/>
      <c r="K47" s="8"/>
      <c r="L47" s="9"/>
      <c r="M47" s="10"/>
      <c r="N47" s="255"/>
      <c r="O47" s="242"/>
      <c r="P47" s="243"/>
      <c r="Q47" s="243"/>
      <c r="R47" s="14"/>
      <c r="S47" s="242"/>
      <c r="T47" s="15"/>
      <c r="U47" s="15"/>
      <c r="V47" s="15"/>
      <c r="W47" s="8"/>
      <c r="X47" s="8"/>
      <c r="Y47" s="56"/>
      <c r="Z47" s="56"/>
      <c r="AA47" s="15"/>
      <c r="AB47" s="15"/>
      <c r="AC47" s="15"/>
      <c r="AD47" s="15"/>
      <c r="AE47" s="57"/>
      <c r="AF47" s="57"/>
      <c r="AG47" s="15"/>
      <c r="AH47" s="25"/>
      <c r="AI47" s="26"/>
      <c r="AJ47" s="26"/>
      <c r="AK47" s="27"/>
      <c r="AL47" s="28"/>
      <c r="AM47" s="29"/>
    </row>
    <row r="48" ht="12.75" customHeight="1">
      <c r="A48" s="26"/>
      <c r="B48" s="12"/>
      <c r="C48" s="240"/>
      <c r="D48" s="241"/>
      <c r="E48" s="5"/>
      <c r="F48" s="5"/>
      <c r="G48" s="5"/>
      <c r="H48" s="5"/>
      <c r="I48" s="5"/>
      <c r="J48" s="5"/>
      <c r="K48" s="8"/>
      <c r="L48" s="9"/>
      <c r="M48" s="10"/>
      <c r="N48" s="255"/>
      <c r="O48" s="242"/>
      <c r="P48" s="243"/>
      <c r="Q48" s="243"/>
      <c r="R48" s="14"/>
      <c r="S48" s="242"/>
      <c r="T48" s="15"/>
      <c r="U48" s="15"/>
      <c r="V48" s="15"/>
      <c r="W48" s="8"/>
      <c r="X48" s="8"/>
      <c r="Y48" s="56"/>
      <c r="Z48" s="56"/>
      <c r="AA48" s="15"/>
      <c r="AB48" s="15"/>
      <c r="AC48" s="15"/>
      <c r="AD48" s="15"/>
      <c r="AE48" s="57"/>
      <c r="AF48" s="57"/>
      <c r="AG48" s="15"/>
      <c r="AH48" s="25"/>
      <c r="AI48" s="26"/>
      <c r="AJ48" s="26"/>
      <c r="AK48" s="27"/>
      <c r="AL48" s="28"/>
      <c r="AM48" s="29"/>
    </row>
    <row r="49" ht="12.75" customHeight="1">
      <c r="A49" s="26"/>
      <c r="B49" s="12"/>
      <c r="C49" s="240"/>
      <c r="D49" s="241"/>
      <c r="E49" s="5"/>
      <c r="F49" s="5"/>
      <c r="G49" s="5"/>
      <c r="H49" s="5"/>
      <c r="I49" s="5"/>
      <c r="J49" s="5"/>
      <c r="K49" s="8"/>
      <c r="L49" s="9"/>
      <c r="M49" s="10"/>
      <c r="N49" s="255"/>
      <c r="O49" s="242"/>
      <c r="P49" s="243"/>
      <c r="Q49" s="243"/>
      <c r="R49" s="14"/>
      <c r="S49" s="242"/>
      <c r="T49" s="15"/>
      <c r="U49" s="15"/>
      <c r="V49" s="15"/>
      <c r="W49" s="8"/>
      <c r="X49" s="8"/>
      <c r="Y49" s="56"/>
      <c r="Z49" s="56"/>
      <c r="AA49" s="15"/>
      <c r="AB49" s="15"/>
      <c r="AC49" s="15"/>
      <c r="AD49" s="15"/>
      <c r="AE49" s="57"/>
      <c r="AF49" s="57"/>
      <c r="AG49" s="15"/>
      <c r="AH49" s="25"/>
      <c r="AI49" s="26"/>
      <c r="AJ49" s="26"/>
      <c r="AK49" s="27"/>
      <c r="AL49" s="28"/>
      <c r="AM49" s="29"/>
    </row>
    <row r="50" ht="12.75" customHeight="1">
      <c r="A50" s="26"/>
      <c r="B50" s="12"/>
      <c r="C50" s="240"/>
      <c r="D50" s="241"/>
      <c r="E50" s="5"/>
      <c r="F50" s="5"/>
      <c r="G50" s="5"/>
      <c r="H50" s="5"/>
      <c r="I50" s="5"/>
      <c r="J50" s="5"/>
      <c r="K50" s="8"/>
      <c r="L50" s="9"/>
      <c r="M50" s="10"/>
      <c r="N50" s="255"/>
      <c r="O50" s="242"/>
      <c r="P50" s="243"/>
      <c r="Q50" s="243"/>
      <c r="R50" s="14"/>
      <c r="S50" s="242"/>
      <c r="T50" s="15"/>
      <c r="U50" s="15"/>
      <c r="V50" s="15"/>
      <c r="W50" s="8"/>
      <c r="X50" s="8"/>
      <c r="Y50" s="56"/>
      <c r="Z50" s="56"/>
      <c r="AA50" s="15"/>
      <c r="AB50" s="15"/>
      <c r="AC50" s="15"/>
      <c r="AD50" s="15"/>
      <c r="AE50" s="57"/>
      <c r="AF50" s="57"/>
      <c r="AG50" s="15"/>
      <c r="AH50" s="25"/>
      <c r="AI50" s="26"/>
      <c r="AJ50" s="26"/>
      <c r="AK50" s="27"/>
      <c r="AL50" s="28"/>
      <c r="AM50" s="29"/>
    </row>
    <row r="51" ht="12.75" customHeight="1">
      <c r="A51" s="26"/>
      <c r="B51" s="12"/>
      <c r="C51" s="240"/>
      <c r="D51" s="241"/>
      <c r="E51" s="5"/>
      <c r="F51" s="5"/>
      <c r="G51" s="5"/>
      <c r="H51" s="5"/>
      <c r="I51" s="5"/>
      <c r="J51" s="5"/>
      <c r="K51" s="8"/>
      <c r="L51" s="9"/>
      <c r="M51" s="10"/>
      <c r="N51" s="255"/>
      <c r="O51" s="242"/>
      <c r="P51" s="243"/>
      <c r="Q51" s="243"/>
      <c r="R51" s="14"/>
      <c r="S51" s="242"/>
      <c r="T51" s="15"/>
      <c r="U51" s="15"/>
      <c r="V51" s="15"/>
      <c r="W51" s="8"/>
      <c r="X51" s="8"/>
      <c r="Y51" s="56"/>
      <c r="Z51" s="56"/>
      <c r="AA51" s="15"/>
      <c r="AB51" s="15"/>
      <c r="AC51" s="15"/>
      <c r="AD51" s="15"/>
      <c r="AE51" s="57"/>
      <c r="AF51" s="57"/>
      <c r="AG51" s="15"/>
      <c r="AH51" s="25"/>
      <c r="AI51" s="26"/>
      <c r="AJ51" s="26"/>
      <c r="AK51" s="27"/>
      <c r="AL51" s="28"/>
      <c r="AM51" s="29"/>
    </row>
    <row r="52" ht="12.75" customHeight="1">
      <c r="A52" s="26"/>
      <c r="B52" s="12"/>
      <c r="C52" s="240"/>
      <c r="D52" s="241"/>
      <c r="E52" s="5"/>
      <c r="F52" s="5"/>
      <c r="G52" s="5"/>
      <c r="H52" s="5"/>
      <c r="I52" s="5"/>
      <c r="J52" s="5"/>
      <c r="K52" s="8"/>
      <c r="L52" s="9"/>
      <c r="M52" s="10"/>
      <c r="N52" s="255"/>
      <c r="O52" s="242"/>
      <c r="P52" s="243"/>
      <c r="Q52" s="243"/>
      <c r="R52" s="14"/>
      <c r="S52" s="242"/>
      <c r="T52" s="15"/>
      <c r="U52" s="15"/>
      <c r="V52" s="15"/>
      <c r="W52" s="8"/>
      <c r="X52" s="8"/>
      <c r="Y52" s="56"/>
      <c r="Z52" s="56"/>
      <c r="AA52" s="15"/>
      <c r="AB52" s="15"/>
      <c r="AC52" s="15"/>
      <c r="AD52" s="15"/>
      <c r="AE52" s="57"/>
      <c r="AF52" s="57"/>
      <c r="AG52" s="15"/>
      <c r="AH52" s="25"/>
      <c r="AI52" s="26"/>
      <c r="AJ52" s="26"/>
      <c r="AK52" s="27"/>
      <c r="AL52" s="28"/>
      <c r="AM52" s="29"/>
    </row>
    <row r="53" ht="12.75" customHeight="1">
      <c r="A53" s="26"/>
      <c r="B53" s="12"/>
      <c r="C53" s="240"/>
      <c r="D53" s="241"/>
      <c r="E53" s="5"/>
      <c r="F53" s="5"/>
      <c r="G53" s="5"/>
      <c r="H53" s="5"/>
      <c r="I53" s="5"/>
      <c r="J53" s="5"/>
      <c r="K53" s="8"/>
      <c r="L53" s="9"/>
      <c r="M53" s="10"/>
      <c r="N53" s="255"/>
      <c r="O53" s="242"/>
      <c r="P53" s="243"/>
      <c r="Q53" s="243"/>
      <c r="R53" s="14"/>
      <c r="S53" s="242"/>
      <c r="T53" s="15"/>
      <c r="U53" s="15"/>
      <c r="V53" s="15"/>
      <c r="W53" s="8"/>
      <c r="X53" s="8"/>
      <c r="Y53" s="56"/>
      <c r="Z53" s="56"/>
      <c r="AA53" s="15"/>
      <c r="AB53" s="15"/>
      <c r="AC53" s="15"/>
      <c r="AD53" s="15"/>
      <c r="AE53" s="57"/>
      <c r="AF53" s="57"/>
      <c r="AG53" s="15"/>
      <c r="AH53" s="25"/>
      <c r="AI53" s="26"/>
      <c r="AJ53" s="26"/>
      <c r="AK53" s="27"/>
      <c r="AL53" s="28"/>
      <c r="AM53" s="29"/>
    </row>
    <row r="54" ht="12.75" customHeight="1">
      <c r="A54" s="26"/>
      <c r="B54" s="12"/>
      <c r="C54" s="240"/>
      <c r="D54" s="241"/>
      <c r="E54" s="5"/>
      <c r="F54" s="5"/>
      <c r="G54" s="5"/>
      <c r="H54" s="5"/>
      <c r="I54" s="5"/>
      <c r="J54" s="5"/>
      <c r="K54" s="8"/>
      <c r="L54" s="9"/>
      <c r="M54" s="10"/>
      <c r="N54" s="255"/>
      <c r="O54" s="242"/>
      <c r="P54" s="243"/>
      <c r="Q54" s="243"/>
      <c r="R54" s="14"/>
      <c r="S54" s="242"/>
      <c r="T54" s="15"/>
      <c r="U54" s="15"/>
      <c r="V54" s="15"/>
      <c r="W54" s="8"/>
      <c r="X54" s="8"/>
      <c r="Y54" s="56"/>
      <c r="Z54" s="56"/>
      <c r="AA54" s="15"/>
      <c r="AB54" s="15"/>
      <c r="AC54" s="15"/>
      <c r="AD54" s="15"/>
      <c r="AE54" s="57"/>
      <c r="AF54" s="57"/>
      <c r="AG54" s="15"/>
      <c r="AH54" s="25"/>
      <c r="AI54" s="26"/>
      <c r="AJ54" s="26"/>
      <c r="AK54" s="27"/>
      <c r="AL54" s="28"/>
      <c r="AM54" s="29"/>
    </row>
    <row r="55" ht="12.75" customHeight="1">
      <c r="A55" s="26"/>
      <c r="B55" s="12"/>
      <c r="C55" s="240"/>
      <c r="D55" s="241"/>
      <c r="E55" s="5"/>
      <c r="F55" s="5"/>
      <c r="G55" s="5"/>
      <c r="H55" s="5"/>
      <c r="I55" s="5"/>
      <c r="J55" s="5"/>
      <c r="K55" s="8"/>
      <c r="L55" s="9"/>
      <c r="M55" s="10"/>
      <c r="N55" s="255"/>
      <c r="O55" s="242"/>
      <c r="P55" s="243"/>
      <c r="Q55" s="243"/>
      <c r="R55" s="14"/>
      <c r="S55" s="242"/>
      <c r="T55" s="15"/>
      <c r="U55" s="15"/>
      <c r="V55" s="15"/>
      <c r="W55" s="8"/>
      <c r="X55" s="8"/>
      <c r="Y55" s="56"/>
      <c r="Z55" s="56"/>
      <c r="AA55" s="15"/>
      <c r="AB55" s="15"/>
      <c r="AC55" s="15"/>
      <c r="AD55" s="15"/>
      <c r="AE55" s="57"/>
      <c r="AF55" s="57"/>
      <c r="AG55" s="15"/>
      <c r="AH55" s="25"/>
      <c r="AI55" s="26"/>
      <c r="AJ55" s="26"/>
      <c r="AK55" s="27"/>
      <c r="AL55" s="28"/>
      <c r="AM55" s="29"/>
    </row>
    <row r="56" ht="12.75" customHeight="1">
      <c r="A56" s="26"/>
      <c r="B56" s="12"/>
      <c r="C56" s="240"/>
      <c r="D56" s="241"/>
      <c r="E56" s="5"/>
      <c r="F56" s="5"/>
      <c r="G56" s="5"/>
      <c r="H56" s="5"/>
      <c r="I56" s="5"/>
      <c r="J56" s="5"/>
      <c r="K56" s="8"/>
      <c r="L56" s="9"/>
      <c r="M56" s="10"/>
      <c r="N56" s="255"/>
      <c r="O56" s="242"/>
      <c r="P56" s="243"/>
      <c r="Q56" s="243"/>
      <c r="R56" s="14"/>
      <c r="S56" s="242"/>
      <c r="T56" s="15"/>
      <c r="U56" s="15"/>
      <c r="V56" s="15"/>
      <c r="W56" s="8"/>
      <c r="X56" s="8"/>
      <c r="Y56" s="56"/>
      <c r="Z56" s="56"/>
      <c r="AA56" s="15"/>
      <c r="AB56" s="15"/>
      <c r="AC56" s="15"/>
      <c r="AD56" s="15"/>
      <c r="AE56" s="57"/>
      <c r="AF56" s="57"/>
      <c r="AG56" s="15"/>
      <c r="AH56" s="25"/>
      <c r="AI56" s="26"/>
      <c r="AJ56" s="26"/>
      <c r="AK56" s="27"/>
      <c r="AL56" s="28"/>
      <c r="AM56" s="29"/>
    </row>
    <row r="57" ht="12.75" customHeight="1">
      <c r="A57" s="26"/>
      <c r="B57" s="12"/>
      <c r="C57" s="240"/>
      <c r="D57" s="241"/>
      <c r="E57" s="5"/>
      <c r="F57" s="5"/>
      <c r="G57" s="5"/>
      <c r="H57" s="5"/>
      <c r="I57" s="5"/>
      <c r="J57" s="5"/>
      <c r="K57" s="8"/>
      <c r="L57" s="9"/>
      <c r="M57" s="10"/>
      <c r="N57" s="255"/>
      <c r="O57" s="242"/>
      <c r="P57" s="243"/>
      <c r="Q57" s="243"/>
      <c r="R57" s="14"/>
      <c r="S57" s="242"/>
      <c r="T57" s="15"/>
      <c r="U57" s="15"/>
      <c r="V57" s="15"/>
      <c r="W57" s="8"/>
      <c r="X57" s="8"/>
      <c r="Y57" s="56"/>
      <c r="Z57" s="56"/>
      <c r="AA57" s="15"/>
      <c r="AB57" s="15"/>
      <c r="AC57" s="15"/>
      <c r="AD57" s="15"/>
      <c r="AE57" s="57"/>
      <c r="AF57" s="57"/>
      <c r="AG57" s="15"/>
      <c r="AH57" s="25"/>
      <c r="AI57" s="26"/>
      <c r="AJ57" s="26"/>
      <c r="AK57" s="27"/>
      <c r="AL57" s="28"/>
      <c r="AM57" s="29"/>
    </row>
    <row r="58" ht="12.75" customHeight="1">
      <c r="A58" s="26"/>
      <c r="B58" s="12"/>
      <c r="C58" s="240"/>
      <c r="D58" s="241"/>
      <c r="E58" s="5"/>
      <c r="F58" s="5"/>
      <c r="G58" s="5"/>
      <c r="H58" s="5"/>
      <c r="I58" s="5"/>
      <c r="J58" s="5"/>
      <c r="K58" s="8"/>
      <c r="L58" s="9"/>
      <c r="M58" s="10"/>
      <c r="N58" s="255"/>
      <c r="O58" s="242"/>
      <c r="P58" s="243"/>
      <c r="Q58" s="243"/>
      <c r="R58" s="14"/>
      <c r="S58" s="242"/>
      <c r="T58" s="15"/>
      <c r="U58" s="15"/>
      <c r="V58" s="15"/>
      <c r="W58" s="8"/>
      <c r="X58" s="8"/>
      <c r="Y58" s="56"/>
      <c r="Z58" s="56"/>
      <c r="AA58" s="15"/>
      <c r="AB58" s="15"/>
      <c r="AC58" s="15"/>
      <c r="AD58" s="15"/>
      <c r="AE58" s="57"/>
      <c r="AF58" s="57"/>
      <c r="AG58" s="15"/>
      <c r="AH58" s="25"/>
      <c r="AI58" s="26"/>
      <c r="AJ58" s="26"/>
      <c r="AK58" s="27"/>
      <c r="AL58" s="28"/>
      <c r="AM58" s="29"/>
    </row>
    <row r="59" ht="12.75" customHeight="1">
      <c r="A59" s="26"/>
      <c r="B59" s="12"/>
      <c r="C59" s="240"/>
      <c r="D59" s="241"/>
      <c r="E59" s="5"/>
      <c r="F59" s="5"/>
      <c r="G59" s="5"/>
      <c r="H59" s="5"/>
      <c r="I59" s="5"/>
      <c r="J59" s="5"/>
      <c r="K59" s="8"/>
      <c r="L59" s="9"/>
      <c r="M59" s="10"/>
      <c r="N59" s="255"/>
      <c r="O59" s="242"/>
      <c r="P59" s="243"/>
      <c r="Q59" s="243"/>
      <c r="R59" s="14"/>
      <c r="S59" s="242"/>
      <c r="T59" s="15"/>
      <c r="U59" s="15"/>
      <c r="V59" s="15"/>
      <c r="W59" s="8"/>
      <c r="X59" s="8"/>
      <c r="Y59" s="56"/>
      <c r="Z59" s="56"/>
      <c r="AA59" s="15"/>
      <c r="AB59" s="15"/>
      <c r="AC59" s="15"/>
      <c r="AD59" s="15"/>
      <c r="AE59" s="57"/>
      <c r="AF59" s="57"/>
      <c r="AG59" s="15"/>
      <c r="AH59" s="25"/>
      <c r="AI59" s="26"/>
      <c r="AJ59" s="26"/>
      <c r="AK59" s="27"/>
      <c r="AL59" s="28"/>
      <c r="AM59" s="29"/>
    </row>
    <row r="60" ht="12.75" customHeight="1">
      <c r="A60" s="26"/>
      <c r="B60" s="12"/>
      <c r="C60" s="240"/>
      <c r="D60" s="241"/>
      <c r="E60" s="5"/>
      <c r="F60" s="5"/>
      <c r="G60" s="5"/>
      <c r="H60" s="5"/>
      <c r="I60" s="5"/>
      <c r="J60" s="5"/>
      <c r="K60" s="8"/>
      <c r="L60" s="9"/>
      <c r="M60" s="10"/>
      <c r="N60" s="255"/>
      <c r="O60" s="242"/>
      <c r="P60" s="243"/>
      <c r="Q60" s="243"/>
      <c r="R60" s="14"/>
      <c r="S60" s="242"/>
      <c r="T60" s="15"/>
      <c r="U60" s="15"/>
      <c r="V60" s="15"/>
      <c r="W60" s="8"/>
      <c r="X60" s="8"/>
      <c r="Y60" s="56"/>
      <c r="Z60" s="56"/>
      <c r="AA60" s="15"/>
      <c r="AB60" s="15"/>
      <c r="AC60" s="15"/>
      <c r="AD60" s="15"/>
      <c r="AE60" s="57"/>
      <c r="AF60" s="57"/>
      <c r="AG60" s="15"/>
      <c r="AH60" s="25"/>
      <c r="AI60" s="26"/>
      <c r="AJ60" s="26"/>
      <c r="AK60" s="27"/>
      <c r="AL60" s="28"/>
      <c r="AM60" s="29"/>
    </row>
    <row r="61" ht="12.75" customHeight="1">
      <c r="A61" s="26"/>
      <c r="B61" s="12"/>
      <c r="C61" s="240"/>
      <c r="D61" s="241"/>
      <c r="E61" s="5"/>
      <c r="F61" s="5"/>
      <c r="G61" s="5"/>
      <c r="H61" s="5"/>
      <c r="I61" s="5"/>
      <c r="J61" s="5"/>
      <c r="K61" s="8"/>
      <c r="L61" s="9"/>
      <c r="M61" s="10"/>
      <c r="N61" s="255"/>
      <c r="O61" s="242"/>
      <c r="P61" s="243"/>
      <c r="Q61" s="243"/>
      <c r="R61" s="14"/>
      <c r="S61" s="242"/>
      <c r="T61" s="15"/>
      <c r="U61" s="15"/>
      <c r="V61" s="15"/>
      <c r="W61" s="8"/>
      <c r="X61" s="8"/>
      <c r="Y61" s="56"/>
      <c r="Z61" s="56"/>
      <c r="AA61" s="15"/>
      <c r="AB61" s="15"/>
      <c r="AC61" s="15"/>
      <c r="AD61" s="15"/>
      <c r="AE61" s="57"/>
      <c r="AF61" s="57"/>
      <c r="AG61" s="15"/>
      <c r="AH61" s="25"/>
      <c r="AI61" s="26"/>
      <c r="AJ61" s="26"/>
      <c r="AK61" s="27"/>
      <c r="AL61" s="28"/>
      <c r="AM61" s="29"/>
    </row>
    <row r="62" ht="12.75" customHeight="1">
      <c r="A62" s="26"/>
      <c r="B62" s="12"/>
      <c r="C62" s="240"/>
      <c r="D62" s="241"/>
      <c r="E62" s="5"/>
      <c r="F62" s="5"/>
      <c r="G62" s="5"/>
      <c r="H62" s="5"/>
      <c r="I62" s="5"/>
      <c r="J62" s="5"/>
      <c r="K62" s="8"/>
      <c r="L62" s="9"/>
      <c r="M62" s="10"/>
      <c r="N62" s="255"/>
      <c r="O62" s="242"/>
      <c r="P62" s="243"/>
      <c r="Q62" s="243"/>
      <c r="R62" s="14"/>
      <c r="S62" s="242"/>
      <c r="T62" s="15"/>
      <c r="U62" s="15"/>
      <c r="V62" s="15"/>
      <c r="W62" s="8"/>
      <c r="X62" s="8"/>
      <c r="Y62" s="56"/>
      <c r="Z62" s="56"/>
      <c r="AA62" s="15"/>
      <c r="AB62" s="15"/>
      <c r="AC62" s="15"/>
      <c r="AD62" s="15"/>
      <c r="AE62" s="57"/>
      <c r="AF62" s="57"/>
      <c r="AG62" s="15"/>
      <c r="AH62" s="25"/>
      <c r="AI62" s="26"/>
      <c r="AJ62" s="26"/>
      <c r="AK62" s="27"/>
      <c r="AL62" s="28"/>
      <c r="AM62" s="29"/>
    </row>
    <row r="63" ht="12.75" customHeight="1">
      <c r="A63" s="26"/>
      <c r="B63" s="12"/>
      <c r="C63" s="240"/>
      <c r="D63" s="241"/>
      <c r="E63" s="5"/>
      <c r="F63" s="5"/>
      <c r="G63" s="5"/>
      <c r="H63" s="5"/>
      <c r="I63" s="5"/>
      <c r="J63" s="5"/>
      <c r="K63" s="8"/>
      <c r="L63" s="9"/>
      <c r="M63" s="10"/>
      <c r="N63" s="255"/>
      <c r="O63" s="242"/>
      <c r="P63" s="243"/>
      <c r="Q63" s="243"/>
      <c r="R63" s="14"/>
      <c r="S63" s="242"/>
      <c r="T63" s="15"/>
      <c r="U63" s="15"/>
      <c r="V63" s="15"/>
      <c r="W63" s="8"/>
      <c r="X63" s="8"/>
      <c r="Y63" s="56"/>
      <c r="Z63" s="56"/>
      <c r="AA63" s="15"/>
      <c r="AB63" s="15"/>
      <c r="AC63" s="15"/>
      <c r="AD63" s="15"/>
      <c r="AE63" s="57"/>
      <c r="AF63" s="57"/>
      <c r="AG63" s="15"/>
      <c r="AH63" s="25"/>
      <c r="AI63" s="26"/>
      <c r="AJ63" s="26"/>
      <c r="AK63" s="27"/>
      <c r="AL63" s="28"/>
      <c r="AM63" s="29"/>
    </row>
    <row r="64" ht="12.75" customHeight="1">
      <c r="A64" s="26"/>
      <c r="B64" s="12"/>
      <c r="C64" s="240"/>
      <c r="D64" s="241"/>
      <c r="E64" s="5"/>
      <c r="F64" s="5"/>
      <c r="G64" s="5"/>
      <c r="H64" s="5"/>
      <c r="I64" s="5"/>
      <c r="J64" s="5"/>
      <c r="K64" s="8"/>
      <c r="L64" s="9"/>
      <c r="M64" s="10"/>
      <c r="N64" s="255"/>
      <c r="O64" s="242"/>
      <c r="P64" s="243"/>
      <c r="Q64" s="243"/>
      <c r="R64" s="14"/>
      <c r="S64" s="242"/>
      <c r="T64" s="15"/>
      <c r="U64" s="15"/>
      <c r="V64" s="15"/>
      <c r="W64" s="8"/>
      <c r="X64" s="8"/>
      <c r="Y64" s="56"/>
      <c r="Z64" s="56"/>
      <c r="AA64" s="15"/>
      <c r="AB64" s="15"/>
      <c r="AC64" s="15"/>
      <c r="AD64" s="15"/>
      <c r="AE64" s="57"/>
      <c r="AF64" s="57"/>
      <c r="AG64" s="15"/>
      <c r="AH64" s="25"/>
      <c r="AI64" s="26"/>
      <c r="AJ64" s="26"/>
      <c r="AK64" s="27"/>
      <c r="AL64" s="28"/>
      <c r="AM64" s="29"/>
    </row>
    <row r="65" ht="12.75" customHeight="1">
      <c r="A65" s="26"/>
      <c r="B65" s="12"/>
      <c r="C65" s="240"/>
      <c r="D65" s="241"/>
      <c r="E65" s="5"/>
      <c r="F65" s="5"/>
      <c r="G65" s="5"/>
      <c r="H65" s="5"/>
      <c r="I65" s="5"/>
      <c r="J65" s="5"/>
      <c r="K65" s="8"/>
      <c r="L65" s="9"/>
      <c r="M65" s="10"/>
      <c r="N65" s="255"/>
      <c r="O65" s="242"/>
      <c r="P65" s="243"/>
      <c r="Q65" s="243"/>
      <c r="R65" s="14"/>
      <c r="S65" s="242"/>
      <c r="T65" s="15"/>
      <c r="U65" s="15"/>
      <c r="V65" s="15"/>
      <c r="W65" s="8"/>
      <c r="X65" s="8"/>
      <c r="Y65" s="56"/>
      <c r="Z65" s="56"/>
      <c r="AA65" s="15"/>
      <c r="AB65" s="15"/>
      <c r="AC65" s="15"/>
      <c r="AD65" s="15"/>
      <c r="AE65" s="57"/>
      <c r="AF65" s="57"/>
      <c r="AG65" s="15"/>
      <c r="AH65" s="25"/>
      <c r="AI65" s="26"/>
      <c r="AJ65" s="26"/>
      <c r="AK65" s="27"/>
      <c r="AL65" s="28"/>
      <c r="AM65" s="29"/>
    </row>
    <row r="66" ht="12.75" customHeight="1">
      <c r="A66" s="26"/>
      <c r="B66" s="12"/>
      <c r="C66" s="240"/>
      <c r="D66" s="241"/>
      <c r="E66" s="5"/>
      <c r="F66" s="5"/>
      <c r="G66" s="5"/>
      <c r="H66" s="5"/>
      <c r="I66" s="5"/>
      <c r="J66" s="5"/>
      <c r="K66" s="8"/>
      <c r="L66" s="9"/>
      <c r="M66" s="10"/>
      <c r="N66" s="255"/>
      <c r="O66" s="242"/>
      <c r="P66" s="243"/>
      <c r="Q66" s="243"/>
      <c r="R66" s="14"/>
      <c r="S66" s="242"/>
      <c r="T66" s="15"/>
      <c r="U66" s="15"/>
      <c r="V66" s="15"/>
      <c r="W66" s="8"/>
      <c r="X66" s="8"/>
      <c r="Y66" s="56"/>
      <c r="Z66" s="56"/>
      <c r="AA66" s="15"/>
      <c r="AB66" s="15"/>
      <c r="AC66" s="15"/>
      <c r="AD66" s="15"/>
      <c r="AE66" s="57"/>
      <c r="AF66" s="57"/>
      <c r="AG66" s="15"/>
      <c r="AH66" s="25"/>
      <c r="AI66" s="26"/>
      <c r="AJ66" s="26"/>
      <c r="AK66" s="27"/>
      <c r="AL66" s="28"/>
      <c r="AM66" s="29"/>
    </row>
    <row r="67" ht="12.75" customHeight="1">
      <c r="A67" s="26"/>
      <c r="B67" s="12"/>
      <c r="C67" s="240"/>
      <c r="D67" s="241"/>
      <c r="E67" s="5"/>
      <c r="F67" s="5"/>
      <c r="G67" s="5"/>
      <c r="H67" s="5"/>
      <c r="I67" s="5"/>
      <c r="J67" s="5"/>
      <c r="K67" s="8"/>
      <c r="L67" s="9"/>
      <c r="M67" s="10"/>
      <c r="N67" s="255"/>
      <c r="O67" s="242"/>
      <c r="P67" s="243"/>
      <c r="Q67" s="243"/>
      <c r="R67" s="14"/>
      <c r="S67" s="242"/>
      <c r="T67" s="15"/>
      <c r="U67" s="15"/>
      <c r="V67" s="15"/>
      <c r="W67" s="8"/>
      <c r="X67" s="8"/>
      <c r="Y67" s="56"/>
      <c r="Z67" s="56"/>
      <c r="AA67" s="15"/>
      <c r="AB67" s="15"/>
      <c r="AC67" s="15"/>
      <c r="AD67" s="15"/>
      <c r="AE67" s="57"/>
      <c r="AF67" s="57"/>
      <c r="AG67" s="15"/>
      <c r="AH67" s="25"/>
      <c r="AI67" s="26"/>
      <c r="AJ67" s="26"/>
      <c r="AK67" s="27"/>
      <c r="AL67" s="28"/>
      <c r="AM67" s="29"/>
    </row>
    <row r="68" ht="12.75" customHeight="1">
      <c r="A68" s="26"/>
      <c r="B68" s="12"/>
      <c r="C68" s="240"/>
      <c r="D68" s="241"/>
      <c r="E68" s="5"/>
      <c r="F68" s="5"/>
      <c r="G68" s="5"/>
      <c r="H68" s="5"/>
      <c r="I68" s="5"/>
      <c r="J68" s="5"/>
      <c r="K68" s="8"/>
      <c r="L68" s="9"/>
      <c r="M68" s="10"/>
      <c r="N68" s="255"/>
      <c r="O68" s="242"/>
      <c r="P68" s="243"/>
      <c r="Q68" s="243"/>
      <c r="R68" s="14"/>
      <c r="S68" s="242"/>
      <c r="T68" s="15"/>
      <c r="U68" s="15"/>
      <c r="V68" s="15"/>
      <c r="W68" s="8"/>
      <c r="X68" s="8"/>
      <c r="Y68" s="56"/>
      <c r="Z68" s="56"/>
      <c r="AA68" s="15"/>
      <c r="AB68" s="15"/>
      <c r="AC68" s="15"/>
      <c r="AD68" s="15"/>
      <c r="AE68" s="57"/>
      <c r="AF68" s="57"/>
      <c r="AG68" s="15"/>
      <c r="AH68" s="25"/>
      <c r="AI68" s="26"/>
      <c r="AJ68" s="26"/>
      <c r="AK68" s="27"/>
      <c r="AL68" s="28"/>
      <c r="AM68" s="29"/>
    </row>
    <row r="69" ht="12.75" customHeight="1">
      <c r="A69" s="26"/>
      <c r="B69" s="12"/>
      <c r="C69" s="240"/>
      <c r="D69" s="241"/>
      <c r="E69" s="5"/>
      <c r="F69" s="5"/>
      <c r="G69" s="5"/>
      <c r="H69" s="5"/>
      <c r="I69" s="5"/>
      <c r="J69" s="5"/>
      <c r="K69" s="8"/>
      <c r="L69" s="9"/>
      <c r="M69" s="10"/>
      <c r="N69" s="255"/>
      <c r="O69" s="242"/>
      <c r="P69" s="243"/>
      <c r="Q69" s="243"/>
      <c r="R69" s="14"/>
      <c r="S69" s="242"/>
      <c r="T69" s="15"/>
      <c r="U69" s="15"/>
      <c r="V69" s="15"/>
      <c r="W69" s="8"/>
      <c r="X69" s="8"/>
      <c r="Y69" s="56"/>
      <c r="Z69" s="56"/>
      <c r="AA69" s="15"/>
      <c r="AB69" s="15"/>
      <c r="AC69" s="15"/>
      <c r="AD69" s="15"/>
      <c r="AE69" s="57"/>
      <c r="AF69" s="57"/>
      <c r="AG69" s="15"/>
      <c r="AH69" s="25"/>
      <c r="AI69" s="26"/>
      <c r="AJ69" s="26"/>
      <c r="AK69" s="27"/>
      <c r="AL69" s="28"/>
      <c r="AM69" s="29"/>
    </row>
    <row r="70" ht="12.75" customHeight="1">
      <c r="A70" s="26"/>
      <c r="B70" s="12"/>
      <c r="C70" s="240"/>
      <c r="D70" s="241"/>
      <c r="E70" s="5"/>
      <c r="F70" s="5"/>
      <c r="G70" s="5"/>
      <c r="H70" s="5"/>
      <c r="I70" s="5"/>
      <c r="J70" s="5"/>
      <c r="K70" s="8"/>
      <c r="L70" s="9"/>
      <c r="M70" s="10"/>
      <c r="N70" s="255"/>
      <c r="O70" s="242"/>
      <c r="P70" s="243"/>
      <c r="Q70" s="243"/>
      <c r="R70" s="14"/>
      <c r="S70" s="242"/>
      <c r="T70" s="15"/>
      <c r="U70" s="15"/>
      <c r="V70" s="15"/>
      <c r="W70" s="8"/>
      <c r="X70" s="8"/>
      <c r="Y70" s="56"/>
      <c r="Z70" s="56"/>
      <c r="AA70" s="15"/>
      <c r="AB70" s="15"/>
      <c r="AC70" s="15"/>
      <c r="AD70" s="15"/>
      <c r="AE70" s="57"/>
      <c r="AF70" s="57"/>
      <c r="AG70" s="15"/>
      <c r="AH70" s="25"/>
      <c r="AI70" s="26"/>
      <c r="AJ70" s="26"/>
      <c r="AK70" s="27"/>
      <c r="AL70" s="28"/>
      <c r="AM70" s="29"/>
    </row>
    <row r="71" ht="12.75" customHeight="1">
      <c r="A71" s="26"/>
      <c r="B71" s="12"/>
      <c r="C71" s="240"/>
      <c r="D71" s="241"/>
      <c r="E71" s="5"/>
      <c r="F71" s="5"/>
      <c r="G71" s="5"/>
      <c r="H71" s="5"/>
      <c r="I71" s="5"/>
      <c r="J71" s="5"/>
      <c r="K71" s="8"/>
      <c r="L71" s="9"/>
      <c r="M71" s="10"/>
      <c r="N71" s="255"/>
      <c r="O71" s="242"/>
      <c r="P71" s="243"/>
      <c r="Q71" s="243"/>
      <c r="R71" s="14"/>
      <c r="S71" s="242"/>
      <c r="T71" s="15"/>
      <c r="U71" s="15"/>
      <c r="V71" s="15"/>
      <c r="W71" s="8"/>
      <c r="X71" s="8"/>
      <c r="Y71" s="56"/>
      <c r="Z71" s="56"/>
      <c r="AA71" s="15"/>
      <c r="AB71" s="15"/>
      <c r="AC71" s="15"/>
      <c r="AD71" s="15"/>
      <c r="AE71" s="57"/>
      <c r="AF71" s="57"/>
      <c r="AG71" s="15"/>
      <c r="AH71" s="25"/>
      <c r="AI71" s="26"/>
      <c r="AJ71" s="26"/>
      <c r="AK71" s="27"/>
      <c r="AL71" s="28"/>
      <c r="AM71" s="29"/>
    </row>
    <row r="72" ht="12.75" customHeight="1">
      <c r="A72" s="26"/>
      <c r="B72" s="12"/>
      <c r="C72" s="240"/>
      <c r="D72" s="241"/>
      <c r="E72" s="5"/>
      <c r="F72" s="5"/>
      <c r="G72" s="5"/>
      <c r="H72" s="5"/>
      <c r="I72" s="5"/>
      <c r="J72" s="5"/>
      <c r="K72" s="8"/>
      <c r="L72" s="9"/>
      <c r="M72" s="10"/>
      <c r="N72" s="255"/>
      <c r="O72" s="242"/>
      <c r="P72" s="243"/>
      <c r="Q72" s="243"/>
      <c r="R72" s="14"/>
      <c r="S72" s="242"/>
      <c r="T72" s="15"/>
      <c r="U72" s="15"/>
      <c r="V72" s="15"/>
      <c r="W72" s="8"/>
      <c r="X72" s="8"/>
      <c r="Y72" s="56"/>
      <c r="Z72" s="56"/>
      <c r="AA72" s="15"/>
      <c r="AB72" s="15"/>
      <c r="AC72" s="15"/>
      <c r="AD72" s="15"/>
      <c r="AE72" s="57"/>
      <c r="AF72" s="57"/>
      <c r="AG72" s="15"/>
      <c r="AH72" s="25"/>
      <c r="AI72" s="26"/>
      <c r="AJ72" s="26"/>
      <c r="AK72" s="27"/>
      <c r="AL72" s="28"/>
      <c r="AM72" s="29"/>
    </row>
    <row r="73" ht="12.75" customHeight="1">
      <c r="A73" s="26"/>
      <c r="B73" s="12"/>
      <c r="C73" s="240"/>
      <c r="D73" s="241"/>
      <c r="E73" s="5"/>
      <c r="F73" s="5"/>
      <c r="G73" s="5"/>
      <c r="H73" s="5"/>
      <c r="I73" s="5"/>
      <c r="J73" s="5"/>
      <c r="K73" s="8"/>
      <c r="L73" s="9"/>
      <c r="M73" s="10"/>
      <c r="N73" s="255"/>
      <c r="O73" s="242"/>
      <c r="P73" s="243"/>
      <c r="Q73" s="243"/>
      <c r="R73" s="14"/>
      <c r="S73" s="242"/>
      <c r="T73" s="15"/>
      <c r="U73" s="15"/>
      <c r="V73" s="15"/>
      <c r="W73" s="8"/>
      <c r="X73" s="8"/>
      <c r="Y73" s="56"/>
      <c r="Z73" s="56"/>
      <c r="AA73" s="15"/>
      <c r="AB73" s="15"/>
      <c r="AC73" s="15"/>
      <c r="AD73" s="15"/>
      <c r="AE73" s="57"/>
      <c r="AF73" s="57"/>
      <c r="AG73" s="15"/>
      <c r="AH73" s="25"/>
      <c r="AI73" s="26"/>
      <c r="AJ73" s="26"/>
      <c r="AK73" s="27"/>
      <c r="AL73" s="28"/>
      <c r="AM73" s="29"/>
    </row>
    <row r="74" ht="12.75" customHeight="1">
      <c r="A74" s="26"/>
      <c r="B74" s="12"/>
      <c r="C74" s="240"/>
      <c r="D74" s="241"/>
      <c r="E74" s="5"/>
      <c r="F74" s="5"/>
      <c r="G74" s="5"/>
      <c r="H74" s="5"/>
      <c r="I74" s="5"/>
      <c r="J74" s="5"/>
      <c r="K74" s="8"/>
      <c r="L74" s="9"/>
      <c r="M74" s="10"/>
      <c r="N74" s="255"/>
      <c r="O74" s="242"/>
      <c r="P74" s="243"/>
      <c r="Q74" s="243"/>
      <c r="R74" s="14"/>
      <c r="S74" s="242"/>
      <c r="T74" s="15"/>
      <c r="U74" s="15"/>
      <c r="V74" s="15"/>
      <c r="W74" s="8"/>
      <c r="X74" s="8"/>
      <c r="Y74" s="56"/>
      <c r="Z74" s="56"/>
      <c r="AA74" s="15"/>
      <c r="AB74" s="15"/>
      <c r="AC74" s="15"/>
      <c r="AD74" s="15"/>
      <c r="AE74" s="57"/>
      <c r="AF74" s="57"/>
      <c r="AG74" s="15"/>
      <c r="AH74" s="25"/>
      <c r="AI74" s="26"/>
      <c r="AJ74" s="26"/>
      <c r="AK74" s="27"/>
      <c r="AL74" s="28"/>
      <c r="AM74" s="29"/>
    </row>
    <row r="75" ht="12.75" customHeight="1">
      <c r="A75" s="26"/>
      <c r="B75" s="12"/>
      <c r="C75" s="240"/>
      <c r="D75" s="241"/>
      <c r="E75" s="5"/>
      <c r="F75" s="5"/>
      <c r="G75" s="5"/>
      <c r="H75" s="5"/>
      <c r="I75" s="5"/>
      <c r="J75" s="5"/>
      <c r="K75" s="8"/>
      <c r="L75" s="9"/>
      <c r="M75" s="10"/>
      <c r="N75" s="255"/>
      <c r="O75" s="242"/>
      <c r="P75" s="243"/>
      <c r="Q75" s="243"/>
      <c r="R75" s="14"/>
      <c r="S75" s="242"/>
      <c r="T75" s="15"/>
      <c r="U75" s="15"/>
      <c r="V75" s="15"/>
      <c r="W75" s="8"/>
      <c r="X75" s="8"/>
      <c r="Y75" s="56"/>
      <c r="Z75" s="56"/>
      <c r="AA75" s="15"/>
      <c r="AB75" s="15"/>
      <c r="AC75" s="15"/>
      <c r="AD75" s="15"/>
      <c r="AE75" s="57"/>
      <c r="AF75" s="57"/>
      <c r="AG75" s="15"/>
      <c r="AH75" s="25"/>
      <c r="AI75" s="26"/>
      <c r="AJ75" s="26"/>
      <c r="AK75" s="27"/>
      <c r="AL75" s="28"/>
      <c r="AM75" s="29"/>
    </row>
    <row r="76" ht="12.75" customHeight="1">
      <c r="A76" s="26"/>
      <c r="B76" s="12"/>
      <c r="C76" s="240"/>
      <c r="D76" s="241"/>
      <c r="E76" s="5"/>
      <c r="F76" s="5"/>
      <c r="G76" s="5"/>
      <c r="H76" s="5"/>
      <c r="I76" s="5"/>
      <c r="J76" s="5"/>
      <c r="K76" s="8"/>
      <c r="L76" s="9"/>
      <c r="M76" s="10"/>
      <c r="N76" s="255"/>
      <c r="O76" s="242"/>
      <c r="P76" s="243"/>
      <c r="Q76" s="243"/>
      <c r="R76" s="14"/>
      <c r="S76" s="242"/>
      <c r="T76" s="15"/>
      <c r="U76" s="15"/>
      <c r="V76" s="15"/>
      <c r="W76" s="8"/>
      <c r="X76" s="8"/>
      <c r="Y76" s="56"/>
      <c r="Z76" s="56"/>
      <c r="AA76" s="15"/>
      <c r="AB76" s="15"/>
      <c r="AC76" s="15"/>
      <c r="AD76" s="15"/>
      <c r="AE76" s="57"/>
      <c r="AF76" s="57"/>
      <c r="AG76" s="15"/>
      <c r="AH76" s="25"/>
      <c r="AI76" s="26"/>
      <c r="AJ76" s="26"/>
      <c r="AK76" s="27"/>
      <c r="AL76" s="28"/>
      <c r="AM76" s="29"/>
    </row>
    <row r="77" ht="12.75" customHeight="1">
      <c r="A77" s="26"/>
      <c r="B77" s="12"/>
      <c r="C77" s="240"/>
      <c r="D77" s="241"/>
      <c r="E77" s="5"/>
      <c r="F77" s="5"/>
      <c r="G77" s="5"/>
      <c r="H77" s="5"/>
      <c r="I77" s="5"/>
      <c r="J77" s="5"/>
      <c r="K77" s="8"/>
      <c r="L77" s="9"/>
      <c r="M77" s="10"/>
      <c r="N77" s="255"/>
      <c r="O77" s="242"/>
      <c r="P77" s="243"/>
      <c r="Q77" s="243"/>
      <c r="R77" s="14"/>
      <c r="S77" s="242"/>
      <c r="T77" s="15"/>
      <c r="U77" s="15"/>
      <c r="V77" s="15"/>
      <c r="W77" s="8"/>
      <c r="X77" s="8"/>
      <c r="Y77" s="56"/>
      <c r="Z77" s="56"/>
      <c r="AA77" s="15"/>
      <c r="AB77" s="15"/>
      <c r="AC77" s="15"/>
      <c r="AD77" s="15"/>
      <c r="AE77" s="57"/>
      <c r="AF77" s="57"/>
      <c r="AG77" s="15"/>
      <c r="AH77" s="25"/>
      <c r="AI77" s="26"/>
      <c r="AJ77" s="26"/>
      <c r="AK77" s="27"/>
      <c r="AL77" s="28"/>
      <c r="AM77" s="29"/>
    </row>
    <row r="78" ht="12.75" customHeight="1">
      <c r="A78" s="26"/>
      <c r="B78" s="12"/>
      <c r="C78" s="240"/>
      <c r="D78" s="241"/>
      <c r="E78" s="5"/>
      <c r="F78" s="5"/>
      <c r="G78" s="5"/>
      <c r="H78" s="5"/>
      <c r="I78" s="5"/>
      <c r="J78" s="5"/>
      <c r="K78" s="8"/>
      <c r="L78" s="9"/>
      <c r="M78" s="10"/>
      <c r="N78" s="255"/>
      <c r="O78" s="242"/>
      <c r="P78" s="243"/>
      <c r="Q78" s="243"/>
      <c r="R78" s="14"/>
      <c r="S78" s="242"/>
      <c r="T78" s="15"/>
      <c r="U78" s="15"/>
      <c r="V78" s="15"/>
      <c r="W78" s="8"/>
      <c r="X78" s="8"/>
      <c r="Y78" s="56"/>
      <c r="Z78" s="56"/>
      <c r="AA78" s="15"/>
      <c r="AB78" s="15"/>
      <c r="AC78" s="15"/>
      <c r="AD78" s="15"/>
      <c r="AE78" s="57"/>
      <c r="AF78" s="57"/>
      <c r="AG78" s="15"/>
      <c r="AH78" s="25"/>
      <c r="AI78" s="26"/>
      <c r="AJ78" s="26"/>
      <c r="AK78" s="27"/>
      <c r="AL78" s="28"/>
      <c r="AM78" s="29"/>
    </row>
    <row r="79" ht="12.75" customHeight="1">
      <c r="A79" s="26"/>
      <c r="B79" s="12"/>
      <c r="C79" s="240"/>
      <c r="D79" s="241"/>
      <c r="E79" s="5"/>
      <c r="F79" s="5"/>
      <c r="G79" s="5"/>
      <c r="H79" s="5"/>
      <c r="I79" s="5"/>
      <c r="J79" s="5"/>
      <c r="K79" s="8"/>
      <c r="L79" s="9"/>
      <c r="M79" s="10"/>
      <c r="N79" s="255"/>
      <c r="O79" s="242"/>
      <c r="P79" s="243"/>
      <c r="Q79" s="243"/>
      <c r="R79" s="14"/>
      <c r="S79" s="242"/>
      <c r="T79" s="15"/>
      <c r="U79" s="15"/>
      <c r="V79" s="15"/>
      <c r="W79" s="8"/>
      <c r="X79" s="8"/>
      <c r="Y79" s="56"/>
      <c r="Z79" s="56"/>
      <c r="AA79" s="15"/>
      <c r="AB79" s="15"/>
      <c r="AC79" s="15"/>
      <c r="AD79" s="15"/>
      <c r="AE79" s="57"/>
      <c r="AF79" s="57"/>
      <c r="AG79" s="15"/>
      <c r="AH79" s="25"/>
      <c r="AI79" s="26"/>
      <c r="AJ79" s="26"/>
      <c r="AK79" s="27"/>
      <c r="AL79" s="28"/>
      <c r="AM79" s="29"/>
    </row>
    <row r="80" ht="12.75" customHeight="1">
      <c r="A80" s="26"/>
      <c r="B80" s="12"/>
      <c r="C80" s="240"/>
      <c r="D80" s="241"/>
      <c r="E80" s="5"/>
      <c r="F80" s="5"/>
      <c r="G80" s="5"/>
      <c r="H80" s="5"/>
      <c r="I80" s="5"/>
      <c r="J80" s="5"/>
      <c r="K80" s="8"/>
      <c r="L80" s="9"/>
      <c r="M80" s="10"/>
      <c r="N80" s="255"/>
      <c r="O80" s="242"/>
      <c r="P80" s="243"/>
      <c r="Q80" s="243"/>
      <c r="R80" s="14"/>
      <c r="S80" s="242"/>
      <c r="T80" s="15"/>
      <c r="U80" s="15"/>
      <c r="V80" s="15"/>
      <c r="W80" s="8"/>
      <c r="X80" s="8"/>
      <c r="Y80" s="56"/>
      <c r="Z80" s="56"/>
      <c r="AA80" s="15"/>
      <c r="AB80" s="15"/>
      <c r="AC80" s="15"/>
      <c r="AD80" s="15"/>
      <c r="AE80" s="57"/>
      <c r="AF80" s="57"/>
      <c r="AG80" s="15"/>
      <c r="AH80" s="25"/>
      <c r="AI80" s="26"/>
      <c r="AJ80" s="26"/>
      <c r="AK80" s="27"/>
      <c r="AL80" s="28"/>
      <c r="AM80" s="29"/>
    </row>
    <row r="81" ht="12.75" customHeight="1">
      <c r="A81" s="26"/>
      <c r="B81" s="12"/>
      <c r="C81" s="240"/>
      <c r="D81" s="241"/>
      <c r="E81" s="5"/>
      <c r="F81" s="5"/>
      <c r="G81" s="5"/>
      <c r="H81" s="5"/>
      <c r="I81" s="5"/>
      <c r="J81" s="5"/>
      <c r="K81" s="8"/>
      <c r="L81" s="9"/>
      <c r="M81" s="10"/>
      <c r="N81" s="255"/>
      <c r="O81" s="242"/>
      <c r="P81" s="243"/>
      <c r="Q81" s="243"/>
      <c r="R81" s="14"/>
      <c r="S81" s="242"/>
      <c r="T81" s="15"/>
      <c r="U81" s="15"/>
      <c r="V81" s="15"/>
      <c r="W81" s="8"/>
      <c r="X81" s="8"/>
      <c r="Y81" s="56"/>
      <c r="Z81" s="56"/>
      <c r="AA81" s="15"/>
      <c r="AB81" s="15"/>
      <c r="AC81" s="15"/>
      <c r="AD81" s="15"/>
      <c r="AE81" s="57"/>
      <c r="AF81" s="57"/>
      <c r="AG81" s="15"/>
      <c r="AH81" s="25"/>
      <c r="AI81" s="26"/>
      <c r="AJ81" s="26"/>
      <c r="AK81" s="27"/>
      <c r="AL81" s="28"/>
      <c r="AM81" s="29"/>
    </row>
    <row r="82" ht="12.75" customHeight="1">
      <c r="A82" s="26"/>
      <c r="B82" s="12"/>
      <c r="C82" s="240"/>
      <c r="D82" s="241"/>
      <c r="E82" s="5"/>
      <c r="F82" s="5"/>
      <c r="G82" s="5"/>
      <c r="H82" s="5"/>
      <c r="I82" s="5"/>
      <c r="J82" s="5"/>
      <c r="K82" s="8"/>
      <c r="L82" s="9"/>
      <c r="M82" s="10"/>
      <c r="N82" s="255"/>
      <c r="O82" s="242"/>
      <c r="P82" s="243"/>
      <c r="Q82" s="243"/>
      <c r="R82" s="14"/>
      <c r="S82" s="242"/>
      <c r="T82" s="15"/>
      <c r="U82" s="15"/>
      <c r="V82" s="15"/>
      <c r="W82" s="8"/>
      <c r="X82" s="8"/>
      <c r="Y82" s="56"/>
      <c r="Z82" s="56"/>
      <c r="AA82" s="15"/>
      <c r="AB82" s="15"/>
      <c r="AC82" s="15"/>
      <c r="AD82" s="15"/>
      <c r="AE82" s="57"/>
      <c r="AF82" s="57"/>
      <c r="AG82" s="15"/>
      <c r="AH82" s="25"/>
      <c r="AI82" s="26"/>
      <c r="AJ82" s="26"/>
      <c r="AK82" s="27"/>
      <c r="AL82" s="28"/>
      <c r="AM82" s="29"/>
    </row>
    <row r="83" ht="12.75" customHeight="1">
      <c r="A83" s="26"/>
      <c r="B83" s="12"/>
      <c r="C83" s="240"/>
      <c r="D83" s="241"/>
      <c r="E83" s="5"/>
      <c r="F83" s="5"/>
      <c r="G83" s="5"/>
      <c r="H83" s="5"/>
      <c r="I83" s="5"/>
      <c r="J83" s="5"/>
      <c r="K83" s="8"/>
      <c r="L83" s="9"/>
      <c r="M83" s="10"/>
      <c r="N83" s="255"/>
      <c r="O83" s="242"/>
      <c r="P83" s="243"/>
      <c r="Q83" s="243"/>
      <c r="R83" s="14"/>
      <c r="S83" s="242"/>
      <c r="T83" s="15"/>
      <c r="U83" s="15"/>
      <c r="V83" s="15"/>
      <c r="W83" s="8"/>
      <c r="X83" s="8"/>
      <c r="Y83" s="56"/>
      <c r="Z83" s="56"/>
      <c r="AA83" s="15"/>
      <c r="AB83" s="15"/>
      <c r="AC83" s="15"/>
      <c r="AD83" s="15"/>
      <c r="AE83" s="57"/>
      <c r="AF83" s="57"/>
      <c r="AG83" s="15"/>
      <c r="AH83" s="25"/>
      <c r="AI83" s="26"/>
      <c r="AJ83" s="26"/>
      <c r="AK83" s="27"/>
      <c r="AL83" s="28"/>
      <c r="AM83" s="29"/>
    </row>
    <row r="84" ht="12.75" customHeight="1">
      <c r="A84" s="26"/>
      <c r="B84" s="12"/>
      <c r="C84" s="240"/>
      <c r="D84" s="241"/>
      <c r="E84" s="5"/>
      <c r="F84" s="5"/>
      <c r="G84" s="5"/>
      <c r="H84" s="5"/>
      <c r="I84" s="5"/>
      <c r="J84" s="5"/>
      <c r="K84" s="8"/>
      <c r="L84" s="9"/>
      <c r="M84" s="10"/>
      <c r="N84" s="255"/>
      <c r="O84" s="242"/>
      <c r="P84" s="243"/>
      <c r="Q84" s="243"/>
      <c r="R84" s="14"/>
      <c r="S84" s="242"/>
      <c r="T84" s="15"/>
      <c r="U84" s="15"/>
      <c r="V84" s="15"/>
      <c r="W84" s="8"/>
      <c r="X84" s="8"/>
      <c r="Y84" s="56"/>
      <c r="Z84" s="56"/>
      <c r="AA84" s="15"/>
      <c r="AB84" s="15"/>
      <c r="AC84" s="15"/>
      <c r="AD84" s="15"/>
      <c r="AE84" s="57"/>
      <c r="AF84" s="57"/>
      <c r="AG84" s="15"/>
      <c r="AH84" s="25"/>
      <c r="AI84" s="26"/>
      <c r="AJ84" s="26"/>
      <c r="AK84" s="27"/>
      <c r="AL84" s="28"/>
      <c r="AM84" s="29"/>
    </row>
    <row r="85" ht="12.75" customHeight="1">
      <c r="A85" s="26"/>
      <c r="B85" s="12"/>
      <c r="C85" s="240"/>
      <c r="D85" s="241"/>
      <c r="E85" s="5"/>
      <c r="F85" s="5"/>
      <c r="G85" s="5"/>
      <c r="H85" s="5"/>
      <c r="I85" s="5"/>
      <c r="J85" s="5"/>
      <c r="K85" s="8"/>
      <c r="L85" s="9"/>
      <c r="M85" s="10"/>
      <c r="N85" s="255"/>
      <c r="O85" s="242"/>
      <c r="P85" s="243"/>
      <c r="Q85" s="243"/>
      <c r="R85" s="14"/>
      <c r="S85" s="242"/>
      <c r="T85" s="15"/>
      <c r="U85" s="15"/>
      <c r="V85" s="15"/>
      <c r="W85" s="8"/>
      <c r="X85" s="8"/>
      <c r="Y85" s="56"/>
      <c r="Z85" s="56"/>
      <c r="AA85" s="15"/>
      <c r="AB85" s="15"/>
      <c r="AC85" s="15"/>
      <c r="AD85" s="15"/>
      <c r="AE85" s="57"/>
      <c r="AF85" s="57"/>
      <c r="AG85" s="15"/>
      <c r="AH85" s="25"/>
      <c r="AI85" s="26"/>
      <c r="AJ85" s="26"/>
      <c r="AK85" s="27"/>
      <c r="AL85" s="28"/>
      <c r="AM85" s="29"/>
    </row>
    <row r="86" ht="12.75" customHeight="1">
      <c r="A86" s="26"/>
      <c r="B86" s="12"/>
      <c r="C86" s="240"/>
      <c r="D86" s="241"/>
      <c r="E86" s="5"/>
      <c r="F86" s="5"/>
      <c r="G86" s="5"/>
      <c r="H86" s="5"/>
      <c r="I86" s="5"/>
      <c r="J86" s="5"/>
      <c r="K86" s="8"/>
      <c r="L86" s="9"/>
      <c r="M86" s="10"/>
      <c r="N86" s="255"/>
      <c r="O86" s="242"/>
      <c r="P86" s="243"/>
      <c r="Q86" s="243"/>
      <c r="R86" s="14"/>
      <c r="S86" s="242"/>
      <c r="T86" s="15"/>
      <c r="U86" s="15"/>
      <c r="V86" s="15"/>
      <c r="W86" s="8"/>
      <c r="X86" s="8"/>
      <c r="Y86" s="56"/>
      <c r="Z86" s="56"/>
      <c r="AA86" s="15"/>
      <c r="AB86" s="15"/>
      <c r="AC86" s="15"/>
      <c r="AD86" s="15"/>
      <c r="AE86" s="57"/>
      <c r="AF86" s="57"/>
      <c r="AG86" s="15"/>
      <c r="AH86" s="25"/>
      <c r="AI86" s="26"/>
      <c r="AJ86" s="26"/>
      <c r="AK86" s="27"/>
      <c r="AL86" s="28"/>
      <c r="AM86" s="29"/>
    </row>
    <row r="87" ht="12.75" customHeight="1">
      <c r="A87" s="26"/>
      <c r="B87" s="12"/>
      <c r="C87" s="240"/>
      <c r="D87" s="241"/>
      <c r="E87" s="5"/>
      <c r="F87" s="5"/>
      <c r="G87" s="5"/>
      <c r="H87" s="5"/>
      <c r="I87" s="5"/>
      <c r="J87" s="5"/>
      <c r="K87" s="8"/>
      <c r="L87" s="9"/>
      <c r="M87" s="10"/>
      <c r="N87" s="255"/>
      <c r="O87" s="242"/>
      <c r="P87" s="243"/>
      <c r="Q87" s="243"/>
      <c r="R87" s="14"/>
      <c r="S87" s="242"/>
      <c r="T87" s="15"/>
      <c r="U87" s="15"/>
      <c r="V87" s="15"/>
      <c r="W87" s="8"/>
      <c r="X87" s="8"/>
      <c r="Y87" s="56"/>
      <c r="Z87" s="56"/>
      <c r="AA87" s="15"/>
      <c r="AB87" s="15"/>
      <c r="AC87" s="15"/>
      <c r="AD87" s="15"/>
      <c r="AE87" s="57"/>
      <c r="AF87" s="57"/>
      <c r="AG87" s="15"/>
      <c r="AH87" s="25"/>
      <c r="AI87" s="26"/>
      <c r="AJ87" s="26"/>
      <c r="AK87" s="27"/>
      <c r="AL87" s="28"/>
      <c r="AM87" s="29"/>
    </row>
    <row r="88" ht="12.75" customHeight="1">
      <c r="A88" s="26"/>
      <c r="B88" s="12"/>
      <c r="C88" s="240"/>
      <c r="D88" s="241"/>
      <c r="E88" s="5"/>
      <c r="F88" s="5"/>
      <c r="G88" s="5"/>
      <c r="H88" s="5"/>
      <c r="I88" s="5"/>
      <c r="J88" s="5"/>
      <c r="K88" s="8"/>
      <c r="L88" s="9"/>
      <c r="M88" s="10"/>
      <c r="N88" s="255"/>
      <c r="O88" s="242"/>
      <c r="P88" s="243"/>
      <c r="Q88" s="243"/>
      <c r="R88" s="14"/>
      <c r="S88" s="242"/>
      <c r="T88" s="15"/>
      <c r="U88" s="15"/>
      <c r="V88" s="15"/>
      <c r="W88" s="8"/>
      <c r="X88" s="8"/>
      <c r="Y88" s="56"/>
      <c r="Z88" s="56"/>
      <c r="AA88" s="15"/>
      <c r="AB88" s="15"/>
      <c r="AC88" s="15"/>
      <c r="AD88" s="15"/>
      <c r="AE88" s="57"/>
      <c r="AF88" s="57"/>
      <c r="AG88" s="15"/>
      <c r="AH88" s="25"/>
      <c r="AI88" s="26"/>
      <c r="AJ88" s="26"/>
      <c r="AK88" s="27"/>
      <c r="AL88" s="28"/>
      <c r="AM88" s="29"/>
    </row>
    <row r="89" ht="12.75" customHeight="1">
      <c r="A89" s="26"/>
      <c r="B89" s="12"/>
      <c r="C89" s="240"/>
      <c r="D89" s="241"/>
      <c r="E89" s="5"/>
      <c r="F89" s="5"/>
      <c r="G89" s="5"/>
      <c r="H89" s="5"/>
      <c r="I89" s="5"/>
      <c r="J89" s="5"/>
      <c r="K89" s="8"/>
      <c r="L89" s="9"/>
      <c r="M89" s="10"/>
      <c r="N89" s="255"/>
      <c r="O89" s="242"/>
      <c r="P89" s="243"/>
      <c r="Q89" s="243"/>
      <c r="R89" s="14"/>
      <c r="S89" s="242"/>
      <c r="T89" s="15"/>
      <c r="U89" s="15"/>
      <c r="V89" s="15"/>
      <c r="W89" s="8"/>
      <c r="X89" s="8"/>
      <c r="Y89" s="56"/>
      <c r="Z89" s="56"/>
      <c r="AA89" s="15"/>
      <c r="AB89" s="15"/>
      <c r="AC89" s="15"/>
      <c r="AD89" s="15"/>
      <c r="AE89" s="57"/>
      <c r="AF89" s="57"/>
      <c r="AG89" s="15"/>
      <c r="AH89" s="25"/>
      <c r="AI89" s="26"/>
      <c r="AJ89" s="26"/>
      <c r="AK89" s="27"/>
      <c r="AL89" s="28"/>
      <c r="AM89" s="29"/>
    </row>
    <row r="90" ht="12.75" customHeight="1">
      <c r="A90" s="26"/>
      <c r="B90" s="12"/>
      <c r="C90" s="240"/>
      <c r="D90" s="241"/>
      <c r="E90" s="5"/>
      <c r="F90" s="5"/>
      <c r="G90" s="5"/>
      <c r="H90" s="5"/>
      <c r="I90" s="5"/>
      <c r="J90" s="5"/>
      <c r="K90" s="8"/>
      <c r="L90" s="9"/>
      <c r="M90" s="10"/>
      <c r="N90" s="255"/>
      <c r="O90" s="242"/>
      <c r="P90" s="243"/>
      <c r="Q90" s="243"/>
      <c r="R90" s="14"/>
      <c r="S90" s="242"/>
      <c r="T90" s="15"/>
      <c r="U90" s="15"/>
      <c r="V90" s="15"/>
      <c r="W90" s="8"/>
      <c r="X90" s="8"/>
      <c r="Y90" s="56"/>
      <c r="Z90" s="56"/>
      <c r="AA90" s="15"/>
      <c r="AB90" s="15"/>
      <c r="AC90" s="15"/>
      <c r="AD90" s="15"/>
      <c r="AE90" s="57"/>
      <c r="AF90" s="57"/>
      <c r="AG90" s="15"/>
      <c r="AH90" s="25"/>
      <c r="AI90" s="26"/>
      <c r="AJ90" s="26"/>
      <c r="AK90" s="27"/>
      <c r="AL90" s="28"/>
      <c r="AM90" s="29"/>
    </row>
    <row r="91" ht="12.75" customHeight="1">
      <c r="A91" s="26"/>
      <c r="B91" s="12"/>
      <c r="C91" s="240"/>
      <c r="D91" s="241"/>
      <c r="E91" s="5"/>
      <c r="F91" s="5"/>
      <c r="G91" s="5"/>
      <c r="H91" s="5"/>
      <c r="I91" s="5"/>
      <c r="J91" s="5"/>
      <c r="K91" s="8"/>
      <c r="L91" s="9"/>
      <c r="M91" s="10"/>
      <c r="N91" s="255"/>
      <c r="O91" s="242"/>
      <c r="P91" s="243"/>
      <c r="Q91" s="243"/>
      <c r="R91" s="14"/>
      <c r="S91" s="242"/>
      <c r="T91" s="15"/>
      <c r="U91" s="15"/>
      <c r="V91" s="15"/>
      <c r="W91" s="8"/>
      <c r="X91" s="8"/>
      <c r="Y91" s="56"/>
      <c r="Z91" s="56"/>
      <c r="AA91" s="15"/>
      <c r="AB91" s="15"/>
      <c r="AC91" s="15"/>
      <c r="AD91" s="15"/>
      <c r="AE91" s="57"/>
      <c r="AF91" s="57"/>
      <c r="AG91" s="15"/>
      <c r="AH91" s="25"/>
      <c r="AI91" s="26"/>
      <c r="AJ91" s="26"/>
      <c r="AK91" s="27"/>
      <c r="AL91" s="28"/>
      <c r="AM91" s="29"/>
    </row>
    <row r="92" ht="12.75" customHeight="1">
      <c r="A92" s="26"/>
      <c r="B92" s="12"/>
      <c r="C92" s="240"/>
      <c r="D92" s="241"/>
      <c r="E92" s="5"/>
      <c r="F92" s="5"/>
      <c r="G92" s="5"/>
      <c r="H92" s="5"/>
      <c r="I92" s="5"/>
      <c r="J92" s="5"/>
      <c r="K92" s="8"/>
      <c r="L92" s="9"/>
      <c r="M92" s="10"/>
      <c r="N92" s="255"/>
      <c r="O92" s="242"/>
      <c r="P92" s="243"/>
      <c r="Q92" s="243"/>
      <c r="R92" s="14"/>
      <c r="S92" s="242"/>
      <c r="T92" s="15"/>
      <c r="U92" s="15"/>
      <c r="V92" s="15"/>
      <c r="W92" s="8"/>
      <c r="X92" s="8"/>
      <c r="Y92" s="56"/>
      <c r="Z92" s="56"/>
      <c r="AA92" s="15"/>
      <c r="AB92" s="15"/>
      <c r="AC92" s="15"/>
      <c r="AD92" s="15"/>
      <c r="AE92" s="57"/>
      <c r="AF92" s="57"/>
      <c r="AG92" s="15"/>
      <c r="AH92" s="25"/>
      <c r="AI92" s="26"/>
      <c r="AJ92" s="26"/>
      <c r="AK92" s="27"/>
      <c r="AL92" s="28"/>
      <c r="AM92" s="29"/>
    </row>
    <row r="93" ht="12.75" customHeight="1">
      <c r="A93" s="26"/>
      <c r="B93" s="12"/>
      <c r="C93" s="240"/>
      <c r="D93" s="241"/>
      <c r="E93" s="5"/>
      <c r="F93" s="5"/>
      <c r="G93" s="5"/>
      <c r="H93" s="5"/>
      <c r="I93" s="5"/>
      <c r="J93" s="5"/>
      <c r="K93" s="8"/>
      <c r="L93" s="9"/>
      <c r="M93" s="10"/>
      <c r="N93" s="255"/>
      <c r="O93" s="242"/>
      <c r="P93" s="243"/>
      <c r="Q93" s="243"/>
      <c r="R93" s="14"/>
      <c r="S93" s="242"/>
      <c r="T93" s="15"/>
      <c r="U93" s="15"/>
      <c r="V93" s="15"/>
      <c r="W93" s="8"/>
      <c r="X93" s="8"/>
      <c r="Y93" s="56"/>
      <c r="Z93" s="56"/>
      <c r="AA93" s="15"/>
      <c r="AB93" s="15"/>
      <c r="AC93" s="15"/>
      <c r="AD93" s="15"/>
      <c r="AE93" s="57"/>
      <c r="AF93" s="57"/>
      <c r="AG93" s="15"/>
      <c r="AH93" s="25"/>
      <c r="AI93" s="26"/>
      <c r="AJ93" s="26"/>
      <c r="AK93" s="27"/>
      <c r="AL93" s="28"/>
      <c r="AM93" s="29"/>
    </row>
    <row r="94" ht="12.75" customHeight="1">
      <c r="A94" s="26"/>
      <c r="B94" s="12"/>
      <c r="C94" s="240"/>
      <c r="D94" s="241"/>
      <c r="E94" s="5"/>
      <c r="F94" s="5"/>
      <c r="G94" s="5"/>
      <c r="H94" s="5"/>
      <c r="I94" s="5"/>
      <c r="J94" s="5"/>
      <c r="K94" s="8"/>
      <c r="L94" s="9"/>
      <c r="M94" s="10"/>
      <c r="N94" s="255"/>
      <c r="O94" s="242"/>
      <c r="P94" s="243"/>
      <c r="Q94" s="243"/>
      <c r="R94" s="14"/>
      <c r="S94" s="242"/>
      <c r="T94" s="15"/>
      <c r="U94" s="15"/>
      <c r="V94" s="15"/>
      <c r="W94" s="8"/>
      <c r="X94" s="8"/>
      <c r="Y94" s="56"/>
      <c r="Z94" s="56"/>
      <c r="AA94" s="15"/>
      <c r="AB94" s="15"/>
      <c r="AC94" s="15"/>
      <c r="AD94" s="15"/>
      <c r="AE94" s="57"/>
      <c r="AF94" s="57"/>
      <c r="AG94" s="15"/>
      <c r="AH94" s="25"/>
      <c r="AI94" s="26"/>
      <c r="AJ94" s="26"/>
      <c r="AK94" s="27"/>
      <c r="AL94" s="28"/>
      <c r="AM94" s="29"/>
    </row>
    <row r="95" ht="12.75" customHeight="1">
      <c r="A95" s="26"/>
      <c r="B95" s="12"/>
      <c r="C95" s="240"/>
      <c r="D95" s="241"/>
      <c r="E95" s="5"/>
      <c r="F95" s="5"/>
      <c r="G95" s="5"/>
      <c r="H95" s="5"/>
      <c r="I95" s="5"/>
      <c r="J95" s="5"/>
      <c r="K95" s="8"/>
      <c r="L95" s="9"/>
      <c r="M95" s="10"/>
      <c r="N95" s="255"/>
      <c r="O95" s="242"/>
      <c r="P95" s="243"/>
      <c r="Q95" s="243"/>
      <c r="R95" s="14"/>
      <c r="S95" s="242"/>
      <c r="T95" s="15"/>
      <c r="U95" s="15"/>
      <c r="V95" s="15"/>
      <c r="W95" s="8"/>
      <c r="X95" s="8"/>
      <c r="Y95" s="56"/>
      <c r="Z95" s="56"/>
      <c r="AA95" s="15"/>
      <c r="AB95" s="15"/>
      <c r="AC95" s="15"/>
      <c r="AD95" s="15"/>
      <c r="AE95" s="57"/>
      <c r="AF95" s="57"/>
      <c r="AG95" s="15"/>
      <c r="AH95" s="25"/>
      <c r="AI95" s="26"/>
      <c r="AJ95" s="26"/>
      <c r="AK95" s="27"/>
      <c r="AL95" s="28"/>
      <c r="AM95" s="29"/>
    </row>
    <row r="96" ht="12.75" customHeight="1">
      <c r="A96" s="26"/>
      <c r="B96" s="12"/>
      <c r="C96" s="240"/>
      <c r="D96" s="241"/>
      <c r="E96" s="5"/>
      <c r="F96" s="5"/>
      <c r="G96" s="5"/>
      <c r="H96" s="5"/>
      <c r="I96" s="5"/>
      <c r="J96" s="5"/>
      <c r="K96" s="8"/>
      <c r="L96" s="9"/>
      <c r="M96" s="10"/>
      <c r="N96" s="255"/>
      <c r="O96" s="242"/>
      <c r="P96" s="243"/>
      <c r="Q96" s="243"/>
      <c r="R96" s="14"/>
      <c r="S96" s="242"/>
      <c r="T96" s="15"/>
      <c r="U96" s="15"/>
      <c r="V96" s="15"/>
      <c r="W96" s="8"/>
      <c r="X96" s="8"/>
      <c r="Y96" s="56"/>
      <c r="Z96" s="56"/>
      <c r="AA96" s="15"/>
      <c r="AB96" s="15"/>
      <c r="AC96" s="15"/>
      <c r="AD96" s="15"/>
      <c r="AE96" s="57"/>
      <c r="AF96" s="57"/>
      <c r="AG96" s="15"/>
      <c r="AH96" s="25"/>
      <c r="AI96" s="26"/>
      <c r="AJ96" s="26"/>
      <c r="AK96" s="27"/>
      <c r="AL96" s="28"/>
      <c r="AM96" s="29"/>
    </row>
    <row r="97" ht="12.75" customHeight="1">
      <c r="A97" s="26"/>
      <c r="B97" s="12"/>
      <c r="C97" s="240"/>
      <c r="D97" s="241"/>
      <c r="E97" s="5"/>
      <c r="F97" s="5"/>
      <c r="G97" s="5"/>
      <c r="H97" s="5"/>
      <c r="I97" s="5"/>
      <c r="J97" s="5"/>
      <c r="K97" s="8"/>
      <c r="L97" s="9"/>
      <c r="M97" s="10"/>
      <c r="N97" s="255"/>
      <c r="O97" s="242"/>
      <c r="P97" s="243"/>
      <c r="Q97" s="243"/>
      <c r="R97" s="14"/>
      <c r="S97" s="242"/>
      <c r="T97" s="15"/>
      <c r="U97" s="15"/>
      <c r="V97" s="15"/>
      <c r="W97" s="8"/>
      <c r="X97" s="8"/>
      <c r="Y97" s="56"/>
      <c r="Z97" s="56"/>
      <c r="AA97" s="15"/>
      <c r="AB97" s="15"/>
      <c r="AC97" s="15"/>
      <c r="AD97" s="15"/>
      <c r="AE97" s="57"/>
      <c r="AF97" s="57"/>
      <c r="AG97" s="15"/>
      <c r="AH97" s="25"/>
      <c r="AI97" s="26"/>
      <c r="AJ97" s="26"/>
      <c r="AK97" s="27"/>
      <c r="AL97" s="28"/>
      <c r="AM97" s="29"/>
    </row>
    <row r="98" ht="12.75" customHeight="1">
      <c r="A98" s="26"/>
      <c r="B98" s="12"/>
      <c r="C98" s="240"/>
      <c r="D98" s="241"/>
      <c r="E98" s="5"/>
      <c r="F98" s="5"/>
      <c r="G98" s="5"/>
      <c r="H98" s="5"/>
      <c r="I98" s="5"/>
      <c r="J98" s="5"/>
      <c r="K98" s="8"/>
      <c r="L98" s="9"/>
      <c r="M98" s="10"/>
      <c r="N98" s="255"/>
      <c r="O98" s="242"/>
      <c r="P98" s="243"/>
      <c r="Q98" s="243"/>
      <c r="R98" s="14"/>
      <c r="S98" s="242"/>
      <c r="T98" s="15"/>
      <c r="U98" s="15"/>
      <c r="V98" s="15"/>
      <c r="W98" s="8"/>
      <c r="X98" s="8"/>
      <c r="Y98" s="56"/>
      <c r="Z98" s="56"/>
      <c r="AA98" s="15"/>
      <c r="AB98" s="15"/>
      <c r="AC98" s="15"/>
      <c r="AD98" s="15"/>
      <c r="AE98" s="57"/>
      <c r="AF98" s="57"/>
      <c r="AG98" s="15"/>
      <c r="AH98" s="25"/>
      <c r="AI98" s="26"/>
      <c r="AJ98" s="26"/>
      <c r="AK98" s="27"/>
      <c r="AL98" s="28"/>
      <c r="AM98" s="29"/>
    </row>
    <row r="99" ht="12.75" customHeight="1">
      <c r="A99" s="26"/>
      <c r="B99" s="12"/>
      <c r="C99" s="240"/>
      <c r="D99" s="241"/>
      <c r="E99" s="5"/>
      <c r="F99" s="5"/>
      <c r="G99" s="5"/>
      <c r="H99" s="5"/>
      <c r="I99" s="5"/>
      <c r="J99" s="5"/>
      <c r="K99" s="8"/>
      <c r="L99" s="9"/>
      <c r="M99" s="10"/>
      <c r="N99" s="255"/>
      <c r="O99" s="242"/>
      <c r="P99" s="243"/>
      <c r="Q99" s="243"/>
      <c r="R99" s="14"/>
      <c r="S99" s="242"/>
      <c r="T99" s="15"/>
      <c r="U99" s="15"/>
      <c r="V99" s="15"/>
      <c r="W99" s="8"/>
      <c r="X99" s="8"/>
      <c r="Y99" s="56"/>
      <c r="Z99" s="56"/>
      <c r="AA99" s="15"/>
      <c r="AB99" s="15"/>
      <c r="AC99" s="15"/>
      <c r="AD99" s="15"/>
      <c r="AE99" s="57"/>
      <c r="AF99" s="57"/>
      <c r="AG99" s="15"/>
      <c r="AH99" s="25"/>
      <c r="AI99" s="26"/>
      <c r="AJ99" s="26"/>
      <c r="AK99" s="27"/>
      <c r="AL99" s="28"/>
      <c r="AM99" s="29"/>
    </row>
    <row r="100" ht="12.75" customHeight="1">
      <c r="A100" s="26"/>
      <c r="B100" s="12"/>
      <c r="C100" s="240"/>
      <c r="D100" s="241"/>
      <c r="E100" s="5"/>
      <c r="F100" s="5"/>
      <c r="G100" s="5"/>
      <c r="H100" s="5"/>
      <c r="I100" s="5"/>
      <c r="J100" s="5"/>
      <c r="K100" s="8"/>
      <c r="L100" s="9"/>
      <c r="M100" s="10"/>
      <c r="N100" s="255"/>
      <c r="O100" s="242"/>
      <c r="P100" s="243"/>
      <c r="Q100" s="243"/>
      <c r="R100" s="14"/>
      <c r="S100" s="242"/>
      <c r="T100" s="15"/>
      <c r="U100" s="15"/>
      <c r="V100" s="15"/>
      <c r="W100" s="8"/>
      <c r="X100" s="8"/>
      <c r="Y100" s="56"/>
      <c r="Z100" s="56"/>
      <c r="AA100" s="15"/>
      <c r="AB100" s="15"/>
      <c r="AC100" s="15"/>
      <c r="AD100" s="15"/>
      <c r="AE100" s="57"/>
      <c r="AF100" s="57"/>
      <c r="AG100" s="15"/>
      <c r="AH100" s="25"/>
      <c r="AI100" s="26"/>
      <c r="AJ100" s="26"/>
      <c r="AK100" s="27"/>
      <c r="AL100" s="28"/>
      <c r="AM100" s="29"/>
    </row>
    <row r="101" ht="12.75" customHeight="1">
      <c r="A101" s="26"/>
      <c r="B101" s="12"/>
      <c r="C101" s="240"/>
      <c r="D101" s="241"/>
      <c r="E101" s="5"/>
      <c r="F101" s="5"/>
      <c r="G101" s="5"/>
      <c r="H101" s="5"/>
      <c r="I101" s="5"/>
      <c r="J101" s="5"/>
      <c r="K101" s="8"/>
      <c r="L101" s="9"/>
      <c r="M101" s="10"/>
      <c r="N101" s="255"/>
      <c r="O101" s="242"/>
      <c r="P101" s="243"/>
      <c r="Q101" s="243"/>
      <c r="R101" s="14"/>
      <c r="S101" s="242"/>
      <c r="T101" s="15"/>
      <c r="U101" s="15"/>
      <c r="V101" s="15"/>
      <c r="W101" s="8"/>
      <c r="X101" s="8"/>
      <c r="Y101" s="56"/>
      <c r="Z101" s="56"/>
      <c r="AA101" s="15"/>
      <c r="AB101" s="15"/>
      <c r="AC101" s="15"/>
      <c r="AD101" s="15"/>
      <c r="AE101" s="57"/>
      <c r="AF101" s="57"/>
      <c r="AG101" s="15"/>
      <c r="AH101" s="25"/>
      <c r="AI101" s="26"/>
      <c r="AJ101" s="26"/>
      <c r="AK101" s="27"/>
      <c r="AL101" s="28"/>
      <c r="AM101" s="29"/>
    </row>
    <row r="102" ht="12.75" customHeight="1">
      <c r="A102" s="26"/>
      <c r="B102" s="12"/>
      <c r="C102" s="240"/>
      <c r="D102" s="241"/>
      <c r="E102" s="5"/>
      <c r="F102" s="5"/>
      <c r="G102" s="5"/>
      <c r="H102" s="5"/>
      <c r="I102" s="5"/>
      <c r="J102" s="5"/>
      <c r="K102" s="8"/>
      <c r="L102" s="9"/>
      <c r="M102" s="10"/>
      <c r="N102" s="255"/>
      <c r="O102" s="242"/>
      <c r="P102" s="243"/>
      <c r="Q102" s="243"/>
      <c r="R102" s="14"/>
      <c r="S102" s="242"/>
      <c r="T102" s="15"/>
      <c r="U102" s="15"/>
      <c r="V102" s="15"/>
      <c r="W102" s="8"/>
      <c r="X102" s="8"/>
      <c r="Y102" s="56"/>
      <c r="Z102" s="56"/>
      <c r="AA102" s="15"/>
      <c r="AB102" s="15"/>
      <c r="AC102" s="15"/>
      <c r="AD102" s="15"/>
      <c r="AE102" s="57"/>
      <c r="AF102" s="57"/>
      <c r="AG102" s="15"/>
      <c r="AH102" s="25"/>
      <c r="AI102" s="26"/>
      <c r="AJ102" s="26"/>
      <c r="AK102" s="27"/>
      <c r="AL102" s="28"/>
      <c r="AM102" s="29"/>
    </row>
    <row r="103" ht="12.75" customHeight="1">
      <c r="A103" s="26"/>
      <c r="B103" s="12"/>
      <c r="C103" s="240"/>
      <c r="D103" s="241"/>
      <c r="E103" s="5"/>
      <c r="F103" s="5"/>
      <c r="G103" s="5"/>
      <c r="H103" s="5"/>
      <c r="I103" s="5"/>
      <c r="J103" s="5"/>
      <c r="K103" s="8"/>
      <c r="L103" s="9"/>
      <c r="M103" s="10"/>
      <c r="N103" s="255"/>
      <c r="O103" s="242"/>
      <c r="P103" s="243"/>
      <c r="Q103" s="243"/>
      <c r="R103" s="14"/>
      <c r="S103" s="242"/>
      <c r="T103" s="15"/>
      <c r="U103" s="15"/>
      <c r="V103" s="15"/>
      <c r="W103" s="8"/>
      <c r="X103" s="8"/>
      <c r="Y103" s="56"/>
      <c r="Z103" s="56"/>
      <c r="AA103" s="15"/>
      <c r="AB103" s="15"/>
      <c r="AC103" s="15"/>
      <c r="AD103" s="15"/>
      <c r="AE103" s="57"/>
      <c r="AF103" s="57"/>
      <c r="AG103" s="15"/>
      <c r="AH103" s="25"/>
      <c r="AI103" s="26"/>
      <c r="AJ103" s="26"/>
      <c r="AK103" s="27"/>
      <c r="AL103" s="28"/>
      <c r="AM103" s="29"/>
    </row>
    <row r="104" ht="12.75" customHeight="1">
      <c r="A104" s="26"/>
      <c r="B104" s="12"/>
      <c r="C104" s="240"/>
      <c r="D104" s="241"/>
      <c r="E104" s="5"/>
      <c r="F104" s="5"/>
      <c r="G104" s="5"/>
      <c r="H104" s="5"/>
      <c r="I104" s="5"/>
      <c r="J104" s="5"/>
      <c r="K104" s="8"/>
      <c r="L104" s="9"/>
      <c r="M104" s="10"/>
      <c r="N104" s="255"/>
      <c r="O104" s="242"/>
      <c r="P104" s="243"/>
      <c r="Q104" s="243"/>
      <c r="R104" s="14"/>
      <c r="S104" s="242"/>
      <c r="T104" s="15"/>
      <c r="U104" s="15"/>
      <c r="V104" s="15"/>
      <c r="W104" s="8"/>
      <c r="X104" s="8"/>
      <c r="Y104" s="56"/>
      <c r="Z104" s="56"/>
      <c r="AA104" s="15"/>
      <c r="AB104" s="15"/>
      <c r="AC104" s="15"/>
      <c r="AD104" s="15"/>
      <c r="AE104" s="57"/>
      <c r="AF104" s="57"/>
      <c r="AG104" s="15"/>
      <c r="AH104" s="25"/>
      <c r="AI104" s="26"/>
      <c r="AJ104" s="26"/>
      <c r="AK104" s="27"/>
      <c r="AL104" s="28"/>
      <c r="AM104" s="29"/>
    </row>
    <row r="105" ht="12.75" customHeight="1">
      <c r="A105" s="26"/>
      <c r="B105" s="12"/>
      <c r="C105" s="240"/>
      <c r="D105" s="241"/>
      <c r="E105" s="5"/>
      <c r="F105" s="5"/>
      <c r="G105" s="5"/>
      <c r="H105" s="5"/>
      <c r="I105" s="5"/>
      <c r="J105" s="5"/>
      <c r="K105" s="8"/>
      <c r="L105" s="9"/>
      <c r="M105" s="10"/>
      <c r="N105" s="255"/>
      <c r="O105" s="242"/>
      <c r="P105" s="243"/>
      <c r="Q105" s="243"/>
      <c r="R105" s="14"/>
      <c r="S105" s="242"/>
      <c r="T105" s="15"/>
      <c r="U105" s="15"/>
      <c r="V105" s="15"/>
      <c r="W105" s="8"/>
      <c r="X105" s="8"/>
      <c r="Y105" s="56"/>
      <c r="Z105" s="56"/>
      <c r="AA105" s="15"/>
      <c r="AB105" s="15"/>
      <c r="AC105" s="15"/>
      <c r="AD105" s="15"/>
      <c r="AE105" s="57"/>
      <c r="AF105" s="57"/>
      <c r="AG105" s="15"/>
      <c r="AH105" s="25"/>
      <c r="AI105" s="26"/>
      <c r="AJ105" s="26"/>
      <c r="AK105" s="27"/>
      <c r="AL105" s="28"/>
      <c r="AM105" s="29"/>
    </row>
    <row r="106" ht="12.75" customHeight="1">
      <c r="A106" s="26"/>
      <c r="B106" s="12"/>
      <c r="C106" s="240"/>
      <c r="D106" s="241"/>
      <c r="E106" s="5"/>
      <c r="F106" s="5"/>
      <c r="G106" s="5"/>
      <c r="H106" s="5"/>
      <c r="I106" s="5"/>
      <c r="J106" s="5"/>
      <c r="K106" s="8"/>
      <c r="L106" s="9"/>
      <c r="M106" s="10"/>
      <c r="N106" s="255"/>
      <c r="O106" s="242"/>
      <c r="P106" s="243"/>
      <c r="Q106" s="243"/>
      <c r="R106" s="14"/>
      <c r="S106" s="242"/>
      <c r="T106" s="15"/>
      <c r="U106" s="15"/>
      <c r="V106" s="15"/>
      <c r="W106" s="8"/>
      <c r="X106" s="8"/>
      <c r="Y106" s="56"/>
      <c r="Z106" s="56"/>
      <c r="AA106" s="15"/>
      <c r="AB106" s="15"/>
      <c r="AC106" s="15"/>
      <c r="AD106" s="15"/>
      <c r="AE106" s="57"/>
      <c r="AF106" s="57"/>
      <c r="AG106" s="15"/>
      <c r="AH106" s="25"/>
      <c r="AI106" s="26"/>
      <c r="AJ106" s="26"/>
      <c r="AK106" s="27"/>
      <c r="AL106" s="28"/>
      <c r="AM106" s="29"/>
    </row>
    <row r="107" ht="12.75" customHeight="1">
      <c r="A107" s="26"/>
      <c r="B107" s="12"/>
      <c r="C107" s="240"/>
      <c r="D107" s="241"/>
      <c r="E107" s="5"/>
      <c r="F107" s="5"/>
      <c r="G107" s="5"/>
      <c r="H107" s="5"/>
      <c r="I107" s="5"/>
      <c r="J107" s="5"/>
      <c r="K107" s="8"/>
      <c r="L107" s="9"/>
      <c r="M107" s="10"/>
      <c r="N107" s="255"/>
      <c r="O107" s="242"/>
      <c r="P107" s="243"/>
      <c r="Q107" s="243"/>
      <c r="R107" s="14"/>
      <c r="S107" s="242"/>
      <c r="T107" s="15"/>
      <c r="U107" s="15"/>
      <c r="V107" s="15"/>
      <c r="W107" s="8"/>
      <c r="X107" s="8"/>
      <c r="Y107" s="56"/>
      <c r="Z107" s="56"/>
      <c r="AA107" s="15"/>
      <c r="AB107" s="15"/>
      <c r="AC107" s="15"/>
      <c r="AD107" s="15"/>
      <c r="AE107" s="57"/>
      <c r="AF107" s="57"/>
      <c r="AG107" s="15"/>
      <c r="AH107" s="25"/>
      <c r="AI107" s="26"/>
      <c r="AJ107" s="26"/>
      <c r="AK107" s="27"/>
      <c r="AL107" s="28"/>
      <c r="AM107" s="29"/>
    </row>
    <row r="108" ht="12.75" customHeight="1">
      <c r="A108" s="26"/>
      <c r="B108" s="12"/>
      <c r="C108" s="240"/>
      <c r="D108" s="241"/>
      <c r="E108" s="5"/>
      <c r="F108" s="5"/>
      <c r="G108" s="5"/>
      <c r="H108" s="5"/>
      <c r="I108" s="5"/>
      <c r="J108" s="5"/>
      <c r="K108" s="8"/>
      <c r="L108" s="9"/>
      <c r="M108" s="10"/>
      <c r="N108" s="255"/>
      <c r="O108" s="242"/>
      <c r="P108" s="243"/>
      <c r="Q108" s="243"/>
      <c r="R108" s="14"/>
      <c r="S108" s="242"/>
      <c r="T108" s="15"/>
      <c r="U108" s="15"/>
      <c r="V108" s="15"/>
      <c r="W108" s="8"/>
      <c r="X108" s="8"/>
      <c r="Y108" s="56"/>
      <c r="Z108" s="56"/>
      <c r="AA108" s="15"/>
      <c r="AB108" s="15"/>
      <c r="AC108" s="15"/>
      <c r="AD108" s="15"/>
      <c r="AE108" s="57"/>
      <c r="AF108" s="57"/>
      <c r="AG108" s="15"/>
      <c r="AH108" s="25"/>
      <c r="AI108" s="26"/>
      <c r="AJ108" s="26"/>
      <c r="AK108" s="27"/>
      <c r="AL108" s="28"/>
      <c r="AM108" s="29"/>
    </row>
    <row r="109" ht="12.75" customHeight="1">
      <c r="A109" s="26"/>
      <c r="B109" s="12"/>
      <c r="C109" s="240"/>
      <c r="D109" s="241"/>
      <c r="E109" s="5"/>
      <c r="F109" s="5"/>
      <c r="G109" s="5"/>
      <c r="H109" s="5"/>
      <c r="I109" s="5"/>
      <c r="J109" s="5"/>
      <c r="K109" s="8"/>
      <c r="L109" s="9"/>
      <c r="M109" s="10"/>
      <c r="N109" s="255"/>
      <c r="O109" s="242"/>
      <c r="P109" s="243"/>
      <c r="Q109" s="243"/>
      <c r="R109" s="14"/>
      <c r="S109" s="242"/>
      <c r="T109" s="15"/>
      <c r="U109" s="15"/>
      <c r="V109" s="15"/>
      <c r="W109" s="8"/>
      <c r="X109" s="8"/>
      <c r="Y109" s="56"/>
      <c r="Z109" s="56"/>
      <c r="AA109" s="15"/>
      <c r="AB109" s="15"/>
      <c r="AC109" s="15"/>
      <c r="AD109" s="15"/>
      <c r="AE109" s="57"/>
      <c r="AF109" s="57"/>
      <c r="AG109" s="15"/>
      <c r="AH109" s="25"/>
      <c r="AI109" s="26"/>
      <c r="AJ109" s="26"/>
      <c r="AK109" s="27"/>
      <c r="AL109" s="28"/>
      <c r="AM109" s="29"/>
    </row>
    <row r="110" ht="12.75" customHeight="1">
      <c r="A110" s="26"/>
      <c r="B110" s="12"/>
      <c r="C110" s="240"/>
      <c r="D110" s="241"/>
      <c r="E110" s="5"/>
      <c r="F110" s="5"/>
      <c r="G110" s="5"/>
      <c r="H110" s="5"/>
      <c r="I110" s="5"/>
      <c r="J110" s="5"/>
      <c r="K110" s="8"/>
      <c r="L110" s="9"/>
      <c r="M110" s="10"/>
      <c r="N110" s="255"/>
      <c r="O110" s="242"/>
      <c r="P110" s="243"/>
      <c r="Q110" s="243"/>
      <c r="R110" s="14"/>
      <c r="S110" s="242"/>
      <c r="T110" s="15"/>
      <c r="U110" s="15"/>
      <c r="V110" s="15"/>
      <c r="W110" s="8"/>
      <c r="X110" s="8"/>
      <c r="Y110" s="56"/>
      <c r="Z110" s="56"/>
      <c r="AA110" s="15"/>
      <c r="AB110" s="15"/>
      <c r="AC110" s="15"/>
      <c r="AD110" s="15"/>
      <c r="AE110" s="57"/>
      <c r="AF110" s="57"/>
      <c r="AG110" s="15"/>
      <c r="AH110" s="25"/>
      <c r="AI110" s="26"/>
      <c r="AJ110" s="26"/>
      <c r="AK110" s="27"/>
      <c r="AL110" s="28"/>
      <c r="AM110" s="29"/>
    </row>
    <row r="111" ht="12.75" customHeight="1">
      <c r="A111" s="26"/>
      <c r="B111" s="12"/>
      <c r="C111" s="240"/>
      <c r="D111" s="241"/>
      <c r="E111" s="5"/>
      <c r="F111" s="5"/>
      <c r="G111" s="5"/>
      <c r="H111" s="5"/>
      <c r="I111" s="5"/>
      <c r="J111" s="5"/>
      <c r="K111" s="8"/>
      <c r="L111" s="9"/>
      <c r="M111" s="10"/>
      <c r="N111" s="255"/>
      <c r="O111" s="242"/>
      <c r="P111" s="243"/>
      <c r="Q111" s="243"/>
      <c r="R111" s="14"/>
      <c r="S111" s="242"/>
      <c r="T111" s="15"/>
      <c r="U111" s="15"/>
      <c r="V111" s="15"/>
      <c r="W111" s="8"/>
      <c r="X111" s="8"/>
      <c r="Y111" s="56"/>
      <c r="Z111" s="56"/>
      <c r="AA111" s="15"/>
      <c r="AB111" s="15"/>
      <c r="AC111" s="15"/>
      <c r="AD111" s="15"/>
      <c r="AE111" s="57"/>
      <c r="AF111" s="57"/>
      <c r="AG111" s="15"/>
      <c r="AH111" s="25"/>
      <c r="AI111" s="26"/>
      <c r="AJ111" s="26"/>
      <c r="AK111" s="27"/>
      <c r="AL111" s="28"/>
      <c r="AM111" s="29"/>
    </row>
    <row r="112" ht="12.75" customHeight="1">
      <c r="A112" s="26"/>
      <c r="B112" s="12"/>
      <c r="C112" s="240"/>
      <c r="D112" s="241"/>
      <c r="E112" s="5"/>
      <c r="F112" s="5"/>
      <c r="G112" s="5"/>
      <c r="H112" s="5"/>
      <c r="I112" s="5"/>
      <c r="J112" s="5"/>
      <c r="K112" s="8"/>
      <c r="L112" s="9"/>
      <c r="M112" s="10"/>
      <c r="N112" s="255"/>
      <c r="O112" s="242"/>
      <c r="P112" s="243"/>
      <c r="Q112" s="243"/>
      <c r="R112" s="14"/>
      <c r="S112" s="242"/>
      <c r="T112" s="15"/>
      <c r="U112" s="15"/>
      <c r="V112" s="15"/>
      <c r="W112" s="8"/>
      <c r="X112" s="8"/>
      <c r="Y112" s="56"/>
      <c r="Z112" s="56"/>
      <c r="AA112" s="15"/>
      <c r="AB112" s="15"/>
      <c r="AC112" s="15"/>
      <c r="AD112" s="15"/>
      <c r="AE112" s="57"/>
      <c r="AF112" s="57"/>
      <c r="AG112" s="15"/>
      <c r="AH112" s="25"/>
      <c r="AI112" s="26"/>
      <c r="AJ112" s="26"/>
      <c r="AK112" s="27"/>
      <c r="AL112" s="28"/>
      <c r="AM112" s="29"/>
    </row>
    <row r="113" ht="12.75" customHeight="1">
      <c r="A113" s="26"/>
      <c r="B113" s="12"/>
      <c r="C113" s="240"/>
      <c r="D113" s="241"/>
      <c r="E113" s="5"/>
      <c r="F113" s="5"/>
      <c r="G113" s="5"/>
      <c r="H113" s="5"/>
      <c r="I113" s="5"/>
      <c r="J113" s="5"/>
      <c r="K113" s="8"/>
      <c r="L113" s="9"/>
      <c r="M113" s="10"/>
      <c r="N113" s="255"/>
      <c r="O113" s="242"/>
      <c r="P113" s="243"/>
      <c r="Q113" s="243"/>
      <c r="R113" s="14"/>
      <c r="S113" s="242"/>
      <c r="T113" s="15"/>
      <c r="U113" s="15"/>
      <c r="V113" s="15"/>
      <c r="W113" s="8"/>
      <c r="X113" s="8"/>
      <c r="Y113" s="56"/>
      <c r="Z113" s="56"/>
      <c r="AA113" s="15"/>
      <c r="AB113" s="15"/>
      <c r="AC113" s="15"/>
      <c r="AD113" s="15"/>
      <c r="AE113" s="57"/>
      <c r="AF113" s="57"/>
      <c r="AG113" s="15"/>
      <c r="AH113" s="25"/>
      <c r="AI113" s="26"/>
      <c r="AJ113" s="26"/>
      <c r="AK113" s="27"/>
      <c r="AL113" s="28"/>
      <c r="AM113" s="29"/>
    </row>
    <row r="114" ht="12.75" customHeight="1">
      <c r="A114" s="26"/>
      <c r="B114" s="12"/>
      <c r="C114" s="240"/>
      <c r="D114" s="241"/>
      <c r="E114" s="5"/>
      <c r="F114" s="5"/>
      <c r="G114" s="5"/>
      <c r="H114" s="5"/>
      <c r="I114" s="5"/>
      <c r="J114" s="5"/>
      <c r="K114" s="8"/>
      <c r="L114" s="9"/>
      <c r="M114" s="10"/>
      <c r="N114" s="255"/>
      <c r="O114" s="242"/>
      <c r="P114" s="243"/>
      <c r="Q114" s="243"/>
      <c r="R114" s="14"/>
      <c r="S114" s="242"/>
      <c r="T114" s="15"/>
      <c r="U114" s="15"/>
      <c r="V114" s="15"/>
      <c r="W114" s="8"/>
      <c r="X114" s="8"/>
      <c r="Y114" s="56"/>
      <c r="Z114" s="56"/>
      <c r="AA114" s="15"/>
      <c r="AB114" s="15"/>
      <c r="AC114" s="15"/>
      <c r="AD114" s="15"/>
      <c r="AE114" s="57"/>
      <c r="AF114" s="57"/>
      <c r="AG114" s="15"/>
      <c r="AH114" s="25"/>
      <c r="AI114" s="26"/>
      <c r="AJ114" s="26"/>
      <c r="AK114" s="27"/>
      <c r="AL114" s="28"/>
      <c r="AM114" s="29"/>
    </row>
    <row r="115" ht="12.75" customHeight="1">
      <c r="A115" s="26"/>
      <c r="B115" s="12"/>
      <c r="C115" s="240"/>
      <c r="D115" s="241"/>
      <c r="E115" s="5"/>
      <c r="F115" s="5"/>
      <c r="G115" s="5"/>
      <c r="H115" s="5"/>
      <c r="I115" s="5"/>
      <c r="J115" s="5"/>
      <c r="K115" s="8"/>
      <c r="L115" s="9"/>
      <c r="M115" s="10"/>
      <c r="N115" s="255"/>
      <c r="O115" s="242"/>
      <c r="P115" s="243"/>
      <c r="Q115" s="243"/>
      <c r="R115" s="14"/>
      <c r="S115" s="242"/>
      <c r="T115" s="15"/>
      <c r="U115" s="15"/>
      <c r="V115" s="15"/>
      <c r="W115" s="8"/>
      <c r="X115" s="8"/>
      <c r="Y115" s="56"/>
      <c r="Z115" s="56"/>
      <c r="AA115" s="15"/>
      <c r="AB115" s="15"/>
      <c r="AC115" s="15"/>
      <c r="AD115" s="15"/>
      <c r="AE115" s="57"/>
      <c r="AF115" s="57"/>
      <c r="AG115" s="15"/>
      <c r="AH115" s="25"/>
      <c r="AI115" s="26"/>
      <c r="AJ115" s="26"/>
      <c r="AK115" s="27"/>
      <c r="AL115" s="28"/>
      <c r="AM115" s="29"/>
    </row>
    <row r="116" ht="12.75" customHeight="1">
      <c r="A116" s="26"/>
      <c r="B116" s="12"/>
      <c r="C116" s="240"/>
      <c r="D116" s="241"/>
      <c r="E116" s="5"/>
      <c r="F116" s="5"/>
      <c r="G116" s="5"/>
      <c r="H116" s="5"/>
      <c r="I116" s="5"/>
      <c r="J116" s="5"/>
      <c r="K116" s="8"/>
      <c r="L116" s="9"/>
      <c r="M116" s="10"/>
      <c r="N116" s="255"/>
      <c r="O116" s="242"/>
      <c r="P116" s="243"/>
      <c r="Q116" s="243"/>
      <c r="R116" s="14"/>
      <c r="S116" s="242"/>
      <c r="T116" s="15"/>
      <c r="U116" s="15"/>
      <c r="V116" s="15"/>
      <c r="W116" s="8"/>
      <c r="X116" s="8"/>
      <c r="Y116" s="56"/>
      <c r="Z116" s="56"/>
      <c r="AA116" s="15"/>
      <c r="AB116" s="15"/>
      <c r="AC116" s="15"/>
      <c r="AD116" s="15"/>
      <c r="AE116" s="57"/>
      <c r="AF116" s="57"/>
      <c r="AG116" s="15"/>
      <c r="AH116" s="25"/>
      <c r="AI116" s="26"/>
      <c r="AJ116" s="26"/>
      <c r="AK116" s="27"/>
      <c r="AL116" s="28"/>
      <c r="AM116" s="29"/>
    </row>
    <row r="117" ht="12.75" customHeight="1">
      <c r="A117" s="26"/>
      <c r="B117" s="12"/>
      <c r="C117" s="240"/>
      <c r="D117" s="241"/>
      <c r="E117" s="5"/>
      <c r="F117" s="5"/>
      <c r="G117" s="5"/>
      <c r="H117" s="5"/>
      <c r="I117" s="5"/>
      <c r="J117" s="5"/>
      <c r="K117" s="8"/>
      <c r="L117" s="9"/>
      <c r="M117" s="10"/>
      <c r="N117" s="255"/>
      <c r="O117" s="242"/>
      <c r="P117" s="243"/>
      <c r="Q117" s="243"/>
      <c r="R117" s="14"/>
      <c r="S117" s="242"/>
      <c r="T117" s="15"/>
      <c r="U117" s="15"/>
      <c r="V117" s="15"/>
      <c r="W117" s="8"/>
      <c r="X117" s="8"/>
      <c r="Y117" s="56"/>
      <c r="Z117" s="56"/>
      <c r="AA117" s="15"/>
      <c r="AB117" s="15"/>
      <c r="AC117" s="15"/>
      <c r="AD117" s="15"/>
      <c r="AE117" s="57"/>
      <c r="AF117" s="57"/>
      <c r="AG117" s="15"/>
      <c r="AH117" s="25"/>
      <c r="AI117" s="26"/>
      <c r="AJ117" s="26"/>
      <c r="AK117" s="27"/>
      <c r="AL117" s="28"/>
      <c r="AM117" s="29"/>
    </row>
    <row r="118" ht="12.75" customHeight="1">
      <c r="A118" s="26"/>
      <c r="B118" s="12"/>
      <c r="C118" s="240"/>
      <c r="D118" s="241"/>
      <c r="E118" s="5"/>
      <c r="F118" s="5"/>
      <c r="G118" s="5"/>
      <c r="H118" s="5"/>
      <c r="I118" s="5"/>
      <c r="J118" s="5"/>
      <c r="K118" s="8"/>
      <c r="L118" s="9"/>
      <c r="M118" s="10"/>
      <c r="N118" s="255"/>
      <c r="O118" s="242"/>
      <c r="P118" s="243"/>
      <c r="Q118" s="243"/>
      <c r="R118" s="14"/>
      <c r="S118" s="242"/>
      <c r="T118" s="15"/>
      <c r="U118" s="15"/>
      <c r="V118" s="15"/>
      <c r="W118" s="8"/>
      <c r="X118" s="8"/>
      <c r="Y118" s="56"/>
      <c r="Z118" s="56"/>
      <c r="AA118" s="15"/>
      <c r="AB118" s="15"/>
      <c r="AC118" s="15"/>
      <c r="AD118" s="15"/>
      <c r="AE118" s="57"/>
      <c r="AF118" s="57"/>
      <c r="AG118" s="15"/>
      <c r="AH118" s="25"/>
      <c r="AI118" s="26"/>
      <c r="AJ118" s="26"/>
      <c r="AK118" s="27"/>
      <c r="AL118" s="28"/>
      <c r="AM118" s="29"/>
    </row>
    <row r="119" ht="12.75" customHeight="1">
      <c r="A119" s="26"/>
      <c r="B119" s="12"/>
      <c r="C119" s="240"/>
      <c r="D119" s="241"/>
      <c r="E119" s="5"/>
      <c r="F119" s="5"/>
      <c r="G119" s="5"/>
      <c r="H119" s="5"/>
      <c r="I119" s="5"/>
      <c r="J119" s="5"/>
      <c r="K119" s="8"/>
      <c r="L119" s="9"/>
      <c r="M119" s="10"/>
      <c r="N119" s="255"/>
      <c r="O119" s="242"/>
      <c r="P119" s="243"/>
      <c r="Q119" s="243"/>
      <c r="R119" s="14"/>
      <c r="S119" s="242"/>
      <c r="T119" s="15"/>
      <c r="U119" s="15"/>
      <c r="V119" s="15"/>
      <c r="W119" s="8"/>
      <c r="X119" s="8"/>
      <c r="Y119" s="56"/>
      <c r="Z119" s="56"/>
      <c r="AA119" s="15"/>
      <c r="AB119" s="15"/>
      <c r="AC119" s="15"/>
      <c r="AD119" s="15"/>
      <c r="AE119" s="57"/>
      <c r="AF119" s="57"/>
      <c r="AG119" s="15"/>
      <c r="AH119" s="25"/>
      <c r="AI119" s="26"/>
      <c r="AJ119" s="26"/>
      <c r="AK119" s="27"/>
      <c r="AL119" s="28"/>
      <c r="AM119" s="29"/>
    </row>
    <row r="120" ht="12.75" customHeight="1">
      <c r="A120" s="26"/>
      <c r="B120" s="12"/>
      <c r="C120" s="240"/>
      <c r="D120" s="241"/>
      <c r="E120" s="5"/>
      <c r="F120" s="5"/>
      <c r="G120" s="5"/>
      <c r="H120" s="5"/>
      <c r="I120" s="5"/>
      <c r="J120" s="5"/>
      <c r="K120" s="8"/>
      <c r="L120" s="9"/>
      <c r="M120" s="10"/>
      <c r="N120" s="255"/>
      <c r="O120" s="242"/>
      <c r="P120" s="243"/>
      <c r="Q120" s="243"/>
      <c r="R120" s="14"/>
      <c r="S120" s="242"/>
      <c r="T120" s="15"/>
      <c r="U120" s="15"/>
      <c r="V120" s="15"/>
      <c r="W120" s="8"/>
      <c r="X120" s="8"/>
      <c r="Y120" s="56"/>
      <c r="Z120" s="56"/>
      <c r="AA120" s="15"/>
      <c r="AB120" s="15"/>
      <c r="AC120" s="15"/>
      <c r="AD120" s="15"/>
      <c r="AE120" s="57"/>
      <c r="AF120" s="57"/>
      <c r="AG120" s="15"/>
      <c r="AH120" s="25"/>
      <c r="AI120" s="26"/>
      <c r="AJ120" s="26"/>
      <c r="AK120" s="27"/>
      <c r="AL120" s="28"/>
      <c r="AM120" s="29"/>
    </row>
    <row r="121" ht="12.75" customHeight="1">
      <c r="A121" s="26"/>
      <c r="B121" s="12"/>
      <c r="C121" s="240"/>
      <c r="D121" s="241"/>
      <c r="E121" s="5"/>
      <c r="F121" s="5"/>
      <c r="G121" s="5"/>
      <c r="H121" s="5"/>
      <c r="I121" s="5"/>
      <c r="J121" s="5"/>
      <c r="K121" s="8"/>
      <c r="L121" s="9"/>
      <c r="M121" s="10"/>
      <c r="N121" s="255"/>
      <c r="O121" s="242"/>
      <c r="P121" s="243"/>
      <c r="Q121" s="243"/>
      <c r="R121" s="14"/>
      <c r="S121" s="242"/>
      <c r="T121" s="15"/>
      <c r="U121" s="15"/>
      <c r="V121" s="15"/>
      <c r="W121" s="8"/>
      <c r="X121" s="8"/>
      <c r="Y121" s="56"/>
      <c r="Z121" s="56"/>
      <c r="AA121" s="15"/>
      <c r="AB121" s="15"/>
      <c r="AC121" s="15"/>
      <c r="AD121" s="15"/>
      <c r="AE121" s="57"/>
      <c r="AF121" s="57"/>
      <c r="AG121" s="15"/>
      <c r="AH121" s="25"/>
      <c r="AI121" s="26"/>
      <c r="AJ121" s="26"/>
      <c r="AK121" s="27"/>
      <c r="AL121" s="28"/>
      <c r="AM121" s="29"/>
    </row>
    <row r="122" ht="12.75" customHeight="1">
      <c r="A122" s="26"/>
      <c r="B122" s="12"/>
      <c r="C122" s="240"/>
      <c r="D122" s="241"/>
      <c r="E122" s="5"/>
      <c r="F122" s="5"/>
      <c r="G122" s="5"/>
      <c r="H122" s="5"/>
      <c r="I122" s="5"/>
      <c r="J122" s="5"/>
      <c r="K122" s="8"/>
      <c r="L122" s="9"/>
      <c r="M122" s="10"/>
      <c r="N122" s="255"/>
      <c r="O122" s="242"/>
      <c r="P122" s="243"/>
      <c r="Q122" s="243"/>
      <c r="R122" s="14"/>
      <c r="S122" s="242"/>
      <c r="T122" s="15"/>
      <c r="U122" s="15"/>
      <c r="V122" s="15"/>
      <c r="W122" s="8"/>
      <c r="X122" s="8"/>
      <c r="Y122" s="56"/>
      <c r="Z122" s="56"/>
      <c r="AA122" s="15"/>
      <c r="AB122" s="15"/>
      <c r="AC122" s="15"/>
      <c r="AD122" s="15"/>
      <c r="AE122" s="57"/>
      <c r="AF122" s="57"/>
      <c r="AG122" s="15"/>
      <c r="AH122" s="25"/>
      <c r="AI122" s="26"/>
      <c r="AJ122" s="26"/>
      <c r="AK122" s="27"/>
      <c r="AL122" s="28"/>
      <c r="AM122" s="29"/>
    </row>
    <row r="123" ht="12.75" customHeight="1">
      <c r="A123" s="26"/>
      <c r="B123" s="12"/>
      <c r="C123" s="240"/>
      <c r="D123" s="241"/>
      <c r="E123" s="5"/>
      <c r="F123" s="5"/>
      <c r="G123" s="5"/>
      <c r="H123" s="5"/>
      <c r="I123" s="5"/>
      <c r="J123" s="5"/>
      <c r="K123" s="8"/>
      <c r="L123" s="9"/>
      <c r="M123" s="10"/>
      <c r="N123" s="255"/>
      <c r="O123" s="242"/>
      <c r="P123" s="243"/>
      <c r="Q123" s="243"/>
      <c r="R123" s="14"/>
      <c r="S123" s="242"/>
      <c r="T123" s="15"/>
      <c r="U123" s="15"/>
      <c r="V123" s="15"/>
      <c r="W123" s="8"/>
      <c r="X123" s="8"/>
      <c r="Y123" s="56"/>
      <c r="Z123" s="56"/>
      <c r="AA123" s="15"/>
      <c r="AB123" s="15"/>
      <c r="AC123" s="15"/>
      <c r="AD123" s="15"/>
      <c r="AE123" s="57"/>
      <c r="AF123" s="57"/>
      <c r="AG123" s="15"/>
      <c r="AH123" s="25"/>
      <c r="AI123" s="26"/>
      <c r="AJ123" s="26"/>
      <c r="AK123" s="27"/>
      <c r="AL123" s="28"/>
      <c r="AM123" s="29"/>
    </row>
    <row r="124" ht="12.75" customHeight="1">
      <c r="A124" s="26"/>
      <c r="B124" s="12"/>
      <c r="C124" s="240"/>
      <c r="D124" s="241"/>
      <c r="E124" s="5"/>
      <c r="F124" s="5"/>
      <c r="G124" s="5"/>
      <c r="H124" s="5"/>
      <c r="I124" s="5"/>
      <c r="J124" s="5"/>
      <c r="K124" s="8"/>
      <c r="L124" s="9"/>
      <c r="M124" s="10"/>
      <c r="N124" s="255"/>
      <c r="O124" s="242"/>
      <c r="P124" s="243"/>
      <c r="Q124" s="243"/>
      <c r="R124" s="14"/>
      <c r="S124" s="242"/>
      <c r="T124" s="15"/>
      <c r="U124" s="15"/>
      <c r="V124" s="15"/>
      <c r="W124" s="8"/>
      <c r="X124" s="8"/>
      <c r="Y124" s="56"/>
      <c r="Z124" s="56"/>
      <c r="AA124" s="15"/>
      <c r="AB124" s="15"/>
      <c r="AC124" s="15"/>
      <c r="AD124" s="15"/>
      <c r="AE124" s="57"/>
      <c r="AF124" s="57"/>
      <c r="AG124" s="15"/>
      <c r="AH124" s="25"/>
      <c r="AI124" s="26"/>
      <c r="AJ124" s="26"/>
      <c r="AK124" s="27"/>
      <c r="AL124" s="28"/>
      <c r="AM124" s="29"/>
    </row>
    <row r="125" ht="12.75" customHeight="1">
      <c r="A125" s="26"/>
      <c r="B125" s="12"/>
      <c r="C125" s="240"/>
      <c r="D125" s="241"/>
      <c r="E125" s="5"/>
      <c r="F125" s="5"/>
      <c r="G125" s="5"/>
      <c r="H125" s="5"/>
      <c r="I125" s="5"/>
      <c r="J125" s="5"/>
      <c r="K125" s="8"/>
      <c r="L125" s="9"/>
      <c r="M125" s="10"/>
      <c r="N125" s="255"/>
      <c r="O125" s="242"/>
      <c r="P125" s="243"/>
      <c r="Q125" s="243"/>
      <c r="R125" s="14"/>
      <c r="S125" s="242"/>
      <c r="T125" s="15"/>
      <c r="U125" s="15"/>
      <c r="V125" s="15"/>
      <c r="W125" s="8"/>
      <c r="X125" s="8"/>
      <c r="Y125" s="56"/>
      <c r="Z125" s="56"/>
      <c r="AA125" s="15"/>
      <c r="AB125" s="15"/>
      <c r="AC125" s="15"/>
      <c r="AD125" s="15"/>
      <c r="AE125" s="57"/>
      <c r="AF125" s="57"/>
      <c r="AG125" s="15"/>
      <c r="AH125" s="25"/>
      <c r="AI125" s="26"/>
      <c r="AJ125" s="26"/>
      <c r="AK125" s="27"/>
      <c r="AL125" s="28"/>
      <c r="AM125" s="29"/>
    </row>
    <row r="126" ht="12.75" customHeight="1">
      <c r="A126" s="26"/>
      <c r="B126" s="12"/>
      <c r="C126" s="240"/>
      <c r="D126" s="241"/>
      <c r="E126" s="5"/>
      <c r="F126" s="5"/>
      <c r="G126" s="5"/>
      <c r="H126" s="5"/>
      <c r="I126" s="5"/>
      <c r="J126" s="5"/>
      <c r="K126" s="8"/>
      <c r="L126" s="9"/>
      <c r="M126" s="10"/>
      <c r="N126" s="255"/>
      <c r="O126" s="242"/>
      <c r="P126" s="243"/>
      <c r="Q126" s="243"/>
      <c r="R126" s="14"/>
      <c r="S126" s="242"/>
      <c r="T126" s="15"/>
      <c r="U126" s="15"/>
      <c r="V126" s="15"/>
      <c r="W126" s="8"/>
      <c r="X126" s="8"/>
      <c r="Y126" s="56"/>
      <c r="Z126" s="56"/>
      <c r="AA126" s="15"/>
      <c r="AB126" s="15"/>
      <c r="AC126" s="15"/>
      <c r="AD126" s="15"/>
      <c r="AE126" s="57"/>
      <c r="AF126" s="57"/>
      <c r="AG126" s="15"/>
      <c r="AH126" s="25"/>
      <c r="AI126" s="26"/>
      <c r="AJ126" s="26"/>
      <c r="AK126" s="27"/>
      <c r="AL126" s="28"/>
      <c r="AM126" s="29"/>
    </row>
    <row r="127" ht="12.75" customHeight="1">
      <c r="A127" s="26"/>
      <c r="B127" s="12"/>
      <c r="C127" s="240"/>
      <c r="D127" s="241"/>
      <c r="E127" s="5"/>
      <c r="F127" s="5"/>
      <c r="G127" s="5"/>
      <c r="H127" s="5"/>
      <c r="I127" s="5"/>
      <c r="J127" s="5"/>
      <c r="K127" s="8"/>
      <c r="L127" s="9"/>
      <c r="M127" s="10"/>
      <c r="N127" s="255"/>
      <c r="O127" s="242"/>
      <c r="P127" s="243"/>
      <c r="Q127" s="243"/>
      <c r="R127" s="14"/>
      <c r="S127" s="242"/>
      <c r="T127" s="15"/>
      <c r="U127" s="15"/>
      <c r="V127" s="15"/>
      <c r="W127" s="8"/>
      <c r="X127" s="8"/>
      <c r="Y127" s="56"/>
      <c r="Z127" s="56"/>
      <c r="AA127" s="15"/>
      <c r="AB127" s="15"/>
      <c r="AC127" s="15"/>
      <c r="AD127" s="15"/>
      <c r="AE127" s="57"/>
      <c r="AF127" s="57"/>
      <c r="AG127" s="15"/>
      <c r="AH127" s="25"/>
      <c r="AI127" s="26"/>
      <c r="AJ127" s="26"/>
      <c r="AK127" s="27"/>
      <c r="AL127" s="28"/>
      <c r="AM127" s="29"/>
    </row>
    <row r="128" ht="12.75" customHeight="1">
      <c r="A128" s="26"/>
      <c r="B128" s="12"/>
      <c r="C128" s="240"/>
      <c r="D128" s="241"/>
      <c r="E128" s="5"/>
      <c r="F128" s="5"/>
      <c r="G128" s="5"/>
      <c r="H128" s="5"/>
      <c r="I128" s="5"/>
      <c r="J128" s="5"/>
      <c r="K128" s="8"/>
      <c r="L128" s="9"/>
      <c r="M128" s="10"/>
      <c r="N128" s="255"/>
      <c r="O128" s="242"/>
      <c r="P128" s="243"/>
      <c r="Q128" s="243"/>
      <c r="R128" s="14"/>
      <c r="S128" s="242"/>
      <c r="T128" s="15"/>
      <c r="U128" s="15"/>
      <c r="V128" s="15"/>
      <c r="W128" s="8"/>
      <c r="X128" s="8"/>
      <c r="Y128" s="56"/>
      <c r="Z128" s="56"/>
      <c r="AA128" s="15"/>
      <c r="AB128" s="15"/>
      <c r="AC128" s="15"/>
      <c r="AD128" s="15"/>
      <c r="AE128" s="57"/>
      <c r="AF128" s="57"/>
      <c r="AG128" s="15"/>
      <c r="AH128" s="25"/>
      <c r="AI128" s="26"/>
      <c r="AJ128" s="26"/>
      <c r="AK128" s="27"/>
      <c r="AL128" s="28"/>
      <c r="AM128" s="29"/>
    </row>
    <row r="129" ht="12.75" customHeight="1">
      <c r="A129" s="26"/>
      <c r="B129" s="12"/>
      <c r="C129" s="240"/>
      <c r="D129" s="241"/>
      <c r="E129" s="5"/>
      <c r="F129" s="5"/>
      <c r="G129" s="5"/>
      <c r="H129" s="5"/>
      <c r="I129" s="5"/>
      <c r="J129" s="5"/>
      <c r="K129" s="8"/>
      <c r="L129" s="9"/>
      <c r="M129" s="10"/>
      <c r="N129" s="255"/>
      <c r="O129" s="242"/>
      <c r="P129" s="243"/>
      <c r="Q129" s="243"/>
      <c r="R129" s="14"/>
      <c r="S129" s="242"/>
      <c r="T129" s="15"/>
      <c r="U129" s="15"/>
      <c r="V129" s="15"/>
      <c r="W129" s="8"/>
      <c r="X129" s="8"/>
      <c r="Y129" s="56"/>
      <c r="Z129" s="56"/>
      <c r="AA129" s="15"/>
      <c r="AB129" s="15"/>
      <c r="AC129" s="15"/>
      <c r="AD129" s="15"/>
      <c r="AE129" s="57"/>
      <c r="AF129" s="57"/>
      <c r="AG129" s="15"/>
      <c r="AH129" s="25"/>
      <c r="AI129" s="26"/>
      <c r="AJ129" s="26"/>
      <c r="AK129" s="27"/>
      <c r="AL129" s="28"/>
      <c r="AM129" s="29"/>
    </row>
    <row r="130" ht="12.75" customHeight="1">
      <c r="A130" s="26"/>
      <c r="B130" s="12"/>
      <c r="C130" s="240"/>
      <c r="D130" s="241"/>
      <c r="E130" s="5"/>
      <c r="F130" s="5"/>
      <c r="G130" s="5"/>
      <c r="H130" s="5"/>
      <c r="I130" s="5"/>
      <c r="J130" s="5"/>
      <c r="K130" s="8"/>
      <c r="L130" s="9"/>
      <c r="M130" s="10"/>
      <c r="N130" s="255"/>
      <c r="O130" s="242"/>
      <c r="P130" s="243"/>
      <c r="Q130" s="243"/>
      <c r="R130" s="14"/>
      <c r="S130" s="242"/>
      <c r="T130" s="15"/>
      <c r="U130" s="15"/>
      <c r="V130" s="15"/>
      <c r="W130" s="8"/>
      <c r="X130" s="8"/>
      <c r="Y130" s="56"/>
      <c r="Z130" s="56"/>
      <c r="AA130" s="15"/>
      <c r="AB130" s="15"/>
      <c r="AC130" s="15"/>
      <c r="AD130" s="15"/>
      <c r="AE130" s="57"/>
      <c r="AF130" s="57"/>
      <c r="AG130" s="15"/>
      <c r="AH130" s="25"/>
      <c r="AI130" s="26"/>
      <c r="AJ130" s="26"/>
      <c r="AK130" s="27"/>
      <c r="AL130" s="28"/>
      <c r="AM130" s="29"/>
    </row>
    <row r="131" ht="12.75" customHeight="1">
      <c r="A131" s="26"/>
      <c r="B131" s="12"/>
      <c r="C131" s="240"/>
      <c r="D131" s="241"/>
      <c r="E131" s="5"/>
      <c r="F131" s="5"/>
      <c r="G131" s="5"/>
      <c r="H131" s="5"/>
      <c r="I131" s="5"/>
      <c r="J131" s="5"/>
      <c r="K131" s="8"/>
      <c r="L131" s="9"/>
      <c r="M131" s="10"/>
      <c r="N131" s="255"/>
      <c r="O131" s="242"/>
      <c r="P131" s="243"/>
      <c r="Q131" s="243"/>
      <c r="R131" s="14"/>
      <c r="S131" s="242"/>
      <c r="T131" s="15"/>
      <c r="U131" s="15"/>
      <c r="V131" s="15"/>
      <c r="W131" s="8"/>
      <c r="X131" s="8"/>
      <c r="Y131" s="56"/>
      <c r="Z131" s="56"/>
      <c r="AA131" s="15"/>
      <c r="AB131" s="15"/>
      <c r="AC131" s="15"/>
      <c r="AD131" s="15"/>
      <c r="AE131" s="57"/>
      <c r="AF131" s="57"/>
      <c r="AG131" s="15"/>
      <c r="AH131" s="25"/>
      <c r="AI131" s="26"/>
      <c r="AJ131" s="26"/>
      <c r="AK131" s="27"/>
      <c r="AL131" s="28"/>
      <c r="AM131" s="29"/>
    </row>
    <row r="132" ht="12.75" customHeight="1">
      <c r="A132" s="26"/>
      <c r="B132" s="12"/>
      <c r="C132" s="240"/>
      <c r="D132" s="241"/>
      <c r="E132" s="5"/>
      <c r="F132" s="5"/>
      <c r="G132" s="5"/>
      <c r="H132" s="5"/>
      <c r="I132" s="5"/>
      <c r="J132" s="5"/>
      <c r="K132" s="8"/>
      <c r="L132" s="9"/>
      <c r="M132" s="10"/>
      <c r="N132" s="255"/>
      <c r="O132" s="242"/>
      <c r="P132" s="243"/>
      <c r="Q132" s="243"/>
      <c r="R132" s="14"/>
      <c r="S132" s="242"/>
      <c r="T132" s="15"/>
      <c r="U132" s="15"/>
      <c r="V132" s="15"/>
      <c r="W132" s="8"/>
      <c r="X132" s="8"/>
      <c r="Y132" s="56"/>
      <c r="Z132" s="56"/>
      <c r="AA132" s="15"/>
      <c r="AB132" s="15"/>
      <c r="AC132" s="15"/>
      <c r="AD132" s="15"/>
      <c r="AE132" s="57"/>
      <c r="AF132" s="57"/>
      <c r="AG132" s="15"/>
      <c r="AH132" s="25"/>
      <c r="AI132" s="26"/>
      <c r="AJ132" s="26"/>
      <c r="AK132" s="27"/>
      <c r="AL132" s="28"/>
      <c r="AM132" s="29"/>
    </row>
    <row r="133" ht="12.75" customHeight="1">
      <c r="A133" s="26"/>
      <c r="B133" s="12"/>
      <c r="C133" s="240"/>
      <c r="D133" s="241"/>
      <c r="E133" s="5"/>
      <c r="F133" s="5"/>
      <c r="G133" s="5"/>
      <c r="H133" s="5"/>
      <c r="I133" s="5"/>
      <c r="J133" s="5"/>
      <c r="K133" s="8"/>
      <c r="L133" s="9"/>
      <c r="M133" s="10"/>
      <c r="N133" s="255"/>
      <c r="O133" s="242"/>
      <c r="P133" s="243"/>
      <c r="Q133" s="243"/>
      <c r="R133" s="14"/>
      <c r="S133" s="242"/>
      <c r="T133" s="15"/>
      <c r="U133" s="15"/>
      <c r="V133" s="15"/>
      <c r="W133" s="8"/>
      <c r="X133" s="8"/>
      <c r="Y133" s="56"/>
      <c r="Z133" s="56"/>
      <c r="AA133" s="15"/>
      <c r="AB133" s="15"/>
      <c r="AC133" s="15"/>
      <c r="AD133" s="15"/>
      <c r="AE133" s="57"/>
      <c r="AF133" s="57"/>
      <c r="AG133" s="15"/>
      <c r="AH133" s="25"/>
      <c r="AI133" s="26"/>
      <c r="AJ133" s="26"/>
      <c r="AK133" s="27"/>
      <c r="AL133" s="28"/>
      <c r="AM133" s="29"/>
    </row>
    <row r="134" ht="12.75" customHeight="1">
      <c r="A134" s="26"/>
      <c r="B134" s="12"/>
      <c r="C134" s="240"/>
      <c r="D134" s="241"/>
      <c r="E134" s="5"/>
      <c r="F134" s="5"/>
      <c r="G134" s="5"/>
      <c r="H134" s="5"/>
      <c r="I134" s="5"/>
      <c r="J134" s="5"/>
      <c r="K134" s="8"/>
      <c r="L134" s="9"/>
      <c r="M134" s="10"/>
      <c r="N134" s="255"/>
      <c r="O134" s="242"/>
      <c r="P134" s="243"/>
      <c r="Q134" s="243"/>
      <c r="R134" s="14"/>
      <c r="S134" s="242"/>
      <c r="T134" s="15"/>
      <c r="U134" s="15"/>
      <c r="V134" s="15"/>
      <c r="W134" s="8"/>
      <c r="X134" s="8"/>
      <c r="Y134" s="56"/>
      <c r="Z134" s="56"/>
      <c r="AA134" s="15"/>
      <c r="AB134" s="15"/>
      <c r="AC134" s="15"/>
      <c r="AD134" s="15"/>
      <c r="AE134" s="57"/>
      <c r="AF134" s="57"/>
      <c r="AG134" s="15"/>
      <c r="AH134" s="25"/>
      <c r="AI134" s="26"/>
      <c r="AJ134" s="26"/>
      <c r="AK134" s="27"/>
      <c r="AL134" s="28"/>
      <c r="AM134" s="29"/>
    </row>
    <row r="135" ht="12.75" customHeight="1">
      <c r="A135" s="26"/>
      <c r="B135" s="12"/>
      <c r="C135" s="240"/>
      <c r="D135" s="241"/>
      <c r="E135" s="5"/>
      <c r="F135" s="5"/>
      <c r="G135" s="5"/>
      <c r="H135" s="5"/>
      <c r="I135" s="5"/>
      <c r="J135" s="5"/>
      <c r="K135" s="8"/>
      <c r="L135" s="9"/>
      <c r="M135" s="10"/>
      <c r="N135" s="255"/>
      <c r="O135" s="242"/>
      <c r="P135" s="243"/>
      <c r="Q135" s="243"/>
      <c r="R135" s="14"/>
      <c r="S135" s="242"/>
      <c r="T135" s="15"/>
      <c r="U135" s="15"/>
      <c r="V135" s="15"/>
      <c r="W135" s="8"/>
      <c r="X135" s="8"/>
      <c r="Y135" s="56"/>
      <c r="Z135" s="56"/>
      <c r="AA135" s="15"/>
      <c r="AB135" s="15"/>
      <c r="AC135" s="15"/>
      <c r="AD135" s="15"/>
      <c r="AE135" s="57"/>
      <c r="AF135" s="57"/>
      <c r="AG135" s="15"/>
      <c r="AH135" s="25"/>
      <c r="AI135" s="26"/>
      <c r="AJ135" s="26"/>
      <c r="AK135" s="27"/>
      <c r="AL135" s="28"/>
      <c r="AM135" s="29"/>
    </row>
    <row r="136" ht="12.75" customHeight="1">
      <c r="A136" s="26"/>
      <c r="B136" s="12"/>
      <c r="C136" s="240"/>
      <c r="D136" s="241"/>
      <c r="E136" s="5"/>
      <c r="F136" s="5"/>
      <c r="G136" s="5"/>
      <c r="H136" s="5"/>
      <c r="I136" s="5"/>
      <c r="J136" s="5"/>
      <c r="K136" s="8"/>
      <c r="L136" s="9"/>
      <c r="M136" s="10"/>
      <c r="N136" s="255"/>
      <c r="O136" s="242"/>
      <c r="P136" s="243"/>
      <c r="Q136" s="243"/>
      <c r="R136" s="14"/>
      <c r="S136" s="242"/>
      <c r="T136" s="15"/>
      <c r="U136" s="15"/>
      <c r="V136" s="15"/>
      <c r="W136" s="8"/>
      <c r="X136" s="8"/>
      <c r="Y136" s="56"/>
      <c r="Z136" s="56"/>
      <c r="AA136" s="15"/>
      <c r="AB136" s="15"/>
      <c r="AC136" s="15"/>
      <c r="AD136" s="15"/>
      <c r="AE136" s="57"/>
      <c r="AF136" s="57"/>
      <c r="AG136" s="15"/>
      <c r="AH136" s="25"/>
      <c r="AI136" s="26"/>
      <c r="AJ136" s="26"/>
      <c r="AK136" s="27"/>
      <c r="AL136" s="28"/>
      <c r="AM136" s="29"/>
    </row>
    <row r="137" ht="12.75" customHeight="1">
      <c r="A137" s="26"/>
      <c r="B137" s="12"/>
      <c r="C137" s="240"/>
      <c r="D137" s="241"/>
      <c r="E137" s="5"/>
      <c r="F137" s="5"/>
      <c r="G137" s="5"/>
      <c r="H137" s="5"/>
      <c r="I137" s="5"/>
      <c r="J137" s="5"/>
      <c r="K137" s="8"/>
      <c r="L137" s="9"/>
      <c r="M137" s="10"/>
      <c r="N137" s="255"/>
      <c r="O137" s="242"/>
      <c r="P137" s="243"/>
      <c r="Q137" s="243"/>
      <c r="R137" s="14"/>
      <c r="S137" s="242"/>
      <c r="T137" s="15"/>
      <c r="U137" s="15"/>
      <c r="V137" s="15"/>
      <c r="W137" s="8"/>
      <c r="X137" s="8"/>
      <c r="Y137" s="56"/>
      <c r="Z137" s="56"/>
      <c r="AA137" s="15"/>
      <c r="AB137" s="15"/>
      <c r="AC137" s="15"/>
      <c r="AD137" s="15"/>
      <c r="AE137" s="57"/>
      <c r="AF137" s="57"/>
      <c r="AG137" s="15"/>
      <c r="AH137" s="25"/>
      <c r="AI137" s="26"/>
      <c r="AJ137" s="26"/>
      <c r="AK137" s="27"/>
      <c r="AL137" s="28"/>
      <c r="AM137" s="29"/>
    </row>
    <row r="138" ht="12.75" customHeight="1">
      <c r="A138" s="26"/>
      <c r="B138" s="12"/>
      <c r="C138" s="240"/>
      <c r="D138" s="241"/>
      <c r="E138" s="5"/>
      <c r="F138" s="5"/>
      <c r="G138" s="5"/>
      <c r="H138" s="5"/>
      <c r="I138" s="5"/>
      <c r="J138" s="5"/>
      <c r="K138" s="8"/>
      <c r="L138" s="9"/>
      <c r="M138" s="10"/>
      <c r="N138" s="255"/>
      <c r="O138" s="242"/>
      <c r="P138" s="243"/>
      <c r="Q138" s="243"/>
      <c r="R138" s="14"/>
      <c r="S138" s="242"/>
      <c r="T138" s="15"/>
      <c r="U138" s="15"/>
      <c r="V138" s="15"/>
      <c r="W138" s="8"/>
      <c r="X138" s="8"/>
      <c r="Y138" s="56"/>
      <c r="Z138" s="56"/>
      <c r="AA138" s="15"/>
      <c r="AB138" s="15"/>
      <c r="AC138" s="15"/>
      <c r="AD138" s="15"/>
      <c r="AE138" s="57"/>
      <c r="AF138" s="57"/>
      <c r="AG138" s="15"/>
      <c r="AH138" s="25"/>
      <c r="AI138" s="26"/>
      <c r="AJ138" s="26"/>
      <c r="AK138" s="27"/>
      <c r="AL138" s="28"/>
      <c r="AM138" s="29"/>
    </row>
    <row r="139" ht="12.75" customHeight="1">
      <c r="A139" s="26"/>
      <c r="B139" s="12"/>
      <c r="C139" s="240"/>
      <c r="D139" s="241"/>
      <c r="E139" s="5"/>
      <c r="F139" s="5"/>
      <c r="G139" s="5"/>
      <c r="H139" s="5"/>
      <c r="I139" s="5"/>
      <c r="J139" s="5"/>
      <c r="K139" s="8"/>
      <c r="L139" s="9"/>
      <c r="M139" s="10"/>
      <c r="N139" s="255"/>
      <c r="O139" s="242"/>
      <c r="P139" s="243"/>
      <c r="Q139" s="243"/>
      <c r="R139" s="14"/>
      <c r="S139" s="242"/>
      <c r="T139" s="15"/>
      <c r="U139" s="15"/>
      <c r="V139" s="15"/>
      <c r="W139" s="8"/>
      <c r="X139" s="8"/>
      <c r="Y139" s="56"/>
      <c r="Z139" s="56"/>
      <c r="AA139" s="15"/>
      <c r="AB139" s="15"/>
      <c r="AC139" s="15"/>
      <c r="AD139" s="15"/>
      <c r="AE139" s="57"/>
      <c r="AF139" s="57"/>
      <c r="AG139" s="15"/>
      <c r="AH139" s="25"/>
      <c r="AI139" s="26"/>
      <c r="AJ139" s="26"/>
      <c r="AK139" s="27"/>
      <c r="AL139" s="28"/>
      <c r="AM139" s="29"/>
    </row>
    <row r="140" ht="12.75" customHeight="1">
      <c r="A140" s="26"/>
      <c r="B140" s="12"/>
      <c r="C140" s="240"/>
      <c r="D140" s="241"/>
      <c r="E140" s="5"/>
      <c r="F140" s="5"/>
      <c r="G140" s="5"/>
      <c r="H140" s="5"/>
      <c r="I140" s="5"/>
      <c r="J140" s="5"/>
      <c r="K140" s="8"/>
      <c r="L140" s="9"/>
      <c r="M140" s="10"/>
      <c r="N140" s="255"/>
      <c r="O140" s="242"/>
      <c r="P140" s="243"/>
      <c r="Q140" s="243"/>
      <c r="R140" s="14"/>
      <c r="S140" s="242"/>
      <c r="T140" s="15"/>
      <c r="U140" s="15"/>
      <c r="V140" s="15"/>
      <c r="W140" s="8"/>
      <c r="X140" s="8"/>
      <c r="Y140" s="56"/>
      <c r="Z140" s="56"/>
      <c r="AA140" s="15"/>
      <c r="AB140" s="15"/>
      <c r="AC140" s="15"/>
      <c r="AD140" s="15"/>
      <c r="AE140" s="57"/>
      <c r="AF140" s="57"/>
      <c r="AG140" s="15"/>
      <c r="AH140" s="25"/>
      <c r="AI140" s="26"/>
      <c r="AJ140" s="26"/>
      <c r="AK140" s="27"/>
      <c r="AL140" s="28"/>
      <c r="AM140" s="29"/>
    </row>
    <row r="141" ht="12.75" customHeight="1">
      <c r="A141" s="26"/>
      <c r="B141" s="12"/>
      <c r="C141" s="240"/>
      <c r="D141" s="241"/>
      <c r="E141" s="5"/>
      <c r="F141" s="5"/>
      <c r="G141" s="5"/>
      <c r="H141" s="5"/>
      <c r="I141" s="5"/>
      <c r="J141" s="5"/>
      <c r="K141" s="8"/>
      <c r="L141" s="9"/>
      <c r="M141" s="10"/>
      <c r="N141" s="255"/>
      <c r="O141" s="242"/>
      <c r="P141" s="243"/>
      <c r="Q141" s="243"/>
      <c r="R141" s="14"/>
      <c r="S141" s="242"/>
      <c r="T141" s="15"/>
      <c r="U141" s="15"/>
      <c r="V141" s="15"/>
      <c r="W141" s="8"/>
      <c r="X141" s="8"/>
      <c r="Y141" s="56"/>
      <c r="Z141" s="56"/>
      <c r="AA141" s="15"/>
      <c r="AB141" s="15"/>
      <c r="AC141" s="15"/>
      <c r="AD141" s="15"/>
      <c r="AE141" s="57"/>
      <c r="AF141" s="57"/>
      <c r="AG141" s="15"/>
      <c r="AH141" s="25"/>
      <c r="AI141" s="26"/>
      <c r="AJ141" s="26"/>
      <c r="AK141" s="27"/>
      <c r="AL141" s="28"/>
      <c r="AM141" s="29"/>
    </row>
    <row r="142" ht="12.75" customHeight="1">
      <c r="A142" s="26"/>
      <c r="B142" s="12"/>
      <c r="C142" s="240"/>
      <c r="D142" s="241"/>
      <c r="E142" s="5"/>
      <c r="F142" s="5"/>
      <c r="G142" s="5"/>
      <c r="H142" s="5"/>
      <c r="I142" s="5"/>
      <c r="J142" s="5"/>
      <c r="K142" s="8"/>
      <c r="L142" s="9"/>
      <c r="M142" s="10"/>
      <c r="N142" s="255"/>
      <c r="O142" s="242"/>
      <c r="P142" s="243"/>
      <c r="Q142" s="243"/>
      <c r="R142" s="14"/>
      <c r="S142" s="242"/>
      <c r="T142" s="15"/>
      <c r="U142" s="15"/>
      <c r="V142" s="15"/>
      <c r="W142" s="8"/>
      <c r="X142" s="8"/>
      <c r="Y142" s="56"/>
      <c r="Z142" s="56"/>
      <c r="AA142" s="15"/>
      <c r="AB142" s="15"/>
      <c r="AC142" s="15"/>
      <c r="AD142" s="15"/>
      <c r="AE142" s="57"/>
      <c r="AF142" s="57"/>
      <c r="AG142" s="15"/>
      <c r="AH142" s="25"/>
      <c r="AI142" s="26"/>
      <c r="AJ142" s="26"/>
      <c r="AK142" s="27"/>
      <c r="AL142" s="28"/>
      <c r="AM142" s="29"/>
    </row>
    <row r="143" ht="12.75" customHeight="1">
      <c r="A143" s="26"/>
      <c r="B143" s="12"/>
      <c r="C143" s="240"/>
      <c r="D143" s="241"/>
      <c r="E143" s="5"/>
      <c r="F143" s="5"/>
      <c r="G143" s="5"/>
      <c r="H143" s="5"/>
      <c r="I143" s="5"/>
      <c r="J143" s="5"/>
      <c r="K143" s="8"/>
      <c r="L143" s="9"/>
      <c r="M143" s="10"/>
      <c r="N143" s="255"/>
      <c r="O143" s="242"/>
      <c r="P143" s="243"/>
      <c r="Q143" s="243"/>
      <c r="R143" s="14"/>
      <c r="S143" s="242"/>
      <c r="T143" s="15"/>
      <c r="U143" s="15"/>
      <c r="V143" s="15"/>
      <c r="W143" s="8"/>
      <c r="X143" s="8"/>
      <c r="Y143" s="56"/>
      <c r="Z143" s="56"/>
      <c r="AA143" s="15"/>
      <c r="AB143" s="15"/>
      <c r="AC143" s="15"/>
      <c r="AD143" s="15"/>
      <c r="AE143" s="57"/>
      <c r="AF143" s="57"/>
      <c r="AG143" s="15"/>
      <c r="AH143" s="25"/>
      <c r="AI143" s="26"/>
      <c r="AJ143" s="26"/>
      <c r="AK143" s="27"/>
      <c r="AL143" s="28"/>
      <c r="AM143" s="29"/>
    </row>
    <row r="144" ht="12.75" customHeight="1">
      <c r="A144" s="26"/>
      <c r="B144" s="12"/>
      <c r="C144" s="240"/>
      <c r="D144" s="241"/>
      <c r="E144" s="5"/>
      <c r="F144" s="5"/>
      <c r="G144" s="5"/>
      <c r="H144" s="5"/>
      <c r="I144" s="5"/>
      <c r="J144" s="5"/>
      <c r="K144" s="8"/>
      <c r="L144" s="9"/>
      <c r="M144" s="10"/>
      <c r="N144" s="255"/>
      <c r="O144" s="242"/>
      <c r="P144" s="243"/>
      <c r="Q144" s="243"/>
      <c r="R144" s="14"/>
      <c r="S144" s="242"/>
      <c r="T144" s="15"/>
      <c r="U144" s="15"/>
      <c r="V144" s="15"/>
      <c r="W144" s="8"/>
      <c r="X144" s="8"/>
      <c r="Y144" s="56"/>
      <c r="Z144" s="56"/>
      <c r="AA144" s="15"/>
      <c r="AB144" s="15"/>
      <c r="AC144" s="15"/>
      <c r="AD144" s="15"/>
      <c r="AE144" s="57"/>
      <c r="AF144" s="57"/>
      <c r="AG144" s="15"/>
      <c r="AH144" s="25"/>
      <c r="AI144" s="26"/>
      <c r="AJ144" s="26"/>
      <c r="AK144" s="27"/>
      <c r="AL144" s="28"/>
      <c r="AM144" s="29"/>
    </row>
    <row r="145" ht="12.75" customHeight="1">
      <c r="A145" s="26"/>
      <c r="B145" s="12"/>
      <c r="C145" s="240"/>
      <c r="D145" s="241"/>
      <c r="E145" s="5"/>
      <c r="F145" s="5"/>
      <c r="G145" s="5"/>
      <c r="H145" s="5"/>
      <c r="I145" s="5"/>
      <c r="J145" s="5"/>
      <c r="K145" s="8"/>
      <c r="L145" s="9"/>
      <c r="M145" s="10"/>
      <c r="N145" s="255"/>
      <c r="O145" s="242"/>
      <c r="P145" s="243"/>
      <c r="Q145" s="243"/>
      <c r="R145" s="14"/>
      <c r="S145" s="242"/>
      <c r="T145" s="15"/>
      <c r="U145" s="15"/>
      <c r="V145" s="15"/>
      <c r="W145" s="8"/>
      <c r="X145" s="8"/>
      <c r="Y145" s="56"/>
      <c r="Z145" s="56"/>
      <c r="AA145" s="15"/>
      <c r="AB145" s="15"/>
      <c r="AC145" s="15"/>
      <c r="AD145" s="15"/>
      <c r="AE145" s="57"/>
      <c r="AF145" s="57"/>
      <c r="AG145" s="15"/>
      <c r="AH145" s="25"/>
      <c r="AI145" s="26"/>
      <c r="AJ145" s="26"/>
      <c r="AK145" s="27"/>
      <c r="AL145" s="28"/>
      <c r="AM145" s="29"/>
    </row>
    <row r="146" ht="12.75" customHeight="1">
      <c r="A146" s="26"/>
      <c r="B146" s="12"/>
      <c r="C146" s="240"/>
      <c r="D146" s="241"/>
      <c r="E146" s="5"/>
      <c r="F146" s="5"/>
      <c r="G146" s="5"/>
      <c r="H146" s="5"/>
      <c r="I146" s="5"/>
      <c r="J146" s="5"/>
      <c r="K146" s="8"/>
      <c r="L146" s="9"/>
      <c r="M146" s="10"/>
      <c r="N146" s="255"/>
      <c r="O146" s="242"/>
      <c r="P146" s="243"/>
      <c r="Q146" s="243"/>
      <c r="R146" s="14"/>
      <c r="S146" s="242"/>
      <c r="T146" s="15"/>
      <c r="U146" s="15"/>
      <c r="V146" s="15"/>
      <c r="W146" s="8"/>
      <c r="X146" s="8"/>
      <c r="Y146" s="56"/>
      <c r="Z146" s="56"/>
      <c r="AA146" s="15"/>
      <c r="AB146" s="15"/>
      <c r="AC146" s="15"/>
      <c r="AD146" s="15"/>
      <c r="AE146" s="57"/>
      <c r="AF146" s="57"/>
      <c r="AG146" s="15"/>
      <c r="AH146" s="25"/>
      <c r="AI146" s="26"/>
      <c r="AJ146" s="26"/>
      <c r="AK146" s="27"/>
      <c r="AL146" s="28"/>
      <c r="AM146" s="29"/>
    </row>
    <row r="147" ht="12.75" customHeight="1">
      <c r="A147" s="26"/>
      <c r="B147" s="12"/>
      <c r="C147" s="240"/>
      <c r="D147" s="241"/>
      <c r="E147" s="5"/>
      <c r="F147" s="5"/>
      <c r="G147" s="5"/>
      <c r="H147" s="5"/>
      <c r="I147" s="5"/>
      <c r="J147" s="5"/>
      <c r="K147" s="8"/>
      <c r="L147" s="9"/>
      <c r="M147" s="10"/>
      <c r="N147" s="255"/>
      <c r="O147" s="242"/>
      <c r="P147" s="243"/>
      <c r="Q147" s="243"/>
      <c r="R147" s="14"/>
      <c r="S147" s="242"/>
      <c r="T147" s="15"/>
      <c r="U147" s="15"/>
      <c r="V147" s="15"/>
      <c r="W147" s="8"/>
      <c r="X147" s="8"/>
      <c r="Y147" s="56"/>
      <c r="Z147" s="56"/>
      <c r="AA147" s="15"/>
      <c r="AB147" s="15"/>
      <c r="AC147" s="15"/>
      <c r="AD147" s="15"/>
      <c r="AE147" s="57"/>
      <c r="AF147" s="57"/>
      <c r="AG147" s="15"/>
      <c r="AH147" s="25"/>
      <c r="AI147" s="26"/>
      <c r="AJ147" s="26"/>
      <c r="AK147" s="27"/>
      <c r="AL147" s="28"/>
      <c r="AM147" s="29"/>
    </row>
    <row r="148" ht="12.75" customHeight="1">
      <c r="A148" s="26"/>
      <c r="B148" s="12"/>
      <c r="C148" s="240"/>
      <c r="D148" s="241"/>
      <c r="E148" s="5"/>
      <c r="F148" s="5"/>
      <c r="G148" s="5"/>
      <c r="H148" s="5"/>
      <c r="I148" s="5"/>
      <c r="J148" s="5"/>
      <c r="K148" s="8"/>
      <c r="L148" s="9"/>
      <c r="M148" s="10"/>
      <c r="N148" s="255"/>
      <c r="O148" s="242"/>
      <c r="P148" s="243"/>
      <c r="Q148" s="243"/>
      <c r="R148" s="14"/>
      <c r="S148" s="242"/>
      <c r="T148" s="15"/>
      <c r="U148" s="15"/>
      <c r="V148" s="15"/>
      <c r="W148" s="8"/>
      <c r="X148" s="8"/>
      <c r="Y148" s="56"/>
      <c r="Z148" s="56"/>
      <c r="AA148" s="15"/>
      <c r="AB148" s="15"/>
      <c r="AC148" s="15"/>
      <c r="AD148" s="15"/>
      <c r="AE148" s="57"/>
      <c r="AF148" s="57"/>
      <c r="AG148" s="15"/>
      <c r="AH148" s="25"/>
      <c r="AI148" s="26"/>
      <c r="AJ148" s="26"/>
      <c r="AK148" s="27"/>
      <c r="AL148" s="28"/>
      <c r="AM148" s="29"/>
    </row>
    <row r="149" ht="12.75" customHeight="1">
      <c r="A149" s="26"/>
      <c r="B149" s="12"/>
      <c r="C149" s="240"/>
      <c r="D149" s="241"/>
      <c r="E149" s="5"/>
      <c r="F149" s="5"/>
      <c r="G149" s="5"/>
      <c r="H149" s="5"/>
      <c r="I149" s="5"/>
      <c r="J149" s="5"/>
      <c r="K149" s="8"/>
      <c r="L149" s="9"/>
      <c r="M149" s="10"/>
      <c r="N149" s="255"/>
      <c r="O149" s="242"/>
      <c r="P149" s="243"/>
      <c r="Q149" s="243"/>
      <c r="R149" s="14"/>
      <c r="S149" s="242"/>
      <c r="T149" s="15"/>
      <c r="U149" s="15"/>
      <c r="V149" s="15"/>
      <c r="W149" s="8"/>
      <c r="X149" s="8"/>
      <c r="Y149" s="56"/>
      <c r="Z149" s="56"/>
      <c r="AA149" s="15"/>
      <c r="AB149" s="15"/>
      <c r="AC149" s="15"/>
      <c r="AD149" s="15"/>
      <c r="AE149" s="57"/>
      <c r="AF149" s="57"/>
      <c r="AG149" s="15"/>
      <c r="AH149" s="25"/>
      <c r="AI149" s="26"/>
      <c r="AJ149" s="26"/>
      <c r="AK149" s="27"/>
      <c r="AL149" s="28"/>
      <c r="AM149" s="29"/>
    </row>
    <row r="150" ht="12.75" customHeight="1">
      <c r="A150" s="26"/>
      <c r="B150" s="12"/>
      <c r="C150" s="240"/>
      <c r="D150" s="241"/>
      <c r="E150" s="5"/>
      <c r="F150" s="5"/>
      <c r="G150" s="5"/>
      <c r="H150" s="5"/>
      <c r="I150" s="5"/>
      <c r="J150" s="5"/>
      <c r="K150" s="8"/>
      <c r="L150" s="9"/>
      <c r="M150" s="10"/>
      <c r="N150" s="255"/>
      <c r="O150" s="242"/>
      <c r="P150" s="243"/>
      <c r="Q150" s="243"/>
      <c r="R150" s="14"/>
      <c r="S150" s="242"/>
      <c r="T150" s="15"/>
      <c r="U150" s="15"/>
      <c r="V150" s="15"/>
      <c r="W150" s="8"/>
      <c r="X150" s="8"/>
      <c r="Y150" s="56"/>
      <c r="Z150" s="56"/>
      <c r="AA150" s="15"/>
      <c r="AB150" s="15"/>
      <c r="AC150" s="15"/>
      <c r="AD150" s="15"/>
      <c r="AE150" s="57"/>
      <c r="AF150" s="57"/>
      <c r="AG150" s="15"/>
      <c r="AH150" s="25"/>
      <c r="AI150" s="26"/>
      <c r="AJ150" s="26"/>
      <c r="AK150" s="27"/>
      <c r="AL150" s="28"/>
      <c r="AM150" s="29"/>
    </row>
    <row r="151" ht="12.75" customHeight="1">
      <c r="A151" s="26"/>
      <c r="B151" s="12"/>
      <c r="C151" s="240"/>
      <c r="D151" s="241"/>
      <c r="E151" s="5"/>
      <c r="F151" s="5"/>
      <c r="G151" s="5"/>
      <c r="H151" s="5"/>
      <c r="I151" s="5"/>
      <c r="J151" s="5"/>
      <c r="K151" s="8"/>
      <c r="L151" s="9"/>
      <c r="M151" s="10"/>
      <c r="N151" s="255"/>
      <c r="O151" s="242"/>
      <c r="P151" s="243"/>
      <c r="Q151" s="243"/>
      <c r="R151" s="14"/>
      <c r="S151" s="242"/>
      <c r="T151" s="15"/>
      <c r="U151" s="15"/>
      <c r="V151" s="15"/>
      <c r="W151" s="8"/>
      <c r="X151" s="8"/>
      <c r="Y151" s="56"/>
      <c r="Z151" s="56"/>
      <c r="AA151" s="15"/>
      <c r="AB151" s="15"/>
      <c r="AC151" s="15"/>
      <c r="AD151" s="15"/>
      <c r="AE151" s="57"/>
      <c r="AF151" s="57"/>
      <c r="AG151" s="15"/>
      <c r="AH151" s="25"/>
      <c r="AI151" s="26"/>
      <c r="AJ151" s="26"/>
      <c r="AK151" s="27"/>
      <c r="AL151" s="28"/>
      <c r="AM151" s="29"/>
    </row>
    <row r="152" ht="12.75" customHeight="1">
      <c r="A152" s="26"/>
      <c r="B152" s="12"/>
      <c r="C152" s="240"/>
      <c r="D152" s="241"/>
      <c r="E152" s="5"/>
      <c r="F152" s="5"/>
      <c r="G152" s="5"/>
      <c r="H152" s="5"/>
      <c r="I152" s="5"/>
      <c r="J152" s="5"/>
      <c r="K152" s="8"/>
      <c r="L152" s="9"/>
      <c r="M152" s="10"/>
      <c r="N152" s="255"/>
      <c r="O152" s="242"/>
      <c r="P152" s="243"/>
      <c r="Q152" s="243"/>
      <c r="R152" s="14"/>
      <c r="S152" s="242"/>
      <c r="T152" s="15"/>
      <c r="U152" s="15"/>
      <c r="V152" s="15"/>
      <c r="W152" s="8"/>
      <c r="X152" s="8"/>
      <c r="Y152" s="56"/>
      <c r="Z152" s="56"/>
      <c r="AA152" s="15"/>
      <c r="AB152" s="15"/>
      <c r="AC152" s="15"/>
      <c r="AD152" s="15"/>
      <c r="AE152" s="57"/>
      <c r="AF152" s="57"/>
      <c r="AG152" s="15"/>
      <c r="AH152" s="25"/>
      <c r="AI152" s="26"/>
      <c r="AJ152" s="26"/>
      <c r="AK152" s="27"/>
      <c r="AL152" s="28"/>
      <c r="AM152" s="29"/>
    </row>
    <row r="153" ht="12.75" customHeight="1">
      <c r="A153" s="26"/>
      <c r="B153" s="12"/>
      <c r="C153" s="240"/>
      <c r="D153" s="241"/>
      <c r="E153" s="5"/>
      <c r="F153" s="5"/>
      <c r="G153" s="5"/>
      <c r="H153" s="5"/>
      <c r="I153" s="5"/>
      <c r="J153" s="5"/>
      <c r="K153" s="8"/>
      <c r="L153" s="9"/>
      <c r="M153" s="10"/>
      <c r="N153" s="255"/>
      <c r="O153" s="242"/>
      <c r="P153" s="243"/>
      <c r="Q153" s="243"/>
      <c r="R153" s="14"/>
      <c r="S153" s="242"/>
      <c r="T153" s="15"/>
      <c r="U153" s="15"/>
      <c r="V153" s="15"/>
      <c r="W153" s="8"/>
      <c r="X153" s="8"/>
      <c r="Y153" s="56"/>
      <c r="Z153" s="56"/>
      <c r="AA153" s="15"/>
      <c r="AB153" s="15"/>
      <c r="AC153" s="15"/>
      <c r="AD153" s="15"/>
      <c r="AE153" s="57"/>
      <c r="AF153" s="57"/>
      <c r="AG153" s="15"/>
      <c r="AH153" s="25"/>
      <c r="AI153" s="26"/>
      <c r="AJ153" s="26"/>
      <c r="AK153" s="27"/>
      <c r="AL153" s="28"/>
      <c r="AM153" s="29"/>
    </row>
    <row r="154" ht="12.75" customHeight="1">
      <c r="A154" s="26"/>
      <c r="B154" s="12"/>
      <c r="C154" s="240"/>
      <c r="D154" s="241"/>
      <c r="E154" s="5"/>
      <c r="F154" s="5"/>
      <c r="G154" s="5"/>
      <c r="H154" s="5"/>
      <c r="I154" s="5"/>
      <c r="J154" s="5"/>
      <c r="K154" s="8"/>
      <c r="L154" s="9"/>
      <c r="M154" s="10"/>
      <c r="N154" s="255"/>
      <c r="O154" s="242"/>
      <c r="P154" s="243"/>
      <c r="Q154" s="243"/>
      <c r="R154" s="14"/>
      <c r="S154" s="242"/>
      <c r="T154" s="15"/>
      <c r="U154" s="15"/>
      <c r="V154" s="15"/>
      <c r="W154" s="8"/>
      <c r="X154" s="8"/>
      <c r="Y154" s="56"/>
      <c r="Z154" s="56"/>
      <c r="AA154" s="15"/>
      <c r="AB154" s="15"/>
      <c r="AC154" s="15"/>
      <c r="AD154" s="15"/>
      <c r="AE154" s="57"/>
      <c r="AF154" s="57"/>
      <c r="AG154" s="15"/>
      <c r="AH154" s="25"/>
      <c r="AI154" s="26"/>
      <c r="AJ154" s="26"/>
      <c r="AK154" s="27"/>
      <c r="AL154" s="28"/>
      <c r="AM154" s="29"/>
    </row>
    <row r="155" ht="12.75" customHeight="1">
      <c r="A155" s="26"/>
      <c r="B155" s="12"/>
      <c r="C155" s="240"/>
      <c r="D155" s="241"/>
      <c r="E155" s="5"/>
      <c r="F155" s="5"/>
      <c r="G155" s="5"/>
      <c r="H155" s="5"/>
      <c r="I155" s="5"/>
      <c r="J155" s="5"/>
      <c r="K155" s="8"/>
      <c r="L155" s="9"/>
      <c r="M155" s="10"/>
      <c r="N155" s="255"/>
      <c r="O155" s="242"/>
      <c r="P155" s="243"/>
      <c r="Q155" s="243"/>
      <c r="R155" s="14"/>
      <c r="S155" s="242"/>
      <c r="T155" s="15"/>
      <c r="U155" s="15"/>
      <c r="V155" s="15"/>
      <c r="W155" s="8"/>
      <c r="X155" s="8"/>
      <c r="Y155" s="56"/>
      <c r="Z155" s="56"/>
      <c r="AA155" s="15"/>
      <c r="AB155" s="15"/>
      <c r="AC155" s="15"/>
      <c r="AD155" s="15"/>
      <c r="AE155" s="57"/>
      <c r="AF155" s="57"/>
      <c r="AG155" s="15"/>
      <c r="AH155" s="25"/>
      <c r="AI155" s="26"/>
      <c r="AJ155" s="26"/>
      <c r="AK155" s="27"/>
      <c r="AL155" s="28"/>
      <c r="AM155" s="29"/>
    </row>
    <row r="156" ht="12.75" customHeight="1">
      <c r="A156" s="26"/>
      <c r="B156" s="12"/>
      <c r="C156" s="240"/>
      <c r="D156" s="241"/>
      <c r="E156" s="5"/>
      <c r="F156" s="5"/>
      <c r="G156" s="5"/>
      <c r="H156" s="5"/>
      <c r="I156" s="5"/>
      <c r="J156" s="5"/>
      <c r="K156" s="8"/>
      <c r="L156" s="9"/>
      <c r="M156" s="10"/>
      <c r="N156" s="255"/>
      <c r="O156" s="242"/>
      <c r="P156" s="243"/>
      <c r="Q156" s="243"/>
      <c r="R156" s="14"/>
      <c r="S156" s="242"/>
      <c r="T156" s="15"/>
      <c r="U156" s="15"/>
      <c r="V156" s="15"/>
      <c r="W156" s="8"/>
      <c r="X156" s="8"/>
      <c r="Y156" s="56"/>
      <c r="Z156" s="56"/>
      <c r="AA156" s="15"/>
      <c r="AB156" s="15"/>
      <c r="AC156" s="15"/>
      <c r="AD156" s="15"/>
      <c r="AE156" s="57"/>
      <c r="AF156" s="57"/>
      <c r="AG156" s="15"/>
      <c r="AH156" s="25"/>
      <c r="AI156" s="26"/>
      <c r="AJ156" s="26"/>
      <c r="AK156" s="27"/>
      <c r="AL156" s="28"/>
      <c r="AM156" s="29"/>
    </row>
    <row r="157" ht="12.75" customHeight="1">
      <c r="A157" s="26"/>
      <c r="B157" s="12"/>
      <c r="C157" s="240"/>
      <c r="D157" s="241"/>
      <c r="E157" s="5"/>
      <c r="F157" s="5"/>
      <c r="G157" s="5"/>
      <c r="H157" s="5"/>
      <c r="I157" s="5"/>
      <c r="J157" s="5"/>
      <c r="K157" s="8"/>
      <c r="L157" s="9"/>
      <c r="M157" s="10"/>
      <c r="N157" s="255"/>
      <c r="O157" s="242"/>
      <c r="P157" s="243"/>
      <c r="Q157" s="243"/>
      <c r="R157" s="14"/>
      <c r="S157" s="242"/>
      <c r="T157" s="15"/>
      <c r="U157" s="15"/>
      <c r="V157" s="15"/>
      <c r="W157" s="8"/>
      <c r="X157" s="8"/>
      <c r="Y157" s="56"/>
      <c r="Z157" s="56"/>
      <c r="AA157" s="15"/>
      <c r="AB157" s="15"/>
      <c r="AC157" s="15"/>
      <c r="AD157" s="15"/>
      <c r="AE157" s="57"/>
      <c r="AF157" s="57"/>
      <c r="AG157" s="15"/>
      <c r="AH157" s="25"/>
      <c r="AI157" s="26"/>
      <c r="AJ157" s="26"/>
      <c r="AK157" s="27"/>
      <c r="AL157" s="28"/>
      <c r="AM157" s="29"/>
    </row>
    <row r="158" ht="12.75" customHeight="1">
      <c r="A158" s="26"/>
      <c r="B158" s="12"/>
      <c r="C158" s="240"/>
      <c r="D158" s="241"/>
      <c r="E158" s="5"/>
      <c r="F158" s="5"/>
      <c r="G158" s="5"/>
      <c r="H158" s="5"/>
      <c r="I158" s="5"/>
      <c r="J158" s="5"/>
      <c r="K158" s="8"/>
      <c r="L158" s="9"/>
      <c r="M158" s="10"/>
      <c r="N158" s="255"/>
      <c r="O158" s="242"/>
      <c r="P158" s="243"/>
      <c r="Q158" s="243"/>
      <c r="R158" s="14"/>
      <c r="S158" s="242"/>
      <c r="T158" s="15"/>
      <c r="U158" s="15"/>
      <c r="V158" s="15"/>
      <c r="W158" s="8"/>
      <c r="X158" s="8"/>
      <c r="Y158" s="56"/>
      <c r="Z158" s="56"/>
      <c r="AA158" s="15"/>
      <c r="AB158" s="15"/>
      <c r="AC158" s="15"/>
      <c r="AD158" s="15"/>
      <c r="AE158" s="57"/>
      <c r="AF158" s="57"/>
      <c r="AG158" s="15"/>
      <c r="AH158" s="25"/>
      <c r="AI158" s="26"/>
      <c r="AJ158" s="26"/>
      <c r="AK158" s="27"/>
      <c r="AL158" s="28"/>
      <c r="AM158" s="29"/>
    </row>
    <row r="159" ht="12.75" customHeight="1">
      <c r="A159" s="26"/>
      <c r="B159" s="12"/>
      <c r="C159" s="240"/>
      <c r="D159" s="241"/>
      <c r="E159" s="5"/>
      <c r="F159" s="5"/>
      <c r="G159" s="5"/>
      <c r="H159" s="5"/>
      <c r="I159" s="5"/>
      <c r="J159" s="5"/>
      <c r="K159" s="8"/>
      <c r="L159" s="9"/>
      <c r="M159" s="10"/>
      <c r="N159" s="255"/>
      <c r="O159" s="242"/>
      <c r="P159" s="243"/>
      <c r="Q159" s="243"/>
      <c r="R159" s="14"/>
      <c r="S159" s="242"/>
      <c r="T159" s="15"/>
      <c r="U159" s="15"/>
      <c r="V159" s="15"/>
      <c r="W159" s="8"/>
      <c r="X159" s="8"/>
      <c r="Y159" s="56"/>
      <c r="Z159" s="56"/>
      <c r="AA159" s="15"/>
      <c r="AB159" s="15"/>
      <c r="AC159" s="15"/>
      <c r="AD159" s="15"/>
      <c r="AE159" s="57"/>
      <c r="AF159" s="57"/>
      <c r="AG159" s="15"/>
      <c r="AH159" s="25"/>
      <c r="AI159" s="26"/>
      <c r="AJ159" s="26"/>
      <c r="AK159" s="27"/>
      <c r="AL159" s="28"/>
      <c r="AM159" s="29"/>
    </row>
    <row r="160" ht="12.75" customHeight="1">
      <c r="A160" s="26"/>
      <c r="B160" s="12"/>
      <c r="C160" s="240"/>
      <c r="D160" s="241"/>
      <c r="E160" s="5"/>
      <c r="F160" s="5"/>
      <c r="G160" s="5"/>
      <c r="H160" s="5"/>
      <c r="I160" s="5"/>
      <c r="J160" s="5"/>
      <c r="K160" s="8"/>
      <c r="L160" s="9"/>
      <c r="M160" s="10"/>
      <c r="N160" s="255"/>
      <c r="O160" s="242"/>
      <c r="P160" s="243"/>
      <c r="Q160" s="243"/>
      <c r="R160" s="14"/>
      <c r="S160" s="242"/>
      <c r="T160" s="15"/>
      <c r="U160" s="15"/>
      <c r="V160" s="15"/>
      <c r="W160" s="8"/>
      <c r="X160" s="8"/>
      <c r="Y160" s="56"/>
      <c r="Z160" s="56"/>
      <c r="AA160" s="15"/>
      <c r="AB160" s="15"/>
      <c r="AC160" s="15"/>
      <c r="AD160" s="15"/>
      <c r="AE160" s="57"/>
      <c r="AF160" s="57"/>
      <c r="AG160" s="15"/>
      <c r="AH160" s="25"/>
      <c r="AI160" s="26"/>
      <c r="AJ160" s="26"/>
      <c r="AK160" s="27"/>
      <c r="AL160" s="28"/>
      <c r="AM160" s="29"/>
    </row>
    <row r="161" ht="12.75" customHeight="1">
      <c r="A161" s="26"/>
      <c r="B161" s="12"/>
      <c r="C161" s="240"/>
      <c r="D161" s="241"/>
      <c r="E161" s="5"/>
      <c r="F161" s="5"/>
      <c r="G161" s="5"/>
      <c r="H161" s="5"/>
      <c r="I161" s="5"/>
      <c r="J161" s="5"/>
      <c r="K161" s="8"/>
      <c r="L161" s="9"/>
      <c r="M161" s="10"/>
      <c r="N161" s="255"/>
      <c r="O161" s="242"/>
      <c r="P161" s="243"/>
      <c r="Q161" s="243"/>
      <c r="R161" s="14"/>
      <c r="S161" s="242"/>
      <c r="T161" s="15"/>
      <c r="U161" s="15"/>
      <c r="V161" s="15"/>
      <c r="W161" s="8"/>
      <c r="X161" s="8"/>
      <c r="Y161" s="56"/>
      <c r="Z161" s="56"/>
      <c r="AA161" s="15"/>
      <c r="AB161" s="15"/>
      <c r="AC161" s="15"/>
      <c r="AD161" s="15"/>
      <c r="AE161" s="57"/>
      <c r="AF161" s="57"/>
      <c r="AG161" s="15"/>
      <c r="AH161" s="25"/>
      <c r="AI161" s="26"/>
      <c r="AJ161" s="26"/>
      <c r="AK161" s="27"/>
      <c r="AL161" s="28"/>
      <c r="AM161" s="29"/>
    </row>
    <row r="162" ht="12.75" customHeight="1">
      <c r="A162" s="26"/>
      <c r="B162" s="12"/>
      <c r="C162" s="240"/>
      <c r="D162" s="241"/>
      <c r="E162" s="5"/>
      <c r="F162" s="5"/>
      <c r="G162" s="5"/>
      <c r="H162" s="5"/>
      <c r="I162" s="5"/>
      <c r="J162" s="5"/>
      <c r="K162" s="8"/>
      <c r="L162" s="9"/>
      <c r="M162" s="10"/>
      <c r="N162" s="255"/>
      <c r="O162" s="242"/>
      <c r="P162" s="243"/>
      <c r="Q162" s="243"/>
      <c r="R162" s="14"/>
      <c r="S162" s="242"/>
      <c r="T162" s="15"/>
      <c r="U162" s="15"/>
      <c r="V162" s="15"/>
      <c r="W162" s="8"/>
      <c r="X162" s="8"/>
      <c r="Y162" s="56"/>
      <c r="Z162" s="56"/>
      <c r="AA162" s="15"/>
      <c r="AB162" s="15"/>
      <c r="AC162" s="15"/>
      <c r="AD162" s="15"/>
      <c r="AE162" s="57"/>
      <c r="AF162" s="57"/>
      <c r="AG162" s="15"/>
      <c r="AH162" s="25"/>
      <c r="AI162" s="26"/>
      <c r="AJ162" s="26"/>
      <c r="AK162" s="27"/>
      <c r="AL162" s="28"/>
      <c r="AM162" s="29"/>
    </row>
    <row r="163" ht="12.75" customHeight="1">
      <c r="A163" s="26"/>
      <c r="B163" s="12"/>
      <c r="C163" s="240"/>
      <c r="D163" s="241"/>
      <c r="E163" s="5"/>
      <c r="F163" s="5"/>
      <c r="G163" s="5"/>
      <c r="H163" s="5"/>
      <c r="I163" s="5"/>
      <c r="J163" s="5"/>
      <c r="K163" s="8"/>
      <c r="L163" s="9"/>
      <c r="M163" s="10"/>
      <c r="N163" s="255"/>
      <c r="O163" s="242"/>
      <c r="P163" s="243"/>
      <c r="Q163" s="243"/>
      <c r="R163" s="14"/>
      <c r="S163" s="242"/>
      <c r="T163" s="15"/>
      <c r="U163" s="15"/>
      <c r="V163" s="15"/>
      <c r="W163" s="8"/>
      <c r="X163" s="8"/>
      <c r="Y163" s="56"/>
      <c r="Z163" s="56"/>
      <c r="AA163" s="15"/>
      <c r="AB163" s="15"/>
      <c r="AC163" s="15"/>
      <c r="AD163" s="15"/>
      <c r="AE163" s="57"/>
      <c r="AF163" s="57"/>
      <c r="AG163" s="15"/>
      <c r="AH163" s="25"/>
      <c r="AI163" s="26"/>
      <c r="AJ163" s="26"/>
      <c r="AK163" s="27"/>
      <c r="AL163" s="28"/>
      <c r="AM163" s="29"/>
    </row>
    <row r="164" ht="12.75" customHeight="1">
      <c r="A164" s="26"/>
      <c r="B164" s="12"/>
      <c r="C164" s="240"/>
      <c r="D164" s="241"/>
      <c r="E164" s="5"/>
      <c r="F164" s="5"/>
      <c r="G164" s="5"/>
      <c r="H164" s="5"/>
      <c r="I164" s="5"/>
      <c r="J164" s="5"/>
      <c r="K164" s="8"/>
      <c r="L164" s="9"/>
      <c r="M164" s="10"/>
      <c r="N164" s="255"/>
      <c r="O164" s="242"/>
      <c r="P164" s="243"/>
      <c r="Q164" s="243"/>
      <c r="R164" s="14"/>
      <c r="S164" s="242"/>
      <c r="T164" s="15"/>
      <c r="U164" s="15"/>
      <c r="V164" s="15"/>
      <c r="W164" s="8"/>
      <c r="X164" s="8"/>
      <c r="Y164" s="56"/>
      <c r="Z164" s="56"/>
      <c r="AA164" s="15"/>
      <c r="AB164" s="15"/>
      <c r="AC164" s="15"/>
      <c r="AD164" s="15"/>
      <c r="AE164" s="57"/>
      <c r="AF164" s="57"/>
      <c r="AG164" s="15"/>
      <c r="AH164" s="25"/>
      <c r="AI164" s="26"/>
      <c r="AJ164" s="26"/>
      <c r="AK164" s="27"/>
      <c r="AL164" s="28"/>
      <c r="AM164" s="29"/>
    </row>
    <row r="165" ht="12.75" customHeight="1">
      <c r="A165" s="26"/>
      <c r="B165" s="12"/>
      <c r="C165" s="240"/>
      <c r="D165" s="241"/>
      <c r="E165" s="5"/>
      <c r="F165" s="5"/>
      <c r="G165" s="5"/>
      <c r="H165" s="5"/>
      <c r="I165" s="5"/>
      <c r="J165" s="5"/>
      <c r="K165" s="8"/>
      <c r="L165" s="9"/>
      <c r="M165" s="10"/>
      <c r="N165" s="255"/>
      <c r="O165" s="242"/>
      <c r="P165" s="243"/>
      <c r="Q165" s="243"/>
      <c r="R165" s="14"/>
      <c r="S165" s="242"/>
      <c r="T165" s="15"/>
      <c r="U165" s="15"/>
      <c r="V165" s="15"/>
      <c r="W165" s="8"/>
      <c r="X165" s="8"/>
      <c r="Y165" s="56"/>
      <c r="Z165" s="56"/>
      <c r="AA165" s="15"/>
      <c r="AB165" s="15"/>
      <c r="AC165" s="15"/>
      <c r="AD165" s="15"/>
      <c r="AE165" s="57"/>
      <c r="AF165" s="57"/>
      <c r="AG165" s="15"/>
      <c r="AH165" s="25"/>
      <c r="AI165" s="26"/>
      <c r="AJ165" s="26"/>
      <c r="AK165" s="27"/>
      <c r="AL165" s="28"/>
      <c r="AM165" s="29"/>
    </row>
    <row r="166" ht="12.75" customHeight="1">
      <c r="A166" s="26"/>
      <c r="B166" s="12"/>
      <c r="C166" s="240"/>
      <c r="D166" s="241"/>
      <c r="E166" s="5"/>
      <c r="F166" s="5"/>
      <c r="G166" s="5"/>
      <c r="H166" s="5"/>
      <c r="I166" s="5"/>
      <c r="J166" s="5"/>
      <c r="K166" s="8"/>
      <c r="L166" s="9"/>
      <c r="M166" s="10"/>
      <c r="N166" s="255"/>
      <c r="O166" s="242"/>
      <c r="P166" s="243"/>
      <c r="Q166" s="243"/>
      <c r="R166" s="14"/>
      <c r="S166" s="242"/>
      <c r="T166" s="15"/>
      <c r="U166" s="15"/>
      <c r="V166" s="15"/>
      <c r="W166" s="8"/>
      <c r="X166" s="8"/>
      <c r="Y166" s="56"/>
      <c r="Z166" s="56"/>
      <c r="AA166" s="15"/>
      <c r="AB166" s="15"/>
      <c r="AC166" s="15"/>
      <c r="AD166" s="15"/>
      <c r="AE166" s="57"/>
      <c r="AF166" s="57"/>
      <c r="AG166" s="15"/>
      <c r="AH166" s="25"/>
      <c r="AI166" s="26"/>
      <c r="AJ166" s="26"/>
      <c r="AK166" s="27"/>
      <c r="AL166" s="28"/>
      <c r="AM166" s="29"/>
    </row>
    <row r="167" ht="12.75" customHeight="1">
      <c r="A167" s="26"/>
      <c r="B167" s="12"/>
      <c r="C167" s="240"/>
      <c r="D167" s="241"/>
      <c r="E167" s="5"/>
      <c r="F167" s="5"/>
      <c r="G167" s="5"/>
      <c r="H167" s="5"/>
      <c r="I167" s="5"/>
      <c r="J167" s="5"/>
      <c r="K167" s="8"/>
      <c r="L167" s="9"/>
      <c r="M167" s="10"/>
      <c r="N167" s="255"/>
      <c r="O167" s="242"/>
      <c r="P167" s="243"/>
      <c r="Q167" s="243"/>
      <c r="R167" s="14"/>
      <c r="S167" s="242"/>
      <c r="T167" s="15"/>
      <c r="U167" s="15"/>
      <c r="V167" s="15"/>
      <c r="W167" s="8"/>
      <c r="X167" s="8"/>
      <c r="Y167" s="56"/>
      <c r="Z167" s="56"/>
      <c r="AA167" s="15"/>
      <c r="AB167" s="15"/>
      <c r="AC167" s="15"/>
      <c r="AD167" s="15"/>
      <c r="AE167" s="57"/>
      <c r="AF167" s="57"/>
      <c r="AG167" s="15"/>
      <c r="AH167" s="25"/>
      <c r="AI167" s="26"/>
      <c r="AJ167" s="26"/>
      <c r="AK167" s="27"/>
      <c r="AL167" s="28"/>
      <c r="AM167" s="29"/>
    </row>
    <row r="168" ht="12.75" customHeight="1">
      <c r="A168" s="26"/>
      <c r="B168" s="12"/>
      <c r="C168" s="240"/>
      <c r="D168" s="241"/>
      <c r="E168" s="5"/>
      <c r="F168" s="5"/>
      <c r="G168" s="5"/>
      <c r="H168" s="5"/>
      <c r="I168" s="5"/>
      <c r="J168" s="5"/>
      <c r="K168" s="8"/>
      <c r="L168" s="9"/>
      <c r="M168" s="10"/>
      <c r="N168" s="255"/>
      <c r="O168" s="242"/>
      <c r="P168" s="243"/>
      <c r="Q168" s="243"/>
      <c r="R168" s="14"/>
      <c r="S168" s="242"/>
      <c r="T168" s="15"/>
      <c r="U168" s="15"/>
      <c r="V168" s="15"/>
      <c r="W168" s="8"/>
      <c r="X168" s="8"/>
      <c r="Y168" s="56"/>
      <c r="Z168" s="56"/>
      <c r="AA168" s="15"/>
      <c r="AB168" s="15"/>
      <c r="AC168" s="15"/>
      <c r="AD168" s="15"/>
      <c r="AE168" s="57"/>
      <c r="AF168" s="57"/>
      <c r="AG168" s="15"/>
      <c r="AH168" s="25"/>
      <c r="AI168" s="26"/>
      <c r="AJ168" s="26"/>
      <c r="AK168" s="27"/>
      <c r="AL168" s="28"/>
      <c r="AM168" s="29"/>
    </row>
    <row r="169" ht="12.75" customHeight="1">
      <c r="A169" s="26"/>
      <c r="B169" s="12"/>
      <c r="C169" s="240"/>
      <c r="D169" s="241"/>
      <c r="E169" s="5"/>
      <c r="F169" s="5"/>
      <c r="G169" s="5"/>
      <c r="H169" s="5"/>
      <c r="I169" s="5"/>
      <c r="J169" s="5"/>
      <c r="K169" s="8"/>
      <c r="L169" s="9"/>
      <c r="M169" s="10"/>
      <c r="N169" s="255"/>
      <c r="O169" s="242"/>
      <c r="P169" s="243"/>
      <c r="Q169" s="243"/>
      <c r="R169" s="14"/>
      <c r="S169" s="242"/>
      <c r="T169" s="15"/>
      <c r="U169" s="15"/>
      <c r="V169" s="15"/>
      <c r="W169" s="8"/>
      <c r="X169" s="8"/>
      <c r="Y169" s="56"/>
      <c r="Z169" s="56"/>
      <c r="AA169" s="15"/>
      <c r="AB169" s="15"/>
      <c r="AC169" s="15"/>
      <c r="AD169" s="15"/>
      <c r="AE169" s="57"/>
      <c r="AF169" s="57"/>
      <c r="AG169" s="15"/>
      <c r="AH169" s="25"/>
      <c r="AI169" s="26"/>
      <c r="AJ169" s="26"/>
      <c r="AK169" s="27"/>
      <c r="AL169" s="28"/>
      <c r="AM169" s="29"/>
    </row>
    <row r="170" ht="12.75" customHeight="1">
      <c r="A170" s="26"/>
      <c r="B170" s="12"/>
      <c r="C170" s="240"/>
      <c r="D170" s="241"/>
      <c r="E170" s="5"/>
      <c r="F170" s="5"/>
      <c r="G170" s="5"/>
      <c r="H170" s="5"/>
      <c r="I170" s="5"/>
      <c r="J170" s="5"/>
      <c r="K170" s="8"/>
      <c r="L170" s="9"/>
      <c r="M170" s="10"/>
      <c r="N170" s="255"/>
      <c r="O170" s="242"/>
      <c r="P170" s="243"/>
      <c r="Q170" s="243"/>
      <c r="R170" s="14"/>
      <c r="S170" s="242"/>
      <c r="T170" s="15"/>
      <c r="U170" s="15"/>
      <c r="V170" s="15"/>
      <c r="W170" s="8"/>
      <c r="X170" s="8"/>
      <c r="Y170" s="56"/>
      <c r="Z170" s="56"/>
      <c r="AA170" s="15"/>
      <c r="AB170" s="15"/>
      <c r="AC170" s="15"/>
      <c r="AD170" s="15"/>
      <c r="AE170" s="57"/>
      <c r="AF170" s="57"/>
      <c r="AG170" s="15"/>
      <c r="AH170" s="25"/>
      <c r="AI170" s="26"/>
      <c r="AJ170" s="26"/>
      <c r="AK170" s="27"/>
      <c r="AL170" s="28"/>
      <c r="AM170" s="29"/>
    </row>
    <row r="171" ht="12.75" customHeight="1">
      <c r="A171" s="26"/>
      <c r="B171" s="12"/>
      <c r="C171" s="240"/>
      <c r="D171" s="241"/>
      <c r="E171" s="5"/>
      <c r="F171" s="5"/>
      <c r="G171" s="5"/>
      <c r="H171" s="5"/>
      <c r="I171" s="5"/>
      <c r="J171" s="5"/>
      <c r="K171" s="8"/>
      <c r="L171" s="9"/>
      <c r="M171" s="10"/>
      <c r="N171" s="255"/>
      <c r="O171" s="242"/>
      <c r="P171" s="243"/>
      <c r="Q171" s="243"/>
      <c r="R171" s="14"/>
      <c r="S171" s="242"/>
      <c r="T171" s="15"/>
      <c r="U171" s="15"/>
      <c r="V171" s="15"/>
      <c r="W171" s="8"/>
      <c r="X171" s="8"/>
      <c r="Y171" s="56"/>
      <c r="Z171" s="56"/>
      <c r="AA171" s="15"/>
      <c r="AB171" s="15"/>
      <c r="AC171" s="15"/>
      <c r="AD171" s="15"/>
      <c r="AE171" s="57"/>
      <c r="AF171" s="57"/>
      <c r="AG171" s="15"/>
      <c r="AH171" s="25"/>
      <c r="AI171" s="26"/>
      <c r="AJ171" s="26"/>
      <c r="AK171" s="27"/>
      <c r="AL171" s="28"/>
      <c r="AM171" s="29"/>
    </row>
    <row r="172" ht="12.75" customHeight="1">
      <c r="A172" s="26"/>
      <c r="B172" s="12"/>
      <c r="C172" s="240"/>
      <c r="D172" s="241"/>
      <c r="E172" s="5"/>
      <c r="F172" s="5"/>
      <c r="G172" s="5"/>
      <c r="H172" s="5"/>
      <c r="I172" s="5"/>
      <c r="J172" s="5"/>
      <c r="K172" s="8"/>
      <c r="L172" s="9"/>
      <c r="M172" s="10"/>
      <c r="N172" s="255"/>
      <c r="O172" s="242"/>
      <c r="P172" s="243"/>
      <c r="Q172" s="243"/>
      <c r="R172" s="14"/>
      <c r="S172" s="242"/>
      <c r="T172" s="15"/>
      <c r="U172" s="15"/>
      <c r="V172" s="15"/>
      <c r="W172" s="8"/>
      <c r="X172" s="8"/>
      <c r="Y172" s="56"/>
      <c r="Z172" s="56"/>
      <c r="AA172" s="15"/>
      <c r="AB172" s="15"/>
      <c r="AC172" s="15"/>
      <c r="AD172" s="15"/>
      <c r="AE172" s="57"/>
      <c r="AF172" s="57"/>
      <c r="AG172" s="15"/>
      <c r="AH172" s="25"/>
      <c r="AI172" s="26"/>
      <c r="AJ172" s="26"/>
      <c r="AK172" s="27"/>
      <c r="AL172" s="28"/>
      <c r="AM172" s="29"/>
    </row>
    <row r="173" ht="12.75" customHeight="1">
      <c r="A173" s="26"/>
      <c r="B173" s="12"/>
      <c r="C173" s="240"/>
      <c r="D173" s="241"/>
      <c r="E173" s="5"/>
      <c r="F173" s="5"/>
      <c r="G173" s="5"/>
      <c r="H173" s="5"/>
      <c r="I173" s="5"/>
      <c r="J173" s="5"/>
      <c r="K173" s="8"/>
      <c r="L173" s="9"/>
      <c r="M173" s="10"/>
      <c r="N173" s="255"/>
      <c r="O173" s="242"/>
      <c r="P173" s="243"/>
      <c r="Q173" s="243"/>
      <c r="R173" s="14"/>
      <c r="S173" s="242"/>
      <c r="T173" s="15"/>
      <c r="U173" s="15"/>
      <c r="V173" s="15"/>
      <c r="W173" s="8"/>
      <c r="X173" s="8"/>
      <c r="Y173" s="56"/>
      <c r="Z173" s="56"/>
      <c r="AA173" s="15"/>
      <c r="AB173" s="15"/>
      <c r="AC173" s="15"/>
      <c r="AD173" s="15"/>
      <c r="AE173" s="57"/>
      <c r="AF173" s="57"/>
      <c r="AG173" s="15"/>
      <c r="AH173" s="25"/>
      <c r="AI173" s="26"/>
      <c r="AJ173" s="26"/>
      <c r="AK173" s="27"/>
      <c r="AL173" s="28"/>
      <c r="AM173" s="29"/>
    </row>
    <row r="174" ht="12.75" customHeight="1">
      <c r="A174" s="26"/>
      <c r="B174" s="12"/>
      <c r="C174" s="240"/>
      <c r="D174" s="241"/>
      <c r="E174" s="5"/>
      <c r="F174" s="5"/>
      <c r="G174" s="5"/>
      <c r="H174" s="5"/>
      <c r="I174" s="5"/>
      <c r="J174" s="5"/>
      <c r="K174" s="8"/>
      <c r="L174" s="9"/>
      <c r="M174" s="10"/>
      <c r="N174" s="255"/>
      <c r="O174" s="242"/>
      <c r="P174" s="243"/>
      <c r="Q174" s="243"/>
      <c r="R174" s="14"/>
      <c r="S174" s="242"/>
      <c r="T174" s="15"/>
      <c r="U174" s="15"/>
      <c r="V174" s="15"/>
      <c r="W174" s="8"/>
      <c r="X174" s="8"/>
      <c r="Y174" s="56"/>
      <c r="Z174" s="56"/>
      <c r="AA174" s="15"/>
      <c r="AB174" s="15"/>
      <c r="AC174" s="15"/>
      <c r="AD174" s="15"/>
      <c r="AE174" s="57"/>
      <c r="AF174" s="57"/>
      <c r="AG174" s="15"/>
      <c r="AH174" s="25"/>
      <c r="AI174" s="26"/>
      <c r="AJ174" s="26"/>
      <c r="AK174" s="27"/>
      <c r="AL174" s="28"/>
      <c r="AM174" s="29"/>
    </row>
    <row r="175" ht="12.75" customHeight="1">
      <c r="A175" s="26"/>
      <c r="B175" s="12"/>
      <c r="C175" s="240"/>
      <c r="D175" s="241"/>
      <c r="E175" s="5"/>
      <c r="F175" s="5"/>
      <c r="G175" s="5"/>
      <c r="H175" s="5"/>
      <c r="I175" s="5"/>
      <c r="J175" s="5"/>
      <c r="K175" s="8"/>
      <c r="L175" s="9"/>
      <c r="M175" s="10"/>
      <c r="N175" s="255"/>
      <c r="O175" s="242"/>
      <c r="P175" s="243"/>
      <c r="Q175" s="243"/>
      <c r="R175" s="14"/>
      <c r="S175" s="242"/>
      <c r="T175" s="15"/>
      <c r="U175" s="15"/>
      <c r="V175" s="15"/>
      <c r="W175" s="8"/>
      <c r="X175" s="8"/>
      <c r="Y175" s="56"/>
      <c r="Z175" s="56"/>
      <c r="AA175" s="15"/>
      <c r="AB175" s="15"/>
      <c r="AC175" s="15"/>
      <c r="AD175" s="15"/>
      <c r="AE175" s="57"/>
      <c r="AF175" s="57"/>
      <c r="AG175" s="15"/>
      <c r="AH175" s="25"/>
      <c r="AI175" s="26"/>
      <c r="AJ175" s="26"/>
      <c r="AK175" s="27"/>
      <c r="AL175" s="28"/>
      <c r="AM175" s="29"/>
    </row>
    <row r="176" ht="12.75" customHeight="1">
      <c r="A176" s="26"/>
      <c r="B176" s="12"/>
      <c r="C176" s="240"/>
      <c r="D176" s="241"/>
      <c r="E176" s="5"/>
      <c r="F176" s="5"/>
      <c r="G176" s="5"/>
      <c r="H176" s="5"/>
      <c r="I176" s="5"/>
      <c r="J176" s="5"/>
      <c r="K176" s="8"/>
      <c r="L176" s="9"/>
      <c r="M176" s="10"/>
      <c r="N176" s="255"/>
      <c r="O176" s="242"/>
      <c r="P176" s="243"/>
      <c r="Q176" s="243"/>
      <c r="R176" s="14"/>
      <c r="S176" s="242"/>
      <c r="T176" s="15"/>
      <c r="U176" s="15"/>
      <c r="V176" s="15"/>
      <c r="W176" s="8"/>
      <c r="X176" s="8"/>
      <c r="Y176" s="56"/>
      <c r="Z176" s="56"/>
      <c r="AA176" s="15"/>
      <c r="AB176" s="15"/>
      <c r="AC176" s="15"/>
      <c r="AD176" s="15"/>
      <c r="AE176" s="57"/>
      <c r="AF176" s="57"/>
      <c r="AG176" s="15"/>
      <c r="AH176" s="25"/>
      <c r="AI176" s="26"/>
      <c r="AJ176" s="26"/>
      <c r="AK176" s="27"/>
      <c r="AL176" s="28"/>
      <c r="AM176" s="29"/>
    </row>
    <row r="177" ht="12.75" customHeight="1">
      <c r="A177" s="26"/>
      <c r="B177" s="12"/>
      <c r="C177" s="240"/>
      <c r="D177" s="241"/>
      <c r="E177" s="5"/>
      <c r="F177" s="5"/>
      <c r="G177" s="5"/>
      <c r="H177" s="5"/>
      <c r="I177" s="5"/>
      <c r="J177" s="5"/>
      <c r="K177" s="8"/>
      <c r="L177" s="9"/>
      <c r="M177" s="10"/>
      <c r="N177" s="255"/>
      <c r="O177" s="242"/>
      <c r="P177" s="243"/>
      <c r="Q177" s="243"/>
      <c r="R177" s="14"/>
      <c r="S177" s="242"/>
      <c r="T177" s="15"/>
      <c r="U177" s="15"/>
      <c r="V177" s="15"/>
      <c r="W177" s="8"/>
      <c r="X177" s="8"/>
      <c r="Y177" s="56"/>
      <c r="Z177" s="56"/>
      <c r="AA177" s="15"/>
      <c r="AB177" s="15"/>
      <c r="AC177" s="15"/>
      <c r="AD177" s="15"/>
      <c r="AE177" s="57"/>
      <c r="AF177" s="57"/>
      <c r="AG177" s="15"/>
      <c r="AH177" s="25"/>
      <c r="AI177" s="26"/>
      <c r="AJ177" s="26"/>
      <c r="AK177" s="27"/>
      <c r="AL177" s="28"/>
      <c r="AM177" s="29"/>
    </row>
    <row r="178" ht="12.75" customHeight="1">
      <c r="A178" s="26"/>
      <c r="B178" s="12"/>
      <c r="C178" s="240"/>
      <c r="D178" s="241"/>
      <c r="E178" s="5"/>
      <c r="F178" s="5"/>
      <c r="G178" s="5"/>
      <c r="H178" s="5"/>
      <c r="I178" s="5"/>
      <c r="J178" s="5"/>
      <c r="K178" s="8"/>
      <c r="L178" s="9"/>
      <c r="M178" s="10"/>
      <c r="N178" s="255"/>
      <c r="O178" s="242"/>
      <c r="P178" s="243"/>
      <c r="Q178" s="243"/>
      <c r="R178" s="14"/>
      <c r="S178" s="242"/>
      <c r="T178" s="15"/>
      <c r="U178" s="15"/>
      <c r="V178" s="15"/>
      <c r="W178" s="8"/>
      <c r="X178" s="8"/>
      <c r="Y178" s="56"/>
      <c r="Z178" s="56"/>
      <c r="AA178" s="15"/>
      <c r="AB178" s="15"/>
      <c r="AC178" s="15"/>
      <c r="AD178" s="15"/>
      <c r="AE178" s="57"/>
      <c r="AF178" s="57"/>
      <c r="AG178" s="15"/>
      <c r="AH178" s="25"/>
      <c r="AI178" s="26"/>
      <c r="AJ178" s="26"/>
      <c r="AK178" s="27"/>
      <c r="AL178" s="28"/>
      <c r="AM178" s="29"/>
    </row>
    <row r="179" ht="12.75" customHeight="1">
      <c r="A179" s="26"/>
      <c r="B179" s="12"/>
      <c r="C179" s="240"/>
      <c r="D179" s="241"/>
      <c r="E179" s="5"/>
      <c r="F179" s="5"/>
      <c r="G179" s="5"/>
      <c r="H179" s="5"/>
      <c r="I179" s="5"/>
      <c r="J179" s="5"/>
      <c r="K179" s="8"/>
      <c r="L179" s="9"/>
      <c r="M179" s="10"/>
      <c r="N179" s="255"/>
      <c r="O179" s="242"/>
      <c r="P179" s="243"/>
      <c r="Q179" s="243"/>
      <c r="R179" s="14"/>
      <c r="S179" s="242"/>
      <c r="T179" s="15"/>
      <c r="U179" s="15"/>
      <c r="V179" s="15"/>
      <c r="W179" s="8"/>
      <c r="X179" s="8"/>
      <c r="Y179" s="56"/>
      <c r="Z179" s="56"/>
      <c r="AA179" s="15"/>
      <c r="AB179" s="15"/>
      <c r="AC179" s="15"/>
      <c r="AD179" s="15"/>
      <c r="AE179" s="57"/>
      <c r="AF179" s="57"/>
      <c r="AG179" s="15"/>
      <c r="AH179" s="25"/>
      <c r="AI179" s="26"/>
      <c r="AJ179" s="26"/>
      <c r="AK179" s="27"/>
      <c r="AL179" s="28"/>
      <c r="AM179" s="29"/>
    </row>
    <row r="180" ht="12.75" customHeight="1">
      <c r="A180" s="26"/>
      <c r="B180" s="12"/>
      <c r="C180" s="240"/>
      <c r="D180" s="241"/>
      <c r="E180" s="5"/>
      <c r="F180" s="5"/>
      <c r="G180" s="5"/>
      <c r="H180" s="5"/>
      <c r="I180" s="5"/>
      <c r="J180" s="5"/>
      <c r="K180" s="8"/>
      <c r="L180" s="9"/>
      <c r="M180" s="10"/>
      <c r="N180" s="255"/>
      <c r="O180" s="242"/>
      <c r="P180" s="243"/>
      <c r="Q180" s="243"/>
      <c r="R180" s="14"/>
      <c r="S180" s="242"/>
      <c r="T180" s="15"/>
      <c r="U180" s="15"/>
      <c r="V180" s="15"/>
      <c r="W180" s="8"/>
      <c r="X180" s="8"/>
      <c r="Y180" s="56"/>
      <c r="Z180" s="56"/>
      <c r="AA180" s="15"/>
      <c r="AB180" s="15"/>
      <c r="AC180" s="15"/>
      <c r="AD180" s="15"/>
      <c r="AE180" s="57"/>
      <c r="AF180" s="57"/>
      <c r="AG180" s="15"/>
      <c r="AH180" s="25"/>
      <c r="AI180" s="26"/>
      <c r="AJ180" s="26"/>
      <c r="AK180" s="27"/>
      <c r="AL180" s="28"/>
      <c r="AM180" s="29"/>
    </row>
    <row r="181" ht="12.75" customHeight="1">
      <c r="A181" s="26"/>
      <c r="B181" s="12"/>
      <c r="C181" s="240"/>
      <c r="D181" s="241"/>
      <c r="E181" s="5"/>
      <c r="F181" s="5"/>
      <c r="G181" s="5"/>
      <c r="H181" s="5"/>
      <c r="I181" s="5"/>
      <c r="J181" s="5"/>
      <c r="K181" s="8"/>
      <c r="L181" s="9"/>
      <c r="M181" s="10"/>
      <c r="N181" s="255"/>
      <c r="O181" s="242"/>
      <c r="P181" s="243"/>
      <c r="Q181" s="243"/>
      <c r="R181" s="14"/>
      <c r="S181" s="242"/>
      <c r="T181" s="15"/>
      <c r="U181" s="15"/>
      <c r="V181" s="15"/>
      <c r="W181" s="8"/>
      <c r="X181" s="8"/>
      <c r="Y181" s="56"/>
      <c r="Z181" s="56"/>
      <c r="AA181" s="15"/>
      <c r="AB181" s="15"/>
      <c r="AC181" s="15"/>
      <c r="AD181" s="15"/>
      <c r="AE181" s="57"/>
      <c r="AF181" s="57"/>
      <c r="AG181" s="15"/>
      <c r="AH181" s="25"/>
      <c r="AI181" s="26"/>
      <c r="AJ181" s="26"/>
      <c r="AK181" s="27"/>
      <c r="AL181" s="28"/>
      <c r="AM181" s="29"/>
    </row>
    <row r="182" ht="12.75" customHeight="1">
      <c r="A182" s="26"/>
      <c r="B182" s="12"/>
      <c r="C182" s="240"/>
      <c r="D182" s="241"/>
      <c r="E182" s="5"/>
      <c r="F182" s="5"/>
      <c r="G182" s="5"/>
      <c r="H182" s="5"/>
      <c r="I182" s="5"/>
      <c r="J182" s="5"/>
      <c r="K182" s="8"/>
      <c r="L182" s="9"/>
      <c r="M182" s="10"/>
      <c r="N182" s="255"/>
      <c r="O182" s="242"/>
      <c r="P182" s="243"/>
      <c r="Q182" s="243"/>
      <c r="R182" s="14"/>
      <c r="S182" s="242"/>
      <c r="T182" s="15"/>
      <c r="U182" s="15"/>
      <c r="V182" s="15"/>
      <c r="W182" s="8"/>
      <c r="X182" s="8"/>
      <c r="Y182" s="56"/>
      <c r="Z182" s="56"/>
      <c r="AA182" s="15"/>
      <c r="AB182" s="15"/>
      <c r="AC182" s="15"/>
      <c r="AD182" s="15"/>
      <c r="AE182" s="57"/>
      <c r="AF182" s="57"/>
      <c r="AG182" s="15"/>
      <c r="AH182" s="25"/>
      <c r="AI182" s="26"/>
      <c r="AJ182" s="26"/>
      <c r="AK182" s="27"/>
      <c r="AL182" s="28"/>
      <c r="AM182" s="29"/>
    </row>
    <row r="183" ht="12.75" customHeight="1">
      <c r="A183" s="26"/>
      <c r="B183" s="12"/>
      <c r="C183" s="240"/>
      <c r="D183" s="241"/>
      <c r="E183" s="5"/>
      <c r="F183" s="5"/>
      <c r="G183" s="5"/>
      <c r="H183" s="5"/>
      <c r="I183" s="5"/>
      <c r="J183" s="5"/>
      <c r="K183" s="8"/>
      <c r="L183" s="9"/>
      <c r="M183" s="10"/>
      <c r="N183" s="255"/>
      <c r="O183" s="242"/>
      <c r="P183" s="243"/>
      <c r="Q183" s="243"/>
      <c r="R183" s="14"/>
      <c r="S183" s="242"/>
      <c r="T183" s="15"/>
      <c r="U183" s="15"/>
      <c r="V183" s="15"/>
      <c r="W183" s="8"/>
      <c r="X183" s="8"/>
      <c r="Y183" s="56"/>
      <c r="Z183" s="56"/>
      <c r="AA183" s="15"/>
      <c r="AB183" s="15"/>
      <c r="AC183" s="15"/>
      <c r="AD183" s="15"/>
      <c r="AE183" s="57"/>
      <c r="AF183" s="57"/>
      <c r="AG183" s="15"/>
      <c r="AH183" s="25"/>
      <c r="AI183" s="26"/>
      <c r="AJ183" s="26"/>
      <c r="AK183" s="27"/>
      <c r="AL183" s="28"/>
      <c r="AM183" s="29"/>
    </row>
    <row r="184" ht="12.75" customHeight="1">
      <c r="A184" s="26"/>
      <c r="B184" s="12"/>
      <c r="C184" s="240"/>
      <c r="D184" s="241"/>
      <c r="E184" s="5"/>
      <c r="F184" s="5"/>
      <c r="G184" s="5"/>
      <c r="H184" s="5"/>
      <c r="I184" s="5"/>
      <c r="J184" s="5"/>
      <c r="K184" s="8"/>
      <c r="L184" s="9"/>
      <c r="M184" s="10"/>
      <c r="N184" s="255"/>
      <c r="O184" s="242"/>
      <c r="P184" s="243"/>
      <c r="Q184" s="243"/>
      <c r="R184" s="14"/>
      <c r="S184" s="242"/>
      <c r="T184" s="15"/>
      <c r="U184" s="15"/>
      <c r="V184" s="15"/>
      <c r="W184" s="8"/>
      <c r="X184" s="8"/>
      <c r="Y184" s="56"/>
      <c r="Z184" s="56"/>
      <c r="AA184" s="15"/>
      <c r="AB184" s="15"/>
      <c r="AC184" s="15"/>
      <c r="AD184" s="15"/>
      <c r="AE184" s="57"/>
      <c r="AF184" s="57"/>
      <c r="AG184" s="15"/>
      <c r="AH184" s="25"/>
      <c r="AI184" s="26"/>
      <c r="AJ184" s="26"/>
      <c r="AK184" s="27"/>
      <c r="AL184" s="28"/>
      <c r="AM184" s="29"/>
    </row>
    <row r="185" ht="12.75" customHeight="1">
      <c r="A185" s="26"/>
      <c r="B185" s="12"/>
      <c r="C185" s="240"/>
      <c r="D185" s="241"/>
      <c r="E185" s="5"/>
      <c r="F185" s="5"/>
      <c r="G185" s="5"/>
      <c r="H185" s="5"/>
      <c r="I185" s="5"/>
      <c r="J185" s="5"/>
      <c r="K185" s="8"/>
      <c r="L185" s="9"/>
      <c r="M185" s="10"/>
      <c r="N185" s="255"/>
      <c r="O185" s="242"/>
      <c r="P185" s="243"/>
      <c r="Q185" s="243"/>
      <c r="R185" s="14"/>
      <c r="S185" s="242"/>
      <c r="T185" s="15"/>
      <c r="U185" s="15"/>
      <c r="V185" s="15"/>
      <c r="W185" s="8"/>
      <c r="X185" s="8"/>
      <c r="Y185" s="56"/>
      <c r="Z185" s="56"/>
      <c r="AA185" s="15"/>
      <c r="AB185" s="15"/>
      <c r="AC185" s="15"/>
      <c r="AD185" s="15"/>
      <c r="AE185" s="57"/>
      <c r="AF185" s="57"/>
      <c r="AG185" s="15"/>
      <c r="AH185" s="25"/>
      <c r="AI185" s="26"/>
      <c r="AJ185" s="26"/>
      <c r="AK185" s="27"/>
      <c r="AL185" s="28"/>
      <c r="AM185" s="29"/>
    </row>
    <row r="186" ht="12.75" customHeight="1">
      <c r="A186" s="26"/>
      <c r="B186" s="12"/>
      <c r="C186" s="240"/>
      <c r="D186" s="241"/>
      <c r="E186" s="5"/>
      <c r="F186" s="5"/>
      <c r="G186" s="5"/>
      <c r="H186" s="5"/>
      <c r="I186" s="5"/>
      <c r="J186" s="5"/>
      <c r="K186" s="8"/>
      <c r="L186" s="9"/>
      <c r="M186" s="10"/>
      <c r="N186" s="255"/>
      <c r="O186" s="242"/>
      <c r="P186" s="243"/>
      <c r="Q186" s="243"/>
      <c r="R186" s="14"/>
      <c r="S186" s="242"/>
      <c r="T186" s="15"/>
      <c r="U186" s="15"/>
      <c r="V186" s="15"/>
      <c r="W186" s="8"/>
      <c r="X186" s="8"/>
      <c r="Y186" s="56"/>
      <c r="Z186" s="56"/>
      <c r="AA186" s="15"/>
      <c r="AB186" s="15"/>
      <c r="AC186" s="15"/>
      <c r="AD186" s="15"/>
      <c r="AE186" s="57"/>
      <c r="AF186" s="57"/>
      <c r="AG186" s="15"/>
      <c r="AH186" s="25"/>
      <c r="AI186" s="26"/>
      <c r="AJ186" s="26"/>
      <c r="AK186" s="27"/>
      <c r="AL186" s="28"/>
      <c r="AM186" s="29"/>
    </row>
    <row r="187" ht="12.75" customHeight="1">
      <c r="A187" s="26"/>
      <c r="B187" s="12"/>
      <c r="C187" s="240"/>
      <c r="D187" s="241"/>
      <c r="E187" s="5"/>
      <c r="F187" s="5"/>
      <c r="G187" s="5"/>
      <c r="H187" s="5"/>
      <c r="I187" s="5"/>
      <c r="J187" s="5"/>
      <c r="K187" s="8"/>
      <c r="L187" s="9"/>
      <c r="M187" s="10"/>
      <c r="N187" s="255"/>
      <c r="O187" s="242"/>
      <c r="P187" s="243"/>
      <c r="Q187" s="243"/>
      <c r="R187" s="14"/>
      <c r="S187" s="242"/>
      <c r="T187" s="15"/>
      <c r="U187" s="15"/>
      <c r="V187" s="15"/>
      <c r="W187" s="8"/>
      <c r="X187" s="8"/>
      <c r="Y187" s="56"/>
      <c r="Z187" s="56"/>
      <c r="AA187" s="15"/>
      <c r="AB187" s="15"/>
      <c r="AC187" s="15"/>
      <c r="AD187" s="15"/>
      <c r="AE187" s="57"/>
      <c r="AF187" s="57"/>
      <c r="AG187" s="15"/>
      <c r="AH187" s="25"/>
      <c r="AI187" s="26"/>
      <c r="AJ187" s="26"/>
      <c r="AK187" s="27"/>
      <c r="AL187" s="28"/>
      <c r="AM187" s="29"/>
    </row>
    <row r="188" ht="12.75" customHeight="1">
      <c r="A188" s="26"/>
      <c r="B188" s="12"/>
      <c r="C188" s="240"/>
      <c r="D188" s="241"/>
      <c r="E188" s="5"/>
      <c r="F188" s="5"/>
      <c r="G188" s="5"/>
      <c r="H188" s="5"/>
      <c r="I188" s="5"/>
      <c r="J188" s="5"/>
      <c r="K188" s="8"/>
      <c r="L188" s="9"/>
      <c r="M188" s="10"/>
      <c r="N188" s="255"/>
      <c r="O188" s="242"/>
      <c r="P188" s="243"/>
      <c r="Q188" s="243"/>
      <c r="R188" s="14"/>
      <c r="S188" s="242"/>
      <c r="T188" s="15"/>
      <c r="U188" s="15"/>
      <c r="V188" s="15"/>
      <c r="W188" s="8"/>
      <c r="X188" s="8"/>
      <c r="Y188" s="56"/>
      <c r="Z188" s="56"/>
      <c r="AA188" s="15"/>
      <c r="AB188" s="15"/>
      <c r="AC188" s="15"/>
      <c r="AD188" s="15"/>
      <c r="AE188" s="57"/>
      <c r="AF188" s="57"/>
      <c r="AG188" s="15"/>
      <c r="AH188" s="25"/>
      <c r="AI188" s="26"/>
      <c r="AJ188" s="26"/>
      <c r="AK188" s="27"/>
      <c r="AL188" s="28"/>
      <c r="AM188" s="29"/>
    </row>
    <row r="189" ht="12.75" customHeight="1">
      <c r="A189" s="26"/>
      <c r="B189" s="12"/>
      <c r="C189" s="240"/>
      <c r="D189" s="241"/>
      <c r="E189" s="5"/>
      <c r="F189" s="5"/>
      <c r="G189" s="5"/>
      <c r="H189" s="5"/>
      <c r="I189" s="5"/>
      <c r="J189" s="5"/>
      <c r="K189" s="8"/>
      <c r="L189" s="9"/>
      <c r="M189" s="10"/>
      <c r="N189" s="255"/>
      <c r="O189" s="242"/>
      <c r="P189" s="243"/>
      <c r="Q189" s="243"/>
      <c r="R189" s="14"/>
      <c r="S189" s="242"/>
      <c r="T189" s="15"/>
      <c r="U189" s="15"/>
      <c r="V189" s="15"/>
      <c r="W189" s="8"/>
      <c r="X189" s="8"/>
      <c r="Y189" s="56"/>
      <c r="Z189" s="56"/>
      <c r="AA189" s="15"/>
      <c r="AB189" s="15"/>
      <c r="AC189" s="15"/>
      <c r="AD189" s="15"/>
      <c r="AE189" s="57"/>
      <c r="AF189" s="57"/>
      <c r="AG189" s="15"/>
      <c r="AH189" s="25"/>
      <c r="AI189" s="26"/>
      <c r="AJ189" s="26"/>
      <c r="AK189" s="27"/>
      <c r="AL189" s="28"/>
      <c r="AM189" s="29"/>
    </row>
    <row r="190" ht="12.75" customHeight="1">
      <c r="A190" s="26"/>
      <c r="B190" s="12"/>
      <c r="C190" s="240"/>
      <c r="D190" s="241"/>
      <c r="E190" s="5"/>
      <c r="F190" s="5"/>
      <c r="G190" s="5"/>
      <c r="H190" s="5"/>
      <c r="I190" s="5"/>
      <c r="J190" s="5"/>
      <c r="K190" s="8"/>
      <c r="L190" s="9"/>
      <c r="M190" s="10"/>
      <c r="N190" s="255"/>
      <c r="O190" s="242"/>
      <c r="P190" s="243"/>
      <c r="Q190" s="243"/>
      <c r="R190" s="14"/>
      <c r="S190" s="242"/>
      <c r="T190" s="15"/>
      <c r="U190" s="15"/>
      <c r="V190" s="15"/>
      <c r="W190" s="8"/>
      <c r="X190" s="8"/>
      <c r="Y190" s="56"/>
      <c r="Z190" s="56"/>
      <c r="AA190" s="15"/>
      <c r="AB190" s="15"/>
      <c r="AC190" s="15"/>
      <c r="AD190" s="15"/>
      <c r="AE190" s="57"/>
      <c r="AF190" s="57"/>
      <c r="AG190" s="15"/>
      <c r="AH190" s="25"/>
      <c r="AI190" s="26"/>
      <c r="AJ190" s="26"/>
      <c r="AK190" s="27"/>
      <c r="AL190" s="28"/>
      <c r="AM190" s="29"/>
    </row>
    <row r="191" ht="12.75" customHeight="1">
      <c r="A191" s="26"/>
      <c r="B191" s="12"/>
      <c r="C191" s="240"/>
      <c r="D191" s="241"/>
      <c r="E191" s="5"/>
      <c r="F191" s="5"/>
      <c r="G191" s="5"/>
      <c r="H191" s="5"/>
      <c r="I191" s="5"/>
      <c r="J191" s="5"/>
      <c r="K191" s="8"/>
      <c r="L191" s="9"/>
      <c r="M191" s="10"/>
      <c r="N191" s="255"/>
      <c r="O191" s="242"/>
      <c r="P191" s="243"/>
      <c r="Q191" s="243"/>
      <c r="R191" s="14"/>
      <c r="S191" s="242"/>
      <c r="T191" s="15"/>
      <c r="U191" s="15"/>
      <c r="V191" s="15"/>
      <c r="W191" s="8"/>
      <c r="X191" s="8"/>
      <c r="Y191" s="56"/>
      <c r="Z191" s="56"/>
      <c r="AA191" s="15"/>
      <c r="AB191" s="15"/>
      <c r="AC191" s="15"/>
      <c r="AD191" s="15"/>
      <c r="AE191" s="57"/>
      <c r="AF191" s="57"/>
      <c r="AG191" s="15"/>
      <c r="AH191" s="25"/>
      <c r="AI191" s="26"/>
      <c r="AJ191" s="26"/>
      <c r="AK191" s="27"/>
      <c r="AL191" s="28"/>
      <c r="AM191" s="29"/>
    </row>
    <row r="192" ht="12.75" customHeight="1">
      <c r="A192" s="26"/>
      <c r="B192" s="12"/>
      <c r="C192" s="240"/>
      <c r="D192" s="241"/>
      <c r="E192" s="5"/>
      <c r="F192" s="5"/>
      <c r="G192" s="5"/>
      <c r="H192" s="5"/>
      <c r="I192" s="5"/>
      <c r="J192" s="5"/>
      <c r="K192" s="8"/>
      <c r="L192" s="9"/>
      <c r="M192" s="10"/>
      <c r="N192" s="255"/>
      <c r="O192" s="242"/>
      <c r="P192" s="243"/>
      <c r="Q192" s="243"/>
      <c r="R192" s="14"/>
      <c r="S192" s="242"/>
      <c r="T192" s="15"/>
      <c r="U192" s="15"/>
      <c r="V192" s="15"/>
      <c r="W192" s="8"/>
      <c r="X192" s="8"/>
      <c r="Y192" s="56"/>
      <c r="Z192" s="56"/>
      <c r="AA192" s="15"/>
      <c r="AB192" s="15"/>
      <c r="AC192" s="15"/>
      <c r="AD192" s="15"/>
      <c r="AE192" s="57"/>
      <c r="AF192" s="57"/>
      <c r="AG192" s="15"/>
      <c r="AH192" s="25"/>
      <c r="AI192" s="26"/>
      <c r="AJ192" s="26"/>
      <c r="AK192" s="27"/>
      <c r="AL192" s="28"/>
      <c r="AM192" s="29"/>
    </row>
    <row r="193" ht="12.75" customHeight="1">
      <c r="A193" s="26"/>
      <c r="B193" s="12"/>
      <c r="C193" s="240"/>
      <c r="D193" s="241"/>
      <c r="E193" s="5"/>
      <c r="F193" s="5"/>
      <c r="G193" s="5"/>
      <c r="H193" s="5"/>
      <c r="I193" s="5"/>
      <c r="J193" s="5"/>
      <c r="K193" s="8"/>
      <c r="L193" s="9"/>
      <c r="M193" s="10"/>
      <c r="N193" s="255"/>
      <c r="O193" s="242"/>
      <c r="P193" s="243"/>
      <c r="Q193" s="243"/>
      <c r="R193" s="14"/>
      <c r="S193" s="242"/>
      <c r="T193" s="15"/>
      <c r="U193" s="15"/>
      <c r="V193" s="15"/>
      <c r="W193" s="8"/>
      <c r="X193" s="8"/>
      <c r="Y193" s="56"/>
      <c r="Z193" s="56"/>
      <c r="AA193" s="15"/>
      <c r="AB193" s="15"/>
      <c r="AC193" s="15"/>
      <c r="AD193" s="15"/>
      <c r="AE193" s="57"/>
      <c r="AF193" s="57"/>
      <c r="AG193" s="15"/>
      <c r="AH193" s="25"/>
      <c r="AI193" s="26"/>
      <c r="AJ193" s="26"/>
      <c r="AK193" s="27"/>
      <c r="AL193" s="28"/>
      <c r="AM193" s="29"/>
    </row>
    <row r="194" ht="12.75" customHeight="1">
      <c r="A194" s="26"/>
      <c r="B194" s="12"/>
      <c r="C194" s="240"/>
      <c r="D194" s="241"/>
      <c r="E194" s="5"/>
      <c r="F194" s="5"/>
      <c r="G194" s="5"/>
      <c r="H194" s="5"/>
      <c r="I194" s="5"/>
      <c r="J194" s="5"/>
      <c r="K194" s="8"/>
      <c r="L194" s="9"/>
      <c r="M194" s="10"/>
      <c r="N194" s="255"/>
      <c r="O194" s="242"/>
      <c r="P194" s="243"/>
      <c r="Q194" s="243"/>
      <c r="R194" s="14"/>
      <c r="S194" s="242"/>
      <c r="T194" s="15"/>
      <c r="U194" s="15"/>
      <c r="V194" s="15"/>
      <c r="W194" s="8"/>
      <c r="X194" s="8"/>
      <c r="Y194" s="56"/>
      <c r="Z194" s="56"/>
      <c r="AA194" s="15"/>
      <c r="AB194" s="15"/>
      <c r="AC194" s="15"/>
      <c r="AD194" s="15"/>
      <c r="AE194" s="57"/>
      <c r="AF194" s="57"/>
      <c r="AG194" s="15"/>
      <c r="AH194" s="25"/>
      <c r="AI194" s="26"/>
      <c r="AJ194" s="26"/>
      <c r="AK194" s="27"/>
      <c r="AL194" s="28"/>
      <c r="AM194" s="29"/>
    </row>
    <row r="195" ht="12.75" customHeight="1">
      <c r="A195" s="26"/>
      <c r="B195" s="12"/>
      <c r="C195" s="240"/>
      <c r="D195" s="241"/>
      <c r="E195" s="5"/>
      <c r="F195" s="5"/>
      <c r="G195" s="5"/>
      <c r="H195" s="5"/>
      <c r="I195" s="5"/>
      <c r="J195" s="5"/>
      <c r="K195" s="8"/>
      <c r="L195" s="9"/>
      <c r="M195" s="10"/>
      <c r="N195" s="255"/>
      <c r="O195" s="242"/>
      <c r="P195" s="243"/>
      <c r="Q195" s="243"/>
      <c r="R195" s="14"/>
      <c r="S195" s="242"/>
      <c r="T195" s="15"/>
      <c r="U195" s="15"/>
      <c r="V195" s="15"/>
      <c r="W195" s="8"/>
      <c r="X195" s="8"/>
      <c r="Y195" s="56"/>
      <c r="Z195" s="56"/>
      <c r="AA195" s="15"/>
      <c r="AB195" s="15"/>
      <c r="AC195" s="15"/>
      <c r="AD195" s="15"/>
      <c r="AE195" s="57"/>
      <c r="AF195" s="57"/>
      <c r="AG195" s="15"/>
      <c r="AH195" s="25"/>
      <c r="AI195" s="26"/>
      <c r="AJ195" s="26"/>
      <c r="AK195" s="27"/>
      <c r="AL195" s="28"/>
      <c r="AM195" s="29"/>
    </row>
    <row r="196" ht="12.75" customHeight="1">
      <c r="A196" s="26"/>
      <c r="B196" s="12"/>
      <c r="C196" s="240"/>
      <c r="D196" s="241"/>
      <c r="E196" s="5"/>
      <c r="F196" s="5"/>
      <c r="G196" s="5"/>
      <c r="H196" s="5"/>
      <c r="I196" s="5"/>
      <c r="J196" s="5"/>
      <c r="K196" s="8"/>
      <c r="L196" s="9"/>
      <c r="M196" s="10"/>
      <c r="N196" s="255"/>
      <c r="O196" s="242"/>
      <c r="P196" s="243"/>
      <c r="Q196" s="243"/>
      <c r="R196" s="14"/>
      <c r="S196" s="242"/>
      <c r="T196" s="15"/>
      <c r="U196" s="15"/>
      <c r="V196" s="15"/>
      <c r="W196" s="8"/>
      <c r="X196" s="8"/>
      <c r="Y196" s="56"/>
      <c r="Z196" s="56"/>
      <c r="AA196" s="15"/>
      <c r="AB196" s="15"/>
      <c r="AC196" s="15"/>
      <c r="AD196" s="15"/>
      <c r="AE196" s="57"/>
      <c r="AF196" s="57"/>
      <c r="AG196" s="15"/>
      <c r="AH196" s="25"/>
      <c r="AI196" s="26"/>
      <c r="AJ196" s="26"/>
      <c r="AK196" s="27"/>
      <c r="AL196" s="28"/>
      <c r="AM196" s="29"/>
    </row>
    <row r="197" ht="12.75" customHeight="1">
      <c r="A197" s="26"/>
      <c r="B197" s="12"/>
      <c r="C197" s="240"/>
      <c r="D197" s="241"/>
      <c r="E197" s="5"/>
      <c r="F197" s="5"/>
      <c r="G197" s="5"/>
      <c r="H197" s="5"/>
      <c r="I197" s="5"/>
      <c r="J197" s="5"/>
      <c r="K197" s="8"/>
      <c r="L197" s="9"/>
      <c r="M197" s="10"/>
      <c r="N197" s="255"/>
      <c r="O197" s="242"/>
      <c r="P197" s="243"/>
      <c r="Q197" s="243"/>
      <c r="R197" s="14"/>
      <c r="S197" s="242"/>
      <c r="T197" s="15"/>
      <c r="U197" s="15"/>
      <c r="V197" s="15"/>
      <c r="W197" s="8"/>
      <c r="X197" s="8"/>
      <c r="Y197" s="56"/>
      <c r="Z197" s="56"/>
      <c r="AA197" s="15"/>
      <c r="AB197" s="15"/>
      <c r="AC197" s="15"/>
      <c r="AD197" s="15"/>
      <c r="AE197" s="57"/>
      <c r="AF197" s="57"/>
      <c r="AG197" s="15"/>
      <c r="AH197" s="25"/>
      <c r="AI197" s="26"/>
      <c r="AJ197" s="26"/>
      <c r="AK197" s="27"/>
      <c r="AL197" s="28"/>
      <c r="AM197" s="29"/>
    </row>
    <row r="198" ht="12.75" customHeight="1">
      <c r="A198" s="26"/>
      <c r="B198" s="12"/>
      <c r="C198" s="240"/>
      <c r="D198" s="241"/>
      <c r="E198" s="5"/>
      <c r="F198" s="5"/>
      <c r="G198" s="5"/>
      <c r="H198" s="5"/>
      <c r="I198" s="5"/>
      <c r="J198" s="5"/>
      <c r="K198" s="8"/>
      <c r="L198" s="9"/>
      <c r="M198" s="10"/>
      <c r="N198" s="255"/>
      <c r="O198" s="242"/>
      <c r="P198" s="243"/>
      <c r="Q198" s="243"/>
      <c r="R198" s="14"/>
      <c r="S198" s="242"/>
      <c r="T198" s="15"/>
      <c r="U198" s="15"/>
      <c r="V198" s="15"/>
      <c r="W198" s="8"/>
      <c r="X198" s="8"/>
      <c r="Y198" s="56"/>
      <c r="Z198" s="56"/>
      <c r="AA198" s="15"/>
      <c r="AB198" s="15"/>
      <c r="AC198" s="15"/>
      <c r="AD198" s="15"/>
      <c r="AE198" s="57"/>
      <c r="AF198" s="57"/>
      <c r="AG198" s="15"/>
      <c r="AH198" s="25"/>
      <c r="AI198" s="26"/>
      <c r="AJ198" s="26"/>
      <c r="AK198" s="27"/>
      <c r="AL198" s="28"/>
      <c r="AM198" s="29"/>
    </row>
    <row r="199" ht="12.75" customHeight="1">
      <c r="A199" s="26"/>
      <c r="B199" s="12"/>
      <c r="C199" s="240"/>
      <c r="D199" s="241"/>
      <c r="E199" s="5"/>
      <c r="F199" s="5"/>
      <c r="G199" s="5"/>
      <c r="H199" s="5"/>
      <c r="I199" s="5"/>
      <c r="J199" s="5"/>
      <c r="K199" s="8"/>
      <c r="L199" s="9"/>
      <c r="M199" s="10"/>
      <c r="N199" s="255"/>
      <c r="O199" s="242"/>
      <c r="P199" s="243"/>
      <c r="Q199" s="243"/>
      <c r="R199" s="14"/>
      <c r="S199" s="242"/>
      <c r="T199" s="15"/>
      <c r="U199" s="15"/>
      <c r="V199" s="15"/>
      <c r="W199" s="8"/>
      <c r="X199" s="8"/>
      <c r="Y199" s="56"/>
      <c r="Z199" s="56"/>
      <c r="AA199" s="15"/>
      <c r="AB199" s="15"/>
      <c r="AC199" s="15"/>
      <c r="AD199" s="15"/>
      <c r="AE199" s="57"/>
      <c r="AF199" s="57"/>
      <c r="AG199" s="15"/>
      <c r="AH199" s="25"/>
      <c r="AI199" s="26"/>
      <c r="AJ199" s="26"/>
      <c r="AK199" s="27"/>
      <c r="AL199" s="28"/>
      <c r="AM199" s="29"/>
    </row>
    <row r="200" ht="12.75" customHeight="1">
      <c r="A200" s="26"/>
      <c r="B200" s="12"/>
      <c r="C200" s="240"/>
      <c r="D200" s="241"/>
      <c r="E200" s="5"/>
      <c r="F200" s="5"/>
      <c r="G200" s="5"/>
      <c r="H200" s="5"/>
      <c r="I200" s="5"/>
      <c r="J200" s="5"/>
      <c r="K200" s="8"/>
      <c r="L200" s="9"/>
      <c r="M200" s="10"/>
      <c r="N200" s="255"/>
      <c r="O200" s="242"/>
      <c r="P200" s="243"/>
      <c r="Q200" s="243"/>
      <c r="R200" s="14"/>
      <c r="S200" s="242"/>
      <c r="T200" s="15"/>
      <c r="U200" s="15"/>
      <c r="V200" s="15"/>
      <c r="W200" s="8"/>
      <c r="X200" s="8"/>
      <c r="Y200" s="56"/>
      <c r="Z200" s="56"/>
      <c r="AA200" s="15"/>
      <c r="AB200" s="15"/>
      <c r="AC200" s="15"/>
      <c r="AD200" s="15"/>
      <c r="AE200" s="57"/>
      <c r="AF200" s="57"/>
      <c r="AG200" s="15"/>
      <c r="AH200" s="25"/>
      <c r="AI200" s="26"/>
      <c r="AJ200" s="26"/>
      <c r="AK200" s="27"/>
      <c r="AL200" s="28"/>
      <c r="AM200" s="29"/>
    </row>
    <row r="201" ht="12.75" customHeight="1">
      <c r="A201" s="26"/>
      <c r="B201" s="12"/>
      <c r="C201" s="240"/>
      <c r="D201" s="241"/>
      <c r="E201" s="5"/>
      <c r="F201" s="5"/>
      <c r="G201" s="5"/>
      <c r="H201" s="5"/>
      <c r="I201" s="5"/>
      <c r="J201" s="5"/>
      <c r="K201" s="8"/>
      <c r="L201" s="9"/>
      <c r="M201" s="10"/>
      <c r="N201" s="255"/>
      <c r="O201" s="242"/>
      <c r="P201" s="243"/>
      <c r="Q201" s="243"/>
      <c r="R201" s="14"/>
      <c r="S201" s="242"/>
      <c r="T201" s="15"/>
      <c r="U201" s="15"/>
      <c r="V201" s="15"/>
      <c r="W201" s="8"/>
      <c r="X201" s="8"/>
      <c r="Y201" s="56"/>
      <c r="Z201" s="56"/>
      <c r="AA201" s="15"/>
      <c r="AB201" s="15"/>
      <c r="AC201" s="15"/>
      <c r="AD201" s="15"/>
      <c r="AE201" s="57"/>
      <c r="AF201" s="57"/>
      <c r="AG201" s="15"/>
      <c r="AH201" s="25"/>
      <c r="AI201" s="26"/>
      <c r="AJ201" s="26"/>
      <c r="AK201" s="27"/>
      <c r="AL201" s="28"/>
      <c r="AM201" s="29"/>
    </row>
    <row r="202" ht="12.75" customHeight="1">
      <c r="A202" s="26"/>
      <c r="B202" s="12"/>
      <c r="C202" s="240"/>
      <c r="D202" s="241"/>
      <c r="E202" s="5"/>
      <c r="F202" s="5"/>
      <c r="G202" s="5"/>
      <c r="H202" s="5"/>
      <c r="I202" s="5"/>
      <c r="J202" s="5"/>
      <c r="K202" s="8"/>
      <c r="L202" s="9"/>
      <c r="M202" s="10"/>
      <c r="N202" s="255"/>
      <c r="O202" s="242"/>
      <c r="P202" s="243"/>
      <c r="Q202" s="243"/>
      <c r="R202" s="14"/>
      <c r="S202" s="242"/>
      <c r="T202" s="15"/>
      <c r="U202" s="15"/>
      <c r="V202" s="15"/>
      <c r="W202" s="8"/>
      <c r="X202" s="8"/>
      <c r="Y202" s="56"/>
      <c r="Z202" s="56"/>
      <c r="AA202" s="15"/>
      <c r="AB202" s="15"/>
      <c r="AC202" s="15"/>
      <c r="AD202" s="15"/>
      <c r="AE202" s="57"/>
      <c r="AF202" s="57"/>
      <c r="AG202" s="15"/>
      <c r="AH202" s="25"/>
      <c r="AI202" s="26"/>
      <c r="AJ202" s="26"/>
      <c r="AK202" s="27"/>
      <c r="AL202" s="28"/>
      <c r="AM202" s="29"/>
    </row>
    <row r="203" ht="12.75" customHeight="1">
      <c r="A203" s="26"/>
      <c r="B203" s="12"/>
      <c r="C203" s="240"/>
      <c r="D203" s="241"/>
      <c r="E203" s="5"/>
      <c r="F203" s="5"/>
      <c r="G203" s="5"/>
      <c r="H203" s="5"/>
      <c r="I203" s="5"/>
      <c r="J203" s="5"/>
      <c r="K203" s="8"/>
      <c r="L203" s="9"/>
      <c r="M203" s="10"/>
      <c r="N203" s="255"/>
      <c r="O203" s="242"/>
      <c r="P203" s="243"/>
      <c r="Q203" s="243"/>
      <c r="R203" s="14"/>
      <c r="S203" s="242"/>
      <c r="T203" s="15"/>
      <c r="U203" s="15"/>
      <c r="V203" s="15"/>
      <c r="W203" s="8"/>
      <c r="X203" s="8"/>
      <c r="Y203" s="56"/>
      <c r="Z203" s="56"/>
      <c r="AA203" s="15"/>
      <c r="AB203" s="15"/>
      <c r="AC203" s="15"/>
      <c r="AD203" s="15"/>
      <c r="AE203" s="57"/>
      <c r="AF203" s="57"/>
      <c r="AG203" s="15"/>
      <c r="AH203" s="25"/>
      <c r="AI203" s="26"/>
      <c r="AJ203" s="26"/>
      <c r="AK203" s="27"/>
      <c r="AL203" s="28"/>
      <c r="AM203" s="29"/>
    </row>
    <row r="204" ht="12.75" customHeight="1">
      <c r="A204" s="26"/>
      <c r="B204" s="12"/>
      <c r="C204" s="240"/>
      <c r="D204" s="241"/>
      <c r="E204" s="5"/>
      <c r="F204" s="5"/>
      <c r="G204" s="5"/>
      <c r="H204" s="5"/>
      <c r="I204" s="5"/>
      <c r="J204" s="5"/>
      <c r="K204" s="8"/>
      <c r="L204" s="9"/>
      <c r="M204" s="10"/>
      <c r="N204" s="255"/>
      <c r="O204" s="242"/>
      <c r="P204" s="243"/>
      <c r="Q204" s="243"/>
      <c r="R204" s="14"/>
      <c r="S204" s="242"/>
      <c r="T204" s="15"/>
      <c r="U204" s="15"/>
      <c r="V204" s="15"/>
      <c r="W204" s="8"/>
      <c r="X204" s="8"/>
      <c r="Y204" s="56"/>
      <c r="Z204" s="56"/>
      <c r="AA204" s="15"/>
      <c r="AB204" s="15"/>
      <c r="AC204" s="15"/>
      <c r="AD204" s="15"/>
      <c r="AE204" s="57"/>
      <c r="AF204" s="57"/>
      <c r="AG204" s="15"/>
      <c r="AH204" s="25"/>
      <c r="AI204" s="26"/>
      <c r="AJ204" s="26"/>
      <c r="AK204" s="27"/>
      <c r="AL204" s="28"/>
      <c r="AM204" s="29"/>
    </row>
    <row r="205" ht="12.75" customHeight="1">
      <c r="A205" s="26"/>
      <c r="B205" s="12"/>
      <c r="C205" s="240"/>
      <c r="D205" s="241"/>
      <c r="E205" s="5"/>
      <c r="F205" s="5"/>
      <c r="G205" s="5"/>
      <c r="H205" s="5"/>
      <c r="I205" s="5"/>
      <c r="J205" s="5"/>
      <c r="K205" s="8"/>
      <c r="L205" s="9"/>
      <c r="M205" s="10"/>
      <c r="N205" s="255"/>
      <c r="O205" s="242"/>
      <c r="P205" s="243"/>
      <c r="Q205" s="243"/>
      <c r="R205" s="14"/>
      <c r="S205" s="242"/>
      <c r="T205" s="15"/>
      <c r="U205" s="15"/>
      <c r="V205" s="15"/>
      <c r="W205" s="8"/>
      <c r="X205" s="8"/>
      <c r="Y205" s="56"/>
      <c r="Z205" s="56"/>
      <c r="AA205" s="15"/>
      <c r="AB205" s="15"/>
      <c r="AC205" s="15"/>
      <c r="AD205" s="15"/>
      <c r="AE205" s="57"/>
      <c r="AF205" s="57"/>
      <c r="AG205" s="15"/>
      <c r="AH205" s="25"/>
      <c r="AI205" s="26"/>
      <c r="AJ205" s="26"/>
      <c r="AK205" s="27"/>
      <c r="AL205" s="28"/>
      <c r="AM205" s="29"/>
    </row>
    <row r="206" ht="12.75" customHeight="1">
      <c r="A206" s="26"/>
      <c r="B206" s="12"/>
      <c r="C206" s="240"/>
      <c r="D206" s="241"/>
      <c r="E206" s="5"/>
      <c r="F206" s="5"/>
      <c r="G206" s="5"/>
      <c r="H206" s="5"/>
      <c r="I206" s="5"/>
      <c r="J206" s="5"/>
      <c r="K206" s="8"/>
      <c r="L206" s="9"/>
      <c r="M206" s="10"/>
      <c r="N206" s="255"/>
      <c r="O206" s="242"/>
      <c r="P206" s="243"/>
      <c r="Q206" s="243"/>
      <c r="R206" s="14"/>
      <c r="S206" s="242"/>
      <c r="T206" s="15"/>
      <c r="U206" s="15"/>
      <c r="V206" s="15"/>
      <c r="W206" s="8"/>
      <c r="X206" s="8"/>
      <c r="Y206" s="56"/>
      <c r="Z206" s="56"/>
      <c r="AA206" s="15"/>
      <c r="AB206" s="15"/>
      <c r="AC206" s="15"/>
      <c r="AD206" s="15"/>
      <c r="AE206" s="57"/>
      <c r="AF206" s="57"/>
      <c r="AG206" s="15"/>
      <c r="AH206" s="25"/>
      <c r="AI206" s="26"/>
      <c r="AJ206" s="26"/>
      <c r="AK206" s="27"/>
      <c r="AL206" s="28"/>
      <c r="AM206" s="29"/>
    </row>
    <row r="207" ht="12.75" customHeight="1">
      <c r="A207" s="26"/>
      <c r="B207" s="12"/>
      <c r="C207" s="240"/>
      <c r="D207" s="241"/>
      <c r="E207" s="5"/>
      <c r="F207" s="5"/>
      <c r="G207" s="5"/>
      <c r="H207" s="5"/>
      <c r="I207" s="5"/>
      <c r="J207" s="5"/>
      <c r="K207" s="8"/>
      <c r="L207" s="9"/>
      <c r="M207" s="10"/>
      <c r="N207" s="255"/>
      <c r="O207" s="242"/>
      <c r="P207" s="243"/>
      <c r="Q207" s="243"/>
      <c r="R207" s="14"/>
      <c r="S207" s="242"/>
      <c r="T207" s="15"/>
      <c r="U207" s="15"/>
      <c r="V207" s="15"/>
      <c r="W207" s="8"/>
      <c r="X207" s="8"/>
      <c r="Y207" s="56"/>
      <c r="Z207" s="56"/>
      <c r="AA207" s="15"/>
      <c r="AB207" s="15"/>
      <c r="AC207" s="15"/>
      <c r="AD207" s="15"/>
      <c r="AE207" s="57"/>
      <c r="AF207" s="57"/>
      <c r="AG207" s="15"/>
      <c r="AH207" s="25"/>
      <c r="AI207" s="26"/>
      <c r="AJ207" s="26"/>
      <c r="AK207" s="27"/>
      <c r="AL207" s="28"/>
      <c r="AM207" s="29"/>
    </row>
    <row r="208" ht="12.75" customHeight="1">
      <c r="A208" s="26"/>
      <c r="B208" s="12"/>
      <c r="C208" s="240"/>
      <c r="D208" s="241"/>
      <c r="E208" s="5"/>
      <c r="F208" s="5"/>
      <c r="G208" s="5"/>
      <c r="H208" s="5"/>
      <c r="I208" s="5"/>
      <c r="J208" s="5"/>
      <c r="K208" s="8"/>
      <c r="L208" s="9"/>
      <c r="M208" s="10"/>
      <c r="N208" s="255"/>
      <c r="O208" s="242"/>
      <c r="P208" s="243"/>
      <c r="Q208" s="243"/>
      <c r="R208" s="14"/>
      <c r="S208" s="242"/>
      <c r="T208" s="15"/>
      <c r="U208" s="15"/>
      <c r="V208" s="15"/>
      <c r="W208" s="8"/>
      <c r="X208" s="8"/>
      <c r="Y208" s="56"/>
      <c r="Z208" s="56"/>
      <c r="AA208" s="15"/>
      <c r="AB208" s="15"/>
      <c r="AC208" s="15"/>
      <c r="AD208" s="15"/>
      <c r="AE208" s="57"/>
      <c r="AF208" s="57"/>
      <c r="AG208" s="15"/>
      <c r="AH208" s="25"/>
      <c r="AI208" s="26"/>
      <c r="AJ208" s="26"/>
      <c r="AK208" s="27"/>
      <c r="AL208" s="28"/>
      <c r="AM208" s="29"/>
    </row>
    <row r="209" ht="12.75" customHeight="1">
      <c r="A209" s="26"/>
      <c r="B209" s="12"/>
      <c r="C209" s="240"/>
      <c r="D209" s="241"/>
      <c r="E209" s="5"/>
      <c r="F209" s="5"/>
      <c r="G209" s="5"/>
      <c r="H209" s="5"/>
      <c r="I209" s="5"/>
      <c r="J209" s="5"/>
      <c r="K209" s="8"/>
      <c r="L209" s="9"/>
      <c r="M209" s="10"/>
      <c r="N209" s="255"/>
      <c r="O209" s="242"/>
      <c r="P209" s="243"/>
      <c r="Q209" s="243"/>
      <c r="R209" s="14"/>
      <c r="S209" s="242"/>
      <c r="T209" s="15"/>
      <c r="U209" s="15"/>
      <c r="V209" s="15"/>
      <c r="W209" s="8"/>
      <c r="X209" s="8"/>
      <c r="Y209" s="56"/>
      <c r="Z209" s="56"/>
      <c r="AA209" s="15"/>
      <c r="AB209" s="15"/>
      <c r="AC209" s="15"/>
      <c r="AD209" s="15"/>
      <c r="AE209" s="57"/>
      <c r="AF209" s="57"/>
      <c r="AG209" s="15"/>
      <c r="AH209" s="25"/>
      <c r="AI209" s="26"/>
      <c r="AJ209" s="26"/>
      <c r="AK209" s="27"/>
      <c r="AL209" s="28"/>
      <c r="AM209" s="29"/>
    </row>
    <row r="210" ht="12.75" customHeight="1">
      <c r="A210" s="26"/>
      <c r="B210" s="12"/>
      <c r="C210" s="240"/>
      <c r="D210" s="241"/>
      <c r="E210" s="5"/>
      <c r="F210" s="5"/>
      <c r="G210" s="5"/>
      <c r="H210" s="5"/>
      <c r="I210" s="5"/>
      <c r="J210" s="5"/>
      <c r="K210" s="8"/>
      <c r="L210" s="9"/>
      <c r="M210" s="10"/>
      <c r="N210" s="255"/>
      <c r="O210" s="242"/>
      <c r="P210" s="243"/>
      <c r="Q210" s="243"/>
      <c r="R210" s="14"/>
      <c r="S210" s="242"/>
      <c r="T210" s="15"/>
      <c r="U210" s="15"/>
      <c r="V210" s="15"/>
      <c r="W210" s="8"/>
      <c r="X210" s="8"/>
      <c r="Y210" s="56"/>
      <c r="Z210" s="56"/>
      <c r="AA210" s="15"/>
      <c r="AB210" s="15"/>
      <c r="AC210" s="15"/>
      <c r="AD210" s="15"/>
      <c r="AE210" s="57"/>
      <c r="AF210" s="57"/>
      <c r="AG210" s="15"/>
      <c r="AH210" s="25"/>
      <c r="AI210" s="26"/>
      <c r="AJ210" s="26"/>
      <c r="AK210" s="27"/>
      <c r="AL210" s="28"/>
      <c r="AM210" s="29"/>
    </row>
    <row r="211" ht="12.75" customHeight="1">
      <c r="A211" s="26"/>
      <c r="B211" s="12"/>
      <c r="C211" s="240"/>
      <c r="D211" s="241"/>
      <c r="E211" s="5"/>
      <c r="F211" s="5"/>
      <c r="G211" s="5"/>
      <c r="H211" s="5"/>
      <c r="I211" s="5"/>
      <c r="J211" s="5"/>
      <c r="K211" s="8"/>
      <c r="L211" s="9"/>
      <c r="M211" s="10"/>
      <c r="N211" s="255"/>
      <c r="O211" s="242"/>
      <c r="P211" s="243"/>
      <c r="Q211" s="243"/>
      <c r="R211" s="14"/>
      <c r="S211" s="242"/>
      <c r="T211" s="15"/>
      <c r="U211" s="15"/>
      <c r="V211" s="15"/>
      <c r="W211" s="8"/>
      <c r="X211" s="8"/>
      <c r="Y211" s="56"/>
      <c r="Z211" s="56"/>
      <c r="AA211" s="15"/>
      <c r="AB211" s="15"/>
      <c r="AC211" s="15"/>
      <c r="AD211" s="15"/>
      <c r="AE211" s="57"/>
      <c r="AF211" s="57"/>
      <c r="AG211" s="15"/>
      <c r="AH211" s="25"/>
      <c r="AI211" s="26"/>
      <c r="AJ211" s="26"/>
      <c r="AK211" s="27"/>
      <c r="AL211" s="28"/>
      <c r="AM211" s="29"/>
    </row>
    <row r="212" ht="12.75" customHeight="1">
      <c r="A212" s="26"/>
      <c r="B212" s="12"/>
      <c r="C212" s="240"/>
      <c r="D212" s="241"/>
      <c r="E212" s="5"/>
      <c r="F212" s="5"/>
      <c r="G212" s="5"/>
      <c r="H212" s="5"/>
      <c r="I212" s="5"/>
      <c r="J212" s="5"/>
      <c r="K212" s="8"/>
      <c r="L212" s="9"/>
      <c r="M212" s="10"/>
      <c r="N212" s="255"/>
      <c r="O212" s="242"/>
      <c r="P212" s="243"/>
      <c r="Q212" s="243"/>
      <c r="R212" s="14"/>
      <c r="S212" s="242"/>
      <c r="T212" s="15"/>
      <c r="U212" s="15"/>
      <c r="V212" s="15"/>
      <c r="W212" s="8"/>
      <c r="X212" s="8"/>
      <c r="Y212" s="56"/>
      <c r="Z212" s="56"/>
      <c r="AA212" s="15"/>
      <c r="AB212" s="15"/>
      <c r="AC212" s="15"/>
      <c r="AD212" s="15"/>
      <c r="AE212" s="57"/>
      <c r="AF212" s="57"/>
      <c r="AG212" s="15"/>
      <c r="AH212" s="25"/>
      <c r="AI212" s="26"/>
      <c r="AJ212" s="26"/>
      <c r="AK212" s="27"/>
      <c r="AL212" s="28"/>
      <c r="AM212" s="29"/>
    </row>
    <row r="213" ht="12.75" customHeight="1">
      <c r="A213" s="26"/>
      <c r="B213" s="12"/>
      <c r="C213" s="240"/>
      <c r="D213" s="241"/>
      <c r="E213" s="5"/>
      <c r="F213" s="5"/>
      <c r="G213" s="5"/>
      <c r="H213" s="5"/>
      <c r="I213" s="5"/>
      <c r="J213" s="5"/>
      <c r="K213" s="8"/>
      <c r="L213" s="9"/>
      <c r="M213" s="10"/>
      <c r="N213" s="255"/>
      <c r="O213" s="242"/>
      <c r="P213" s="243"/>
      <c r="Q213" s="243"/>
      <c r="R213" s="14"/>
      <c r="S213" s="242"/>
      <c r="T213" s="15"/>
      <c r="U213" s="15"/>
      <c r="V213" s="15"/>
      <c r="W213" s="8"/>
      <c r="X213" s="8"/>
      <c r="Y213" s="56"/>
      <c r="Z213" s="56"/>
      <c r="AA213" s="15"/>
      <c r="AB213" s="15"/>
      <c r="AC213" s="15"/>
      <c r="AD213" s="15"/>
      <c r="AE213" s="57"/>
      <c r="AF213" s="57"/>
      <c r="AG213" s="15"/>
      <c r="AH213" s="25"/>
      <c r="AI213" s="26"/>
      <c r="AJ213" s="26"/>
      <c r="AK213" s="27"/>
      <c r="AL213" s="28"/>
      <c r="AM213" s="29"/>
    </row>
    <row r="214" ht="12.75" customHeight="1">
      <c r="A214" s="26"/>
      <c r="B214" s="12"/>
      <c r="C214" s="240"/>
      <c r="D214" s="241"/>
      <c r="E214" s="5"/>
      <c r="F214" s="5"/>
      <c r="G214" s="5"/>
      <c r="H214" s="5"/>
      <c r="I214" s="5"/>
      <c r="J214" s="5"/>
      <c r="K214" s="8"/>
      <c r="L214" s="9"/>
      <c r="M214" s="10"/>
      <c r="N214" s="255"/>
      <c r="O214" s="242"/>
      <c r="P214" s="243"/>
      <c r="Q214" s="243"/>
      <c r="R214" s="14"/>
      <c r="S214" s="242"/>
      <c r="T214" s="15"/>
      <c r="U214" s="15"/>
      <c r="V214" s="15"/>
      <c r="W214" s="8"/>
      <c r="X214" s="8"/>
      <c r="Y214" s="56"/>
      <c r="Z214" s="56"/>
      <c r="AA214" s="15"/>
      <c r="AB214" s="15"/>
      <c r="AC214" s="15"/>
      <c r="AD214" s="15"/>
      <c r="AE214" s="57"/>
      <c r="AF214" s="57"/>
      <c r="AG214" s="15"/>
      <c r="AH214" s="25"/>
      <c r="AI214" s="26"/>
      <c r="AJ214" s="26"/>
      <c r="AK214" s="27"/>
      <c r="AL214" s="28"/>
      <c r="AM214" s="29"/>
    </row>
    <row r="215" ht="12.75" customHeight="1">
      <c r="A215" s="26"/>
      <c r="B215" s="12"/>
      <c r="C215" s="240"/>
      <c r="D215" s="241"/>
      <c r="E215" s="5"/>
      <c r="F215" s="5"/>
      <c r="G215" s="5"/>
      <c r="H215" s="5"/>
      <c r="I215" s="5"/>
      <c r="J215" s="5"/>
      <c r="K215" s="8"/>
      <c r="L215" s="9"/>
      <c r="M215" s="10"/>
      <c r="N215" s="255"/>
      <c r="O215" s="242"/>
      <c r="P215" s="243"/>
      <c r="Q215" s="243"/>
      <c r="R215" s="14"/>
      <c r="S215" s="242"/>
      <c r="T215" s="15"/>
      <c r="U215" s="15"/>
      <c r="V215" s="15"/>
      <c r="W215" s="8"/>
      <c r="X215" s="8"/>
      <c r="Y215" s="56"/>
      <c r="Z215" s="56"/>
      <c r="AA215" s="15"/>
      <c r="AB215" s="15"/>
      <c r="AC215" s="15"/>
      <c r="AD215" s="15"/>
      <c r="AE215" s="57"/>
      <c r="AF215" s="57"/>
      <c r="AG215" s="15"/>
      <c r="AH215" s="25"/>
      <c r="AI215" s="26"/>
      <c r="AJ215" s="26"/>
      <c r="AK215" s="27"/>
      <c r="AL215" s="28"/>
      <c r="AM215" s="29"/>
    </row>
    <row r="216" ht="12.75" customHeight="1">
      <c r="A216" s="26"/>
      <c r="B216" s="12"/>
      <c r="C216" s="240"/>
      <c r="D216" s="241"/>
      <c r="E216" s="5"/>
      <c r="F216" s="5"/>
      <c r="G216" s="5"/>
      <c r="H216" s="5"/>
      <c r="I216" s="5"/>
      <c r="J216" s="5"/>
      <c r="K216" s="8"/>
      <c r="L216" s="9"/>
      <c r="M216" s="10"/>
      <c r="N216" s="255"/>
      <c r="O216" s="242"/>
      <c r="P216" s="243"/>
      <c r="Q216" s="243"/>
      <c r="R216" s="14"/>
      <c r="S216" s="242"/>
      <c r="T216" s="15"/>
      <c r="U216" s="15"/>
      <c r="V216" s="15"/>
      <c r="W216" s="8"/>
      <c r="X216" s="8"/>
      <c r="Y216" s="56"/>
      <c r="Z216" s="56"/>
      <c r="AA216" s="15"/>
      <c r="AB216" s="15"/>
      <c r="AC216" s="15"/>
      <c r="AD216" s="15"/>
      <c r="AE216" s="57"/>
      <c r="AF216" s="57"/>
      <c r="AG216" s="15"/>
      <c r="AH216" s="25"/>
      <c r="AI216" s="26"/>
      <c r="AJ216" s="26"/>
      <c r="AK216" s="27"/>
      <c r="AL216" s="28"/>
      <c r="AM216" s="29"/>
    </row>
    <row r="217" ht="12.75" customHeight="1">
      <c r="A217" s="26"/>
      <c r="B217" s="12"/>
      <c r="C217" s="240"/>
      <c r="D217" s="241"/>
      <c r="E217" s="5"/>
      <c r="F217" s="5"/>
      <c r="G217" s="5"/>
      <c r="H217" s="5"/>
      <c r="I217" s="5"/>
      <c r="J217" s="5"/>
      <c r="K217" s="8"/>
      <c r="L217" s="9"/>
      <c r="M217" s="10"/>
      <c r="N217" s="255"/>
      <c r="O217" s="242"/>
      <c r="P217" s="243"/>
      <c r="Q217" s="243"/>
      <c r="R217" s="14"/>
      <c r="S217" s="242"/>
      <c r="T217" s="15"/>
      <c r="U217" s="15"/>
      <c r="V217" s="15"/>
      <c r="W217" s="8"/>
      <c r="X217" s="8"/>
      <c r="Y217" s="56"/>
      <c r="Z217" s="56"/>
      <c r="AA217" s="15"/>
      <c r="AB217" s="15"/>
      <c r="AC217" s="15"/>
      <c r="AD217" s="15"/>
      <c r="AE217" s="57"/>
      <c r="AF217" s="57"/>
      <c r="AG217" s="15"/>
      <c r="AH217" s="25"/>
      <c r="AI217" s="26"/>
      <c r="AJ217" s="26"/>
      <c r="AK217" s="27"/>
      <c r="AL217" s="28"/>
      <c r="AM217" s="29"/>
    </row>
    <row r="218" ht="12.75" customHeight="1">
      <c r="A218" s="26"/>
      <c r="B218" s="12"/>
      <c r="C218" s="240"/>
      <c r="D218" s="241"/>
      <c r="E218" s="5"/>
      <c r="F218" s="5"/>
      <c r="G218" s="5"/>
      <c r="H218" s="5"/>
      <c r="I218" s="5"/>
      <c r="J218" s="5"/>
      <c r="K218" s="8"/>
      <c r="L218" s="9"/>
      <c r="M218" s="10"/>
      <c r="N218" s="255"/>
      <c r="O218" s="242"/>
      <c r="P218" s="243"/>
      <c r="Q218" s="243"/>
      <c r="R218" s="14"/>
      <c r="S218" s="242"/>
      <c r="T218" s="15"/>
      <c r="U218" s="15"/>
      <c r="V218" s="15"/>
      <c r="W218" s="8"/>
      <c r="X218" s="8"/>
      <c r="Y218" s="56"/>
      <c r="Z218" s="56"/>
      <c r="AA218" s="15"/>
      <c r="AB218" s="15"/>
      <c r="AC218" s="15"/>
      <c r="AD218" s="15"/>
      <c r="AE218" s="57"/>
      <c r="AF218" s="57"/>
      <c r="AG218" s="15"/>
      <c r="AH218" s="25"/>
      <c r="AI218" s="26"/>
      <c r="AJ218" s="26"/>
      <c r="AK218" s="27"/>
      <c r="AL218" s="28"/>
      <c r="AM218" s="29"/>
    </row>
    <row r="219" ht="12.75" customHeight="1">
      <c r="A219" s="26"/>
      <c r="B219" s="12"/>
      <c r="C219" s="240"/>
      <c r="D219" s="241"/>
      <c r="E219" s="5"/>
      <c r="F219" s="5"/>
      <c r="G219" s="5"/>
      <c r="H219" s="5"/>
      <c r="I219" s="5"/>
      <c r="J219" s="5"/>
      <c r="K219" s="8"/>
      <c r="L219" s="9"/>
      <c r="M219" s="10"/>
      <c r="N219" s="255"/>
      <c r="O219" s="242"/>
      <c r="P219" s="243"/>
      <c r="Q219" s="243"/>
      <c r="R219" s="14"/>
      <c r="S219" s="242"/>
      <c r="T219" s="15"/>
      <c r="U219" s="15"/>
      <c r="V219" s="15"/>
      <c r="W219" s="8"/>
      <c r="X219" s="8"/>
      <c r="Y219" s="56"/>
      <c r="Z219" s="56"/>
      <c r="AA219" s="15"/>
      <c r="AB219" s="15"/>
      <c r="AC219" s="15"/>
      <c r="AD219" s="15"/>
      <c r="AE219" s="57"/>
      <c r="AF219" s="57"/>
      <c r="AG219" s="15"/>
      <c r="AH219" s="25"/>
      <c r="AI219" s="26"/>
      <c r="AJ219" s="26"/>
      <c r="AK219" s="27"/>
      <c r="AL219" s="28"/>
      <c r="AM219" s="29"/>
    </row>
    <row r="220" ht="12.75" customHeight="1">
      <c r="A220" s="26"/>
      <c r="B220" s="12"/>
      <c r="C220" s="240"/>
      <c r="D220" s="241"/>
      <c r="E220" s="5"/>
      <c r="F220" s="5"/>
      <c r="G220" s="5"/>
      <c r="H220" s="5"/>
      <c r="I220" s="5"/>
      <c r="J220" s="5"/>
      <c r="K220" s="8"/>
      <c r="L220" s="9"/>
      <c r="M220" s="10"/>
      <c r="N220" s="255"/>
      <c r="O220" s="242"/>
      <c r="P220" s="243"/>
      <c r="Q220" s="243"/>
      <c r="R220" s="14"/>
      <c r="S220" s="242"/>
      <c r="T220" s="15"/>
      <c r="U220" s="15"/>
      <c r="V220" s="15"/>
      <c r="W220" s="8"/>
      <c r="X220" s="8"/>
      <c r="Y220" s="56"/>
      <c r="Z220" s="56"/>
      <c r="AA220" s="15"/>
      <c r="AB220" s="15"/>
      <c r="AC220" s="15"/>
      <c r="AD220" s="15"/>
      <c r="AE220" s="57"/>
      <c r="AF220" s="57"/>
      <c r="AG220" s="15"/>
      <c r="AH220" s="25"/>
      <c r="AI220" s="26"/>
      <c r="AJ220" s="26"/>
      <c r="AK220" s="27"/>
      <c r="AL220" s="28"/>
      <c r="AM220" s="29"/>
    </row>
    <row r="221" ht="12.75" customHeight="1">
      <c r="A221" s="26"/>
      <c r="B221" s="12"/>
      <c r="C221" s="240"/>
      <c r="D221" s="241"/>
      <c r="E221" s="5"/>
      <c r="F221" s="5"/>
      <c r="G221" s="5"/>
      <c r="H221" s="5"/>
      <c r="I221" s="5"/>
      <c r="J221" s="5"/>
      <c r="K221" s="8"/>
      <c r="L221" s="9"/>
      <c r="M221" s="10"/>
      <c r="N221" s="255"/>
      <c r="O221" s="242"/>
      <c r="P221" s="243"/>
      <c r="Q221" s="243"/>
      <c r="R221" s="14"/>
      <c r="S221" s="242"/>
      <c r="T221" s="15"/>
      <c r="U221" s="15"/>
      <c r="V221" s="15"/>
      <c r="W221" s="8"/>
      <c r="X221" s="8"/>
      <c r="Y221" s="56"/>
      <c r="Z221" s="56"/>
      <c r="AA221" s="15"/>
      <c r="AB221" s="15"/>
      <c r="AC221" s="15"/>
      <c r="AD221" s="15"/>
      <c r="AE221" s="57"/>
      <c r="AF221" s="57"/>
      <c r="AG221" s="15"/>
      <c r="AH221" s="25"/>
      <c r="AI221" s="26"/>
      <c r="AJ221" s="26"/>
      <c r="AK221" s="27"/>
      <c r="AL221" s="28"/>
      <c r="AM221" s="29"/>
    </row>
    <row r="222" ht="12.75" customHeight="1">
      <c r="A222" s="26"/>
      <c r="B222" s="12"/>
      <c r="C222" s="240"/>
      <c r="D222" s="241"/>
      <c r="E222" s="5"/>
      <c r="F222" s="5"/>
      <c r="G222" s="5"/>
      <c r="H222" s="5"/>
      <c r="I222" s="5"/>
      <c r="J222" s="5"/>
      <c r="K222" s="8"/>
      <c r="L222" s="9"/>
      <c r="M222" s="10"/>
      <c r="N222" s="255"/>
      <c r="O222" s="242"/>
      <c r="P222" s="243"/>
      <c r="Q222" s="243"/>
      <c r="R222" s="14"/>
      <c r="S222" s="242"/>
      <c r="T222" s="15"/>
      <c r="U222" s="15"/>
      <c r="V222" s="15"/>
      <c r="W222" s="8"/>
      <c r="X222" s="8"/>
      <c r="Y222" s="56"/>
      <c r="Z222" s="56"/>
      <c r="AA222" s="15"/>
      <c r="AB222" s="15"/>
      <c r="AC222" s="15"/>
      <c r="AD222" s="15"/>
      <c r="AE222" s="57"/>
      <c r="AF222" s="57"/>
      <c r="AG222" s="15"/>
      <c r="AH222" s="25"/>
      <c r="AI222" s="26"/>
      <c r="AJ222" s="26"/>
      <c r="AK222" s="27"/>
      <c r="AL222" s="28"/>
      <c r="AM222" s="29"/>
    </row>
    <row r="223" ht="12.75" customHeight="1">
      <c r="A223" s="26"/>
      <c r="B223" s="12"/>
      <c r="C223" s="240"/>
      <c r="D223" s="241"/>
      <c r="E223" s="5"/>
      <c r="F223" s="5"/>
      <c r="G223" s="5"/>
      <c r="H223" s="5"/>
      <c r="I223" s="5"/>
      <c r="J223" s="5"/>
      <c r="K223" s="8"/>
      <c r="L223" s="9"/>
      <c r="M223" s="10"/>
      <c r="N223" s="255"/>
      <c r="O223" s="242"/>
      <c r="P223" s="243"/>
      <c r="Q223" s="243"/>
      <c r="R223" s="14"/>
      <c r="S223" s="242"/>
      <c r="T223" s="15"/>
      <c r="U223" s="15"/>
      <c r="V223" s="15"/>
      <c r="W223" s="8"/>
      <c r="X223" s="8"/>
      <c r="Y223" s="56"/>
      <c r="Z223" s="56"/>
      <c r="AA223" s="15"/>
      <c r="AB223" s="15"/>
      <c r="AC223" s="15"/>
      <c r="AD223" s="15"/>
      <c r="AE223" s="57"/>
      <c r="AF223" s="57"/>
      <c r="AG223" s="15"/>
      <c r="AH223" s="25"/>
      <c r="AI223" s="26"/>
      <c r="AJ223" s="26"/>
      <c r="AK223" s="27"/>
      <c r="AL223" s="28"/>
      <c r="AM223" s="29"/>
    </row>
    <row r="224" ht="12.75" customHeight="1">
      <c r="A224" s="26"/>
      <c r="B224" s="12"/>
      <c r="C224" s="240"/>
      <c r="D224" s="241"/>
      <c r="E224" s="5"/>
      <c r="F224" s="5"/>
      <c r="G224" s="5"/>
      <c r="H224" s="5"/>
      <c r="I224" s="5"/>
      <c r="J224" s="5"/>
      <c r="K224" s="8"/>
      <c r="L224" s="9"/>
      <c r="M224" s="10"/>
      <c r="N224" s="255"/>
      <c r="O224" s="242"/>
      <c r="P224" s="243"/>
      <c r="Q224" s="243"/>
      <c r="R224" s="14"/>
      <c r="S224" s="242"/>
      <c r="T224" s="15"/>
      <c r="U224" s="15"/>
      <c r="V224" s="15"/>
      <c r="W224" s="8"/>
      <c r="X224" s="8"/>
      <c r="Y224" s="56"/>
      <c r="Z224" s="56"/>
      <c r="AA224" s="15"/>
      <c r="AB224" s="15"/>
      <c r="AC224" s="15"/>
      <c r="AD224" s="15"/>
      <c r="AE224" s="57"/>
      <c r="AF224" s="57"/>
      <c r="AG224" s="15"/>
      <c r="AH224" s="25"/>
      <c r="AI224" s="26"/>
      <c r="AJ224" s="26"/>
      <c r="AK224" s="27"/>
      <c r="AL224" s="28"/>
      <c r="AM224" s="29"/>
    </row>
    <row r="225" ht="12.75" customHeight="1">
      <c r="A225" s="26"/>
      <c r="B225" s="12"/>
      <c r="C225" s="240"/>
      <c r="D225" s="241"/>
      <c r="E225" s="5"/>
      <c r="F225" s="5"/>
      <c r="G225" s="5"/>
      <c r="H225" s="5"/>
      <c r="I225" s="5"/>
      <c r="J225" s="5"/>
      <c r="K225" s="8"/>
      <c r="L225" s="9"/>
      <c r="M225" s="10"/>
      <c r="N225" s="255"/>
      <c r="O225" s="242"/>
      <c r="P225" s="243"/>
      <c r="Q225" s="243"/>
      <c r="R225" s="14"/>
      <c r="S225" s="242"/>
      <c r="T225" s="15"/>
      <c r="U225" s="15"/>
      <c r="V225" s="15"/>
      <c r="W225" s="8"/>
      <c r="X225" s="8"/>
      <c r="Y225" s="56"/>
      <c r="Z225" s="56"/>
      <c r="AA225" s="15"/>
      <c r="AB225" s="15"/>
      <c r="AC225" s="15"/>
      <c r="AD225" s="15"/>
      <c r="AE225" s="57"/>
      <c r="AF225" s="57"/>
      <c r="AG225" s="15"/>
      <c r="AH225" s="25"/>
      <c r="AI225" s="26"/>
      <c r="AJ225" s="26"/>
      <c r="AK225" s="27"/>
      <c r="AL225" s="28"/>
      <c r="AM225" s="29"/>
    </row>
    <row r="226" ht="12.75" customHeight="1">
      <c r="A226" s="26"/>
      <c r="B226" s="12"/>
      <c r="C226" s="240"/>
      <c r="D226" s="241"/>
      <c r="E226" s="5"/>
      <c r="F226" s="5"/>
      <c r="G226" s="5"/>
      <c r="H226" s="5"/>
      <c r="I226" s="5"/>
      <c r="J226" s="5"/>
      <c r="K226" s="8"/>
      <c r="L226" s="9"/>
      <c r="M226" s="10"/>
      <c r="N226" s="255"/>
      <c r="O226" s="242"/>
      <c r="P226" s="243"/>
      <c r="Q226" s="243"/>
      <c r="R226" s="14"/>
      <c r="S226" s="242"/>
      <c r="T226" s="15"/>
      <c r="U226" s="15"/>
      <c r="V226" s="15"/>
      <c r="W226" s="8"/>
      <c r="X226" s="8"/>
      <c r="Y226" s="56"/>
      <c r="Z226" s="56"/>
      <c r="AA226" s="15"/>
      <c r="AB226" s="15"/>
      <c r="AC226" s="15"/>
      <c r="AD226" s="15"/>
      <c r="AE226" s="57"/>
      <c r="AF226" s="57"/>
      <c r="AG226" s="15"/>
      <c r="AH226" s="25"/>
      <c r="AI226" s="26"/>
      <c r="AJ226" s="26"/>
      <c r="AK226" s="27"/>
      <c r="AL226" s="28"/>
      <c r="AM226" s="29"/>
    </row>
  </sheetData>
  <mergeCells count="8">
    <mergeCell ref="H1:I1"/>
    <mergeCell ref="J4:J5"/>
    <mergeCell ref="AJ7:AM8"/>
    <mergeCell ref="F8:K8"/>
    <mergeCell ref="O8:S8"/>
    <mergeCell ref="T8:V8"/>
    <mergeCell ref="X8:AD8"/>
    <mergeCell ref="AG8:AH8"/>
  </mergeCells>
  <conditionalFormatting sqref="AH1:AH7 AH9:AH226">
    <cfRule type="cellIs" dxfId="0" priority="1" operator="lessThan">
      <formula>0</formula>
    </cfRule>
  </conditionalFormatting>
  <conditionalFormatting sqref="AH1:AH7 AH9:AH226">
    <cfRule type="cellIs" dxfId="1" priority="2" operator="greaterThan">
      <formula>0.300001</formula>
    </cfRule>
  </conditionalFormatting>
  <conditionalFormatting sqref="AH1:AH7 AH9:AH226">
    <cfRule type="cellIs" dxfId="2" priority="3" operator="between">
      <formula>0.250001</formula>
      <formula>0.3</formula>
    </cfRule>
  </conditionalFormatting>
  <conditionalFormatting sqref="AH1:AH7 AH9:AH226">
    <cfRule type="cellIs" dxfId="3" priority="4" operator="between">
      <formula>0.200001</formula>
      <formula>0.25</formula>
    </cfRule>
  </conditionalFormatting>
  <conditionalFormatting sqref="AH1:AH7 AH9:AH226">
    <cfRule type="cellIs" dxfId="4" priority="5" operator="between">
      <formula>0.1500001</formula>
      <formula>0.2</formula>
    </cfRule>
  </conditionalFormatting>
  <conditionalFormatting sqref="AH1:AH7 AH9:AH226">
    <cfRule type="cellIs" dxfId="5" priority="6" operator="between">
      <formula>0.0000001</formula>
      <formula>0.15</formula>
    </cfRule>
  </conditionalFormatting>
  <hyperlinks>
    <hyperlink r:id="rId1" ref="D11"/>
    <hyperlink r:id="rId2" ref="D12"/>
    <hyperlink r:id="rId3" ref="D13"/>
    <hyperlink r:id="rId4" ref="D14"/>
    <hyperlink r:id="rId5" ref="D15"/>
    <hyperlink r:id="rId6" ref="D17"/>
    <hyperlink r:id="rId7" ref="D18"/>
    <hyperlink r:id="rId8" ref="D19"/>
    <hyperlink r:id="rId9" ref="D20"/>
    <hyperlink r:id="rId10" ref="D22"/>
    <hyperlink r:id="rId11" ref="D23"/>
    <hyperlink r:id="rId12" ref="D25"/>
    <hyperlink r:id="rId13" ref="D26"/>
  </hyperlinks>
  <printOptions/>
  <pageMargins bottom="0.7875" footer="0.0" header="0.0" left="0.7875" right="0.7875" top="0.7875"/>
  <pageSetup paperSize="9" orientation="landscape"/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4.43" defaultRowHeight="15.0"/>
  <cols>
    <col customWidth="1" min="1" max="1" width="1.43"/>
    <col customWidth="1" hidden="1" min="2" max="2" width="8.71"/>
    <col customWidth="1" min="3" max="3" width="10.71"/>
    <col customWidth="1" min="4" max="4" width="52.71"/>
    <col customWidth="1" min="5" max="5" width="5.71"/>
    <col customWidth="1" min="6" max="6" width="7.71"/>
    <col customWidth="1" min="7" max="7" width="8.29"/>
    <col customWidth="1" min="8" max="9" width="8.0"/>
    <col customWidth="1" min="10" max="10" width="8.14"/>
    <col customWidth="1" min="11" max="11" width="9.86"/>
    <col customWidth="1" min="12" max="13" width="8.14"/>
    <col customWidth="1" min="14" max="15" width="9.0"/>
    <col customWidth="1" min="16" max="17" width="10.14"/>
    <col customWidth="1" min="18" max="22" width="9.0"/>
    <col customWidth="1" min="23" max="23" width="7.14"/>
    <col customWidth="1" min="24" max="30" width="9.0"/>
    <col customWidth="1" min="31" max="31" width="7.43"/>
    <col customWidth="1" min="32" max="34" width="9.0"/>
    <col customWidth="1" min="35" max="35" width="2.0"/>
    <col customWidth="1" min="36" max="37" width="9.0"/>
    <col customWidth="1" min="38" max="38" width="10.14"/>
    <col customWidth="1" min="39" max="39" width="9.0"/>
  </cols>
  <sheetData>
    <row r="1" ht="12.75" customHeight="1">
      <c r="A1" s="1"/>
      <c r="B1" s="2"/>
      <c r="C1" s="3">
        <v>20.0</v>
      </c>
      <c r="D1" s="4" t="s">
        <v>0</v>
      </c>
      <c r="E1" s="5"/>
      <c r="F1" s="5"/>
      <c r="G1" s="5"/>
      <c r="H1" s="6">
        <v>45712.0</v>
      </c>
      <c r="I1" s="7"/>
      <c r="J1" s="5"/>
      <c r="K1" s="8"/>
      <c r="L1" s="9"/>
      <c r="M1" s="10"/>
      <c r="N1" s="10"/>
      <c r="O1" s="12" t="s">
        <v>1</v>
      </c>
      <c r="P1" s="13"/>
      <c r="Q1" s="13"/>
      <c r="R1" s="14"/>
      <c r="S1" s="15" t="s">
        <v>2</v>
      </c>
      <c r="T1" s="15"/>
      <c r="U1" s="15"/>
      <c r="V1" s="15"/>
      <c r="W1" s="8"/>
      <c r="X1" s="16" t="s">
        <v>3</v>
      </c>
      <c r="Y1" s="17">
        <v>1.7</v>
      </c>
      <c r="Z1" s="18" t="s">
        <v>4</v>
      </c>
      <c r="AA1" s="19"/>
      <c r="AB1" s="20"/>
      <c r="AC1" s="15"/>
      <c r="AD1" s="21">
        <v>0.29</v>
      </c>
      <c r="AE1" s="22" t="s">
        <v>5</v>
      </c>
      <c r="AF1" s="23"/>
      <c r="AG1" s="24"/>
      <c r="AH1" s="25"/>
      <c r="AI1" s="26"/>
      <c r="AJ1" s="26"/>
      <c r="AK1" s="27"/>
      <c r="AL1" s="28"/>
      <c r="AM1" s="29"/>
    </row>
    <row r="2" ht="12.75" customHeight="1">
      <c r="A2" s="26"/>
      <c r="B2" s="12"/>
      <c r="C2" s="30">
        <v>0.05</v>
      </c>
      <c r="D2" s="31" t="s">
        <v>6</v>
      </c>
      <c r="E2" s="5"/>
      <c r="F2" s="5"/>
      <c r="G2" s="5"/>
      <c r="H2" s="32" t="s">
        <v>7</v>
      </c>
      <c r="I2" s="32">
        <v>6.9E-4</v>
      </c>
      <c r="J2" s="5"/>
      <c r="K2" s="8"/>
      <c r="L2" s="9"/>
      <c r="M2" s="10"/>
      <c r="N2" s="10" t="s">
        <v>8</v>
      </c>
      <c r="O2" s="33">
        <v>170.0</v>
      </c>
      <c r="P2" s="34">
        <v>64.6</v>
      </c>
      <c r="Q2" s="34"/>
      <c r="R2" s="35">
        <v>16.15</v>
      </c>
      <c r="S2" s="36">
        <v>170.0</v>
      </c>
      <c r="T2" s="36">
        <v>0.14</v>
      </c>
      <c r="U2" s="36">
        <v>0.14</v>
      </c>
      <c r="V2" s="15"/>
      <c r="W2" s="8"/>
      <c r="X2" s="37" t="s">
        <v>9</v>
      </c>
      <c r="Y2" s="38">
        <v>1.7</v>
      </c>
      <c r="Z2" s="39" t="s">
        <v>10</v>
      </c>
      <c r="AA2" s="38"/>
      <c r="AB2" s="40"/>
      <c r="AC2" s="15"/>
      <c r="AD2" s="41">
        <v>6.0</v>
      </c>
      <c r="AE2" s="22" t="s">
        <v>11</v>
      </c>
      <c r="AF2" s="23"/>
      <c r="AG2" s="24"/>
      <c r="AH2" s="25"/>
      <c r="AI2" s="26"/>
      <c r="AJ2" s="26"/>
      <c r="AK2" s="27"/>
      <c r="AL2" s="28"/>
      <c r="AM2" s="29"/>
    </row>
    <row r="3" ht="12.75" customHeight="1">
      <c r="A3" s="26"/>
      <c r="B3" s="12"/>
      <c r="C3" s="42">
        <v>0.0</v>
      </c>
      <c r="D3" s="43" t="s">
        <v>12</v>
      </c>
      <c r="E3" s="5"/>
      <c r="F3" s="5"/>
      <c r="G3" s="5"/>
      <c r="H3" s="44" t="s">
        <v>13</v>
      </c>
      <c r="I3" s="44">
        <v>89.0</v>
      </c>
      <c r="J3" s="5"/>
      <c r="K3" s="8"/>
      <c r="L3" s="9"/>
      <c r="M3" s="10"/>
      <c r="N3" s="10" t="s">
        <v>14</v>
      </c>
      <c r="O3" s="33">
        <v>160.0</v>
      </c>
      <c r="P3" s="34">
        <v>60.8</v>
      </c>
      <c r="Q3" s="34"/>
      <c r="R3" s="35">
        <v>15.2</v>
      </c>
      <c r="S3" s="36">
        <v>160.0</v>
      </c>
      <c r="T3" s="36">
        <v>0.13</v>
      </c>
      <c r="U3" s="36">
        <v>0.13</v>
      </c>
      <c r="V3" s="15"/>
      <c r="W3" s="8"/>
      <c r="X3" s="8"/>
      <c r="Y3" s="45">
        <v>50.0</v>
      </c>
      <c r="Z3" s="46" t="s">
        <v>15</v>
      </c>
      <c r="AA3" s="38"/>
      <c r="AB3" s="40"/>
      <c r="AC3" s="15"/>
      <c r="AD3" s="47">
        <v>0.0</v>
      </c>
      <c r="AE3" s="48" t="s">
        <v>16</v>
      </c>
      <c r="AF3" s="49"/>
      <c r="AG3" s="50"/>
      <c r="AH3" s="25"/>
      <c r="AI3" s="26"/>
      <c r="AJ3" s="26"/>
      <c r="AK3" s="27"/>
      <c r="AL3" s="28"/>
      <c r="AM3" s="29"/>
    </row>
    <row r="4" ht="12.75" customHeight="1">
      <c r="A4" s="26"/>
      <c r="B4" s="12"/>
      <c r="C4" s="51">
        <v>76.0</v>
      </c>
      <c r="D4" s="52" t="s">
        <v>17</v>
      </c>
      <c r="E4" s="5"/>
      <c r="F4" s="5"/>
      <c r="G4" s="53"/>
      <c r="H4" s="54" t="s">
        <v>18</v>
      </c>
      <c r="I4" s="32"/>
      <c r="J4" s="55">
        <v>0.3</v>
      </c>
      <c r="K4" s="8"/>
      <c r="L4" s="9"/>
      <c r="M4" s="10"/>
      <c r="N4" s="10" t="s">
        <v>19</v>
      </c>
      <c r="O4" s="33">
        <v>115.0</v>
      </c>
      <c r="P4" s="34">
        <v>43.7</v>
      </c>
      <c r="Q4" s="34"/>
      <c r="R4" s="35">
        <v>10.93</v>
      </c>
      <c r="S4" s="36">
        <v>115.0</v>
      </c>
      <c r="T4" s="36">
        <v>0.09</v>
      </c>
      <c r="U4" s="36">
        <v>0.09</v>
      </c>
      <c r="V4" s="15"/>
      <c r="W4" s="8"/>
      <c r="X4" s="8"/>
      <c r="Y4" s="15">
        <v>38.0</v>
      </c>
      <c r="Z4" s="56" t="s">
        <v>20</v>
      </c>
      <c r="AA4" s="15"/>
      <c r="AB4" s="15"/>
      <c r="AC4" s="15"/>
      <c r="AD4" s="15"/>
      <c r="AE4" s="57"/>
      <c r="AF4" s="57"/>
      <c r="AG4" s="15"/>
      <c r="AH4" s="25"/>
      <c r="AI4" s="26"/>
      <c r="AJ4" s="26"/>
      <c r="AK4" s="27"/>
      <c r="AL4" s="28"/>
      <c r="AM4" s="29"/>
    </row>
    <row r="5" ht="12.75" customHeight="1">
      <c r="A5" s="26"/>
      <c r="B5" s="12"/>
      <c r="C5" s="58">
        <v>19.0</v>
      </c>
      <c r="D5" s="59" t="s">
        <v>21</v>
      </c>
      <c r="E5" s="5"/>
      <c r="F5" s="5"/>
      <c r="G5" s="53"/>
      <c r="H5" s="54" t="s">
        <v>22</v>
      </c>
      <c r="I5" s="32"/>
      <c r="J5" s="60"/>
      <c r="K5" s="8"/>
      <c r="L5" s="9"/>
      <c r="M5" s="10"/>
      <c r="N5" s="10" t="s">
        <v>23</v>
      </c>
      <c r="O5" s="61">
        <v>200.0</v>
      </c>
      <c r="P5" s="62">
        <v>76.0</v>
      </c>
      <c r="Q5" s="62"/>
      <c r="R5" s="63">
        <v>19.0</v>
      </c>
      <c r="S5" s="36">
        <v>200.0</v>
      </c>
      <c r="T5" s="64">
        <v>0.16</v>
      </c>
      <c r="U5" s="64">
        <v>0.16</v>
      </c>
      <c r="V5" s="15"/>
      <c r="W5" s="8"/>
      <c r="X5" s="8"/>
      <c r="Y5" s="15">
        <v>9.5</v>
      </c>
      <c r="Z5" s="56" t="s">
        <v>24</v>
      </c>
      <c r="AA5" s="15"/>
      <c r="AB5" s="15"/>
      <c r="AC5" s="15"/>
      <c r="AD5" s="15"/>
      <c r="AE5" s="57"/>
      <c r="AF5" s="57"/>
      <c r="AG5" s="15"/>
      <c r="AH5" s="25"/>
      <c r="AI5" s="26"/>
      <c r="AJ5" s="26"/>
      <c r="AK5" s="27"/>
      <c r="AL5" s="28"/>
      <c r="AM5" s="29"/>
    </row>
    <row r="6" ht="12.75" customHeight="1">
      <c r="A6" s="26"/>
      <c r="B6" s="12"/>
      <c r="C6" s="51">
        <v>0.16</v>
      </c>
      <c r="D6" s="52" t="s">
        <v>25</v>
      </c>
      <c r="E6" s="5"/>
      <c r="F6" s="5"/>
      <c r="G6" s="5"/>
      <c r="H6" s="5"/>
      <c r="I6" s="5"/>
      <c r="J6" s="5"/>
      <c r="K6" s="8"/>
      <c r="L6" s="9"/>
      <c r="M6" s="10"/>
      <c r="N6" s="10" t="s">
        <v>26</v>
      </c>
      <c r="O6" s="33">
        <v>165.0</v>
      </c>
      <c r="P6" s="34">
        <v>62.7</v>
      </c>
      <c r="Q6" s="34"/>
      <c r="R6" s="35">
        <v>15.68</v>
      </c>
      <c r="S6" s="36">
        <v>165.0</v>
      </c>
      <c r="T6" s="36">
        <v>0.13</v>
      </c>
      <c r="U6" s="36">
        <v>0.13</v>
      </c>
      <c r="V6" s="15"/>
      <c r="W6" s="8"/>
      <c r="X6" s="8"/>
      <c r="Y6" s="65">
        <v>0.275</v>
      </c>
      <c r="Z6" s="66" t="s">
        <v>27</v>
      </c>
      <c r="AA6" s="19"/>
      <c r="AB6" s="20"/>
      <c r="AC6" s="15"/>
      <c r="AD6" s="15"/>
      <c r="AE6" s="57"/>
      <c r="AF6" s="57"/>
      <c r="AG6" s="15"/>
      <c r="AH6" s="25"/>
      <c r="AI6" s="26"/>
      <c r="AJ6" s="26"/>
      <c r="AK6" s="27"/>
      <c r="AL6" s="28"/>
      <c r="AM6" s="29"/>
    </row>
    <row r="7" ht="12.75" customHeight="1">
      <c r="A7" s="26"/>
      <c r="B7" s="12"/>
      <c r="C7" s="67">
        <v>30.0</v>
      </c>
      <c r="D7" s="59" t="s">
        <v>28</v>
      </c>
      <c r="E7" s="5"/>
      <c r="F7" s="5"/>
      <c r="G7" s="5"/>
      <c r="H7" s="5"/>
      <c r="I7" s="5"/>
      <c r="J7" s="5"/>
      <c r="K7" s="8"/>
      <c r="L7" s="9"/>
      <c r="M7" s="10"/>
      <c r="N7" s="10" t="s">
        <v>29</v>
      </c>
      <c r="O7" s="33">
        <v>220.0</v>
      </c>
      <c r="P7" s="34">
        <v>83.6</v>
      </c>
      <c r="Q7" s="34"/>
      <c r="R7" s="68">
        <v>20.9</v>
      </c>
      <c r="S7" s="35">
        <v>220.0</v>
      </c>
      <c r="T7" s="36">
        <v>0.18</v>
      </c>
      <c r="U7" s="36">
        <v>0.18</v>
      </c>
      <c r="V7" s="15"/>
      <c r="W7" s="69"/>
      <c r="X7" s="8"/>
      <c r="Y7" s="70">
        <v>0.0217</v>
      </c>
      <c r="Z7" s="71" t="s">
        <v>30</v>
      </c>
      <c r="AA7" s="72"/>
      <c r="AB7" s="73"/>
      <c r="AC7" s="15"/>
      <c r="AD7" s="15"/>
      <c r="AE7" s="57"/>
      <c r="AF7" s="57"/>
      <c r="AG7" s="15"/>
      <c r="AH7" s="25"/>
      <c r="AI7" s="26"/>
      <c r="AJ7" s="74" t="s">
        <v>31</v>
      </c>
      <c r="AK7" s="75"/>
      <c r="AL7" s="75"/>
      <c r="AM7" s="76"/>
    </row>
    <row r="8" ht="12.75" customHeight="1">
      <c r="A8" s="26"/>
      <c r="B8" s="77"/>
      <c r="C8" s="78">
        <v>0.08</v>
      </c>
      <c r="D8" s="79" t="s">
        <v>32</v>
      </c>
      <c r="E8" s="80"/>
      <c r="F8" s="81" t="s">
        <v>33</v>
      </c>
      <c r="G8" s="82"/>
      <c r="H8" s="82"/>
      <c r="I8" s="82"/>
      <c r="J8" s="82"/>
      <c r="K8" s="83"/>
      <c r="L8" s="84"/>
      <c r="M8" s="85"/>
      <c r="N8" s="12"/>
      <c r="O8" s="87" t="s">
        <v>34</v>
      </c>
      <c r="P8" s="88"/>
      <c r="Q8" s="88"/>
      <c r="R8" s="88"/>
      <c r="S8" s="89"/>
      <c r="T8" s="90" t="s">
        <v>35</v>
      </c>
      <c r="U8" s="88"/>
      <c r="V8" s="89"/>
      <c r="W8" s="8"/>
      <c r="X8" s="91" t="s">
        <v>36</v>
      </c>
      <c r="Y8" s="75"/>
      <c r="Z8" s="75"/>
      <c r="AA8" s="75"/>
      <c r="AB8" s="75"/>
      <c r="AC8" s="75"/>
      <c r="AD8" s="76"/>
      <c r="AE8" s="57"/>
      <c r="AF8" s="57"/>
      <c r="AG8" s="92" t="s">
        <v>37</v>
      </c>
      <c r="AH8" s="83"/>
      <c r="AI8" s="26"/>
      <c r="AJ8" s="93"/>
      <c r="AK8" s="94"/>
      <c r="AL8" s="94"/>
      <c r="AM8" s="95"/>
    </row>
    <row r="9" ht="52.5" customHeight="1">
      <c r="A9" s="26"/>
      <c r="B9" s="96" t="s">
        <v>38</v>
      </c>
      <c r="C9" s="96" t="s">
        <v>39</v>
      </c>
      <c r="D9" s="97" t="s">
        <v>40</v>
      </c>
      <c r="E9" s="98" t="s">
        <v>41</v>
      </c>
      <c r="F9" s="99" t="s">
        <v>42</v>
      </c>
      <c r="G9" s="100" t="s">
        <v>43</v>
      </c>
      <c r="H9" s="101" t="s">
        <v>44</v>
      </c>
      <c r="I9" s="101" t="s">
        <v>45</v>
      </c>
      <c r="J9" s="101" t="s">
        <v>46</v>
      </c>
      <c r="K9" s="102" t="s">
        <v>47</v>
      </c>
      <c r="L9" s="103" t="s">
        <v>48</v>
      </c>
      <c r="M9" s="104" t="s">
        <v>49</v>
      </c>
      <c r="N9" s="259" t="s">
        <v>656</v>
      </c>
      <c r="O9" s="106" t="s">
        <v>51</v>
      </c>
      <c r="P9" s="107" t="s">
        <v>788</v>
      </c>
      <c r="Q9" s="108" t="s">
        <v>53</v>
      </c>
      <c r="R9" s="109" t="s">
        <v>54</v>
      </c>
      <c r="S9" s="110" t="s">
        <v>55</v>
      </c>
      <c r="T9" s="111" t="s">
        <v>56</v>
      </c>
      <c r="U9" s="379" t="s">
        <v>766</v>
      </c>
      <c r="V9" s="112" t="s">
        <v>58</v>
      </c>
      <c r="W9" s="113" t="s">
        <v>59</v>
      </c>
      <c r="X9" s="114" t="s">
        <v>60</v>
      </c>
      <c r="Y9" s="115" t="s">
        <v>789</v>
      </c>
      <c r="Z9" s="115" t="s">
        <v>790</v>
      </c>
      <c r="AA9" s="116" t="s">
        <v>63</v>
      </c>
      <c r="AB9" s="116" t="s">
        <v>64</v>
      </c>
      <c r="AC9" s="116" t="s">
        <v>65</v>
      </c>
      <c r="AD9" s="117" t="s">
        <v>791</v>
      </c>
      <c r="AE9" s="118" t="s">
        <v>67</v>
      </c>
      <c r="AF9" s="119" t="s">
        <v>68</v>
      </c>
      <c r="AG9" s="120" t="s">
        <v>69</v>
      </c>
      <c r="AH9" s="121" t="s">
        <v>70</v>
      </c>
      <c r="AI9" s="26"/>
      <c r="AJ9" s="122" t="s">
        <v>71</v>
      </c>
      <c r="AK9" s="123" t="s">
        <v>72</v>
      </c>
      <c r="AL9" s="107" t="s">
        <v>792</v>
      </c>
      <c r="AM9" s="124" t="s">
        <v>74</v>
      </c>
    </row>
    <row r="10" ht="12.75" customHeight="1">
      <c r="A10" s="26"/>
      <c r="B10" s="125" t="s">
        <v>75</v>
      </c>
      <c r="C10" s="126"/>
      <c r="D10" s="127"/>
      <c r="E10" s="128"/>
      <c r="F10" s="129"/>
      <c r="G10" s="128"/>
      <c r="H10" s="128"/>
      <c r="I10" s="128"/>
      <c r="J10" s="128"/>
      <c r="K10" s="130"/>
      <c r="L10" s="131"/>
      <c r="M10" s="132"/>
      <c r="N10" s="320"/>
      <c r="O10" s="134"/>
      <c r="P10" s="135"/>
      <c r="Q10" s="135"/>
      <c r="R10" s="136"/>
      <c r="S10" s="137"/>
      <c r="T10" s="138"/>
      <c r="U10" s="139"/>
      <c r="V10" s="140"/>
      <c r="W10" s="141"/>
      <c r="X10" s="142"/>
      <c r="Y10" s="143"/>
      <c r="Z10" s="143"/>
      <c r="AA10" s="139"/>
      <c r="AB10" s="139"/>
      <c r="AC10" s="139"/>
      <c r="AD10" s="140"/>
      <c r="AE10" s="144"/>
      <c r="AF10" s="145"/>
      <c r="AG10" s="138"/>
      <c r="AH10" s="146"/>
      <c r="AI10" s="26"/>
      <c r="AJ10" s="147"/>
      <c r="AK10" s="148"/>
      <c r="AL10" s="149"/>
      <c r="AM10" s="150"/>
    </row>
    <row r="11" ht="12.75" customHeight="1">
      <c r="A11" s="26"/>
      <c r="C11" s="151">
        <v>2.07481251E8</v>
      </c>
      <c r="D11" s="152" t="s">
        <v>76</v>
      </c>
      <c r="E11" s="53" t="s">
        <v>77</v>
      </c>
      <c r="F11" s="154">
        <v>1.0</v>
      </c>
      <c r="G11" s="53">
        <v>0.0</v>
      </c>
      <c r="H11" s="53" t="str">
        <f t="shared" ref="H11:H14" si="1">$I$2</f>
        <v>0.00069</v>
      </c>
      <c r="I11" s="53" t="str">
        <f t="shared" ref="I11:I14" si="2">$I$3</f>
        <v>89</v>
      </c>
      <c r="J11" s="53" t="str">
        <f t="shared" ref="J11:J14" si="3">G11*H11*I11*F11</f>
        <v>0</v>
      </c>
      <c r="K11" s="155" t="str">
        <f t="shared" ref="K11:K14" si="4">J11*$J$4</f>
        <v>0.00</v>
      </c>
      <c r="L11" s="156" t="str">
        <f t="shared" ref="L11:L14" si="5">K11+J11</f>
        <v>0.00 </v>
      </c>
      <c r="M11" s="132">
        <v>90.0</v>
      </c>
      <c r="N11" s="325">
        <v>583.45</v>
      </c>
      <c r="O11" s="158">
        <v>1630.8</v>
      </c>
      <c r="P11" s="159" t="str">
        <f t="shared" ref="P11:P14" si="6">O11</f>
        <v>1,630.80</v>
      </c>
      <c r="Q11" s="160" t="s">
        <v>78</v>
      </c>
      <c r="R11" s="161">
        <v>0.0</v>
      </c>
      <c r="S11" s="162" t="str">
        <f t="shared" ref="S11:S14" si="7">O11-(O11*R11)</f>
        <v>1,630.80</v>
      </c>
      <c r="T11" s="163" t="str">
        <f t="shared" ref="T11:T14" si="8">$C$1</f>
        <v>20.00</v>
      </c>
      <c r="U11" s="164" t="str">
        <f t="shared" ref="U11:U14" si="9">S11*$C$8</f>
        <v>130.46</v>
      </c>
      <c r="V11" s="165" t="str">
        <f t="shared" ref="V11:V14" si="10">N11*$C$3*(M11/30)</f>
        <v>0.00</v>
      </c>
      <c r="W11" s="166">
        <v>0.4</v>
      </c>
      <c r="X11" s="167" t="str">
        <f t="shared" ref="X11:X14" si="11">((_xlfn.CEILING.MATH(W11)-1)*$C$5+$C$4)</f>
        <v>76</v>
      </c>
      <c r="Y11" s="168" t="str">
        <f t="shared" ref="Y11:Y14" si="12">O11*$Y$6</f>
        <v>448.470</v>
      </c>
      <c r="Z11" s="168" t="str">
        <f t="shared" ref="Z11:Z14" si="13">S11*$Y$7</f>
        <v>35.388</v>
      </c>
      <c r="AA11" s="164" t="str">
        <f t="shared" ref="AA11:AA14" si="14">$Y$3*((100-AB11)/100)</f>
        <v>3.91</v>
      </c>
      <c r="AB11" s="164">
        <v>92.19</v>
      </c>
      <c r="AC11" s="164" t="str">
        <f t="shared" ref="AC11:AC14" si="15">$C$6*$C$7</f>
        <v>4.80</v>
      </c>
      <c r="AD11" s="165" t="str">
        <f t="shared" ref="AD11:AD14" si="16">O11*$C$2</f>
        <v>81.54</v>
      </c>
      <c r="AE11" s="23"/>
      <c r="AF11" s="169" t="str">
        <f t="shared" ref="AF11:AF14" si="17">(_xlfn.CEILING.MATH(W11))*$Y$1*$AD$2</f>
        <v>10.2</v>
      </c>
      <c r="AG11" s="163" t="str">
        <f t="shared" ref="AG11:AG14" si="18">O11-T11-U11-V11-X11-Y11-Z11-AA11-AC11-AD11-N11</f>
        <v>246.78</v>
      </c>
      <c r="AH11" s="170" t="str">
        <f t="shared" ref="AH11:AH14" si="19">AG11/N11</f>
        <v>42.30%</v>
      </c>
      <c r="AI11" s="26"/>
      <c r="AJ11" s="171" t="str">
        <f t="shared" ref="AJ11:AJ14" si="20">$AD$3</f>
        <v>0.00%</v>
      </c>
      <c r="AK11" s="172" t="str">
        <f t="shared" ref="AK11:AK14" si="21">N11*AJ11</f>
        <v>0.00</v>
      </c>
      <c r="AL11" s="173" t="str">
        <f t="shared" ref="AL11:AL14" si="22">(N11+T11+V11+X11+AA11+AC11+AF11+AK11)/(100%-($C$2+$C$8+$Y$6+$Y$7))</f>
        <v>1,218.13</v>
      </c>
      <c r="AM11" s="174" t="str">
        <f t="shared" ref="AM11:AM14" si="23">AL11-(AL11*$AD$1)</f>
        <v>864.87</v>
      </c>
    </row>
    <row r="12" ht="12.75" customHeight="1">
      <c r="A12" s="26"/>
      <c r="C12" s="151">
        <v>2.07481714E8</v>
      </c>
      <c r="D12" s="152" t="s">
        <v>79</v>
      </c>
      <c r="E12" s="53" t="s">
        <v>77</v>
      </c>
      <c r="F12" s="154">
        <v>1.0</v>
      </c>
      <c r="G12" s="53"/>
      <c r="H12" s="53" t="str">
        <f t="shared" si="1"/>
        <v>0.00069</v>
      </c>
      <c r="I12" s="53" t="str">
        <f t="shared" si="2"/>
        <v>89</v>
      </c>
      <c r="J12" s="53" t="str">
        <f t="shared" si="3"/>
        <v>0</v>
      </c>
      <c r="K12" s="155" t="str">
        <f t="shared" si="4"/>
        <v>0.00</v>
      </c>
      <c r="L12" s="156" t="str">
        <f t="shared" si="5"/>
        <v>0.00 </v>
      </c>
      <c r="M12" s="132">
        <v>90.0</v>
      </c>
      <c r="N12" s="325">
        <v>437.59</v>
      </c>
      <c r="O12" s="158">
        <v>1799.0</v>
      </c>
      <c r="P12" s="159" t="str">
        <f t="shared" si="6"/>
        <v>1,799.00</v>
      </c>
      <c r="Q12" s="160">
        <v>1847.0</v>
      </c>
      <c r="R12" s="161">
        <v>0.0</v>
      </c>
      <c r="S12" s="162" t="str">
        <f t="shared" si="7"/>
        <v>1,799.00</v>
      </c>
      <c r="T12" s="163" t="str">
        <f t="shared" si="8"/>
        <v>20.00</v>
      </c>
      <c r="U12" s="164" t="str">
        <f t="shared" si="9"/>
        <v>143.92</v>
      </c>
      <c r="V12" s="165" t="str">
        <f t="shared" si="10"/>
        <v>0.00</v>
      </c>
      <c r="W12" s="166">
        <v>0.45</v>
      </c>
      <c r="X12" s="167" t="str">
        <f t="shared" si="11"/>
        <v>76</v>
      </c>
      <c r="Y12" s="168" t="str">
        <f t="shared" si="12"/>
        <v>494.725</v>
      </c>
      <c r="Z12" s="168" t="str">
        <f t="shared" si="13"/>
        <v>39.038</v>
      </c>
      <c r="AA12" s="164" t="str">
        <f t="shared" si="14"/>
        <v>5.23</v>
      </c>
      <c r="AB12" s="164">
        <v>89.55</v>
      </c>
      <c r="AC12" s="164" t="str">
        <f t="shared" si="15"/>
        <v>4.80</v>
      </c>
      <c r="AD12" s="165" t="str">
        <f t="shared" si="16"/>
        <v>89.95</v>
      </c>
      <c r="AE12" s="23"/>
      <c r="AF12" s="169" t="str">
        <f t="shared" si="17"/>
        <v>10.2</v>
      </c>
      <c r="AG12" s="163" t="str">
        <f t="shared" si="18"/>
        <v>487.75</v>
      </c>
      <c r="AH12" s="170" t="str">
        <f t="shared" si="19"/>
        <v>111.46%</v>
      </c>
      <c r="AI12" s="26"/>
      <c r="AJ12" s="171" t="str">
        <f t="shared" si="20"/>
        <v>0.00%</v>
      </c>
      <c r="AK12" s="172" t="str">
        <f t="shared" si="21"/>
        <v>0.00</v>
      </c>
      <c r="AL12" s="173" t="str">
        <f t="shared" si="22"/>
        <v>966.01</v>
      </c>
      <c r="AM12" s="174" t="str">
        <f t="shared" si="23"/>
        <v>685.87</v>
      </c>
    </row>
    <row r="13" ht="12.75" customHeight="1">
      <c r="A13" s="26"/>
      <c r="C13" s="151">
        <v>2.0425006E8</v>
      </c>
      <c r="D13" s="152" t="s">
        <v>80</v>
      </c>
      <c r="E13" s="53" t="s">
        <v>77</v>
      </c>
      <c r="F13" s="154">
        <v>1.0</v>
      </c>
      <c r="G13" s="53"/>
      <c r="H13" s="53" t="str">
        <f t="shared" si="1"/>
        <v>0.00069</v>
      </c>
      <c r="I13" s="53" t="str">
        <f t="shared" si="2"/>
        <v>89</v>
      </c>
      <c r="J13" s="53" t="str">
        <f t="shared" si="3"/>
        <v>0</v>
      </c>
      <c r="K13" s="155" t="str">
        <f t="shared" si="4"/>
        <v>0.00</v>
      </c>
      <c r="L13" s="156" t="str">
        <f t="shared" si="5"/>
        <v>0.00 </v>
      </c>
      <c r="M13" s="132">
        <v>90.0</v>
      </c>
      <c r="N13" s="325">
        <v>343.82</v>
      </c>
      <c r="O13" s="158">
        <v>1450.0</v>
      </c>
      <c r="P13" s="159" t="str">
        <f t="shared" si="6"/>
        <v>1,450.00</v>
      </c>
      <c r="Q13" s="160">
        <v>1478.0</v>
      </c>
      <c r="R13" s="161">
        <v>0.0</v>
      </c>
      <c r="S13" s="162" t="str">
        <f t="shared" si="7"/>
        <v>1,450.00</v>
      </c>
      <c r="T13" s="163" t="str">
        <f t="shared" si="8"/>
        <v>20.00</v>
      </c>
      <c r="U13" s="164" t="str">
        <f t="shared" si="9"/>
        <v>116.00</v>
      </c>
      <c r="V13" s="165" t="str">
        <f t="shared" si="10"/>
        <v>0.00</v>
      </c>
      <c r="W13" s="166">
        <v>0.68</v>
      </c>
      <c r="X13" s="167" t="str">
        <f t="shared" si="11"/>
        <v>76</v>
      </c>
      <c r="Y13" s="168" t="str">
        <f t="shared" si="12"/>
        <v>398.750</v>
      </c>
      <c r="Z13" s="168" t="str">
        <f t="shared" si="13"/>
        <v>31.465</v>
      </c>
      <c r="AA13" s="164" t="str">
        <f t="shared" si="14"/>
        <v>1.47</v>
      </c>
      <c r="AB13" s="164">
        <v>97.07</v>
      </c>
      <c r="AC13" s="164" t="str">
        <f t="shared" si="15"/>
        <v>4.80</v>
      </c>
      <c r="AD13" s="165" t="str">
        <f t="shared" si="16"/>
        <v>72.50</v>
      </c>
      <c r="AE13" s="23"/>
      <c r="AF13" s="169" t="str">
        <f t="shared" si="17"/>
        <v>10.2</v>
      </c>
      <c r="AG13" s="163" t="str">
        <f t="shared" si="18"/>
        <v>385.20</v>
      </c>
      <c r="AH13" s="170" t="str">
        <f t="shared" si="19"/>
        <v>112.04%</v>
      </c>
      <c r="AI13" s="26"/>
      <c r="AJ13" s="171" t="str">
        <f t="shared" si="20"/>
        <v>0.00%</v>
      </c>
      <c r="AK13" s="172" t="str">
        <f t="shared" si="21"/>
        <v>0.00</v>
      </c>
      <c r="AL13" s="173" t="str">
        <f t="shared" si="22"/>
        <v>795.89</v>
      </c>
      <c r="AM13" s="174" t="str">
        <f t="shared" si="23"/>
        <v>565.08</v>
      </c>
    </row>
    <row r="14" ht="12.75" customHeight="1">
      <c r="A14" s="26"/>
      <c r="C14" s="151">
        <v>2.04258828E8</v>
      </c>
      <c r="D14" s="152" t="s">
        <v>81</v>
      </c>
      <c r="E14" s="53" t="s">
        <v>77</v>
      </c>
      <c r="F14" s="154">
        <v>1.0</v>
      </c>
      <c r="G14" s="53"/>
      <c r="H14" s="53" t="str">
        <f t="shared" si="1"/>
        <v>0.00069</v>
      </c>
      <c r="I14" s="53" t="str">
        <f t="shared" si="2"/>
        <v>89</v>
      </c>
      <c r="J14" s="53" t="str">
        <f t="shared" si="3"/>
        <v>0</v>
      </c>
      <c r="K14" s="155" t="str">
        <f t="shared" si="4"/>
        <v>0.00</v>
      </c>
      <c r="L14" s="156" t="str">
        <f t="shared" si="5"/>
        <v>0.00 </v>
      </c>
      <c r="M14" s="132">
        <v>90.0</v>
      </c>
      <c r="N14" s="325">
        <v>343.82</v>
      </c>
      <c r="O14" s="158">
        <v>1800.0</v>
      </c>
      <c r="P14" s="159" t="str">
        <f t="shared" si="6"/>
        <v>1,800.00</v>
      </c>
      <c r="Q14" s="160">
        <v>1920.0</v>
      </c>
      <c r="R14" s="161">
        <v>0.0</v>
      </c>
      <c r="S14" s="162" t="str">
        <f t="shared" si="7"/>
        <v>1,800.00</v>
      </c>
      <c r="T14" s="163" t="str">
        <f t="shared" si="8"/>
        <v>20.00</v>
      </c>
      <c r="U14" s="164" t="str">
        <f t="shared" si="9"/>
        <v>144.00</v>
      </c>
      <c r="V14" s="165" t="str">
        <f t="shared" si="10"/>
        <v>0.00</v>
      </c>
      <c r="W14" s="166">
        <v>0.63</v>
      </c>
      <c r="X14" s="167" t="str">
        <f t="shared" si="11"/>
        <v>76</v>
      </c>
      <c r="Y14" s="168" t="str">
        <f t="shared" si="12"/>
        <v>495.000</v>
      </c>
      <c r="Z14" s="168" t="str">
        <f t="shared" si="13"/>
        <v>39.060</v>
      </c>
      <c r="AA14" s="164" t="str">
        <f t="shared" si="14"/>
        <v>0.00</v>
      </c>
      <c r="AB14" s="164">
        <v>100.0</v>
      </c>
      <c r="AC14" s="164" t="str">
        <f t="shared" si="15"/>
        <v>4.80</v>
      </c>
      <c r="AD14" s="165" t="str">
        <f t="shared" si="16"/>
        <v>90.00</v>
      </c>
      <c r="AE14" s="23"/>
      <c r="AF14" s="169" t="str">
        <f t="shared" si="17"/>
        <v>10.2</v>
      </c>
      <c r="AG14" s="163" t="str">
        <f t="shared" si="18"/>
        <v>587.32</v>
      </c>
      <c r="AH14" s="170" t="str">
        <f t="shared" si="19"/>
        <v>170.82%</v>
      </c>
      <c r="AI14" s="26"/>
      <c r="AJ14" s="171" t="str">
        <f t="shared" si="20"/>
        <v>0.00%</v>
      </c>
      <c r="AK14" s="172" t="str">
        <f t="shared" si="21"/>
        <v>0.00</v>
      </c>
      <c r="AL14" s="173" t="str">
        <f t="shared" si="22"/>
        <v>793.34</v>
      </c>
      <c r="AM14" s="174" t="str">
        <f t="shared" si="23"/>
        <v>563.27</v>
      </c>
    </row>
    <row r="15" ht="12.75" customHeight="1">
      <c r="A15" s="26"/>
      <c r="B15" s="125" t="s">
        <v>82</v>
      </c>
      <c r="C15" s="126"/>
      <c r="D15" s="127"/>
      <c r="E15" s="128"/>
      <c r="F15" s="129"/>
      <c r="G15" s="128"/>
      <c r="H15" s="128"/>
      <c r="I15" s="128"/>
      <c r="J15" s="128"/>
      <c r="K15" s="130"/>
      <c r="L15" s="131"/>
      <c r="M15" s="132"/>
      <c r="N15" s="320"/>
      <c r="O15" s="134"/>
      <c r="P15" s="135"/>
      <c r="Q15" s="135"/>
      <c r="R15" s="136"/>
      <c r="S15" s="137"/>
      <c r="T15" s="177"/>
      <c r="U15" s="178"/>
      <c r="V15" s="179"/>
      <c r="W15" s="180"/>
      <c r="X15" s="181"/>
      <c r="Y15" s="182"/>
      <c r="Z15" s="182"/>
      <c r="AA15" s="178"/>
      <c r="AB15" s="178"/>
      <c r="AC15" s="178"/>
      <c r="AD15" s="179"/>
      <c r="AE15" s="183"/>
      <c r="AF15" s="184"/>
      <c r="AG15" s="177"/>
      <c r="AH15" s="185"/>
      <c r="AI15" s="26"/>
      <c r="AJ15" s="186"/>
      <c r="AK15" s="187"/>
      <c r="AL15" s="188"/>
      <c r="AM15" s="189"/>
    </row>
    <row r="16" ht="12.75" customHeight="1">
      <c r="A16" s="26"/>
      <c r="B16" s="190" t="s">
        <v>83</v>
      </c>
      <c r="C16" s="191">
        <v>2.14301471E8</v>
      </c>
      <c r="D16" s="152" t="s">
        <v>84</v>
      </c>
      <c r="E16" s="53" t="s">
        <v>77</v>
      </c>
      <c r="F16" s="154"/>
      <c r="G16" s="53">
        <v>0.0</v>
      </c>
      <c r="H16" s="53" t="str">
        <f t="shared" ref="H16:H26" si="24">$I$2</f>
        <v>0.00069</v>
      </c>
      <c r="I16" s="53" t="str">
        <f t="shared" ref="I16:I26" si="25">$I$3</f>
        <v>89</v>
      </c>
      <c r="J16" s="53" t="str">
        <f t="shared" ref="J16:J26" si="26">G16*H16*I16*F16</f>
        <v>0</v>
      </c>
      <c r="K16" s="155" t="str">
        <f t="shared" ref="K16:K26" si="27">J16*$J$4</f>
        <v>0.00</v>
      </c>
      <c r="L16" s="156" t="str">
        <f t="shared" ref="L16:L26" si="28">K16+J16</f>
        <v>0.00 </v>
      </c>
      <c r="M16" s="132">
        <v>90.0</v>
      </c>
      <c r="N16" s="325" t="str">
        <f t="shared" ref="N16:N26" si="29">L16/F16</f>
        <v>#DIV/0!</v>
      </c>
      <c r="O16" s="158">
        <v>1285.2</v>
      </c>
      <c r="P16" s="159" t="str">
        <f t="shared" ref="P16:P26" si="30">AL16</f>
        <v>#DIV/0!</v>
      </c>
      <c r="Q16" s="160"/>
      <c r="R16" s="161">
        <v>0.26</v>
      </c>
      <c r="S16" s="162" t="str">
        <f t="shared" ref="S16:S26" si="31">O16-(O16*R16)</f>
        <v>951.05</v>
      </c>
      <c r="T16" s="163" t="str">
        <f t="shared" ref="T16:T18" si="32">$C$1</f>
        <v>20.00</v>
      </c>
      <c r="U16" s="164" t="str">
        <f t="shared" ref="U16:U26" si="33">S16*$C$8</f>
        <v>76.08</v>
      </c>
      <c r="V16" s="165" t="str">
        <f t="shared" ref="V16:V26" si="34">N16*$C$3*(M16/30)</f>
        <v>#DIV/0!</v>
      </c>
      <c r="W16" s="166">
        <v>0.7</v>
      </c>
      <c r="X16" s="167" t="str">
        <f t="shared" ref="X16:X18" si="35">((_xlfn.CEILING.MATH(W16)-1)*$C$5+$C$4)</f>
        <v>76</v>
      </c>
      <c r="Y16" s="168" t="str">
        <f t="shared" ref="Y16:Y26" si="36">O16*$Y$6</f>
        <v>353.430</v>
      </c>
      <c r="Z16" s="168" t="str">
        <f t="shared" ref="Z16:Z26" si="37">S16*$Y$7</f>
        <v>20.638</v>
      </c>
      <c r="AA16" s="164" t="str">
        <f t="shared" ref="AA16:AA26" si="38">$Y$3*((100-AB16)/100)</f>
        <v>0.00</v>
      </c>
      <c r="AB16" s="164">
        <v>100.0</v>
      </c>
      <c r="AC16" s="164" t="str">
        <f t="shared" ref="AC16:AC26" si="39">$C$6*$C$7*_xlfn.CEILING.MATH(W16)</f>
        <v>4.80</v>
      </c>
      <c r="AD16" s="165" t="str">
        <f t="shared" ref="AD16:AD26" si="40">O16*$C$2</f>
        <v>64.26</v>
      </c>
      <c r="AE16" s="23"/>
      <c r="AF16" s="169" t="str">
        <f t="shared" ref="AF16:AF26" si="41">(_xlfn.CEILING.MATH(W16))*$Y$1*$AD$2</f>
        <v>10.2</v>
      </c>
      <c r="AG16" s="163" t="str">
        <f t="shared" ref="AG16:AG26" si="42">O16-T16-U16-V16-X16-Y16-Z16-AA16-AC16-AD16-N16</f>
        <v>#DIV/0!</v>
      </c>
      <c r="AH16" s="170" t="str">
        <f t="shared" ref="AH16:AH18" si="43">AG16/N16</f>
        <v>#DIV/0!</v>
      </c>
      <c r="AI16" s="26"/>
      <c r="AJ16" s="171" t="str">
        <f t="shared" ref="AJ16:AJ26" si="44">$AD$3</f>
        <v>0.00%</v>
      </c>
      <c r="AK16" s="172" t="str">
        <f t="shared" ref="AK16:AK26" si="45">N16*AJ16</f>
        <v>#DIV/0!</v>
      </c>
      <c r="AL16" s="173" t="str">
        <f t="shared" ref="AL16:AL26" si="46">(N16+T16+V16+X16+AA16+AC16+AF16+AK16)/(100%-($C$2+$C$8+$Y$6+$Y$7))</f>
        <v>#DIV/0!</v>
      </c>
      <c r="AM16" s="174" t="str">
        <f t="shared" ref="AM16:AM26" si="47">AL16-(AL16*$AD$1)</f>
        <v>#DIV/0!</v>
      </c>
    </row>
    <row r="17" ht="12.75" customHeight="1">
      <c r="A17" s="26"/>
      <c r="B17" s="190" t="s">
        <v>85</v>
      </c>
      <c r="C17" s="192">
        <v>2.14301724E8</v>
      </c>
      <c r="D17" s="152" t="s">
        <v>86</v>
      </c>
      <c r="E17" s="53" t="s">
        <v>77</v>
      </c>
      <c r="F17" s="154"/>
      <c r="G17" s="53"/>
      <c r="H17" s="53" t="str">
        <f t="shared" si="24"/>
        <v>0.00069</v>
      </c>
      <c r="I17" s="53" t="str">
        <f t="shared" si="25"/>
        <v>89</v>
      </c>
      <c r="J17" s="53" t="str">
        <f t="shared" si="26"/>
        <v>0</v>
      </c>
      <c r="K17" s="155" t="str">
        <f t="shared" si="27"/>
        <v>0.00</v>
      </c>
      <c r="L17" s="156" t="str">
        <f t="shared" si="28"/>
        <v>0.00 </v>
      </c>
      <c r="M17" s="132">
        <v>90.0</v>
      </c>
      <c r="N17" s="325" t="str">
        <f t="shared" si="29"/>
        <v>#DIV/0!</v>
      </c>
      <c r="O17" s="158">
        <v>1285.2</v>
      </c>
      <c r="P17" s="159" t="str">
        <f t="shared" si="30"/>
        <v>#DIV/0!</v>
      </c>
      <c r="Q17" s="160"/>
      <c r="R17" s="161">
        <v>0.26</v>
      </c>
      <c r="S17" s="162" t="str">
        <f t="shared" si="31"/>
        <v>951.05</v>
      </c>
      <c r="T17" s="163" t="str">
        <f t="shared" si="32"/>
        <v>20.00</v>
      </c>
      <c r="U17" s="164" t="str">
        <f t="shared" si="33"/>
        <v>76.08</v>
      </c>
      <c r="V17" s="165" t="str">
        <f t="shared" si="34"/>
        <v>#DIV/0!</v>
      </c>
      <c r="W17" s="166">
        <v>0.7</v>
      </c>
      <c r="X17" s="167" t="str">
        <f t="shared" si="35"/>
        <v>76</v>
      </c>
      <c r="Y17" s="168" t="str">
        <f t="shared" si="36"/>
        <v>353.430</v>
      </c>
      <c r="Z17" s="168" t="str">
        <f t="shared" si="37"/>
        <v>20.638</v>
      </c>
      <c r="AA17" s="164" t="str">
        <f t="shared" si="38"/>
        <v>2.50</v>
      </c>
      <c r="AB17" s="164">
        <v>95.0</v>
      </c>
      <c r="AC17" s="164" t="str">
        <f t="shared" si="39"/>
        <v>4.80</v>
      </c>
      <c r="AD17" s="165" t="str">
        <f t="shared" si="40"/>
        <v>64.26</v>
      </c>
      <c r="AE17" s="23"/>
      <c r="AF17" s="169" t="str">
        <f t="shared" si="41"/>
        <v>10.2</v>
      </c>
      <c r="AG17" s="163" t="str">
        <f t="shared" si="42"/>
        <v>#DIV/0!</v>
      </c>
      <c r="AH17" s="170" t="str">
        <f t="shared" si="43"/>
        <v>#DIV/0!</v>
      </c>
      <c r="AI17" s="26"/>
      <c r="AJ17" s="171" t="str">
        <f t="shared" si="44"/>
        <v>0.00%</v>
      </c>
      <c r="AK17" s="172" t="str">
        <f t="shared" si="45"/>
        <v>#DIV/0!</v>
      </c>
      <c r="AL17" s="173" t="str">
        <f t="shared" si="46"/>
        <v>#DIV/0!</v>
      </c>
      <c r="AM17" s="174" t="str">
        <f t="shared" si="47"/>
        <v>#DIV/0!</v>
      </c>
    </row>
    <row r="18" ht="12.75" customHeight="1">
      <c r="A18" s="26"/>
      <c r="B18" s="190" t="s">
        <v>87</v>
      </c>
      <c r="C18" s="192">
        <v>2.14301797E8</v>
      </c>
      <c r="D18" s="152" t="s">
        <v>88</v>
      </c>
      <c r="E18" s="53" t="s">
        <v>77</v>
      </c>
      <c r="F18" s="154"/>
      <c r="G18" s="53"/>
      <c r="H18" s="53" t="str">
        <f t="shared" si="24"/>
        <v>0.00069</v>
      </c>
      <c r="I18" s="53" t="str">
        <f t="shared" si="25"/>
        <v>89</v>
      </c>
      <c r="J18" s="53" t="str">
        <f t="shared" si="26"/>
        <v>0</v>
      </c>
      <c r="K18" s="155" t="str">
        <f t="shared" si="27"/>
        <v>0.00</v>
      </c>
      <c r="L18" s="156" t="str">
        <f t="shared" si="28"/>
        <v>0.00 </v>
      </c>
      <c r="M18" s="132">
        <v>90.0</v>
      </c>
      <c r="N18" s="325" t="str">
        <f t="shared" si="29"/>
        <v>#DIV/0!</v>
      </c>
      <c r="O18" s="158">
        <v>1285.2</v>
      </c>
      <c r="P18" s="159" t="str">
        <f t="shared" si="30"/>
        <v>#DIV/0!</v>
      </c>
      <c r="Q18" s="160"/>
      <c r="R18" s="161">
        <v>0.26</v>
      </c>
      <c r="S18" s="162" t="str">
        <f t="shared" si="31"/>
        <v>951.05</v>
      </c>
      <c r="T18" s="163" t="str">
        <f t="shared" si="32"/>
        <v>20.00</v>
      </c>
      <c r="U18" s="164" t="str">
        <f t="shared" si="33"/>
        <v>76.08</v>
      </c>
      <c r="V18" s="165" t="str">
        <f t="shared" si="34"/>
        <v>#DIV/0!</v>
      </c>
      <c r="W18" s="166">
        <v>0.45</v>
      </c>
      <c r="X18" s="167" t="str">
        <f t="shared" si="35"/>
        <v>76</v>
      </c>
      <c r="Y18" s="168" t="str">
        <f t="shared" si="36"/>
        <v>353.430</v>
      </c>
      <c r="Z18" s="168" t="str">
        <f t="shared" si="37"/>
        <v>20.638</v>
      </c>
      <c r="AA18" s="164" t="str">
        <f t="shared" si="38"/>
        <v>3.38</v>
      </c>
      <c r="AB18" s="164">
        <v>93.24</v>
      </c>
      <c r="AC18" s="164" t="str">
        <f t="shared" si="39"/>
        <v>4.80</v>
      </c>
      <c r="AD18" s="165" t="str">
        <f t="shared" si="40"/>
        <v>64.26</v>
      </c>
      <c r="AE18" s="23"/>
      <c r="AF18" s="169" t="str">
        <f t="shared" si="41"/>
        <v>10.2</v>
      </c>
      <c r="AG18" s="163" t="str">
        <f t="shared" si="42"/>
        <v>#DIV/0!</v>
      </c>
      <c r="AH18" s="170" t="str">
        <f t="shared" si="43"/>
        <v>#DIV/0!</v>
      </c>
      <c r="AI18" s="26"/>
      <c r="AJ18" s="171" t="str">
        <f t="shared" si="44"/>
        <v>0.00%</v>
      </c>
      <c r="AK18" s="172" t="str">
        <f t="shared" si="45"/>
        <v>#DIV/0!</v>
      </c>
      <c r="AL18" s="173" t="str">
        <f t="shared" si="46"/>
        <v>#DIV/0!</v>
      </c>
      <c r="AM18" s="174" t="str">
        <f t="shared" si="47"/>
        <v>#DIV/0!</v>
      </c>
    </row>
    <row r="19" ht="12.75" customHeight="1">
      <c r="A19" s="26"/>
      <c r="C19" s="193"/>
      <c r="D19" s="194" t="s">
        <v>89</v>
      </c>
      <c r="E19" s="195" t="s">
        <v>77</v>
      </c>
      <c r="F19" s="380"/>
      <c r="G19" s="195"/>
      <c r="H19" s="53" t="str">
        <f t="shared" si="24"/>
        <v>0.00069</v>
      </c>
      <c r="I19" s="53" t="str">
        <f t="shared" si="25"/>
        <v>89</v>
      </c>
      <c r="J19" s="53" t="str">
        <f t="shared" si="26"/>
        <v>0</v>
      </c>
      <c r="K19" s="155" t="str">
        <f t="shared" si="27"/>
        <v>0.00</v>
      </c>
      <c r="L19" s="156" t="str">
        <f t="shared" si="28"/>
        <v>0.00 </v>
      </c>
      <c r="M19" s="132">
        <v>0.0</v>
      </c>
      <c r="N19" s="325" t="str">
        <f t="shared" si="29"/>
        <v>#DIV/0!</v>
      </c>
      <c r="O19" s="158"/>
      <c r="P19" s="159" t="str">
        <f t="shared" si="30"/>
        <v>#DIV/0!</v>
      </c>
      <c r="Q19" s="160"/>
      <c r="R19" s="161">
        <v>0.26</v>
      </c>
      <c r="S19" s="162" t="str">
        <f t="shared" si="31"/>
        <v>0.00</v>
      </c>
      <c r="T19" s="163">
        <v>0.0</v>
      </c>
      <c r="U19" s="164" t="str">
        <f t="shared" si="33"/>
        <v>0.00</v>
      </c>
      <c r="V19" s="165" t="str">
        <f t="shared" si="34"/>
        <v>#DIV/0!</v>
      </c>
      <c r="W19" s="166"/>
      <c r="X19" s="167"/>
      <c r="Y19" s="168" t="str">
        <f t="shared" si="36"/>
        <v>0.000</v>
      </c>
      <c r="Z19" s="168" t="str">
        <f t="shared" si="37"/>
        <v>0.000</v>
      </c>
      <c r="AA19" s="164" t="str">
        <f t="shared" si="38"/>
        <v>0.00</v>
      </c>
      <c r="AB19" s="164">
        <v>100.0</v>
      </c>
      <c r="AC19" s="164" t="str">
        <f t="shared" si="39"/>
        <v>0.00</v>
      </c>
      <c r="AD19" s="165" t="str">
        <f t="shared" si="40"/>
        <v>0.00</v>
      </c>
      <c r="AE19" s="23"/>
      <c r="AF19" s="169" t="str">
        <f t="shared" si="41"/>
        <v>0</v>
      </c>
      <c r="AG19" s="163" t="str">
        <f t="shared" si="42"/>
        <v>#DIV/0!</v>
      </c>
      <c r="AH19" s="170"/>
      <c r="AI19" s="26"/>
      <c r="AJ19" s="171" t="str">
        <f t="shared" si="44"/>
        <v>0.00%</v>
      </c>
      <c r="AK19" s="172" t="str">
        <f t="shared" si="45"/>
        <v>#DIV/0!</v>
      </c>
      <c r="AL19" s="173" t="str">
        <f t="shared" si="46"/>
        <v>#DIV/0!</v>
      </c>
      <c r="AM19" s="174" t="str">
        <f t="shared" si="47"/>
        <v>#DIV/0!</v>
      </c>
    </row>
    <row r="20" ht="12.75" customHeight="1">
      <c r="A20" s="26"/>
      <c r="B20" s="190" t="s">
        <v>90</v>
      </c>
      <c r="C20" s="192">
        <v>2.14303984E8</v>
      </c>
      <c r="D20" s="152" t="s">
        <v>91</v>
      </c>
      <c r="E20" s="53" t="s">
        <v>77</v>
      </c>
      <c r="F20" s="154"/>
      <c r="G20" s="53"/>
      <c r="H20" s="53" t="str">
        <f t="shared" si="24"/>
        <v>0.00069</v>
      </c>
      <c r="I20" s="53" t="str">
        <f t="shared" si="25"/>
        <v>89</v>
      </c>
      <c r="J20" s="53" t="str">
        <f t="shared" si="26"/>
        <v>0</v>
      </c>
      <c r="K20" s="155" t="str">
        <f t="shared" si="27"/>
        <v>0.00</v>
      </c>
      <c r="L20" s="156" t="str">
        <f t="shared" si="28"/>
        <v>0.00 </v>
      </c>
      <c r="M20" s="132">
        <v>90.0</v>
      </c>
      <c r="N20" s="325" t="str">
        <f t="shared" si="29"/>
        <v>#DIV/0!</v>
      </c>
      <c r="O20" s="158">
        <v>1285.2</v>
      </c>
      <c r="P20" s="159" t="str">
        <f t="shared" si="30"/>
        <v>#DIV/0!</v>
      </c>
      <c r="Q20" s="160"/>
      <c r="R20" s="161">
        <v>0.26</v>
      </c>
      <c r="S20" s="162" t="str">
        <f t="shared" si="31"/>
        <v>951.05</v>
      </c>
      <c r="T20" s="163" t="str">
        <f t="shared" ref="T20:T26" si="48">$C$1</f>
        <v>20.00</v>
      </c>
      <c r="U20" s="164" t="str">
        <f t="shared" si="33"/>
        <v>76.08</v>
      </c>
      <c r="V20" s="165" t="str">
        <f t="shared" si="34"/>
        <v>#DIV/0!</v>
      </c>
      <c r="W20" s="166">
        <v>0.7</v>
      </c>
      <c r="X20" s="167" t="str">
        <f t="shared" ref="X20:X26" si="49">((_xlfn.CEILING.MATH(W20)-1)*$C$5+$C$4)</f>
        <v>76</v>
      </c>
      <c r="Y20" s="168" t="str">
        <f t="shared" si="36"/>
        <v>353.430</v>
      </c>
      <c r="Z20" s="168" t="str">
        <f t="shared" si="37"/>
        <v>20.638</v>
      </c>
      <c r="AA20" s="164" t="str">
        <f t="shared" si="38"/>
        <v>2.42</v>
      </c>
      <c r="AB20" s="164">
        <v>95.16</v>
      </c>
      <c r="AC20" s="164" t="str">
        <f t="shared" si="39"/>
        <v>4.80</v>
      </c>
      <c r="AD20" s="165" t="str">
        <f t="shared" si="40"/>
        <v>64.26</v>
      </c>
      <c r="AE20" s="23"/>
      <c r="AF20" s="169" t="str">
        <f t="shared" si="41"/>
        <v>10.2</v>
      </c>
      <c r="AG20" s="163" t="str">
        <f t="shared" si="42"/>
        <v>#DIV/0!</v>
      </c>
      <c r="AH20" s="170" t="str">
        <f t="shared" ref="AH20:AH26" si="50">AG20/N20</f>
        <v>#DIV/0!</v>
      </c>
      <c r="AI20" s="26"/>
      <c r="AJ20" s="171" t="str">
        <f t="shared" si="44"/>
        <v>0.00%</v>
      </c>
      <c r="AK20" s="172" t="str">
        <f t="shared" si="45"/>
        <v>#DIV/0!</v>
      </c>
      <c r="AL20" s="173" t="str">
        <f t="shared" si="46"/>
        <v>#DIV/0!</v>
      </c>
      <c r="AM20" s="174" t="str">
        <f t="shared" si="47"/>
        <v>#DIV/0!</v>
      </c>
    </row>
    <row r="21" ht="12.75" customHeight="1">
      <c r="A21" s="26"/>
      <c r="B21" s="190" t="s">
        <v>92</v>
      </c>
      <c r="C21" s="192">
        <v>2.14304435E8</v>
      </c>
      <c r="D21" s="152" t="s">
        <v>93</v>
      </c>
      <c r="E21" s="53" t="s">
        <v>77</v>
      </c>
      <c r="F21" s="154"/>
      <c r="G21" s="53"/>
      <c r="H21" s="53" t="str">
        <f t="shared" si="24"/>
        <v>0.00069</v>
      </c>
      <c r="I21" s="53" t="str">
        <f t="shared" si="25"/>
        <v>89</v>
      </c>
      <c r="J21" s="53" t="str">
        <f t="shared" si="26"/>
        <v>0</v>
      </c>
      <c r="K21" s="155" t="str">
        <f t="shared" si="27"/>
        <v>0.00</v>
      </c>
      <c r="L21" s="156" t="str">
        <f t="shared" si="28"/>
        <v>0.00 </v>
      </c>
      <c r="M21" s="132">
        <v>90.0</v>
      </c>
      <c r="N21" s="325" t="str">
        <f t="shared" si="29"/>
        <v>#DIV/0!</v>
      </c>
      <c r="O21" s="158">
        <v>1285.2</v>
      </c>
      <c r="P21" s="159" t="str">
        <f t="shared" si="30"/>
        <v>#DIV/0!</v>
      </c>
      <c r="Q21" s="160"/>
      <c r="R21" s="161">
        <v>0.26</v>
      </c>
      <c r="S21" s="162" t="str">
        <f t="shared" si="31"/>
        <v>951.05</v>
      </c>
      <c r="T21" s="163" t="str">
        <f t="shared" si="48"/>
        <v>20.00</v>
      </c>
      <c r="U21" s="164" t="str">
        <f t="shared" si="33"/>
        <v>76.08</v>
      </c>
      <c r="V21" s="165" t="str">
        <f t="shared" si="34"/>
        <v>#DIV/0!</v>
      </c>
      <c r="W21" s="166">
        <v>0.7</v>
      </c>
      <c r="X21" s="167" t="str">
        <f t="shared" si="49"/>
        <v>76</v>
      </c>
      <c r="Y21" s="168" t="str">
        <f t="shared" si="36"/>
        <v>353.430</v>
      </c>
      <c r="Z21" s="168" t="str">
        <f t="shared" si="37"/>
        <v>20.638</v>
      </c>
      <c r="AA21" s="164" t="str">
        <f t="shared" si="38"/>
        <v>0.00</v>
      </c>
      <c r="AB21" s="164">
        <v>100.0</v>
      </c>
      <c r="AC21" s="164" t="str">
        <f t="shared" si="39"/>
        <v>4.80</v>
      </c>
      <c r="AD21" s="165" t="str">
        <f t="shared" si="40"/>
        <v>64.26</v>
      </c>
      <c r="AE21" s="23"/>
      <c r="AF21" s="169" t="str">
        <f t="shared" si="41"/>
        <v>10.2</v>
      </c>
      <c r="AG21" s="163" t="str">
        <f t="shared" si="42"/>
        <v>#DIV/0!</v>
      </c>
      <c r="AH21" s="170" t="str">
        <f t="shared" si="50"/>
        <v>#DIV/0!</v>
      </c>
      <c r="AI21" s="26"/>
      <c r="AJ21" s="171" t="str">
        <f t="shared" si="44"/>
        <v>0.00%</v>
      </c>
      <c r="AK21" s="172" t="str">
        <f t="shared" si="45"/>
        <v>#DIV/0!</v>
      </c>
      <c r="AL21" s="173" t="str">
        <f t="shared" si="46"/>
        <v>#DIV/0!</v>
      </c>
      <c r="AM21" s="174" t="str">
        <f t="shared" si="47"/>
        <v>#DIV/0!</v>
      </c>
    </row>
    <row r="22" ht="12.75" customHeight="1">
      <c r="A22" s="26"/>
      <c r="B22" s="190" t="s">
        <v>94</v>
      </c>
      <c r="C22" s="192">
        <v>2.15182642E8</v>
      </c>
      <c r="D22" s="152" t="s">
        <v>95</v>
      </c>
      <c r="E22" s="53" t="s">
        <v>77</v>
      </c>
      <c r="F22" s="154"/>
      <c r="G22" s="53"/>
      <c r="H22" s="53" t="str">
        <f t="shared" si="24"/>
        <v>0.00069</v>
      </c>
      <c r="I22" s="53" t="str">
        <f t="shared" si="25"/>
        <v>89</v>
      </c>
      <c r="J22" s="53" t="str">
        <f t="shared" si="26"/>
        <v>0</v>
      </c>
      <c r="K22" s="155" t="str">
        <f t="shared" si="27"/>
        <v>0.00</v>
      </c>
      <c r="L22" s="156" t="str">
        <f t="shared" si="28"/>
        <v>0.00 </v>
      </c>
      <c r="M22" s="132">
        <v>90.0</v>
      </c>
      <c r="N22" s="325" t="str">
        <f t="shared" si="29"/>
        <v>#DIV/0!</v>
      </c>
      <c r="O22" s="158">
        <v>1197.6</v>
      </c>
      <c r="P22" s="159" t="str">
        <f t="shared" si="30"/>
        <v>#DIV/0!</v>
      </c>
      <c r="Q22" s="160"/>
      <c r="R22" s="161">
        <v>0.26</v>
      </c>
      <c r="S22" s="162" t="str">
        <f t="shared" si="31"/>
        <v>886.22</v>
      </c>
      <c r="T22" s="163" t="str">
        <f t="shared" si="48"/>
        <v>20.00</v>
      </c>
      <c r="U22" s="164" t="str">
        <f t="shared" si="33"/>
        <v>70.90</v>
      </c>
      <c r="V22" s="165" t="str">
        <f t="shared" si="34"/>
        <v>#DIV/0!</v>
      </c>
      <c r="W22" s="166">
        <v>0.7</v>
      </c>
      <c r="X22" s="167" t="str">
        <f t="shared" si="49"/>
        <v>76</v>
      </c>
      <c r="Y22" s="168" t="str">
        <f t="shared" si="36"/>
        <v>329.340</v>
      </c>
      <c r="Z22" s="168" t="str">
        <f t="shared" si="37"/>
        <v>19.231</v>
      </c>
      <c r="AA22" s="164" t="str">
        <f t="shared" si="38"/>
        <v>2.38</v>
      </c>
      <c r="AB22" s="164">
        <v>95.24</v>
      </c>
      <c r="AC22" s="164" t="str">
        <f t="shared" si="39"/>
        <v>4.80</v>
      </c>
      <c r="AD22" s="165" t="str">
        <f t="shared" si="40"/>
        <v>59.88</v>
      </c>
      <c r="AE22" s="23"/>
      <c r="AF22" s="169" t="str">
        <f t="shared" si="41"/>
        <v>10.2</v>
      </c>
      <c r="AG22" s="163" t="str">
        <f t="shared" si="42"/>
        <v>#DIV/0!</v>
      </c>
      <c r="AH22" s="170" t="str">
        <f t="shared" si="50"/>
        <v>#DIV/0!</v>
      </c>
      <c r="AI22" s="26"/>
      <c r="AJ22" s="171" t="str">
        <f t="shared" si="44"/>
        <v>0.00%</v>
      </c>
      <c r="AK22" s="172" t="str">
        <f t="shared" si="45"/>
        <v>#DIV/0!</v>
      </c>
      <c r="AL22" s="173" t="str">
        <f t="shared" si="46"/>
        <v>#DIV/0!</v>
      </c>
      <c r="AM22" s="174" t="str">
        <f t="shared" si="47"/>
        <v>#DIV/0!</v>
      </c>
    </row>
    <row r="23" ht="12.75" customHeight="1">
      <c r="A23" s="26"/>
      <c r="B23" s="190" t="s">
        <v>96</v>
      </c>
      <c r="C23" s="192">
        <v>2.14304883E8</v>
      </c>
      <c r="D23" s="152" t="s">
        <v>97</v>
      </c>
      <c r="E23" s="53" t="s">
        <v>77</v>
      </c>
      <c r="F23" s="154"/>
      <c r="G23" s="53"/>
      <c r="H23" s="53" t="str">
        <f t="shared" si="24"/>
        <v>0.00069</v>
      </c>
      <c r="I23" s="53" t="str">
        <f t="shared" si="25"/>
        <v>89</v>
      </c>
      <c r="J23" s="53" t="str">
        <f t="shared" si="26"/>
        <v>0</v>
      </c>
      <c r="K23" s="155" t="str">
        <f t="shared" si="27"/>
        <v>0.00</v>
      </c>
      <c r="L23" s="156" t="str">
        <f t="shared" si="28"/>
        <v>0.00 </v>
      </c>
      <c r="M23" s="132">
        <v>90.0</v>
      </c>
      <c r="N23" s="325" t="str">
        <f t="shared" si="29"/>
        <v>#DIV/0!</v>
      </c>
      <c r="O23" s="158">
        <v>1197.6</v>
      </c>
      <c r="P23" s="159" t="str">
        <f t="shared" si="30"/>
        <v>#DIV/0!</v>
      </c>
      <c r="Q23" s="160"/>
      <c r="R23" s="161">
        <v>0.26</v>
      </c>
      <c r="S23" s="162" t="str">
        <f t="shared" si="31"/>
        <v>886.22</v>
      </c>
      <c r="T23" s="163" t="str">
        <f t="shared" si="48"/>
        <v>20.00</v>
      </c>
      <c r="U23" s="164" t="str">
        <f t="shared" si="33"/>
        <v>70.90</v>
      </c>
      <c r="V23" s="165" t="str">
        <f t="shared" si="34"/>
        <v>#DIV/0!</v>
      </c>
      <c r="W23" s="166">
        <v>0.7</v>
      </c>
      <c r="X23" s="167" t="str">
        <f t="shared" si="49"/>
        <v>76</v>
      </c>
      <c r="Y23" s="168" t="str">
        <f t="shared" si="36"/>
        <v>329.340</v>
      </c>
      <c r="Z23" s="168" t="str">
        <f t="shared" si="37"/>
        <v>19.231</v>
      </c>
      <c r="AA23" s="164" t="str">
        <f t="shared" si="38"/>
        <v>1.78</v>
      </c>
      <c r="AB23" s="164">
        <v>96.44</v>
      </c>
      <c r="AC23" s="164" t="str">
        <f t="shared" si="39"/>
        <v>4.80</v>
      </c>
      <c r="AD23" s="165" t="str">
        <f t="shared" si="40"/>
        <v>59.88</v>
      </c>
      <c r="AE23" s="23"/>
      <c r="AF23" s="169" t="str">
        <f t="shared" si="41"/>
        <v>10.2</v>
      </c>
      <c r="AG23" s="163" t="str">
        <f t="shared" si="42"/>
        <v>#DIV/0!</v>
      </c>
      <c r="AH23" s="170" t="str">
        <f t="shared" si="50"/>
        <v>#DIV/0!</v>
      </c>
      <c r="AI23" s="26"/>
      <c r="AJ23" s="171" t="str">
        <f t="shared" si="44"/>
        <v>0.00%</v>
      </c>
      <c r="AK23" s="172" t="str">
        <f t="shared" si="45"/>
        <v>#DIV/0!</v>
      </c>
      <c r="AL23" s="173" t="str">
        <f t="shared" si="46"/>
        <v>#DIV/0!</v>
      </c>
      <c r="AM23" s="174" t="str">
        <f t="shared" si="47"/>
        <v>#DIV/0!</v>
      </c>
    </row>
    <row r="24" ht="12.75" customHeight="1">
      <c r="A24" s="26"/>
      <c r="B24" s="190" t="s">
        <v>98</v>
      </c>
      <c r="C24" s="192">
        <v>2.14305187E8</v>
      </c>
      <c r="D24" s="152" t="s">
        <v>99</v>
      </c>
      <c r="E24" s="53" t="s">
        <v>77</v>
      </c>
      <c r="F24" s="154"/>
      <c r="G24" s="53"/>
      <c r="H24" s="53" t="str">
        <f t="shared" si="24"/>
        <v>0.00069</v>
      </c>
      <c r="I24" s="53" t="str">
        <f t="shared" si="25"/>
        <v>89</v>
      </c>
      <c r="J24" s="53" t="str">
        <f t="shared" si="26"/>
        <v>0</v>
      </c>
      <c r="K24" s="155" t="str">
        <f t="shared" si="27"/>
        <v>0.00</v>
      </c>
      <c r="L24" s="156" t="str">
        <f t="shared" si="28"/>
        <v>0.00 </v>
      </c>
      <c r="M24" s="132">
        <v>90.0</v>
      </c>
      <c r="N24" s="325" t="str">
        <f t="shared" si="29"/>
        <v>#DIV/0!</v>
      </c>
      <c r="O24" s="158">
        <v>1197.6</v>
      </c>
      <c r="P24" s="159" t="str">
        <f t="shared" si="30"/>
        <v>#DIV/0!</v>
      </c>
      <c r="Q24" s="160"/>
      <c r="R24" s="161">
        <v>0.26</v>
      </c>
      <c r="S24" s="162" t="str">
        <f t="shared" si="31"/>
        <v>886.22</v>
      </c>
      <c r="T24" s="163" t="str">
        <f t="shared" si="48"/>
        <v>20.00</v>
      </c>
      <c r="U24" s="164" t="str">
        <f t="shared" si="33"/>
        <v>70.90</v>
      </c>
      <c r="V24" s="165" t="str">
        <f t="shared" si="34"/>
        <v>#DIV/0!</v>
      </c>
      <c r="W24" s="166">
        <v>0.7</v>
      </c>
      <c r="X24" s="167" t="str">
        <f t="shared" si="49"/>
        <v>76</v>
      </c>
      <c r="Y24" s="168" t="str">
        <f t="shared" si="36"/>
        <v>329.340</v>
      </c>
      <c r="Z24" s="168" t="str">
        <f t="shared" si="37"/>
        <v>19.231</v>
      </c>
      <c r="AA24" s="164" t="str">
        <f t="shared" si="38"/>
        <v>3.13</v>
      </c>
      <c r="AB24" s="164">
        <v>93.75</v>
      </c>
      <c r="AC24" s="164" t="str">
        <f t="shared" si="39"/>
        <v>4.80</v>
      </c>
      <c r="AD24" s="165" t="str">
        <f t="shared" si="40"/>
        <v>59.88</v>
      </c>
      <c r="AE24" s="23"/>
      <c r="AF24" s="169" t="str">
        <f t="shared" si="41"/>
        <v>10.2</v>
      </c>
      <c r="AG24" s="163" t="str">
        <f t="shared" si="42"/>
        <v>#DIV/0!</v>
      </c>
      <c r="AH24" s="170" t="str">
        <f t="shared" si="50"/>
        <v>#DIV/0!</v>
      </c>
      <c r="AI24" s="26"/>
      <c r="AJ24" s="171" t="str">
        <f t="shared" si="44"/>
        <v>0.00%</v>
      </c>
      <c r="AK24" s="172" t="str">
        <f t="shared" si="45"/>
        <v>#DIV/0!</v>
      </c>
      <c r="AL24" s="173" t="str">
        <f t="shared" si="46"/>
        <v>#DIV/0!</v>
      </c>
      <c r="AM24" s="174" t="str">
        <f t="shared" si="47"/>
        <v>#DIV/0!</v>
      </c>
    </row>
    <row r="25" ht="12.75" customHeight="1">
      <c r="A25" s="26"/>
      <c r="B25" s="190" t="s">
        <v>100</v>
      </c>
      <c r="C25" s="192">
        <v>2.1430522E8</v>
      </c>
      <c r="D25" s="152" t="s">
        <v>101</v>
      </c>
      <c r="E25" s="53" t="s">
        <v>77</v>
      </c>
      <c r="F25" s="154"/>
      <c r="G25" s="53"/>
      <c r="H25" s="53" t="str">
        <f t="shared" si="24"/>
        <v>0.00069</v>
      </c>
      <c r="I25" s="53" t="str">
        <f t="shared" si="25"/>
        <v>89</v>
      </c>
      <c r="J25" s="53" t="str">
        <f t="shared" si="26"/>
        <v>0</v>
      </c>
      <c r="K25" s="155" t="str">
        <f t="shared" si="27"/>
        <v>0.00</v>
      </c>
      <c r="L25" s="156" t="str">
        <f t="shared" si="28"/>
        <v>0.00 </v>
      </c>
      <c r="M25" s="132">
        <v>90.0</v>
      </c>
      <c r="N25" s="325" t="str">
        <f t="shared" si="29"/>
        <v>#DIV/0!</v>
      </c>
      <c r="O25" s="158">
        <v>1197.6</v>
      </c>
      <c r="P25" s="159" t="str">
        <f t="shared" si="30"/>
        <v>#DIV/0!</v>
      </c>
      <c r="Q25" s="160"/>
      <c r="R25" s="161">
        <v>0.26</v>
      </c>
      <c r="S25" s="162" t="str">
        <f t="shared" si="31"/>
        <v>886.22</v>
      </c>
      <c r="T25" s="163" t="str">
        <f t="shared" si="48"/>
        <v>20.00</v>
      </c>
      <c r="U25" s="164" t="str">
        <f t="shared" si="33"/>
        <v>70.90</v>
      </c>
      <c r="V25" s="165" t="str">
        <f t="shared" si="34"/>
        <v>#DIV/0!</v>
      </c>
      <c r="W25" s="166">
        <v>0.7</v>
      </c>
      <c r="X25" s="167" t="str">
        <f t="shared" si="49"/>
        <v>76</v>
      </c>
      <c r="Y25" s="168" t="str">
        <f t="shared" si="36"/>
        <v>329.340</v>
      </c>
      <c r="Z25" s="168" t="str">
        <f t="shared" si="37"/>
        <v>19.231</v>
      </c>
      <c r="AA25" s="164" t="str">
        <f t="shared" si="38"/>
        <v>3.95</v>
      </c>
      <c r="AB25" s="164">
        <v>92.11</v>
      </c>
      <c r="AC25" s="164" t="str">
        <f t="shared" si="39"/>
        <v>4.80</v>
      </c>
      <c r="AD25" s="165" t="str">
        <f t="shared" si="40"/>
        <v>59.88</v>
      </c>
      <c r="AE25" s="23"/>
      <c r="AF25" s="169" t="str">
        <f t="shared" si="41"/>
        <v>10.2</v>
      </c>
      <c r="AG25" s="163" t="str">
        <f t="shared" si="42"/>
        <v>#DIV/0!</v>
      </c>
      <c r="AH25" s="170" t="str">
        <f t="shared" si="50"/>
        <v>#DIV/0!</v>
      </c>
      <c r="AI25" s="26"/>
      <c r="AJ25" s="171" t="str">
        <f t="shared" si="44"/>
        <v>0.00%</v>
      </c>
      <c r="AK25" s="172" t="str">
        <f t="shared" si="45"/>
        <v>#DIV/0!</v>
      </c>
      <c r="AL25" s="173" t="str">
        <f t="shared" si="46"/>
        <v>#DIV/0!</v>
      </c>
      <c r="AM25" s="174" t="str">
        <f t="shared" si="47"/>
        <v>#DIV/0!</v>
      </c>
    </row>
    <row r="26" ht="12.75" customHeight="1">
      <c r="A26" s="26"/>
      <c r="B26" s="190" t="s">
        <v>102</v>
      </c>
      <c r="C26" s="192">
        <v>2.1430528E8</v>
      </c>
      <c r="D26" s="152" t="s">
        <v>103</v>
      </c>
      <c r="E26" s="53" t="s">
        <v>77</v>
      </c>
      <c r="F26" s="154"/>
      <c r="G26" s="53"/>
      <c r="H26" s="53" t="str">
        <f t="shared" si="24"/>
        <v>0.00069</v>
      </c>
      <c r="I26" s="53" t="str">
        <f t="shared" si="25"/>
        <v>89</v>
      </c>
      <c r="J26" s="53" t="str">
        <f t="shared" si="26"/>
        <v>0</v>
      </c>
      <c r="K26" s="155" t="str">
        <f t="shared" si="27"/>
        <v>0.00</v>
      </c>
      <c r="L26" s="156" t="str">
        <f t="shared" si="28"/>
        <v>0.00 </v>
      </c>
      <c r="M26" s="132">
        <v>90.0</v>
      </c>
      <c r="N26" s="325" t="str">
        <f t="shared" si="29"/>
        <v>#DIV/0!</v>
      </c>
      <c r="O26" s="158">
        <v>1197.6</v>
      </c>
      <c r="P26" s="159" t="str">
        <f t="shared" si="30"/>
        <v>#DIV/0!</v>
      </c>
      <c r="Q26" s="160"/>
      <c r="R26" s="161">
        <v>0.26</v>
      </c>
      <c r="S26" s="162" t="str">
        <f t="shared" si="31"/>
        <v>886.22</v>
      </c>
      <c r="T26" s="163" t="str">
        <f t="shared" si="48"/>
        <v>20.00</v>
      </c>
      <c r="U26" s="164" t="str">
        <f t="shared" si="33"/>
        <v>70.90</v>
      </c>
      <c r="V26" s="165" t="str">
        <f t="shared" si="34"/>
        <v>#DIV/0!</v>
      </c>
      <c r="W26" s="166">
        <v>0.7</v>
      </c>
      <c r="X26" s="167" t="str">
        <f t="shared" si="49"/>
        <v>76</v>
      </c>
      <c r="Y26" s="168" t="str">
        <f t="shared" si="36"/>
        <v>329.340</v>
      </c>
      <c r="Z26" s="168" t="str">
        <f t="shared" si="37"/>
        <v>19.231</v>
      </c>
      <c r="AA26" s="164" t="str">
        <f t="shared" si="38"/>
        <v>0.83</v>
      </c>
      <c r="AB26" s="164">
        <v>98.35</v>
      </c>
      <c r="AC26" s="164" t="str">
        <f t="shared" si="39"/>
        <v>4.80</v>
      </c>
      <c r="AD26" s="165" t="str">
        <f t="shared" si="40"/>
        <v>59.88</v>
      </c>
      <c r="AE26" s="23"/>
      <c r="AF26" s="169" t="str">
        <f t="shared" si="41"/>
        <v>10.2</v>
      </c>
      <c r="AG26" s="163" t="str">
        <f t="shared" si="42"/>
        <v>#DIV/0!</v>
      </c>
      <c r="AH26" s="170" t="str">
        <f t="shared" si="50"/>
        <v>#DIV/0!</v>
      </c>
      <c r="AI26" s="26"/>
      <c r="AJ26" s="171" t="str">
        <f t="shared" si="44"/>
        <v>0.00%</v>
      </c>
      <c r="AK26" s="172" t="str">
        <f t="shared" si="45"/>
        <v>#DIV/0!</v>
      </c>
      <c r="AL26" s="173" t="str">
        <f t="shared" si="46"/>
        <v>#DIV/0!</v>
      </c>
      <c r="AM26" s="174" t="str">
        <f t="shared" si="47"/>
        <v>#DIV/0!</v>
      </c>
    </row>
    <row r="27" ht="12.75" customHeight="1">
      <c r="A27" s="26"/>
      <c r="B27" s="125" t="s">
        <v>104</v>
      </c>
      <c r="C27" s="126"/>
      <c r="D27" s="127"/>
      <c r="E27" s="128"/>
      <c r="F27" s="129"/>
      <c r="G27" s="128"/>
      <c r="H27" s="128"/>
      <c r="I27" s="197"/>
      <c r="J27" s="128"/>
      <c r="K27" s="130"/>
      <c r="L27" s="131"/>
      <c r="M27" s="132"/>
      <c r="N27" s="320"/>
      <c r="O27" s="134"/>
      <c r="P27" s="135"/>
      <c r="Q27" s="135"/>
      <c r="R27" s="136"/>
      <c r="S27" s="137"/>
      <c r="T27" s="177"/>
      <c r="U27" s="178"/>
      <c r="V27" s="179"/>
      <c r="W27" s="180"/>
      <c r="X27" s="181"/>
      <c r="Y27" s="182"/>
      <c r="Z27" s="182"/>
      <c r="AA27" s="178"/>
      <c r="AB27" s="178"/>
      <c r="AC27" s="178"/>
      <c r="AD27" s="179"/>
      <c r="AE27" s="183"/>
      <c r="AF27" s="184"/>
      <c r="AG27" s="177"/>
      <c r="AH27" s="185"/>
      <c r="AI27" s="26"/>
      <c r="AJ27" s="186"/>
      <c r="AK27" s="187"/>
      <c r="AL27" s="188"/>
      <c r="AM27" s="189"/>
    </row>
    <row r="28" ht="12.75" customHeight="1">
      <c r="A28" s="26"/>
      <c r="B28" s="190" t="s">
        <v>105</v>
      </c>
      <c r="C28" s="191">
        <v>2.1430552E8</v>
      </c>
      <c r="D28" s="152" t="s">
        <v>106</v>
      </c>
      <c r="E28" s="53" t="s">
        <v>77</v>
      </c>
      <c r="F28" s="154"/>
      <c r="G28" s="53"/>
      <c r="H28" s="53" t="str">
        <f t="shared" ref="H28:H30" si="51">$I$2</f>
        <v>0.00069</v>
      </c>
      <c r="I28" s="53" t="str">
        <f t="shared" ref="I28:I30" si="52">$I$3</f>
        <v>89</v>
      </c>
      <c r="J28" s="53" t="str">
        <f t="shared" ref="J28:J30" si="53">G28*H28*I28*F28</f>
        <v>0</v>
      </c>
      <c r="K28" s="155" t="str">
        <f t="shared" ref="K28:K30" si="54">J28*$J$4</f>
        <v>0.00</v>
      </c>
      <c r="L28" s="156" t="str">
        <f t="shared" ref="L28:L30" si="55">K28+J28</f>
        <v>0.00 </v>
      </c>
      <c r="M28" s="132">
        <v>90.0</v>
      </c>
      <c r="N28" s="325" t="str">
        <f t="shared" ref="N28:N30" si="56">L28/F28</f>
        <v>#DIV/0!</v>
      </c>
      <c r="O28" s="158">
        <v>831.0</v>
      </c>
      <c r="P28" s="159" t="str">
        <f t="shared" ref="P28:P30" si="57">AL28</f>
        <v>#DIV/0!</v>
      </c>
      <c r="Q28" s="160"/>
      <c r="R28" s="161">
        <v>0.26</v>
      </c>
      <c r="S28" s="162" t="str">
        <f t="shared" ref="S28:S30" si="58">O28-(O28*R28)</f>
        <v>614.94</v>
      </c>
      <c r="T28" s="163" t="str">
        <f t="shared" ref="T28:T30" si="59">$C$1</f>
        <v>20.00</v>
      </c>
      <c r="U28" s="164" t="str">
        <f t="shared" ref="U28:U30" si="60">S28*$C$8</f>
        <v>49.20</v>
      </c>
      <c r="V28" s="165" t="str">
        <f t="shared" ref="V28:V30" si="61">N28*$C$3*(M28/30)</f>
        <v>#DIV/0!</v>
      </c>
      <c r="W28" s="166">
        <v>2.27</v>
      </c>
      <c r="X28" s="167" t="str">
        <f t="shared" ref="X28:X30" si="62">((_xlfn.CEILING.MATH(W28)-1)*$C$5+$C$4)</f>
        <v>114</v>
      </c>
      <c r="Y28" s="168" t="str">
        <f t="shared" ref="Y28:Y30" si="63">O28*$Y$6</f>
        <v>228.525</v>
      </c>
      <c r="Z28" s="168" t="str">
        <f t="shared" ref="Z28:Z30" si="64">S28*$Y$7</f>
        <v>13.344</v>
      </c>
      <c r="AA28" s="164" t="str">
        <f t="shared" ref="AA28:AA30" si="65">$Y$3*((100-AB28)/100)</f>
        <v>2.28</v>
      </c>
      <c r="AB28" s="164">
        <v>95.45</v>
      </c>
      <c r="AC28" s="164" t="str">
        <f t="shared" ref="AC28:AC30" si="66">$C$6*$C$7*_xlfn.CEILING.MATH(W28)</f>
        <v>14.40</v>
      </c>
      <c r="AD28" s="165" t="str">
        <f t="shared" ref="AD28:AD30" si="67">O28*$C$2</f>
        <v>41.55</v>
      </c>
      <c r="AE28" s="23"/>
      <c r="AF28" s="169" t="str">
        <f t="shared" ref="AF28:AF30" si="68">(_xlfn.CEILING.MATH(W28))*$Y$1*$AD$2</f>
        <v>30.6</v>
      </c>
      <c r="AG28" s="163" t="str">
        <f t="shared" ref="AG28:AG30" si="69">O28-T28-U28-V28-X28-Y28-Z28-AA28-AC28-AD28-N28</f>
        <v>#DIV/0!</v>
      </c>
      <c r="AH28" s="170" t="str">
        <f t="shared" ref="AH28:AH30" si="70">AG28/N28</f>
        <v>#DIV/0!</v>
      </c>
      <c r="AI28" s="26"/>
      <c r="AJ28" s="171" t="str">
        <f t="shared" ref="AJ28:AJ30" si="71">$AD$3</f>
        <v>0.00%</v>
      </c>
      <c r="AK28" s="172" t="str">
        <f t="shared" ref="AK28:AK30" si="72">N28*AJ28</f>
        <v>#DIV/0!</v>
      </c>
      <c r="AL28" s="173" t="str">
        <f t="shared" ref="AL28:AL30" si="73">(N28+T28+V28+X28+AA28+AC28+AF28+AK28)/(100%-($C$2+$C$8+$Y$6+$Y$7))</f>
        <v>#DIV/0!</v>
      </c>
      <c r="AM28" s="174" t="str">
        <f t="shared" ref="AM28:AM30" si="74">AL28-(AL28*$AD$1)</f>
        <v>#DIV/0!</v>
      </c>
    </row>
    <row r="29" ht="12.75" customHeight="1">
      <c r="A29" s="26"/>
      <c r="B29" s="190" t="s">
        <v>107</v>
      </c>
      <c r="C29" s="192">
        <v>2.14305584E8</v>
      </c>
      <c r="D29" s="152" t="s">
        <v>108</v>
      </c>
      <c r="E29" s="53" t="s">
        <v>77</v>
      </c>
      <c r="F29" s="154"/>
      <c r="G29" s="53"/>
      <c r="H29" s="53" t="str">
        <f t="shared" si="51"/>
        <v>0.00069</v>
      </c>
      <c r="I29" s="53" t="str">
        <f t="shared" si="52"/>
        <v>89</v>
      </c>
      <c r="J29" s="53" t="str">
        <f t="shared" si="53"/>
        <v>0</v>
      </c>
      <c r="K29" s="155" t="str">
        <f t="shared" si="54"/>
        <v>0.00</v>
      </c>
      <c r="L29" s="156" t="str">
        <f t="shared" si="55"/>
        <v>0.00 </v>
      </c>
      <c r="M29" s="132">
        <v>90.0</v>
      </c>
      <c r="N29" s="325" t="str">
        <f t="shared" si="56"/>
        <v>#DIV/0!</v>
      </c>
      <c r="O29" s="158">
        <v>831.0</v>
      </c>
      <c r="P29" s="159" t="str">
        <f t="shared" si="57"/>
        <v>#DIV/0!</v>
      </c>
      <c r="Q29" s="160"/>
      <c r="R29" s="161">
        <v>0.26</v>
      </c>
      <c r="S29" s="162" t="str">
        <f t="shared" si="58"/>
        <v>614.94</v>
      </c>
      <c r="T29" s="163" t="str">
        <f t="shared" si="59"/>
        <v>20.00</v>
      </c>
      <c r="U29" s="164" t="str">
        <f t="shared" si="60"/>
        <v>49.20</v>
      </c>
      <c r="V29" s="165" t="str">
        <f t="shared" si="61"/>
        <v>#DIV/0!</v>
      </c>
      <c r="W29" s="166">
        <v>2.35</v>
      </c>
      <c r="X29" s="167" t="str">
        <f t="shared" si="62"/>
        <v>114</v>
      </c>
      <c r="Y29" s="168" t="str">
        <f t="shared" si="63"/>
        <v>228.525</v>
      </c>
      <c r="Z29" s="168" t="str">
        <f t="shared" si="64"/>
        <v>13.344</v>
      </c>
      <c r="AA29" s="164" t="str">
        <f t="shared" si="65"/>
        <v>2.06</v>
      </c>
      <c r="AB29" s="164">
        <v>95.89</v>
      </c>
      <c r="AC29" s="164" t="str">
        <f t="shared" si="66"/>
        <v>14.40</v>
      </c>
      <c r="AD29" s="165" t="str">
        <f t="shared" si="67"/>
        <v>41.55</v>
      </c>
      <c r="AE29" s="23"/>
      <c r="AF29" s="169" t="str">
        <f t="shared" si="68"/>
        <v>30.6</v>
      </c>
      <c r="AG29" s="163" t="str">
        <f t="shared" si="69"/>
        <v>#DIV/0!</v>
      </c>
      <c r="AH29" s="170" t="str">
        <f t="shared" si="70"/>
        <v>#DIV/0!</v>
      </c>
      <c r="AI29" s="26"/>
      <c r="AJ29" s="171" t="str">
        <f t="shared" si="71"/>
        <v>0.00%</v>
      </c>
      <c r="AK29" s="172" t="str">
        <f t="shared" si="72"/>
        <v>#DIV/0!</v>
      </c>
      <c r="AL29" s="173" t="str">
        <f t="shared" si="73"/>
        <v>#DIV/0!</v>
      </c>
      <c r="AM29" s="174" t="str">
        <f t="shared" si="74"/>
        <v>#DIV/0!</v>
      </c>
    </row>
    <row r="30" ht="12.75" customHeight="1">
      <c r="A30" s="26"/>
      <c r="B30" s="190" t="s">
        <v>109</v>
      </c>
      <c r="C30" s="192">
        <v>2.14305639E8</v>
      </c>
      <c r="D30" s="152" t="s">
        <v>110</v>
      </c>
      <c r="E30" s="53" t="s">
        <v>77</v>
      </c>
      <c r="F30" s="154"/>
      <c r="G30" s="53"/>
      <c r="H30" s="53" t="str">
        <f t="shared" si="51"/>
        <v>0.00069</v>
      </c>
      <c r="I30" s="53" t="str">
        <f t="shared" si="52"/>
        <v>89</v>
      </c>
      <c r="J30" s="53" t="str">
        <f t="shared" si="53"/>
        <v>0</v>
      </c>
      <c r="K30" s="155" t="str">
        <f t="shared" si="54"/>
        <v>0.00</v>
      </c>
      <c r="L30" s="156" t="str">
        <f t="shared" si="55"/>
        <v>0.00 </v>
      </c>
      <c r="M30" s="132">
        <v>90.0</v>
      </c>
      <c r="N30" s="325" t="str">
        <f t="shared" si="56"/>
        <v>#DIV/0!</v>
      </c>
      <c r="O30" s="158">
        <v>831.0</v>
      </c>
      <c r="P30" s="159" t="str">
        <f t="shared" si="57"/>
        <v>#DIV/0!</v>
      </c>
      <c r="Q30" s="160"/>
      <c r="R30" s="161">
        <v>0.26</v>
      </c>
      <c r="S30" s="162" t="str">
        <f t="shared" si="58"/>
        <v>614.94</v>
      </c>
      <c r="T30" s="163" t="str">
        <f t="shared" si="59"/>
        <v>20.00</v>
      </c>
      <c r="U30" s="164" t="str">
        <f t="shared" si="60"/>
        <v>49.20</v>
      </c>
      <c r="V30" s="165" t="str">
        <f t="shared" si="61"/>
        <v>#DIV/0!</v>
      </c>
      <c r="W30" s="166">
        <v>2.27</v>
      </c>
      <c r="X30" s="167" t="str">
        <f t="shared" si="62"/>
        <v>114</v>
      </c>
      <c r="Y30" s="168" t="str">
        <f t="shared" si="63"/>
        <v>228.525</v>
      </c>
      <c r="Z30" s="168" t="str">
        <f t="shared" si="64"/>
        <v>13.344</v>
      </c>
      <c r="AA30" s="164" t="str">
        <f t="shared" si="65"/>
        <v>0.00</v>
      </c>
      <c r="AB30" s="164">
        <v>100.0</v>
      </c>
      <c r="AC30" s="164" t="str">
        <f t="shared" si="66"/>
        <v>14.40</v>
      </c>
      <c r="AD30" s="165" t="str">
        <f t="shared" si="67"/>
        <v>41.55</v>
      </c>
      <c r="AE30" s="23"/>
      <c r="AF30" s="169" t="str">
        <f t="shared" si="68"/>
        <v>30.6</v>
      </c>
      <c r="AG30" s="163" t="str">
        <f t="shared" si="69"/>
        <v>#DIV/0!</v>
      </c>
      <c r="AH30" s="170" t="str">
        <f t="shared" si="70"/>
        <v>#DIV/0!</v>
      </c>
      <c r="AI30" s="26"/>
      <c r="AJ30" s="171" t="str">
        <f t="shared" si="71"/>
        <v>0.00%</v>
      </c>
      <c r="AK30" s="172" t="str">
        <f t="shared" si="72"/>
        <v>#DIV/0!</v>
      </c>
      <c r="AL30" s="173" t="str">
        <f t="shared" si="73"/>
        <v>#DIV/0!</v>
      </c>
      <c r="AM30" s="174" t="str">
        <f t="shared" si="74"/>
        <v>#DIV/0!</v>
      </c>
    </row>
    <row r="31" ht="12.75" customHeight="1">
      <c r="A31" s="26"/>
      <c r="B31" s="125" t="s">
        <v>111</v>
      </c>
      <c r="C31" s="126"/>
      <c r="D31" s="127"/>
      <c r="E31" s="128"/>
      <c r="F31" s="129"/>
      <c r="G31" s="128"/>
      <c r="H31" s="197"/>
      <c r="I31" s="197"/>
      <c r="J31" s="128"/>
      <c r="K31" s="130"/>
      <c r="L31" s="131"/>
      <c r="M31" s="132"/>
      <c r="N31" s="320"/>
      <c r="O31" s="134"/>
      <c r="P31" s="135"/>
      <c r="Q31" s="135"/>
      <c r="R31" s="136"/>
      <c r="S31" s="137"/>
      <c r="T31" s="177"/>
      <c r="U31" s="178"/>
      <c r="V31" s="179"/>
      <c r="W31" s="180"/>
      <c r="X31" s="181"/>
      <c r="Y31" s="182"/>
      <c r="Z31" s="182"/>
      <c r="AA31" s="178"/>
      <c r="AB31" s="178"/>
      <c r="AC31" s="178"/>
      <c r="AD31" s="179"/>
      <c r="AE31" s="183"/>
      <c r="AF31" s="184"/>
      <c r="AG31" s="177"/>
      <c r="AH31" s="185"/>
      <c r="AI31" s="26"/>
      <c r="AJ31" s="186"/>
      <c r="AK31" s="187"/>
      <c r="AL31" s="188"/>
      <c r="AM31" s="189"/>
    </row>
    <row r="32" ht="12.75" customHeight="1">
      <c r="A32" s="26"/>
      <c r="B32" s="190" t="s">
        <v>112</v>
      </c>
      <c r="C32" s="191">
        <v>2.14305705E8</v>
      </c>
      <c r="D32" s="152" t="s">
        <v>113</v>
      </c>
      <c r="E32" s="53" t="s">
        <v>77</v>
      </c>
      <c r="F32" s="154"/>
      <c r="G32" s="53"/>
      <c r="H32" s="53" t="str">
        <f t="shared" ref="H32:H34" si="75">$I$2</f>
        <v>0.00069</v>
      </c>
      <c r="I32" s="53" t="str">
        <f t="shared" ref="I32:I34" si="76">$I$3</f>
        <v>89</v>
      </c>
      <c r="J32" s="53" t="str">
        <f t="shared" ref="J32:J34" si="77">G32*H32*I32*F32</f>
        <v>0</v>
      </c>
      <c r="K32" s="155" t="str">
        <f t="shared" ref="K32:K34" si="78">J32*$J$4</f>
        <v>0.00</v>
      </c>
      <c r="L32" s="156" t="str">
        <f t="shared" ref="L32:L34" si="79">K32+J32</f>
        <v>0.00 </v>
      </c>
      <c r="M32" s="132">
        <v>90.0</v>
      </c>
      <c r="N32" s="325" t="str">
        <f t="shared" ref="N32:N34" si="80">L32/F32</f>
        <v>#DIV/0!</v>
      </c>
      <c r="O32" s="158">
        <v>845.1</v>
      </c>
      <c r="P32" s="159" t="str">
        <f t="shared" ref="P32:P34" si="81">AL32</f>
        <v>#DIV/0!</v>
      </c>
      <c r="Q32" s="160"/>
      <c r="R32" s="161">
        <v>0.26</v>
      </c>
      <c r="S32" s="162" t="str">
        <f t="shared" ref="S32:S34" si="82">O32-(O32*R32)</f>
        <v>625.37</v>
      </c>
      <c r="T32" s="163" t="str">
        <f t="shared" ref="T32:T34" si="83">$C$1</f>
        <v>20.00</v>
      </c>
      <c r="U32" s="164" t="str">
        <f t="shared" ref="U32:U34" si="84">S32*$C$8</f>
        <v>50.03</v>
      </c>
      <c r="V32" s="165" t="str">
        <f t="shared" ref="V32:V34" si="85">N32*$C$3*(M32/30)</f>
        <v>#DIV/0!</v>
      </c>
      <c r="W32" s="166">
        <v>2.27</v>
      </c>
      <c r="X32" s="167" t="str">
        <f t="shared" ref="X32:X34" si="86">((_xlfn.CEILING.MATH(W32)-1)*$C$5+$C$4)</f>
        <v>114</v>
      </c>
      <c r="Y32" s="168" t="str">
        <f t="shared" ref="Y32:Y34" si="87">O32*$Y$6</f>
        <v>232.403</v>
      </c>
      <c r="Z32" s="168" t="str">
        <f t="shared" ref="Z32:Z34" si="88">S32*$Y$7</f>
        <v>13.571</v>
      </c>
      <c r="AA32" s="164" t="str">
        <f t="shared" ref="AA32:AA34" si="89">$Y$3*((100-AB32)/100)</f>
        <v>1.28</v>
      </c>
      <c r="AB32" s="164">
        <v>97.44</v>
      </c>
      <c r="AC32" s="164" t="str">
        <f t="shared" ref="AC32:AC34" si="90">$C$6*$C$7*_xlfn.CEILING.MATH(W32)</f>
        <v>14.40</v>
      </c>
      <c r="AD32" s="165" t="str">
        <f t="shared" ref="AD32:AD34" si="91">O32*$C$2</f>
        <v>42.26</v>
      </c>
      <c r="AE32" s="23"/>
      <c r="AF32" s="169" t="str">
        <f t="shared" ref="AF32:AF34" si="92">(_xlfn.CEILING.MATH(W32))*$Y$1*$AD$2</f>
        <v>30.6</v>
      </c>
      <c r="AG32" s="163" t="str">
        <f t="shared" ref="AG32:AG34" si="93">O32-T32-U32-V32-X32-Y32-Z32-AA32-AC32-AD32-N32</f>
        <v>#DIV/0!</v>
      </c>
      <c r="AH32" s="170" t="str">
        <f t="shared" ref="AH32:AH34" si="94">AG32/N32</f>
        <v>#DIV/0!</v>
      </c>
      <c r="AI32" s="26"/>
      <c r="AJ32" s="171" t="str">
        <f t="shared" ref="AJ32:AJ34" si="95">$AD$3</f>
        <v>0.00%</v>
      </c>
      <c r="AK32" s="172" t="str">
        <f t="shared" ref="AK32:AK34" si="96">N32*AJ32</f>
        <v>#DIV/0!</v>
      </c>
      <c r="AL32" s="173" t="str">
        <f t="shared" ref="AL32:AL34" si="97">(N32+T32+V32+X32+AA32+AC32+AF32+AK32)/(100%-($C$2+$C$8+$Y$6+$Y$7))</f>
        <v>#DIV/0!</v>
      </c>
      <c r="AM32" s="174" t="str">
        <f t="shared" ref="AM32:AM34" si="98">AL32-(AL32*$AD$1)</f>
        <v>#DIV/0!</v>
      </c>
    </row>
    <row r="33" ht="12.75" customHeight="1">
      <c r="A33" s="26"/>
      <c r="B33" s="190" t="s">
        <v>114</v>
      </c>
      <c r="C33" s="191">
        <v>2.14305722E8</v>
      </c>
      <c r="D33" s="152" t="s">
        <v>793</v>
      </c>
      <c r="E33" s="53" t="s">
        <v>77</v>
      </c>
      <c r="F33" s="154"/>
      <c r="G33" s="53"/>
      <c r="H33" s="53" t="str">
        <f t="shared" si="75"/>
        <v>0.00069</v>
      </c>
      <c r="I33" s="53" t="str">
        <f t="shared" si="76"/>
        <v>89</v>
      </c>
      <c r="J33" s="53" t="str">
        <f t="shared" si="77"/>
        <v>0</v>
      </c>
      <c r="K33" s="155" t="str">
        <f t="shared" si="78"/>
        <v>0.00</v>
      </c>
      <c r="L33" s="156" t="str">
        <f t="shared" si="79"/>
        <v>0.00 </v>
      </c>
      <c r="M33" s="132">
        <v>90.0</v>
      </c>
      <c r="N33" s="325" t="str">
        <f t="shared" si="80"/>
        <v>#DIV/0!</v>
      </c>
      <c r="O33" s="158">
        <v>845.1</v>
      </c>
      <c r="P33" s="159" t="str">
        <f t="shared" si="81"/>
        <v>#DIV/0!</v>
      </c>
      <c r="Q33" s="160"/>
      <c r="R33" s="161">
        <v>0.26</v>
      </c>
      <c r="S33" s="162" t="str">
        <f t="shared" si="82"/>
        <v>625.37</v>
      </c>
      <c r="T33" s="163" t="str">
        <f t="shared" si="83"/>
        <v>20.00</v>
      </c>
      <c r="U33" s="164" t="str">
        <f t="shared" si="84"/>
        <v>50.03</v>
      </c>
      <c r="V33" s="165" t="str">
        <f t="shared" si="85"/>
        <v>#DIV/0!</v>
      </c>
      <c r="W33" s="166">
        <v>2.52</v>
      </c>
      <c r="X33" s="167" t="str">
        <f t="shared" si="86"/>
        <v>114</v>
      </c>
      <c r="Y33" s="168" t="str">
        <f t="shared" si="87"/>
        <v>232.403</v>
      </c>
      <c r="Z33" s="168" t="str">
        <f t="shared" si="88"/>
        <v>13.571</v>
      </c>
      <c r="AA33" s="164" t="str">
        <f t="shared" si="89"/>
        <v>0.00</v>
      </c>
      <c r="AB33" s="164">
        <v>100.0</v>
      </c>
      <c r="AC33" s="164" t="str">
        <f t="shared" si="90"/>
        <v>14.40</v>
      </c>
      <c r="AD33" s="165" t="str">
        <f t="shared" si="91"/>
        <v>42.26</v>
      </c>
      <c r="AE33" s="23"/>
      <c r="AF33" s="169" t="str">
        <f t="shared" si="92"/>
        <v>30.6</v>
      </c>
      <c r="AG33" s="163" t="str">
        <f t="shared" si="93"/>
        <v>#DIV/0!</v>
      </c>
      <c r="AH33" s="170" t="str">
        <f t="shared" si="94"/>
        <v>#DIV/0!</v>
      </c>
      <c r="AI33" s="26"/>
      <c r="AJ33" s="171" t="str">
        <f t="shared" si="95"/>
        <v>0.00%</v>
      </c>
      <c r="AK33" s="172" t="str">
        <f t="shared" si="96"/>
        <v>#DIV/0!</v>
      </c>
      <c r="AL33" s="173" t="str">
        <f t="shared" si="97"/>
        <v>#DIV/0!</v>
      </c>
      <c r="AM33" s="174" t="str">
        <f t="shared" si="98"/>
        <v>#DIV/0!</v>
      </c>
    </row>
    <row r="34" ht="12.75" customHeight="1">
      <c r="A34" s="26"/>
      <c r="B34" s="190" t="s">
        <v>116</v>
      </c>
      <c r="C34" s="192">
        <v>2.14305782E8</v>
      </c>
      <c r="D34" s="152" t="s">
        <v>117</v>
      </c>
      <c r="E34" s="53" t="s">
        <v>77</v>
      </c>
      <c r="F34" s="154"/>
      <c r="G34" s="53"/>
      <c r="H34" s="53" t="str">
        <f t="shared" si="75"/>
        <v>0.00069</v>
      </c>
      <c r="I34" s="53" t="str">
        <f t="shared" si="76"/>
        <v>89</v>
      </c>
      <c r="J34" s="53" t="str">
        <f t="shared" si="77"/>
        <v>0</v>
      </c>
      <c r="K34" s="155" t="str">
        <f t="shared" si="78"/>
        <v>0.00</v>
      </c>
      <c r="L34" s="156" t="str">
        <f t="shared" si="79"/>
        <v>0.00 </v>
      </c>
      <c r="M34" s="132">
        <v>90.0</v>
      </c>
      <c r="N34" s="325" t="str">
        <f t="shared" si="80"/>
        <v>#DIV/0!</v>
      </c>
      <c r="O34" s="158">
        <v>831.0</v>
      </c>
      <c r="P34" s="159" t="str">
        <f t="shared" si="81"/>
        <v>#DIV/0!</v>
      </c>
      <c r="Q34" s="160"/>
      <c r="R34" s="161">
        <v>0.26</v>
      </c>
      <c r="S34" s="162" t="str">
        <f t="shared" si="82"/>
        <v>614.94</v>
      </c>
      <c r="T34" s="163" t="str">
        <f t="shared" si="83"/>
        <v>20.00</v>
      </c>
      <c r="U34" s="164" t="str">
        <f t="shared" si="84"/>
        <v>49.20</v>
      </c>
      <c r="V34" s="165" t="str">
        <f t="shared" si="85"/>
        <v>#DIV/0!</v>
      </c>
      <c r="W34" s="166">
        <v>2.27</v>
      </c>
      <c r="X34" s="167" t="str">
        <f t="shared" si="86"/>
        <v>114</v>
      </c>
      <c r="Y34" s="168" t="str">
        <f t="shared" si="87"/>
        <v>228.525</v>
      </c>
      <c r="Z34" s="168" t="str">
        <f t="shared" si="88"/>
        <v>13.344</v>
      </c>
      <c r="AA34" s="164" t="str">
        <f t="shared" si="89"/>
        <v>0.00</v>
      </c>
      <c r="AB34" s="164">
        <v>100.0</v>
      </c>
      <c r="AC34" s="164" t="str">
        <f t="shared" si="90"/>
        <v>14.40</v>
      </c>
      <c r="AD34" s="165" t="str">
        <f t="shared" si="91"/>
        <v>41.55</v>
      </c>
      <c r="AE34" s="23"/>
      <c r="AF34" s="169" t="str">
        <f t="shared" si="92"/>
        <v>30.6</v>
      </c>
      <c r="AG34" s="163" t="str">
        <f t="shared" si="93"/>
        <v>#DIV/0!</v>
      </c>
      <c r="AH34" s="170" t="str">
        <f t="shared" si="94"/>
        <v>#DIV/0!</v>
      </c>
      <c r="AI34" s="26"/>
      <c r="AJ34" s="171" t="str">
        <f t="shared" si="95"/>
        <v>0.00%</v>
      </c>
      <c r="AK34" s="172" t="str">
        <f t="shared" si="96"/>
        <v>#DIV/0!</v>
      </c>
      <c r="AL34" s="173" t="str">
        <f t="shared" si="97"/>
        <v>#DIV/0!</v>
      </c>
      <c r="AM34" s="174" t="str">
        <f t="shared" si="98"/>
        <v>#DIV/0!</v>
      </c>
    </row>
    <row r="35" ht="12.75" customHeight="1">
      <c r="A35" s="26"/>
      <c r="B35" s="125" t="s">
        <v>121</v>
      </c>
      <c r="C35" s="126"/>
      <c r="D35" s="127"/>
      <c r="E35" s="128"/>
      <c r="F35" s="129"/>
      <c r="G35" s="128"/>
      <c r="H35" s="197"/>
      <c r="I35" s="197"/>
      <c r="J35" s="128"/>
      <c r="K35" s="130"/>
      <c r="L35" s="131"/>
      <c r="M35" s="132"/>
      <c r="N35" s="320"/>
      <c r="O35" s="134"/>
      <c r="P35" s="135"/>
      <c r="Q35" s="135"/>
      <c r="R35" s="136"/>
      <c r="S35" s="137"/>
      <c r="T35" s="177"/>
      <c r="U35" s="178"/>
      <c r="V35" s="179"/>
      <c r="W35" s="180"/>
      <c r="X35" s="181"/>
      <c r="Y35" s="182"/>
      <c r="Z35" s="182"/>
      <c r="AA35" s="178"/>
      <c r="AB35" s="178"/>
      <c r="AC35" s="178"/>
      <c r="AD35" s="179"/>
      <c r="AE35" s="183"/>
      <c r="AF35" s="184"/>
      <c r="AG35" s="177"/>
      <c r="AH35" s="185"/>
      <c r="AI35" s="26"/>
      <c r="AJ35" s="186"/>
      <c r="AK35" s="187"/>
      <c r="AL35" s="188"/>
      <c r="AM35" s="189"/>
    </row>
    <row r="36" ht="12.75" customHeight="1">
      <c r="A36" s="26"/>
      <c r="B36" s="190" t="s">
        <v>122</v>
      </c>
      <c r="C36" s="191">
        <v>2.14301052E8</v>
      </c>
      <c r="D36" s="152" t="s">
        <v>123</v>
      </c>
      <c r="E36" s="53" t="s">
        <v>77</v>
      </c>
      <c r="F36" s="154"/>
      <c r="G36" s="53"/>
      <c r="H36" s="53" t="str">
        <f t="shared" ref="H36:H53" si="99">$I$2</f>
        <v>0.00069</v>
      </c>
      <c r="I36" s="53" t="str">
        <f t="shared" ref="I36:I53" si="100">$I$3</f>
        <v>89</v>
      </c>
      <c r="J36" s="53" t="str">
        <f t="shared" ref="J36:J53" si="101">G36*H36*I36*F36</f>
        <v>0</v>
      </c>
      <c r="K36" s="155" t="str">
        <f t="shared" ref="K36:K53" si="102">J36*$J$4</f>
        <v>0.00</v>
      </c>
      <c r="L36" s="156" t="str">
        <f t="shared" ref="L36:L53" si="103">K36+J36</f>
        <v>0.00 </v>
      </c>
      <c r="M36" s="132">
        <v>90.0</v>
      </c>
      <c r="N36" s="325" t="str">
        <f t="shared" ref="N36:N53" si="104">L36/F36</f>
        <v>#DIV/0!</v>
      </c>
      <c r="O36" s="158">
        <v>785.4</v>
      </c>
      <c r="P36" s="159" t="str">
        <f t="shared" ref="P36:P53" si="105">AL36</f>
        <v>#DIV/0!</v>
      </c>
      <c r="Q36" s="160"/>
      <c r="R36" s="161">
        <v>0.26</v>
      </c>
      <c r="S36" s="162" t="str">
        <f t="shared" ref="S36:S53" si="106">O36-(O36*R36)</f>
        <v>581.20</v>
      </c>
      <c r="T36" s="163" t="str">
        <f t="shared" ref="T36:T53" si="107">$C$1</f>
        <v>20.00</v>
      </c>
      <c r="U36" s="164" t="str">
        <f t="shared" ref="U36:U53" si="108">S36*$C$8</f>
        <v>46.50</v>
      </c>
      <c r="V36" s="165" t="str">
        <f t="shared" ref="V36:V53" si="109">N36*$C$3*(M36/30)</f>
        <v>#DIV/0!</v>
      </c>
      <c r="W36" s="166">
        <v>0.58</v>
      </c>
      <c r="X36" s="167" t="str">
        <f t="shared" ref="X36:X53" si="110">((_xlfn.CEILING.MATH(W36)-1)*$C$5+$C$4)</f>
        <v>76</v>
      </c>
      <c r="Y36" s="168" t="str">
        <f t="shared" ref="Y36:Y53" si="111">O36*$Y$6</f>
        <v>215.985</v>
      </c>
      <c r="Z36" s="168" t="str">
        <f t="shared" ref="Z36:Z53" si="112">S36*$Y$7</f>
        <v>12.612</v>
      </c>
      <c r="AA36" s="164" t="str">
        <f t="shared" ref="AA36:AA53" si="113">$Y$3*((100-AB36)/100)</f>
        <v>0.00</v>
      </c>
      <c r="AB36" s="164">
        <v>100.0</v>
      </c>
      <c r="AC36" s="164" t="str">
        <f t="shared" ref="AC36:AC53" si="114">$C$6*$C$7*_xlfn.CEILING.MATH(W36)</f>
        <v>4.80</v>
      </c>
      <c r="AD36" s="165" t="str">
        <f t="shared" ref="AD36:AD53" si="115">O36*$C$2</f>
        <v>39.27</v>
      </c>
      <c r="AE36" s="23"/>
      <c r="AF36" s="169" t="str">
        <f t="shared" ref="AF36:AF53" si="116">(_xlfn.CEILING.MATH(W36))*$Y$1*$AD$2</f>
        <v>10.2</v>
      </c>
      <c r="AG36" s="163" t="str">
        <f t="shared" ref="AG36:AG53" si="117">O36-T36-U36-V36-X36-Y36-Z36-AA36-AC36-AD36-N36</f>
        <v>#DIV/0!</v>
      </c>
      <c r="AH36" s="170" t="str">
        <f t="shared" ref="AH36:AH53" si="118">AG36/N36</f>
        <v>#DIV/0!</v>
      </c>
      <c r="AI36" s="26"/>
      <c r="AJ36" s="171" t="str">
        <f t="shared" ref="AJ36:AJ53" si="119">$AD$3</f>
        <v>0.00%</v>
      </c>
      <c r="AK36" s="172" t="str">
        <f t="shared" ref="AK36:AK53" si="120">N36*AJ36</f>
        <v>#DIV/0!</v>
      </c>
      <c r="AL36" s="173" t="str">
        <f t="shared" ref="AL36:AL53" si="121">(N36+T36+V36+X36+AA36+AC36+AF36+AK36)/(100%-($C$2+$C$8+$Y$6+$Y$7))</f>
        <v>#DIV/0!</v>
      </c>
      <c r="AM36" s="174" t="str">
        <f t="shared" ref="AM36:AM53" si="122">AL36-(AL36*$AD$1)</f>
        <v>#DIV/0!</v>
      </c>
    </row>
    <row r="37" ht="12.75" customHeight="1">
      <c r="A37" s="26"/>
      <c r="B37" s="190" t="s">
        <v>124</v>
      </c>
      <c r="C37" s="192">
        <v>2.14301295E8</v>
      </c>
      <c r="D37" s="152" t="s">
        <v>125</v>
      </c>
      <c r="E37" s="53" t="s">
        <v>77</v>
      </c>
      <c r="F37" s="154"/>
      <c r="G37" s="53"/>
      <c r="H37" s="53" t="str">
        <f t="shared" si="99"/>
        <v>0.00069</v>
      </c>
      <c r="I37" s="53" t="str">
        <f t="shared" si="100"/>
        <v>89</v>
      </c>
      <c r="J37" s="53" t="str">
        <f t="shared" si="101"/>
        <v>0</v>
      </c>
      <c r="K37" s="155" t="str">
        <f t="shared" si="102"/>
        <v>0.00</v>
      </c>
      <c r="L37" s="156" t="str">
        <f t="shared" si="103"/>
        <v>0.00 </v>
      </c>
      <c r="M37" s="132">
        <v>90.0</v>
      </c>
      <c r="N37" s="325" t="str">
        <f t="shared" si="104"/>
        <v>#DIV/0!</v>
      </c>
      <c r="O37" s="158">
        <v>741.6</v>
      </c>
      <c r="P37" s="159" t="str">
        <f t="shared" si="105"/>
        <v>#DIV/0!</v>
      </c>
      <c r="Q37" s="160"/>
      <c r="R37" s="161">
        <v>0.26</v>
      </c>
      <c r="S37" s="162" t="str">
        <f t="shared" si="106"/>
        <v>548.78</v>
      </c>
      <c r="T37" s="163" t="str">
        <f t="shared" si="107"/>
        <v>20.00</v>
      </c>
      <c r="U37" s="164" t="str">
        <f t="shared" si="108"/>
        <v>43.90</v>
      </c>
      <c r="V37" s="165" t="str">
        <f t="shared" si="109"/>
        <v>#DIV/0!</v>
      </c>
      <c r="W37" s="166">
        <v>0.68</v>
      </c>
      <c r="X37" s="167" t="str">
        <f t="shared" si="110"/>
        <v>76</v>
      </c>
      <c r="Y37" s="168" t="str">
        <f t="shared" si="111"/>
        <v>203.940</v>
      </c>
      <c r="Z37" s="168" t="str">
        <f t="shared" si="112"/>
        <v>11.909</v>
      </c>
      <c r="AA37" s="164" t="str">
        <f t="shared" si="113"/>
        <v>2.09</v>
      </c>
      <c r="AB37" s="164">
        <v>95.83</v>
      </c>
      <c r="AC37" s="164" t="str">
        <f t="shared" si="114"/>
        <v>4.80</v>
      </c>
      <c r="AD37" s="165" t="str">
        <f t="shared" si="115"/>
        <v>37.08</v>
      </c>
      <c r="AE37" s="23"/>
      <c r="AF37" s="169" t="str">
        <f t="shared" si="116"/>
        <v>10.2</v>
      </c>
      <c r="AG37" s="163" t="str">
        <f t="shared" si="117"/>
        <v>#DIV/0!</v>
      </c>
      <c r="AH37" s="170" t="str">
        <f t="shared" si="118"/>
        <v>#DIV/0!</v>
      </c>
      <c r="AI37" s="26"/>
      <c r="AJ37" s="171" t="str">
        <f t="shared" si="119"/>
        <v>0.00%</v>
      </c>
      <c r="AK37" s="172" t="str">
        <f t="shared" si="120"/>
        <v>#DIV/0!</v>
      </c>
      <c r="AL37" s="173" t="str">
        <f t="shared" si="121"/>
        <v>#DIV/0!</v>
      </c>
      <c r="AM37" s="174" t="str">
        <f t="shared" si="122"/>
        <v>#DIV/0!</v>
      </c>
    </row>
    <row r="38" ht="12.75" customHeight="1">
      <c r="A38" s="26"/>
      <c r="B38" s="190" t="s">
        <v>126</v>
      </c>
      <c r="C38" s="192">
        <v>2.14301375E8</v>
      </c>
      <c r="D38" s="152" t="s">
        <v>127</v>
      </c>
      <c r="E38" s="53" t="s">
        <v>77</v>
      </c>
      <c r="F38" s="154"/>
      <c r="G38" s="53"/>
      <c r="H38" s="53" t="str">
        <f t="shared" si="99"/>
        <v>0.00069</v>
      </c>
      <c r="I38" s="53" t="str">
        <f t="shared" si="100"/>
        <v>89</v>
      </c>
      <c r="J38" s="53" t="str">
        <f t="shared" si="101"/>
        <v>0</v>
      </c>
      <c r="K38" s="155" t="str">
        <f t="shared" si="102"/>
        <v>0.00</v>
      </c>
      <c r="L38" s="156" t="str">
        <f t="shared" si="103"/>
        <v>0.00 </v>
      </c>
      <c r="M38" s="132">
        <v>90.0</v>
      </c>
      <c r="N38" s="325" t="str">
        <f t="shared" si="104"/>
        <v>#DIV/0!</v>
      </c>
      <c r="O38" s="158">
        <v>858.9</v>
      </c>
      <c r="P38" s="159" t="str">
        <f t="shared" si="105"/>
        <v>#DIV/0!</v>
      </c>
      <c r="Q38" s="160"/>
      <c r="R38" s="161">
        <v>0.26</v>
      </c>
      <c r="S38" s="162" t="str">
        <f t="shared" si="106"/>
        <v>635.59</v>
      </c>
      <c r="T38" s="163" t="str">
        <f t="shared" si="107"/>
        <v>20.00</v>
      </c>
      <c r="U38" s="164" t="str">
        <f t="shared" si="108"/>
        <v>50.85</v>
      </c>
      <c r="V38" s="165" t="str">
        <f t="shared" si="109"/>
        <v>#DIV/0!</v>
      </c>
      <c r="W38" s="166">
        <v>0.68</v>
      </c>
      <c r="X38" s="167" t="str">
        <f t="shared" si="110"/>
        <v>76</v>
      </c>
      <c r="Y38" s="168" t="str">
        <f t="shared" si="111"/>
        <v>236.198</v>
      </c>
      <c r="Z38" s="168" t="str">
        <f t="shared" si="112"/>
        <v>13.792</v>
      </c>
      <c r="AA38" s="164" t="str">
        <f t="shared" si="113"/>
        <v>0.00</v>
      </c>
      <c r="AB38" s="164">
        <v>100.0</v>
      </c>
      <c r="AC38" s="164" t="str">
        <f t="shared" si="114"/>
        <v>4.80</v>
      </c>
      <c r="AD38" s="165" t="str">
        <f t="shared" si="115"/>
        <v>42.95</v>
      </c>
      <c r="AE38" s="23"/>
      <c r="AF38" s="169" t="str">
        <f t="shared" si="116"/>
        <v>10.2</v>
      </c>
      <c r="AG38" s="163" t="str">
        <f t="shared" si="117"/>
        <v>#DIV/0!</v>
      </c>
      <c r="AH38" s="170" t="str">
        <f t="shared" si="118"/>
        <v>#DIV/0!</v>
      </c>
      <c r="AI38" s="26"/>
      <c r="AJ38" s="171" t="str">
        <f t="shared" si="119"/>
        <v>0.00%</v>
      </c>
      <c r="AK38" s="172" t="str">
        <f t="shared" si="120"/>
        <v>#DIV/0!</v>
      </c>
      <c r="AL38" s="173" t="str">
        <f t="shared" si="121"/>
        <v>#DIV/0!</v>
      </c>
      <c r="AM38" s="174" t="str">
        <f t="shared" si="122"/>
        <v>#DIV/0!</v>
      </c>
    </row>
    <row r="39" ht="12.75" customHeight="1">
      <c r="A39" s="26"/>
      <c r="B39" s="190" t="s">
        <v>128</v>
      </c>
      <c r="C39" s="192">
        <v>2.14301558E8</v>
      </c>
      <c r="D39" s="152" t="s">
        <v>129</v>
      </c>
      <c r="E39" s="53" t="s">
        <v>77</v>
      </c>
      <c r="F39" s="154"/>
      <c r="G39" s="53"/>
      <c r="H39" s="53" t="str">
        <f t="shared" si="99"/>
        <v>0.00069</v>
      </c>
      <c r="I39" s="53" t="str">
        <f t="shared" si="100"/>
        <v>89</v>
      </c>
      <c r="J39" s="53" t="str">
        <f t="shared" si="101"/>
        <v>0</v>
      </c>
      <c r="K39" s="155" t="str">
        <f t="shared" si="102"/>
        <v>0.00</v>
      </c>
      <c r="L39" s="156" t="str">
        <f t="shared" si="103"/>
        <v>0.00 </v>
      </c>
      <c r="M39" s="132">
        <v>90.0</v>
      </c>
      <c r="N39" s="325" t="str">
        <f t="shared" si="104"/>
        <v>#DIV/0!</v>
      </c>
      <c r="O39" s="158">
        <v>757.2</v>
      </c>
      <c r="P39" s="159" t="str">
        <f t="shared" si="105"/>
        <v>#DIV/0!</v>
      </c>
      <c r="Q39" s="160"/>
      <c r="R39" s="161">
        <v>0.26</v>
      </c>
      <c r="S39" s="162" t="str">
        <f t="shared" si="106"/>
        <v>560.33</v>
      </c>
      <c r="T39" s="163" t="str">
        <f t="shared" si="107"/>
        <v>20.00</v>
      </c>
      <c r="U39" s="164" t="str">
        <f t="shared" si="108"/>
        <v>44.83</v>
      </c>
      <c r="V39" s="165" t="str">
        <f t="shared" si="109"/>
        <v>#DIV/0!</v>
      </c>
      <c r="W39" s="166">
        <v>0.68</v>
      </c>
      <c r="X39" s="167" t="str">
        <f t="shared" si="110"/>
        <v>76</v>
      </c>
      <c r="Y39" s="168" t="str">
        <f t="shared" si="111"/>
        <v>208.230</v>
      </c>
      <c r="Z39" s="168" t="str">
        <f t="shared" si="112"/>
        <v>12.159</v>
      </c>
      <c r="AA39" s="164" t="str">
        <f t="shared" si="113"/>
        <v>0.00</v>
      </c>
      <c r="AB39" s="164">
        <v>100.0</v>
      </c>
      <c r="AC39" s="164" t="str">
        <f t="shared" si="114"/>
        <v>4.80</v>
      </c>
      <c r="AD39" s="165" t="str">
        <f t="shared" si="115"/>
        <v>37.86</v>
      </c>
      <c r="AE39" s="23"/>
      <c r="AF39" s="169" t="str">
        <f t="shared" si="116"/>
        <v>10.2</v>
      </c>
      <c r="AG39" s="163" t="str">
        <f t="shared" si="117"/>
        <v>#DIV/0!</v>
      </c>
      <c r="AH39" s="170" t="str">
        <f t="shared" si="118"/>
        <v>#DIV/0!</v>
      </c>
      <c r="AI39" s="26"/>
      <c r="AJ39" s="171" t="str">
        <f t="shared" si="119"/>
        <v>0.00%</v>
      </c>
      <c r="AK39" s="172" t="str">
        <f t="shared" si="120"/>
        <v>#DIV/0!</v>
      </c>
      <c r="AL39" s="173" t="str">
        <f t="shared" si="121"/>
        <v>#DIV/0!</v>
      </c>
      <c r="AM39" s="174" t="str">
        <f t="shared" si="122"/>
        <v>#DIV/0!</v>
      </c>
    </row>
    <row r="40" ht="12.75" customHeight="1">
      <c r="A40" s="26"/>
      <c r="B40" s="190" t="s">
        <v>130</v>
      </c>
      <c r="C40" s="192">
        <v>2.14301677E8</v>
      </c>
      <c r="D40" s="152" t="s">
        <v>131</v>
      </c>
      <c r="E40" s="53" t="s">
        <v>77</v>
      </c>
      <c r="F40" s="154"/>
      <c r="G40" s="53"/>
      <c r="H40" s="53" t="str">
        <f t="shared" si="99"/>
        <v>0.00069</v>
      </c>
      <c r="I40" s="53" t="str">
        <f t="shared" si="100"/>
        <v>89</v>
      </c>
      <c r="J40" s="53" t="str">
        <f t="shared" si="101"/>
        <v>0</v>
      </c>
      <c r="K40" s="155" t="str">
        <f t="shared" si="102"/>
        <v>0.00</v>
      </c>
      <c r="L40" s="156" t="str">
        <f t="shared" si="103"/>
        <v>0.00 </v>
      </c>
      <c r="M40" s="132">
        <v>90.0</v>
      </c>
      <c r="N40" s="325" t="str">
        <f t="shared" si="104"/>
        <v>#DIV/0!</v>
      </c>
      <c r="O40" s="158">
        <v>580.2</v>
      </c>
      <c r="P40" s="159" t="str">
        <f t="shared" si="105"/>
        <v>#DIV/0!</v>
      </c>
      <c r="Q40" s="160"/>
      <c r="R40" s="161">
        <v>0.26</v>
      </c>
      <c r="S40" s="162" t="str">
        <f t="shared" si="106"/>
        <v>429.35</v>
      </c>
      <c r="T40" s="163" t="str">
        <f t="shared" si="107"/>
        <v>20.00</v>
      </c>
      <c r="U40" s="164" t="str">
        <f t="shared" si="108"/>
        <v>34.35</v>
      </c>
      <c r="V40" s="165" t="str">
        <f t="shared" si="109"/>
        <v>#DIV/0!</v>
      </c>
      <c r="W40" s="166">
        <v>1.06</v>
      </c>
      <c r="X40" s="167" t="str">
        <f t="shared" si="110"/>
        <v>95</v>
      </c>
      <c r="Y40" s="168" t="str">
        <f t="shared" si="111"/>
        <v>159.555</v>
      </c>
      <c r="Z40" s="168" t="str">
        <f t="shared" si="112"/>
        <v>9.317</v>
      </c>
      <c r="AA40" s="164" t="str">
        <f t="shared" si="113"/>
        <v>1.25</v>
      </c>
      <c r="AB40" s="164">
        <v>97.5</v>
      </c>
      <c r="AC40" s="164" t="str">
        <f t="shared" si="114"/>
        <v>9.60</v>
      </c>
      <c r="AD40" s="165" t="str">
        <f t="shared" si="115"/>
        <v>29.01</v>
      </c>
      <c r="AE40" s="23"/>
      <c r="AF40" s="169" t="str">
        <f t="shared" si="116"/>
        <v>20.4</v>
      </c>
      <c r="AG40" s="163" t="str">
        <f t="shared" si="117"/>
        <v>#DIV/0!</v>
      </c>
      <c r="AH40" s="170" t="str">
        <f t="shared" si="118"/>
        <v>#DIV/0!</v>
      </c>
      <c r="AI40" s="26"/>
      <c r="AJ40" s="171" t="str">
        <f t="shared" si="119"/>
        <v>0.00%</v>
      </c>
      <c r="AK40" s="172" t="str">
        <f t="shared" si="120"/>
        <v>#DIV/0!</v>
      </c>
      <c r="AL40" s="173" t="str">
        <f t="shared" si="121"/>
        <v>#DIV/0!</v>
      </c>
      <c r="AM40" s="174" t="str">
        <f t="shared" si="122"/>
        <v>#DIV/0!</v>
      </c>
    </row>
    <row r="41" ht="12.75" customHeight="1">
      <c r="A41" s="26"/>
      <c r="B41" s="190" t="s">
        <v>132</v>
      </c>
      <c r="C41" s="192">
        <v>2.14301939E8</v>
      </c>
      <c r="D41" s="152" t="s">
        <v>133</v>
      </c>
      <c r="E41" s="53" t="s">
        <v>77</v>
      </c>
      <c r="F41" s="154"/>
      <c r="G41" s="53"/>
      <c r="H41" s="53" t="str">
        <f t="shared" si="99"/>
        <v>0.00069</v>
      </c>
      <c r="I41" s="53" t="str">
        <f t="shared" si="100"/>
        <v>89</v>
      </c>
      <c r="J41" s="53" t="str">
        <f t="shared" si="101"/>
        <v>0</v>
      </c>
      <c r="K41" s="155" t="str">
        <f t="shared" si="102"/>
        <v>0.00</v>
      </c>
      <c r="L41" s="156" t="str">
        <f t="shared" si="103"/>
        <v>0.00 </v>
      </c>
      <c r="M41" s="132">
        <v>90.0</v>
      </c>
      <c r="N41" s="325" t="str">
        <f t="shared" si="104"/>
        <v>#DIV/0!</v>
      </c>
      <c r="O41" s="158">
        <v>580.2</v>
      </c>
      <c r="P41" s="159" t="str">
        <f t="shared" si="105"/>
        <v>#DIV/0!</v>
      </c>
      <c r="Q41" s="160"/>
      <c r="R41" s="161">
        <v>0.26</v>
      </c>
      <c r="S41" s="162" t="str">
        <f t="shared" si="106"/>
        <v>429.35</v>
      </c>
      <c r="T41" s="163" t="str">
        <f t="shared" si="107"/>
        <v>20.00</v>
      </c>
      <c r="U41" s="164" t="str">
        <f t="shared" si="108"/>
        <v>34.35</v>
      </c>
      <c r="V41" s="165" t="str">
        <f t="shared" si="109"/>
        <v>#DIV/0!</v>
      </c>
      <c r="W41" s="166">
        <v>1.06</v>
      </c>
      <c r="X41" s="167" t="str">
        <f t="shared" si="110"/>
        <v>95</v>
      </c>
      <c r="Y41" s="168" t="str">
        <f t="shared" si="111"/>
        <v>159.555</v>
      </c>
      <c r="Z41" s="168" t="str">
        <f t="shared" si="112"/>
        <v>9.317</v>
      </c>
      <c r="AA41" s="164" t="str">
        <f t="shared" si="113"/>
        <v>0.00</v>
      </c>
      <c r="AB41" s="164">
        <v>100.0</v>
      </c>
      <c r="AC41" s="164" t="str">
        <f t="shared" si="114"/>
        <v>9.60</v>
      </c>
      <c r="AD41" s="165" t="str">
        <f t="shared" si="115"/>
        <v>29.01</v>
      </c>
      <c r="AE41" s="23"/>
      <c r="AF41" s="169" t="str">
        <f t="shared" si="116"/>
        <v>20.4</v>
      </c>
      <c r="AG41" s="163" t="str">
        <f t="shared" si="117"/>
        <v>#DIV/0!</v>
      </c>
      <c r="AH41" s="170" t="str">
        <f t="shared" si="118"/>
        <v>#DIV/0!</v>
      </c>
      <c r="AI41" s="26"/>
      <c r="AJ41" s="171" t="str">
        <f t="shared" si="119"/>
        <v>0.00%</v>
      </c>
      <c r="AK41" s="172" t="str">
        <f t="shared" si="120"/>
        <v>#DIV/0!</v>
      </c>
      <c r="AL41" s="173" t="str">
        <f t="shared" si="121"/>
        <v>#DIV/0!</v>
      </c>
      <c r="AM41" s="174" t="str">
        <f t="shared" si="122"/>
        <v>#DIV/0!</v>
      </c>
    </row>
    <row r="42" ht="12.75" customHeight="1">
      <c r="A42" s="26"/>
      <c r="B42" s="190" t="s">
        <v>134</v>
      </c>
      <c r="C42" s="192">
        <v>2.14302044E8</v>
      </c>
      <c r="D42" s="152" t="s">
        <v>135</v>
      </c>
      <c r="E42" s="53" t="s">
        <v>77</v>
      </c>
      <c r="F42" s="154"/>
      <c r="G42" s="53"/>
      <c r="H42" s="53" t="str">
        <f t="shared" si="99"/>
        <v>0.00069</v>
      </c>
      <c r="I42" s="53" t="str">
        <f t="shared" si="100"/>
        <v>89</v>
      </c>
      <c r="J42" s="53" t="str">
        <f t="shared" si="101"/>
        <v>0</v>
      </c>
      <c r="K42" s="155" t="str">
        <f t="shared" si="102"/>
        <v>0.00</v>
      </c>
      <c r="L42" s="156" t="str">
        <f t="shared" si="103"/>
        <v>0.00 </v>
      </c>
      <c r="M42" s="132">
        <v>90.0</v>
      </c>
      <c r="N42" s="325" t="str">
        <f t="shared" si="104"/>
        <v>#DIV/0!</v>
      </c>
      <c r="O42" s="158">
        <v>580.2</v>
      </c>
      <c r="P42" s="159" t="str">
        <f t="shared" si="105"/>
        <v>#DIV/0!</v>
      </c>
      <c r="Q42" s="160"/>
      <c r="R42" s="161">
        <v>0.26</v>
      </c>
      <c r="S42" s="162" t="str">
        <f t="shared" si="106"/>
        <v>429.35</v>
      </c>
      <c r="T42" s="163" t="str">
        <f t="shared" si="107"/>
        <v>20.00</v>
      </c>
      <c r="U42" s="164" t="str">
        <f t="shared" si="108"/>
        <v>34.35</v>
      </c>
      <c r="V42" s="165" t="str">
        <f t="shared" si="109"/>
        <v>#DIV/0!</v>
      </c>
      <c r="W42" s="166">
        <v>1.06</v>
      </c>
      <c r="X42" s="167" t="str">
        <f t="shared" si="110"/>
        <v>95</v>
      </c>
      <c r="Y42" s="168" t="str">
        <f t="shared" si="111"/>
        <v>159.555</v>
      </c>
      <c r="Z42" s="168" t="str">
        <f t="shared" si="112"/>
        <v>9.317</v>
      </c>
      <c r="AA42" s="164" t="str">
        <f t="shared" si="113"/>
        <v>0.00</v>
      </c>
      <c r="AB42" s="164">
        <v>100.0</v>
      </c>
      <c r="AC42" s="164" t="str">
        <f t="shared" si="114"/>
        <v>9.60</v>
      </c>
      <c r="AD42" s="165" t="str">
        <f t="shared" si="115"/>
        <v>29.01</v>
      </c>
      <c r="AE42" s="23"/>
      <c r="AF42" s="169" t="str">
        <f t="shared" si="116"/>
        <v>20.4</v>
      </c>
      <c r="AG42" s="163" t="str">
        <f t="shared" si="117"/>
        <v>#DIV/0!</v>
      </c>
      <c r="AH42" s="170" t="str">
        <f t="shared" si="118"/>
        <v>#DIV/0!</v>
      </c>
      <c r="AI42" s="26"/>
      <c r="AJ42" s="171" t="str">
        <f t="shared" si="119"/>
        <v>0.00%</v>
      </c>
      <c r="AK42" s="172" t="str">
        <f t="shared" si="120"/>
        <v>#DIV/0!</v>
      </c>
      <c r="AL42" s="173" t="str">
        <f t="shared" si="121"/>
        <v>#DIV/0!</v>
      </c>
      <c r="AM42" s="174" t="str">
        <f t="shared" si="122"/>
        <v>#DIV/0!</v>
      </c>
    </row>
    <row r="43" ht="12.75" customHeight="1">
      <c r="A43" s="26"/>
      <c r="B43" s="190" t="s">
        <v>136</v>
      </c>
      <c r="C43" s="192">
        <v>2.14303837E8</v>
      </c>
      <c r="D43" s="152" t="s">
        <v>137</v>
      </c>
      <c r="E43" s="53" t="s">
        <v>77</v>
      </c>
      <c r="F43" s="154"/>
      <c r="G43" s="53"/>
      <c r="H43" s="53" t="str">
        <f t="shared" si="99"/>
        <v>0.00069</v>
      </c>
      <c r="I43" s="53" t="str">
        <f t="shared" si="100"/>
        <v>89</v>
      </c>
      <c r="J43" s="53" t="str">
        <f t="shared" si="101"/>
        <v>0</v>
      </c>
      <c r="K43" s="155" t="str">
        <f t="shared" si="102"/>
        <v>0.00</v>
      </c>
      <c r="L43" s="156" t="str">
        <f t="shared" si="103"/>
        <v>0.00 </v>
      </c>
      <c r="M43" s="132">
        <v>90.0</v>
      </c>
      <c r="N43" s="325" t="str">
        <f t="shared" si="104"/>
        <v>#DIV/0!</v>
      </c>
      <c r="O43" s="158">
        <v>536.1</v>
      </c>
      <c r="P43" s="159" t="str">
        <f t="shared" si="105"/>
        <v>#DIV/0!</v>
      </c>
      <c r="Q43" s="160"/>
      <c r="R43" s="161">
        <v>0.26</v>
      </c>
      <c r="S43" s="162" t="str">
        <f t="shared" si="106"/>
        <v>396.71</v>
      </c>
      <c r="T43" s="163" t="str">
        <f t="shared" si="107"/>
        <v>20.00</v>
      </c>
      <c r="U43" s="164" t="str">
        <f t="shared" si="108"/>
        <v>31.74</v>
      </c>
      <c r="V43" s="165" t="str">
        <f t="shared" si="109"/>
        <v>#DIV/0!</v>
      </c>
      <c r="W43" s="166">
        <v>0.88</v>
      </c>
      <c r="X43" s="167" t="str">
        <f t="shared" si="110"/>
        <v>76</v>
      </c>
      <c r="Y43" s="168" t="str">
        <f t="shared" si="111"/>
        <v>147.428</v>
      </c>
      <c r="Z43" s="168" t="str">
        <f t="shared" si="112"/>
        <v>8.609</v>
      </c>
      <c r="AA43" s="164" t="str">
        <f t="shared" si="113"/>
        <v>0.00</v>
      </c>
      <c r="AB43" s="164">
        <v>100.0</v>
      </c>
      <c r="AC43" s="164" t="str">
        <f t="shared" si="114"/>
        <v>4.80</v>
      </c>
      <c r="AD43" s="165" t="str">
        <f t="shared" si="115"/>
        <v>26.81</v>
      </c>
      <c r="AE43" s="23"/>
      <c r="AF43" s="169" t="str">
        <f t="shared" si="116"/>
        <v>10.2</v>
      </c>
      <c r="AG43" s="163" t="str">
        <f t="shared" si="117"/>
        <v>#DIV/0!</v>
      </c>
      <c r="AH43" s="170" t="str">
        <f t="shared" si="118"/>
        <v>#DIV/0!</v>
      </c>
      <c r="AI43" s="26"/>
      <c r="AJ43" s="171" t="str">
        <f t="shared" si="119"/>
        <v>0.00%</v>
      </c>
      <c r="AK43" s="172" t="str">
        <f t="shared" si="120"/>
        <v>#DIV/0!</v>
      </c>
      <c r="AL43" s="173" t="str">
        <f t="shared" si="121"/>
        <v>#DIV/0!</v>
      </c>
      <c r="AM43" s="174" t="str">
        <f t="shared" si="122"/>
        <v>#DIV/0!</v>
      </c>
    </row>
    <row r="44" ht="12.75" customHeight="1">
      <c r="A44" s="26"/>
      <c r="B44" s="190" t="s">
        <v>138</v>
      </c>
      <c r="C44" s="192">
        <v>2.14303875E8</v>
      </c>
      <c r="D44" s="152" t="s">
        <v>139</v>
      </c>
      <c r="E44" s="53" t="s">
        <v>77</v>
      </c>
      <c r="F44" s="154"/>
      <c r="G44" s="53"/>
      <c r="H44" s="53" t="str">
        <f t="shared" si="99"/>
        <v>0.00069</v>
      </c>
      <c r="I44" s="53" t="str">
        <f t="shared" si="100"/>
        <v>89</v>
      </c>
      <c r="J44" s="53" t="str">
        <f t="shared" si="101"/>
        <v>0</v>
      </c>
      <c r="K44" s="155" t="str">
        <f t="shared" si="102"/>
        <v>0.00</v>
      </c>
      <c r="L44" s="156" t="str">
        <f t="shared" si="103"/>
        <v>0.00 </v>
      </c>
      <c r="M44" s="132">
        <v>90.0</v>
      </c>
      <c r="N44" s="325" t="str">
        <f t="shared" si="104"/>
        <v>#DIV/0!</v>
      </c>
      <c r="O44" s="158">
        <v>580.2</v>
      </c>
      <c r="P44" s="159" t="str">
        <f t="shared" si="105"/>
        <v>#DIV/0!</v>
      </c>
      <c r="Q44" s="160"/>
      <c r="R44" s="161">
        <v>0.26</v>
      </c>
      <c r="S44" s="162" t="str">
        <f t="shared" si="106"/>
        <v>429.35</v>
      </c>
      <c r="T44" s="163" t="str">
        <f t="shared" si="107"/>
        <v>20.00</v>
      </c>
      <c r="U44" s="164" t="str">
        <f t="shared" si="108"/>
        <v>34.35</v>
      </c>
      <c r="V44" s="165" t="str">
        <f t="shared" si="109"/>
        <v>#DIV/0!</v>
      </c>
      <c r="W44" s="166">
        <v>1.06</v>
      </c>
      <c r="X44" s="167" t="str">
        <f t="shared" si="110"/>
        <v>95</v>
      </c>
      <c r="Y44" s="168" t="str">
        <f t="shared" si="111"/>
        <v>159.555</v>
      </c>
      <c r="Z44" s="168" t="str">
        <f t="shared" si="112"/>
        <v>9.317</v>
      </c>
      <c r="AA44" s="164" t="str">
        <f t="shared" si="113"/>
        <v>1.22</v>
      </c>
      <c r="AB44" s="164">
        <v>97.56</v>
      </c>
      <c r="AC44" s="164" t="str">
        <f t="shared" si="114"/>
        <v>9.60</v>
      </c>
      <c r="AD44" s="165" t="str">
        <f t="shared" si="115"/>
        <v>29.01</v>
      </c>
      <c r="AE44" s="23"/>
      <c r="AF44" s="169" t="str">
        <f t="shared" si="116"/>
        <v>20.4</v>
      </c>
      <c r="AG44" s="163" t="str">
        <f t="shared" si="117"/>
        <v>#DIV/0!</v>
      </c>
      <c r="AH44" s="170" t="str">
        <f t="shared" si="118"/>
        <v>#DIV/0!</v>
      </c>
      <c r="AI44" s="26"/>
      <c r="AJ44" s="171" t="str">
        <f t="shared" si="119"/>
        <v>0.00%</v>
      </c>
      <c r="AK44" s="172" t="str">
        <f t="shared" si="120"/>
        <v>#DIV/0!</v>
      </c>
      <c r="AL44" s="173" t="str">
        <f t="shared" si="121"/>
        <v>#DIV/0!</v>
      </c>
      <c r="AM44" s="174" t="str">
        <f t="shared" si="122"/>
        <v>#DIV/0!</v>
      </c>
    </row>
    <row r="45" ht="12.75" customHeight="1">
      <c r="A45" s="26"/>
      <c r="B45" s="190" t="s">
        <v>140</v>
      </c>
      <c r="C45" s="192">
        <v>2.14303928E8</v>
      </c>
      <c r="D45" s="152" t="s">
        <v>141</v>
      </c>
      <c r="E45" s="53" t="s">
        <v>77</v>
      </c>
      <c r="F45" s="154"/>
      <c r="G45" s="53"/>
      <c r="H45" s="53" t="str">
        <f t="shared" si="99"/>
        <v>0.00069</v>
      </c>
      <c r="I45" s="53" t="str">
        <f t="shared" si="100"/>
        <v>89</v>
      </c>
      <c r="J45" s="53" t="str">
        <f t="shared" si="101"/>
        <v>0</v>
      </c>
      <c r="K45" s="155" t="str">
        <f t="shared" si="102"/>
        <v>0.00</v>
      </c>
      <c r="L45" s="156" t="str">
        <f t="shared" si="103"/>
        <v>0.00 </v>
      </c>
      <c r="M45" s="132">
        <v>90.0</v>
      </c>
      <c r="N45" s="325" t="str">
        <f t="shared" si="104"/>
        <v>#DIV/0!</v>
      </c>
      <c r="O45" s="158">
        <v>580.2</v>
      </c>
      <c r="P45" s="159" t="str">
        <f t="shared" si="105"/>
        <v>#DIV/0!</v>
      </c>
      <c r="Q45" s="160"/>
      <c r="R45" s="161">
        <v>0.26</v>
      </c>
      <c r="S45" s="162" t="str">
        <f t="shared" si="106"/>
        <v>429.35</v>
      </c>
      <c r="T45" s="163" t="str">
        <f t="shared" si="107"/>
        <v>20.00</v>
      </c>
      <c r="U45" s="164" t="str">
        <f t="shared" si="108"/>
        <v>34.35</v>
      </c>
      <c r="V45" s="165" t="str">
        <f t="shared" si="109"/>
        <v>#DIV/0!</v>
      </c>
      <c r="W45" s="166">
        <v>1.06</v>
      </c>
      <c r="X45" s="167" t="str">
        <f t="shared" si="110"/>
        <v>95</v>
      </c>
      <c r="Y45" s="168" t="str">
        <f t="shared" si="111"/>
        <v>159.555</v>
      </c>
      <c r="Z45" s="168" t="str">
        <f t="shared" si="112"/>
        <v>9.317</v>
      </c>
      <c r="AA45" s="164" t="str">
        <f t="shared" si="113"/>
        <v>1.81</v>
      </c>
      <c r="AB45" s="164">
        <v>96.39</v>
      </c>
      <c r="AC45" s="164" t="str">
        <f t="shared" si="114"/>
        <v>9.60</v>
      </c>
      <c r="AD45" s="165" t="str">
        <f t="shared" si="115"/>
        <v>29.01</v>
      </c>
      <c r="AE45" s="23"/>
      <c r="AF45" s="169" t="str">
        <f t="shared" si="116"/>
        <v>20.4</v>
      </c>
      <c r="AG45" s="163" t="str">
        <f t="shared" si="117"/>
        <v>#DIV/0!</v>
      </c>
      <c r="AH45" s="170" t="str">
        <f t="shared" si="118"/>
        <v>#DIV/0!</v>
      </c>
      <c r="AI45" s="26"/>
      <c r="AJ45" s="171" t="str">
        <f t="shared" si="119"/>
        <v>0.00%</v>
      </c>
      <c r="AK45" s="172" t="str">
        <f t="shared" si="120"/>
        <v>#DIV/0!</v>
      </c>
      <c r="AL45" s="173" t="str">
        <f t="shared" si="121"/>
        <v>#DIV/0!</v>
      </c>
      <c r="AM45" s="174" t="str">
        <f t="shared" si="122"/>
        <v>#DIV/0!</v>
      </c>
    </row>
    <row r="46" ht="12.75" customHeight="1">
      <c r="A46" s="26"/>
      <c r="B46" s="190" t="s">
        <v>142</v>
      </c>
      <c r="C46" s="192">
        <v>2.14305484E8</v>
      </c>
      <c r="D46" s="152" t="s">
        <v>143</v>
      </c>
      <c r="E46" s="53" t="s">
        <v>77</v>
      </c>
      <c r="F46" s="154"/>
      <c r="G46" s="53"/>
      <c r="H46" s="53" t="str">
        <f t="shared" si="99"/>
        <v>0.00069</v>
      </c>
      <c r="I46" s="53" t="str">
        <f t="shared" si="100"/>
        <v>89</v>
      </c>
      <c r="J46" s="53" t="str">
        <f t="shared" si="101"/>
        <v>0</v>
      </c>
      <c r="K46" s="155" t="str">
        <f t="shared" si="102"/>
        <v>0.00</v>
      </c>
      <c r="L46" s="156" t="str">
        <f t="shared" si="103"/>
        <v>0.00 </v>
      </c>
      <c r="M46" s="132">
        <v>90.0</v>
      </c>
      <c r="N46" s="325" t="str">
        <f t="shared" si="104"/>
        <v>#DIV/0!</v>
      </c>
      <c r="O46" s="158">
        <v>727.5</v>
      </c>
      <c r="P46" s="159" t="str">
        <f t="shared" si="105"/>
        <v>#DIV/0!</v>
      </c>
      <c r="Q46" s="160"/>
      <c r="R46" s="161">
        <v>0.26</v>
      </c>
      <c r="S46" s="162" t="str">
        <f t="shared" si="106"/>
        <v>538.35</v>
      </c>
      <c r="T46" s="163" t="str">
        <f t="shared" si="107"/>
        <v>20.00</v>
      </c>
      <c r="U46" s="164" t="str">
        <f t="shared" si="108"/>
        <v>43.07</v>
      </c>
      <c r="V46" s="165" t="str">
        <f t="shared" si="109"/>
        <v>#DIV/0!</v>
      </c>
      <c r="W46" s="166">
        <v>0.65</v>
      </c>
      <c r="X46" s="167" t="str">
        <f t="shared" si="110"/>
        <v>76</v>
      </c>
      <c r="Y46" s="168" t="str">
        <f t="shared" si="111"/>
        <v>200.063</v>
      </c>
      <c r="Z46" s="168" t="str">
        <f t="shared" si="112"/>
        <v>11.682</v>
      </c>
      <c r="AA46" s="164" t="str">
        <f t="shared" si="113"/>
        <v>0.00</v>
      </c>
      <c r="AB46" s="164">
        <v>100.0</v>
      </c>
      <c r="AC46" s="164" t="str">
        <f t="shared" si="114"/>
        <v>4.80</v>
      </c>
      <c r="AD46" s="165" t="str">
        <f t="shared" si="115"/>
        <v>36.38</v>
      </c>
      <c r="AE46" s="23"/>
      <c r="AF46" s="169" t="str">
        <f t="shared" si="116"/>
        <v>10.2</v>
      </c>
      <c r="AG46" s="163" t="str">
        <f t="shared" si="117"/>
        <v>#DIV/0!</v>
      </c>
      <c r="AH46" s="170" t="str">
        <f t="shared" si="118"/>
        <v>#DIV/0!</v>
      </c>
      <c r="AI46" s="26"/>
      <c r="AJ46" s="171" t="str">
        <f t="shared" si="119"/>
        <v>0.00%</v>
      </c>
      <c r="AK46" s="172" t="str">
        <f t="shared" si="120"/>
        <v>#DIV/0!</v>
      </c>
      <c r="AL46" s="173" t="str">
        <f t="shared" si="121"/>
        <v>#DIV/0!</v>
      </c>
      <c r="AM46" s="174" t="str">
        <f t="shared" si="122"/>
        <v>#DIV/0!</v>
      </c>
    </row>
    <row r="47" ht="12.75" customHeight="1">
      <c r="A47" s="26"/>
      <c r="B47" s="190" t="s">
        <v>144</v>
      </c>
      <c r="C47" s="192">
        <v>2.14304289E8</v>
      </c>
      <c r="D47" s="152" t="s">
        <v>145</v>
      </c>
      <c r="E47" s="53" t="s">
        <v>77</v>
      </c>
      <c r="F47" s="154"/>
      <c r="G47" s="53"/>
      <c r="H47" s="53" t="str">
        <f t="shared" si="99"/>
        <v>0.00069</v>
      </c>
      <c r="I47" s="53" t="str">
        <f t="shared" si="100"/>
        <v>89</v>
      </c>
      <c r="J47" s="53" t="str">
        <f t="shared" si="101"/>
        <v>0</v>
      </c>
      <c r="K47" s="155" t="str">
        <f t="shared" si="102"/>
        <v>0.00</v>
      </c>
      <c r="L47" s="156" t="str">
        <f t="shared" si="103"/>
        <v>0.00 </v>
      </c>
      <c r="M47" s="132">
        <v>90.0</v>
      </c>
      <c r="N47" s="325" t="str">
        <f t="shared" si="104"/>
        <v>#DIV/0!</v>
      </c>
      <c r="O47" s="158">
        <v>741.6</v>
      </c>
      <c r="P47" s="159" t="str">
        <f t="shared" si="105"/>
        <v>#DIV/0!</v>
      </c>
      <c r="Q47" s="160"/>
      <c r="R47" s="161">
        <v>0.26</v>
      </c>
      <c r="S47" s="162" t="str">
        <f t="shared" si="106"/>
        <v>548.78</v>
      </c>
      <c r="T47" s="163" t="str">
        <f t="shared" si="107"/>
        <v>20.00</v>
      </c>
      <c r="U47" s="164" t="str">
        <f t="shared" si="108"/>
        <v>43.90</v>
      </c>
      <c r="V47" s="165" t="str">
        <f t="shared" si="109"/>
        <v>#DIV/0!</v>
      </c>
      <c r="W47" s="166">
        <v>0.88</v>
      </c>
      <c r="X47" s="167" t="str">
        <f t="shared" si="110"/>
        <v>76</v>
      </c>
      <c r="Y47" s="168" t="str">
        <f t="shared" si="111"/>
        <v>203.940</v>
      </c>
      <c r="Z47" s="168" t="str">
        <f t="shared" si="112"/>
        <v>11.909</v>
      </c>
      <c r="AA47" s="164" t="str">
        <f t="shared" si="113"/>
        <v>11.54</v>
      </c>
      <c r="AB47" s="164">
        <v>76.92</v>
      </c>
      <c r="AC47" s="164" t="str">
        <f t="shared" si="114"/>
        <v>4.80</v>
      </c>
      <c r="AD47" s="165" t="str">
        <f t="shared" si="115"/>
        <v>37.08</v>
      </c>
      <c r="AE47" s="23"/>
      <c r="AF47" s="169" t="str">
        <f t="shared" si="116"/>
        <v>10.2</v>
      </c>
      <c r="AG47" s="163" t="str">
        <f t="shared" si="117"/>
        <v>#DIV/0!</v>
      </c>
      <c r="AH47" s="170" t="str">
        <f t="shared" si="118"/>
        <v>#DIV/0!</v>
      </c>
      <c r="AI47" s="26"/>
      <c r="AJ47" s="171" t="str">
        <f t="shared" si="119"/>
        <v>0.00%</v>
      </c>
      <c r="AK47" s="172" t="str">
        <f t="shared" si="120"/>
        <v>#DIV/0!</v>
      </c>
      <c r="AL47" s="173" t="str">
        <f t="shared" si="121"/>
        <v>#DIV/0!</v>
      </c>
      <c r="AM47" s="174" t="str">
        <f t="shared" si="122"/>
        <v>#DIV/0!</v>
      </c>
    </row>
    <row r="48" ht="12.75" customHeight="1">
      <c r="A48" s="26"/>
      <c r="B48" s="190" t="s">
        <v>146</v>
      </c>
      <c r="C48" s="192">
        <v>2.14304723E8</v>
      </c>
      <c r="D48" s="152" t="s">
        <v>147</v>
      </c>
      <c r="E48" s="53" t="s">
        <v>77</v>
      </c>
      <c r="F48" s="154"/>
      <c r="G48" s="53"/>
      <c r="H48" s="53" t="str">
        <f t="shared" si="99"/>
        <v>0.00069</v>
      </c>
      <c r="I48" s="53" t="str">
        <f t="shared" si="100"/>
        <v>89</v>
      </c>
      <c r="J48" s="53" t="str">
        <f t="shared" si="101"/>
        <v>0</v>
      </c>
      <c r="K48" s="155" t="str">
        <f t="shared" si="102"/>
        <v>0.00</v>
      </c>
      <c r="L48" s="156" t="str">
        <f t="shared" si="103"/>
        <v>0.00 </v>
      </c>
      <c r="M48" s="132">
        <v>90.0</v>
      </c>
      <c r="N48" s="325" t="str">
        <f t="shared" si="104"/>
        <v>#DIV/0!</v>
      </c>
      <c r="O48" s="158">
        <v>741.6</v>
      </c>
      <c r="P48" s="159" t="str">
        <f t="shared" si="105"/>
        <v>#DIV/0!</v>
      </c>
      <c r="Q48" s="160"/>
      <c r="R48" s="161">
        <v>0.26</v>
      </c>
      <c r="S48" s="162" t="str">
        <f t="shared" si="106"/>
        <v>548.78</v>
      </c>
      <c r="T48" s="163" t="str">
        <f t="shared" si="107"/>
        <v>20.00</v>
      </c>
      <c r="U48" s="164" t="str">
        <f t="shared" si="108"/>
        <v>43.90</v>
      </c>
      <c r="V48" s="165" t="str">
        <f t="shared" si="109"/>
        <v>#DIV/0!</v>
      </c>
      <c r="W48" s="166">
        <v>0.65</v>
      </c>
      <c r="X48" s="167" t="str">
        <f t="shared" si="110"/>
        <v>76</v>
      </c>
      <c r="Y48" s="168" t="str">
        <f t="shared" si="111"/>
        <v>203.940</v>
      </c>
      <c r="Z48" s="168" t="str">
        <f t="shared" si="112"/>
        <v>11.909</v>
      </c>
      <c r="AA48" s="164" t="str">
        <f t="shared" si="113"/>
        <v>0.00</v>
      </c>
      <c r="AB48" s="164">
        <v>100.0</v>
      </c>
      <c r="AC48" s="164" t="str">
        <f t="shared" si="114"/>
        <v>4.80</v>
      </c>
      <c r="AD48" s="165" t="str">
        <f t="shared" si="115"/>
        <v>37.08</v>
      </c>
      <c r="AE48" s="23"/>
      <c r="AF48" s="169" t="str">
        <f t="shared" si="116"/>
        <v>10.2</v>
      </c>
      <c r="AG48" s="163" t="str">
        <f t="shared" si="117"/>
        <v>#DIV/0!</v>
      </c>
      <c r="AH48" s="170" t="str">
        <f t="shared" si="118"/>
        <v>#DIV/0!</v>
      </c>
      <c r="AI48" s="26"/>
      <c r="AJ48" s="171" t="str">
        <f t="shared" si="119"/>
        <v>0.00%</v>
      </c>
      <c r="AK48" s="172" t="str">
        <f t="shared" si="120"/>
        <v>#DIV/0!</v>
      </c>
      <c r="AL48" s="173" t="str">
        <f t="shared" si="121"/>
        <v>#DIV/0!</v>
      </c>
      <c r="AM48" s="174" t="str">
        <f t="shared" si="122"/>
        <v>#DIV/0!</v>
      </c>
    </row>
    <row r="49" ht="12.75" customHeight="1">
      <c r="A49" s="26"/>
      <c r="B49" s="190" t="s">
        <v>148</v>
      </c>
      <c r="C49" s="192">
        <v>2.14304848E8</v>
      </c>
      <c r="D49" s="152" t="s">
        <v>149</v>
      </c>
      <c r="E49" s="53" t="s">
        <v>77</v>
      </c>
      <c r="F49" s="154"/>
      <c r="G49" s="53"/>
      <c r="H49" s="53" t="str">
        <f t="shared" si="99"/>
        <v>0.00069</v>
      </c>
      <c r="I49" s="53" t="str">
        <f t="shared" si="100"/>
        <v>89</v>
      </c>
      <c r="J49" s="53" t="str">
        <f t="shared" si="101"/>
        <v>0</v>
      </c>
      <c r="K49" s="155" t="str">
        <f t="shared" si="102"/>
        <v>0.00</v>
      </c>
      <c r="L49" s="156" t="str">
        <f t="shared" si="103"/>
        <v>0.00 </v>
      </c>
      <c r="M49" s="132">
        <v>90.0</v>
      </c>
      <c r="N49" s="325" t="str">
        <f t="shared" si="104"/>
        <v>#DIV/0!</v>
      </c>
      <c r="O49" s="158">
        <v>1359.0</v>
      </c>
      <c r="P49" s="159" t="str">
        <f t="shared" si="105"/>
        <v>#DIV/0!</v>
      </c>
      <c r="Q49" s="160"/>
      <c r="R49" s="161">
        <v>0.26</v>
      </c>
      <c r="S49" s="162" t="str">
        <f t="shared" si="106"/>
        <v>1,005.66</v>
      </c>
      <c r="T49" s="163" t="str">
        <f t="shared" si="107"/>
        <v>20.00</v>
      </c>
      <c r="U49" s="164" t="str">
        <f t="shared" si="108"/>
        <v>80.45</v>
      </c>
      <c r="V49" s="165" t="str">
        <f t="shared" si="109"/>
        <v>#DIV/0!</v>
      </c>
      <c r="W49" s="166">
        <v>0.72</v>
      </c>
      <c r="X49" s="167" t="str">
        <f t="shared" si="110"/>
        <v>76</v>
      </c>
      <c r="Y49" s="168" t="str">
        <f t="shared" si="111"/>
        <v>373.725</v>
      </c>
      <c r="Z49" s="168" t="str">
        <f t="shared" si="112"/>
        <v>21.823</v>
      </c>
      <c r="AA49" s="164" t="str">
        <f t="shared" si="113"/>
        <v>11.11</v>
      </c>
      <c r="AB49" s="164">
        <v>77.78</v>
      </c>
      <c r="AC49" s="164" t="str">
        <f t="shared" si="114"/>
        <v>4.80</v>
      </c>
      <c r="AD49" s="165" t="str">
        <f t="shared" si="115"/>
        <v>67.95</v>
      </c>
      <c r="AE49" s="23"/>
      <c r="AF49" s="169" t="str">
        <f t="shared" si="116"/>
        <v>10.2</v>
      </c>
      <c r="AG49" s="163" t="str">
        <f t="shared" si="117"/>
        <v>#DIV/0!</v>
      </c>
      <c r="AH49" s="170" t="str">
        <f t="shared" si="118"/>
        <v>#DIV/0!</v>
      </c>
      <c r="AI49" s="26"/>
      <c r="AJ49" s="171" t="str">
        <f t="shared" si="119"/>
        <v>0.00%</v>
      </c>
      <c r="AK49" s="172" t="str">
        <f t="shared" si="120"/>
        <v>#DIV/0!</v>
      </c>
      <c r="AL49" s="173" t="str">
        <f t="shared" si="121"/>
        <v>#DIV/0!</v>
      </c>
      <c r="AM49" s="174" t="str">
        <f t="shared" si="122"/>
        <v>#DIV/0!</v>
      </c>
    </row>
    <row r="50" ht="12.75" customHeight="1">
      <c r="A50" s="26"/>
      <c r="B50" s="190" t="s">
        <v>150</v>
      </c>
      <c r="C50" s="192">
        <v>2.14305157E8</v>
      </c>
      <c r="D50" s="152" t="s">
        <v>151</v>
      </c>
      <c r="E50" s="53" t="s">
        <v>77</v>
      </c>
      <c r="F50" s="154"/>
      <c r="G50" s="53"/>
      <c r="H50" s="53" t="str">
        <f t="shared" si="99"/>
        <v>0.00069</v>
      </c>
      <c r="I50" s="53" t="str">
        <f t="shared" si="100"/>
        <v>89</v>
      </c>
      <c r="J50" s="53" t="str">
        <f t="shared" si="101"/>
        <v>0</v>
      </c>
      <c r="K50" s="155" t="str">
        <f t="shared" si="102"/>
        <v>0.00</v>
      </c>
      <c r="L50" s="156" t="str">
        <f t="shared" si="103"/>
        <v>0.00 </v>
      </c>
      <c r="M50" s="132">
        <v>90.0</v>
      </c>
      <c r="N50" s="325" t="str">
        <f t="shared" si="104"/>
        <v>#DIV/0!</v>
      </c>
      <c r="O50" s="158">
        <v>713.4</v>
      </c>
      <c r="P50" s="159" t="str">
        <f t="shared" si="105"/>
        <v>#DIV/0!</v>
      </c>
      <c r="Q50" s="160"/>
      <c r="R50" s="161">
        <v>0.26</v>
      </c>
      <c r="S50" s="162" t="str">
        <f t="shared" si="106"/>
        <v>527.92</v>
      </c>
      <c r="T50" s="163" t="str">
        <f t="shared" si="107"/>
        <v>20.00</v>
      </c>
      <c r="U50" s="164" t="str">
        <f t="shared" si="108"/>
        <v>42.23</v>
      </c>
      <c r="V50" s="165" t="str">
        <f t="shared" si="109"/>
        <v>#DIV/0!</v>
      </c>
      <c r="W50" s="166">
        <v>0.65</v>
      </c>
      <c r="X50" s="167" t="str">
        <f t="shared" si="110"/>
        <v>76</v>
      </c>
      <c r="Y50" s="168" t="str">
        <f t="shared" si="111"/>
        <v>196.185</v>
      </c>
      <c r="Z50" s="168" t="str">
        <f t="shared" si="112"/>
        <v>11.456</v>
      </c>
      <c r="AA50" s="164" t="str">
        <f t="shared" si="113"/>
        <v>2.50</v>
      </c>
      <c r="AB50" s="164">
        <v>95.0</v>
      </c>
      <c r="AC50" s="164" t="str">
        <f t="shared" si="114"/>
        <v>4.80</v>
      </c>
      <c r="AD50" s="165" t="str">
        <f t="shared" si="115"/>
        <v>35.67</v>
      </c>
      <c r="AE50" s="23"/>
      <c r="AF50" s="169" t="str">
        <f t="shared" si="116"/>
        <v>10.2</v>
      </c>
      <c r="AG50" s="163" t="str">
        <f t="shared" si="117"/>
        <v>#DIV/0!</v>
      </c>
      <c r="AH50" s="170" t="str">
        <f t="shared" si="118"/>
        <v>#DIV/0!</v>
      </c>
      <c r="AI50" s="26"/>
      <c r="AJ50" s="171" t="str">
        <f t="shared" si="119"/>
        <v>0.00%</v>
      </c>
      <c r="AK50" s="172" t="str">
        <f t="shared" si="120"/>
        <v>#DIV/0!</v>
      </c>
      <c r="AL50" s="173" t="str">
        <f t="shared" si="121"/>
        <v>#DIV/0!</v>
      </c>
      <c r="AM50" s="174" t="str">
        <f t="shared" si="122"/>
        <v>#DIV/0!</v>
      </c>
    </row>
    <row r="51" ht="12.75" customHeight="1">
      <c r="A51" s="26"/>
      <c r="B51" s="190" t="s">
        <v>152</v>
      </c>
      <c r="C51" s="192">
        <v>2.14305367E8</v>
      </c>
      <c r="D51" s="152" t="s">
        <v>153</v>
      </c>
      <c r="E51" s="53" t="s">
        <v>77</v>
      </c>
      <c r="F51" s="154"/>
      <c r="G51" s="53"/>
      <c r="H51" s="53" t="str">
        <f t="shared" si="99"/>
        <v>0.00069</v>
      </c>
      <c r="I51" s="53" t="str">
        <f t="shared" si="100"/>
        <v>89</v>
      </c>
      <c r="J51" s="53" t="str">
        <f t="shared" si="101"/>
        <v>0</v>
      </c>
      <c r="K51" s="155" t="str">
        <f t="shared" si="102"/>
        <v>0.00</v>
      </c>
      <c r="L51" s="156" t="str">
        <f t="shared" si="103"/>
        <v>0.00 </v>
      </c>
      <c r="M51" s="132">
        <v>90.0</v>
      </c>
      <c r="N51" s="325" t="str">
        <f t="shared" si="104"/>
        <v>#DIV/0!</v>
      </c>
      <c r="O51" s="158">
        <v>727.5</v>
      </c>
      <c r="P51" s="159" t="str">
        <f t="shared" si="105"/>
        <v>#DIV/0!</v>
      </c>
      <c r="Q51" s="160"/>
      <c r="R51" s="161">
        <v>0.26</v>
      </c>
      <c r="S51" s="162" t="str">
        <f t="shared" si="106"/>
        <v>538.35</v>
      </c>
      <c r="T51" s="163" t="str">
        <f t="shared" si="107"/>
        <v>20.00</v>
      </c>
      <c r="U51" s="164" t="str">
        <f t="shared" si="108"/>
        <v>43.07</v>
      </c>
      <c r="V51" s="165" t="str">
        <f t="shared" si="109"/>
        <v>#DIV/0!</v>
      </c>
      <c r="W51" s="166">
        <v>0.72</v>
      </c>
      <c r="X51" s="167" t="str">
        <f t="shared" si="110"/>
        <v>76</v>
      </c>
      <c r="Y51" s="168" t="str">
        <f t="shared" si="111"/>
        <v>200.063</v>
      </c>
      <c r="Z51" s="168" t="str">
        <f t="shared" si="112"/>
        <v>11.682</v>
      </c>
      <c r="AA51" s="164" t="str">
        <f t="shared" si="113"/>
        <v>2.41</v>
      </c>
      <c r="AB51" s="164">
        <v>95.18</v>
      </c>
      <c r="AC51" s="164" t="str">
        <f t="shared" si="114"/>
        <v>4.80</v>
      </c>
      <c r="AD51" s="165" t="str">
        <f t="shared" si="115"/>
        <v>36.38</v>
      </c>
      <c r="AE51" s="23"/>
      <c r="AF51" s="169" t="str">
        <f t="shared" si="116"/>
        <v>10.2</v>
      </c>
      <c r="AG51" s="163" t="str">
        <f t="shared" si="117"/>
        <v>#DIV/0!</v>
      </c>
      <c r="AH51" s="170" t="str">
        <f t="shared" si="118"/>
        <v>#DIV/0!</v>
      </c>
      <c r="AI51" s="26"/>
      <c r="AJ51" s="171" t="str">
        <f t="shared" si="119"/>
        <v>0.00%</v>
      </c>
      <c r="AK51" s="172" t="str">
        <f t="shared" si="120"/>
        <v>#DIV/0!</v>
      </c>
      <c r="AL51" s="173" t="str">
        <f t="shared" si="121"/>
        <v>#DIV/0!</v>
      </c>
      <c r="AM51" s="174" t="str">
        <f t="shared" si="122"/>
        <v>#DIV/0!</v>
      </c>
    </row>
    <row r="52" ht="12.75" customHeight="1">
      <c r="A52" s="26"/>
      <c r="B52" s="190" t="s">
        <v>154</v>
      </c>
      <c r="C52" s="192">
        <v>2.14305331E8</v>
      </c>
      <c r="D52" s="152" t="s">
        <v>155</v>
      </c>
      <c r="E52" s="53" t="s">
        <v>77</v>
      </c>
      <c r="F52" s="154"/>
      <c r="G52" s="53"/>
      <c r="H52" s="53" t="str">
        <f t="shared" si="99"/>
        <v>0.00069</v>
      </c>
      <c r="I52" s="53" t="str">
        <f t="shared" si="100"/>
        <v>89</v>
      </c>
      <c r="J52" s="53" t="str">
        <f t="shared" si="101"/>
        <v>0</v>
      </c>
      <c r="K52" s="155" t="str">
        <f t="shared" si="102"/>
        <v>0.00</v>
      </c>
      <c r="L52" s="156" t="str">
        <f t="shared" si="103"/>
        <v>0.00 </v>
      </c>
      <c r="M52" s="132">
        <v>90.0</v>
      </c>
      <c r="N52" s="325" t="str">
        <f t="shared" si="104"/>
        <v>#DIV/0!</v>
      </c>
      <c r="O52" s="158">
        <v>727.5</v>
      </c>
      <c r="P52" s="159" t="str">
        <f t="shared" si="105"/>
        <v>#DIV/0!</v>
      </c>
      <c r="Q52" s="160"/>
      <c r="R52" s="161">
        <v>0.26</v>
      </c>
      <c r="S52" s="162" t="str">
        <f t="shared" si="106"/>
        <v>538.35</v>
      </c>
      <c r="T52" s="163" t="str">
        <f t="shared" si="107"/>
        <v>20.00</v>
      </c>
      <c r="U52" s="164" t="str">
        <f t="shared" si="108"/>
        <v>43.07</v>
      </c>
      <c r="V52" s="165" t="str">
        <f t="shared" si="109"/>
        <v>#DIV/0!</v>
      </c>
      <c r="W52" s="166">
        <v>0.68</v>
      </c>
      <c r="X52" s="167" t="str">
        <f t="shared" si="110"/>
        <v>76</v>
      </c>
      <c r="Y52" s="168" t="str">
        <f t="shared" si="111"/>
        <v>200.063</v>
      </c>
      <c r="Z52" s="168" t="str">
        <f t="shared" si="112"/>
        <v>11.682</v>
      </c>
      <c r="AA52" s="164" t="str">
        <f t="shared" si="113"/>
        <v>2.78</v>
      </c>
      <c r="AB52" s="164">
        <v>94.44</v>
      </c>
      <c r="AC52" s="164" t="str">
        <f t="shared" si="114"/>
        <v>4.80</v>
      </c>
      <c r="AD52" s="165" t="str">
        <f t="shared" si="115"/>
        <v>36.38</v>
      </c>
      <c r="AE52" s="23"/>
      <c r="AF52" s="169" t="str">
        <f t="shared" si="116"/>
        <v>10.2</v>
      </c>
      <c r="AG52" s="163" t="str">
        <f t="shared" si="117"/>
        <v>#DIV/0!</v>
      </c>
      <c r="AH52" s="170" t="str">
        <f t="shared" si="118"/>
        <v>#DIV/0!</v>
      </c>
      <c r="AI52" s="26"/>
      <c r="AJ52" s="171" t="str">
        <f t="shared" si="119"/>
        <v>0.00%</v>
      </c>
      <c r="AK52" s="172" t="str">
        <f t="shared" si="120"/>
        <v>#DIV/0!</v>
      </c>
      <c r="AL52" s="173" t="str">
        <f t="shared" si="121"/>
        <v>#DIV/0!</v>
      </c>
      <c r="AM52" s="174" t="str">
        <f t="shared" si="122"/>
        <v>#DIV/0!</v>
      </c>
    </row>
    <row r="53" ht="12.75" customHeight="1">
      <c r="A53" s="26"/>
      <c r="B53" s="190" t="s">
        <v>156</v>
      </c>
      <c r="C53" s="192">
        <v>2.14305394E8</v>
      </c>
      <c r="D53" s="152" t="s">
        <v>157</v>
      </c>
      <c r="E53" s="53" t="s">
        <v>77</v>
      </c>
      <c r="F53" s="154"/>
      <c r="G53" s="53"/>
      <c r="H53" s="53" t="str">
        <f t="shared" si="99"/>
        <v>0.00069</v>
      </c>
      <c r="I53" s="53" t="str">
        <f t="shared" si="100"/>
        <v>89</v>
      </c>
      <c r="J53" s="53" t="str">
        <f t="shared" si="101"/>
        <v>0</v>
      </c>
      <c r="K53" s="155" t="str">
        <f t="shared" si="102"/>
        <v>0.00</v>
      </c>
      <c r="L53" s="156" t="str">
        <f t="shared" si="103"/>
        <v>0.00 </v>
      </c>
      <c r="M53" s="132">
        <v>90.0</v>
      </c>
      <c r="N53" s="325" t="str">
        <f t="shared" si="104"/>
        <v>#DIV/0!</v>
      </c>
      <c r="O53" s="158">
        <v>1241.4</v>
      </c>
      <c r="P53" s="159" t="str">
        <f t="shared" si="105"/>
        <v>#DIV/0!</v>
      </c>
      <c r="Q53" s="160"/>
      <c r="R53" s="161">
        <v>0.26</v>
      </c>
      <c r="S53" s="162" t="str">
        <f t="shared" si="106"/>
        <v>918.64</v>
      </c>
      <c r="T53" s="163" t="str">
        <f t="shared" si="107"/>
        <v>20.00</v>
      </c>
      <c r="U53" s="164" t="str">
        <f t="shared" si="108"/>
        <v>73.49</v>
      </c>
      <c r="V53" s="165" t="str">
        <f t="shared" si="109"/>
        <v>#DIV/0!</v>
      </c>
      <c r="W53" s="166">
        <v>0.68</v>
      </c>
      <c r="X53" s="167" t="str">
        <f t="shared" si="110"/>
        <v>76</v>
      </c>
      <c r="Y53" s="168" t="str">
        <f t="shared" si="111"/>
        <v>341.385</v>
      </c>
      <c r="Z53" s="168" t="str">
        <f t="shared" si="112"/>
        <v>19.934</v>
      </c>
      <c r="AA53" s="164" t="str">
        <f t="shared" si="113"/>
        <v>0.00</v>
      </c>
      <c r="AB53" s="164">
        <v>100.0</v>
      </c>
      <c r="AC53" s="164" t="str">
        <f t="shared" si="114"/>
        <v>4.80</v>
      </c>
      <c r="AD53" s="165" t="str">
        <f t="shared" si="115"/>
        <v>62.07</v>
      </c>
      <c r="AE53" s="23"/>
      <c r="AF53" s="169" t="str">
        <f t="shared" si="116"/>
        <v>10.2</v>
      </c>
      <c r="AG53" s="163" t="str">
        <f t="shared" si="117"/>
        <v>#DIV/0!</v>
      </c>
      <c r="AH53" s="170" t="str">
        <f t="shared" si="118"/>
        <v>#DIV/0!</v>
      </c>
      <c r="AI53" s="26"/>
      <c r="AJ53" s="171" t="str">
        <f t="shared" si="119"/>
        <v>0.00%</v>
      </c>
      <c r="AK53" s="172" t="str">
        <f t="shared" si="120"/>
        <v>#DIV/0!</v>
      </c>
      <c r="AL53" s="173" t="str">
        <f t="shared" si="121"/>
        <v>#DIV/0!</v>
      </c>
      <c r="AM53" s="174" t="str">
        <f t="shared" si="122"/>
        <v>#DIV/0!</v>
      </c>
    </row>
    <row r="54" ht="12.75" customHeight="1">
      <c r="A54" s="26"/>
      <c r="B54" s="125" t="s">
        <v>158</v>
      </c>
      <c r="C54" s="126"/>
      <c r="D54" s="127"/>
      <c r="E54" s="128"/>
      <c r="F54" s="129"/>
      <c r="G54" s="128"/>
      <c r="H54" s="197"/>
      <c r="I54" s="197"/>
      <c r="J54" s="128"/>
      <c r="K54" s="130"/>
      <c r="L54" s="131"/>
      <c r="M54" s="132"/>
      <c r="N54" s="320"/>
      <c r="O54" s="134"/>
      <c r="P54" s="135"/>
      <c r="Q54" s="135"/>
      <c r="R54" s="136"/>
      <c r="S54" s="137"/>
      <c r="T54" s="177"/>
      <c r="U54" s="178"/>
      <c r="V54" s="179"/>
      <c r="W54" s="180"/>
      <c r="X54" s="181"/>
      <c r="Y54" s="182"/>
      <c r="Z54" s="182"/>
      <c r="AA54" s="178"/>
      <c r="AB54" s="178"/>
      <c r="AC54" s="178"/>
      <c r="AD54" s="179"/>
      <c r="AE54" s="183"/>
      <c r="AF54" s="184"/>
      <c r="AG54" s="177"/>
      <c r="AH54" s="185"/>
      <c r="AI54" s="26"/>
      <c r="AJ54" s="186"/>
      <c r="AK54" s="187"/>
      <c r="AL54" s="188"/>
      <c r="AM54" s="189"/>
    </row>
    <row r="55" ht="12.75" customHeight="1">
      <c r="A55" s="26"/>
      <c r="B55" s="190" t="s">
        <v>159</v>
      </c>
      <c r="C55" s="199">
        <v>2.12719009E8</v>
      </c>
      <c r="D55" s="152" t="s">
        <v>160</v>
      </c>
      <c r="E55" s="53" t="s">
        <v>77</v>
      </c>
      <c r="F55" s="154"/>
      <c r="G55" s="53"/>
      <c r="H55" s="53" t="str">
        <f t="shared" ref="H55:H61" si="123">$I$2</f>
        <v>0.00069</v>
      </c>
      <c r="I55" s="53" t="str">
        <f t="shared" ref="I55:I61" si="124">$I$3</f>
        <v>89</v>
      </c>
      <c r="J55" s="53" t="str">
        <f t="shared" ref="J55:J61" si="125">G55*H55*I55*F55</f>
        <v>0</v>
      </c>
      <c r="K55" s="155" t="str">
        <f t="shared" ref="K55:K61" si="126">J55*$J$4</f>
        <v>0.00</v>
      </c>
      <c r="L55" s="156" t="str">
        <f t="shared" ref="L55:L61" si="127">K55+J55</f>
        <v>0.00 </v>
      </c>
      <c r="M55" s="132">
        <v>90.0</v>
      </c>
      <c r="N55" s="325">
        <v>1449.78</v>
      </c>
      <c r="O55" s="158">
        <v>3800.0</v>
      </c>
      <c r="P55" s="159" t="str">
        <f t="shared" ref="P55:P59" si="128">O55</f>
        <v>3,800.00</v>
      </c>
      <c r="Q55" s="160">
        <v>3829.0</v>
      </c>
      <c r="R55" s="161">
        <v>0.26</v>
      </c>
      <c r="S55" s="162" t="str">
        <f t="shared" ref="S55:S61" si="129">O55-(O55*R55)</f>
        <v>2,812.00</v>
      </c>
      <c r="T55" s="163" t="str">
        <f t="shared" ref="T55:T61" si="130">$C$1</f>
        <v>20.00</v>
      </c>
      <c r="U55" s="164" t="str">
        <f t="shared" ref="U55:U61" si="131">S55*$C$8</f>
        <v>224.96</v>
      </c>
      <c r="V55" s="165" t="str">
        <f t="shared" ref="V55:V61" si="132">N55*$C$3*(M55/30)</f>
        <v>0.00</v>
      </c>
      <c r="W55" s="166">
        <v>0.45</v>
      </c>
      <c r="X55" s="167" t="str">
        <f t="shared" ref="X55:X61" si="133">((_xlfn.CEILING.MATH(W55)-1)*$C$5+$C$4)</f>
        <v>76</v>
      </c>
      <c r="Y55" s="168" t="str">
        <f t="shared" ref="Y55:Y61" si="134">O55*$Y$6</f>
        <v>1,045.000</v>
      </c>
      <c r="Z55" s="168" t="str">
        <f t="shared" ref="Z55:Z61" si="135">S55*$Y$7</f>
        <v>61.020</v>
      </c>
      <c r="AA55" s="164" t="str">
        <f t="shared" ref="AA55:AA61" si="136">$Y$3*((100-AB55)/100)</f>
        <v>4.74</v>
      </c>
      <c r="AB55" s="164">
        <v>90.52</v>
      </c>
      <c r="AC55" s="164" t="str">
        <f t="shared" ref="AC55:AC61" si="137">$C$6*$C$7*_xlfn.CEILING.MATH(W55)</f>
        <v>4.80</v>
      </c>
      <c r="AD55" s="165" t="str">
        <f t="shared" ref="AD55:AD61" si="138">O55*$C$2</f>
        <v>190.00</v>
      </c>
      <c r="AE55" s="23"/>
      <c r="AF55" s="169" t="str">
        <f t="shared" ref="AF55:AF61" si="139">(_xlfn.CEILING.MATH(W55))*$Y$1*$AD$2</f>
        <v>10.2</v>
      </c>
      <c r="AG55" s="163" t="str">
        <f t="shared" ref="AG55:AG61" si="140">O55-T55-U55-V55-X55-Y55-Z55-AA55-AC55-AD55-N55</f>
        <v>723.70</v>
      </c>
      <c r="AH55" s="170" t="str">
        <f t="shared" ref="AH55:AH61" si="141">AG55/N55</f>
        <v>49.92%</v>
      </c>
      <c r="AI55" s="26"/>
      <c r="AJ55" s="171" t="str">
        <f t="shared" ref="AJ55:AJ61" si="142">$AD$3</f>
        <v>0.00%</v>
      </c>
      <c r="AK55" s="172" t="str">
        <f t="shared" ref="AK55:AK61" si="143">N55*AJ55</f>
        <v>0.00</v>
      </c>
      <c r="AL55" s="173" t="str">
        <f t="shared" ref="AL55:AL61" si="144">(N55+T55+V55+X55+AA55+AC55+AF55+AK55)/(100%-($C$2+$C$8+$Y$6+$Y$7))</f>
        <v>2,730.72</v>
      </c>
      <c r="AM55" s="174" t="str">
        <f t="shared" ref="AM55:AM61" si="145">AL55-(AL55*$AD$1)</f>
        <v>1,938.81</v>
      </c>
    </row>
    <row r="56" ht="12.75" customHeight="1">
      <c r="A56" s="26"/>
      <c r="B56" s="190" t="s">
        <v>161</v>
      </c>
      <c r="C56" s="199">
        <v>1.9942606E8</v>
      </c>
      <c r="D56" s="152" t="s">
        <v>162</v>
      </c>
      <c r="E56" s="53" t="s">
        <v>77</v>
      </c>
      <c r="F56" s="154"/>
      <c r="G56" s="53"/>
      <c r="H56" s="53" t="str">
        <f t="shared" si="123"/>
        <v>0.00069</v>
      </c>
      <c r="I56" s="53" t="str">
        <f t="shared" si="124"/>
        <v>89</v>
      </c>
      <c r="J56" s="53" t="str">
        <f t="shared" si="125"/>
        <v>0</v>
      </c>
      <c r="K56" s="155" t="str">
        <f t="shared" si="126"/>
        <v>0.00</v>
      </c>
      <c r="L56" s="156" t="str">
        <f t="shared" si="127"/>
        <v>0.00 </v>
      </c>
      <c r="M56" s="132">
        <v>90.0</v>
      </c>
      <c r="N56" s="325">
        <v>927.84</v>
      </c>
      <c r="O56" s="158">
        <v>2200.0</v>
      </c>
      <c r="P56" s="159" t="str">
        <f t="shared" si="128"/>
        <v>2,200.00</v>
      </c>
      <c r="Q56" s="160">
        <v>2228.0</v>
      </c>
      <c r="R56" s="161">
        <v>0.26</v>
      </c>
      <c r="S56" s="162" t="str">
        <f t="shared" si="129"/>
        <v>1,628.00</v>
      </c>
      <c r="T56" s="163" t="str">
        <f t="shared" si="130"/>
        <v>20.00</v>
      </c>
      <c r="U56" s="164" t="str">
        <f t="shared" si="131"/>
        <v>130.24</v>
      </c>
      <c r="V56" s="165" t="str">
        <f t="shared" si="132"/>
        <v>0.00</v>
      </c>
      <c r="W56" s="166">
        <v>0.23</v>
      </c>
      <c r="X56" s="167" t="str">
        <f t="shared" si="133"/>
        <v>76</v>
      </c>
      <c r="Y56" s="168" t="str">
        <f t="shared" si="134"/>
        <v>605.000</v>
      </c>
      <c r="Z56" s="168" t="str">
        <f t="shared" si="135"/>
        <v>35.328</v>
      </c>
      <c r="AA56" s="164" t="str">
        <f t="shared" si="136"/>
        <v>10.23</v>
      </c>
      <c r="AB56" s="164">
        <v>79.55</v>
      </c>
      <c r="AC56" s="164" t="str">
        <f t="shared" si="137"/>
        <v>4.80</v>
      </c>
      <c r="AD56" s="165" t="str">
        <f t="shared" si="138"/>
        <v>110.00</v>
      </c>
      <c r="AE56" s="23"/>
      <c r="AF56" s="169" t="str">
        <f t="shared" si="139"/>
        <v>10.2</v>
      </c>
      <c r="AG56" s="163" t="str">
        <f t="shared" si="140"/>
        <v>280.57</v>
      </c>
      <c r="AH56" s="170" t="str">
        <f t="shared" si="141"/>
        <v>30.24%</v>
      </c>
      <c r="AI56" s="26"/>
      <c r="AJ56" s="171" t="str">
        <f t="shared" si="142"/>
        <v>0.00%</v>
      </c>
      <c r="AK56" s="172" t="str">
        <f t="shared" si="143"/>
        <v>0.00</v>
      </c>
      <c r="AL56" s="173" t="str">
        <f t="shared" si="144"/>
        <v>1,829.87</v>
      </c>
      <c r="AM56" s="174" t="str">
        <f t="shared" si="145"/>
        <v>1,299.21</v>
      </c>
    </row>
    <row r="57" ht="12.75" customHeight="1">
      <c r="A57" s="26"/>
      <c r="B57" s="190" t="s">
        <v>163</v>
      </c>
      <c r="C57" s="199">
        <v>1.99425671E8</v>
      </c>
      <c r="D57" s="152" t="s">
        <v>164</v>
      </c>
      <c r="E57" s="53" t="s">
        <v>77</v>
      </c>
      <c r="F57" s="154"/>
      <c r="G57" s="53"/>
      <c r="H57" s="53" t="str">
        <f t="shared" si="123"/>
        <v>0.00069</v>
      </c>
      <c r="I57" s="53" t="str">
        <f t="shared" si="124"/>
        <v>89</v>
      </c>
      <c r="J57" s="53" t="str">
        <f t="shared" si="125"/>
        <v>0</v>
      </c>
      <c r="K57" s="155" t="str">
        <f t="shared" si="126"/>
        <v>0.00</v>
      </c>
      <c r="L57" s="156" t="str">
        <f t="shared" si="127"/>
        <v>0.00 </v>
      </c>
      <c r="M57" s="132">
        <v>90.0</v>
      </c>
      <c r="N57" s="325">
        <v>666.95</v>
      </c>
      <c r="O57" s="158">
        <v>2117.0</v>
      </c>
      <c r="P57" s="159" t="str">
        <f t="shared" si="128"/>
        <v>2,117.00</v>
      </c>
      <c r="Q57" s="160">
        <v>2138.0</v>
      </c>
      <c r="R57" s="161">
        <v>0.26</v>
      </c>
      <c r="S57" s="162" t="str">
        <f t="shared" si="129"/>
        <v>1,566.58</v>
      </c>
      <c r="T57" s="163" t="str">
        <f t="shared" si="130"/>
        <v>20.00</v>
      </c>
      <c r="U57" s="164" t="str">
        <f t="shared" si="131"/>
        <v>125.33</v>
      </c>
      <c r="V57" s="165" t="str">
        <f t="shared" si="132"/>
        <v>0.00</v>
      </c>
      <c r="W57" s="166">
        <v>0.14</v>
      </c>
      <c r="X57" s="167" t="str">
        <f t="shared" si="133"/>
        <v>76</v>
      </c>
      <c r="Y57" s="168" t="str">
        <f t="shared" si="134"/>
        <v>582.175</v>
      </c>
      <c r="Z57" s="168" t="str">
        <f t="shared" si="135"/>
        <v>33.995</v>
      </c>
      <c r="AA57" s="164" t="str">
        <f t="shared" si="136"/>
        <v>3.97</v>
      </c>
      <c r="AB57" s="164">
        <v>92.07</v>
      </c>
      <c r="AC57" s="164" t="str">
        <f t="shared" si="137"/>
        <v>4.80</v>
      </c>
      <c r="AD57" s="165" t="str">
        <f t="shared" si="138"/>
        <v>105.85</v>
      </c>
      <c r="AE57" s="23"/>
      <c r="AF57" s="169" t="str">
        <f t="shared" si="139"/>
        <v>10.2</v>
      </c>
      <c r="AG57" s="163" t="str">
        <f t="shared" si="140"/>
        <v>497.94</v>
      </c>
      <c r="AH57" s="170" t="str">
        <f t="shared" si="141"/>
        <v>74.66%</v>
      </c>
      <c r="AI57" s="26"/>
      <c r="AJ57" s="171" t="str">
        <f t="shared" si="142"/>
        <v>0.00%</v>
      </c>
      <c r="AK57" s="172" t="str">
        <f t="shared" si="143"/>
        <v>0.00</v>
      </c>
      <c r="AL57" s="173" t="str">
        <f t="shared" si="144"/>
        <v>1,363.88</v>
      </c>
      <c r="AM57" s="174" t="str">
        <f t="shared" si="145"/>
        <v>968.36</v>
      </c>
    </row>
    <row r="58" ht="12.75" customHeight="1">
      <c r="A58" s="26"/>
      <c r="B58" s="190" t="s">
        <v>165</v>
      </c>
      <c r="C58" s="199">
        <v>1.99427475E8</v>
      </c>
      <c r="D58" s="152" t="s">
        <v>166</v>
      </c>
      <c r="E58" s="53" t="s">
        <v>77</v>
      </c>
      <c r="F58" s="154"/>
      <c r="G58" s="53"/>
      <c r="H58" s="53" t="str">
        <f t="shared" si="123"/>
        <v>0.00069</v>
      </c>
      <c r="I58" s="53" t="str">
        <f t="shared" si="124"/>
        <v>89</v>
      </c>
      <c r="J58" s="53" t="str">
        <f t="shared" si="125"/>
        <v>0</v>
      </c>
      <c r="K58" s="155" t="str">
        <f t="shared" si="126"/>
        <v>0.00</v>
      </c>
      <c r="L58" s="156" t="str">
        <f t="shared" si="127"/>
        <v>0.00 </v>
      </c>
      <c r="M58" s="132">
        <v>90.0</v>
      </c>
      <c r="N58" s="325">
        <v>637.89</v>
      </c>
      <c r="O58" s="158">
        <v>1590.0</v>
      </c>
      <c r="P58" s="159" t="str">
        <f t="shared" si="128"/>
        <v>1,590.00</v>
      </c>
      <c r="Q58" s="160">
        <v>1606.0</v>
      </c>
      <c r="R58" s="161">
        <v>0.26</v>
      </c>
      <c r="S58" s="162" t="str">
        <f t="shared" si="129"/>
        <v>1,176.60</v>
      </c>
      <c r="T58" s="163" t="str">
        <f t="shared" si="130"/>
        <v>20.00</v>
      </c>
      <c r="U58" s="164" t="str">
        <f t="shared" si="131"/>
        <v>94.13</v>
      </c>
      <c r="V58" s="165" t="str">
        <f t="shared" si="132"/>
        <v>0.00</v>
      </c>
      <c r="W58" s="166">
        <v>0.33</v>
      </c>
      <c r="X58" s="167" t="str">
        <f t="shared" si="133"/>
        <v>76</v>
      </c>
      <c r="Y58" s="168" t="str">
        <f t="shared" si="134"/>
        <v>437.250</v>
      </c>
      <c r="Z58" s="168" t="str">
        <f t="shared" si="135"/>
        <v>25.532</v>
      </c>
      <c r="AA58" s="164" t="str">
        <f t="shared" si="136"/>
        <v>4.29</v>
      </c>
      <c r="AB58" s="164">
        <v>91.43</v>
      </c>
      <c r="AC58" s="164" t="str">
        <f t="shared" si="137"/>
        <v>4.80</v>
      </c>
      <c r="AD58" s="165" t="str">
        <f t="shared" si="138"/>
        <v>79.50</v>
      </c>
      <c r="AE58" s="23"/>
      <c r="AF58" s="169" t="str">
        <f t="shared" si="139"/>
        <v>10.2</v>
      </c>
      <c r="AG58" s="163" t="str">
        <f t="shared" si="140"/>
        <v>210.61</v>
      </c>
      <c r="AH58" s="170" t="str">
        <f t="shared" si="141"/>
        <v>33.02%</v>
      </c>
      <c r="AI58" s="26"/>
      <c r="AJ58" s="171" t="str">
        <f t="shared" si="142"/>
        <v>0.00%</v>
      </c>
      <c r="AK58" s="172" t="str">
        <f t="shared" si="143"/>
        <v>0.00</v>
      </c>
      <c r="AL58" s="173" t="str">
        <f t="shared" si="144"/>
        <v>1,313.75</v>
      </c>
      <c r="AM58" s="174" t="str">
        <f t="shared" si="145"/>
        <v>932.77</v>
      </c>
    </row>
    <row r="59" ht="12.75" customHeight="1">
      <c r="A59" s="26"/>
      <c r="B59" s="190" t="s">
        <v>167</v>
      </c>
      <c r="C59" s="199">
        <v>1.99367159E8</v>
      </c>
      <c r="D59" s="152" t="s">
        <v>168</v>
      </c>
      <c r="E59" s="53" t="s">
        <v>77</v>
      </c>
      <c r="F59" s="154"/>
      <c r="G59" s="53"/>
      <c r="H59" s="53" t="str">
        <f t="shared" si="123"/>
        <v>0.00069</v>
      </c>
      <c r="I59" s="53" t="str">
        <f t="shared" si="124"/>
        <v>89</v>
      </c>
      <c r="J59" s="53" t="str">
        <f t="shared" si="125"/>
        <v>0</v>
      </c>
      <c r="K59" s="155" t="str">
        <f t="shared" si="126"/>
        <v>0.00</v>
      </c>
      <c r="L59" s="156" t="str">
        <f t="shared" si="127"/>
        <v>0.00 </v>
      </c>
      <c r="M59" s="132">
        <v>90.0</v>
      </c>
      <c r="N59" s="325">
        <v>637.89</v>
      </c>
      <c r="O59" s="158">
        <v>1900.0</v>
      </c>
      <c r="P59" s="159" t="str">
        <f t="shared" si="128"/>
        <v>1,900.00</v>
      </c>
      <c r="Q59" s="160">
        <v>1919.0</v>
      </c>
      <c r="R59" s="161">
        <v>0.26</v>
      </c>
      <c r="S59" s="162" t="str">
        <f t="shared" si="129"/>
        <v>1,406.00</v>
      </c>
      <c r="T59" s="163" t="str">
        <f t="shared" si="130"/>
        <v>20.00</v>
      </c>
      <c r="U59" s="164" t="str">
        <f t="shared" si="131"/>
        <v>112.48</v>
      </c>
      <c r="V59" s="165" t="str">
        <f t="shared" si="132"/>
        <v>0.00</v>
      </c>
      <c r="W59" s="166">
        <v>0.48</v>
      </c>
      <c r="X59" s="167" t="str">
        <f t="shared" si="133"/>
        <v>76</v>
      </c>
      <c r="Y59" s="168" t="str">
        <f t="shared" si="134"/>
        <v>522.500</v>
      </c>
      <c r="Z59" s="168" t="str">
        <f t="shared" si="135"/>
        <v>30.510</v>
      </c>
      <c r="AA59" s="164" t="str">
        <f t="shared" si="136"/>
        <v>10.81</v>
      </c>
      <c r="AB59" s="164">
        <v>78.38</v>
      </c>
      <c r="AC59" s="164" t="str">
        <f t="shared" si="137"/>
        <v>4.80</v>
      </c>
      <c r="AD59" s="165" t="str">
        <f t="shared" si="138"/>
        <v>95.00</v>
      </c>
      <c r="AE59" s="23"/>
      <c r="AF59" s="169" t="str">
        <f t="shared" si="139"/>
        <v>10.2</v>
      </c>
      <c r="AG59" s="163" t="str">
        <f t="shared" si="140"/>
        <v>390.01</v>
      </c>
      <c r="AH59" s="170" t="str">
        <f t="shared" si="141"/>
        <v>61.14%</v>
      </c>
      <c r="AI59" s="26"/>
      <c r="AJ59" s="171" t="str">
        <f t="shared" si="142"/>
        <v>0.00%</v>
      </c>
      <c r="AK59" s="172" t="str">
        <f t="shared" si="143"/>
        <v>0.00</v>
      </c>
      <c r="AL59" s="173" t="str">
        <f t="shared" si="144"/>
        <v>1,325.14</v>
      </c>
      <c r="AM59" s="174" t="str">
        <f t="shared" si="145"/>
        <v>940.85</v>
      </c>
    </row>
    <row r="60" ht="12.75" customHeight="1">
      <c r="A60" s="26"/>
      <c r="B60" s="190" t="s">
        <v>169</v>
      </c>
      <c r="C60" s="192">
        <v>1.99359659E8</v>
      </c>
      <c r="D60" s="152" t="s">
        <v>170</v>
      </c>
      <c r="E60" s="53" t="s">
        <v>77</v>
      </c>
      <c r="F60" s="154"/>
      <c r="G60" s="53"/>
      <c r="H60" s="53" t="str">
        <f t="shared" si="123"/>
        <v>0.00069</v>
      </c>
      <c r="I60" s="53" t="str">
        <f t="shared" si="124"/>
        <v>89</v>
      </c>
      <c r="J60" s="53" t="str">
        <f t="shared" si="125"/>
        <v>0</v>
      </c>
      <c r="K60" s="155" t="str">
        <f t="shared" si="126"/>
        <v>0.00</v>
      </c>
      <c r="L60" s="156" t="str">
        <f t="shared" si="127"/>
        <v>0.00 </v>
      </c>
      <c r="M60" s="132">
        <v>90.0</v>
      </c>
      <c r="N60" s="325" t="str">
        <f t="shared" ref="N60:N61" si="146">L60/F60</f>
        <v>#DIV/0!</v>
      </c>
      <c r="O60" s="158">
        <v>1592.4</v>
      </c>
      <c r="P60" s="159" t="str">
        <f t="shared" ref="P60:P61" si="147">AL60</f>
        <v>#DIV/0!</v>
      </c>
      <c r="Q60" s="160"/>
      <c r="R60" s="161">
        <v>0.26</v>
      </c>
      <c r="S60" s="162" t="str">
        <f t="shared" si="129"/>
        <v>1,178.38</v>
      </c>
      <c r="T60" s="163" t="str">
        <f t="shared" si="130"/>
        <v>20.00</v>
      </c>
      <c r="U60" s="164" t="str">
        <f t="shared" si="131"/>
        <v>94.27</v>
      </c>
      <c r="V60" s="165" t="str">
        <f t="shared" si="132"/>
        <v>#DIV/0!</v>
      </c>
      <c r="W60" s="166">
        <v>0.4</v>
      </c>
      <c r="X60" s="167" t="str">
        <f t="shared" si="133"/>
        <v>76</v>
      </c>
      <c r="Y60" s="168" t="str">
        <f t="shared" si="134"/>
        <v>437.910</v>
      </c>
      <c r="Z60" s="168" t="str">
        <f t="shared" si="135"/>
        <v>25.571</v>
      </c>
      <c r="AA60" s="164" t="str">
        <f t="shared" si="136"/>
        <v>3.03</v>
      </c>
      <c r="AB60" s="164">
        <v>93.94</v>
      </c>
      <c r="AC60" s="164" t="str">
        <f t="shared" si="137"/>
        <v>4.80</v>
      </c>
      <c r="AD60" s="165" t="str">
        <f t="shared" si="138"/>
        <v>79.62</v>
      </c>
      <c r="AE60" s="23"/>
      <c r="AF60" s="169" t="str">
        <f t="shared" si="139"/>
        <v>10.2</v>
      </c>
      <c r="AG60" s="163" t="str">
        <f t="shared" si="140"/>
        <v>#DIV/0!</v>
      </c>
      <c r="AH60" s="170" t="str">
        <f t="shared" si="141"/>
        <v>#DIV/0!</v>
      </c>
      <c r="AI60" s="26"/>
      <c r="AJ60" s="171" t="str">
        <f t="shared" si="142"/>
        <v>0.00%</v>
      </c>
      <c r="AK60" s="172" t="str">
        <f t="shared" si="143"/>
        <v>#DIV/0!</v>
      </c>
      <c r="AL60" s="173" t="str">
        <f t="shared" si="144"/>
        <v>#DIV/0!</v>
      </c>
      <c r="AM60" s="174" t="str">
        <f t="shared" si="145"/>
        <v>#DIV/0!</v>
      </c>
    </row>
    <row r="61" ht="12.75" customHeight="1">
      <c r="A61" s="26"/>
      <c r="B61" s="190" t="s">
        <v>171</v>
      </c>
      <c r="C61" s="192">
        <v>1.99427997E8</v>
      </c>
      <c r="D61" s="152" t="s">
        <v>172</v>
      </c>
      <c r="E61" s="53" t="s">
        <v>77</v>
      </c>
      <c r="F61" s="154"/>
      <c r="G61" s="53"/>
      <c r="H61" s="53" t="str">
        <f t="shared" si="123"/>
        <v>0.00069</v>
      </c>
      <c r="I61" s="53" t="str">
        <f t="shared" si="124"/>
        <v>89</v>
      </c>
      <c r="J61" s="53" t="str">
        <f t="shared" si="125"/>
        <v>0</v>
      </c>
      <c r="K61" s="155" t="str">
        <f t="shared" si="126"/>
        <v>0.00</v>
      </c>
      <c r="L61" s="156" t="str">
        <f t="shared" si="127"/>
        <v>0.00 </v>
      </c>
      <c r="M61" s="132">
        <v>90.0</v>
      </c>
      <c r="N61" s="325" t="str">
        <f t="shared" si="146"/>
        <v>#DIV/0!</v>
      </c>
      <c r="O61" s="158">
        <v>2055.6</v>
      </c>
      <c r="P61" s="159" t="str">
        <f t="shared" si="147"/>
        <v>#DIV/0!</v>
      </c>
      <c r="Q61" s="160"/>
      <c r="R61" s="161">
        <v>0.26</v>
      </c>
      <c r="S61" s="162" t="str">
        <f t="shared" si="129"/>
        <v>1,521.14</v>
      </c>
      <c r="T61" s="163" t="str">
        <f t="shared" si="130"/>
        <v>20.00</v>
      </c>
      <c r="U61" s="164" t="str">
        <f t="shared" si="131"/>
        <v>121.69</v>
      </c>
      <c r="V61" s="165" t="str">
        <f t="shared" si="132"/>
        <v>#DIV/0!</v>
      </c>
      <c r="W61" s="166">
        <v>0.27</v>
      </c>
      <c r="X61" s="167" t="str">
        <f t="shared" si="133"/>
        <v>76</v>
      </c>
      <c r="Y61" s="168" t="str">
        <f t="shared" si="134"/>
        <v>565.290</v>
      </c>
      <c r="Z61" s="168" t="str">
        <f t="shared" si="135"/>
        <v>33.009</v>
      </c>
      <c r="AA61" s="164" t="str">
        <f t="shared" si="136"/>
        <v>3.60</v>
      </c>
      <c r="AB61" s="164">
        <v>92.81</v>
      </c>
      <c r="AC61" s="164" t="str">
        <f t="shared" si="137"/>
        <v>4.80</v>
      </c>
      <c r="AD61" s="165" t="str">
        <f t="shared" si="138"/>
        <v>102.78</v>
      </c>
      <c r="AE61" s="23"/>
      <c r="AF61" s="169" t="str">
        <f t="shared" si="139"/>
        <v>10.2</v>
      </c>
      <c r="AG61" s="163" t="str">
        <f t="shared" si="140"/>
        <v>#DIV/0!</v>
      </c>
      <c r="AH61" s="170" t="str">
        <f t="shared" si="141"/>
        <v>#DIV/0!</v>
      </c>
      <c r="AI61" s="26"/>
      <c r="AJ61" s="171" t="str">
        <f t="shared" si="142"/>
        <v>0.00%</v>
      </c>
      <c r="AK61" s="172" t="str">
        <f t="shared" si="143"/>
        <v>#DIV/0!</v>
      </c>
      <c r="AL61" s="173" t="str">
        <f t="shared" si="144"/>
        <v>#DIV/0!</v>
      </c>
      <c r="AM61" s="174" t="str">
        <f t="shared" si="145"/>
        <v>#DIV/0!</v>
      </c>
    </row>
    <row r="62" ht="12.75" customHeight="1">
      <c r="A62" s="26"/>
      <c r="B62" s="125" t="s">
        <v>173</v>
      </c>
      <c r="C62" s="126"/>
      <c r="D62" s="127"/>
      <c r="E62" s="128"/>
      <c r="F62" s="129"/>
      <c r="G62" s="128"/>
      <c r="H62" s="197"/>
      <c r="I62" s="197"/>
      <c r="J62" s="128"/>
      <c r="K62" s="130"/>
      <c r="L62" s="131"/>
      <c r="M62" s="132"/>
      <c r="N62" s="320"/>
      <c r="O62" s="134"/>
      <c r="P62" s="135"/>
      <c r="Q62" s="135"/>
      <c r="R62" s="136"/>
      <c r="S62" s="137"/>
      <c r="T62" s="177"/>
      <c r="U62" s="178"/>
      <c r="V62" s="179"/>
      <c r="W62" s="180"/>
      <c r="X62" s="181"/>
      <c r="Y62" s="182"/>
      <c r="Z62" s="182"/>
      <c r="AA62" s="178"/>
      <c r="AB62" s="178"/>
      <c r="AC62" s="178"/>
      <c r="AD62" s="179"/>
      <c r="AE62" s="183"/>
      <c r="AF62" s="184"/>
      <c r="AG62" s="177"/>
      <c r="AH62" s="185"/>
      <c r="AI62" s="26"/>
      <c r="AJ62" s="186"/>
      <c r="AK62" s="187"/>
      <c r="AL62" s="188"/>
      <c r="AM62" s="189"/>
    </row>
    <row r="63" ht="12.75" customHeight="1">
      <c r="A63" s="26"/>
      <c r="B63" s="190" t="s">
        <v>174</v>
      </c>
      <c r="C63" s="199">
        <v>2.07479264E8</v>
      </c>
      <c r="D63" s="190" t="s">
        <v>175</v>
      </c>
      <c r="E63" s="53" t="s">
        <v>77</v>
      </c>
      <c r="F63" s="154"/>
      <c r="G63" s="53"/>
      <c r="H63" s="53" t="str">
        <f t="shared" ref="H63:H66" si="148">$I$2</f>
        <v>0.00069</v>
      </c>
      <c r="I63" s="53" t="str">
        <f t="shared" ref="I63:I66" si="149">$I$3</f>
        <v>89</v>
      </c>
      <c r="J63" s="53" t="str">
        <f t="shared" ref="J63:J66" si="150">G63*H63*I63*F63</f>
        <v>0</v>
      </c>
      <c r="K63" s="155" t="str">
        <f t="shared" ref="K63:K66" si="151">J63*$J$4</f>
        <v>0.00</v>
      </c>
      <c r="L63" s="156" t="str">
        <f t="shared" ref="L63:L66" si="152">K63+J63</f>
        <v>0.00 </v>
      </c>
      <c r="M63" s="132">
        <v>90.0</v>
      </c>
      <c r="N63" s="325">
        <v>219.47</v>
      </c>
      <c r="O63" s="158">
        <v>900.0</v>
      </c>
      <c r="P63" s="159" t="str">
        <f t="shared" ref="P63:P65" si="153">O63</f>
        <v>900.00</v>
      </c>
      <c r="Q63" s="160">
        <v>909.0</v>
      </c>
      <c r="R63" s="161">
        <v>0.26</v>
      </c>
      <c r="S63" s="162" t="str">
        <f t="shared" ref="S63:S66" si="154">O63-(O63*R63)</f>
        <v>666.00</v>
      </c>
      <c r="T63" s="163" t="str">
        <f t="shared" ref="T63:T66" si="155">$C$1</f>
        <v>20.00</v>
      </c>
      <c r="U63" s="164" t="str">
        <f t="shared" ref="U63:U66" si="156">S63*$C$8</f>
        <v>53.28</v>
      </c>
      <c r="V63" s="165" t="str">
        <f t="shared" ref="V63:V66" si="157">N63*$C$3*(M63/30)</f>
        <v>0.00</v>
      </c>
      <c r="W63" s="166">
        <v>0.29</v>
      </c>
      <c r="X63" s="167" t="str">
        <f t="shared" ref="X63:X66" si="158">((_xlfn.CEILING.MATH(W63)-1)*$C$5+$C$4)</f>
        <v>76</v>
      </c>
      <c r="Y63" s="168" t="str">
        <f t="shared" ref="Y63:Y66" si="159">O63*$Y$6</f>
        <v>247.500</v>
      </c>
      <c r="Z63" s="168" t="str">
        <f t="shared" ref="Z63:Z66" si="160">S63*$Y$7</f>
        <v>14.452</v>
      </c>
      <c r="AA63" s="164" t="str">
        <f t="shared" ref="AA63:AA66" si="161">$Y$3*((100-AB63)/100)</f>
        <v>5.50</v>
      </c>
      <c r="AB63" s="164">
        <v>89.0</v>
      </c>
      <c r="AC63" s="164" t="str">
        <f t="shared" ref="AC63:AC66" si="162">$C$6*$C$7*_xlfn.CEILING.MATH(W63)</f>
        <v>4.80</v>
      </c>
      <c r="AD63" s="165" t="str">
        <f t="shared" ref="AD63:AD66" si="163">O63*$C$2</f>
        <v>45.00</v>
      </c>
      <c r="AE63" s="23"/>
      <c r="AF63" s="169" t="str">
        <f t="shared" ref="AF63:AF66" si="164">(_xlfn.CEILING.MATH(W63))*$Y$1*$AD$2</f>
        <v>10.2</v>
      </c>
      <c r="AG63" s="163" t="str">
        <f t="shared" ref="AG63:AG66" si="165">O63-T63-U63-V63-X63-Y63-Z63-AA63-AC63-AD63-N63</f>
        <v>214.00</v>
      </c>
      <c r="AH63" s="170" t="str">
        <f t="shared" ref="AH63:AH66" si="166">AG63/N63</f>
        <v>97.51%</v>
      </c>
      <c r="AI63" s="26"/>
      <c r="AJ63" s="171" t="str">
        <f t="shared" ref="AJ63:AJ66" si="167">$AD$3</f>
        <v>0.00%</v>
      </c>
      <c r="AK63" s="172" t="str">
        <f t="shared" ref="AK63:AK66" si="168">N63*AJ63</f>
        <v>0.00</v>
      </c>
      <c r="AL63" s="173" t="str">
        <f t="shared" ref="AL63:AL66" si="169">(N63+T63+V63+X63+AA63+AC63+AF63+AK63)/(100%-($C$2+$C$8+$Y$6+$Y$7))</f>
        <v>586.03</v>
      </c>
      <c r="AM63" s="174" t="str">
        <f t="shared" ref="AM63:AM66" si="170">AL63-(AL63*$AD$1)</f>
        <v>416.08</v>
      </c>
    </row>
    <row r="64" ht="12.75" customHeight="1">
      <c r="A64" s="26"/>
      <c r="B64" s="190" t="s">
        <v>176</v>
      </c>
      <c r="C64" s="199">
        <v>1.90160197E8</v>
      </c>
      <c r="D64" s="152" t="s">
        <v>177</v>
      </c>
      <c r="E64" s="53" t="s">
        <v>77</v>
      </c>
      <c r="F64" s="154"/>
      <c r="G64" s="53"/>
      <c r="H64" s="53" t="str">
        <f t="shared" si="148"/>
        <v>0.00069</v>
      </c>
      <c r="I64" s="53" t="str">
        <f t="shared" si="149"/>
        <v>89</v>
      </c>
      <c r="J64" s="53" t="str">
        <f t="shared" si="150"/>
        <v>0</v>
      </c>
      <c r="K64" s="155" t="str">
        <f t="shared" si="151"/>
        <v>0.00</v>
      </c>
      <c r="L64" s="156" t="str">
        <f t="shared" si="152"/>
        <v>0.00 </v>
      </c>
      <c r="M64" s="132">
        <v>90.0</v>
      </c>
      <c r="N64" s="325">
        <v>219.47</v>
      </c>
      <c r="O64" s="158">
        <v>900.0</v>
      </c>
      <c r="P64" s="159" t="str">
        <f t="shared" si="153"/>
        <v>900.00</v>
      </c>
      <c r="Q64" s="160">
        <v>923.0</v>
      </c>
      <c r="R64" s="161">
        <v>0.26</v>
      </c>
      <c r="S64" s="162" t="str">
        <f t="shared" si="154"/>
        <v>666.00</v>
      </c>
      <c r="T64" s="163" t="str">
        <f t="shared" si="155"/>
        <v>20.00</v>
      </c>
      <c r="U64" s="164" t="str">
        <f t="shared" si="156"/>
        <v>53.28</v>
      </c>
      <c r="V64" s="165" t="str">
        <f t="shared" si="157"/>
        <v>0.00</v>
      </c>
      <c r="W64" s="166">
        <v>0.5</v>
      </c>
      <c r="X64" s="167" t="str">
        <f t="shared" si="158"/>
        <v>76</v>
      </c>
      <c r="Y64" s="168" t="str">
        <f t="shared" si="159"/>
        <v>247.500</v>
      </c>
      <c r="Z64" s="168" t="str">
        <f t="shared" si="160"/>
        <v>14.452</v>
      </c>
      <c r="AA64" s="164" t="str">
        <f t="shared" si="161"/>
        <v>2.06</v>
      </c>
      <c r="AB64" s="164">
        <v>95.89</v>
      </c>
      <c r="AC64" s="164" t="str">
        <f t="shared" si="162"/>
        <v>4.80</v>
      </c>
      <c r="AD64" s="165" t="str">
        <f t="shared" si="163"/>
        <v>45.00</v>
      </c>
      <c r="AE64" s="23"/>
      <c r="AF64" s="169" t="str">
        <f t="shared" si="164"/>
        <v>10.2</v>
      </c>
      <c r="AG64" s="163" t="str">
        <f t="shared" si="165"/>
        <v>217.44</v>
      </c>
      <c r="AH64" s="170" t="str">
        <f t="shared" si="166"/>
        <v>99.08%</v>
      </c>
      <c r="AI64" s="26"/>
      <c r="AJ64" s="171" t="str">
        <f t="shared" si="167"/>
        <v>0.00%</v>
      </c>
      <c r="AK64" s="172" t="str">
        <f t="shared" si="168"/>
        <v>0.00</v>
      </c>
      <c r="AL64" s="173" t="str">
        <f t="shared" si="169"/>
        <v>580.02</v>
      </c>
      <c r="AM64" s="174" t="str">
        <f t="shared" si="170"/>
        <v>411.81</v>
      </c>
    </row>
    <row r="65" ht="12.75" customHeight="1">
      <c r="A65" s="26"/>
      <c r="B65" s="190" t="s">
        <v>178</v>
      </c>
      <c r="C65" s="199">
        <v>2.08202076E8</v>
      </c>
      <c r="D65" s="152" t="s">
        <v>179</v>
      </c>
      <c r="E65" s="53" t="s">
        <v>77</v>
      </c>
      <c r="F65" s="154"/>
      <c r="G65" s="53"/>
      <c r="H65" s="53" t="str">
        <f t="shared" si="148"/>
        <v>0.00069</v>
      </c>
      <c r="I65" s="53" t="str">
        <f t="shared" si="149"/>
        <v>89</v>
      </c>
      <c r="J65" s="53" t="str">
        <f t="shared" si="150"/>
        <v>0</v>
      </c>
      <c r="K65" s="155" t="str">
        <f t="shared" si="151"/>
        <v>0.00</v>
      </c>
      <c r="L65" s="156" t="str">
        <f t="shared" si="152"/>
        <v>0.00 </v>
      </c>
      <c r="M65" s="132">
        <v>90.0</v>
      </c>
      <c r="N65" s="325">
        <v>117.95</v>
      </c>
      <c r="O65" s="158">
        <v>570.3</v>
      </c>
      <c r="P65" s="159" t="str">
        <f t="shared" si="153"/>
        <v>570.30</v>
      </c>
      <c r="Q65" s="160">
        <v>524.0</v>
      </c>
      <c r="R65" s="161">
        <v>0.26</v>
      </c>
      <c r="S65" s="162" t="str">
        <f t="shared" si="154"/>
        <v>422.02</v>
      </c>
      <c r="T65" s="163" t="str">
        <f t="shared" si="155"/>
        <v>20.00</v>
      </c>
      <c r="U65" s="164" t="str">
        <f t="shared" si="156"/>
        <v>33.76</v>
      </c>
      <c r="V65" s="165" t="str">
        <f t="shared" si="157"/>
        <v>0.00</v>
      </c>
      <c r="W65" s="166">
        <v>0.29</v>
      </c>
      <c r="X65" s="167" t="str">
        <f t="shared" si="158"/>
        <v>76</v>
      </c>
      <c r="Y65" s="168" t="str">
        <f t="shared" si="159"/>
        <v>156.833</v>
      </c>
      <c r="Z65" s="168" t="str">
        <f t="shared" si="160"/>
        <v>9.158</v>
      </c>
      <c r="AA65" s="164" t="str">
        <f t="shared" si="161"/>
        <v>2.05</v>
      </c>
      <c r="AB65" s="164">
        <v>95.9</v>
      </c>
      <c r="AC65" s="164" t="str">
        <f t="shared" si="162"/>
        <v>4.80</v>
      </c>
      <c r="AD65" s="165" t="str">
        <f t="shared" si="163"/>
        <v>28.52</v>
      </c>
      <c r="AE65" s="23"/>
      <c r="AF65" s="169" t="str">
        <f t="shared" si="164"/>
        <v>10.2</v>
      </c>
      <c r="AG65" s="163" t="str">
        <f t="shared" si="165"/>
        <v>121.23</v>
      </c>
      <c r="AH65" s="200" t="str">
        <f t="shared" si="166"/>
        <v>102.78%</v>
      </c>
      <c r="AI65" s="26"/>
      <c r="AJ65" s="171" t="str">
        <f t="shared" si="167"/>
        <v>0.00%</v>
      </c>
      <c r="AK65" s="172" t="str">
        <f t="shared" si="168"/>
        <v>0.00</v>
      </c>
      <c r="AL65" s="173" t="str">
        <f t="shared" si="169"/>
        <v>402.93</v>
      </c>
      <c r="AM65" s="174" t="str">
        <f t="shared" si="170"/>
        <v>286.08</v>
      </c>
    </row>
    <row r="66" ht="12.75" customHeight="1">
      <c r="A66" s="26"/>
      <c r="B66" s="190" t="s">
        <v>180</v>
      </c>
      <c r="C66" s="192">
        <v>2.07480081E8</v>
      </c>
      <c r="D66" s="152" t="s">
        <v>181</v>
      </c>
      <c r="E66" s="53" t="s">
        <v>77</v>
      </c>
      <c r="F66" s="154"/>
      <c r="G66" s="53"/>
      <c r="H66" s="53" t="str">
        <f t="shared" si="148"/>
        <v>0.00069</v>
      </c>
      <c r="I66" s="53" t="str">
        <f t="shared" si="149"/>
        <v>89</v>
      </c>
      <c r="J66" s="53" t="str">
        <f t="shared" si="150"/>
        <v>0</v>
      </c>
      <c r="K66" s="155" t="str">
        <f t="shared" si="151"/>
        <v>0.00</v>
      </c>
      <c r="L66" s="156" t="str">
        <f t="shared" si="152"/>
        <v>0.00 </v>
      </c>
      <c r="M66" s="132">
        <v>90.0</v>
      </c>
      <c r="N66" s="325" t="str">
        <f>L66/F66</f>
        <v>#DIV/0!</v>
      </c>
      <c r="O66" s="158">
        <v>736.2</v>
      </c>
      <c r="P66" s="159" t="str">
        <f>AL66</f>
        <v>#DIV/0!</v>
      </c>
      <c r="Q66" s="160"/>
      <c r="R66" s="161">
        <v>0.26</v>
      </c>
      <c r="S66" s="162" t="str">
        <f t="shared" si="154"/>
        <v>544.79</v>
      </c>
      <c r="T66" s="163" t="str">
        <f t="shared" si="155"/>
        <v>20.00</v>
      </c>
      <c r="U66" s="164" t="str">
        <f t="shared" si="156"/>
        <v>43.58</v>
      </c>
      <c r="V66" s="165" t="str">
        <f t="shared" si="157"/>
        <v>#DIV/0!</v>
      </c>
      <c r="W66" s="166">
        <v>0.48</v>
      </c>
      <c r="X66" s="167" t="str">
        <f t="shared" si="158"/>
        <v>76</v>
      </c>
      <c r="Y66" s="168" t="str">
        <f t="shared" si="159"/>
        <v>202.455</v>
      </c>
      <c r="Z66" s="168" t="str">
        <f t="shared" si="160"/>
        <v>11.822</v>
      </c>
      <c r="AA66" s="164" t="str">
        <f t="shared" si="161"/>
        <v>3.07</v>
      </c>
      <c r="AB66" s="164">
        <v>93.87</v>
      </c>
      <c r="AC66" s="164" t="str">
        <f t="shared" si="162"/>
        <v>4.80</v>
      </c>
      <c r="AD66" s="165" t="str">
        <f t="shared" si="163"/>
        <v>36.81</v>
      </c>
      <c r="AE66" s="23"/>
      <c r="AF66" s="169" t="str">
        <f t="shared" si="164"/>
        <v>10.2</v>
      </c>
      <c r="AG66" s="163" t="str">
        <f t="shared" si="165"/>
        <v>#DIV/0!</v>
      </c>
      <c r="AH66" s="170" t="str">
        <f t="shared" si="166"/>
        <v>#DIV/0!</v>
      </c>
      <c r="AI66" s="26"/>
      <c r="AJ66" s="171" t="str">
        <f t="shared" si="167"/>
        <v>0.00%</v>
      </c>
      <c r="AK66" s="172" t="str">
        <f t="shared" si="168"/>
        <v>#DIV/0!</v>
      </c>
      <c r="AL66" s="173" t="str">
        <f t="shared" si="169"/>
        <v>#DIV/0!</v>
      </c>
      <c r="AM66" s="174" t="str">
        <f t="shared" si="170"/>
        <v>#DIV/0!</v>
      </c>
    </row>
    <row r="67" ht="12.75" customHeight="1">
      <c r="A67" s="26"/>
      <c r="B67" s="125" t="s">
        <v>182</v>
      </c>
      <c r="C67" s="126"/>
      <c r="D67" s="127"/>
      <c r="E67" s="128"/>
      <c r="F67" s="129"/>
      <c r="G67" s="128"/>
      <c r="H67" s="197"/>
      <c r="I67" s="197"/>
      <c r="J67" s="128"/>
      <c r="K67" s="130"/>
      <c r="L67" s="131"/>
      <c r="M67" s="132"/>
      <c r="N67" s="320"/>
      <c r="O67" s="134"/>
      <c r="P67" s="135"/>
      <c r="Q67" s="135"/>
      <c r="R67" s="136"/>
      <c r="S67" s="137"/>
      <c r="T67" s="177"/>
      <c r="U67" s="178"/>
      <c r="V67" s="179"/>
      <c r="W67" s="180"/>
      <c r="X67" s="181"/>
      <c r="Y67" s="182"/>
      <c r="Z67" s="182"/>
      <c r="AA67" s="178"/>
      <c r="AB67" s="178"/>
      <c r="AC67" s="178"/>
      <c r="AD67" s="179"/>
      <c r="AE67" s="183"/>
      <c r="AF67" s="184"/>
      <c r="AG67" s="177"/>
      <c r="AH67" s="185"/>
      <c r="AI67" s="26"/>
      <c r="AJ67" s="186"/>
      <c r="AK67" s="187"/>
      <c r="AL67" s="188"/>
      <c r="AM67" s="189"/>
    </row>
    <row r="68" ht="12.75" customHeight="1">
      <c r="A68" s="26"/>
      <c r="B68" s="190"/>
      <c r="C68" s="199">
        <v>1.90159348E8</v>
      </c>
      <c r="D68" s="152" t="s">
        <v>183</v>
      </c>
      <c r="E68" s="53" t="s">
        <v>77</v>
      </c>
      <c r="F68" s="154"/>
      <c r="G68" s="53"/>
      <c r="H68" s="53" t="str">
        <f t="shared" ref="H68:H82" si="171">$I$2</f>
        <v>0.00069</v>
      </c>
      <c r="I68" s="53" t="str">
        <f t="shared" ref="I68:I82" si="172">$I$3</f>
        <v>89</v>
      </c>
      <c r="J68" s="53" t="str">
        <f t="shared" ref="J68:J82" si="173">G68*H68*I68*F68</f>
        <v>0</v>
      </c>
      <c r="K68" s="155" t="str">
        <f t="shared" ref="K68:K82" si="174">J68*$J$4</f>
        <v>0.00</v>
      </c>
      <c r="L68" s="156" t="str">
        <f t="shared" ref="L68:L82" si="175">K68+J68</f>
        <v>0.00 </v>
      </c>
      <c r="M68" s="132">
        <v>90.0</v>
      </c>
      <c r="N68" s="325">
        <v>218.5</v>
      </c>
      <c r="O68" s="158">
        <v>760.09</v>
      </c>
      <c r="P68" s="159" t="str">
        <f t="shared" ref="P68:P75" si="176">O68</f>
        <v>760.09</v>
      </c>
      <c r="Q68" s="160">
        <v>689.0</v>
      </c>
      <c r="R68" s="161">
        <v>0.26</v>
      </c>
      <c r="S68" s="162" t="str">
        <f t="shared" ref="S68:S82" si="177">O68-(O68*R68)</f>
        <v>562.47</v>
      </c>
      <c r="T68" s="163" t="str">
        <f t="shared" ref="T68:T82" si="178">$C$1</f>
        <v>20.00</v>
      </c>
      <c r="U68" s="164" t="str">
        <f t="shared" ref="U68:U82" si="179">S68*$C$8</f>
        <v>45.00</v>
      </c>
      <c r="V68" s="165" t="str">
        <f t="shared" ref="V68:V82" si="180">N68*$C$3*(M68/30)</f>
        <v>0.00</v>
      </c>
      <c r="W68" s="166">
        <v>0.35</v>
      </c>
      <c r="X68" s="167" t="str">
        <f t="shared" ref="X68:X82" si="181">((_xlfn.CEILING.MATH(W68)-1)*$C$5+$C$4)</f>
        <v>76</v>
      </c>
      <c r="Y68" s="168" t="str">
        <f t="shared" ref="Y68:Y82" si="182">O68*$Y$6</f>
        <v>209.025</v>
      </c>
      <c r="Z68" s="168" t="str">
        <f t="shared" ref="Z68:Z82" si="183">S68*$Y$7</f>
        <v>12.206</v>
      </c>
      <c r="AA68" s="164" t="str">
        <f t="shared" ref="AA68:AA82" si="184">$Y$3*((100-AB68)/100)</f>
        <v>2.85</v>
      </c>
      <c r="AB68" s="164">
        <v>94.31</v>
      </c>
      <c r="AC68" s="164" t="str">
        <f t="shared" ref="AC68:AC82" si="185">$C$6*$C$7*_xlfn.CEILING.MATH(W68)</f>
        <v>4.80</v>
      </c>
      <c r="AD68" s="165" t="str">
        <f t="shared" ref="AD68:AD82" si="186">O68*$C$2</f>
        <v>38.00</v>
      </c>
      <c r="AE68" s="23"/>
      <c r="AF68" s="169" t="str">
        <f t="shared" ref="AF68:AF82" si="187">(_xlfn.CEILING.MATH(W68))*$Y$1*$AD$2</f>
        <v>10.2</v>
      </c>
      <c r="AG68" s="163" t="str">
        <f t="shared" ref="AG68:AG82" si="188">O68-T68-U68-V68-X68-Y68-Z68-AA68-AC68-AD68-N68</f>
        <v>133.71</v>
      </c>
      <c r="AH68" s="170" t="str">
        <f t="shared" ref="AH68:AH82" si="189">AG68/N68</f>
        <v>61.20%</v>
      </c>
      <c r="AI68" s="26"/>
      <c r="AJ68" s="171" t="str">
        <f t="shared" ref="AJ68:AJ82" si="190">$AD$3</f>
        <v>0.00%</v>
      </c>
      <c r="AK68" s="172" t="str">
        <f t="shared" ref="AK68:AK82" si="191">N68*AJ68</f>
        <v>0.00</v>
      </c>
      <c r="AL68" s="173" t="str">
        <f t="shared" ref="AL68:AL82" si="192">(N68+T68+V68+X68+AA68+AC68+AF68+AK68)/(100%-($C$2+$C$8+$Y$6+$Y$7))</f>
        <v>579.71</v>
      </c>
      <c r="AM68" s="174" t="str">
        <f t="shared" ref="AM68:AM82" si="193">AL68-(AL68*$AD$1)</f>
        <v>411.59</v>
      </c>
    </row>
    <row r="69" ht="12.75" customHeight="1">
      <c r="A69" s="26"/>
      <c r="B69" s="190"/>
      <c r="C69" s="199">
        <v>2.07796563E8</v>
      </c>
      <c r="D69" s="152" t="s">
        <v>184</v>
      </c>
      <c r="E69" s="53" t="s">
        <v>77</v>
      </c>
      <c r="F69" s="154"/>
      <c r="G69" s="53"/>
      <c r="H69" s="53" t="str">
        <f t="shared" si="171"/>
        <v>0.00069</v>
      </c>
      <c r="I69" s="53" t="str">
        <f t="shared" si="172"/>
        <v>89</v>
      </c>
      <c r="J69" s="53" t="str">
        <f t="shared" si="173"/>
        <v>0</v>
      </c>
      <c r="K69" s="155" t="str">
        <f t="shared" si="174"/>
        <v>0.00</v>
      </c>
      <c r="L69" s="156" t="str">
        <f t="shared" si="175"/>
        <v>0.00 </v>
      </c>
      <c r="M69" s="132">
        <v>90.0</v>
      </c>
      <c r="N69" s="325">
        <v>262.25</v>
      </c>
      <c r="O69" s="158">
        <v>900.0</v>
      </c>
      <c r="P69" s="159" t="str">
        <f t="shared" si="176"/>
        <v>900.00</v>
      </c>
      <c r="Q69" s="160">
        <v>811.0</v>
      </c>
      <c r="R69" s="161">
        <v>0.26</v>
      </c>
      <c r="S69" s="162" t="str">
        <f t="shared" si="177"/>
        <v>666.00</v>
      </c>
      <c r="T69" s="163" t="str">
        <f t="shared" si="178"/>
        <v>20.00</v>
      </c>
      <c r="U69" s="164" t="str">
        <f t="shared" si="179"/>
        <v>53.28</v>
      </c>
      <c r="V69" s="165" t="str">
        <f t="shared" si="180"/>
        <v>0.00</v>
      </c>
      <c r="W69" s="166">
        <v>0.25</v>
      </c>
      <c r="X69" s="167" t="str">
        <f t="shared" si="181"/>
        <v>76</v>
      </c>
      <c r="Y69" s="168" t="str">
        <f t="shared" si="182"/>
        <v>247.500</v>
      </c>
      <c r="Z69" s="168" t="str">
        <f t="shared" si="183"/>
        <v>14.452</v>
      </c>
      <c r="AA69" s="164" t="str">
        <f t="shared" si="184"/>
        <v>3.64</v>
      </c>
      <c r="AB69" s="164">
        <v>92.73</v>
      </c>
      <c r="AC69" s="164" t="str">
        <f t="shared" si="185"/>
        <v>4.80</v>
      </c>
      <c r="AD69" s="165" t="str">
        <f t="shared" si="186"/>
        <v>45.00</v>
      </c>
      <c r="AE69" s="23"/>
      <c r="AF69" s="169" t="str">
        <f t="shared" si="187"/>
        <v>10.2</v>
      </c>
      <c r="AG69" s="163" t="str">
        <f t="shared" si="188"/>
        <v>173.08</v>
      </c>
      <c r="AH69" s="170" t="str">
        <f t="shared" si="189"/>
        <v>66.00%</v>
      </c>
      <c r="AI69" s="26"/>
      <c r="AJ69" s="171" t="str">
        <f t="shared" si="190"/>
        <v>0.00%</v>
      </c>
      <c r="AK69" s="172" t="str">
        <f t="shared" si="191"/>
        <v>0.00</v>
      </c>
      <c r="AL69" s="173" t="str">
        <f t="shared" si="192"/>
        <v>657.40</v>
      </c>
      <c r="AM69" s="174" t="str">
        <f t="shared" si="193"/>
        <v>466.75</v>
      </c>
    </row>
    <row r="70" ht="12.75" customHeight="1">
      <c r="A70" s="26"/>
      <c r="B70" s="190"/>
      <c r="C70" s="199">
        <v>2.0779635E8</v>
      </c>
      <c r="D70" s="152" t="s">
        <v>185</v>
      </c>
      <c r="E70" s="53" t="s">
        <v>77</v>
      </c>
      <c r="F70" s="154"/>
      <c r="G70" s="53"/>
      <c r="H70" s="53" t="str">
        <f t="shared" si="171"/>
        <v>0.00069</v>
      </c>
      <c r="I70" s="53" t="str">
        <f t="shared" si="172"/>
        <v>89</v>
      </c>
      <c r="J70" s="53" t="str">
        <f t="shared" si="173"/>
        <v>0</v>
      </c>
      <c r="K70" s="155" t="str">
        <f t="shared" si="174"/>
        <v>0.00</v>
      </c>
      <c r="L70" s="156" t="str">
        <f t="shared" si="175"/>
        <v>0.00 </v>
      </c>
      <c r="M70" s="132">
        <v>90.0</v>
      </c>
      <c r="N70" s="325">
        <v>225.79</v>
      </c>
      <c r="O70" s="158">
        <v>810.0</v>
      </c>
      <c r="P70" s="159" t="str">
        <f t="shared" si="176"/>
        <v>810.00</v>
      </c>
      <c r="Q70" s="160">
        <v>814.0</v>
      </c>
      <c r="R70" s="161">
        <v>0.26</v>
      </c>
      <c r="S70" s="162" t="str">
        <f t="shared" si="177"/>
        <v>599.40</v>
      </c>
      <c r="T70" s="163" t="str">
        <f t="shared" si="178"/>
        <v>20.00</v>
      </c>
      <c r="U70" s="164" t="str">
        <f t="shared" si="179"/>
        <v>47.95</v>
      </c>
      <c r="V70" s="165" t="str">
        <f t="shared" si="180"/>
        <v>0.00</v>
      </c>
      <c r="W70" s="166">
        <v>0.46</v>
      </c>
      <c r="X70" s="167" t="str">
        <f t="shared" si="181"/>
        <v>76</v>
      </c>
      <c r="Y70" s="168" t="str">
        <f t="shared" si="182"/>
        <v>222.750</v>
      </c>
      <c r="Z70" s="168" t="str">
        <f t="shared" si="183"/>
        <v>13.007</v>
      </c>
      <c r="AA70" s="164" t="str">
        <f t="shared" si="184"/>
        <v>2.44</v>
      </c>
      <c r="AB70" s="164">
        <v>95.12</v>
      </c>
      <c r="AC70" s="164" t="str">
        <f t="shared" si="185"/>
        <v>4.80</v>
      </c>
      <c r="AD70" s="165" t="str">
        <f t="shared" si="186"/>
        <v>40.50</v>
      </c>
      <c r="AE70" s="23"/>
      <c r="AF70" s="169" t="str">
        <f t="shared" si="187"/>
        <v>10.2</v>
      </c>
      <c r="AG70" s="163" t="str">
        <f t="shared" si="188"/>
        <v>156.76</v>
      </c>
      <c r="AH70" s="170" t="str">
        <f t="shared" si="189"/>
        <v>69.43%</v>
      </c>
      <c r="AI70" s="26"/>
      <c r="AJ70" s="171" t="str">
        <f t="shared" si="190"/>
        <v>0.00%</v>
      </c>
      <c r="AK70" s="172" t="str">
        <f t="shared" si="191"/>
        <v>0.00</v>
      </c>
      <c r="AL70" s="173" t="str">
        <f t="shared" si="192"/>
        <v>591.71</v>
      </c>
      <c r="AM70" s="174" t="str">
        <f t="shared" si="193"/>
        <v>420.12</v>
      </c>
    </row>
    <row r="71" ht="12.75" customHeight="1">
      <c r="A71" s="26"/>
      <c r="B71" s="190"/>
      <c r="C71" s="199">
        <v>2.06057411E8</v>
      </c>
      <c r="D71" s="152" t="s">
        <v>186</v>
      </c>
      <c r="E71" s="53" t="s">
        <v>77</v>
      </c>
      <c r="F71" s="154"/>
      <c r="G71" s="53"/>
      <c r="H71" s="53" t="str">
        <f t="shared" si="171"/>
        <v>0.00069</v>
      </c>
      <c r="I71" s="53" t="str">
        <f t="shared" si="172"/>
        <v>89</v>
      </c>
      <c r="J71" s="53" t="str">
        <f t="shared" si="173"/>
        <v>0</v>
      </c>
      <c r="K71" s="155" t="str">
        <f t="shared" si="174"/>
        <v>0.00</v>
      </c>
      <c r="L71" s="156" t="str">
        <f t="shared" si="175"/>
        <v>0.00 </v>
      </c>
      <c r="M71" s="132">
        <v>90.0</v>
      </c>
      <c r="N71" s="325">
        <v>305.92</v>
      </c>
      <c r="O71" s="158">
        <v>923.7</v>
      </c>
      <c r="P71" s="159" t="str">
        <f t="shared" si="176"/>
        <v>923.70</v>
      </c>
      <c r="Q71" s="160">
        <v>859.0</v>
      </c>
      <c r="R71" s="161">
        <v>0.26</v>
      </c>
      <c r="S71" s="162" t="str">
        <f t="shared" si="177"/>
        <v>683.54</v>
      </c>
      <c r="T71" s="163" t="str">
        <f t="shared" si="178"/>
        <v>20.00</v>
      </c>
      <c r="U71" s="164" t="str">
        <f t="shared" si="179"/>
        <v>54.68</v>
      </c>
      <c r="V71" s="165" t="str">
        <f t="shared" si="180"/>
        <v>0.00</v>
      </c>
      <c r="W71" s="166">
        <v>0.38</v>
      </c>
      <c r="X71" s="167" t="str">
        <f t="shared" si="181"/>
        <v>76</v>
      </c>
      <c r="Y71" s="168" t="str">
        <f t="shared" si="182"/>
        <v>254.018</v>
      </c>
      <c r="Z71" s="168" t="str">
        <f t="shared" si="183"/>
        <v>14.833</v>
      </c>
      <c r="AA71" s="164" t="str">
        <f t="shared" si="184"/>
        <v>3.23</v>
      </c>
      <c r="AB71" s="164">
        <v>93.55</v>
      </c>
      <c r="AC71" s="164" t="str">
        <f t="shared" si="185"/>
        <v>4.80</v>
      </c>
      <c r="AD71" s="165" t="str">
        <f t="shared" si="186"/>
        <v>46.19</v>
      </c>
      <c r="AE71" s="23"/>
      <c r="AF71" s="169" t="str">
        <f t="shared" si="187"/>
        <v>10.2</v>
      </c>
      <c r="AG71" s="163" t="str">
        <f t="shared" si="188"/>
        <v>144.04</v>
      </c>
      <c r="AH71" s="170" t="str">
        <f t="shared" si="189"/>
        <v>47.08%</v>
      </c>
      <c r="AI71" s="26"/>
      <c r="AJ71" s="171" t="str">
        <f t="shared" si="190"/>
        <v>0.00%</v>
      </c>
      <c r="AK71" s="172" t="str">
        <f t="shared" si="191"/>
        <v>0.00</v>
      </c>
      <c r="AL71" s="173" t="str">
        <f t="shared" si="192"/>
        <v>732.85</v>
      </c>
      <c r="AM71" s="174" t="str">
        <f t="shared" si="193"/>
        <v>520.33</v>
      </c>
    </row>
    <row r="72" ht="12.75" customHeight="1">
      <c r="A72" s="26"/>
      <c r="B72" s="190"/>
      <c r="C72" s="199">
        <v>1.54163936E8</v>
      </c>
      <c r="D72" s="152" t="s">
        <v>187</v>
      </c>
      <c r="E72" s="53" t="s">
        <v>77</v>
      </c>
      <c r="F72" s="154"/>
      <c r="G72" s="53"/>
      <c r="H72" s="53" t="str">
        <f t="shared" si="171"/>
        <v>0.00069</v>
      </c>
      <c r="I72" s="53" t="str">
        <f t="shared" si="172"/>
        <v>89</v>
      </c>
      <c r="J72" s="53" t="str">
        <f t="shared" si="173"/>
        <v>0</v>
      </c>
      <c r="K72" s="155" t="str">
        <f t="shared" si="174"/>
        <v>0.00</v>
      </c>
      <c r="L72" s="156" t="str">
        <f t="shared" si="175"/>
        <v>0.00 </v>
      </c>
      <c r="M72" s="132">
        <v>90.0</v>
      </c>
      <c r="N72" s="325">
        <v>320.5</v>
      </c>
      <c r="O72" s="158">
        <v>954.24</v>
      </c>
      <c r="P72" s="159" t="str">
        <f t="shared" si="176"/>
        <v>954.24</v>
      </c>
      <c r="Q72" s="160">
        <v>900.0</v>
      </c>
      <c r="R72" s="161">
        <v>0.26</v>
      </c>
      <c r="S72" s="162" t="str">
        <f t="shared" si="177"/>
        <v>706.14</v>
      </c>
      <c r="T72" s="163" t="str">
        <f t="shared" si="178"/>
        <v>20.00</v>
      </c>
      <c r="U72" s="164" t="str">
        <f t="shared" si="179"/>
        <v>56.49</v>
      </c>
      <c r="V72" s="165" t="str">
        <f t="shared" si="180"/>
        <v>0.00</v>
      </c>
      <c r="W72" s="166">
        <v>0.3</v>
      </c>
      <c r="X72" s="167" t="str">
        <f t="shared" si="181"/>
        <v>76</v>
      </c>
      <c r="Y72" s="168" t="str">
        <f t="shared" si="182"/>
        <v>262.416</v>
      </c>
      <c r="Z72" s="168" t="str">
        <f t="shared" si="183"/>
        <v>15.323</v>
      </c>
      <c r="AA72" s="164" t="str">
        <f t="shared" si="184"/>
        <v>3.77</v>
      </c>
      <c r="AB72" s="164">
        <v>92.46</v>
      </c>
      <c r="AC72" s="164" t="str">
        <f t="shared" si="185"/>
        <v>4.80</v>
      </c>
      <c r="AD72" s="165" t="str">
        <f t="shared" si="186"/>
        <v>47.71</v>
      </c>
      <c r="AE72" s="23"/>
      <c r="AF72" s="169" t="str">
        <f t="shared" si="187"/>
        <v>10.2</v>
      </c>
      <c r="AG72" s="163" t="str">
        <f t="shared" si="188"/>
        <v>147.23</v>
      </c>
      <c r="AH72" s="170" t="str">
        <f t="shared" si="189"/>
        <v>45.94%</v>
      </c>
      <c r="AI72" s="26"/>
      <c r="AJ72" s="171" t="str">
        <f t="shared" si="190"/>
        <v>0.00%</v>
      </c>
      <c r="AK72" s="172" t="str">
        <f t="shared" si="191"/>
        <v>0.00</v>
      </c>
      <c r="AL72" s="173" t="str">
        <f t="shared" si="192"/>
        <v>759.24</v>
      </c>
      <c r="AM72" s="174" t="str">
        <f t="shared" si="193"/>
        <v>539.06</v>
      </c>
    </row>
    <row r="73" ht="12.75" customHeight="1">
      <c r="A73" s="26"/>
      <c r="B73" s="190"/>
      <c r="C73" s="199">
        <v>1.90160008E8</v>
      </c>
      <c r="D73" s="152" t="s">
        <v>188</v>
      </c>
      <c r="E73" s="53" t="s">
        <v>77</v>
      </c>
      <c r="F73" s="154"/>
      <c r="G73" s="53"/>
      <c r="H73" s="53" t="str">
        <f t="shared" si="171"/>
        <v>0.00069</v>
      </c>
      <c r="I73" s="53" t="str">
        <f t="shared" si="172"/>
        <v>89</v>
      </c>
      <c r="J73" s="53" t="str">
        <f t="shared" si="173"/>
        <v>0</v>
      </c>
      <c r="K73" s="155" t="str">
        <f t="shared" si="174"/>
        <v>0.00</v>
      </c>
      <c r="L73" s="156" t="str">
        <f t="shared" si="175"/>
        <v>0.00 </v>
      </c>
      <c r="M73" s="132">
        <v>90.0</v>
      </c>
      <c r="N73" s="325">
        <v>495.33</v>
      </c>
      <c r="O73" s="158">
        <v>1246.84</v>
      </c>
      <c r="P73" s="159" t="str">
        <f t="shared" si="176"/>
        <v>1,246.84</v>
      </c>
      <c r="Q73" s="160">
        <v>1023.0</v>
      </c>
      <c r="R73" s="161">
        <v>0.26</v>
      </c>
      <c r="S73" s="162" t="str">
        <f t="shared" si="177"/>
        <v>922.66</v>
      </c>
      <c r="T73" s="163" t="str">
        <f t="shared" si="178"/>
        <v>20.00</v>
      </c>
      <c r="U73" s="164" t="str">
        <f t="shared" si="179"/>
        <v>73.81</v>
      </c>
      <c r="V73" s="165" t="str">
        <f t="shared" si="180"/>
        <v>0.00</v>
      </c>
      <c r="W73" s="166">
        <v>0.58</v>
      </c>
      <c r="X73" s="167" t="str">
        <f t="shared" si="181"/>
        <v>76</v>
      </c>
      <c r="Y73" s="168" t="str">
        <f t="shared" si="182"/>
        <v>342.881</v>
      </c>
      <c r="Z73" s="168" t="str">
        <f t="shared" si="183"/>
        <v>20.022</v>
      </c>
      <c r="AA73" s="164" t="str">
        <f t="shared" si="184"/>
        <v>3.18</v>
      </c>
      <c r="AB73" s="164">
        <v>93.64</v>
      </c>
      <c r="AC73" s="164" t="str">
        <f t="shared" si="185"/>
        <v>4.80</v>
      </c>
      <c r="AD73" s="165" t="str">
        <f t="shared" si="186"/>
        <v>62.34</v>
      </c>
      <c r="AE73" s="23"/>
      <c r="AF73" s="169" t="str">
        <f t="shared" si="187"/>
        <v>10.2</v>
      </c>
      <c r="AG73" s="163" t="str">
        <f t="shared" si="188"/>
        <v>148.47</v>
      </c>
      <c r="AH73" s="170" t="str">
        <f t="shared" si="189"/>
        <v>29.97%</v>
      </c>
      <c r="AI73" s="26"/>
      <c r="AJ73" s="171" t="str">
        <f t="shared" si="190"/>
        <v>0.00%</v>
      </c>
      <c r="AK73" s="172" t="str">
        <f t="shared" si="191"/>
        <v>0.00</v>
      </c>
      <c r="AL73" s="173" t="str">
        <f t="shared" si="192"/>
        <v>1,063.16</v>
      </c>
      <c r="AM73" s="174" t="str">
        <f t="shared" si="193"/>
        <v>754.84</v>
      </c>
    </row>
    <row r="74" ht="12.75" customHeight="1">
      <c r="A74" s="26"/>
      <c r="B74" s="190"/>
      <c r="C74" s="199">
        <v>2.07796439E8</v>
      </c>
      <c r="D74" s="152" t="s">
        <v>189</v>
      </c>
      <c r="E74" s="53" t="s">
        <v>77</v>
      </c>
      <c r="F74" s="154"/>
      <c r="G74" s="53"/>
      <c r="H74" s="53" t="str">
        <f t="shared" si="171"/>
        <v>0.00069</v>
      </c>
      <c r="I74" s="53" t="str">
        <f t="shared" si="172"/>
        <v>89</v>
      </c>
      <c r="J74" s="53" t="str">
        <f t="shared" si="173"/>
        <v>0</v>
      </c>
      <c r="K74" s="155" t="str">
        <f t="shared" si="174"/>
        <v>0.00</v>
      </c>
      <c r="L74" s="156" t="str">
        <f t="shared" si="175"/>
        <v>0.00 </v>
      </c>
      <c r="M74" s="132">
        <v>90.0</v>
      </c>
      <c r="N74" s="325">
        <v>546.29</v>
      </c>
      <c r="O74" s="158">
        <v>1425.0</v>
      </c>
      <c r="P74" s="159" t="str">
        <f t="shared" si="176"/>
        <v>1,425.00</v>
      </c>
      <c r="Q74" s="160">
        <v>1349.0</v>
      </c>
      <c r="R74" s="161">
        <v>0.26</v>
      </c>
      <c r="S74" s="162" t="str">
        <f t="shared" si="177"/>
        <v>1,054.50</v>
      </c>
      <c r="T74" s="163" t="str">
        <f t="shared" si="178"/>
        <v>20.00</v>
      </c>
      <c r="U74" s="164" t="str">
        <f t="shared" si="179"/>
        <v>84.36</v>
      </c>
      <c r="V74" s="165" t="str">
        <f t="shared" si="180"/>
        <v>0.00</v>
      </c>
      <c r="W74" s="166">
        <v>0.98</v>
      </c>
      <c r="X74" s="167" t="str">
        <f t="shared" si="181"/>
        <v>76</v>
      </c>
      <c r="Y74" s="168" t="str">
        <f t="shared" si="182"/>
        <v>391.875</v>
      </c>
      <c r="Z74" s="168" t="str">
        <f t="shared" si="183"/>
        <v>22.883</v>
      </c>
      <c r="AA74" s="164" t="str">
        <f t="shared" si="184"/>
        <v>0.00</v>
      </c>
      <c r="AB74" s="164">
        <v>100.0</v>
      </c>
      <c r="AC74" s="164" t="str">
        <f t="shared" si="185"/>
        <v>4.80</v>
      </c>
      <c r="AD74" s="165" t="str">
        <f t="shared" si="186"/>
        <v>71.25</v>
      </c>
      <c r="AE74" s="23"/>
      <c r="AF74" s="169" t="str">
        <f t="shared" si="187"/>
        <v>10.2</v>
      </c>
      <c r="AG74" s="163" t="str">
        <f t="shared" si="188"/>
        <v>207.54</v>
      </c>
      <c r="AH74" s="170" t="str">
        <f t="shared" si="189"/>
        <v>37.99%</v>
      </c>
      <c r="AI74" s="26"/>
      <c r="AJ74" s="171" t="str">
        <f t="shared" si="190"/>
        <v>0.00%</v>
      </c>
      <c r="AK74" s="172" t="str">
        <f t="shared" si="191"/>
        <v>0.00</v>
      </c>
      <c r="AL74" s="173" t="str">
        <f t="shared" si="192"/>
        <v>1,146.50</v>
      </c>
      <c r="AM74" s="174" t="str">
        <f t="shared" si="193"/>
        <v>814.02</v>
      </c>
    </row>
    <row r="75" ht="12.75" customHeight="1">
      <c r="A75" s="26"/>
      <c r="B75" s="190"/>
      <c r="C75" s="199">
        <v>1.51298064E8</v>
      </c>
      <c r="D75" s="152" t="s">
        <v>190</v>
      </c>
      <c r="E75" s="53" t="s">
        <v>77</v>
      </c>
      <c r="F75" s="154">
        <v>1.0</v>
      </c>
      <c r="G75" s="53"/>
      <c r="H75" s="53" t="str">
        <f t="shared" si="171"/>
        <v>0.00069</v>
      </c>
      <c r="I75" s="53" t="str">
        <f t="shared" si="172"/>
        <v>89</v>
      </c>
      <c r="J75" s="53" t="str">
        <f t="shared" si="173"/>
        <v>0</v>
      </c>
      <c r="K75" s="155" t="str">
        <f t="shared" si="174"/>
        <v>0.00</v>
      </c>
      <c r="L75" s="156" t="str">
        <f t="shared" si="175"/>
        <v>0.00 </v>
      </c>
      <c r="M75" s="132">
        <v>90.0</v>
      </c>
      <c r="N75" s="325">
        <v>106.31</v>
      </c>
      <c r="O75" s="158">
        <v>390.0</v>
      </c>
      <c r="P75" s="159" t="str">
        <f t="shared" si="176"/>
        <v>390.00</v>
      </c>
      <c r="Q75" s="160">
        <v>309.0</v>
      </c>
      <c r="R75" s="161">
        <v>0.0</v>
      </c>
      <c r="S75" s="162" t="str">
        <f t="shared" si="177"/>
        <v>390.00</v>
      </c>
      <c r="T75" s="163" t="str">
        <f t="shared" si="178"/>
        <v>20.00</v>
      </c>
      <c r="U75" s="164" t="str">
        <f t="shared" si="179"/>
        <v>31.20</v>
      </c>
      <c r="V75" s="165" t="str">
        <f t="shared" si="180"/>
        <v>0.00</v>
      </c>
      <c r="W75" s="166">
        <v>0.1</v>
      </c>
      <c r="X75" s="167" t="str">
        <f t="shared" si="181"/>
        <v>76</v>
      </c>
      <c r="Y75" s="168" t="str">
        <f t="shared" si="182"/>
        <v>107.250</v>
      </c>
      <c r="Z75" s="168" t="str">
        <f t="shared" si="183"/>
        <v>8.463</v>
      </c>
      <c r="AA75" s="164" t="str">
        <f t="shared" si="184"/>
        <v>2.78</v>
      </c>
      <c r="AB75" s="164">
        <v>94.44</v>
      </c>
      <c r="AC75" s="164" t="str">
        <f t="shared" si="185"/>
        <v>4.80</v>
      </c>
      <c r="AD75" s="165" t="str">
        <f t="shared" si="186"/>
        <v>19.50</v>
      </c>
      <c r="AE75" s="23"/>
      <c r="AF75" s="169" t="str">
        <f t="shared" si="187"/>
        <v>10.2</v>
      </c>
      <c r="AG75" s="163" t="str">
        <f t="shared" si="188"/>
        <v>13.70</v>
      </c>
      <c r="AH75" s="170" t="str">
        <f t="shared" si="189"/>
        <v>12.88%</v>
      </c>
      <c r="AI75" s="26"/>
      <c r="AJ75" s="171" t="str">
        <f t="shared" si="190"/>
        <v>0.00%</v>
      </c>
      <c r="AK75" s="172" t="str">
        <f t="shared" si="191"/>
        <v>0.00</v>
      </c>
      <c r="AL75" s="173" t="str">
        <f t="shared" si="192"/>
        <v>383.90</v>
      </c>
      <c r="AM75" s="174" t="str">
        <f t="shared" si="193"/>
        <v>272.57</v>
      </c>
    </row>
    <row r="76" ht="12.75" customHeight="1">
      <c r="A76" s="26"/>
      <c r="B76" s="190"/>
      <c r="C76" s="199">
        <v>2.26322576E8</v>
      </c>
      <c r="D76" s="152" t="s">
        <v>191</v>
      </c>
      <c r="E76" s="53" t="s">
        <v>77</v>
      </c>
      <c r="F76" s="154"/>
      <c r="G76" s="53"/>
      <c r="H76" s="53" t="str">
        <f t="shared" si="171"/>
        <v>0.00069</v>
      </c>
      <c r="I76" s="53" t="str">
        <f t="shared" si="172"/>
        <v>89</v>
      </c>
      <c r="J76" s="53" t="str">
        <f t="shared" si="173"/>
        <v>0</v>
      </c>
      <c r="K76" s="155" t="str">
        <f t="shared" si="174"/>
        <v>0.00</v>
      </c>
      <c r="L76" s="156" t="str">
        <f t="shared" si="175"/>
        <v>0.00 </v>
      </c>
      <c r="M76" s="132">
        <v>90.0</v>
      </c>
      <c r="N76" s="325">
        <v>212.62</v>
      </c>
      <c r="O76" s="158">
        <v>601.0</v>
      </c>
      <c r="P76" s="159">
        <v>630.0</v>
      </c>
      <c r="Q76" s="160">
        <v>641.0</v>
      </c>
      <c r="R76" s="161">
        <v>0.26</v>
      </c>
      <c r="S76" s="162" t="str">
        <f t="shared" si="177"/>
        <v>444.74</v>
      </c>
      <c r="T76" s="163" t="str">
        <f t="shared" si="178"/>
        <v>20.00</v>
      </c>
      <c r="U76" s="164" t="str">
        <f t="shared" si="179"/>
        <v>35.58</v>
      </c>
      <c r="V76" s="165" t="str">
        <f t="shared" si="180"/>
        <v>0.00</v>
      </c>
      <c r="W76" s="166">
        <v>0.25</v>
      </c>
      <c r="X76" s="167" t="str">
        <f t="shared" si="181"/>
        <v>76</v>
      </c>
      <c r="Y76" s="168" t="str">
        <f t="shared" si="182"/>
        <v>165.275</v>
      </c>
      <c r="Z76" s="168" t="str">
        <f t="shared" si="183"/>
        <v>9.651</v>
      </c>
      <c r="AA76" s="164" t="str">
        <f t="shared" si="184"/>
        <v>1.47</v>
      </c>
      <c r="AB76" s="164">
        <v>97.06</v>
      </c>
      <c r="AC76" s="164" t="str">
        <f t="shared" si="185"/>
        <v>4.80</v>
      </c>
      <c r="AD76" s="165" t="str">
        <f t="shared" si="186"/>
        <v>30.05</v>
      </c>
      <c r="AE76" s="23"/>
      <c r="AF76" s="169" t="str">
        <f t="shared" si="187"/>
        <v>10.2</v>
      </c>
      <c r="AG76" s="163" t="str">
        <f t="shared" si="188"/>
        <v>45.55</v>
      </c>
      <c r="AH76" s="170" t="str">
        <f t="shared" si="189"/>
        <v>21.43%</v>
      </c>
      <c r="AI76" s="26"/>
      <c r="AJ76" s="171" t="str">
        <f t="shared" si="190"/>
        <v>0.00%</v>
      </c>
      <c r="AK76" s="172" t="str">
        <f t="shared" si="191"/>
        <v>0.00</v>
      </c>
      <c r="AL76" s="173" t="str">
        <f t="shared" si="192"/>
        <v>567.05</v>
      </c>
      <c r="AM76" s="174" t="str">
        <f t="shared" si="193"/>
        <v>402.61</v>
      </c>
    </row>
    <row r="77" ht="12.75" customHeight="1">
      <c r="A77" s="26"/>
      <c r="B77" s="190"/>
      <c r="C77" s="202">
        <v>1.54160462E8</v>
      </c>
      <c r="D77" s="152" t="s">
        <v>192</v>
      </c>
      <c r="E77" s="53" t="s">
        <v>77</v>
      </c>
      <c r="F77" s="154"/>
      <c r="G77" s="53"/>
      <c r="H77" s="53" t="str">
        <f t="shared" si="171"/>
        <v>0.00069</v>
      </c>
      <c r="I77" s="53" t="str">
        <f t="shared" si="172"/>
        <v>89</v>
      </c>
      <c r="J77" s="53" t="str">
        <f t="shared" si="173"/>
        <v>0</v>
      </c>
      <c r="K77" s="155" t="str">
        <f t="shared" si="174"/>
        <v>0.00</v>
      </c>
      <c r="L77" s="156" t="str">
        <f t="shared" si="175"/>
        <v>0.00 </v>
      </c>
      <c r="M77" s="132">
        <v>90.0</v>
      </c>
      <c r="N77" s="325" t="str">
        <f t="shared" ref="N77:N82" si="194">L77/F77</f>
        <v>#DIV/0!</v>
      </c>
      <c r="O77" s="158">
        <v>1145.1</v>
      </c>
      <c r="P77" s="159" t="str">
        <f t="shared" ref="P77:P82" si="195">AL77</f>
        <v>#DIV/0!</v>
      </c>
      <c r="Q77" s="160"/>
      <c r="R77" s="161">
        <v>0.26</v>
      </c>
      <c r="S77" s="162" t="str">
        <f t="shared" si="177"/>
        <v>847.37</v>
      </c>
      <c r="T77" s="163" t="str">
        <f t="shared" si="178"/>
        <v>20.00</v>
      </c>
      <c r="U77" s="164" t="str">
        <f t="shared" si="179"/>
        <v>67.79</v>
      </c>
      <c r="V77" s="165" t="str">
        <f t="shared" si="180"/>
        <v>#DIV/0!</v>
      </c>
      <c r="W77" s="166">
        <v>1.73</v>
      </c>
      <c r="X77" s="167" t="str">
        <f t="shared" si="181"/>
        <v>95</v>
      </c>
      <c r="Y77" s="168" t="str">
        <f t="shared" si="182"/>
        <v>314.903</v>
      </c>
      <c r="Z77" s="168" t="str">
        <f t="shared" si="183"/>
        <v>18.388</v>
      </c>
      <c r="AA77" s="164" t="str">
        <f t="shared" si="184"/>
        <v>2.13</v>
      </c>
      <c r="AB77" s="164">
        <v>95.74</v>
      </c>
      <c r="AC77" s="164" t="str">
        <f t="shared" si="185"/>
        <v>9.60</v>
      </c>
      <c r="AD77" s="165" t="str">
        <f t="shared" si="186"/>
        <v>57.26</v>
      </c>
      <c r="AE77" s="23"/>
      <c r="AF77" s="169" t="str">
        <f t="shared" si="187"/>
        <v>20.4</v>
      </c>
      <c r="AG77" s="163" t="str">
        <f t="shared" si="188"/>
        <v>#DIV/0!</v>
      </c>
      <c r="AH77" s="170" t="str">
        <f t="shared" si="189"/>
        <v>#DIV/0!</v>
      </c>
      <c r="AI77" s="26"/>
      <c r="AJ77" s="171" t="str">
        <f t="shared" si="190"/>
        <v>0.00%</v>
      </c>
      <c r="AK77" s="172" t="str">
        <f t="shared" si="191"/>
        <v>#DIV/0!</v>
      </c>
      <c r="AL77" s="173" t="str">
        <f t="shared" si="192"/>
        <v>#DIV/0!</v>
      </c>
      <c r="AM77" s="174" t="str">
        <f t="shared" si="193"/>
        <v>#DIV/0!</v>
      </c>
    </row>
    <row r="78" ht="12.75" customHeight="1">
      <c r="A78" s="26"/>
      <c r="B78" s="190"/>
      <c r="C78" s="202">
        <v>2.07795785E8</v>
      </c>
      <c r="D78" s="152" t="s">
        <v>193</v>
      </c>
      <c r="E78" s="53" t="s">
        <v>77</v>
      </c>
      <c r="F78" s="154"/>
      <c r="G78" s="53"/>
      <c r="H78" s="53" t="str">
        <f t="shared" si="171"/>
        <v>0.00069</v>
      </c>
      <c r="I78" s="53" t="str">
        <f t="shared" si="172"/>
        <v>89</v>
      </c>
      <c r="J78" s="53" t="str">
        <f t="shared" si="173"/>
        <v>0</v>
      </c>
      <c r="K78" s="155" t="str">
        <f t="shared" si="174"/>
        <v>0.00</v>
      </c>
      <c r="L78" s="156" t="str">
        <f t="shared" si="175"/>
        <v>0.00 </v>
      </c>
      <c r="M78" s="132">
        <v>90.0</v>
      </c>
      <c r="N78" s="325" t="str">
        <f t="shared" si="194"/>
        <v>#DIV/0!</v>
      </c>
      <c r="O78" s="158">
        <v>1109.83</v>
      </c>
      <c r="P78" s="159" t="str">
        <f t="shared" si="195"/>
        <v>#DIV/0!</v>
      </c>
      <c r="Q78" s="160"/>
      <c r="R78" s="161">
        <v>0.26</v>
      </c>
      <c r="S78" s="162" t="str">
        <f t="shared" si="177"/>
        <v>821.27</v>
      </c>
      <c r="T78" s="163" t="str">
        <f t="shared" si="178"/>
        <v>20.00</v>
      </c>
      <c r="U78" s="164" t="str">
        <f t="shared" si="179"/>
        <v>65.70</v>
      </c>
      <c r="V78" s="165" t="str">
        <f t="shared" si="180"/>
        <v>#DIV/0!</v>
      </c>
      <c r="W78" s="166">
        <v>0.38</v>
      </c>
      <c r="X78" s="167" t="str">
        <f t="shared" si="181"/>
        <v>76</v>
      </c>
      <c r="Y78" s="168" t="str">
        <f t="shared" si="182"/>
        <v>305.203</v>
      </c>
      <c r="Z78" s="168" t="str">
        <f t="shared" si="183"/>
        <v>17.822</v>
      </c>
      <c r="AA78" s="164" t="str">
        <f t="shared" si="184"/>
        <v>3.63</v>
      </c>
      <c r="AB78" s="164">
        <v>92.75</v>
      </c>
      <c r="AC78" s="164" t="str">
        <f t="shared" si="185"/>
        <v>4.80</v>
      </c>
      <c r="AD78" s="165" t="str">
        <f t="shared" si="186"/>
        <v>55.49</v>
      </c>
      <c r="AE78" s="23"/>
      <c r="AF78" s="169" t="str">
        <f t="shared" si="187"/>
        <v>10.2</v>
      </c>
      <c r="AG78" s="163" t="str">
        <f t="shared" si="188"/>
        <v>#DIV/0!</v>
      </c>
      <c r="AH78" s="170" t="str">
        <f t="shared" si="189"/>
        <v>#DIV/0!</v>
      </c>
      <c r="AI78" s="26"/>
      <c r="AJ78" s="171" t="str">
        <f t="shared" si="190"/>
        <v>0.00%</v>
      </c>
      <c r="AK78" s="172" t="str">
        <f t="shared" si="191"/>
        <v>#DIV/0!</v>
      </c>
      <c r="AL78" s="173" t="str">
        <f t="shared" si="192"/>
        <v>#DIV/0!</v>
      </c>
      <c r="AM78" s="174" t="str">
        <f t="shared" si="193"/>
        <v>#DIV/0!</v>
      </c>
    </row>
    <row r="79" ht="12.75" customHeight="1">
      <c r="A79" s="26"/>
      <c r="B79" s="190"/>
      <c r="C79" s="202">
        <v>2.14311386E8</v>
      </c>
      <c r="D79" s="152" t="s">
        <v>194</v>
      </c>
      <c r="E79" s="53" t="s">
        <v>77</v>
      </c>
      <c r="F79" s="154"/>
      <c r="G79" s="53"/>
      <c r="H79" s="53" t="str">
        <f t="shared" si="171"/>
        <v>0.00069</v>
      </c>
      <c r="I79" s="53" t="str">
        <f t="shared" si="172"/>
        <v>89</v>
      </c>
      <c r="J79" s="53" t="str">
        <f t="shared" si="173"/>
        <v>0</v>
      </c>
      <c r="K79" s="155" t="str">
        <f t="shared" si="174"/>
        <v>0.00</v>
      </c>
      <c r="L79" s="156" t="str">
        <f t="shared" si="175"/>
        <v>0.00 </v>
      </c>
      <c r="M79" s="132">
        <v>90.0</v>
      </c>
      <c r="N79" s="325" t="str">
        <f t="shared" si="194"/>
        <v>#DIV/0!</v>
      </c>
      <c r="O79" s="158">
        <v>1797.6</v>
      </c>
      <c r="P79" s="159" t="str">
        <f t="shared" si="195"/>
        <v>#DIV/0!</v>
      </c>
      <c r="Q79" s="160"/>
      <c r="R79" s="161">
        <v>0.26</v>
      </c>
      <c r="S79" s="162" t="str">
        <f t="shared" si="177"/>
        <v>1,330.22</v>
      </c>
      <c r="T79" s="163" t="str">
        <f t="shared" si="178"/>
        <v>20.00</v>
      </c>
      <c r="U79" s="164" t="str">
        <f t="shared" si="179"/>
        <v>106.42</v>
      </c>
      <c r="V79" s="165" t="str">
        <f t="shared" si="180"/>
        <v>#DIV/0!</v>
      </c>
      <c r="W79" s="166">
        <v>0.76</v>
      </c>
      <c r="X79" s="167" t="str">
        <f t="shared" si="181"/>
        <v>76</v>
      </c>
      <c r="Y79" s="168" t="str">
        <f t="shared" si="182"/>
        <v>494.340</v>
      </c>
      <c r="Z79" s="168" t="str">
        <f t="shared" si="183"/>
        <v>28.866</v>
      </c>
      <c r="AA79" s="164" t="str">
        <f t="shared" si="184"/>
        <v>1.46</v>
      </c>
      <c r="AB79" s="164">
        <v>97.09</v>
      </c>
      <c r="AC79" s="164" t="str">
        <f t="shared" si="185"/>
        <v>4.80</v>
      </c>
      <c r="AD79" s="165" t="str">
        <f t="shared" si="186"/>
        <v>89.88</v>
      </c>
      <c r="AE79" s="23"/>
      <c r="AF79" s="169" t="str">
        <f t="shared" si="187"/>
        <v>10.2</v>
      </c>
      <c r="AG79" s="163" t="str">
        <f t="shared" si="188"/>
        <v>#DIV/0!</v>
      </c>
      <c r="AH79" s="170" t="str">
        <f t="shared" si="189"/>
        <v>#DIV/0!</v>
      </c>
      <c r="AI79" s="26"/>
      <c r="AJ79" s="171" t="str">
        <f t="shared" si="190"/>
        <v>0.00%</v>
      </c>
      <c r="AK79" s="172" t="str">
        <f t="shared" si="191"/>
        <v>#DIV/0!</v>
      </c>
      <c r="AL79" s="173" t="str">
        <f t="shared" si="192"/>
        <v>#DIV/0!</v>
      </c>
      <c r="AM79" s="174" t="str">
        <f t="shared" si="193"/>
        <v>#DIV/0!</v>
      </c>
    </row>
    <row r="80" ht="12.75" customHeight="1">
      <c r="A80" s="26"/>
      <c r="B80" s="190"/>
      <c r="C80" s="202">
        <v>2.07795963E8</v>
      </c>
      <c r="D80" s="152" t="s">
        <v>195</v>
      </c>
      <c r="E80" s="53" t="s">
        <v>77</v>
      </c>
      <c r="F80" s="154"/>
      <c r="G80" s="53"/>
      <c r="H80" s="53" t="str">
        <f t="shared" si="171"/>
        <v>0.00069</v>
      </c>
      <c r="I80" s="53" t="str">
        <f t="shared" si="172"/>
        <v>89</v>
      </c>
      <c r="J80" s="53" t="str">
        <f t="shared" si="173"/>
        <v>0</v>
      </c>
      <c r="K80" s="155" t="str">
        <f t="shared" si="174"/>
        <v>0.00</v>
      </c>
      <c r="L80" s="156" t="str">
        <f t="shared" si="175"/>
        <v>0.00 </v>
      </c>
      <c r="M80" s="132">
        <v>90.0</v>
      </c>
      <c r="N80" s="325" t="str">
        <f t="shared" si="194"/>
        <v>#DIV/0!</v>
      </c>
      <c r="O80" s="158">
        <v>1025.7</v>
      </c>
      <c r="P80" s="159" t="str">
        <f t="shared" si="195"/>
        <v>#DIV/0!</v>
      </c>
      <c r="Q80" s="160"/>
      <c r="R80" s="161">
        <v>0.26</v>
      </c>
      <c r="S80" s="162" t="str">
        <f t="shared" si="177"/>
        <v>759.02</v>
      </c>
      <c r="T80" s="163" t="str">
        <f t="shared" si="178"/>
        <v>20.00</v>
      </c>
      <c r="U80" s="164" t="str">
        <f t="shared" si="179"/>
        <v>60.72</v>
      </c>
      <c r="V80" s="165" t="str">
        <f t="shared" si="180"/>
        <v>#DIV/0!</v>
      </c>
      <c r="W80" s="166">
        <v>0.19</v>
      </c>
      <c r="X80" s="167" t="str">
        <f t="shared" si="181"/>
        <v>76</v>
      </c>
      <c r="Y80" s="168" t="str">
        <f t="shared" si="182"/>
        <v>282.068</v>
      </c>
      <c r="Z80" s="168" t="str">
        <f t="shared" si="183"/>
        <v>16.471</v>
      </c>
      <c r="AA80" s="164" t="str">
        <f t="shared" si="184"/>
        <v>3.40</v>
      </c>
      <c r="AB80" s="164">
        <v>93.2</v>
      </c>
      <c r="AC80" s="164" t="str">
        <f t="shared" si="185"/>
        <v>4.80</v>
      </c>
      <c r="AD80" s="165" t="str">
        <f t="shared" si="186"/>
        <v>51.29</v>
      </c>
      <c r="AE80" s="23"/>
      <c r="AF80" s="169" t="str">
        <f t="shared" si="187"/>
        <v>10.2</v>
      </c>
      <c r="AG80" s="163" t="str">
        <f t="shared" si="188"/>
        <v>#DIV/0!</v>
      </c>
      <c r="AH80" s="170" t="str">
        <f t="shared" si="189"/>
        <v>#DIV/0!</v>
      </c>
      <c r="AI80" s="26"/>
      <c r="AJ80" s="171" t="str">
        <f t="shared" si="190"/>
        <v>0.00%</v>
      </c>
      <c r="AK80" s="172" t="str">
        <f t="shared" si="191"/>
        <v>#DIV/0!</v>
      </c>
      <c r="AL80" s="173" t="str">
        <f t="shared" si="192"/>
        <v>#DIV/0!</v>
      </c>
      <c r="AM80" s="174" t="str">
        <f t="shared" si="193"/>
        <v>#DIV/0!</v>
      </c>
    </row>
    <row r="81" ht="12.75" customHeight="1">
      <c r="A81" s="26"/>
      <c r="B81" s="190"/>
      <c r="C81" s="202">
        <v>2.06058262E8</v>
      </c>
      <c r="D81" s="152" t="s">
        <v>196</v>
      </c>
      <c r="E81" s="53" t="s">
        <v>77</v>
      </c>
      <c r="F81" s="154"/>
      <c r="G81" s="53"/>
      <c r="H81" s="53" t="str">
        <f t="shared" si="171"/>
        <v>0.00069</v>
      </c>
      <c r="I81" s="53" t="str">
        <f t="shared" si="172"/>
        <v>89</v>
      </c>
      <c r="J81" s="53" t="str">
        <f t="shared" si="173"/>
        <v>0</v>
      </c>
      <c r="K81" s="155" t="str">
        <f t="shared" si="174"/>
        <v>0.00</v>
      </c>
      <c r="L81" s="156" t="str">
        <f t="shared" si="175"/>
        <v>0.00 </v>
      </c>
      <c r="M81" s="132">
        <v>90.0</v>
      </c>
      <c r="N81" s="325" t="str">
        <f t="shared" si="194"/>
        <v>#DIV/0!</v>
      </c>
      <c r="O81" s="158">
        <v>1057.2</v>
      </c>
      <c r="P81" s="159" t="str">
        <f t="shared" si="195"/>
        <v>#DIV/0!</v>
      </c>
      <c r="Q81" s="160"/>
      <c r="R81" s="161">
        <v>0.26</v>
      </c>
      <c r="S81" s="162" t="str">
        <f t="shared" si="177"/>
        <v>782.33</v>
      </c>
      <c r="T81" s="163" t="str">
        <f t="shared" si="178"/>
        <v>20.00</v>
      </c>
      <c r="U81" s="164" t="str">
        <f t="shared" si="179"/>
        <v>62.59</v>
      </c>
      <c r="V81" s="165" t="str">
        <f t="shared" si="180"/>
        <v>#DIV/0!</v>
      </c>
      <c r="W81" s="166">
        <v>0.3</v>
      </c>
      <c r="X81" s="167" t="str">
        <f t="shared" si="181"/>
        <v>76</v>
      </c>
      <c r="Y81" s="168" t="str">
        <f t="shared" si="182"/>
        <v>290.730</v>
      </c>
      <c r="Z81" s="168" t="str">
        <f t="shared" si="183"/>
        <v>16.977</v>
      </c>
      <c r="AA81" s="164" t="str">
        <f t="shared" si="184"/>
        <v>3.57</v>
      </c>
      <c r="AB81" s="164">
        <v>92.86</v>
      </c>
      <c r="AC81" s="164" t="str">
        <f t="shared" si="185"/>
        <v>4.80</v>
      </c>
      <c r="AD81" s="165" t="str">
        <f t="shared" si="186"/>
        <v>52.86</v>
      </c>
      <c r="AE81" s="23"/>
      <c r="AF81" s="169" t="str">
        <f t="shared" si="187"/>
        <v>10.2</v>
      </c>
      <c r="AG81" s="163" t="str">
        <f t="shared" si="188"/>
        <v>#DIV/0!</v>
      </c>
      <c r="AH81" s="170" t="str">
        <f t="shared" si="189"/>
        <v>#DIV/0!</v>
      </c>
      <c r="AI81" s="26"/>
      <c r="AJ81" s="171" t="str">
        <f t="shared" si="190"/>
        <v>0.00%</v>
      </c>
      <c r="AK81" s="172" t="str">
        <f t="shared" si="191"/>
        <v>#DIV/0!</v>
      </c>
      <c r="AL81" s="173" t="str">
        <f t="shared" si="192"/>
        <v>#DIV/0!</v>
      </c>
      <c r="AM81" s="174" t="str">
        <f t="shared" si="193"/>
        <v>#DIV/0!</v>
      </c>
    </row>
    <row r="82" ht="12.75" customHeight="1">
      <c r="A82" s="26"/>
      <c r="B82" s="190"/>
      <c r="C82" s="203" t="s">
        <v>197</v>
      </c>
      <c r="D82" s="204" t="s">
        <v>198</v>
      </c>
      <c r="E82" s="53" t="s">
        <v>77</v>
      </c>
      <c r="F82" s="154"/>
      <c r="G82" s="53"/>
      <c r="H82" s="53" t="str">
        <f t="shared" si="171"/>
        <v>0.00069</v>
      </c>
      <c r="I82" s="53" t="str">
        <f t="shared" si="172"/>
        <v>89</v>
      </c>
      <c r="J82" s="53" t="str">
        <f t="shared" si="173"/>
        <v>0</v>
      </c>
      <c r="K82" s="155" t="str">
        <f t="shared" si="174"/>
        <v>0.00</v>
      </c>
      <c r="L82" s="156" t="str">
        <f t="shared" si="175"/>
        <v>0.00 </v>
      </c>
      <c r="M82" s="132">
        <v>90.0</v>
      </c>
      <c r="N82" s="325" t="str">
        <f t="shared" si="194"/>
        <v>#DIV/0!</v>
      </c>
      <c r="O82" s="158"/>
      <c r="P82" s="159" t="str">
        <f t="shared" si="195"/>
        <v>#DIV/0!</v>
      </c>
      <c r="Q82" s="160"/>
      <c r="R82" s="161">
        <v>0.26</v>
      </c>
      <c r="S82" s="162" t="str">
        <f t="shared" si="177"/>
        <v>0.00</v>
      </c>
      <c r="T82" s="163" t="str">
        <f t="shared" si="178"/>
        <v>20.00</v>
      </c>
      <c r="U82" s="164" t="str">
        <f t="shared" si="179"/>
        <v>0.00</v>
      </c>
      <c r="V82" s="165" t="str">
        <f t="shared" si="180"/>
        <v>#DIV/0!</v>
      </c>
      <c r="W82" s="166"/>
      <c r="X82" s="167" t="str">
        <f t="shared" si="181"/>
        <v>57</v>
      </c>
      <c r="Y82" s="168" t="str">
        <f t="shared" si="182"/>
        <v>0.000</v>
      </c>
      <c r="Z82" s="168" t="str">
        <f t="shared" si="183"/>
        <v>0.000</v>
      </c>
      <c r="AA82" s="164" t="str">
        <f t="shared" si="184"/>
        <v>50.00</v>
      </c>
      <c r="AB82" s="164"/>
      <c r="AC82" s="164" t="str">
        <f t="shared" si="185"/>
        <v>0.00</v>
      </c>
      <c r="AD82" s="165" t="str">
        <f t="shared" si="186"/>
        <v>0.00</v>
      </c>
      <c r="AE82" s="23"/>
      <c r="AF82" s="169" t="str">
        <f t="shared" si="187"/>
        <v>0</v>
      </c>
      <c r="AG82" s="163" t="str">
        <f t="shared" si="188"/>
        <v>#DIV/0!</v>
      </c>
      <c r="AH82" s="170" t="str">
        <f t="shared" si="189"/>
        <v>#DIV/0!</v>
      </c>
      <c r="AI82" s="26"/>
      <c r="AJ82" s="171" t="str">
        <f t="shared" si="190"/>
        <v>0.00%</v>
      </c>
      <c r="AK82" s="172" t="str">
        <f t="shared" si="191"/>
        <v>#DIV/0!</v>
      </c>
      <c r="AL82" s="173" t="str">
        <f t="shared" si="192"/>
        <v>#DIV/0!</v>
      </c>
      <c r="AM82" s="174" t="str">
        <f t="shared" si="193"/>
        <v>#DIV/0!</v>
      </c>
    </row>
    <row r="83" ht="12.75" customHeight="1">
      <c r="A83" s="26"/>
      <c r="B83" s="125" t="s">
        <v>200</v>
      </c>
      <c r="C83" s="126"/>
      <c r="D83" s="127"/>
      <c r="E83" s="128"/>
      <c r="F83" s="129"/>
      <c r="G83" s="128"/>
      <c r="H83" s="197"/>
      <c r="I83" s="197"/>
      <c r="J83" s="128"/>
      <c r="K83" s="130"/>
      <c r="L83" s="131"/>
      <c r="M83" s="132"/>
      <c r="N83" s="320"/>
      <c r="O83" s="134"/>
      <c r="P83" s="135"/>
      <c r="Q83" s="135"/>
      <c r="R83" s="136"/>
      <c r="S83" s="137"/>
      <c r="T83" s="177"/>
      <c r="U83" s="178"/>
      <c r="V83" s="179"/>
      <c r="W83" s="180"/>
      <c r="X83" s="181"/>
      <c r="Y83" s="182"/>
      <c r="Z83" s="182"/>
      <c r="AA83" s="178"/>
      <c r="AB83" s="178"/>
      <c r="AC83" s="178"/>
      <c r="AD83" s="179"/>
      <c r="AE83" s="183"/>
      <c r="AF83" s="184"/>
      <c r="AG83" s="177"/>
      <c r="AH83" s="185"/>
      <c r="AI83" s="26"/>
      <c r="AJ83" s="186"/>
      <c r="AK83" s="187"/>
      <c r="AL83" s="188"/>
      <c r="AM83" s="189"/>
    </row>
    <row r="84" ht="12.75" customHeight="1">
      <c r="A84" s="26"/>
      <c r="B84" s="190" t="s">
        <v>201</v>
      </c>
      <c r="C84" s="199">
        <v>2.38358954E8</v>
      </c>
      <c r="D84" s="152" t="s">
        <v>202</v>
      </c>
      <c r="E84" s="53" t="s">
        <v>77</v>
      </c>
      <c r="F84" s="154"/>
      <c r="G84" s="53"/>
      <c r="H84" s="53" t="str">
        <f t="shared" ref="H84:H103" si="196">$I$2</f>
        <v>0.00069</v>
      </c>
      <c r="I84" s="53" t="str">
        <f t="shared" ref="I84:I103" si="197">$I$3</f>
        <v>89</v>
      </c>
      <c r="J84" s="53" t="str">
        <f t="shared" ref="J84:J103" si="198">G84*H84*I84*F84</f>
        <v>0</v>
      </c>
      <c r="K84" s="155" t="str">
        <f t="shared" ref="K84:K103" si="199">J84*$J$4</f>
        <v>0.00</v>
      </c>
      <c r="L84" s="156" t="str">
        <f t="shared" ref="L84:L103" si="200">K84+J84</f>
        <v>0.00 </v>
      </c>
      <c r="M84" s="132">
        <v>90.0</v>
      </c>
      <c r="N84" s="325">
        <v>164.23</v>
      </c>
      <c r="O84" s="158">
        <v>684.6</v>
      </c>
      <c r="P84" s="159" t="str">
        <f t="shared" ref="P84:P87" si="201">O84</f>
        <v>684.60</v>
      </c>
      <c r="Q84" s="160">
        <v>560.0</v>
      </c>
      <c r="R84" s="161">
        <v>0.26</v>
      </c>
      <c r="S84" s="162" t="str">
        <f t="shared" ref="S84:S103" si="202">O84-(O84*R84)</f>
        <v>506.60</v>
      </c>
      <c r="T84" s="163" t="str">
        <f t="shared" ref="T84:T100" si="203">$C$1</f>
        <v>20.00</v>
      </c>
      <c r="U84" s="164" t="str">
        <f t="shared" ref="U84:U103" si="204">S84*$C$8</f>
        <v>40.53</v>
      </c>
      <c r="V84" s="165" t="str">
        <f t="shared" ref="V84:V103" si="205">N84*$C$3*(M84/30)</f>
        <v>0.00</v>
      </c>
      <c r="W84" s="166">
        <v>0.28</v>
      </c>
      <c r="X84" s="167" t="str">
        <f t="shared" ref="X84:X100" si="206">((_xlfn.CEILING.MATH(W84)-1)*$C$5+$C$4)</f>
        <v>76</v>
      </c>
      <c r="Y84" s="168" t="str">
        <f t="shared" ref="Y84:Y103" si="207">O84*$Y$6</f>
        <v>188.265</v>
      </c>
      <c r="Z84" s="168" t="str">
        <f t="shared" ref="Z84:Z103" si="208">S84*$Y$7</f>
        <v>10.993</v>
      </c>
      <c r="AA84" s="164" t="str">
        <f t="shared" ref="AA84:AA103" si="209">$Y$3*((100-AB84)/100)</f>
        <v>3.48</v>
      </c>
      <c r="AB84" s="164">
        <v>93.04</v>
      </c>
      <c r="AC84" s="164" t="str">
        <f t="shared" ref="AC84:AC103" si="210">$C$6*$C$7*_xlfn.CEILING.MATH(W84)</f>
        <v>4.80</v>
      </c>
      <c r="AD84" s="165" t="str">
        <f t="shared" ref="AD84:AD103" si="211">O84*$C$2</f>
        <v>34.23</v>
      </c>
      <c r="AE84" s="23"/>
      <c r="AF84" s="169" t="str">
        <f t="shared" ref="AF84:AF103" si="212">(_xlfn.CEILING.MATH(W84))*$Y$1*$AD$2</f>
        <v>10.2</v>
      </c>
      <c r="AG84" s="163" t="str">
        <f t="shared" ref="AG84:AG100" si="213">O84-T84-U84-V84-X84-Y84-Z84-AA84-AC84-AD84-N84</f>
        <v>142.07</v>
      </c>
      <c r="AH84" s="170" t="str">
        <f t="shared" ref="AH84:AH103" si="214">AG84/N84</f>
        <v>86.51%</v>
      </c>
      <c r="AI84" s="26"/>
      <c r="AJ84" s="171" t="str">
        <f t="shared" ref="AJ84:AJ103" si="215">$AD$3</f>
        <v>0.00%</v>
      </c>
      <c r="AK84" s="172" t="str">
        <f t="shared" ref="AK84:AK103" si="216">N84*AJ84</f>
        <v>0.00</v>
      </c>
      <c r="AL84" s="173" t="str">
        <f t="shared" ref="AL84:AL103" si="217">(N84+T84+V84+X84+AA84+AC84+AF84+AK84)/(100%-($C$2+$C$8+$Y$6+$Y$7))</f>
        <v>486.15</v>
      </c>
      <c r="AM84" s="174" t="str">
        <f t="shared" ref="AM84:AM103" si="218">AL84-(AL84*$AD$1)</f>
        <v>345.17</v>
      </c>
    </row>
    <row r="85" ht="12.75" customHeight="1">
      <c r="A85" s="26"/>
      <c r="B85" s="190" t="s">
        <v>203</v>
      </c>
      <c r="C85" s="199">
        <v>1.51132051E8</v>
      </c>
      <c r="D85" s="152" t="s">
        <v>204</v>
      </c>
      <c r="E85" s="53" t="s">
        <v>77</v>
      </c>
      <c r="F85" s="154"/>
      <c r="G85" s="53"/>
      <c r="H85" s="53" t="str">
        <f t="shared" si="196"/>
        <v>0.00069</v>
      </c>
      <c r="I85" s="53" t="str">
        <f t="shared" si="197"/>
        <v>89</v>
      </c>
      <c r="J85" s="53" t="str">
        <f t="shared" si="198"/>
        <v>0</v>
      </c>
      <c r="K85" s="155" t="str">
        <f t="shared" si="199"/>
        <v>0.00</v>
      </c>
      <c r="L85" s="156" t="str">
        <f t="shared" si="200"/>
        <v>0.00 </v>
      </c>
      <c r="M85" s="132">
        <v>90.0</v>
      </c>
      <c r="N85" s="325">
        <v>223.35</v>
      </c>
      <c r="O85" s="158">
        <v>999.0</v>
      </c>
      <c r="P85" s="159" t="str">
        <f t="shared" si="201"/>
        <v>999.00</v>
      </c>
      <c r="Q85" s="160">
        <v>1058.0</v>
      </c>
      <c r="R85" s="161">
        <v>0.26</v>
      </c>
      <c r="S85" s="162" t="str">
        <f t="shared" si="202"/>
        <v>739.26</v>
      </c>
      <c r="T85" s="163" t="str">
        <f t="shared" si="203"/>
        <v>20.00</v>
      </c>
      <c r="U85" s="164" t="str">
        <f t="shared" si="204"/>
        <v>59.14</v>
      </c>
      <c r="V85" s="165" t="str">
        <f t="shared" si="205"/>
        <v>0.00</v>
      </c>
      <c r="W85" s="166">
        <v>0.24</v>
      </c>
      <c r="X85" s="167" t="str">
        <f t="shared" si="206"/>
        <v>76</v>
      </c>
      <c r="Y85" s="168" t="str">
        <f t="shared" si="207"/>
        <v>274.725</v>
      </c>
      <c r="Z85" s="168" t="str">
        <f t="shared" si="208"/>
        <v>16.042</v>
      </c>
      <c r="AA85" s="164" t="str">
        <f t="shared" si="209"/>
        <v>7.15</v>
      </c>
      <c r="AB85" s="164">
        <v>85.71</v>
      </c>
      <c r="AC85" s="164" t="str">
        <f t="shared" si="210"/>
        <v>4.80</v>
      </c>
      <c r="AD85" s="165" t="str">
        <f t="shared" si="211"/>
        <v>49.95</v>
      </c>
      <c r="AE85" s="23"/>
      <c r="AF85" s="169" t="str">
        <f t="shared" si="212"/>
        <v>10.2</v>
      </c>
      <c r="AG85" s="163" t="str">
        <f t="shared" si="213"/>
        <v>267.85</v>
      </c>
      <c r="AH85" s="170" t="str">
        <f t="shared" si="214"/>
        <v>119.92%</v>
      </c>
      <c r="AI85" s="26"/>
      <c r="AJ85" s="171" t="str">
        <f t="shared" si="215"/>
        <v>0.00%</v>
      </c>
      <c r="AK85" s="172" t="str">
        <f t="shared" si="216"/>
        <v>0.00</v>
      </c>
      <c r="AL85" s="173" t="str">
        <f t="shared" si="217"/>
        <v>595.67</v>
      </c>
      <c r="AM85" s="174" t="str">
        <f t="shared" si="218"/>
        <v>422.92</v>
      </c>
    </row>
    <row r="86" ht="12.75" customHeight="1">
      <c r="A86" s="26"/>
      <c r="B86" s="190" t="s">
        <v>205</v>
      </c>
      <c r="C86" s="199">
        <v>1.51132052E8</v>
      </c>
      <c r="D86" s="152" t="s">
        <v>206</v>
      </c>
      <c r="E86" s="53" t="s">
        <v>77</v>
      </c>
      <c r="F86" s="154"/>
      <c r="G86" s="53"/>
      <c r="H86" s="53" t="str">
        <f t="shared" si="196"/>
        <v>0.00069</v>
      </c>
      <c r="I86" s="53" t="str">
        <f t="shared" si="197"/>
        <v>89</v>
      </c>
      <c r="J86" s="53" t="str">
        <f t="shared" si="198"/>
        <v>0</v>
      </c>
      <c r="K86" s="155" t="str">
        <f t="shared" si="199"/>
        <v>0.00</v>
      </c>
      <c r="L86" s="156" t="str">
        <f t="shared" si="200"/>
        <v>0.00 </v>
      </c>
      <c r="M86" s="132">
        <v>90.0</v>
      </c>
      <c r="N86" s="325">
        <v>223.35</v>
      </c>
      <c r="O86" s="158">
        <v>900.0</v>
      </c>
      <c r="P86" s="159" t="str">
        <f t="shared" si="201"/>
        <v>900.00</v>
      </c>
      <c r="Q86" s="160">
        <v>937.0</v>
      </c>
      <c r="R86" s="161">
        <v>0.26</v>
      </c>
      <c r="S86" s="162" t="str">
        <f t="shared" si="202"/>
        <v>666.00</v>
      </c>
      <c r="T86" s="163" t="str">
        <f t="shared" si="203"/>
        <v>20.00</v>
      </c>
      <c r="U86" s="164" t="str">
        <f t="shared" si="204"/>
        <v>53.28</v>
      </c>
      <c r="V86" s="165" t="str">
        <f t="shared" si="205"/>
        <v>0.00</v>
      </c>
      <c r="W86" s="166">
        <v>0.24</v>
      </c>
      <c r="X86" s="167" t="str">
        <f t="shared" si="206"/>
        <v>76</v>
      </c>
      <c r="Y86" s="168" t="str">
        <f t="shared" si="207"/>
        <v>247.500</v>
      </c>
      <c r="Z86" s="168" t="str">
        <f t="shared" si="208"/>
        <v>14.452</v>
      </c>
      <c r="AA86" s="164" t="str">
        <f t="shared" si="209"/>
        <v>5.17</v>
      </c>
      <c r="AB86" s="164">
        <v>89.66</v>
      </c>
      <c r="AC86" s="164" t="str">
        <f t="shared" si="210"/>
        <v>4.80</v>
      </c>
      <c r="AD86" s="165" t="str">
        <f t="shared" si="211"/>
        <v>45.00</v>
      </c>
      <c r="AE86" s="23"/>
      <c r="AF86" s="169" t="str">
        <f t="shared" si="212"/>
        <v>10.2</v>
      </c>
      <c r="AG86" s="163" t="str">
        <f t="shared" si="213"/>
        <v>210.45</v>
      </c>
      <c r="AH86" s="170" t="str">
        <f t="shared" si="214"/>
        <v>94.22%</v>
      </c>
      <c r="AI86" s="26"/>
      <c r="AJ86" s="171" t="str">
        <f t="shared" si="215"/>
        <v>0.00%</v>
      </c>
      <c r="AK86" s="172" t="str">
        <f t="shared" si="216"/>
        <v>0.00</v>
      </c>
      <c r="AL86" s="173" t="str">
        <f t="shared" si="217"/>
        <v>592.22</v>
      </c>
      <c r="AM86" s="174" t="str">
        <f t="shared" si="218"/>
        <v>420.48</v>
      </c>
    </row>
    <row r="87" ht="12.75" customHeight="1">
      <c r="A87" s="26"/>
      <c r="B87" s="190" t="s">
        <v>207</v>
      </c>
      <c r="C87" s="199">
        <v>2.38415286E8</v>
      </c>
      <c r="D87" s="152" t="s">
        <v>208</v>
      </c>
      <c r="E87" s="53" t="s">
        <v>77</v>
      </c>
      <c r="F87" s="154"/>
      <c r="G87" s="53"/>
      <c r="H87" s="53" t="str">
        <f t="shared" si="196"/>
        <v>0.00069</v>
      </c>
      <c r="I87" s="53" t="str">
        <f t="shared" si="197"/>
        <v>89</v>
      </c>
      <c r="J87" s="53" t="str">
        <f t="shared" si="198"/>
        <v>0</v>
      </c>
      <c r="K87" s="155" t="str">
        <f t="shared" si="199"/>
        <v>0.00</v>
      </c>
      <c r="L87" s="156" t="str">
        <f t="shared" si="200"/>
        <v>0.00 </v>
      </c>
      <c r="M87" s="132">
        <v>90.0</v>
      </c>
      <c r="N87" s="325">
        <v>156.77</v>
      </c>
      <c r="O87" s="158">
        <v>630.0</v>
      </c>
      <c r="P87" s="159" t="str">
        <f t="shared" si="201"/>
        <v>630.00</v>
      </c>
      <c r="Q87" s="160">
        <v>540.0</v>
      </c>
      <c r="R87" s="161">
        <v>0.26</v>
      </c>
      <c r="S87" s="162" t="str">
        <f t="shared" si="202"/>
        <v>466.20</v>
      </c>
      <c r="T87" s="163" t="str">
        <f t="shared" si="203"/>
        <v>20.00</v>
      </c>
      <c r="U87" s="164" t="str">
        <f t="shared" si="204"/>
        <v>37.30</v>
      </c>
      <c r="V87" s="165" t="str">
        <f t="shared" si="205"/>
        <v>0.00</v>
      </c>
      <c r="W87" s="166">
        <v>0.73</v>
      </c>
      <c r="X87" s="167" t="str">
        <f t="shared" si="206"/>
        <v>76</v>
      </c>
      <c r="Y87" s="168" t="str">
        <f t="shared" si="207"/>
        <v>173.250</v>
      </c>
      <c r="Z87" s="168" t="str">
        <f t="shared" si="208"/>
        <v>10.117</v>
      </c>
      <c r="AA87" s="164" t="str">
        <f t="shared" si="209"/>
        <v>1.87</v>
      </c>
      <c r="AB87" s="164">
        <v>96.27</v>
      </c>
      <c r="AC87" s="164" t="str">
        <f t="shared" si="210"/>
        <v>4.80</v>
      </c>
      <c r="AD87" s="165" t="str">
        <f t="shared" si="211"/>
        <v>31.50</v>
      </c>
      <c r="AE87" s="23"/>
      <c r="AF87" s="169" t="str">
        <f t="shared" si="212"/>
        <v>10.2</v>
      </c>
      <c r="AG87" s="163" t="str">
        <f t="shared" si="213"/>
        <v>118.40</v>
      </c>
      <c r="AH87" s="170" t="str">
        <f t="shared" si="214"/>
        <v>75.53%</v>
      </c>
      <c r="AI87" s="26"/>
      <c r="AJ87" s="171" t="str">
        <f t="shared" si="215"/>
        <v>0.00%</v>
      </c>
      <c r="AK87" s="172" t="str">
        <f t="shared" si="216"/>
        <v>0.00</v>
      </c>
      <c r="AL87" s="173" t="str">
        <f t="shared" si="217"/>
        <v>470.32</v>
      </c>
      <c r="AM87" s="174" t="str">
        <f t="shared" si="218"/>
        <v>333.93</v>
      </c>
    </row>
    <row r="88" ht="12.75" customHeight="1">
      <c r="A88" s="26"/>
      <c r="B88" s="190" t="s">
        <v>209</v>
      </c>
      <c r="C88" s="199">
        <v>1.50925321E8</v>
      </c>
      <c r="D88" s="152" t="s">
        <v>210</v>
      </c>
      <c r="E88" s="53" t="s">
        <v>77</v>
      </c>
      <c r="F88" s="154"/>
      <c r="G88" s="53"/>
      <c r="H88" s="53" t="str">
        <f t="shared" si="196"/>
        <v>0.00069</v>
      </c>
      <c r="I88" s="53" t="str">
        <f t="shared" si="197"/>
        <v>89</v>
      </c>
      <c r="J88" s="53" t="str">
        <f t="shared" si="198"/>
        <v>0</v>
      </c>
      <c r="K88" s="155" t="str">
        <f t="shared" si="199"/>
        <v>0.00</v>
      </c>
      <c r="L88" s="156" t="str">
        <f t="shared" si="200"/>
        <v>0.00 </v>
      </c>
      <c r="M88" s="132">
        <v>90.0</v>
      </c>
      <c r="N88" s="325">
        <v>191.37</v>
      </c>
      <c r="O88" s="158">
        <v>845.0</v>
      </c>
      <c r="P88" s="159">
        <v>986.0</v>
      </c>
      <c r="Q88" s="160">
        <v>855.0</v>
      </c>
      <c r="R88" s="161">
        <v>0.26</v>
      </c>
      <c r="S88" s="162" t="str">
        <f t="shared" si="202"/>
        <v>625.30</v>
      </c>
      <c r="T88" s="163" t="str">
        <f t="shared" si="203"/>
        <v>20.00</v>
      </c>
      <c r="U88" s="164" t="str">
        <f t="shared" si="204"/>
        <v>50.02</v>
      </c>
      <c r="V88" s="165" t="str">
        <f t="shared" si="205"/>
        <v>0.00</v>
      </c>
      <c r="W88" s="166">
        <v>0.63</v>
      </c>
      <c r="X88" s="167" t="str">
        <f t="shared" si="206"/>
        <v>76</v>
      </c>
      <c r="Y88" s="168" t="str">
        <f t="shared" si="207"/>
        <v>232.375</v>
      </c>
      <c r="Z88" s="168" t="str">
        <f t="shared" si="208"/>
        <v>13.569</v>
      </c>
      <c r="AA88" s="164" t="str">
        <f t="shared" si="209"/>
        <v>3.36</v>
      </c>
      <c r="AB88" s="164">
        <v>93.29</v>
      </c>
      <c r="AC88" s="164" t="str">
        <f t="shared" si="210"/>
        <v>4.80</v>
      </c>
      <c r="AD88" s="165" t="str">
        <f t="shared" si="211"/>
        <v>42.25</v>
      </c>
      <c r="AE88" s="23"/>
      <c r="AF88" s="169" t="str">
        <f t="shared" si="212"/>
        <v>10.2</v>
      </c>
      <c r="AG88" s="163" t="str">
        <f t="shared" si="213"/>
        <v>211.26</v>
      </c>
      <c r="AH88" s="170" t="str">
        <f t="shared" si="214"/>
        <v>110.39%</v>
      </c>
      <c r="AI88" s="26"/>
      <c r="AJ88" s="171" t="str">
        <f t="shared" si="215"/>
        <v>0.00%</v>
      </c>
      <c r="AK88" s="172" t="str">
        <f t="shared" si="216"/>
        <v>0.00</v>
      </c>
      <c r="AL88" s="173" t="str">
        <f t="shared" si="217"/>
        <v>533.27</v>
      </c>
      <c r="AM88" s="174" t="str">
        <f t="shared" si="218"/>
        <v>378.62</v>
      </c>
    </row>
    <row r="89" ht="12.75" customHeight="1">
      <c r="A89" s="26"/>
      <c r="B89" s="190" t="s">
        <v>211</v>
      </c>
      <c r="C89" s="199">
        <v>1.50925322E8</v>
      </c>
      <c r="D89" s="152" t="s">
        <v>212</v>
      </c>
      <c r="E89" s="53" t="s">
        <v>77</v>
      </c>
      <c r="F89" s="154"/>
      <c r="G89" s="53"/>
      <c r="H89" s="53" t="str">
        <f t="shared" si="196"/>
        <v>0.00069</v>
      </c>
      <c r="I89" s="53" t="str">
        <f t="shared" si="197"/>
        <v>89</v>
      </c>
      <c r="J89" s="53" t="str">
        <f t="shared" si="198"/>
        <v>0</v>
      </c>
      <c r="K89" s="155" t="str">
        <f t="shared" si="199"/>
        <v>0.00</v>
      </c>
      <c r="L89" s="156" t="str">
        <f t="shared" si="200"/>
        <v>0.00 </v>
      </c>
      <c r="M89" s="132">
        <v>90.0</v>
      </c>
      <c r="N89" s="325">
        <v>201.56</v>
      </c>
      <c r="O89" s="158">
        <v>750.0</v>
      </c>
      <c r="P89" s="159" t="str">
        <f t="shared" ref="P89:P98" si="219">O89</f>
        <v>750.00</v>
      </c>
      <c r="Q89" s="160">
        <v>750.0</v>
      </c>
      <c r="R89" s="161">
        <v>0.26</v>
      </c>
      <c r="S89" s="162" t="str">
        <f t="shared" si="202"/>
        <v>555.00</v>
      </c>
      <c r="T89" s="163" t="str">
        <f t="shared" si="203"/>
        <v>20.00</v>
      </c>
      <c r="U89" s="164" t="str">
        <f t="shared" si="204"/>
        <v>44.40</v>
      </c>
      <c r="V89" s="165" t="str">
        <f t="shared" si="205"/>
        <v>0.00</v>
      </c>
      <c r="W89" s="166">
        <v>0.63</v>
      </c>
      <c r="X89" s="167" t="str">
        <f t="shared" si="206"/>
        <v>76</v>
      </c>
      <c r="Y89" s="168" t="str">
        <f t="shared" si="207"/>
        <v>206.250</v>
      </c>
      <c r="Z89" s="168" t="str">
        <f t="shared" si="208"/>
        <v>12.044</v>
      </c>
      <c r="AA89" s="164" t="str">
        <f t="shared" si="209"/>
        <v>5.08</v>
      </c>
      <c r="AB89" s="164">
        <v>89.84</v>
      </c>
      <c r="AC89" s="164" t="str">
        <f t="shared" si="210"/>
        <v>4.80</v>
      </c>
      <c r="AD89" s="165" t="str">
        <f t="shared" si="211"/>
        <v>37.50</v>
      </c>
      <c r="AE89" s="23"/>
      <c r="AF89" s="169" t="str">
        <f t="shared" si="212"/>
        <v>10.2</v>
      </c>
      <c r="AG89" s="163" t="str">
        <f t="shared" si="213"/>
        <v>142.37</v>
      </c>
      <c r="AH89" s="170" t="str">
        <f t="shared" si="214"/>
        <v>70.63%</v>
      </c>
      <c r="AI89" s="26"/>
      <c r="AJ89" s="171" t="str">
        <f t="shared" si="215"/>
        <v>0.00%</v>
      </c>
      <c r="AK89" s="172" t="str">
        <f t="shared" si="216"/>
        <v>0.00</v>
      </c>
      <c r="AL89" s="173" t="str">
        <f t="shared" si="217"/>
        <v>554.06</v>
      </c>
      <c r="AM89" s="174" t="str">
        <f t="shared" si="218"/>
        <v>393.38</v>
      </c>
    </row>
    <row r="90" ht="12.75" customHeight="1">
      <c r="A90" s="26"/>
      <c r="B90" s="190" t="s">
        <v>214</v>
      </c>
      <c r="C90" s="199">
        <v>2.3841601E8</v>
      </c>
      <c r="D90" s="152" t="s">
        <v>215</v>
      </c>
      <c r="E90" s="53" t="s">
        <v>77</v>
      </c>
      <c r="F90" s="154"/>
      <c r="G90" s="53"/>
      <c r="H90" s="53" t="str">
        <f t="shared" si="196"/>
        <v>0.00069</v>
      </c>
      <c r="I90" s="53" t="str">
        <f t="shared" si="197"/>
        <v>89</v>
      </c>
      <c r="J90" s="53" t="str">
        <f t="shared" si="198"/>
        <v>0</v>
      </c>
      <c r="K90" s="155" t="str">
        <f t="shared" si="199"/>
        <v>0.00</v>
      </c>
      <c r="L90" s="156" t="str">
        <f t="shared" si="200"/>
        <v>0.00 </v>
      </c>
      <c r="M90" s="132">
        <v>90.0</v>
      </c>
      <c r="N90" s="325">
        <v>164.23</v>
      </c>
      <c r="O90" s="158">
        <v>618.28</v>
      </c>
      <c r="P90" s="159" t="str">
        <f t="shared" si="219"/>
        <v>618.28</v>
      </c>
      <c r="Q90" s="160">
        <v>552.0</v>
      </c>
      <c r="R90" s="161">
        <v>0.26</v>
      </c>
      <c r="S90" s="162" t="str">
        <f t="shared" si="202"/>
        <v>457.53</v>
      </c>
      <c r="T90" s="163" t="str">
        <f t="shared" si="203"/>
        <v>20.00</v>
      </c>
      <c r="U90" s="164" t="str">
        <f t="shared" si="204"/>
        <v>36.60</v>
      </c>
      <c r="V90" s="165" t="str">
        <f t="shared" si="205"/>
        <v>0.00</v>
      </c>
      <c r="W90" s="166">
        <v>0.73</v>
      </c>
      <c r="X90" s="167" t="str">
        <f t="shared" si="206"/>
        <v>76</v>
      </c>
      <c r="Y90" s="168" t="str">
        <f t="shared" si="207"/>
        <v>170.027</v>
      </c>
      <c r="Z90" s="168" t="str">
        <f t="shared" si="208"/>
        <v>9.928</v>
      </c>
      <c r="AA90" s="164" t="str">
        <f t="shared" si="209"/>
        <v>2.11</v>
      </c>
      <c r="AB90" s="164">
        <v>95.78</v>
      </c>
      <c r="AC90" s="164" t="str">
        <f t="shared" si="210"/>
        <v>4.80</v>
      </c>
      <c r="AD90" s="165" t="str">
        <f t="shared" si="211"/>
        <v>30.91</v>
      </c>
      <c r="AE90" s="23"/>
      <c r="AF90" s="169" t="str">
        <f t="shared" si="212"/>
        <v>10.2</v>
      </c>
      <c r="AG90" s="163" t="str">
        <f t="shared" si="213"/>
        <v>103.67</v>
      </c>
      <c r="AH90" s="170" t="str">
        <f t="shared" si="214"/>
        <v>63.12%</v>
      </c>
      <c r="AI90" s="26"/>
      <c r="AJ90" s="171" t="str">
        <f t="shared" si="215"/>
        <v>0.00%</v>
      </c>
      <c r="AK90" s="172" t="str">
        <f t="shared" si="216"/>
        <v>0.00</v>
      </c>
      <c r="AL90" s="173" t="str">
        <f t="shared" si="217"/>
        <v>483.76</v>
      </c>
      <c r="AM90" s="174" t="str">
        <f t="shared" si="218"/>
        <v>343.47</v>
      </c>
    </row>
    <row r="91" ht="12.75" customHeight="1">
      <c r="A91" s="26"/>
      <c r="B91" s="190" t="s">
        <v>216</v>
      </c>
      <c r="C91" s="199">
        <v>2.07796789E8</v>
      </c>
      <c r="D91" s="152" t="s">
        <v>217</v>
      </c>
      <c r="E91" s="53" t="s">
        <v>77</v>
      </c>
      <c r="F91" s="154"/>
      <c r="G91" s="53"/>
      <c r="H91" s="53" t="str">
        <f t="shared" si="196"/>
        <v>0.00069</v>
      </c>
      <c r="I91" s="53" t="str">
        <f t="shared" si="197"/>
        <v>89</v>
      </c>
      <c r="J91" s="53" t="str">
        <f t="shared" si="198"/>
        <v>0</v>
      </c>
      <c r="K91" s="155" t="str">
        <f t="shared" si="199"/>
        <v>0.00</v>
      </c>
      <c r="L91" s="156" t="str">
        <f t="shared" si="200"/>
        <v>0.00 </v>
      </c>
      <c r="M91" s="132">
        <v>90.0</v>
      </c>
      <c r="N91" s="325">
        <v>216.78</v>
      </c>
      <c r="O91" s="158">
        <v>840.0</v>
      </c>
      <c r="P91" s="159" t="str">
        <f t="shared" si="219"/>
        <v>840.00</v>
      </c>
      <c r="Q91" s="160">
        <v>847.0</v>
      </c>
      <c r="R91" s="161">
        <v>0.26</v>
      </c>
      <c r="S91" s="162" t="str">
        <f t="shared" si="202"/>
        <v>621.60</v>
      </c>
      <c r="T91" s="163" t="str">
        <f t="shared" si="203"/>
        <v>20.00</v>
      </c>
      <c r="U91" s="164" t="str">
        <f t="shared" si="204"/>
        <v>49.73</v>
      </c>
      <c r="V91" s="165" t="str">
        <f t="shared" si="205"/>
        <v>0.00</v>
      </c>
      <c r="W91" s="166">
        <v>0.63</v>
      </c>
      <c r="X91" s="167" t="str">
        <f t="shared" si="206"/>
        <v>76</v>
      </c>
      <c r="Y91" s="168" t="str">
        <f t="shared" si="207"/>
        <v>231.000</v>
      </c>
      <c r="Z91" s="168" t="str">
        <f t="shared" si="208"/>
        <v>13.489</v>
      </c>
      <c r="AA91" s="164" t="str">
        <f t="shared" si="209"/>
        <v>6.67</v>
      </c>
      <c r="AB91" s="164">
        <v>86.67</v>
      </c>
      <c r="AC91" s="164" t="str">
        <f t="shared" si="210"/>
        <v>4.80</v>
      </c>
      <c r="AD91" s="165" t="str">
        <f t="shared" si="211"/>
        <v>42.00</v>
      </c>
      <c r="AE91" s="23"/>
      <c r="AF91" s="169" t="str">
        <f t="shared" si="212"/>
        <v>10.2</v>
      </c>
      <c r="AG91" s="163" t="str">
        <f t="shared" si="213"/>
        <v>179.54</v>
      </c>
      <c r="AH91" s="170" t="str">
        <f t="shared" si="214"/>
        <v>82.82%</v>
      </c>
      <c r="AI91" s="26"/>
      <c r="AJ91" s="171" t="str">
        <f t="shared" si="215"/>
        <v>0.00%</v>
      </c>
      <c r="AK91" s="172" t="str">
        <f t="shared" si="216"/>
        <v>0.00</v>
      </c>
      <c r="AL91" s="173" t="str">
        <f t="shared" si="217"/>
        <v>583.37</v>
      </c>
      <c r="AM91" s="174" t="str">
        <f t="shared" si="218"/>
        <v>414.19</v>
      </c>
    </row>
    <row r="92" ht="12.75" customHeight="1">
      <c r="A92" s="26"/>
      <c r="B92" s="190" t="s">
        <v>218</v>
      </c>
      <c r="C92" s="199">
        <v>2.07796898E8</v>
      </c>
      <c r="D92" s="152" t="s">
        <v>219</v>
      </c>
      <c r="E92" s="53" t="s">
        <v>77</v>
      </c>
      <c r="F92" s="154"/>
      <c r="G92" s="53"/>
      <c r="H92" s="53" t="str">
        <f t="shared" si="196"/>
        <v>0.00069</v>
      </c>
      <c r="I92" s="53" t="str">
        <f t="shared" si="197"/>
        <v>89</v>
      </c>
      <c r="J92" s="53" t="str">
        <f t="shared" si="198"/>
        <v>0</v>
      </c>
      <c r="K92" s="155" t="str">
        <f t="shared" si="199"/>
        <v>0.00</v>
      </c>
      <c r="L92" s="156" t="str">
        <f t="shared" si="200"/>
        <v>0.00 </v>
      </c>
      <c r="M92" s="132">
        <v>90.0</v>
      </c>
      <c r="N92" s="325">
        <v>216.78</v>
      </c>
      <c r="O92" s="158">
        <v>840.0</v>
      </c>
      <c r="P92" s="159" t="str">
        <f t="shared" si="219"/>
        <v>840.00</v>
      </c>
      <c r="Q92" s="160">
        <v>850.0</v>
      </c>
      <c r="R92" s="161">
        <v>0.26</v>
      </c>
      <c r="S92" s="162" t="str">
        <f t="shared" si="202"/>
        <v>621.60</v>
      </c>
      <c r="T92" s="163" t="str">
        <f t="shared" si="203"/>
        <v>20.00</v>
      </c>
      <c r="U92" s="164" t="str">
        <f t="shared" si="204"/>
        <v>49.73</v>
      </c>
      <c r="V92" s="165" t="str">
        <f t="shared" si="205"/>
        <v>0.00</v>
      </c>
      <c r="W92" s="166">
        <v>0.63</v>
      </c>
      <c r="X92" s="167" t="str">
        <f t="shared" si="206"/>
        <v>76</v>
      </c>
      <c r="Y92" s="168" t="str">
        <f t="shared" si="207"/>
        <v>231.000</v>
      </c>
      <c r="Z92" s="168" t="str">
        <f t="shared" si="208"/>
        <v>13.489</v>
      </c>
      <c r="AA92" s="164" t="str">
        <f t="shared" si="209"/>
        <v>3.91</v>
      </c>
      <c r="AB92" s="164">
        <v>92.19</v>
      </c>
      <c r="AC92" s="164" t="str">
        <f t="shared" si="210"/>
        <v>4.80</v>
      </c>
      <c r="AD92" s="165" t="str">
        <f t="shared" si="211"/>
        <v>42.00</v>
      </c>
      <c r="AE92" s="23"/>
      <c r="AF92" s="169" t="str">
        <f t="shared" si="212"/>
        <v>10.2</v>
      </c>
      <c r="AG92" s="163" t="str">
        <f t="shared" si="213"/>
        <v>182.30</v>
      </c>
      <c r="AH92" s="170" t="str">
        <f t="shared" si="214"/>
        <v>84.09%</v>
      </c>
      <c r="AI92" s="26"/>
      <c r="AJ92" s="171" t="str">
        <f t="shared" si="215"/>
        <v>0.00%</v>
      </c>
      <c r="AK92" s="172" t="str">
        <f t="shared" si="216"/>
        <v>0.00</v>
      </c>
      <c r="AL92" s="173" t="str">
        <f t="shared" si="217"/>
        <v>578.55</v>
      </c>
      <c r="AM92" s="174" t="str">
        <f t="shared" si="218"/>
        <v>410.77</v>
      </c>
    </row>
    <row r="93" ht="12.75" customHeight="1">
      <c r="A93" s="26"/>
      <c r="B93" s="190" t="s">
        <v>220</v>
      </c>
      <c r="C93" s="199">
        <v>1.70198738E8</v>
      </c>
      <c r="D93" s="152" t="s">
        <v>221</v>
      </c>
      <c r="E93" s="53" t="s">
        <v>77</v>
      </c>
      <c r="F93" s="154"/>
      <c r="G93" s="53"/>
      <c r="H93" s="53" t="str">
        <f t="shared" si="196"/>
        <v>0.00069</v>
      </c>
      <c r="I93" s="53" t="str">
        <f t="shared" si="197"/>
        <v>89</v>
      </c>
      <c r="J93" s="53" t="str">
        <f t="shared" si="198"/>
        <v>0</v>
      </c>
      <c r="K93" s="155" t="str">
        <f t="shared" si="199"/>
        <v>0.00</v>
      </c>
      <c r="L93" s="156" t="str">
        <f t="shared" si="200"/>
        <v>0.00 </v>
      </c>
      <c r="M93" s="132">
        <v>90.0</v>
      </c>
      <c r="N93" s="325">
        <v>247.41</v>
      </c>
      <c r="O93" s="158">
        <v>956.0</v>
      </c>
      <c r="P93" s="159" t="str">
        <f t="shared" si="219"/>
        <v>956.00</v>
      </c>
      <c r="Q93" s="160">
        <v>957.0</v>
      </c>
      <c r="R93" s="161">
        <v>0.26</v>
      </c>
      <c r="S93" s="162" t="str">
        <f t="shared" si="202"/>
        <v>707.44</v>
      </c>
      <c r="T93" s="163" t="str">
        <f t="shared" si="203"/>
        <v>20.00</v>
      </c>
      <c r="U93" s="164" t="str">
        <f t="shared" si="204"/>
        <v>56.60</v>
      </c>
      <c r="V93" s="165" t="str">
        <f t="shared" si="205"/>
        <v>0.00</v>
      </c>
      <c r="W93" s="166">
        <v>0.4</v>
      </c>
      <c r="X93" s="167" t="str">
        <f t="shared" si="206"/>
        <v>76</v>
      </c>
      <c r="Y93" s="168" t="str">
        <f t="shared" si="207"/>
        <v>262.900</v>
      </c>
      <c r="Z93" s="168" t="str">
        <f t="shared" si="208"/>
        <v>15.351</v>
      </c>
      <c r="AA93" s="164" t="str">
        <f t="shared" si="209"/>
        <v>3.26</v>
      </c>
      <c r="AB93" s="164">
        <v>93.49</v>
      </c>
      <c r="AC93" s="164" t="str">
        <f t="shared" si="210"/>
        <v>4.80</v>
      </c>
      <c r="AD93" s="165" t="str">
        <f t="shared" si="211"/>
        <v>47.80</v>
      </c>
      <c r="AE93" s="23"/>
      <c r="AF93" s="169" t="str">
        <f t="shared" si="212"/>
        <v>10.2</v>
      </c>
      <c r="AG93" s="163" t="str">
        <f t="shared" si="213"/>
        <v>221.89</v>
      </c>
      <c r="AH93" s="170" t="str">
        <f t="shared" si="214"/>
        <v>89.68%</v>
      </c>
      <c r="AI93" s="26"/>
      <c r="AJ93" s="171" t="str">
        <f t="shared" si="215"/>
        <v>0.00%</v>
      </c>
      <c r="AK93" s="172" t="str">
        <f t="shared" si="216"/>
        <v>0.00</v>
      </c>
      <c r="AL93" s="173" t="str">
        <f t="shared" si="217"/>
        <v>630.85</v>
      </c>
      <c r="AM93" s="174" t="str">
        <f t="shared" si="218"/>
        <v>447.90</v>
      </c>
    </row>
    <row r="94" ht="12.75" customHeight="1">
      <c r="A94" s="26"/>
      <c r="B94" s="190" t="s">
        <v>222</v>
      </c>
      <c r="C94" s="199">
        <v>1.70198337E8</v>
      </c>
      <c r="D94" s="152" t="s">
        <v>223</v>
      </c>
      <c r="E94" s="53" t="s">
        <v>77</v>
      </c>
      <c r="F94" s="154"/>
      <c r="G94" s="53"/>
      <c r="H94" s="53" t="str">
        <f t="shared" si="196"/>
        <v>0.00069</v>
      </c>
      <c r="I94" s="53" t="str">
        <f t="shared" si="197"/>
        <v>89</v>
      </c>
      <c r="J94" s="53" t="str">
        <f t="shared" si="198"/>
        <v>0</v>
      </c>
      <c r="K94" s="155" t="str">
        <f t="shared" si="199"/>
        <v>0.00</v>
      </c>
      <c r="L94" s="156" t="str">
        <f t="shared" si="200"/>
        <v>0.00 </v>
      </c>
      <c r="M94" s="132">
        <v>90.0</v>
      </c>
      <c r="N94" s="325">
        <v>252.92</v>
      </c>
      <c r="O94" s="158">
        <v>825.6</v>
      </c>
      <c r="P94" s="159" t="str">
        <f t="shared" si="219"/>
        <v>825.60</v>
      </c>
      <c r="Q94" s="160">
        <v>760.0</v>
      </c>
      <c r="R94" s="161">
        <v>0.26</v>
      </c>
      <c r="S94" s="162" t="str">
        <f t="shared" si="202"/>
        <v>610.94</v>
      </c>
      <c r="T94" s="163" t="str">
        <f t="shared" si="203"/>
        <v>20.00</v>
      </c>
      <c r="U94" s="164" t="str">
        <f t="shared" si="204"/>
        <v>48.88</v>
      </c>
      <c r="V94" s="165" t="str">
        <f t="shared" si="205"/>
        <v>0.00</v>
      </c>
      <c r="W94" s="166">
        <v>0.4</v>
      </c>
      <c r="X94" s="167" t="str">
        <f t="shared" si="206"/>
        <v>76</v>
      </c>
      <c r="Y94" s="168" t="str">
        <f t="shared" si="207"/>
        <v>227.040</v>
      </c>
      <c r="Z94" s="168" t="str">
        <f t="shared" si="208"/>
        <v>13.257</v>
      </c>
      <c r="AA94" s="164" t="str">
        <f t="shared" si="209"/>
        <v>2.90</v>
      </c>
      <c r="AB94" s="164">
        <v>94.21</v>
      </c>
      <c r="AC94" s="164" t="str">
        <f t="shared" si="210"/>
        <v>4.80</v>
      </c>
      <c r="AD94" s="165" t="str">
        <f t="shared" si="211"/>
        <v>41.28</v>
      </c>
      <c r="AE94" s="23"/>
      <c r="AF94" s="169" t="str">
        <f t="shared" si="212"/>
        <v>10.2</v>
      </c>
      <c r="AG94" s="163" t="str">
        <f t="shared" si="213"/>
        <v>138.53</v>
      </c>
      <c r="AH94" s="170" t="str">
        <f t="shared" si="214"/>
        <v>54.77%</v>
      </c>
      <c r="AI94" s="26"/>
      <c r="AJ94" s="171" t="str">
        <f t="shared" si="215"/>
        <v>0.00%</v>
      </c>
      <c r="AK94" s="172" t="str">
        <f t="shared" si="216"/>
        <v>0.00</v>
      </c>
      <c r="AL94" s="173" t="str">
        <f t="shared" si="217"/>
        <v>639.83</v>
      </c>
      <c r="AM94" s="174" t="str">
        <f t="shared" si="218"/>
        <v>454.28</v>
      </c>
    </row>
    <row r="95" ht="12.75" customHeight="1">
      <c r="A95" s="26"/>
      <c r="B95" s="190" t="s">
        <v>224</v>
      </c>
      <c r="C95" s="199">
        <v>1.7019818E8</v>
      </c>
      <c r="D95" s="152" t="s">
        <v>225</v>
      </c>
      <c r="E95" s="53" t="s">
        <v>77</v>
      </c>
      <c r="F95" s="154"/>
      <c r="G95" s="53"/>
      <c r="H95" s="53" t="str">
        <f t="shared" si="196"/>
        <v>0.00069</v>
      </c>
      <c r="I95" s="53" t="str">
        <f t="shared" si="197"/>
        <v>89</v>
      </c>
      <c r="J95" s="53" t="str">
        <f t="shared" si="198"/>
        <v>0</v>
      </c>
      <c r="K95" s="155" t="str">
        <f t="shared" si="199"/>
        <v>0.00</v>
      </c>
      <c r="L95" s="156" t="str">
        <f t="shared" si="200"/>
        <v>0.00 </v>
      </c>
      <c r="M95" s="132">
        <v>90.0</v>
      </c>
      <c r="N95" s="325">
        <v>252.92</v>
      </c>
      <c r="O95" s="158">
        <v>945.0</v>
      </c>
      <c r="P95" s="159" t="str">
        <f t="shared" si="219"/>
        <v>945.00</v>
      </c>
      <c r="Q95" s="160">
        <v>950.0</v>
      </c>
      <c r="R95" s="161">
        <v>0.26</v>
      </c>
      <c r="S95" s="162" t="str">
        <f t="shared" si="202"/>
        <v>699.30</v>
      </c>
      <c r="T95" s="163" t="str">
        <f t="shared" si="203"/>
        <v>20.00</v>
      </c>
      <c r="U95" s="164" t="str">
        <f t="shared" si="204"/>
        <v>55.94</v>
      </c>
      <c r="V95" s="165" t="str">
        <f t="shared" si="205"/>
        <v>0.00</v>
      </c>
      <c r="W95" s="166">
        <v>0.4</v>
      </c>
      <c r="X95" s="167" t="str">
        <f t="shared" si="206"/>
        <v>76</v>
      </c>
      <c r="Y95" s="168" t="str">
        <f t="shared" si="207"/>
        <v>259.875</v>
      </c>
      <c r="Z95" s="168" t="str">
        <f t="shared" si="208"/>
        <v>15.175</v>
      </c>
      <c r="AA95" s="164" t="str">
        <f t="shared" si="209"/>
        <v>4.85</v>
      </c>
      <c r="AB95" s="164">
        <v>90.3</v>
      </c>
      <c r="AC95" s="164" t="str">
        <f t="shared" si="210"/>
        <v>4.80</v>
      </c>
      <c r="AD95" s="165" t="str">
        <f t="shared" si="211"/>
        <v>47.25</v>
      </c>
      <c r="AE95" s="23"/>
      <c r="AF95" s="169" t="str">
        <f t="shared" si="212"/>
        <v>10.2</v>
      </c>
      <c r="AG95" s="163" t="str">
        <f t="shared" si="213"/>
        <v>208.19</v>
      </c>
      <c r="AH95" s="170" t="str">
        <f t="shared" si="214"/>
        <v>82.31%</v>
      </c>
      <c r="AI95" s="26"/>
      <c r="AJ95" s="171" t="str">
        <f t="shared" si="215"/>
        <v>0.00%</v>
      </c>
      <c r="AK95" s="172" t="str">
        <f t="shared" si="216"/>
        <v>0.00</v>
      </c>
      <c r="AL95" s="173" t="str">
        <f t="shared" si="217"/>
        <v>643.24</v>
      </c>
      <c r="AM95" s="174" t="str">
        <f t="shared" si="218"/>
        <v>456.70</v>
      </c>
    </row>
    <row r="96" ht="12.75" customHeight="1">
      <c r="A96" s="26"/>
      <c r="B96" s="190" t="s">
        <v>226</v>
      </c>
      <c r="C96" s="199">
        <v>1.70198109E8</v>
      </c>
      <c r="D96" s="152" t="s">
        <v>227</v>
      </c>
      <c r="E96" s="53" t="s">
        <v>77</v>
      </c>
      <c r="F96" s="154"/>
      <c r="G96" s="53"/>
      <c r="H96" s="53" t="str">
        <f t="shared" si="196"/>
        <v>0.00069</v>
      </c>
      <c r="I96" s="53" t="str">
        <f t="shared" si="197"/>
        <v>89</v>
      </c>
      <c r="J96" s="53" t="str">
        <f t="shared" si="198"/>
        <v>0</v>
      </c>
      <c r="K96" s="155" t="str">
        <f t="shared" si="199"/>
        <v>0.00</v>
      </c>
      <c r="L96" s="156" t="str">
        <f t="shared" si="200"/>
        <v>0.00 </v>
      </c>
      <c r="M96" s="132">
        <v>90.0</v>
      </c>
      <c r="N96" s="325">
        <v>246.68</v>
      </c>
      <c r="O96" s="158">
        <v>999.0</v>
      </c>
      <c r="P96" s="159" t="str">
        <f t="shared" si="219"/>
        <v>999.00</v>
      </c>
      <c r="Q96" s="160">
        <v>1026.0</v>
      </c>
      <c r="R96" s="161">
        <v>0.26</v>
      </c>
      <c r="S96" s="162" t="str">
        <f t="shared" si="202"/>
        <v>739.26</v>
      </c>
      <c r="T96" s="163" t="str">
        <f t="shared" si="203"/>
        <v>20.00</v>
      </c>
      <c r="U96" s="164" t="str">
        <f t="shared" si="204"/>
        <v>59.14</v>
      </c>
      <c r="V96" s="165" t="str">
        <f t="shared" si="205"/>
        <v>0.00</v>
      </c>
      <c r="W96" s="166">
        <v>0.4</v>
      </c>
      <c r="X96" s="167" t="str">
        <f t="shared" si="206"/>
        <v>76</v>
      </c>
      <c r="Y96" s="168" t="str">
        <f t="shared" si="207"/>
        <v>274.725</v>
      </c>
      <c r="Z96" s="168" t="str">
        <f t="shared" si="208"/>
        <v>16.042</v>
      </c>
      <c r="AA96" s="164" t="str">
        <f t="shared" si="209"/>
        <v>2.67</v>
      </c>
      <c r="AB96" s="164">
        <v>94.66</v>
      </c>
      <c r="AC96" s="164" t="str">
        <f t="shared" si="210"/>
        <v>4.80</v>
      </c>
      <c r="AD96" s="165" t="str">
        <f t="shared" si="211"/>
        <v>49.95</v>
      </c>
      <c r="AE96" s="23"/>
      <c r="AF96" s="169" t="str">
        <f t="shared" si="212"/>
        <v>10.2</v>
      </c>
      <c r="AG96" s="163" t="str">
        <f t="shared" si="213"/>
        <v>248.99</v>
      </c>
      <c r="AH96" s="170" t="str">
        <f t="shared" si="214"/>
        <v>100.94%</v>
      </c>
      <c r="AI96" s="26"/>
      <c r="AJ96" s="171" t="str">
        <f t="shared" si="215"/>
        <v>0.00%</v>
      </c>
      <c r="AK96" s="172" t="str">
        <f t="shared" si="216"/>
        <v>0.00</v>
      </c>
      <c r="AL96" s="173" t="str">
        <f t="shared" si="217"/>
        <v>628.55</v>
      </c>
      <c r="AM96" s="174" t="str">
        <f t="shared" si="218"/>
        <v>446.27</v>
      </c>
    </row>
    <row r="97" ht="12.75" customHeight="1">
      <c r="A97" s="26"/>
      <c r="B97" s="190" t="s">
        <v>228</v>
      </c>
      <c r="C97" s="199">
        <v>1.70198835E8</v>
      </c>
      <c r="D97" s="152" t="s">
        <v>229</v>
      </c>
      <c r="E97" s="53" t="s">
        <v>77</v>
      </c>
      <c r="F97" s="154"/>
      <c r="G97" s="53"/>
      <c r="H97" s="53" t="str">
        <f t="shared" si="196"/>
        <v>0.00069</v>
      </c>
      <c r="I97" s="53" t="str">
        <f t="shared" si="197"/>
        <v>89</v>
      </c>
      <c r="J97" s="53" t="str">
        <f t="shared" si="198"/>
        <v>0</v>
      </c>
      <c r="K97" s="155" t="str">
        <f t="shared" si="199"/>
        <v>0.00</v>
      </c>
      <c r="L97" s="156" t="str">
        <f t="shared" si="200"/>
        <v>0.00 </v>
      </c>
      <c r="M97" s="132">
        <v>90.0</v>
      </c>
      <c r="N97" s="325">
        <v>252.92</v>
      </c>
      <c r="O97" s="158">
        <v>852.0</v>
      </c>
      <c r="P97" s="159" t="str">
        <f t="shared" si="219"/>
        <v>852.00</v>
      </c>
      <c r="Q97" s="160">
        <v>865.0</v>
      </c>
      <c r="R97" s="161">
        <v>0.26</v>
      </c>
      <c r="S97" s="162" t="str">
        <f t="shared" si="202"/>
        <v>630.48</v>
      </c>
      <c r="T97" s="163" t="str">
        <f t="shared" si="203"/>
        <v>20.00</v>
      </c>
      <c r="U97" s="164" t="str">
        <f t="shared" si="204"/>
        <v>50.44</v>
      </c>
      <c r="V97" s="165" t="str">
        <f t="shared" si="205"/>
        <v>0.00</v>
      </c>
      <c r="W97" s="166">
        <v>0.4</v>
      </c>
      <c r="X97" s="167" t="str">
        <f t="shared" si="206"/>
        <v>76</v>
      </c>
      <c r="Y97" s="168" t="str">
        <f t="shared" si="207"/>
        <v>234.300</v>
      </c>
      <c r="Z97" s="168" t="str">
        <f t="shared" si="208"/>
        <v>13.681</v>
      </c>
      <c r="AA97" s="164" t="str">
        <f t="shared" si="209"/>
        <v>4.08</v>
      </c>
      <c r="AB97" s="164">
        <v>91.85</v>
      </c>
      <c r="AC97" s="164" t="str">
        <f t="shared" si="210"/>
        <v>4.80</v>
      </c>
      <c r="AD97" s="165" t="str">
        <f t="shared" si="211"/>
        <v>42.60</v>
      </c>
      <c r="AE97" s="23"/>
      <c r="AF97" s="169" t="str">
        <f t="shared" si="212"/>
        <v>10.2</v>
      </c>
      <c r="AG97" s="163" t="str">
        <f t="shared" si="213"/>
        <v>153.19</v>
      </c>
      <c r="AH97" s="170" t="str">
        <f t="shared" si="214"/>
        <v>60.57%</v>
      </c>
      <c r="AI97" s="26"/>
      <c r="AJ97" s="171" t="str">
        <f t="shared" si="215"/>
        <v>0.00%</v>
      </c>
      <c r="AK97" s="172" t="str">
        <f t="shared" si="216"/>
        <v>0.00</v>
      </c>
      <c r="AL97" s="173" t="str">
        <f t="shared" si="217"/>
        <v>641.89</v>
      </c>
      <c r="AM97" s="174" t="str">
        <f t="shared" si="218"/>
        <v>455.74</v>
      </c>
    </row>
    <row r="98" ht="12.75" customHeight="1">
      <c r="A98" s="26"/>
      <c r="B98" s="190" t="s">
        <v>230</v>
      </c>
      <c r="C98" s="199">
        <v>1.70198876E8</v>
      </c>
      <c r="D98" s="152" t="s">
        <v>231</v>
      </c>
      <c r="E98" s="53" t="s">
        <v>77</v>
      </c>
      <c r="F98" s="154"/>
      <c r="G98" s="53"/>
      <c r="H98" s="53" t="str">
        <f t="shared" si="196"/>
        <v>0.00069</v>
      </c>
      <c r="I98" s="53" t="str">
        <f t="shared" si="197"/>
        <v>89</v>
      </c>
      <c r="J98" s="53" t="str">
        <f t="shared" si="198"/>
        <v>0</v>
      </c>
      <c r="K98" s="155" t="str">
        <f t="shared" si="199"/>
        <v>0.00</v>
      </c>
      <c r="L98" s="156" t="str">
        <f t="shared" si="200"/>
        <v>0.00 </v>
      </c>
      <c r="M98" s="132">
        <v>90.0</v>
      </c>
      <c r="N98" s="325">
        <v>246.68</v>
      </c>
      <c r="O98" s="158">
        <v>920.0</v>
      </c>
      <c r="P98" s="159" t="str">
        <f t="shared" si="219"/>
        <v>920.00</v>
      </c>
      <c r="Q98" s="160">
        <v>920.0</v>
      </c>
      <c r="R98" s="161">
        <v>0.26</v>
      </c>
      <c r="S98" s="162" t="str">
        <f t="shared" si="202"/>
        <v>680.80</v>
      </c>
      <c r="T98" s="163" t="str">
        <f t="shared" si="203"/>
        <v>20.00</v>
      </c>
      <c r="U98" s="164" t="str">
        <f t="shared" si="204"/>
        <v>54.46</v>
      </c>
      <c r="V98" s="165" t="str">
        <f t="shared" si="205"/>
        <v>0.00</v>
      </c>
      <c r="W98" s="166">
        <v>0.4</v>
      </c>
      <c r="X98" s="167" t="str">
        <f t="shared" si="206"/>
        <v>76</v>
      </c>
      <c r="Y98" s="168" t="str">
        <f t="shared" si="207"/>
        <v>253.000</v>
      </c>
      <c r="Z98" s="168" t="str">
        <f t="shared" si="208"/>
        <v>14.773</v>
      </c>
      <c r="AA98" s="164" t="str">
        <f t="shared" si="209"/>
        <v>2.58</v>
      </c>
      <c r="AB98" s="164">
        <v>94.85</v>
      </c>
      <c r="AC98" s="164" t="str">
        <f t="shared" si="210"/>
        <v>4.80</v>
      </c>
      <c r="AD98" s="165" t="str">
        <f t="shared" si="211"/>
        <v>46.00</v>
      </c>
      <c r="AE98" s="23"/>
      <c r="AF98" s="169" t="str">
        <f t="shared" si="212"/>
        <v>10.2</v>
      </c>
      <c r="AG98" s="163" t="str">
        <f t="shared" si="213"/>
        <v>201.71</v>
      </c>
      <c r="AH98" s="170" t="str">
        <f t="shared" si="214"/>
        <v>81.77%</v>
      </c>
      <c r="AI98" s="26"/>
      <c r="AJ98" s="171" t="str">
        <f t="shared" si="215"/>
        <v>0.00%</v>
      </c>
      <c r="AK98" s="172" t="str">
        <f t="shared" si="216"/>
        <v>0.00</v>
      </c>
      <c r="AL98" s="173" t="str">
        <f t="shared" si="217"/>
        <v>628.39</v>
      </c>
      <c r="AM98" s="174" t="str">
        <f t="shared" si="218"/>
        <v>446.16</v>
      </c>
    </row>
    <row r="99" ht="12.75" customHeight="1">
      <c r="A99" s="26"/>
      <c r="B99" s="190" t="s">
        <v>238</v>
      </c>
      <c r="C99" s="202">
        <v>1.6500227E8</v>
      </c>
      <c r="D99" s="152" t="s">
        <v>239</v>
      </c>
      <c r="E99" s="53" t="s">
        <v>77</v>
      </c>
      <c r="F99" s="154"/>
      <c r="G99" s="53"/>
      <c r="H99" s="53" t="str">
        <f t="shared" si="196"/>
        <v>0.00069</v>
      </c>
      <c r="I99" s="53" t="str">
        <f t="shared" si="197"/>
        <v>89</v>
      </c>
      <c r="J99" s="53" t="str">
        <f t="shared" si="198"/>
        <v>0</v>
      </c>
      <c r="K99" s="155" t="str">
        <f t="shared" si="199"/>
        <v>0.00</v>
      </c>
      <c r="L99" s="156" t="str">
        <f t="shared" si="200"/>
        <v>0.00 </v>
      </c>
      <c r="M99" s="132">
        <v>90.0</v>
      </c>
      <c r="N99" s="325" t="str">
        <f>L99/F99</f>
        <v>#DIV/0!</v>
      </c>
      <c r="O99" s="158">
        <v>603.0</v>
      </c>
      <c r="P99" s="159" t="str">
        <f t="shared" ref="P99:P103" si="220">AL99</f>
        <v>#DIV/0!</v>
      </c>
      <c r="Q99" s="160"/>
      <c r="R99" s="161">
        <v>0.26</v>
      </c>
      <c r="S99" s="162" t="str">
        <f t="shared" si="202"/>
        <v>446.22</v>
      </c>
      <c r="T99" s="163" t="str">
        <f t="shared" si="203"/>
        <v>20.00</v>
      </c>
      <c r="U99" s="164" t="str">
        <f t="shared" si="204"/>
        <v>35.70</v>
      </c>
      <c r="V99" s="165" t="str">
        <f t="shared" si="205"/>
        <v>#DIV/0!</v>
      </c>
      <c r="W99" s="166">
        <v>0.28</v>
      </c>
      <c r="X99" s="167" t="str">
        <f t="shared" si="206"/>
        <v>76</v>
      </c>
      <c r="Y99" s="168" t="str">
        <f t="shared" si="207"/>
        <v>165.825</v>
      </c>
      <c r="Z99" s="168" t="str">
        <f t="shared" si="208"/>
        <v>9.683</v>
      </c>
      <c r="AA99" s="164" t="str">
        <f t="shared" si="209"/>
        <v>1.35</v>
      </c>
      <c r="AB99" s="164">
        <v>97.3</v>
      </c>
      <c r="AC99" s="164" t="str">
        <f t="shared" si="210"/>
        <v>4.80</v>
      </c>
      <c r="AD99" s="165" t="str">
        <f t="shared" si="211"/>
        <v>30.15</v>
      </c>
      <c r="AE99" s="23"/>
      <c r="AF99" s="169" t="str">
        <f t="shared" si="212"/>
        <v>10.2</v>
      </c>
      <c r="AG99" s="163" t="str">
        <f t="shared" si="213"/>
        <v>#DIV/0!</v>
      </c>
      <c r="AH99" s="170" t="str">
        <f t="shared" si="214"/>
        <v>#DIV/0!</v>
      </c>
      <c r="AI99" s="26"/>
      <c r="AJ99" s="171" t="str">
        <f t="shared" si="215"/>
        <v>0.00%</v>
      </c>
      <c r="AK99" s="172" t="str">
        <f t="shared" si="216"/>
        <v>#DIV/0!</v>
      </c>
      <c r="AL99" s="173" t="str">
        <f t="shared" si="217"/>
        <v>#DIV/0!</v>
      </c>
      <c r="AM99" s="174" t="str">
        <f t="shared" si="218"/>
        <v>#DIV/0!</v>
      </c>
    </row>
    <row r="100" ht="12.75" customHeight="1">
      <c r="A100" s="26"/>
      <c r="B100" s="190" t="s">
        <v>240</v>
      </c>
      <c r="C100" s="202">
        <v>2.38358009E8</v>
      </c>
      <c r="D100" s="152" t="s">
        <v>241</v>
      </c>
      <c r="E100" s="53" t="s">
        <v>77</v>
      </c>
      <c r="F100" s="154"/>
      <c r="G100" s="53"/>
      <c r="H100" s="53" t="str">
        <f t="shared" si="196"/>
        <v>0.00069</v>
      </c>
      <c r="I100" s="53" t="str">
        <f t="shared" si="197"/>
        <v>89</v>
      </c>
      <c r="J100" s="53" t="str">
        <f t="shared" si="198"/>
        <v>0</v>
      </c>
      <c r="K100" s="155" t="str">
        <f t="shared" si="199"/>
        <v>0.00</v>
      </c>
      <c r="L100" s="156" t="str">
        <f t="shared" si="200"/>
        <v>0.00 </v>
      </c>
      <c r="M100" s="132">
        <v>90.0</v>
      </c>
      <c r="N100" s="325">
        <v>180.54</v>
      </c>
      <c r="O100" s="158">
        <v>601.0</v>
      </c>
      <c r="P100" s="159" t="str">
        <f t="shared" si="220"/>
        <v>513.81</v>
      </c>
      <c r="Q100" s="160"/>
      <c r="R100" s="161">
        <v>0.26</v>
      </c>
      <c r="S100" s="162" t="str">
        <f t="shared" si="202"/>
        <v>444.74</v>
      </c>
      <c r="T100" s="163" t="str">
        <f t="shared" si="203"/>
        <v>20.00</v>
      </c>
      <c r="U100" s="164" t="str">
        <f t="shared" si="204"/>
        <v>35.58</v>
      </c>
      <c r="V100" s="165" t="str">
        <f t="shared" si="205"/>
        <v>0.00</v>
      </c>
      <c r="W100" s="166">
        <v>0.28</v>
      </c>
      <c r="X100" s="167" t="str">
        <f t="shared" si="206"/>
        <v>76</v>
      </c>
      <c r="Y100" s="168" t="str">
        <f t="shared" si="207"/>
        <v>165.275</v>
      </c>
      <c r="Z100" s="168" t="str">
        <f t="shared" si="208"/>
        <v>9.651</v>
      </c>
      <c r="AA100" s="164" t="str">
        <f t="shared" si="209"/>
        <v>3.03</v>
      </c>
      <c r="AB100" s="164">
        <v>93.94</v>
      </c>
      <c r="AC100" s="164" t="str">
        <f t="shared" si="210"/>
        <v>4.80</v>
      </c>
      <c r="AD100" s="165" t="str">
        <f t="shared" si="211"/>
        <v>30.05</v>
      </c>
      <c r="AE100" s="23"/>
      <c r="AF100" s="169" t="str">
        <f t="shared" si="212"/>
        <v>10.2</v>
      </c>
      <c r="AG100" s="163" t="str">
        <f t="shared" si="213"/>
        <v>76.07</v>
      </c>
      <c r="AH100" s="170" t="str">
        <f t="shared" si="214"/>
        <v>42.14%</v>
      </c>
      <c r="AI100" s="26"/>
      <c r="AJ100" s="171" t="str">
        <f t="shared" si="215"/>
        <v>0.00%</v>
      </c>
      <c r="AK100" s="172" t="str">
        <f t="shared" si="216"/>
        <v>0.00</v>
      </c>
      <c r="AL100" s="173" t="str">
        <f t="shared" si="217"/>
        <v>513.81</v>
      </c>
      <c r="AM100" s="174" t="str">
        <f t="shared" si="218"/>
        <v>364.81</v>
      </c>
    </row>
    <row r="101" ht="12.75" customHeight="1">
      <c r="A101" s="26"/>
      <c r="B101" s="190"/>
      <c r="C101" s="202" t="s">
        <v>242</v>
      </c>
      <c r="D101" s="205" t="s">
        <v>243</v>
      </c>
      <c r="E101" s="53" t="s">
        <v>77</v>
      </c>
      <c r="F101" s="154"/>
      <c r="G101" s="53"/>
      <c r="H101" s="53" t="str">
        <f t="shared" si="196"/>
        <v>0.00069</v>
      </c>
      <c r="I101" s="53" t="str">
        <f t="shared" si="197"/>
        <v>89</v>
      </c>
      <c r="J101" s="53" t="str">
        <f t="shared" si="198"/>
        <v>0</v>
      </c>
      <c r="K101" s="155" t="str">
        <f t="shared" si="199"/>
        <v>0.00</v>
      </c>
      <c r="L101" s="156" t="str">
        <f t="shared" si="200"/>
        <v>0.00 </v>
      </c>
      <c r="M101" s="132">
        <v>90.0</v>
      </c>
      <c r="N101" s="325" t="str">
        <f t="shared" ref="N101:N103" si="221">L101/F101</f>
        <v>#DIV/0!</v>
      </c>
      <c r="O101" s="158"/>
      <c r="P101" s="159" t="str">
        <f t="shared" si="220"/>
        <v>#DIV/0!</v>
      </c>
      <c r="Q101" s="160"/>
      <c r="R101" s="161"/>
      <c r="S101" s="162" t="str">
        <f t="shared" si="202"/>
        <v>0.00</v>
      </c>
      <c r="T101" s="163">
        <v>0.0</v>
      </c>
      <c r="U101" s="164" t="str">
        <f t="shared" si="204"/>
        <v>0.00</v>
      </c>
      <c r="V101" s="165" t="str">
        <f t="shared" si="205"/>
        <v>#DIV/0!</v>
      </c>
      <c r="W101" s="166"/>
      <c r="X101" s="206"/>
      <c r="Y101" s="168" t="str">
        <f t="shared" si="207"/>
        <v>0.000</v>
      </c>
      <c r="Z101" s="168" t="str">
        <f t="shared" si="208"/>
        <v>0.000</v>
      </c>
      <c r="AA101" s="164" t="str">
        <f t="shared" si="209"/>
        <v>50.00</v>
      </c>
      <c r="AB101" s="164"/>
      <c r="AC101" s="164" t="str">
        <f t="shared" si="210"/>
        <v>0.00</v>
      </c>
      <c r="AD101" s="165" t="str">
        <f t="shared" si="211"/>
        <v>0.00</v>
      </c>
      <c r="AE101" s="23"/>
      <c r="AF101" s="169" t="str">
        <f t="shared" si="212"/>
        <v>0</v>
      </c>
      <c r="AG101" s="163" t="str">
        <f>S101-T101-U101-V101-X101-Y101-Z101-AA101-AC101-AD101-N101</f>
        <v>#DIV/0!</v>
      </c>
      <c r="AH101" s="170" t="str">
        <f t="shared" si="214"/>
        <v>#DIV/0!</v>
      </c>
      <c r="AI101" s="26"/>
      <c r="AJ101" s="171" t="str">
        <f t="shared" si="215"/>
        <v>0.00%</v>
      </c>
      <c r="AK101" s="172" t="str">
        <f t="shared" si="216"/>
        <v>#DIV/0!</v>
      </c>
      <c r="AL101" s="173" t="str">
        <f t="shared" si="217"/>
        <v>#DIV/0!</v>
      </c>
      <c r="AM101" s="174" t="str">
        <f t="shared" si="218"/>
        <v>#DIV/0!</v>
      </c>
    </row>
    <row r="102" ht="12.75" customHeight="1">
      <c r="A102" s="26"/>
      <c r="B102" s="190" t="s">
        <v>244</v>
      </c>
      <c r="C102" s="202">
        <v>1.69788725E8</v>
      </c>
      <c r="D102" s="152" t="s">
        <v>245</v>
      </c>
      <c r="E102" s="53" t="s">
        <v>77</v>
      </c>
      <c r="F102" s="154"/>
      <c r="G102" s="53"/>
      <c r="H102" s="53" t="str">
        <f t="shared" si="196"/>
        <v>0.00069</v>
      </c>
      <c r="I102" s="53" t="str">
        <f t="shared" si="197"/>
        <v>89</v>
      </c>
      <c r="J102" s="53" t="str">
        <f t="shared" si="198"/>
        <v>0</v>
      </c>
      <c r="K102" s="155" t="str">
        <f t="shared" si="199"/>
        <v>0.00</v>
      </c>
      <c r="L102" s="156" t="str">
        <f t="shared" si="200"/>
        <v>0.00 </v>
      </c>
      <c r="M102" s="132">
        <v>90.0</v>
      </c>
      <c r="N102" s="325" t="str">
        <f t="shared" si="221"/>
        <v>#DIV/0!</v>
      </c>
      <c r="O102" s="158">
        <v>1095.9</v>
      </c>
      <c r="P102" s="159" t="str">
        <f t="shared" si="220"/>
        <v>#DIV/0!</v>
      </c>
      <c r="Q102" s="160"/>
      <c r="R102" s="161">
        <v>0.26</v>
      </c>
      <c r="S102" s="162" t="str">
        <f t="shared" si="202"/>
        <v>810.97</v>
      </c>
      <c r="T102" s="163" t="str">
        <f t="shared" ref="T102:T103" si="222">$C$1</f>
        <v>20.00</v>
      </c>
      <c r="U102" s="164" t="str">
        <f t="shared" si="204"/>
        <v>64.88</v>
      </c>
      <c r="V102" s="165" t="str">
        <f t="shared" si="205"/>
        <v>#DIV/0!</v>
      </c>
      <c r="W102" s="166">
        <v>0.59</v>
      </c>
      <c r="X102" s="167" t="str">
        <f t="shared" ref="X102:X103" si="223">((_xlfn.CEILING.MATH(W102)-1)*$C$5+$C$4)</f>
        <v>76</v>
      </c>
      <c r="Y102" s="168" t="str">
        <f t="shared" si="207"/>
        <v>301.373</v>
      </c>
      <c r="Z102" s="168" t="str">
        <f t="shared" si="208"/>
        <v>17.598</v>
      </c>
      <c r="AA102" s="164" t="str">
        <f t="shared" si="209"/>
        <v>1.14</v>
      </c>
      <c r="AB102" s="164">
        <v>97.73</v>
      </c>
      <c r="AC102" s="164" t="str">
        <f t="shared" si="210"/>
        <v>4.80</v>
      </c>
      <c r="AD102" s="165" t="str">
        <f t="shared" si="211"/>
        <v>54.80</v>
      </c>
      <c r="AE102" s="23"/>
      <c r="AF102" s="169" t="str">
        <f t="shared" si="212"/>
        <v>10.2</v>
      </c>
      <c r="AG102" s="163" t="str">
        <f t="shared" ref="AG102:AG103" si="224">O102-T102-U102-V102-X102-Y102-Z102-AA102-AC102-AD102-N102</f>
        <v>#DIV/0!</v>
      </c>
      <c r="AH102" s="170" t="str">
        <f t="shared" si="214"/>
        <v>#DIV/0!</v>
      </c>
      <c r="AI102" s="26"/>
      <c r="AJ102" s="171" t="str">
        <f t="shared" si="215"/>
        <v>0.00%</v>
      </c>
      <c r="AK102" s="172" t="str">
        <f t="shared" si="216"/>
        <v>#DIV/0!</v>
      </c>
      <c r="AL102" s="173" t="str">
        <f t="shared" si="217"/>
        <v>#DIV/0!</v>
      </c>
      <c r="AM102" s="174" t="str">
        <f t="shared" si="218"/>
        <v>#DIV/0!</v>
      </c>
    </row>
    <row r="103" ht="12.75" customHeight="1">
      <c r="A103" s="26"/>
      <c r="B103" s="190" t="s">
        <v>246</v>
      </c>
      <c r="C103" s="202">
        <v>1.69788801E8</v>
      </c>
      <c r="D103" s="152" t="s">
        <v>247</v>
      </c>
      <c r="E103" s="53" t="s">
        <v>77</v>
      </c>
      <c r="F103" s="154"/>
      <c r="G103" s="53"/>
      <c r="H103" s="53" t="str">
        <f t="shared" si="196"/>
        <v>0.00069</v>
      </c>
      <c r="I103" s="53" t="str">
        <f t="shared" si="197"/>
        <v>89</v>
      </c>
      <c r="J103" s="53" t="str">
        <f t="shared" si="198"/>
        <v>0</v>
      </c>
      <c r="K103" s="155" t="str">
        <f t="shared" si="199"/>
        <v>0.00</v>
      </c>
      <c r="L103" s="156" t="str">
        <f t="shared" si="200"/>
        <v>0.00 </v>
      </c>
      <c r="M103" s="132">
        <v>90.0</v>
      </c>
      <c r="N103" s="325" t="str">
        <f t="shared" si="221"/>
        <v>#DIV/0!</v>
      </c>
      <c r="O103" s="158">
        <v>1095.9</v>
      </c>
      <c r="P103" s="159" t="str">
        <f t="shared" si="220"/>
        <v>#DIV/0!</v>
      </c>
      <c r="Q103" s="160"/>
      <c r="R103" s="161">
        <v>0.26</v>
      </c>
      <c r="S103" s="162" t="str">
        <f t="shared" si="202"/>
        <v>810.97</v>
      </c>
      <c r="T103" s="163" t="str">
        <f t="shared" si="222"/>
        <v>20.00</v>
      </c>
      <c r="U103" s="164" t="str">
        <f t="shared" si="204"/>
        <v>64.88</v>
      </c>
      <c r="V103" s="165" t="str">
        <f t="shared" si="205"/>
        <v>#DIV/0!</v>
      </c>
      <c r="W103" s="166">
        <v>0.59</v>
      </c>
      <c r="X103" s="167" t="str">
        <f t="shared" si="223"/>
        <v>76</v>
      </c>
      <c r="Y103" s="168" t="str">
        <f t="shared" si="207"/>
        <v>301.373</v>
      </c>
      <c r="Z103" s="168" t="str">
        <f t="shared" si="208"/>
        <v>17.598</v>
      </c>
      <c r="AA103" s="164" t="str">
        <f t="shared" si="209"/>
        <v>2.83</v>
      </c>
      <c r="AB103" s="164">
        <v>94.35</v>
      </c>
      <c r="AC103" s="164" t="str">
        <f t="shared" si="210"/>
        <v>4.80</v>
      </c>
      <c r="AD103" s="165" t="str">
        <f t="shared" si="211"/>
        <v>54.80</v>
      </c>
      <c r="AE103" s="23"/>
      <c r="AF103" s="169" t="str">
        <f t="shared" si="212"/>
        <v>10.2</v>
      </c>
      <c r="AG103" s="163" t="str">
        <f t="shared" si="224"/>
        <v>#DIV/0!</v>
      </c>
      <c r="AH103" s="170" t="str">
        <f t="shared" si="214"/>
        <v>#DIV/0!</v>
      </c>
      <c r="AI103" s="26"/>
      <c r="AJ103" s="171" t="str">
        <f t="shared" si="215"/>
        <v>0.00%</v>
      </c>
      <c r="AK103" s="172" t="str">
        <f t="shared" si="216"/>
        <v>#DIV/0!</v>
      </c>
      <c r="AL103" s="173" t="str">
        <f t="shared" si="217"/>
        <v>#DIV/0!</v>
      </c>
      <c r="AM103" s="174" t="str">
        <f t="shared" si="218"/>
        <v>#DIV/0!</v>
      </c>
    </row>
    <row r="104" ht="12.75" customHeight="1">
      <c r="A104" s="26"/>
      <c r="B104" s="125" t="s">
        <v>248</v>
      </c>
      <c r="C104" s="126"/>
      <c r="D104" s="127"/>
      <c r="E104" s="128"/>
      <c r="F104" s="129"/>
      <c r="G104" s="128"/>
      <c r="H104" s="197"/>
      <c r="I104" s="197"/>
      <c r="J104" s="128"/>
      <c r="K104" s="130"/>
      <c r="L104" s="131"/>
      <c r="M104" s="132"/>
      <c r="N104" s="320"/>
      <c r="O104" s="134"/>
      <c r="P104" s="135"/>
      <c r="Q104" s="135"/>
      <c r="R104" s="136"/>
      <c r="S104" s="137"/>
      <c r="T104" s="177"/>
      <c r="U104" s="178"/>
      <c r="V104" s="179"/>
      <c r="W104" s="180"/>
      <c r="X104" s="181"/>
      <c r="Y104" s="182"/>
      <c r="Z104" s="182"/>
      <c r="AA104" s="178"/>
      <c r="AB104" s="178"/>
      <c r="AC104" s="178"/>
      <c r="AD104" s="179"/>
      <c r="AE104" s="183"/>
      <c r="AF104" s="184"/>
      <c r="AG104" s="177"/>
      <c r="AH104" s="185"/>
      <c r="AI104" s="26"/>
      <c r="AJ104" s="186"/>
      <c r="AK104" s="187"/>
      <c r="AL104" s="188"/>
      <c r="AM104" s="189"/>
    </row>
    <row r="105" ht="12.75" customHeight="1">
      <c r="A105" s="26"/>
      <c r="B105" s="190" t="s">
        <v>249</v>
      </c>
      <c r="C105" s="199">
        <v>3.07073881E8</v>
      </c>
      <c r="D105" s="152" t="s">
        <v>250</v>
      </c>
      <c r="E105" s="53" t="s">
        <v>77</v>
      </c>
      <c r="F105" s="154"/>
      <c r="G105" s="53"/>
      <c r="H105" s="53" t="str">
        <f t="shared" ref="H105:H109" si="225">$I$2</f>
        <v>0.00069</v>
      </c>
      <c r="I105" s="53" t="str">
        <f t="shared" ref="I105:I109" si="226">$I$3</f>
        <v>89</v>
      </c>
      <c r="J105" s="53" t="str">
        <f t="shared" ref="J105:J109" si="227">G105*H105*I105*F105</f>
        <v>0</v>
      </c>
      <c r="K105" s="155" t="str">
        <f t="shared" ref="K105:K109" si="228">J105*$J$4</f>
        <v>0.00</v>
      </c>
      <c r="L105" s="156" t="str">
        <f t="shared" ref="L105:L109" si="229">K105+J105</f>
        <v>0.00 </v>
      </c>
      <c r="M105" s="132">
        <v>90.0</v>
      </c>
      <c r="N105" s="325">
        <v>283.89</v>
      </c>
      <c r="O105" s="158">
        <v>903.3</v>
      </c>
      <c r="P105" s="159" t="str">
        <f t="shared" ref="P105:P106" si="230">O105</f>
        <v>903.30</v>
      </c>
      <c r="Q105" s="160">
        <v>832.0</v>
      </c>
      <c r="R105" s="161">
        <v>0.26</v>
      </c>
      <c r="S105" s="162" t="str">
        <f t="shared" ref="S105:S109" si="231">O105-(O105*R105)</f>
        <v>668.44</v>
      </c>
      <c r="T105" s="163" t="str">
        <f t="shared" ref="T105:T109" si="232">$C$1</f>
        <v>20.00</v>
      </c>
      <c r="U105" s="164" t="str">
        <f t="shared" ref="U105:U109" si="233">S105*$C$8</f>
        <v>53.48</v>
      </c>
      <c r="V105" s="165" t="str">
        <f t="shared" ref="V105:V109" si="234">N105*$C$3*(M105/30)</f>
        <v>0.00</v>
      </c>
      <c r="W105" s="166">
        <v>0.72</v>
      </c>
      <c r="X105" s="167" t="str">
        <f t="shared" ref="X105:X109" si="235">((_xlfn.CEILING.MATH(W105)-1)*$C$5+$C$4)</f>
        <v>76</v>
      </c>
      <c r="Y105" s="168" t="str">
        <f t="shared" ref="Y105:Y109" si="236">O105*$Y$6</f>
        <v>248.408</v>
      </c>
      <c r="Z105" s="168" t="str">
        <f t="shared" ref="Z105:Z109" si="237">S105*$Y$7</f>
        <v>14.505</v>
      </c>
      <c r="AA105" s="164" t="str">
        <f t="shared" ref="AA105:AA109" si="238">$Y$3*((100-AB105)/100)</f>
        <v>1.70</v>
      </c>
      <c r="AB105" s="164">
        <v>96.61</v>
      </c>
      <c r="AC105" s="164" t="str">
        <f t="shared" ref="AC105:AC109" si="239">$C$6*$C$7*_xlfn.CEILING.MATH(W105)</f>
        <v>4.80</v>
      </c>
      <c r="AD105" s="165" t="str">
        <f t="shared" ref="AD105:AD109" si="240">O105*$C$2</f>
        <v>45.17</v>
      </c>
      <c r="AE105" s="23"/>
      <c r="AF105" s="169" t="str">
        <f t="shared" ref="AF105:AF109" si="241">(_xlfn.CEILING.MATH(W105))*$Y$1*$AD$2</f>
        <v>10.2</v>
      </c>
      <c r="AG105" s="163" t="str">
        <f t="shared" ref="AG105:AG109" si="242">O105-T105-U105-V105-X105-Y105-Z105-AA105-AC105-AD105-N105</f>
        <v>155.36</v>
      </c>
      <c r="AH105" s="170" t="str">
        <f t="shared" ref="AH105:AH109" si="243">AG105/N105</f>
        <v>54.73%</v>
      </c>
      <c r="AI105" s="26"/>
      <c r="AJ105" s="171" t="str">
        <f t="shared" ref="AJ105:AJ109" si="244">$AD$3</f>
        <v>0.00%</v>
      </c>
      <c r="AK105" s="172" t="str">
        <f t="shared" ref="AK105:AK109" si="245">N105*AJ105</f>
        <v>0.00</v>
      </c>
      <c r="AL105" s="173" t="str">
        <f t="shared" ref="AL105:AL109" si="246">(N105+T105+V105+X105+AA105+AC105+AF105+AK105)/(100%-($C$2+$C$8+$Y$6+$Y$7))</f>
        <v>691.76</v>
      </c>
      <c r="AM105" s="174" t="str">
        <f t="shared" ref="AM105:AM109" si="247">AL105-(AL105*$AD$1)</f>
        <v>491.15</v>
      </c>
    </row>
    <row r="106" ht="12.75" customHeight="1">
      <c r="A106" s="26"/>
      <c r="B106" s="190" t="s">
        <v>251</v>
      </c>
      <c r="C106" s="199">
        <v>1.54159632E8</v>
      </c>
      <c r="D106" s="152" t="s">
        <v>252</v>
      </c>
      <c r="E106" s="53" t="s">
        <v>77</v>
      </c>
      <c r="F106" s="154"/>
      <c r="G106" s="53"/>
      <c r="H106" s="53" t="str">
        <f t="shared" si="225"/>
        <v>0.00069</v>
      </c>
      <c r="I106" s="53" t="str">
        <f t="shared" si="226"/>
        <v>89</v>
      </c>
      <c r="J106" s="53" t="str">
        <f t="shared" si="227"/>
        <v>0</v>
      </c>
      <c r="K106" s="155" t="str">
        <f t="shared" si="228"/>
        <v>0.00</v>
      </c>
      <c r="L106" s="156" t="str">
        <f t="shared" si="229"/>
        <v>0.00 </v>
      </c>
      <c r="M106" s="132">
        <v>90.0</v>
      </c>
      <c r="N106" s="325">
        <v>92.17</v>
      </c>
      <c r="O106" s="158">
        <v>480.0</v>
      </c>
      <c r="P106" s="159" t="str">
        <f t="shared" si="230"/>
        <v>480.00</v>
      </c>
      <c r="Q106" s="160">
        <v>329.0</v>
      </c>
      <c r="R106" s="161">
        <v>0.26</v>
      </c>
      <c r="S106" s="162" t="str">
        <f t="shared" si="231"/>
        <v>355.20</v>
      </c>
      <c r="T106" s="163" t="str">
        <f t="shared" si="232"/>
        <v>20.00</v>
      </c>
      <c r="U106" s="164" t="str">
        <f t="shared" si="233"/>
        <v>28.42</v>
      </c>
      <c r="V106" s="165" t="str">
        <f t="shared" si="234"/>
        <v>0.00</v>
      </c>
      <c r="W106" s="166">
        <v>0.35</v>
      </c>
      <c r="X106" s="167" t="str">
        <f t="shared" si="235"/>
        <v>76</v>
      </c>
      <c r="Y106" s="168" t="str">
        <f t="shared" si="236"/>
        <v>132.000</v>
      </c>
      <c r="Z106" s="168" t="str">
        <f t="shared" si="237"/>
        <v>7.708</v>
      </c>
      <c r="AA106" s="164" t="str">
        <f t="shared" si="238"/>
        <v>0.00</v>
      </c>
      <c r="AB106" s="164">
        <v>100.0</v>
      </c>
      <c r="AC106" s="164" t="str">
        <f t="shared" si="239"/>
        <v>4.80</v>
      </c>
      <c r="AD106" s="165" t="str">
        <f t="shared" si="240"/>
        <v>24.00</v>
      </c>
      <c r="AE106" s="23"/>
      <c r="AF106" s="169" t="str">
        <f t="shared" si="241"/>
        <v>10.2</v>
      </c>
      <c r="AG106" s="163" t="str">
        <f t="shared" si="242"/>
        <v>94.91</v>
      </c>
      <c r="AH106" s="170" t="str">
        <f t="shared" si="243"/>
        <v>102.97%</v>
      </c>
      <c r="AI106" s="26"/>
      <c r="AJ106" s="171" t="str">
        <f t="shared" si="244"/>
        <v>0.00%</v>
      </c>
      <c r="AK106" s="172" t="str">
        <f t="shared" si="245"/>
        <v>0.00</v>
      </c>
      <c r="AL106" s="173" t="str">
        <f t="shared" si="246"/>
        <v>354.39</v>
      </c>
      <c r="AM106" s="174" t="str">
        <f t="shared" si="247"/>
        <v>251.61</v>
      </c>
    </row>
    <row r="107" ht="12.75" customHeight="1">
      <c r="A107" s="26"/>
      <c r="B107" s="190" t="s">
        <v>253</v>
      </c>
      <c r="C107" s="199">
        <v>1.51313163E8</v>
      </c>
      <c r="D107" s="152" t="s">
        <v>254</v>
      </c>
      <c r="E107" s="53" t="s">
        <v>77</v>
      </c>
      <c r="F107" s="154"/>
      <c r="G107" s="53"/>
      <c r="H107" s="53" t="str">
        <f t="shared" si="225"/>
        <v>0.00069</v>
      </c>
      <c r="I107" s="53" t="str">
        <f t="shared" si="226"/>
        <v>89</v>
      </c>
      <c r="J107" s="53" t="str">
        <f t="shared" si="227"/>
        <v>0</v>
      </c>
      <c r="K107" s="155" t="str">
        <f t="shared" si="228"/>
        <v>0.00</v>
      </c>
      <c r="L107" s="156" t="str">
        <f t="shared" si="229"/>
        <v>0.00 </v>
      </c>
      <c r="M107" s="132">
        <v>90.0</v>
      </c>
      <c r="N107" s="325">
        <v>335.5</v>
      </c>
      <c r="O107" s="158">
        <v>857.53</v>
      </c>
      <c r="P107" s="159">
        <v>850.0</v>
      </c>
      <c r="Q107" s="160">
        <v>838.0</v>
      </c>
      <c r="R107" s="161">
        <v>0.26</v>
      </c>
      <c r="S107" s="162" t="str">
        <f t="shared" si="231"/>
        <v>634.57</v>
      </c>
      <c r="T107" s="163" t="str">
        <f t="shared" si="232"/>
        <v>20.00</v>
      </c>
      <c r="U107" s="164" t="str">
        <f t="shared" si="233"/>
        <v>50.77</v>
      </c>
      <c r="V107" s="165" t="str">
        <f t="shared" si="234"/>
        <v>0.00</v>
      </c>
      <c r="W107" s="166">
        <v>0.56</v>
      </c>
      <c r="X107" s="167" t="str">
        <f t="shared" si="235"/>
        <v>76</v>
      </c>
      <c r="Y107" s="168" t="str">
        <f t="shared" si="236"/>
        <v>235.821</v>
      </c>
      <c r="Z107" s="168" t="str">
        <f t="shared" si="237"/>
        <v>13.770</v>
      </c>
      <c r="AA107" s="164" t="str">
        <f t="shared" si="238"/>
        <v>2.85</v>
      </c>
      <c r="AB107" s="164">
        <v>94.3</v>
      </c>
      <c r="AC107" s="164" t="str">
        <f t="shared" si="239"/>
        <v>4.80</v>
      </c>
      <c r="AD107" s="165" t="str">
        <f t="shared" si="240"/>
        <v>42.88</v>
      </c>
      <c r="AE107" s="23"/>
      <c r="AF107" s="169" t="str">
        <f t="shared" si="241"/>
        <v>10.2</v>
      </c>
      <c r="AG107" s="163" t="str">
        <f t="shared" si="242"/>
        <v>75.15</v>
      </c>
      <c r="AH107" s="170" t="str">
        <f t="shared" si="243"/>
        <v>22.40%</v>
      </c>
      <c r="AI107" s="26"/>
      <c r="AJ107" s="171" t="str">
        <f t="shared" si="244"/>
        <v>0.00%</v>
      </c>
      <c r="AK107" s="172" t="str">
        <f t="shared" si="245"/>
        <v>0.00</v>
      </c>
      <c r="AL107" s="173" t="str">
        <f t="shared" si="246"/>
        <v>783.80</v>
      </c>
      <c r="AM107" s="174" t="str">
        <f t="shared" si="247"/>
        <v>556.49</v>
      </c>
    </row>
    <row r="108" ht="12.75" customHeight="1">
      <c r="A108" s="26"/>
      <c r="B108" s="190" t="s">
        <v>255</v>
      </c>
      <c r="C108" s="199">
        <v>1.54160085E8</v>
      </c>
      <c r="D108" s="152" t="s">
        <v>256</v>
      </c>
      <c r="E108" s="53" t="s">
        <v>77</v>
      </c>
      <c r="F108" s="154"/>
      <c r="G108" s="53"/>
      <c r="H108" s="53" t="str">
        <f t="shared" si="225"/>
        <v>0.00069</v>
      </c>
      <c r="I108" s="53" t="str">
        <f t="shared" si="226"/>
        <v>89</v>
      </c>
      <c r="J108" s="53" t="str">
        <f t="shared" si="227"/>
        <v>0</v>
      </c>
      <c r="K108" s="155" t="str">
        <f t="shared" si="228"/>
        <v>0.00</v>
      </c>
      <c r="L108" s="156" t="str">
        <f t="shared" si="229"/>
        <v>0.00 </v>
      </c>
      <c r="M108" s="132">
        <v>90.0</v>
      </c>
      <c r="N108" s="325">
        <v>368.68</v>
      </c>
      <c r="O108" s="158">
        <v>1106.4</v>
      </c>
      <c r="P108" s="159" t="str">
        <f t="shared" ref="P108:P109" si="248">O108</f>
        <v>1,106.40</v>
      </c>
      <c r="Q108" s="160">
        <v>1060.0</v>
      </c>
      <c r="R108" s="161">
        <v>0.26</v>
      </c>
      <c r="S108" s="162" t="str">
        <f t="shared" si="231"/>
        <v>818.74</v>
      </c>
      <c r="T108" s="163" t="str">
        <f t="shared" si="232"/>
        <v>20.00</v>
      </c>
      <c r="U108" s="164" t="str">
        <f t="shared" si="233"/>
        <v>65.50</v>
      </c>
      <c r="V108" s="165" t="str">
        <f t="shared" si="234"/>
        <v>0.00</v>
      </c>
      <c r="W108" s="166">
        <v>1.2</v>
      </c>
      <c r="X108" s="167" t="str">
        <f t="shared" si="235"/>
        <v>95</v>
      </c>
      <c r="Y108" s="168" t="str">
        <f t="shared" si="236"/>
        <v>304.260</v>
      </c>
      <c r="Z108" s="168" t="str">
        <f t="shared" si="237"/>
        <v>17.767</v>
      </c>
      <c r="AA108" s="164" t="str">
        <f t="shared" si="238"/>
        <v>2.13</v>
      </c>
      <c r="AB108" s="164">
        <v>95.74</v>
      </c>
      <c r="AC108" s="164" t="str">
        <f t="shared" si="239"/>
        <v>9.60</v>
      </c>
      <c r="AD108" s="165" t="str">
        <f t="shared" si="240"/>
        <v>55.32</v>
      </c>
      <c r="AE108" s="23"/>
      <c r="AF108" s="169" t="str">
        <f t="shared" si="241"/>
        <v>20.4</v>
      </c>
      <c r="AG108" s="163" t="str">
        <f t="shared" si="242"/>
        <v>168.14</v>
      </c>
      <c r="AH108" s="170" t="str">
        <f t="shared" si="243"/>
        <v>45.61%</v>
      </c>
      <c r="AI108" s="26"/>
      <c r="AJ108" s="171" t="str">
        <f t="shared" si="244"/>
        <v>0.00%</v>
      </c>
      <c r="AK108" s="172" t="str">
        <f t="shared" si="245"/>
        <v>0.00</v>
      </c>
      <c r="AL108" s="173" t="str">
        <f t="shared" si="246"/>
        <v>899.72</v>
      </c>
      <c r="AM108" s="174" t="str">
        <f t="shared" si="247"/>
        <v>638.80</v>
      </c>
    </row>
    <row r="109" ht="12.75" customHeight="1">
      <c r="A109" s="26"/>
      <c r="B109" s="190" t="s">
        <v>257</v>
      </c>
      <c r="C109" s="199">
        <v>1.69198316E8</v>
      </c>
      <c r="D109" s="152" t="s">
        <v>258</v>
      </c>
      <c r="E109" s="53" t="s">
        <v>77</v>
      </c>
      <c r="F109" s="154"/>
      <c r="G109" s="53"/>
      <c r="H109" s="53" t="str">
        <f t="shared" si="225"/>
        <v>0.00069</v>
      </c>
      <c r="I109" s="53" t="str">
        <f t="shared" si="226"/>
        <v>89</v>
      </c>
      <c r="J109" s="53" t="str">
        <f t="shared" si="227"/>
        <v>0</v>
      </c>
      <c r="K109" s="155" t="str">
        <f t="shared" si="228"/>
        <v>0.00</v>
      </c>
      <c r="L109" s="156" t="str">
        <f t="shared" si="229"/>
        <v>0.00 </v>
      </c>
      <c r="M109" s="132">
        <v>90.0</v>
      </c>
      <c r="N109" s="325">
        <v>253.65</v>
      </c>
      <c r="O109" s="158">
        <v>870.0</v>
      </c>
      <c r="P109" s="159" t="str">
        <f t="shared" si="248"/>
        <v>870.00</v>
      </c>
      <c r="Q109" s="160">
        <v>839.0</v>
      </c>
      <c r="R109" s="161">
        <v>0.26</v>
      </c>
      <c r="S109" s="162" t="str">
        <f t="shared" si="231"/>
        <v>643.80</v>
      </c>
      <c r="T109" s="163" t="str">
        <f t="shared" si="232"/>
        <v>20.00</v>
      </c>
      <c r="U109" s="164" t="str">
        <f t="shared" si="233"/>
        <v>51.50</v>
      </c>
      <c r="V109" s="165" t="str">
        <f t="shared" si="234"/>
        <v>0.00</v>
      </c>
      <c r="W109" s="166">
        <v>0.67</v>
      </c>
      <c r="X109" s="167" t="str">
        <f t="shared" si="235"/>
        <v>76</v>
      </c>
      <c r="Y109" s="168" t="str">
        <f t="shared" si="236"/>
        <v>239.250</v>
      </c>
      <c r="Z109" s="168" t="str">
        <f t="shared" si="237"/>
        <v>13.970</v>
      </c>
      <c r="AA109" s="164" t="str">
        <f t="shared" si="238"/>
        <v>2.04</v>
      </c>
      <c r="AB109" s="164">
        <v>95.92</v>
      </c>
      <c r="AC109" s="164" t="str">
        <f t="shared" si="239"/>
        <v>4.80</v>
      </c>
      <c r="AD109" s="165" t="str">
        <f t="shared" si="240"/>
        <v>43.50</v>
      </c>
      <c r="AE109" s="23"/>
      <c r="AF109" s="169" t="str">
        <f t="shared" si="241"/>
        <v>10.2</v>
      </c>
      <c r="AG109" s="163" t="str">
        <f t="shared" si="242"/>
        <v>165.29</v>
      </c>
      <c r="AH109" s="170" t="str">
        <f t="shared" si="243"/>
        <v>65.16%</v>
      </c>
      <c r="AI109" s="26"/>
      <c r="AJ109" s="171" t="str">
        <f t="shared" si="244"/>
        <v>0.00%</v>
      </c>
      <c r="AK109" s="172" t="str">
        <f t="shared" si="245"/>
        <v>0.00</v>
      </c>
      <c r="AL109" s="173" t="str">
        <f t="shared" si="246"/>
        <v>639.61</v>
      </c>
      <c r="AM109" s="174" t="str">
        <f t="shared" si="247"/>
        <v>454.13</v>
      </c>
    </row>
    <row r="110" ht="12.75" customHeight="1">
      <c r="A110" s="26"/>
      <c r="B110" s="125" t="s">
        <v>259</v>
      </c>
      <c r="C110" s="126"/>
      <c r="D110" s="127"/>
      <c r="E110" s="128"/>
      <c r="F110" s="129"/>
      <c r="G110" s="128"/>
      <c r="H110" s="197"/>
      <c r="I110" s="197"/>
      <c r="J110" s="128"/>
      <c r="K110" s="130"/>
      <c r="L110" s="131"/>
      <c r="M110" s="132"/>
      <c r="N110" s="320"/>
      <c r="O110" s="134"/>
      <c r="P110" s="135"/>
      <c r="Q110" s="135"/>
      <c r="R110" s="136"/>
      <c r="S110" s="137"/>
      <c r="T110" s="177"/>
      <c r="U110" s="178"/>
      <c r="V110" s="179"/>
      <c r="W110" s="180"/>
      <c r="X110" s="181"/>
      <c r="Y110" s="182"/>
      <c r="Z110" s="182"/>
      <c r="AA110" s="178"/>
      <c r="AB110" s="178"/>
      <c r="AC110" s="178"/>
      <c r="AD110" s="179"/>
      <c r="AE110" s="183"/>
      <c r="AF110" s="184"/>
      <c r="AG110" s="177"/>
      <c r="AH110" s="185"/>
      <c r="AI110" s="26"/>
      <c r="AJ110" s="186"/>
      <c r="AK110" s="187"/>
      <c r="AL110" s="188"/>
      <c r="AM110" s="189"/>
    </row>
    <row r="111" ht="12.75" customHeight="1">
      <c r="A111" s="26"/>
      <c r="B111" s="190" t="s">
        <v>260</v>
      </c>
      <c r="C111" s="199">
        <v>2.07472742E8</v>
      </c>
      <c r="D111" s="152" t="s">
        <v>261</v>
      </c>
      <c r="E111" s="53" t="s">
        <v>77</v>
      </c>
      <c r="F111" s="154"/>
      <c r="G111" s="53"/>
      <c r="H111" s="53" t="str">
        <f t="shared" ref="H111:H123" si="249">$I$2</f>
        <v>0.00069</v>
      </c>
      <c r="I111" s="53" t="str">
        <f t="shared" ref="I111:I123" si="250">$I$3</f>
        <v>89</v>
      </c>
      <c r="J111" s="53" t="str">
        <f t="shared" ref="J111:J123" si="251">G111*H111*I111*F111</f>
        <v>0</v>
      </c>
      <c r="K111" s="155" t="str">
        <f t="shared" ref="K111:K123" si="252">J111*$J$4</f>
        <v>0.00</v>
      </c>
      <c r="L111" s="156" t="str">
        <f t="shared" ref="L111:L123" si="253">K111+J111</f>
        <v>0.00 </v>
      </c>
      <c r="M111" s="132">
        <v>90.0</v>
      </c>
      <c r="N111" s="325">
        <v>216.49</v>
      </c>
      <c r="O111" s="158">
        <v>1050.0</v>
      </c>
      <c r="P111" s="159" t="str">
        <f t="shared" ref="P111:P119" si="254">O111</f>
        <v>1,050.00</v>
      </c>
      <c r="Q111" s="160">
        <v>784.0</v>
      </c>
      <c r="R111" s="161">
        <v>0.26</v>
      </c>
      <c r="S111" s="162" t="str">
        <f t="shared" ref="S111:S123" si="255">O111-(O111*R111)</f>
        <v>777.00</v>
      </c>
      <c r="T111" s="163" t="str">
        <f t="shared" ref="T111:T123" si="256">$C$1</f>
        <v>20.00</v>
      </c>
      <c r="U111" s="164" t="str">
        <f t="shared" ref="U111:U123" si="257">S111*$C$8</f>
        <v>62.16</v>
      </c>
      <c r="V111" s="165" t="str">
        <f t="shared" ref="V111:V123" si="258">N111*$C$3*(M111/30)</f>
        <v>0.00</v>
      </c>
      <c r="W111" s="166">
        <v>1.26</v>
      </c>
      <c r="X111" s="167" t="str">
        <f t="shared" ref="X111:X123" si="259">((_xlfn.CEILING.MATH(W111)-1)*$C$5+$C$4)</f>
        <v>95</v>
      </c>
      <c r="Y111" s="168" t="str">
        <f t="shared" ref="Y111:Y123" si="260">O111*$Y$6</f>
        <v>288.750</v>
      </c>
      <c r="Z111" s="168" t="str">
        <f t="shared" ref="Z111:Z123" si="261">S111*$Y$7</f>
        <v>16.861</v>
      </c>
      <c r="AA111" s="164" t="str">
        <f t="shared" ref="AA111:AA123" si="262">$Y$3*((100-AB111)/100)</f>
        <v>0.84</v>
      </c>
      <c r="AB111" s="164">
        <v>98.33</v>
      </c>
      <c r="AC111" s="164" t="str">
        <f t="shared" ref="AC111:AC123" si="263">$C$6*$C$7*_xlfn.CEILING.MATH(W111)</f>
        <v>9.60</v>
      </c>
      <c r="AD111" s="165" t="str">
        <f t="shared" ref="AD111:AD123" si="264">O111*$C$2</f>
        <v>52.50</v>
      </c>
      <c r="AE111" s="23"/>
      <c r="AF111" s="169" t="str">
        <f t="shared" ref="AF111:AF123" si="265">(_xlfn.CEILING.MATH(W111))*$Y$1*$AD$2</f>
        <v>20.4</v>
      </c>
      <c r="AG111" s="163" t="str">
        <f t="shared" ref="AG111:AG123" si="266">O111-T111-U111-V111-X111-Y111-Z111-AA111-AC111-AD111-N111</f>
        <v>287.80</v>
      </c>
      <c r="AH111" s="170" t="str">
        <f t="shared" ref="AH111:AH123" si="267">AG111/N111</f>
        <v>132.94%</v>
      </c>
      <c r="AI111" s="26"/>
      <c r="AJ111" s="171" t="str">
        <f t="shared" ref="AJ111:AJ123" si="268">$AD$3</f>
        <v>0.00%</v>
      </c>
      <c r="AK111" s="172" t="str">
        <f t="shared" ref="AK111:AK123" si="269">N111*AJ111</f>
        <v>0.00</v>
      </c>
      <c r="AL111" s="173" t="str">
        <f t="shared" ref="AL111:AL123" si="270">(N111+T111+V111+X111+AA111+AC111+AF111+AK111)/(100%-($C$2+$C$8+$Y$6+$Y$7))</f>
        <v>632.00</v>
      </c>
      <c r="AM111" s="174" t="str">
        <f t="shared" ref="AM111:AM123" si="271">AL111-(AL111*$AD$1)</f>
        <v>448.72</v>
      </c>
    </row>
    <row r="112" ht="12.75" customHeight="1">
      <c r="A112" s="26"/>
      <c r="B112" s="190" t="s">
        <v>262</v>
      </c>
      <c r="C112" s="199">
        <v>1.68956391E8</v>
      </c>
      <c r="D112" s="152" t="s">
        <v>263</v>
      </c>
      <c r="E112" s="53" t="s">
        <v>77</v>
      </c>
      <c r="F112" s="154"/>
      <c r="G112" s="53"/>
      <c r="H112" s="53" t="str">
        <f t="shared" si="249"/>
        <v>0.00069</v>
      </c>
      <c r="I112" s="53" t="str">
        <f t="shared" si="250"/>
        <v>89</v>
      </c>
      <c r="J112" s="53" t="str">
        <f t="shared" si="251"/>
        <v>0</v>
      </c>
      <c r="K112" s="155" t="str">
        <f t="shared" si="252"/>
        <v>0.00</v>
      </c>
      <c r="L112" s="156" t="str">
        <f t="shared" si="253"/>
        <v>0.00 </v>
      </c>
      <c r="M112" s="132">
        <v>90.0</v>
      </c>
      <c r="N112" s="325">
        <v>283.67</v>
      </c>
      <c r="O112" s="158">
        <v>844.5</v>
      </c>
      <c r="P112" s="159" t="str">
        <f t="shared" si="254"/>
        <v>844.50</v>
      </c>
      <c r="Q112" s="160"/>
      <c r="R112" s="161">
        <v>0.26</v>
      </c>
      <c r="S112" s="162" t="str">
        <f t="shared" si="255"/>
        <v>624.93</v>
      </c>
      <c r="T112" s="163" t="str">
        <f t="shared" si="256"/>
        <v>20.00</v>
      </c>
      <c r="U112" s="164" t="str">
        <f t="shared" si="257"/>
        <v>49.99</v>
      </c>
      <c r="V112" s="165" t="str">
        <f t="shared" si="258"/>
        <v>0.00</v>
      </c>
      <c r="W112" s="166">
        <v>0.83</v>
      </c>
      <c r="X112" s="167" t="str">
        <f t="shared" si="259"/>
        <v>76</v>
      </c>
      <c r="Y112" s="168" t="str">
        <f t="shared" si="260"/>
        <v>232.238</v>
      </c>
      <c r="Z112" s="168" t="str">
        <f t="shared" si="261"/>
        <v>13.561</v>
      </c>
      <c r="AA112" s="164" t="str">
        <f t="shared" si="262"/>
        <v>3.14</v>
      </c>
      <c r="AB112" s="164">
        <v>93.72</v>
      </c>
      <c r="AC112" s="164" t="str">
        <f t="shared" si="263"/>
        <v>4.80</v>
      </c>
      <c r="AD112" s="165" t="str">
        <f t="shared" si="264"/>
        <v>42.23</v>
      </c>
      <c r="AE112" s="23"/>
      <c r="AF112" s="169" t="str">
        <f t="shared" si="265"/>
        <v>10.2</v>
      </c>
      <c r="AG112" s="163" t="str">
        <f t="shared" si="266"/>
        <v>118.87</v>
      </c>
      <c r="AH112" s="170" t="str">
        <f t="shared" si="267"/>
        <v>41.91%</v>
      </c>
      <c r="AI112" s="26"/>
      <c r="AJ112" s="171" t="str">
        <f t="shared" si="268"/>
        <v>0.00%</v>
      </c>
      <c r="AK112" s="172" t="str">
        <f t="shared" si="269"/>
        <v>0.00</v>
      </c>
      <c r="AL112" s="173" t="str">
        <f t="shared" si="270"/>
        <v>693.89</v>
      </c>
      <c r="AM112" s="174" t="str">
        <f t="shared" si="271"/>
        <v>492.67</v>
      </c>
    </row>
    <row r="113" ht="12.75" customHeight="1">
      <c r="A113" s="26"/>
      <c r="B113" s="190"/>
      <c r="C113" s="199">
        <v>4.19630142E8</v>
      </c>
      <c r="D113" s="152" t="s">
        <v>264</v>
      </c>
      <c r="E113" s="53" t="s">
        <v>77</v>
      </c>
      <c r="F113" s="154"/>
      <c r="G113" s="53"/>
      <c r="H113" s="53" t="str">
        <f t="shared" si="249"/>
        <v>0.00069</v>
      </c>
      <c r="I113" s="53" t="str">
        <f t="shared" si="250"/>
        <v>89</v>
      </c>
      <c r="J113" s="53" t="str">
        <f t="shared" si="251"/>
        <v>0</v>
      </c>
      <c r="K113" s="155" t="str">
        <f t="shared" si="252"/>
        <v>0.00</v>
      </c>
      <c r="L113" s="156" t="str">
        <f t="shared" si="253"/>
        <v>0.00 </v>
      </c>
      <c r="M113" s="132">
        <v>90.0</v>
      </c>
      <c r="N113" s="325">
        <v>283.67</v>
      </c>
      <c r="O113" s="158">
        <v>1035.0</v>
      </c>
      <c r="P113" s="159" t="str">
        <f t="shared" si="254"/>
        <v>1,035.00</v>
      </c>
      <c r="Q113" s="160">
        <v>905.0</v>
      </c>
      <c r="R113" s="161">
        <v>0.26</v>
      </c>
      <c r="S113" s="162" t="str">
        <f t="shared" si="255"/>
        <v>765.90</v>
      </c>
      <c r="T113" s="163" t="str">
        <f t="shared" si="256"/>
        <v>20.00</v>
      </c>
      <c r="U113" s="164" t="str">
        <f t="shared" si="257"/>
        <v>61.27</v>
      </c>
      <c r="V113" s="165" t="str">
        <f t="shared" si="258"/>
        <v>0.00</v>
      </c>
      <c r="W113" s="166">
        <v>0.83</v>
      </c>
      <c r="X113" s="167" t="str">
        <f t="shared" si="259"/>
        <v>76</v>
      </c>
      <c r="Y113" s="168" t="str">
        <f t="shared" si="260"/>
        <v>284.625</v>
      </c>
      <c r="Z113" s="168" t="str">
        <f t="shared" si="261"/>
        <v>16.620</v>
      </c>
      <c r="AA113" s="164" t="str">
        <f t="shared" si="262"/>
        <v>3.14</v>
      </c>
      <c r="AB113" s="164">
        <v>93.72</v>
      </c>
      <c r="AC113" s="164" t="str">
        <f t="shared" si="263"/>
        <v>4.80</v>
      </c>
      <c r="AD113" s="165" t="str">
        <f t="shared" si="264"/>
        <v>51.75</v>
      </c>
      <c r="AE113" s="23"/>
      <c r="AF113" s="169" t="str">
        <f t="shared" si="265"/>
        <v>10.2</v>
      </c>
      <c r="AG113" s="163" t="str">
        <f t="shared" si="266"/>
        <v>233.12</v>
      </c>
      <c r="AH113" s="170" t="str">
        <f t="shared" si="267"/>
        <v>82.18%</v>
      </c>
      <c r="AI113" s="26"/>
      <c r="AJ113" s="171" t="str">
        <f t="shared" si="268"/>
        <v>0.00%</v>
      </c>
      <c r="AK113" s="172" t="str">
        <f t="shared" si="269"/>
        <v>0.00</v>
      </c>
      <c r="AL113" s="173" t="str">
        <f t="shared" si="270"/>
        <v>693.89</v>
      </c>
      <c r="AM113" s="174" t="str">
        <f t="shared" si="271"/>
        <v>492.67</v>
      </c>
    </row>
    <row r="114" ht="12.75" customHeight="1">
      <c r="A114" s="26"/>
      <c r="B114" s="190" t="s">
        <v>265</v>
      </c>
      <c r="C114" s="199">
        <v>2.07476777E8</v>
      </c>
      <c r="D114" s="152" t="s">
        <v>266</v>
      </c>
      <c r="E114" s="53" t="s">
        <v>77</v>
      </c>
      <c r="F114" s="154"/>
      <c r="G114" s="53"/>
      <c r="H114" s="53" t="str">
        <f t="shared" si="249"/>
        <v>0.00069</v>
      </c>
      <c r="I114" s="53" t="str">
        <f t="shared" si="250"/>
        <v>89</v>
      </c>
      <c r="J114" s="53" t="str">
        <f t="shared" si="251"/>
        <v>0</v>
      </c>
      <c r="K114" s="155" t="str">
        <f t="shared" si="252"/>
        <v>0.00</v>
      </c>
      <c r="L114" s="156" t="str">
        <f t="shared" si="253"/>
        <v>0.00 </v>
      </c>
      <c r="M114" s="132">
        <v>90.0</v>
      </c>
      <c r="N114" s="325">
        <v>117.95</v>
      </c>
      <c r="O114" s="158">
        <v>580.0</v>
      </c>
      <c r="P114" s="159" t="str">
        <f t="shared" si="254"/>
        <v>580.00</v>
      </c>
      <c r="Q114" s="160">
        <v>503.0</v>
      </c>
      <c r="R114" s="161">
        <v>0.26</v>
      </c>
      <c r="S114" s="162" t="str">
        <f t="shared" si="255"/>
        <v>429.20</v>
      </c>
      <c r="T114" s="163" t="str">
        <f t="shared" si="256"/>
        <v>20.00</v>
      </c>
      <c r="U114" s="164" t="str">
        <f t="shared" si="257"/>
        <v>34.34</v>
      </c>
      <c r="V114" s="165" t="str">
        <f t="shared" si="258"/>
        <v>0.00</v>
      </c>
      <c r="W114" s="166">
        <v>0.57</v>
      </c>
      <c r="X114" s="167" t="str">
        <f t="shared" si="259"/>
        <v>76</v>
      </c>
      <c r="Y114" s="168" t="str">
        <f t="shared" si="260"/>
        <v>159.500</v>
      </c>
      <c r="Z114" s="168" t="str">
        <f t="shared" si="261"/>
        <v>9.314</v>
      </c>
      <c r="AA114" s="164" t="str">
        <f t="shared" si="262"/>
        <v>0.98</v>
      </c>
      <c r="AB114" s="164">
        <v>98.04</v>
      </c>
      <c r="AC114" s="164" t="str">
        <f t="shared" si="263"/>
        <v>4.80</v>
      </c>
      <c r="AD114" s="165" t="str">
        <f t="shared" si="264"/>
        <v>29.00</v>
      </c>
      <c r="AE114" s="23"/>
      <c r="AF114" s="169" t="str">
        <f t="shared" si="265"/>
        <v>10.2</v>
      </c>
      <c r="AG114" s="163" t="str">
        <f t="shared" si="266"/>
        <v>128.12</v>
      </c>
      <c r="AH114" s="170" t="str">
        <f t="shared" si="267"/>
        <v>108.62%</v>
      </c>
      <c r="AI114" s="26"/>
      <c r="AJ114" s="171" t="str">
        <f t="shared" si="268"/>
        <v>0.00%</v>
      </c>
      <c r="AK114" s="172" t="str">
        <f t="shared" si="269"/>
        <v>0.00</v>
      </c>
      <c r="AL114" s="173" t="str">
        <f t="shared" si="270"/>
        <v>401.06</v>
      </c>
      <c r="AM114" s="174" t="str">
        <f t="shared" si="271"/>
        <v>284.76</v>
      </c>
    </row>
    <row r="115" ht="12.75" customHeight="1">
      <c r="A115" s="26"/>
      <c r="B115" s="190" t="s">
        <v>267</v>
      </c>
      <c r="C115" s="199">
        <v>2.07477077E8</v>
      </c>
      <c r="D115" s="152" t="s">
        <v>268</v>
      </c>
      <c r="E115" s="53" t="s">
        <v>77</v>
      </c>
      <c r="F115" s="154"/>
      <c r="G115" s="53"/>
      <c r="H115" s="53" t="str">
        <f t="shared" si="249"/>
        <v>0.00069</v>
      </c>
      <c r="I115" s="53" t="str">
        <f t="shared" si="250"/>
        <v>89</v>
      </c>
      <c r="J115" s="53" t="str">
        <f t="shared" si="251"/>
        <v>0</v>
      </c>
      <c r="K115" s="155" t="str">
        <f t="shared" si="252"/>
        <v>0.00</v>
      </c>
      <c r="L115" s="156" t="str">
        <f t="shared" si="253"/>
        <v>0.00 </v>
      </c>
      <c r="M115" s="132">
        <v>90.0</v>
      </c>
      <c r="N115" s="325">
        <v>333.12</v>
      </c>
      <c r="O115" s="158">
        <v>1191.0</v>
      </c>
      <c r="P115" s="159" t="str">
        <f t="shared" si="254"/>
        <v>1,191.00</v>
      </c>
      <c r="Q115" s="160">
        <v>391.0</v>
      </c>
      <c r="R115" s="161">
        <v>0.26</v>
      </c>
      <c r="S115" s="162" t="str">
        <f t="shared" si="255"/>
        <v>881.34</v>
      </c>
      <c r="T115" s="163" t="str">
        <f t="shared" si="256"/>
        <v>20.00</v>
      </c>
      <c r="U115" s="164" t="str">
        <f t="shared" si="257"/>
        <v>70.51</v>
      </c>
      <c r="V115" s="165" t="str">
        <f t="shared" si="258"/>
        <v>0.00</v>
      </c>
      <c r="W115" s="166">
        <v>0.57</v>
      </c>
      <c r="X115" s="167" t="str">
        <f t="shared" si="259"/>
        <v>76</v>
      </c>
      <c r="Y115" s="168" t="str">
        <f t="shared" si="260"/>
        <v>327.525</v>
      </c>
      <c r="Z115" s="168" t="str">
        <f t="shared" si="261"/>
        <v>19.125</v>
      </c>
      <c r="AA115" s="164" t="str">
        <f t="shared" si="262"/>
        <v>1.62</v>
      </c>
      <c r="AB115" s="164">
        <v>96.77</v>
      </c>
      <c r="AC115" s="164" t="str">
        <f t="shared" si="263"/>
        <v>4.80</v>
      </c>
      <c r="AD115" s="165" t="str">
        <f t="shared" si="264"/>
        <v>59.55</v>
      </c>
      <c r="AE115" s="23"/>
      <c r="AF115" s="169" t="str">
        <f t="shared" si="265"/>
        <v>10.2</v>
      </c>
      <c r="AG115" s="163" t="str">
        <f t="shared" si="266"/>
        <v>278.76</v>
      </c>
      <c r="AH115" s="170" t="str">
        <f t="shared" si="267"/>
        <v>83.68%</v>
      </c>
      <c r="AI115" s="26"/>
      <c r="AJ115" s="171" t="str">
        <f t="shared" si="268"/>
        <v>0.00%</v>
      </c>
      <c r="AK115" s="172" t="str">
        <f t="shared" si="269"/>
        <v>0.00</v>
      </c>
      <c r="AL115" s="173" t="str">
        <f t="shared" si="270"/>
        <v>777.49</v>
      </c>
      <c r="AM115" s="174" t="str">
        <f t="shared" si="271"/>
        <v>552.02</v>
      </c>
    </row>
    <row r="116" ht="12.75" customHeight="1">
      <c r="A116" s="26"/>
      <c r="B116" s="190" t="s">
        <v>269</v>
      </c>
      <c r="C116" s="199">
        <v>2.12885914E8</v>
      </c>
      <c r="D116" s="152" t="s">
        <v>270</v>
      </c>
      <c r="E116" s="53" t="s">
        <v>77</v>
      </c>
      <c r="F116" s="154"/>
      <c r="G116" s="53"/>
      <c r="H116" s="53" t="str">
        <f t="shared" si="249"/>
        <v>0.00069</v>
      </c>
      <c r="I116" s="53" t="str">
        <f t="shared" si="250"/>
        <v>89</v>
      </c>
      <c r="J116" s="53" t="str">
        <f t="shared" si="251"/>
        <v>0</v>
      </c>
      <c r="K116" s="155" t="str">
        <f t="shared" si="252"/>
        <v>0.00</v>
      </c>
      <c r="L116" s="156" t="str">
        <f t="shared" si="253"/>
        <v>0.00 </v>
      </c>
      <c r="M116" s="132">
        <v>90.0</v>
      </c>
      <c r="N116" s="325">
        <v>179.16</v>
      </c>
      <c r="O116" s="158">
        <v>750.0</v>
      </c>
      <c r="P116" s="159" t="str">
        <f t="shared" si="254"/>
        <v>750.00</v>
      </c>
      <c r="Q116" s="160">
        <v>712.0</v>
      </c>
      <c r="R116" s="161">
        <v>0.26</v>
      </c>
      <c r="S116" s="162" t="str">
        <f t="shared" si="255"/>
        <v>555.00</v>
      </c>
      <c r="T116" s="163" t="str">
        <f t="shared" si="256"/>
        <v>20.00</v>
      </c>
      <c r="U116" s="164" t="str">
        <f t="shared" si="257"/>
        <v>44.40</v>
      </c>
      <c r="V116" s="165" t="str">
        <f t="shared" si="258"/>
        <v>0.00</v>
      </c>
      <c r="W116" s="166">
        <v>0.22</v>
      </c>
      <c r="X116" s="167" t="str">
        <f t="shared" si="259"/>
        <v>76</v>
      </c>
      <c r="Y116" s="168" t="str">
        <f t="shared" si="260"/>
        <v>206.250</v>
      </c>
      <c r="Z116" s="168" t="str">
        <f t="shared" si="261"/>
        <v>12.044</v>
      </c>
      <c r="AA116" s="164" t="str">
        <f t="shared" si="262"/>
        <v>1.02</v>
      </c>
      <c r="AB116" s="164">
        <v>97.96</v>
      </c>
      <c r="AC116" s="164" t="str">
        <f t="shared" si="263"/>
        <v>4.80</v>
      </c>
      <c r="AD116" s="165" t="str">
        <f t="shared" si="264"/>
        <v>37.50</v>
      </c>
      <c r="AE116" s="23"/>
      <c r="AF116" s="169" t="str">
        <f t="shared" si="265"/>
        <v>10.2</v>
      </c>
      <c r="AG116" s="163" t="str">
        <f t="shared" si="266"/>
        <v>168.83</v>
      </c>
      <c r="AH116" s="170" t="str">
        <f t="shared" si="267"/>
        <v>94.23%</v>
      </c>
      <c r="AI116" s="26"/>
      <c r="AJ116" s="171" t="str">
        <f t="shared" si="268"/>
        <v>0.00%</v>
      </c>
      <c r="AK116" s="172" t="str">
        <f t="shared" si="269"/>
        <v>0.00</v>
      </c>
      <c r="AL116" s="173" t="str">
        <f t="shared" si="270"/>
        <v>507.90</v>
      </c>
      <c r="AM116" s="174" t="str">
        <f t="shared" si="271"/>
        <v>360.61</v>
      </c>
    </row>
    <row r="117" ht="12.75" customHeight="1">
      <c r="A117" s="26"/>
      <c r="B117" s="190" t="s">
        <v>271</v>
      </c>
      <c r="C117" s="199">
        <v>2.07475898E8</v>
      </c>
      <c r="D117" s="152" t="s">
        <v>272</v>
      </c>
      <c r="E117" s="53" t="s">
        <v>77</v>
      </c>
      <c r="F117" s="154"/>
      <c r="G117" s="53"/>
      <c r="H117" s="53" t="str">
        <f t="shared" si="249"/>
        <v>0.00069</v>
      </c>
      <c r="I117" s="53" t="str">
        <f t="shared" si="250"/>
        <v>89</v>
      </c>
      <c r="J117" s="53" t="str">
        <f t="shared" si="251"/>
        <v>0</v>
      </c>
      <c r="K117" s="155" t="str">
        <f t="shared" si="252"/>
        <v>0.00</v>
      </c>
      <c r="L117" s="156" t="str">
        <f t="shared" si="253"/>
        <v>0.00 </v>
      </c>
      <c r="M117" s="132">
        <v>90.0</v>
      </c>
      <c r="N117" s="325">
        <v>216.49</v>
      </c>
      <c r="O117" s="158">
        <v>810.0</v>
      </c>
      <c r="P117" s="159" t="str">
        <f t="shared" si="254"/>
        <v>810.00</v>
      </c>
      <c r="Q117" s="160">
        <v>670.0</v>
      </c>
      <c r="R117" s="161">
        <v>0.26</v>
      </c>
      <c r="S117" s="162" t="str">
        <f t="shared" si="255"/>
        <v>599.40</v>
      </c>
      <c r="T117" s="163" t="str">
        <f t="shared" si="256"/>
        <v>20.00</v>
      </c>
      <c r="U117" s="164" t="str">
        <f t="shared" si="257"/>
        <v>47.95</v>
      </c>
      <c r="V117" s="165" t="str">
        <f t="shared" si="258"/>
        <v>0.00</v>
      </c>
      <c r="W117" s="166">
        <v>1.26</v>
      </c>
      <c r="X117" s="167" t="str">
        <f t="shared" si="259"/>
        <v>95</v>
      </c>
      <c r="Y117" s="168" t="str">
        <f t="shared" si="260"/>
        <v>222.750</v>
      </c>
      <c r="Z117" s="168" t="str">
        <f t="shared" si="261"/>
        <v>13.007</v>
      </c>
      <c r="AA117" s="164" t="str">
        <f t="shared" si="262"/>
        <v>0.00</v>
      </c>
      <c r="AB117" s="164">
        <v>100.0</v>
      </c>
      <c r="AC117" s="164" t="str">
        <f t="shared" si="263"/>
        <v>9.60</v>
      </c>
      <c r="AD117" s="165" t="str">
        <f t="shared" si="264"/>
        <v>40.50</v>
      </c>
      <c r="AE117" s="23"/>
      <c r="AF117" s="169" t="str">
        <f t="shared" si="265"/>
        <v>20.4</v>
      </c>
      <c r="AG117" s="163" t="str">
        <f t="shared" si="266"/>
        <v>144.70</v>
      </c>
      <c r="AH117" s="170" t="str">
        <f t="shared" si="267"/>
        <v>66.84%</v>
      </c>
      <c r="AI117" s="26"/>
      <c r="AJ117" s="171" t="str">
        <f t="shared" si="268"/>
        <v>0.00%</v>
      </c>
      <c r="AK117" s="172" t="str">
        <f t="shared" si="269"/>
        <v>0.00</v>
      </c>
      <c r="AL117" s="173" t="str">
        <f t="shared" si="270"/>
        <v>630.54</v>
      </c>
      <c r="AM117" s="174" t="str">
        <f t="shared" si="271"/>
        <v>447.69</v>
      </c>
    </row>
    <row r="118" ht="12.75" customHeight="1">
      <c r="A118" s="26"/>
      <c r="B118" s="190" t="s">
        <v>273</v>
      </c>
      <c r="C118" s="199">
        <v>1.6907615E8</v>
      </c>
      <c r="D118" s="152" t="s">
        <v>274</v>
      </c>
      <c r="E118" s="53" t="s">
        <v>77</v>
      </c>
      <c r="F118" s="154"/>
      <c r="G118" s="53"/>
      <c r="H118" s="53" t="str">
        <f t="shared" si="249"/>
        <v>0.00069</v>
      </c>
      <c r="I118" s="53" t="str">
        <f t="shared" si="250"/>
        <v>89</v>
      </c>
      <c r="J118" s="53" t="str">
        <f t="shared" si="251"/>
        <v>0</v>
      </c>
      <c r="K118" s="155" t="str">
        <f t="shared" si="252"/>
        <v>0.00</v>
      </c>
      <c r="L118" s="156" t="str">
        <f t="shared" si="253"/>
        <v>0.00 </v>
      </c>
      <c r="M118" s="132">
        <v>90.0</v>
      </c>
      <c r="N118" s="325">
        <v>242.61</v>
      </c>
      <c r="O118" s="158">
        <v>1012.1</v>
      </c>
      <c r="P118" s="159" t="str">
        <f t="shared" si="254"/>
        <v>1,012.10</v>
      </c>
      <c r="Q118" s="160">
        <v>884.0</v>
      </c>
      <c r="R118" s="161">
        <v>0.26</v>
      </c>
      <c r="S118" s="162" t="str">
        <f t="shared" si="255"/>
        <v>748.95</v>
      </c>
      <c r="T118" s="163" t="str">
        <f t="shared" si="256"/>
        <v>20.00</v>
      </c>
      <c r="U118" s="164" t="str">
        <f t="shared" si="257"/>
        <v>59.92</v>
      </c>
      <c r="V118" s="165" t="str">
        <f t="shared" si="258"/>
        <v>0.00</v>
      </c>
      <c r="W118" s="166">
        <v>0.57</v>
      </c>
      <c r="X118" s="167" t="str">
        <f t="shared" si="259"/>
        <v>76</v>
      </c>
      <c r="Y118" s="168" t="str">
        <f t="shared" si="260"/>
        <v>278.328</v>
      </c>
      <c r="Z118" s="168" t="str">
        <f t="shared" si="261"/>
        <v>16.252</v>
      </c>
      <c r="AA118" s="164" t="str">
        <f t="shared" si="262"/>
        <v>1.39</v>
      </c>
      <c r="AB118" s="164">
        <v>97.22</v>
      </c>
      <c r="AC118" s="164" t="str">
        <f t="shared" si="263"/>
        <v>4.80</v>
      </c>
      <c r="AD118" s="165" t="str">
        <f t="shared" si="264"/>
        <v>50.61</v>
      </c>
      <c r="AE118" s="23"/>
      <c r="AF118" s="169" t="str">
        <f t="shared" si="265"/>
        <v>10.2</v>
      </c>
      <c r="AG118" s="163" t="str">
        <f t="shared" si="266"/>
        <v>262.20</v>
      </c>
      <c r="AH118" s="170" t="str">
        <f t="shared" si="267"/>
        <v>108.07%</v>
      </c>
      <c r="AI118" s="26"/>
      <c r="AJ118" s="171" t="str">
        <f t="shared" si="268"/>
        <v>0.00%</v>
      </c>
      <c r="AK118" s="172" t="str">
        <f t="shared" si="269"/>
        <v>0.00</v>
      </c>
      <c r="AL118" s="173" t="str">
        <f t="shared" si="270"/>
        <v>619.22</v>
      </c>
      <c r="AM118" s="174" t="str">
        <f t="shared" si="271"/>
        <v>439.65</v>
      </c>
    </row>
    <row r="119" ht="12.75" customHeight="1">
      <c r="A119" s="26"/>
      <c r="B119" s="190" t="s">
        <v>275</v>
      </c>
      <c r="C119" s="199">
        <v>2.0746976E8</v>
      </c>
      <c r="D119" s="152" t="s">
        <v>276</v>
      </c>
      <c r="E119" s="53" t="s">
        <v>77</v>
      </c>
      <c r="F119" s="154"/>
      <c r="G119" s="53"/>
      <c r="H119" s="53" t="str">
        <f t="shared" si="249"/>
        <v>0.00069</v>
      </c>
      <c r="I119" s="53" t="str">
        <f t="shared" si="250"/>
        <v>89</v>
      </c>
      <c r="J119" s="53" t="str">
        <f t="shared" si="251"/>
        <v>0</v>
      </c>
      <c r="K119" s="155" t="str">
        <f t="shared" si="252"/>
        <v>0.00</v>
      </c>
      <c r="L119" s="156" t="str">
        <f t="shared" si="253"/>
        <v>0.00 </v>
      </c>
      <c r="M119" s="132">
        <v>90.0</v>
      </c>
      <c r="N119" s="325">
        <v>358.32</v>
      </c>
      <c r="O119" s="158">
        <v>1224.44</v>
      </c>
      <c r="P119" s="159" t="str">
        <f t="shared" si="254"/>
        <v>1,224.44</v>
      </c>
      <c r="Q119" s="160">
        <v>861.0</v>
      </c>
      <c r="R119" s="161">
        <v>0.26</v>
      </c>
      <c r="S119" s="162" t="str">
        <f t="shared" si="255"/>
        <v>906.09</v>
      </c>
      <c r="T119" s="163" t="str">
        <f t="shared" si="256"/>
        <v>20.00</v>
      </c>
      <c r="U119" s="164" t="str">
        <f t="shared" si="257"/>
        <v>72.49</v>
      </c>
      <c r="V119" s="165" t="str">
        <f t="shared" si="258"/>
        <v>0.00</v>
      </c>
      <c r="W119" s="166">
        <v>0.73</v>
      </c>
      <c r="X119" s="167" t="str">
        <f t="shared" si="259"/>
        <v>76</v>
      </c>
      <c r="Y119" s="168" t="str">
        <f t="shared" si="260"/>
        <v>336.721</v>
      </c>
      <c r="Z119" s="168" t="str">
        <f t="shared" si="261"/>
        <v>19.662</v>
      </c>
      <c r="AA119" s="164" t="str">
        <f t="shared" si="262"/>
        <v>0.77</v>
      </c>
      <c r="AB119" s="164">
        <v>98.45</v>
      </c>
      <c r="AC119" s="164" t="str">
        <f t="shared" si="263"/>
        <v>4.80</v>
      </c>
      <c r="AD119" s="165" t="str">
        <f t="shared" si="264"/>
        <v>61.22</v>
      </c>
      <c r="AE119" s="23"/>
      <c r="AF119" s="169" t="str">
        <f t="shared" si="265"/>
        <v>10.2</v>
      </c>
      <c r="AG119" s="163" t="str">
        <f t="shared" si="266"/>
        <v>274.45</v>
      </c>
      <c r="AH119" s="170" t="str">
        <f t="shared" si="267"/>
        <v>76.59%</v>
      </c>
      <c r="AI119" s="26"/>
      <c r="AJ119" s="171" t="str">
        <f t="shared" si="268"/>
        <v>0.00%</v>
      </c>
      <c r="AK119" s="172" t="str">
        <f t="shared" si="269"/>
        <v>0.00</v>
      </c>
      <c r="AL119" s="173" t="str">
        <f t="shared" si="270"/>
        <v>819.98</v>
      </c>
      <c r="AM119" s="174" t="str">
        <f t="shared" si="271"/>
        <v>582.19</v>
      </c>
    </row>
    <row r="120" ht="12.75" customHeight="1">
      <c r="A120" s="26"/>
      <c r="B120" s="190" t="s">
        <v>277</v>
      </c>
      <c r="C120" s="192">
        <v>2.12886252E8</v>
      </c>
      <c r="D120" s="152" t="s">
        <v>278</v>
      </c>
      <c r="E120" s="53" t="s">
        <v>77</v>
      </c>
      <c r="F120" s="154"/>
      <c r="G120" s="53"/>
      <c r="H120" s="53" t="str">
        <f t="shared" si="249"/>
        <v>0.00069</v>
      </c>
      <c r="I120" s="53" t="str">
        <f t="shared" si="250"/>
        <v>89</v>
      </c>
      <c r="J120" s="53" t="str">
        <f t="shared" si="251"/>
        <v>0</v>
      </c>
      <c r="K120" s="155" t="str">
        <f t="shared" si="252"/>
        <v>0.00</v>
      </c>
      <c r="L120" s="156" t="str">
        <f t="shared" si="253"/>
        <v>0.00 </v>
      </c>
      <c r="M120" s="132">
        <v>90.0</v>
      </c>
      <c r="N120" s="325" t="str">
        <f t="shared" ref="N120:N123" si="272">L120/F120</f>
        <v>#DIV/0!</v>
      </c>
      <c r="O120" s="158">
        <v>839.7</v>
      </c>
      <c r="P120" s="159" t="str">
        <f t="shared" ref="P120:P123" si="273">AL120</f>
        <v>#DIV/0!</v>
      </c>
      <c r="Q120" s="160"/>
      <c r="R120" s="161">
        <v>0.26</v>
      </c>
      <c r="S120" s="162" t="str">
        <f t="shared" si="255"/>
        <v>621.38</v>
      </c>
      <c r="T120" s="163" t="str">
        <f t="shared" si="256"/>
        <v>20.00</v>
      </c>
      <c r="U120" s="164" t="str">
        <f t="shared" si="257"/>
        <v>49.71</v>
      </c>
      <c r="V120" s="165" t="str">
        <f t="shared" si="258"/>
        <v>#DIV/0!</v>
      </c>
      <c r="W120" s="166">
        <v>0.79</v>
      </c>
      <c r="X120" s="167" t="str">
        <f t="shared" si="259"/>
        <v>76</v>
      </c>
      <c r="Y120" s="168" t="str">
        <f t="shared" si="260"/>
        <v>230.918</v>
      </c>
      <c r="Z120" s="168" t="str">
        <f t="shared" si="261"/>
        <v>13.484</v>
      </c>
      <c r="AA120" s="164" t="str">
        <f t="shared" si="262"/>
        <v>3.71</v>
      </c>
      <c r="AB120" s="164">
        <v>92.59</v>
      </c>
      <c r="AC120" s="164" t="str">
        <f t="shared" si="263"/>
        <v>4.80</v>
      </c>
      <c r="AD120" s="165" t="str">
        <f t="shared" si="264"/>
        <v>41.99</v>
      </c>
      <c r="AE120" s="23"/>
      <c r="AF120" s="169" t="str">
        <f t="shared" si="265"/>
        <v>10.2</v>
      </c>
      <c r="AG120" s="163" t="str">
        <f t="shared" si="266"/>
        <v>#DIV/0!</v>
      </c>
      <c r="AH120" s="170" t="str">
        <f t="shared" si="267"/>
        <v>#DIV/0!</v>
      </c>
      <c r="AI120" s="26"/>
      <c r="AJ120" s="171" t="str">
        <f t="shared" si="268"/>
        <v>0.00%</v>
      </c>
      <c r="AK120" s="172" t="str">
        <f t="shared" si="269"/>
        <v>#DIV/0!</v>
      </c>
      <c r="AL120" s="173" t="str">
        <f t="shared" si="270"/>
        <v>#DIV/0!</v>
      </c>
      <c r="AM120" s="174" t="str">
        <f t="shared" si="271"/>
        <v>#DIV/0!</v>
      </c>
    </row>
    <row r="121" ht="12.75" customHeight="1">
      <c r="A121" s="26"/>
      <c r="B121" s="190" t="s">
        <v>279</v>
      </c>
      <c r="C121" s="192">
        <v>1.65009038E8</v>
      </c>
      <c r="D121" s="152" t="s">
        <v>280</v>
      </c>
      <c r="E121" s="53" t="s">
        <v>77</v>
      </c>
      <c r="F121" s="154"/>
      <c r="G121" s="53"/>
      <c r="H121" s="53" t="str">
        <f t="shared" si="249"/>
        <v>0.00069</v>
      </c>
      <c r="I121" s="53" t="str">
        <f t="shared" si="250"/>
        <v>89</v>
      </c>
      <c r="J121" s="53" t="str">
        <f t="shared" si="251"/>
        <v>0</v>
      </c>
      <c r="K121" s="155" t="str">
        <f t="shared" si="252"/>
        <v>0.00</v>
      </c>
      <c r="L121" s="156" t="str">
        <f t="shared" si="253"/>
        <v>0.00 </v>
      </c>
      <c r="M121" s="132">
        <v>90.0</v>
      </c>
      <c r="N121" s="325" t="str">
        <f t="shared" si="272"/>
        <v>#DIV/0!</v>
      </c>
      <c r="O121" s="158">
        <v>501.0</v>
      </c>
      <c r="P121" s="159" t="str">
        <f t="shared" si="273"/>
        <v>#DIV/0!</v>
      </c>
      <c r="Q121" s="160"/>
      <c r="R121" s="161">
        <v>0.26</v>
      </c>
      <c r="S121" s="162" t="str">
        <f t="shared" si="255"/>
        <v>370.74</v>
      </c>
      <c r="T121" s="163" t="str">
        <f t="shared" si="256"/>
        <v>20.00</v>
      </c>
      <c r="U121" s="164" t="str">
        <f t="shared" si="257"/>
        <v>29.66</v>
      </c>
      <c r="V121" s="165" t="str">
        <f t="shared" si="258"/>
        <v>#DIV/0!</v>
      </c>
      <c r="W121" s="166">
        <v>0.29</v>
      </c>
      <c r="X121" s="167" t="str">
        <f t="shared" si="259"/>
        <v>76</v>
      </c>
      <c r="Y121" s="168" t="str">
        <f t="shared" si="260"/>
        <v>137.775</v>
      </c>
      <c r="Z121" s="168" t="str">
        <f t="shared" si="261"/>
        <v>8.045</v>
      </c>
      <c r="AA121" s="164" t="str">
        <f t="shared" si="262"/>
        <v>6.25</v>
      </c>
      <c r="AB121" s="164">
        <v>87.5</v>
      </c>
      <c r="AC121" s="164" t="str">
        <f t="shared" si="263"/>
        <v>4.80</v>
      </c>
      <c r="AD121" s="165" t="str">
        <f t="shared" si="264"/>
        <v>25.05</v>
      </c>
      <c r="AE121" s="23"/>
      <c r="AF121" s="169" t="str">
        <f t="shared" si="265"/>
        <v>10.2</v>
      </c>
      <c r="AG121" s="163" t="str">
        <f t="shared" si="266"/>
        <v>#DIV/0!</v>
      </c>
      <c r="AH121" s="170" t="str">
        <f t="shared" si="267"/>
        <v>#DIV/0!</v>
      </c>
      <c r="AI121" s="26"/>
      <c r="AJ121" s="171" t="str">
        <f t="shared" si="268"/>
        <v>0.00%</v>
      </c>
      <c r="AK121" s="172" t="str">
        <f t="shared" si="269"/>
        <v>#DIV/0!</v>
      </c>
      <c r="AL121" s="173" t="str">
        <f t="shared" si="270"/>
        <v>#DIV/0!</v>
      </c>
      <c r="AM121" s="174" t="str">
        <f t="shared" si="271"/>
        <v>#DIV/0!</v>
      </c>
    </row>
    <row r="122" ht="12.75" customHeight="1">
      <c r="A122" s="26"/>
      <c r="B122" s="190" t="s">
        <v>281</v>
      </c>
      <c r="C122" s="192">
        <v>2.07476309E8</v>
      </c>
      <c r="D122" s="152" t="s">
        <v>282</v>
      </c>
      <c r="E122" s="53" t="s">
        <v>77</v>
      </c>
      <c r="F122" s="154"/>
      <c r="G122" s="53"/>
      <c r="H122" s="53" t="str">
        <f t="shared" si="249"/>
        <v>0.00069</v>
      </c>
      <c r="I122" s="53" t="str">
        <f t="shared" si="250"/>
        <v>89</v>
      </c>
      <c r="J122" s="53" t="str">
        <f t="shared" si="251"/>
        <v>0</v>
      </c>
      <c r="K122" s="155" t="str">
        <f t="shared" si="252"/>
        <v>0.00</v>
      </c>
      <c r="L122" s="156" t="str">
        <f t="shared" si="253"/>
        <v>0.00 </v>
      </c>
      <c r="M122" s="132">
        <v>90.0</v>
      </c>
      <c r="N122" s="325" t="str">
        <f t="shared" si="272"/>
        <v>#DIV/0!</v>
      </c>
      <c r="O122" s="158">
        <v>730.8</v>
      </c>
      <c r="P122" s="159" t="str">
        <f t="shared" si="273"/>
        <v>#DIV/0!</v>
      </c>
      <c r="Q122" s="160"/>
      <c r="R122" s="161">
        <v>0.26</v>
      </c>
      <c r="S122" s="162" t="str">
        <f t="shared" si="255"/>
        <v>540.79</v>
      </c>
      <c r="T122" s="163" t="str">
        <f t="shared" si="256"/>
        <v>20.00</v>
      </c>
      <c r="U122" s="164" t="str">
        <f t="shared" si="257"/>
        <v>43.26</v>
      </c>
      <c r="V122" s="165" t="str">
        <f t="shared" si="258"/>
        <v>#DIV/0!</v>
      </c>
      <c r="W122" s="166">
        <v>1.26</v>
      </c>
      <c r="X122" s="167" t="str">
        <f t="shared" si="259"/>
        <v>95</v>
      </c>
      <c r="Y122" s="168" t="str">
        <f t="shared" si="260"/>
        <v>200.970</v>
      </c>
      <c r="Z122" s="168" t="str">
        <f t="shared" si="261"/>
        <v>11.735</v>
      </c>
      <c r="AA122" s="164" t="str">
        <f t="shared" si="262"/>
        <v>0.00</v>
      </c>
      <c r="AB122" s="164">
        <v>100.0</v>
      </c>
      <c r="AC122" s="164" t="str">
        <f t="shared" si="263"/>
        <v>9.60</v>
      </c>
      <c r="AD122" s="165" t="str">
        <f t="shared" si="264"/>
        <v>36.54</v>
      </c>
      <c r="AE122" s="23"/>
      <c r="AF122" s="169" t="str">
        <f t="shared" si="265"/>
        <v>20.4</v>
      </c>
      <c r="AG122" s="163" t="str">
        <f t="shared" si="266"/>
        <v>#DIV/0!</v>
      </c>
      <c r="AH122" s="170" t="str">
        <f t="shared" si="267"/>
        <v>#DIV/0!</v>
      </c>
      <c r="AI122" s="26"/>
      <c r="AJ122" s="171" t="str">
        <f t="shared" si="268"/>
        <v>0.00%</v>
      </c>
      <c r="AK122" s="172" t="str">
        <f t="shared" si="269"/>
        <v>#DIV/0!</v>
      </c>
      <c r="AL122" s="173" t="str">
        <f t="shared" si="270"/>
        <v>#DIV/0!</v>
      </c>
      <c r="AM122" s="174" t="str">
        <f t="shared" si="271"/>
        <v>#DIV/0!</v>
      </c>
    </row>
    <row r="123" ht="12.75" customHeight="1">
      <c r="A123" s="26"/>
      <c r="B123" s="190" t="s">
        <v>283</v>
      </c>
      <c r="C123" s="192">
        <v>1.6500899E8</v>
      </c>
      <c r="D123" s="152" t="s">
        <v>284</v>
      </c>
      <c r="E123" s="53" t="s">
        <v>77</v>
      </c>
      <c r="F123" s="154"/>
      <c r="G123" s="53"/>
      <c r="H123" s="53" t="str">
        <f t="shared" si="249"/>
        <v>0.00069</v>
      </c>
      <c r="I123" s="53" t="str">
        <f t="shared" si="250"/>
        <v>89</v>
      </c>
      <c r="J123" s="53" t="str">
        <f t="shared" si="251"/>
        <v>0</v>
      </c>
      <c r="K123" s="155" t="str">
        <f t="shared" si="252"/>
        <v>0.00</v>
      </c>
      <c r="L123" s="156" t="str">
        <f t="shared" si="253"/>
        <v>0.00 </v>
      </c>
      <c r="M123" s="132">
        <v>90.0</v>
      </c>
      <c r="N123" s="325" t="str">
        <f t="shared" si="272"/>
        <v>#DIV/0!</v>
      </c>
      <c r="O123" s="158">
        <v>546.6</v>
      </c>
      <c r="P123" s="159" t="str">
        <f t="shared" si="273"/>
        <v>#DIV/0!</v>
      </c>
      <c r="Q123" s="160"/>
      <c r="R123" s="161">
        <v>0.26</v>
      </c>
      <c r="S123" s="162" t="str">
        <f t="shared" si="255"/>
        <v>404.48</v>
      </c>
      <c r="T123" s="163" t="str">
        <f t="shared" si="256"/>
        <v>20.00</v>
      </c>
      <c r="U123" s="164" t="str">
        <f t="shared" si="257"/>
        <v>32.36</v>
      </c>
      <c r="V123" s="165" t="str">
        <f t="shared" si="258"/>
        <v>#DIV/0!</v>
      </c>
      <c r="W123" s="166">
        <v>0.29</v>
      </c>
      <c r="X123" s="167" t="str">
        <f t="shared" si="259"/>
        <v>76</v>
      </c>
      <c r="Y123" s="168" t="str">
        <f t="shared" si="260"/>
        <v>150.315</v>
      </c>
      <c r="Z123" s="168" t="str">
        <f t="shared" si="261"/>
        <v>8.777</v>
      </c>
      <c r="AA123" s="164" t="str">
        <f t="shared" si="262"/>
        <v>0.00</v>
      </c>
      <c r="AB123" s="164">
        <v>100.0</v>
      </c>
      <c r="AC123" s="164" t="str">
        <f t="shared" si="263"/>
        <v>4.80</v>
      </c>
      <c r="AD123" s="165" t="str">
        <f t="shared" si="264"/>
        <v>27.33</v>
      </c>
      <c r="AE123" s="23"/>
      <c r="AF123" s="169" t="str">
        <f t="shared" si="265"/>
        <v>10.2</v>
      </c>
      <c r="AG123" s="163" t="str">
        <f t="shared" si="266"/>
        <v>#DIV/0!</v>
      </c>
      <c r="AH123" s="170" t="str">
        <f t="shared" si="267"/>
        <v>#DIV/0!</v>
      </c>
      <c r="AI123" s="26"/>
      <c r="AJ123" s="171" t="str">
        <f t="shared" si="268"/>
        <v>0.00%</v>
      </c>
      <c r="AK123" s="172" t="str">
        <f t="shared" si="269"/>
        <v>#DIV/0!</v>
      </c>
      <c r="AL123" s="173" t="str">
        <f t="shared" si="270"/>
        <v>#DIV/0!</v>
      </c>
      <c r="AM123" s="174" t="str">
        <f t="shared" si="271"/>
        <v>#DIV/0!</v>
      </c>
    </row>
    <row r="124" ht="12.75" customHeight="1">
      <c r="A124" s="26"/>
      <c r="B124" s="125" t="s">
        <v>285</v>
      </c>
      <c r="C124" s="126"/>
      <c r="D124" s="127"/>
      <c r="E124" s="128"/>
      <c r="F124" s="129"/>
      <c r="G124" s="128"/>
      <c r="H124" s="197"/>
      <c r="I124" s="197"/>
      <c r="J124" s="128"/>
      <c r="K124" s="130"/>
      <c r="L124" s="131"/>
      <c r="M124" s="132"/>
      <c r="N124" s="320"/>
      <c r="O124" s="134"/>
      <c r="P124" s="135"/>
      <c r="Q124" s="135"/>
      <c r="R124" s="136"/>
      <c r="S124" s="137"/>
      <c r="T124" s="177"/>
      <c r="U124" s="178"/>
      <c r="V124" s="179"/>
      <c r="W124" s="180"/>
      <c r="X124" s="181"/>
      <c r="Y124" s="182"/>
      <c r="Z124" s="182"/>
      <c r="AA124" s="178"/>
      <c r="AB124" s="178"/>
      <c r="AC124" s="178"/>
      <c r="AD124" s="179"/>
      <c r="AE124" s="183"/>
      <c r="AF124" s="184"/>
      <c r="AG124" s="177"/>
      <c r="AH124" s="185"/>
      <c r="AI124" s="26"/>
      <c r="AJ124" s="186"/>
      <c r="AK124" s="187"/>
      <c r="AL124" s="188"/>
      <c r="AM124" s="189"/>
    </row>
    <row r="125" ht="12.75" customHeight="1">
      <c r="A125" s="26"/>
      <c r="B125" s="190" t="s">
        <v>286</v>
      </c>
      <c r="C125" s="191">
        <v>2.12752214E8</v>
      </c>
      <c r="D125" s="152" t="s">
        <v>287</v>
      </c>
      <c r="E125" s="53" t="s">
        <v>77</v>
      </c>
      <c r="F125" s="154"/>
      <c r="G125" s="53"/>
      <c r="H125" s="53" t="str">
        <f>$I$2</f>
        <v>0.00069</v>
      </c>
      <c r="I125" s="53" t="str">
        <f>$I$3</f>
        <v>89</v>
      </c>
      <c r="J125" s="53" t="str">
        <f>G125*H125*I125*F125</f>
        <v>0</v>
      </c>
      <c r="K125" s="155" t="str">
        <f>J125*$J$4</f>
        <v>0.00</v>
      </c>
      <c r="L125" s="156" t="str">
        <f>K125+J125</f>
        <v>0.00 </v>
      </c>
      <c r="M125" s="132">
        <v>90.0</v>
      </c>
      <c r="N125" s="325" t="str">
        <f>L125/F125</f>
        <v>#DIV/0!</v>
      </c>
      <c r="O125" s="158">
        <v>558.0</v>
      </c>
      <c r="P125" s="159" t="str">
        <f>AL125</f>
        <v>#DIV/0!</v>
      </c>
      <c r="Q125" s="160"/>
      <c r="R125" s="161">
        <v>0.26</v>
      </c>
      <c r="S125" s="162" t="str">
        <f>O125-(O125*R125)</f>
        <v>412.92</v>
      </c>
      <c r="T125" s="163" t="str">
        <f>$C$1</f>
        <v>20.00</v>
      </c>
      <c r="U125" s="164" t="str">
        <f>S125*$C$8</f>
        <v>33.03</v>
      </c>
      <c r="V125" s="165" t="str">
        <f>N125*$C$3*(M125/30)</f>
        <v>#DIV/0!</v>
      </c>
      <c r="W125" s="166">
        <v>0.43</v>
      </c>
      <c r="X125" s="167" t="str">
        <f>((_xlfn.CEILING.MATH(W125)-1)*$C$5+$C$4)</f>
        <v>76</v>
      </c>
      <c r="Y125" s="168" t="str">
        <f>O125*$Y$6</f>
        <v>153.450</v>
      </c>
      <c r="Z125" s="168" t="str">
        <f>S125*$Y$7</f>
        <v>8.960</v>
      </c>
      <c r="AA125" s="164" t="str">
        <f>$Y$3*((100-AB125)/100)</f>
        <v>3.16</v>
      </c>
      <c r="AB125" s="164">
        <v>93.68</v>
      </c>
      <c r="AC125" s="164" t="str">
        <f>$C$6*$C$7*_xlfn.CEILING.MATH(W125)</f>
        <v>4.80</v>
      </c>
      <c r="AD125" s="165" t="str">
        <f>O125*$C$2</f>
        <v>27.90</v>
      </c>
      <c r="AE125" s="23"/>
      <c r="AF125" s="169" t="str">
        <f>(_xlfn.CEILING.MATH(W125))*$Y$1*$AD$2</f>
        <v>10.2</v>
      </c>
      <c r="AG125" s="163" t="str">
        <f>O125-T125-U125-V125-X125-Y125-Z125-AA125-AC125-AD125-N125</f>
        <v>#DIV/0!</v>
      </c>
      <c r="AH125" s="170" t="str">
        <f>AG125/N125</f>
        <v>#DIV/0!</v>
      </c>
      <c r="AI125" s="26"/>
      <c r="AJ125" s="171" t="str">
        <f>$AD$3</f>
        <v>0.00%</v>
      </c>
      <c r="AK125" s="172" t="str">
        <f>N125*AJ125</f>
        <v>#DIV/0!</v>
      </c>
      <c r="AL125" s="173" t="str">
        <f>(N125+T125+V125+X125+AA125+AC125+AF125+AK125)/(100%-($C$2+$C$8+$Y$6+$Y$7))</f>
        <v>#DIV/0!</v>
      </c>
      <c r="AM125" s="174" t="str">
        <f>AL125-(AL125*$AD$1)</f>
        <v>#DIV/0!</v>
      </c>
    </row>
    <row r="126" ht="12.75" customHeight="1">
      <c r="A126" s="26"/>
      <c r="B126" s="125" t="s">
        <v>288</v>
      </c>
      <c r="C126" s="126"/>
      <c r="D126" s="127"/>
      <c r="E126" s="128"/>
      <c r="F126" s="129"/>
      <c r="G126" s="128"/>
      <c r="H126" s="197"/>
      <c r="I126" s="197"/>
      <c r="J126" s="128"/>
      <c r="K126" s="130"/>
      <c r="L126" s="131"/>
      <c r="M126" s="132"/>
      <c r="N126" s="320"/>
      <c r="O126" s="134"/>
      <c r="P126" s="135"/>
      <c r="Q126" s="135"/>
      <c r="R126" s="136"/>
      <c r="S126" s="137"/>
      <c r="T126" s="177"/>
      <c r="U126" s="178"/>
      <c r="V126" s="179"/>
      <c r="W126" s="180"/>
      <c r="X126" s="181"/>
      <c r="Y126" s="182"/>
      <c r="Z126" s="182"/>
      <c r="AA126" s="178"/>
      <c r="AB126" s="178"/>
      <c r="AC126" s="178"/>
      <c r="AD126" s="179"/>
      <c r="AE126" s="183"/>
      <c r="AF126" s="184"/>
      <c r="AG126" s="177"/>
      <c r="AH126" s="185"/>
      <c r="AI126" s="26"/>
      <c r="AJ126" s="186"/>
      <c r="AK126" s="187"/>
      <c r="AL126" s="188"/>
      <c r="AM126" s="189"/>
    </row>
    <row r="127" ht="12.75" customHeight="1">
      <c r="A127" s="26"/>
      <c r="B127" s="190" t="s">
        <v>289</v>
      </c>
      <c r="C127" s="199">
        <v>2.07464799E8</v>
      </c>
      <c r="D127" s="152" t="s">
        <v>290</v>
      </c>
      <c r="E127" s="53" t="s">
        <v>77</v>
      </c>
      <c r="F127" s="154"/>
      <c r="G127" s="53"/>
      <c r="H127" s="53" t="str">
        <f t="shared" ref="H127:H134" si="274">$I$2</f>
        <v>0.00069</v>
      </c>
      <c r="I127" s="53" t="str">
        <f t="shared" ref="I127:I134" si="275">$I$3</f>
        <v>89</v>
      </c>
      <c r="J127" s="53" t="str">
        <f t="shared" ref="J127:J134" si="276">G127*H127*I127*F127</f>
        <v>0</v>
      </c>
      <c r="K127" s="155" t="str">
        <f t="shared" ref="K127:K134" si="277">J127*$J$4</f>
        <v>0.00</v>
      </c>
      <c r="L127" s="156" t="str">
        <f t="shared" ref="L127:L134" si="278">K127+J127</f>
        <v>0.00 </v>
      </c>
      <c r="M127" s="132">
        <v>90.0</v>
      </c>
      <c r="N127" s="325">
        <v>650.5</v>
      </c>
      <c r="O127" s="158">
        <v>1617.0</v>
      </c>
      <c r="P127" s="159" t="str">
        <f t="shared" ref="P127:P129" si="279">O127</f>
        <v>1,617.00</v>
      </c>
      <c r="Q127" s="160">
        <v>1625.0</v>
      </c>
      <c r="R127" s="161">
        <v>0.26</v>
      </c>
      <c r="S127" s="162" t="str">
        <f t="shared" ref="S127:S134" si="280">O127-(O127*R127)</f>
        <v>1,196.58</v>
      </c>
      <c r="T127" s="163" t="str">
        <f t="shared" ref="T127:T134" si="281">$C$1</f>
        <v>20.00</v>
      </c>
      <c r="U127" s="164" t="str">
        <f t="shared" ref="U127:U134" si="282">S127*$C$8</f>
        <v>95.73</v>
      </c>
      <c r="V127" s="165" t="str">
        <f t="shared" ref="V127:V134" si="283">N127*$C$3*(M127/30)</f>
        <v>0.00</v>
      </c>
      <c r="W127" s="166">
        <v>0.57</v>
      </c>
      <c r="X127" s="167" t="str">
        <f t="shared" ref="X127:X134" si="284">((_xlfn.CEILING.MATH(W127)-1)*$C$5+$C$4)</f>
        <v>76</v>
      </c>
      <c r="Y127" s="168" t="str">
        <f t="shared" ref="Y127:Y134" si="285">O127*$Y$6</f>
        <v>444.675</v>
      </c>
      <c r="Z127" s="168" t="str">
        <f t="shared" ref="Z127:Z134" si="286">S127*$Y$7</f>
        <v>25.966</v>
      </c>
      <c r="AA127" s="164" t="str">
        <f t="shared" ref="AA127:AA134" si="287">$Y$3*((100-AB127)/100)</f>
        <v>8.34</v>
      </c>
      <c r="AB127" s="164">
        <v>83.33</v>
      </c>
      <c r="AC127" s="164" t="str">
        <f t="shared" ref="AC127:AC134" si="288">$C$6*$C$7*_xlfn.CEILING.MATH(W127)</f>
        <v>4.80</v>
      </c>
      <c r="AD127" s="165" t="str">
        <f t="shared" ref="AD127:AD134" si="289">O127*$C$2</f>
        <v>80.85</v>
      </c>
      <c r="AE127" s="23"/>
      <c r="AF127" s="169" t="str">
        <f t="shared" ref="AF127:AF134" si="290">(_xlfn.CEILING.MATH(W127))*$Y$1*$AD$2</f>
        <v>10.2</v>
      </c>
      <c r="AG127" s="163" t="str">
        <f t="shared" ref="AG127:AG134" si="291">O127-T127-U127-V127-X127-Y127-Z127-AA127-AC127-AD127-N127</f>
        <v>210.15</v>
      </c>
      <c r="AH127" s="170" t="str">
        <f t="shared" ref="AH127:AH134" si="292">AG127/N127</f>
        <v>32.31%</v>
      </c>
      <c r="AI127" s="26"/>
      <c r="AJ127" s="171" t="str">
        <f t="shared" ref="AJ127:AJ134" si="293">$AD$3</f>
        <v>0.00%</v>
      </c>
      <c r="AK127" s="172" t="str">
        <f t="shared" ref="AK127:AK134" si="294">N127*AJ127</f>
        <v>0.00</v>
      </c>
      <c r="AL127" s="173" t="str">
        <f t="shared" ref="AL127:AL134" si="295">(N127+T127+V127+X127+AA127+AC127+AF127+AK127)/(100%-($C$2+$C$8+$Y$6+$Y$7))</f>
        <v>1,342.81</v>
      </c>
      <c r="AM127" s="174" t="str">
        <f t="shared" ref="AM127:AM134" si="296">AL127-(AL127*$AD$1)</f>
        <v>953.40</v>
      </c>
    </row>
    <row r="128" ht="12.75" customHeight="1">
      <c r="A128" s="26"/>
      <c r="B128" s="190" t="s">
        <v>291</v>
      </c>
      <c r="C128" s="199">
        <v>2.07465786E8</v>
      </c>
      <c r="D128" s="152" t="s">
        <v>292</v>
      </c>
      <c r="E128" s="53" t="s">
        <v>77</v>
      </c>
      <c r="F128" s="154"/>
      <c r="G128" s="53"/>
      <c r="H128" s="53" t="str">
        <f t="shared" si="274"/>
        <v>0.00069</v>
      </c>
      <c r="I128" s="53" t="str">
        <f t="shared" si="275"/>
        <v>89</v>
      </c>
      <c r="J128" s="53" t="str">
        <f t="shared" si="276"/>
        <v>0</v>
      </c>
      <c r="K128" s="155" t="str">
        <f t="shared" si="277"/>
        <v>0.00</v>
      </c>
      <c r="L128" s="156" t="str">
        <f t="shared" si="278"/>
        <v>0.00 </v>
      </c>
      <c r="M128" s="132">
        <v>90.0</v>
      </c>
      <c r="N128" s="325">
        <v>650.5</v>
      </c>
      <c r="O128" s="158">
        <v>1650.0</v>
      </c>
      <c r="P128" s="159" t="str">
        <f t="shared" si="279"/>
        <v>1,650.00</v>
      </c>
      <c r="Q128" s="160">
        <v>1560.0</v>
      </c>
      <c r="R128" s="161">
        <v>0.26</v>
      </c>
      <c r="S128" s="162" t="str">
        <f t="shared" si="280"/>
        <v>1,221.00</v>
      </c>
      <c r="T128" s="163" t="str">
        <f t="shared" si="281"/>
        <v>20.00</v>
      </c>
      <c r="U128" s="164" t="str">
        <f t="shared" si="282"/>
        <v>97.68</v>
      </c>
      <c r="V128" s="165" t="str">
        <f t="shared" si="283"/>
        <v>0.00</v>
      </c>
      <c r="W128" s="166">
        <v>0.57</v>
      </c>
      <c r="X128" s="167" t="str">
        <f t="shared" si="284"/>
        <v>76</v>
      </c>
      <c r="Y128" s="168" t="str">
        <f t="shared" si="285"/>
        <v>453.750</v>
      </c>
      <c r="Z128" s="168" t="str">
        <f t="shared" si="286"/>
        <v>26.496</v>
      </c>
      <c r="AA128" s="164" t="str">
        <f t="shared" si="287"/>
        <v>2.67</v>
      </c>
      <c r="AB128" s="164">
        <v>94.66</v>
      </c>
      <c r="AC128" s="164" t="str">
        <f t="shared" si="288"/>
        <v>4.80</v>
      </c>
      <c r="AD128" s="165" t="str">
        <f t="shared" si="289"/>
        <v>82.50</v>
      </c>
      <c r="AE128" s="23"/>
      <c r="AF128" s="169" t="str">
        <f t="shared" si="290"/>
        <v>10.2</v>
      </c>
      <c r="AG128" s="163" t="str">
        <f t="shared" si="291"/>
        <v>235.60</v>
      </c>
      <c r="AH128" s="170" t="str">
        <f t="shared" si="292"/>
        <v>36.22%</v>
      </c>
      <c r="AI128" s="26"/>
      <c r="AJ128" s="171" t="str">
        <f t="shared" si="293"/>
        <v>0.00%</v>
      </c>
      <c r="AK128" s="172" t="str">
        <f t="shared" si="294"/>
        <v>0.00</v>
      </c>
      <c r="AL128" s="173" t="str">
        <f t="shared" si="295"/>
        <v>1,332.93</v>
      </c>
      <c r="AM128" s="174" t="str">
        <f t="shared" si="296"/>
        <v>946.38</v>
      </c>
    </row>
    <row r="129" ht="12.75" customHeight="1">
      <c r="A129" s="26"/>
      <c r="B129" s="190" t="s">
        <v>293</v>
      </c>
      <c r="C129" s="199">
        <v>2.07466866E8</v>
      </c>
      <c r="D129" s="152" t="s">
        <v>294</v>
      </c>
      <c r="E129" s="53" t="s">
        <v>77</v>
      </c>
      <c r="F129" s="154"/>
      <c r="G129" s="53"/>
      <c r="H129" s="53" t="str">
        <f t="shared" si="274"/>
        <v>0.00069</v>
      </c>
      <c r="I129" s="53" t="str">
        <f t="shared" si="275"/>
        <v>89</v>
      </c>
      <c r="J129" s="53" t="str">
        <f t="shared" si="276"/>
        <v>0</v>
      </c>
      <c r="K129" s="155" t="str">
        <f t="shared" si="277"/>
        <v>0.00</v>
      </c>
      <c r="L129" s="156" t="str">
        <f t="shared" si="278"/>
        <v>0.00 </v>
      </c>
      <c r="M129" s="132">
        <v>90.0</v>
      </c>
      <c r="N129" s="325">
        <v>639.38</v>
      </c>
      <c r="O129" s="158">
        <v>1548.68</v>
      </c>
      <c r="P129" s="159" t="str">
        <f t="shared" si="279"/>
        <v>1,548.68</v>
      </c>
      <c r="Q129" s="160">
        <v>1425.0</v>
      </c>
      <c r="R129" s="161">
        <v>0.26</v>
      </c>
      <c r="S129" s="162" t="str">
        <f t="shared" si="280"/>
        <v>1,146.02</v>
      </c>
      <c r="T129" s="163" t="str">
        <f t="shared" si="281"/>
        <v>20.00</v>
      </c>
      <c r="U129" s="164" t="str">
        <f t="shared" si="282"/>
        <v>91.68</v>
      </c>
      <c r="V129" s="165" t="str">
        <f t="shared" si="283"/>
        <v>0.00</v>
      </c>
      <c r="W129" s="166">
        <v>0.14</v>
      </c>
      <c r="X129" s="167" t="str">
        <f t="shared" si="284"/>
        <v>76</v>
      </c>
      <c r="Y129" s="168" t="str">
        <f t="shared" si="285"/>
        <v>425.887</v>
      </c>
      <c r="Z129" s="168" t="str">
        <f t="shared" si="286"/>
        <v>24.869</v>
      </c>
      <c r="AA129" s="164" t="str">
        <f t="shared" si="287"/>
        <v>4.55</v>
      </c>
      <c r="AB129" s="164">
        <v>90.91</v>
      </c>
      <c r="AC129" s="164" t="str">
        <f t="shared" si="288"/>
        <v>4.80</v>
      </c>
      <c r="AD129" s="165" t="str">
        <f t="shared" si="289"/>
        <v>77.43</v>
      </c>
      <c r="AE129" s="23"/>
      <c r="AF129" s="169" t="str">
        <f t="shared" si="290"/>
        <v>10.2</v>
      </c>
      <c r="AG129" s="163" t="str">
        <f t="shared" si="291"/>
        <v>184.08</v>
      </c>
      <c r="AH129" s="170" t="str">
        <f t="shared" si="292"/>
        <v>28.79%</v>
      </c>
      <c r="AI129" s="26"/>
      <c r="AJ129" s="171" t="str">
        <f t="shared" si="293"/>
        <v>0.00%</v>
      </c>
      <c r="AK129" s="172" t="str">
        <f t="shared" si="294"/>
        <v>0.00</v>
      </c>
      <c r="AL129" s="173" t="str">
        <f t="shared" si="295"/>
        <v>1,316.81</v>
      </c>
      <c r="AM129" s="174" t="str">
        <f t="shared" si="296"/>
        <v>934.93</v>
      </c>
    </row>
    <row r="130" ht="12.75" customHeight="1">
      <c r="A130" s="26"/>
      <c r="B130" s="190" t="s">
        <v>295</v>
      </c>
      <c r="C130" s="192">
        <v>2.07467958E8</v>
      </c>
      <c r="D130" s="190" t="s">
        <v>296</v>
      </c>
      <c r="E130" s="53" t="s">
        <v>77</v>
      </c>
      <c r="F130" s="154"/>
      <c r="G130" s="53"/>
      <c r="H130" s="53" t="str">
        <f t="shared" si="274"/>
        <v>0.00069</v>
      </c>
      <c r="I130" s="53" t="str">
        <f t="shared" si="275"/>
        <v>89</v>
      </c>
      <c r="J130" s="53" t="str">
        <f t="shared" si="276"/>
        <v>0</v>
      </c>
      <c r="K130" s="155" t="str">
        <f t="shared" si="277"/>
        <v>0.00</v>
      </c>
      <c r="L130" s="156" t="str">
        <f t="shared" si="278"/>
        <v>0.00 </v>
      </c>
      <c r="M130" s="132">
        <v>90.0</v>
      </c>
      <c r="N130" s="325" t="str">
        <f t="shared" ref="N130:N134" si="297">L130/F130</f>
        <v>#DIV/0!</v>
      </c>
      <c r="O130" s="158">
        <v>925.8</v>
      </c>
      <c r="P130" s="159" t="str">
        <f t="shared" ref="P130:P134" si="298">AL130</f>
        <v>#DIV/0!</v>
      </c>
      <c r="Q130" s="160"/>
      <c r="R130" s="161">
        <v>0.26</v>
      </c>
      <c r="S130" s="162" t="str">
        <f t="shared" si="280"/>
        <v>685.09</v>
      </c>
      <c r="T130" s="163" t="str">
        <f t="shared" si="281"/>
        <v>20.00</v>
      </c>
      <c r="U130" s="164" t="str">
        <f t="shared" si="282"/>
        <v>54.81</v>
      </c>
      <c r="V130" s="165" t="str">
        <f t="shared" si="283"/>
        <v>#DIV/0!</v>
      </c>
      <c r="W130" s="166">
        <v>0.51</v>
      </c>
      <c r="X130" s="167" t="str">
        <f t="shared" si="284"/>
        <v>76</v>
      </c>
      <c r="Y130" s="168" t="str">
        <f t="shared" si="285"/>
        <v>254.595</v>
      </c>
      <c r="Z130" s="168" t="str">
        <f t="shared" si="286"/>
        <v>14.866</v>
      </c>
      <c r="AA130" s="164" t="str">
        <f t="shared" si="287"/>
        <v>2.08</v>
      </c>
      <c r="AB130" s="164">
        <v>95.85</v>
      </c>
      <c r="AC130" s="164" t="str">
        <f t="shared" si="288"/>
        <v>4.80</v>
      </c>
      <c r="AD130" s="165" t="str">
        <f t="shared" si="289"/>
        <v>46.29</v>
      </c>
      <c r="AE130" s="23"/>
      <c r="AF130" s="169" t="str">
        <f t="shared" si="290"/>
        <v>10.2</v>
      </c>
      <c r="AG130" s="163" t="str">
        <f t="shared" si="291"/>
        <v>#DIV/0!</v>
      </c>
      <c r="AH130" s="170" t="str">
        <f t="shared" si="292"/>
        <v>#DIV/0!</v>
      </c>
      <c r="AI130" s="26"/>
      <c r="AJ130" s="171" t="str">
        <f t="shared" si="293"/>
        <v>0.00%</v>
      </c>
      <c r="AK130" s="172" t="str">
        <f t="shared" si="294"/>
        <v>#DIV/0!</v>
      </c>
      <c r="AL130" s="173" t="str">
        <f t="shared" si="295"/>
        <v>#DIV/0!</v>
      </c>
      <c r="AM130" s="174" t="str">
        <f t="shared" si="296"/>
        <v>#DIV/0!</v>
      </c>
    </row>
    <row r="131" ht="12.75" customHeight="1">
      <c r="A131" s="26"/>
      <c r="B131" s="190" t="s">
        <v>297</v>
      </c>
      <c r="C131" s="192">
        <v>2.07467709E8</v>
      </c>
      <c r="D131" s="152" t="s">
        <v>298</v>
      </c>
      <c r="E131" s="53" t="s">
        <v>77</v>
      </c>
      <c r="F131" s="154"/>
      <c r="G131" s="53"/>
      <c r="H131" s="53" t="str">
        <f t="shared" si="274"/>
        <v>0.00069</v>
      </c>
      <c r="I131" s="53" t="str">
        <f t="shared" si="275"/>
        <v>89</v>
      </c>
      <c r="J131" s="53" t="str">
        <f t="shared" si="276"/>
        <v>0</v>
      </c>
      <c r="K131" s="155" t="str">
        <f t="shared" si="277"/>
        <v>0.00</v>
      </c>
      <c r="L131" s="156" t="str">
        <f t="shared" si="278"/>
        <v>0.00 </v>
      </c>
      <c r="M131" s="132">
        <v>90.0</v>
      </c>
      <c r="N131" s="325" t="str">
        <f t="shared" si="297"/>
        <v>#DIV/0!</v>
      </c>
      <c r="O131" s="158">
        <v>1599.3</v>
      </c>
      <c r="P131" s="159" t="str">
        <f t="shared" si="298"/>
        <v>#DIV/0!</v>
      </c>
      <c r="Q131" s="160"/>
      <c r="R131" s="161">
        <v>0.26</v>
      </c>
      <c r="S131" s="162" t="str">
        <f t="shared" si="280"/>
        <v>1,183.48</v>
      </c>
      <c r="T131" s="163" t="str">
        <f t="shared" si="281"/>
        <v>20.00</v>
      </c>
      <c r="U131" s="164" t="str">
        <f t="shared" si="282"/>
        <v>94.68</v>
      </c>
      <c r="V131" s="165" t="str">
        <f t="shared" si="283"/>
        <v>#DIV/0!</v>
      </c>
      <c r="W131" s="166">
        <v>0.38</v>
      </c>
      <c r="X131" s="167" t="str">
        <f t="shared" si="284"/>
        <v>76</v>
      </c>
      <c r="Y131" s="168" t="str">
        <f t="shared" si="285"/>
        <v>439.808</v>
      </c>
      <c r="Z131" s="168" t="str">
        <f t="shared" si="286"/>
        <v>25.682</v>
      </c>
      <c r="AA131" s="164" t="str">
        <f t="shared" si="287"/>
        <v>1.25</v>
      </c>
      <c r="AB131" s="164">
        <v>97.5</v>
      </c>
      <c r="AC131" s="164" t="str">
        <f t="shared" si="288"/>
        <v>4.80</v>
      </c>
      <c r="AD131" s="165" t="str">
        <f t="shared" si="289"/>
        <v>79.97</v>
      </c>
      <c r="AE131" s="23"/>
      <c r="AF131" s="169" t="str">
        <f t="shared" si="290"/>
        <v>10.2</v>
      </c>
      <c r="AG131" s="163" t="str">
        <f t="shared" si="291"/>
        <v>#DIV/0!</v>
      </c>
      <c r="AH131" s="170" t="str">
        <f t="shared" si="292"/>
        <v>#DIV/0!</v>
      </c>
      <c r="AI131" s="26"/>
      <c r="AJ131" s="171" t="str">
        <f t="shared" si="293"/>
        <v>0.00%</v>
      </c>
      <c r="AK131" s="172" t="str">
        <f t="shared" si="294"/>
        <v>#DIV/0!</v>
      </c>
      <c r="AL131" s="173" t="str">
        <f t="shared" si="295"/>
        <v>#DIV/0!</v>
      </c>
      <c r="AM131" s="174" t="str">
        <f t="shared" si="296"/>
        <v>#DIV/0!</v>
      </c>
    </row>
    <row r="132" ht="12.75" customHeight="1">
      <c r="A132" s="26"/>
      <c r="B132" s="190" t="s">
        <v>299</v>
      </c>
      <c r="C132" s="192">
        <v>2.07468578E8</v>
      </c>
      <c r="D132" s="190" t="s">
        <v>300</v>
      </c>
      <c r="E132" s="53" t="s">
        <v>77</v>
      </c>
      <c r="F132" s="154"/>
      <c r="G132" s="53"/>
      <c r="H132" s="53" t="str">
        <f t="shared" si="274"/>
        <v>0.00069</v>
      </c>
      <c r="I132" s="53" t="str">
        <f t="shared" si="275"/>
        <v>89</v>
      </c>
      <c r="J132" s="53" t="str">
        <f t="shared" si="276"/>
        <v>0</v>
      </c>
      <c r="K132" s="155" t="str">
        <f t="shared" si="277"/>
        <v>0.00</v>
      </c>
      <c r="L132" s="156" t="str">
        <f t="shared" si="278"/>
        <v>0.00 </v>
      </c>
      <c r="M132" s="132">
        <v>90.0</v>
      </c>
      <c r="N132" s="325" t="str">
        <f t="shared" si="297"/>
        <v>#DIV/0!</v>
      </c>
      <c r="O132" s="158">
        <v>1874.7</v>
      </c>
      <c r="P132" s="159" t="str">
        <f t="shared" si="298"/>
        <v>#DIV/0!</v>
      </c>
      <c r="Q132" s="160"/>
      <c r="R132" s="161">
        <v>0.26</v>
      </c>
      <c r="S132" s="162" t="str">
        <f t="shared" si="280"/>
        <v>1,387.28</v>
      </c>
      <c r="T132" s="163" t="str">
        <f t="shared" si="281"/>
        <v>20.00</v>
      </c>
      <c r="U132" s="164" t="str">
        <f t="shared" si="282"/>
        <v>110.98</v>
      </c>
      <c r="V132" s="165" t="str">
        <f t="shared" si="283"/>
        <v>#DIV/0!</v>
      </c>
      <c r="W132" s="166">
        <v>0.38</v>
      </c>
      <c r="X132" s="167" t="str">
        <f t="shared" si="284"/>
        <v>76</v>
      </c>
      <c r="Y132" s="168" t="str">
        <f t="shared" si="285"/>
        <v>515.543</v>
      </c>
      <c r="Z132" s="168" t="str">
        <f t="shared" si="286"/>
        <v>30.104</v>
      </c>
      <c r="AA132" s="164" t="str">
        <f t="shared" si="287"/>
        <v>2.44</v>
      </c>
      <c r="AB132" s="164">
        <v>95.12</v>
      </c>
      <c r="AC132" s="164" t="str">
        <f t="shared" si="288"/>
        <v>4.80</v>
      </c>
      <c r="AD132" s="165" t="str">
        <f t="shared" si="289"/>
        <v>93.74</v>
      </c>
      <c r="AE132" s="23"/>
      <c r="AF132" s="169" t="str">
        <f t="shared" si="290"/>
        <v>10.2</v>
      </c>
      <c r="AG132" s="163" t="str">
        <f t="shared" si="291"/>
        <v>#DIV/0!</v>
      </c>
      <c r="AH132" s="170" t="str">
        <f t="shared" si="292"/>
        <v>#DIV/0!</v>
      </c>
      <c r="AI132" s="26"/>
      <c r="AJ132" s="171" t="str">
        <f t="shared" si="293"/>
        <v>0.00%</v>
      </c>
      <c r="AK132" s="172" t="str">
        <f t="shared" si="294"/>
        <v>#DIV/0!</v>
      </c>
      <c r="AL132" s="173" t="str">
        <f t="shared" si="295"/>
        <v>#DIV/0!</v>
      </c>
      <c r="AM132" s="174" t="str">
        <f t="shared" si="296"/>
        <v>#DIV/0!</v>
      </c>
    </row>
    <row r="133" ht="12.75" customHeight="1">
      <c r="A133" s="26"/>
      <c r="B133" s="190" t="s">
        <v>301</v>
      </c>
      <c r="C133" s="192">
        <v>2.07468348E8</v>
      </c>
      <c r="D133" s="152" t="s">
        <v>302</v>
      </c>
      <c r="E133" s="53" t="s">
        <v>77</v>
      </c>
      <c r="F133" s="154"/>
      <c r="G133" s="53"/>
      <c r="H133" s="53" t="str">
        <f t="shared" si="274"/>
        <v>0.00069</v>
      </c>
      <c r="I133" s="53" t="str">
        <f t="shared" si="275"/>
        <v>89</v>
      </c>
      <c r="J133" s="53" t="str">
        <f t="shared" si="276"/>
        <v>0</v>
      </c>
      <c r="K133" s="155" t="str">
        <f t="shared" si="277"/>
        <v>0.00</v>
      </c>
      <c r="L133" s="156" t="str">
        <f t="shared" si="278"/>
        <v>0.00 </v>
      </c>
      <c r="M133" s="132">
        <v>90.0</v>
      </c>
      <c r="N133" s="325" t="str">
        <f t="shared" si="297"/>
        <v>#DIV/0!</v>
      </c>
      <c r="O133" s="158">
        <v>1036.2</v>
      </c>
      <c r="P133" s="159" t="str">
        <f t="shared" si="298"/>
        <v>#DIV/0!</v>
      </c>
      <c r="Q133" s="160"/>
      <c r="R133" s="161">
        <v>0.26</v>
      </c>
      <c r="S133" s="162" t="str">
        <f t="shared" si="280"/>
        <v>766.79</v>
      </c>
      <c r="T133" s="163" t="str">
        <f t="shared" si="281"/>
        <v>20.00</v>
      </c>
      <c r="U133" s="164" t="str">
        <f t="shared" si="282"/>
        <v>61.34</v>
      </c>
      <c r="V133" s="165" t="str">
        <f t="shared" si="283"/>
        <v>#DIV/0!</v>
      </c>
      <c r="W133" s="166">
        <v>0.61</v>
      </c>
      <c r="X133" s="167" t="str">
        <f t="shared" si="284"/>
        <v>76</v>
      </c>
      <c r="Y133" s="168" t="str">
        <f t="shared" si="285"/>
        <v>284.955</v>
      </c>
      <c r="Z133" s="168" t="str">
        <f t="shared" si="286"/>
        <v>16.639</v>
      </c>
      <c r="AA133" s="164" t="str">
        <f t="shared" si="287"/>
        <v>1.16</v>
      </c>
      <c r="AB133" s="164">
        <v>97.69</v>
      </c>
      <c r="AC133" s="164" t="str">
        <f t="shared" si="288"/>
        <v>4.80</v>
      </c>
      <c r="AD133" s="165" t="str">
        <f t="shared" si="289"/>
        <v>51.81</v>
      </c>
      <c r="AE133" s="23"/>
      <c r="AF133" s="169" t="str">
        <f t="shared" si="290"/>
        <v>10.2</v>
      </c>
      <c r="AG133" s="163" t="str">
        <f t="shared" si="291"/>
        <v>#DIV/0!</v>
      </c>
      <c r="AH133" s="170" t="str">
        <f t="shared" si="292"/>
        <v>#DIV/0!</v>
      </c>
      <c r="AI133" s="26"/>
      <c r="AJ133" s="171" t="str">
        <f t="shared" si="293"/>
        <v>0.00%</v>
      </c>
      <c r="AK133" s="172" t="str">
        <f t="shared" si="294"/>
        <v>#DIV/0!</v>
      </c>
      <c r="AL133" s="173" t="str">
        <f t="shared" si="295"/>
        <v>#DIV/0!</v>
      </c>
      <c r="AM133" s="174" t="str">
        <f t="shared" si="296"/>
        <v>#DIV/0!</v>
      </c>
    </row>
    <row r="134" ht="12.75" customHeight="1">
      <c r="A134" s="26"/>
      <c r="B134" s="190" t="s">
        <v>303</v>
      </c>
      <c r="C134" s="192">
        <v>2.07468972E8</v>
      </c>
      <c r="D134" s="152" t="s">
        <v>304</v>
      </c>
      <c r="E134" s="53" t="s">
        <v>77</v>
      </c>
      <c r="F134" s="154"/>
      <c r="G134" s="53"/>
      <c r="H134" s="53" t="str">
        <f t="shared" si="274"/>
        <v>0.00069</v>
      </c>
      <c r="I134" s="53" t="str">
        <f t="shared" si="275"/>
        <v>89</v>
      </c>
      <c r="J134" s="53" t="str">
        <f t="shared" si="276"/>
        <v>0</v>
      </c>
      <c r="K134" s="155" t="str">
        <f t="shared" si="277"/>
        <v>0.00</v>
      </c>
      <c r="L134" s="156" t="str">
        <f t="shared" si="278"/>
        <v>0.00 </v>
      </c>
      <c r="M134" s="132">
        <v>90.0</v>
      </c>
      <c r="N134" s="325" t="str">
        <f t="shared" si="297"/>
        <v>#DIV/0!</v>
      </c>
      <c r="O134" s="158">
        <v>1478.4</v>
      </c>
      <c r="P134" s="159" t="str">
        <f t="shared" si="298"/>
        <v>#DIV/0!</v>
      </c>
      <c r="Q134" s="160"/>
      <c r="R134" s="161">
        <v>0.26</v>
      </c>
      <c r="S134" s="162" t="str">
        <f t="shared" si="280"/>
        <v>1,094.02</v>
      </c>
      <c r="T134" s="163" t="str">
        <f t="shared" si="281"/>
        <v>20.00</v>
      </c>
      <c r="U134" s="164" t="str">
        <f t="shared" si="282"/>
        <v>87.52</v>
      </c>
      <c r="V134" s="165" t="str">
        <f t="shared" si="283"/>
        <v>#DIV/0!</v>
      </c>
      <c r="W134" s="166">
        <v>0.4</v>
      </c>
      <c r="X134" s="167" t="str">
        <f t="shared" si="284"/>
        <v>76</v>
      </c>
      <c r="Y134" s="168" t="str">
        <f t="shared" si="285"/>
        <v>406.560</v>
      </c>
      <c r="Z134" s="168" t="str">
        <f t="shared" si="286"/>
        <v>23.740</v>
      </c>
      <c r="AA134" s="164" t="str">
        <f t="shared" si="287"/>
        <v>1.25</v>
      </c>
      <c r="AB134" s="164">
        <v>97.5</v>
      </c>
      <c r="AC134" s="164" t="str">
        <f t="shared" si="288"/>
        <v>4.80</v>
      </c>
      <c r="AD134" s="165" t="str">
        <f t="shared" si="289"/>
        <v>73.92</v>
      </c>
      <c r="AE134" s="23"/>
      <c r="AF134" s="169" t="str">
        <f t="shared" si="290"/>
        <v>10.2</v>
      </c>
      <c r="AG134" s="163" t="str">
        <f t="shared" si="291"/>
        <v>#DIV/0!</v>
      </c>
      <c r="AH134" s="170" t="str">
        <f t="shared" si="292"/>
        <v>#DIV/0!</v>
      </c>
      <c r="AI134" s="26"/>
      <c r="AJ134" s="171" t="str">
        <f t="shared" si="293"/>
        <v>0.00%</v>
      </c>
      <c r="AK134" s="172" t="str">
        <f t="shared" si="294"/>
        <v>#DIV/0!</v>
      </c>
      <c r="AL134" s="173" t="str">
        <f t="shared" si="295"/>
        <v>#DIV/0!</v>
      </c>
      <c r="AM134" s="174" t="str">
        <f t="shared" si="296"/>
        <v>#DIV/0!</v>
      </c>
    </row>
    <row r="135" ht="12.75" customHeight="1">
      <c r="A135" s="26"/>
      <c r="B135" s="125" t="s">
        <v>305</v>
      </c>
      <c r="C135" s="126"/>
      <c r="D135" s="127"/>
      <c r="E135" s="128"/>
      <c r="F135" s="129"/>
      <c r="G135" s="128"/>
      <c r="H135" s="197"/>
      <c r="I135" s="197"/>
      <c r="J135" s="128"/>
      <c r="K135" s="130"/>
      <c r="L135" s="131"/>
      <c r="M135" s="132"/>
      <c r="N135" s="320"/>
      <c r="O135" s="134"/>
      <c r="P135" s="135"/>
      <c r="Q135" s="135"/>
      <c r="R135" s="136"/>
      <c r="S135" s="137"/>
      <c r="T135" s="177"/>
      <c r="U135" s="178"/>
      <c r="V135" s="179"/>
      <c r="W135" s="180"/>
      <c r="X135" s="181"/>
      <c r="Y135" s="182"/>
      <c r="Z135" s="182"/>
      <c r="AA135" s="178"/>
      <c r="AB135" s="178"/>
      <c r="AC135" s="178"/>
      <c r="AD135" s="179"/>
      <c r="AE135" s="183"/>
      <c r="AF135" s="184"/>
      <c r="AG135" s="177"/>
      <c r="AH135" s="185"/>
      <c r="AI135" s="26"/>
      <c r="AJ135" s="186"/>
      <c r="AK135" s="187"/>
      <c r="AL135" s="188"/>
      <c r="AM135" s="189"/>
    </row>
    <row r="136" ht="12.75" customHeight="1">
      <c r="A136" s="26"/>
      <c r="B136" s="190" t="s">
        <v>306</v>
      </c>
      <c r="C136" s="199">
        <v>2.06122859E8</v>
      </c>
      <c r="D136" s="152" t="s">
        <v>307</v>
      </c>
      <c r="E136" s="53" t="s">
        <v>77</v>
      </c>
      <c r="F136" s="154"/>
      <c r="G136" s="53"/>
      <c r="H136" s="53" t="str">
        <f t="shared" ref="H136:H139" si="299">$I$2</f>
        <v>0.00069</v>
      </c>
      <c r="I136" s="53" t="str">
        <f t="shared" ref="I136:I139" si="300">$I$3</f>
        <v>89</v>
      </c>
      <c r="J136" s="53" t="str">
        <f t="shared" ref="J136:J139" si="301">G136*H136*I136*F136</f>
        <v>0</v>
      </c>
      <c r="K136" s="155" t="str">
        <f t="shared" ref="K136:K139" si="302">J136*$J$4</f>
        <v>0.00</v>
      </c>
      <c r="L136" s="156" t="str">
        <f t="shared" ref="L136:L139" si="303">K136+J136</f>
        <v>0.00 </v>
      </c>
      <c r="M136" s="132">
        <v>90.0</v>
      </c>
      <c r="N136" s="325">
        <v>484.79</v>
      </c>
      <c r="O136" s="158">
        <v>1750.0</v>
      </c>
      <c r="P136" s="159" t="str">
        <f t="shared" ref="P136:P138" si="304">O136</f>
        <v>1,750.00</v>
      </c>
      <c r="Q136" s="160">
        <v>1828.0</v>
      </c>
      <c r="R136" s="161">
        <v>0.26</v>
      </c>
      <c r="S136" s="162" t="str">
        <f t="shared" ref="S136:S139" si="305">O136-(O136*R136)</f>
        <v>1,295.00</v>
      </c>
      <c r="T136" s="163" t="str">
        <f t="shared" ref="T136:T139" si="306">$C$1</f>
        <v>20.00</v>
      </c>
      <c r="U136" s="164" t="str">
        <f t="shared" ref="U136:U139" si="307">S136*$C$8</f>
        <v>103.60</v>
      </c>
      <c r="V136" s="165" t="str">
        <f t="shared" ref="V136:V139" si="308">N136*$C$3*(M136/30)</f>
        <v>0.00</v>
      </c>
      <c r="W136" s="166">
        <v>0.29</v>
      </c>
      <c r="X136" s="167" t="str">
        <f t="shared" ref="X136:X139" si="309">((_xlfn.CEILING.MATH(W136)-1)*$C$5+$C$4)</f>
        <v>76</v>
      </c>
      <c r="Y136" s="168" t="str">
        <f t="shared" ref="Y136:Y139" si="310">O136*$Y$6</f>
        <v>481.250</v>
      </c>
      <c r="Z136" s="168" t="str">
        <f t="shared" ref="Z136:Z139" si="311">S136*$Y$7</f>
        <v>28.102</v>
      </c>
      <c r="AA136" s="164" t="str">
        <f t="shared" ref="AA136:AA139" si="312">$Y$3*((100-AB136)/100)</f>
        <v>7.41</v>
      </c>
      <c r="AB136" s="164">
        <v>85.19</v>
      </c>
      <c r="AC136" s="164" t="str">
        <f t="shared" ref="AC136:AC139" si="313">$C$6*$C$7*_xlfn.CEILING.MATH(W136)</f>
        <v>4.80</v>
      </c>
      <c r="AD136" s="165" t="str">
        <f t="shared" ref="AD136:AD139" si="314">O136*$C$2</f>
        <v>87.50</v>
      </c>
      <c r="AE136" s="23"/>
      <c r="AF136" s="169" t="str">
        <f t="shared" ref="AF136:AF139" si="315">(_xlfn.CEILING.MATH(W136))*$Y$1*$AD$2</f>
        <v>10.2</v>
      </c>
      <c r="AG136" s="163" t="str">
        <f t="shared" ref="AG136:AG139" si="316">O136-T136-U136-V136-X136-Y136-Z136-AA136-AC136-AD136-N136</f>
        <v>456.55</v>
      </c>
      <c r="AH136" s="170" t="str">
        <f t="shared" ref="AH136:AH139" si="317">AG136/N136</f>
        <v>94.18%</v>
      </c>
      <c r="AI136" s="26"/>
      <c r="AJ136" s="171" t="str">
        <f t="shared" ref="AJ136:AJ139" si="318">$AD$3</f>
        <v>0.00%</v>
      </c>
      <c r="AK136" s="172" t="str">
        <f t="shared" ref="AK136:AK139" si="319">N136*AJ136</f>
        <v>0.00</v>
      </c>
      <c r="AL136" s="173" t="str">
        <f t="shared" ref="AL136:AL139" si="320">(N136+T136+V136+X136+AA136+AC136+AF136+AK136)/(100%-($C$2+$C$8+$Y$6+$Y$7))</f>
        <v>1,052.15</v>
      </c>
      <c r="AM136" s="174" t="str">
        <f t="shared" ref="AM136:AM139" si="321">AL136-(AL136*$AD$1)</f>
        <v>747.02</v>
      </c>
    </row>
    <row r="137" ht="12.75" customHeight="1">
      <c r="A137" s="26"/>
      <c r="B137" s="190" t="s">
        <v>308</v>
      </c>
      <c r="C137" s="199">
        <v>2.06135397E8</v>
      </c>
      <c r="D137" s="152" t="s">
        <v>309</v>
      </c>
      <c r="E137" s="53" t="s">
        <v>77</v>
      </c>
      <c r="F137" s="154"/>
      <c r="G137" s="53"/>
      <c r="H137" s="53" t="str">
        <f t="shared" si="299"/>
        <v>0.00069</v>
      </c>
      <c r="I137" s="53" t="str">
        <f t="shared" si="300"/>
        <v>89</v>
      </c>
      <c r="J137" s="53" t="str">
        <f t="shared" si="301"/>
        <v>0</v>
      </c>
      <c r="K137" s="155" t="str">
        <f t="shared" si="302"/>
        <v>0.00</v>
      </c>
      <c r="L137" s="156" t="str">
        <f t="shared" si="303"/>
        <v>0.00 </v>
      </c>
      <c r="M137" s="132">
        <v>90.0</v>
      </c>
      <c r="N137" s="325">
        <v>484.79</v>
      </c>
      <c r="O137" s="158">
        <v>1315.0</v>
      </c>
      <c r="P137" s="159" t="str">
        <f t="shared" si="304"/>
        <v>1,315.00</v>
      </c>
      <c r="Q137" s="160">
        <v>1325.0</v>
      </c>
      <c r="R137" s="161">
        <v>0.26</v>
      </c>
      <c r="S137" s="162" t="str">
        <f t="shared" si="305"/>
        <v>973.10</v>
      </c>
      <c r="T137" s="163" t="str">
        <f t="shared" si="306"/>
        <v>20.00</v>
      </c>
      <c r="U137" s="164" t="str">
        <f t="shared" si="307"/>
        <v>77.85</v>
      </c>
      <c r="V137" s="165" t="str">
        <f t="shared" si="308"/>
        <v>0.00</v>
      </c>
      <c r="W137" s="166">
        <v>0.29</v>
      </c>
      <c r="X137" s="167" t="str">
        <f t="shared" si="309"/>
        <v>76</v>
      </c>
      <c r="Y137" s="168" t="str">
        <f t="shared" si="310"/>
        <v>361.625</v>
      </c>
      <c r="Z137" s="168" t="str">
        <f t="shared" si="311"/>
        <v>21.116</v>
      </c>
      <c r="AA137" s="164" t="str">
        <f t="shared" si="312"/>
        <v>8.34</v>
      </c>
      <c r="AB137" s="164">
        <v>83.33</v>
      </c>
      <c r="AC137" s="164" t="str">
        <f t="shared" si="313"/>
        <v>4.80</v>
      </c>
      <c r="AD137" s="165" t="str">
        <f t="shared" si="314"/>
        <v>65.75</v>
      </c>
      <c r="AE137" s="23"/>
      <c r="AF137" s="169" t="str">
        <f t="shared" si="315"/>
        <v>10.2</v>
      </c>
      <c r="AG137" s="163" t="str">
        <f t="shared" si="316"/>
        <v>194.74</v>
      </c>
      <c r="AH137" s="170" t="str">
        <f t="shared" si="317"/>
        <v>40.17%</v>
      </c>
      <c r="AI137" s="26"/>
      <c r="AJ137" s="171" t="str">
        <f t="shared" si="318"/>
        <v>0.00%</v>
      </c>
      <c r="AK137" s="172" t="str">
        <f t="shared" si="319"/>
        <v>0.00</v>
      </c>
      <c r="AL137" s="173" t="str">
        <f t="shared" si="320"/>
        <v>1,053.77</v>
      </c>
      <c r="AM137" s="174" t="str">
        <f t="shared" si="321"/>
        <v>748.18</v>
      </c>
    </row>
    <row r="138" ht="12.75" customHeight="1">
      <c r="A138" s="26"/>
      <c r="B138" s="190" t="s">
        <v>310</v>
      </c>
      <c r="C138" s="199">
        <v>2.06125905E8</v>
      </c>
      <c r="D138" s="152" t="s">
        <v>311</v>
      </c>
      <c r="E138" s="53" t="s">
        <v>77</v>
      </c>
      <c r="F138" s="154"/>
      <c r="G138" s="53"/>
      <c r="H138" s="53" t="str">
        <f t="shared" si="299"/>
        <v>0.00069</v>
      </c>
      <c r="I138" s="53" t="str">
        <f t="shared" si="300"/>
        <v>89</v>
      </c>
      <c r="J138" s="53" t="str">
        <f t="shared" si="301"/>
        <v>0</v>
      </c>
      <c r="K138" s="155" t="str">
        <f t="shared" si="302"/>
        <v>0.00</v>
      </c>
      <c r="L138" s="156" t="str">
        <f t="shared" si="303"/>
        <v>0.00 </v>
      </c>
      <c r="M138" s="132">
        <v>90.0</v>
      </c>
      <c r="N138" s="325">
        <v>484.79</v>
      </c>
      <c r="O138" s="158">
        <v>1750.0</v>
      </c>
      <c r="P138" s="159" t="str">
        <f t="shared" si="304"/>
        <v>1,750.00</v>
      </c>
      <c r="Q138" s="160">
        <v>1812.0</v>
      </c>
      <c r="R138" s="161">
        <v>0.26</v>
      </c>
      <c r="S138" s="162" t="str">
        <f t="shared" si="305"/>
        <v>1,295.00</v>
      </c>
      <c r="T138" s="163" t="str">
        <f t="shared" si="306"/>
        <v>20.00</v>
      </c>
      <c r="U138" s="164" t="str">
        <f t="shared" si="307"/>
        <v>103.60</v>
      </c>
      <c r="V138" s="165" t="str">
        <f t="shared" si="308"/>
        <v>0.00</v>
      </c>
      <c r="W138" s="166">
        <v>0.29</v>
      </c>
      <c r="X138" s="167" t="str">
        <f t="shared" si="309"/>
        <v>76</v>
      </c>
      <c r="Y138" s="168" t="str">
        <f t="shared" si="310"/>
        <v>481.250</v>
      </c>
      <c r="Z138" s="168" t="str">
        <f t="shared" si="311"/>
        <v>28.102</v>
      </c>
      <c r="AA138" s="164" t="str">
        <f t="shared" si="312"/>
        <v>1.17</v>
      </c>
      <c r="AB138" s="164">
        <v>97.67</v>
      </c>
      <c r="AC138" s="164" t="str">
        <f t="shared" si="313"/>
        <v>4.80</v>
      </c>
      <c r="AD138" s="165" t="str">
        <f t="shared" si="314"/>
        <v>87.50</v>
      </c>
      <c r="AE138" s="23"/>
      <c r="AF138" s="169" t="str">
        <f t="shared" si="315"/>
        <v>10.2</v>
      </c>
      <c r="AG138" s="163" t="str">
        <f t="shared" si="316"/>
        <v>462.79</v>
      </c>
      <c r="AH138" s="170" t="str">
        <f t="shared" si="317"/>
        <v>95.46%</v>
      </c>
      <c r="AI138" s="26"/>
      <c r="AJ138" s="171" t="str">
        <f t="shared" si="318"/>
        <v>0.00%</v>
      </c>
      <c r="AK138" s="172" t="str">
        <f t="shared" si="319"/>
        <v>0.00</v>
      </c>
      <c r="AL138" s="173" t="str">
        <f t="shared" si="320"/>
        <v>1,041.26</v>
      </c>
      <c r="AM138" s="174" t="str">
        <f t="shared" si="321"/>
        <v>739.30</v>
      </c>
    </row>
    <row r="139" ht="12.75" customHeight="1">
      <c r="A139" s="26"/>
      <c r="B139" s="190" t="s">
        <v>312</v>
      </c>
      <c r="C139" s="199">
        <v>2.06126372E8</v>
      </c>
      <c r="D139" s="152" t="s">
        <v>313</v>
      </c>
      <c r="E139" s="53" t="s">
        <v>77</v>
      </c>
      <c r="F139" s="154"/>
      <c r="G139" s="53"/>
      <c r="H139" s="53" t="str">
        <f t="shared" si="299"/>
        <v>0.00069</v>
      </c>
      <c r="I139" s="53" t="str">
        <f t="shared" si="300"/>
        <v>89</v>
      </c>
      <c r="J139" s="53" t="str">
        <f t="shared" si="301"/>
        <v>0</v>
      </c>
      <c r="K139" s="155" t="str">
        <f t="shared" si="302"/>
        <v>0.00</v>
      </c>
      <c r="L139" s="156" t="str">
        <f t="shared" si="303"/>
        <v>0.00 </v>
      </c>
      <c r="M139" s="132">
        <v>90.0</v>
      </c>
      <c r="N139" s="325">
        <v>484.79</v>
      </c>
      <c r="O139" s="158">
        <v>1580.0</v>
      </c>
      <c r="P139" s="159" t="str">
        <f>AL139</f>
        <v>1,039.23</v>
      </c>
      <c r="Q139" s="160">
        <v>1599.0</v>
      </c>
      <c r="R139" s="161">
        <v>0.26</v>
      </c>
      <c r="S139" s="162" t="str">
        <f t="shared" si="305"/>
        <v>1,169.20</v>
      </c>
      <c r="T139" s="163" t="str">
        <f t="shared" si="306"/>
        <v>20.00</v>
      </c>
      <c r="U139" s="164" t="str">
        <f t="shared" si="307"/>
        <v>93.54</v>
      </c>
      <c r="V139" s="165" t="str">
        <f t="shared" si="308"/>
        <v>0.00</v>
      </c>
      <c r="W139" s="166">
        <v>0.29</v>
      </c>
      <c r="X139" s="167" t="str">
        <f t="shared" si="309"/>
        <v>76</v>
      </c>
      <c r="Y139" s="168" t="str">
        <f t="shared" si="310"/>
        <v>434.500</v>
      </c>
      <c r="Z139" s="168" t="str">
        <f t="shared" si="311"/>
        <v>25.372</v>
      </c>
      <c r="AA139" s="164" t="str">
        <f t="shared" si="312"/>
        <v>0.00</v>
      </c>
      <c r="AB139" s="164">
        <v>100.0</v>
      </c>
      <c r="AC139" s="164" t="str">
        <f t="shared" si="313"/>
        <v>4.80</v>
      </c>
      <c r="AD139" s="165" t="str">
        <f t="shared" si="314"/>
        <v>79.00</v>
      </c>
      <c r="AE139" s="23"/>
      <c r="AF139" s="169" t="str">
        <f t="shared" si="315"/>
        <v>10.2</v>
      </c>
      <c r="AG139" s="163" t="str">
        <f t="shared" si="316"/>
        <v>362.00</v>
      </c>
      <c r="AH139" s="170" t="str">
        <f t="shared" si="317"/>
        <v>74.67%</v>
      </c>
      <c r="AI139" s="26"/>
      <c r="AJ139" s="171" t="str">
        <f t="shared" si="318"/>
        <v>0.00%</v>
      </c>
      <c r="AK139" s="172" t="str">
        <f t="shared" si="319"/>
        <v>0.00</v>
      </c>
      <c r="AL139" s="173" t="str">
        <f t="shared" si="320"/>
        <v>1,039.23</v>
      </c>
      <c r="AM139" s="174" t="str">
        <f t="shared" si="321"/>
        <v>737.85</v>
      </c>
    </row>
    <row r="140" ht="12.75" customHeight="1">
      <c r="A140" s="26"/>
      <c r="B140" s="125" t="s">
        <v>314</v>
      </c>
      <c r="C140" s="126"/>
      <c r="D140" s="127"/>
      <c r="E140" s="128"/>
      <c r="F140" s="129"/>
      <c r="G140" s="128"/>
      <c r="H140" s="197"/>
      <c r="I140" s="197"/>
      <c r="J140" s="128"/>
      <c r="K140" s="130"/>
      <c r="L140" s="131"/>
      <c r="M140" s="132"/>
      <c r="N140" s="320"/>
      <c r="O140" s="134"/>
      <c r="P140" s="135"/>
      <c r="Q140" s="135"/>
      <c r="R140" s="136"/>
      <c r="S140" s="137"/>
      <c r="T140" s="177"/>
      <c r="U140" s="178"/>
      <c r="V140" s="179"/>
      <c r="W140" s="180"/>
      <c r="X140" s="181"/>
      <c r="Y140" s="182"/>
      <c r="Z140" s="182"/>
      <c r="AA140" s="178"/>
      <c r="AB140" s="178"/>
      <c r="AC140" s="178"/>
      <c r="AD140" s="179"/>
      <c r="AE140" s="183"/>
      <c r="AF140" s="184"/>
      <c r="AG140" s="177"/>
      <c r="AH140" s="185"/>
      <c r="AI140" s="26"/>
      <c r="AJ140" s="186"/>
      <c r="AK140" s="187"/>
      <c r="AL140" s="188"/>
      <c r="AM140" s="189"/>
    </row>
    <row r="141" ht="12.75" customHeight="1">
      <c r="A141" s="26"/>
      <c r="B141" s="190" t="s">
        <v>315</v>
      </c>
      <c r="C141" s="191">
        <v>2.07817787E8</v>
      </c>
      <c r="D141" s="152" t="s">
        <v>316</v>
      </c>
      <c r="E141" s="53" t="s">
        <v>77</v>
      </c>
      <c r="F141" s="154"/>
      <c r="G141" s="53"/>
      <c r="H141" s="53" t="str">
        <f t="shared" ref="H141:H147" si="322">$I$2</f>
        <v>0.00069</v>
      </c>
      <c r="I141" s="53" t="str">
        <f t="shared" ref="I141:I147" si="323">$I$3</f>
        <v>89</v>
      </c>
      <c r="J141" s="53" t="str">
        <f t="shared" ref="J141:J147" si="324">G141*H141*I141*F141</f>
        <v>0</v>
      </c>
      <c r="K141" s="155" t="str">
        <f t="shared" ref="K141:K147" si="325">J141*$J$4</f>
        <v>0.00</v>
      </c>
      <c r="L141" s="156" t="str">
        <f t="shared" ref="L141:L147" si="326">K141+J141</f>
        <v>0.00 </v>
      </c>
      <c r="M141" s="132">
        <v>90.0</v>
      </c>
      <c r="N141" s="325" t="str">
        <f t="shared" ref="N141:N147" si="327">L141/F141</f>
        <v>#DIV/0!</v>
      </c>
      <c r="O141" s="158">
        <v>1220.4</v>
      </c>
      <c r="P141" s="159" t="str">
        <f t="shared" ref="P141:P147" si="328">AL141</f>
        <v>#DIV/0!</v>
      </c>
      <c r="Q141" s="160"/>
      <c r="R141" s="161">
        <v>0.26</v>
      </c>
      <c r="S141" s="162" t="str">
        <f t="shared" ref="S141:S147" si="329">O141-(O141*R141)</f>
        <v>903.10</v>
      </c>
      <c r="T141" s="163" t="str">
        <f t="shared" ref="T141:T147" si="330">$C$1</f>
        <v>20.00</v>
      </c>
      <c r="U141" s="164" t="str">
        <f t="shared" ref="U141:U147" si="331">S141*$C$8</f>
        <v>72.25</v>
      </c>
      <c r="V141" s="165" t="str">
        <f t="shared" ref="V141:V147" si="332">N141*$C$3*(M141/30)</f>
        <v>#DIV/0!</v>
      </c>
      <c r="W141" s="166">
        <v>0.35</v>
      </c>
      <c r="X141" s="167" t="str">
        <f t="shared" ref="X141:X147" si="333">((_xlfn.CEILING.MATH(W141)-1)*$C$5+$C$4)</f>
        <v>76</v>
      </c>
      <c r="Y141" s="168" t="str">
        <f t="shared" ref="Y141:Y147" si="334">O141*$Y$6</f>
        <v>335.610</v>
      </c>
      <c r="Z141" s="168" t="str">
        <f t="shared" ref="Z141:Z147" si="335">S141*$Y$7</f>
        <v>19.597</v>
      </c>
      <c r="AA141" s="164" t="str">
        <f t="shared" ref="AA141:AA147" si="336">$Y$3*((100-AB141)/100)</f>
        <v>0.00</v>
      </c>
      <c r="AB141" s="164">
        <v>100.0</v>
      </c>
      <c r="AC141" s="164" t="str">
        <f t="shared" ref="AC141:AC147" si="337">$C$6*$C$7*_xlfn.CEILING.MATH(W141)</f>
        <v>4.80</v>
      </c>
      <c r="AD141" s="165" t="str">
        <f t="shared" ref="AD141:AD147" si="338">O141*$C$2</f>
        <v>61.02</v>
      </c>
      <c r="AE141" s="23"/>
      <c r="AF141" s="169" t="str">
        <f t="shared" ref="AF141:AF147" si="339">(_xlfn.CEILING.MATH(W141))*$Y$1*$AD$2</f>
        <v>10.2</v>
      </c>
      <c r="AG141" s="163" t="str">
        <f t="shared" ref="AG141:AG147" si="340">O141-T141-U141-V141-X141-Y141-Z141-AA141-AC141-AD141-N141</f>
        <v>#DIV/0!</v>
      </c>
      <c r="AH141" s="170" t="str">
        <f t="shared" ref="AH141:AH147" si="341">AG141/N141</f>
        <v>#DIV/0!</v>
      </c>
      <c r="AI141" s="26"/>
      <c r="AJ141" s="171" t="str">
        <f t="shared" ref="AJ141:AJ147" si="342">$AD$3</f>
        <v>0.00%</v>
      </c>
      <c r="AK141" s="172" t="str">
        <f t="shared" ref="AK141:AK147" si="343">N141*AJ141</f>
        <v>#DIV/0!</v>
      </c>
      <c r="AL141" s="173" t="str">
        <f t="shared" ref="AL141:AL147" si="344">(N141+T141+V141+X141+AA141+AC141+AF141+AK141)/(100%-($C$2+$C$8+$Y$6+$Y$7))</f>
        <v>#DIV/0!</v>
      </c>
      <c r="AM141" s="174" t="str">
        <f t="shared" ref="AM141:AM147" si="345">AL141-(AL141*$AD$1)</f>
        <v>#DIV/0!</v>
      </c>
    </row>
    <row r="142" ht="12.75" customHeight="1">
      <c r="A142" s="26"/>
      <c r="B142" s="190" t="s">
        <v>317</v>
      </c>
      <c r="C142" s="202">
        <v>2.07818E8</v>
      </c>
      <c r="D142" s="152" t="s">
        <v>318</v>
      </c>
      <c r="E142" s="53" t="s">
        <v>77</v>
      </c>
      <c r="F142" s="154"/>
      <c r="G142" s="53"/>
      <c r="H142" s="53" t="str">
        <f t="shared" si="322"/>
        <v>0.00069</v>
      </c>
      <c r="I142" s="53" t="str">
        <f t="shared" si="323"/>
        <v>89</v>
      </c>
      <c r="J142" s="53" t="str">
        <f t="shared" si="324"/>
        <v>0</v>
      </c>
      <c r="K142" s="155" t="str">
        <f t="shared" si="325"/>
        <v>0.00</v>
      </c>
      <c r="L142" s="156" t="str">
        <f t="shared" si="326"/>
        <v>0.00 </v>
      </c>
      <c r="M142" s="132">
        <v>90.0</v>
      </c>
      <c r="N142" s="325" t="str">
        <f t="shared" si="327"/>
        <v>#DIV/0!</v>
      </c>
      <c r="O142" s="158">
        <v>444.9</v>
      </c>
      <c r="P142" s="159" t="str">
        <f t="shared" si="328"/>
        <v>#DIV/0!</v>
      </c>
      <c r="Q142" s="160"/>
      <c r="R142" s="161">
        <v>0.26</v>
      </c>
      <c r="S142" s="162" t="str">
        <f t="shared" si="329"/>
        <v>329.23</v>
      </c>
      <c r="T142" s="163" t="str">
        <f t="shared" si="330"/>
        <v>20.00</v>
      </c>
      <c r="U142" s="164" t="str">
        <f t="shared" si="331"/>
        <v>26.34</v>
      </c>
      <c r="V142" s="165" t="str">
        <f t="shared" si="332"/>
        <v>#DIV/0!</v>
      </c>
      <c r="W142" s="166">
        <v>0.06</v>
      </c>
      <c r="X142" s="167" t="str">
        <f t="shared" si="333"/>
        <v>76</v>
      </c>
      <c r="Y142" s="168" t="str">
        <f t="shared" si="334"/>
        <v>122.348</v>
      </c>
      <c r="Z142" s="168" t="str">
        <f t="shared" si="335"/>
        <v>7.144</v>
      </c>
      <c r="AA142" s="164" t="str">
        <f t="shared" si="336"/>
        <v>2.50</v>
      </c>
      <c r="AB142" s="164">
        <v>95.0</v>
      </c>
      <c r="AC142" s="164" t="str">
        <f t="shared" si="337"/>
        <v>4.80</v>
      </c>
      <c r="AD142" s="165" t="str">
        <f t="shared" si="338"/>
        <v>22.25</v>
      </c>
      <c r="AE142" s="23"/>
      <c r="AF142" s="169" t="str">
        <f t="shared" si="339"/>
        <v>10.2</v>
      </c>
      <c r="AG142" s="163" t="str">
        <f t="shared" si="340"/>
        <v>#DIV/0!</v>
      </c>
      <c r="AH142" s="170" t="str">
        <f t="shared" si="341"/>
        <v>#DIV/0!</v>
      </c>
      <c r="AI142" s="26"/>
      <c r="AJ142" s="171" t="str">
        <f t="shared" si="342"/>
        <v>0.00%</v>
      </c>
      <c r="AK142" s="172" t="str">
        <f t="shared" si="343"/>
        <v>#DIV/0!</v>
      </c>
      <c r="AL142" s="173" t="str">
        <f t="shared" si="344"/>
        <v>#DIV/0!</v>
      </c>
      <c r="AM142" s="174" t="str">
        <f t="shared" si="345"/>
        <v>#DIV/0!</v>
      </c>
    </row>
    <row r="143" ht="12.75" customHeight="1">
      <c r="A143" s="26"/>
      <c r="B143" s="190" t="s">
        <v>319</v>
      </c>
      <c r="C143" s="192">
        <v>2.07798999E8</v>
      </c>
      <c r="D143" s="152" t="s">
        <v>320</v>
      </c>
      <c r="E143" s="53" t="s">
        <v>77</v>
      </c>
      <c r="F143" s="154"/>
      <c r="G143" s="53"/>
      <c r="H143" s="53" t="str">
        <f t="shared" si="322"/>
        <v>0.00069</v>
      </c>
      <c r="I143" s="53" t="str">
        <f t="shared" si="323"/>
        <v>89</v>
      </c>
      <c r="J143" s="53" t="str">
        <f t="shared" si="324"/>
        <v>0</v>
      </c>
      <c r="K143" s="155" t="str">
        <f t="shared" si="325"/>
        <v>0.00</v>
      </c>
      <c r="L143" s="156" t="str">
        <f t="shared" si="326"/>
        <v>0.00 </v>
      </c>
      <c r="M143" s="132">
        <v>90.0</v>
      </c>
      <c r="N143" s="325" t="str">
        <f t="shared" si="327"/>
        <v>#DIV/0!</v>
      </c>
      <c r="O143" s="158">
        <v>1536.3</v>
      </c>
      <c r="P143" s="159" t="str">
        <f t="shared" si="328"/>
        <v>#DIV/0!</v>
      </c>
      <c r="Q143" s="160"/>
      <c r="R143" s="161">
        <v>0.26</v>
      </c>
      <c r="S143" s="162" t="str">
        <f t="shared" si="329"/>
        <v>1,136.86</v>
      </c>
      <c r="T143" s="163" t="str">
        <f t="shared" si="330"/>
        <v>20.00</v>
      </c>
      <c r="U143" s="164" t="str">
        <f t="shared" si="331"/>
        <v>90.95</v>
      </c>
      <c r="V143" s="165" t="str">
        <f t="shared" si="332"/>
        <v>#DIV/0!</v>
      </c>
      <c r="W143" s="166">
        <v>0.4</v>
      </c>
      <c r="X143" s="167" t="str">
        <f t="shared" si="333"/>
        <v>76</v>
      </c>
      <c r="Y143" s="168" t="str">
        <f t="shared" si="334"/>
        <v>422.483</v>
      </c>
      <c r="Z143" s="168" t="str">
        <f t="shared" si="335"/>
        <v>24.670</v>
      </c>
      <c r="AA143" s="164" t="str">
        <f t="shared" si="336"/>
        <v>5.88</v>
      </c>
      <c r="AB143" s="164">
        <v>88.24</v>
      </c>
      <c r="AC143" s="164" t="str">
        <f t="shared" si="337"/>
        <v>4.80</v>
      </c>
      <c r="AD143" s="165" t="str">
        <f t="shared" si="338"/>
        <v>76.82</v>
      </c>
      <c r="AE143" s="23"/>
      <c r="AF143" s="169" t="str">
        <f t="shared" si="339"/>
        <v>10.2</v>
      </c>
      <c r="AG143" s="163" t="str">
        <f t="shared" si="340"/>
        <v>#DIV/0!</v>
      </c>
      <c r="AH143" s="170" t="str">
        <f t="shared" si="341"/>
        <v>#DIV/0!</v>
      </c>
      <c r="AI143" s="26"/>
      <c r="AJ143" s="171" t="str">
        <f t="shared" si="342"/>
        <v>0.00%</v>
      </c>
      <c r="AK143" s="172" t="str">
        <f t="shared" si="343"/>
        <v>#DIV/0!</v>
      </c>
      <c r="AL143" s="173" t="str">
        <f t="shared" si="344"/>
        <v>#DIV/0!</v>
      </c>
      <c r="AM143" s="174" t="str">
        <f t="shared" si="345"/>
        <v>#DIV/0!</v>
      </c>
    </row>
    <row r="144" ht="12.75" customHeight="1">
      <c r="A144" s="26"/>
      <c r="B144" s="190" t="s">
        <v>321</v>
      </c>
      <c r="C144" s="192">
        <v>2.07816823E8</v>
      </c>
      <c r="D144" s="152" t="s">
        <v>322</v>
      </c>
      <c r="E144" s="53" t="s">
        <v>77</v>
      </c>
      <c r="F144" s="154"/>
      <c r="G144" s="53"/>
      <c r="H144" s="53" t="str">
        <f t="shared" si="322"/>
        <v>0.00069</v>
      </c>
      <c r="I144" s="53" t="str">
        <f t="shared" si="323"/>
        <v>89</v>
      </c>
      <c r="J144" s="53" t="str">
        <f t="shared" si="324"/>
        <v>0</v>
      </c>
      <c r="K144" s="155" t="str">
        <f t="shared" si="325"/>
        <v>0.00</v>
      </c>
      <c r="L144" s="156" t="str">
        <f t="shared" si="326"/>
        <v>0.00 </v>
      </c>
      <c r="M144" s="132">
        <v>90.0</v>
      </c>
      <c r="N144" s="325" t="str">
        <f t="shared" si="327"/>
        <v>#DIV/0!</v>
      </c>
      <c r="O144" s="158">
        <v>1536.3</v>
      </c>
      <c r="P144" s="159" t="str">
        <f t="shared" si="328"/>
        <v>#DIV/0!</v>
      </c>
      <c r="Q144" s="160"/>
      <c r="R144" s="161">
        <v>0.26</v>
      </c>
      <c r="S144" s="162" t="str">
        <f t="shared" si="329"/>
        <v>1,136.86</v>
      </c>
      <c r="T144" s="163" t="str">
        <f t="shared" si="330"/>
        <v>20.00</v>
      </c>
      <c r="U144" s="164" t="str">
        <f t="shared" si="331"/>
        <v>90.95</v>
      </c>
      <c r="V144" s="165" t="str">
        <f t="shared" si="332"/>
        <v>#DIV/0!</v>
      </c>
      <c r="W144" s="166">
        <v>0.4</v>
      </c>
      <c r="X144" s="167" t="str">
        <f t="shared" si="333"/>
        <v>76</v>
      </c>
      <c r="Y144" s="168" t="str">
        <f t="shared" si="334"/>
        <v>422.483</v>
      </c>
      <c r="Z144" s="168" t="str">
        <f t="shared" si="335"/>
        <v>24.670</v>
      </c>
      <c r="AA144" s="164" t="str">
        <f t="shared" si="336"/>
        <v>2.62</v>
      </c>
      <c r="AB144" s="164">
        <v>94.76</v>
      </c>
      <c r="AC144" s="164" t="str">
        <f t="shared" si="337"/>
        <v>4.80</v>
      </c>
      <c r="AD144" s="165" t="str">
        <f t="shared" si="338"/>
        <v>76.82</v>
      </c>
      <c r="AE144" s="23"/>
      <c r="AF144" s="169" t="str">
        <f t="shared" si="339"/>
        <v>10.2</v>
      </c>
      <c r="AG144" s="163" t="str">
        <f t="shared" si="340"/>
        <v>#DIV/0!</v>
      </c>
      <c r="AH144" s="170" t="str">
        <f t="shared" si="341"/>
        <v>#DIV/0!</v>
      </c>
      <c r="AI144" s="26"/>
      <c r="AJ144" s="171" t="str">
        <f t="shared" si="342"/>
        <v>0.00%</v>
      </c>
      <c r="AK144" s="172" t="str">
        <f t="shared" si="343"/>
        <v>#DIV/0!</v>
      </c>
      <c r="AL144" s="173" t="str">
        <f t="shared" si="344"/>
        <v>#DIV/0!</v>
      </c>
      <c r="AM144" s="174" t="str">
        <f t="shared" si="345"/>
        <v>#DIV/0!</v>
      </c>
    </row>
    <row r="145" ht="12.75" customHeight="1">
      <c r="A145" s="26"/>
      <c r="B145" s="190" t="s">
        <v>323</v>
      </c>
      <c r="C145" s="192">
        <v>2.12720615E8</v>
      </c>
      <c r="D145" s="152" t="s">
        <v>324</v>
      </c>
      <c r="E145" s="53" t="s">
        <v>77</v>
      </c>
      <c r="F145" s="154"/>
      <c r="G145" s="53"/>
      <c r="H145" s="53" t="str">
        <f t="shared" si="322"/>
        <v>0.00069</v>
      </c>
      <c r="I145" s="53" t="str">
        <f t="shared" si="323"/>
        <v>89</v>
      </c>
      <c r="J145" s="53" t="str">
        <f t="shared" si="324"/>
        <v>0</v>
      </c>
      <c r="K145" s="155" t="str">
        <f t="shared" si="325"/>
        <v>0.00</v>
      </c>
      <c r="L145" s="156" t="str">
        <f t="shared" si="326"/>
        <v>0.00 </v>
      </c>
      <c r="M145" s="132">
        <v>90.0</v>
      </c>
      <c r="N145" s="325" t="str">
        <f t="shared" si="327"/>
        <v>#DIV/0!</v>
      </c>
      <c r="O145" s="158">
        <v>2153.7</v>
      </c>
      <c r="P145" s="159" t="str">
        <f t="shared" si="328"/>
        <v>#DIV/0!</v>
      </c>
      <c r="Q145" s="160"/>
      <c r="R145" s="161">
        <v>0.26</v>
      </c>
      <c r="S145" s="162" t="str">
        <f t="shared" si="329"/>
        <v>1,593.74</v>
      </c>
      <c r="T145" s="163" t="str">
        <f t="shared" si="330"/>
        <v>20.00</v>
      </c>
      <c r="U145" s="164" t="str">
        <f t="shared" si="331"/>
        <v>127.50</v>
      </c>
      <c r="V145" s="165" t="str">
        <f t="shared" si="332"/>
        <v>#DIV/0!</v>
      </c>
      <c r="W145" s="166">
        <v>0.32</v>
      </c>
      <c r="X145" s="167" t="str">
        <f t="shared" si="333"/>
        <v>76</v>
      </c>
      <c r="Y145" s="168" t="str">
        <f t="shared" si="334"/>
        <v>592.268</v>
      </c>
      <c r="Z145" s="168" t="str">
        <f t="shared" si="335"/>
        <v>34.584</v>
      </c>
      <c r="AA145" s="164" t="str">
        <f t="shared" si="336"/>
        <v>0.00</v>
      </c>
      <c r="AB145" s="164">
        <v>100.0</v>
      </c>
      <c r="AC145" s="164" t="str">
        <f t="shared" si="337"/>
        <v>4.80</v>
      </c>
      <c r="AD145" s="165" t="str">
        <f t="shared" si="338"/>
        <v>107.69</v>
      </c>
      <c r="AE145" s="23"/>
      <c r="AF145" s="169" t="str">
        <f t="shared" si="339"/>
        <v>10.2</v>
      </c>
      <c r="AG145" s="163" t="str">
        <f t="shared" si="340"/>
        <v>#DIV/0!</v>
      </c>
      <c r="AH145" s="170" t="str">
        <f t="shared" si="341"/>
        <v>#DIV/0!</v>
      </c>
      <c r="AI145" s="26"/>
      <c r="AJ145" s="171" t="str">
        <f t="shared" si="342"/>
        <v>0.00%</v>
      </c>
      <c r="AK145" s="172" t="str">
        <f t="shared" si="343"/>
        <v>#DIV/0!</v>
      </c>
      <c r="AL145" s="173" t="str">
        <f t="shared" si="344"/>
        <v>#DIV/0!</v>
      </c>
      <c r="AM145" s="174" t="str">
        <f t="shared" si="345"/>
        <v>#DIV/0!</v>
      </c>
    </row>
    <row r="146" ht="12.75" customHeight="1">
      <c r="A146" s="26"/>
      <c r="B146" s="190" t="s">
        <v>325</v>
      </c>
      <c r="C146" s="192">
        <v>2.07818167E8</v>
      </c>
      <c r="D146" s="152" t="s">
        <v>326</v>
      </c>
      <c r="E146" s="53" t="s">
        <v>77</v>
      </c>
      <c r="F146" s="154"/>
      <c r="G146" s="53"/>
      <c r="H146" s="53" t="str">
        <f t="shared" si="322"/>
        <v>0.00069</v>
      </c>
      <c r="I146" s="53" t="str">
        <f t="shared" si="323"/>
        <v>89</v>
      </c>
      <c r="J146" s="53" t="str">
        <f t="shared" si="324"/>
        <v>0</v>
      </c>
      <c r="K146" s="155" t="str">
        <f t="shared" si="325"/>
        <v>0.00</v>
      </c>
      <c r="L146" s="156" t="str">
        <f t="shared" si="326"/>
        <v>0.00 </v>
      </c>
      <c r="M146" s="132">
        <v>90.0</v>
      </c>
      <c r="N146" s="325" t="str">
        <f t="shared" si="327"/>
        <v>#DIV/0!</v>
      </c>
      <c r="O146" s="158">
        <v>1758.9</v>
      </c>
      <c r="P146" s="159" t="str">
        <f t="shared" si="328"/>
        <v>#DIV/0!</v>
      </c>
      <c r="Q146" s="160"/>
      <c r="R146" s="161">
        <v>0.26</v>
      </c>
      <c r="S146" s="162" t="str">
        <f t="shared" si="329"/>
        <v>1,301.59</v>
      </c>
      <c r="T146" s="163" t="str">
        <f t="shared" si="330"/>
        <v>20.00</v>
      </c>
      <c r="U146" s="164" t="str">
        <f t="shared" si="331"/>
        <v>104.13</v>
      </c>
      <c r="V146" s="165" t="str">
        <f t="shared" si="332"/>
        <v>#DIV/0!</v>
      </c>
      <c r="W146" s="166">
        <v>0.3</v>
      </c>
      <c r="X146" s="167" t="str">
        <f t="shared" si="333"/>
        <v>76</v>
      </c>
      <c r="Y146" s="168" t="str">
        <f t="shared" si="334"/>
        <v>483.698</v>
      </c>
      <c r="Z146" s="168" t="str">
        <f t="shared" si="335"/>
        <v>28.244</v>
      </c>
      <c r="AA146" s="164" t="str">
        <f t="shared" si="336"/>
        <v>0.00</v>
      </c>
      <c r="AB146" s="164">
        <v>100.0</v>
      </c>
      <c r="AC146" s="164" t="str">
        <f t="shared" si="337"/>
        <v>4.80</v>
      </c>
      <c r="AD146" s="165" t="str">
        <f t="shared" si="338"/>
        <v>87.95</v>
      </c>
      <c r="AE146" s="23"/>
      <c r="AF146" s="169" t="str">
        <f t="shared" si="339"/>
        <v>10.2</v>
      </c>
      <c r="AG146" s="163" t="str">
        <f t="shared" si="340"/>
        <v>#DIV/0!</v>
      </c>
      <c r="AH146" s="170" t="str">
        <f t="shared" si="341"/>
        <v>#DIV/0!</v>
      </c>
      <c r="AI146" s="26"/>
      <c r="AJ146" s="171" t="str">
        <f t="shared" si="342"/>
        <v>0.00%</v>
      </c>
      <c r="AK146" s="172" t="str">
        <f t="shared" si="343"/>
        <v>#DIV/0!</v>
      </c>
      <c r="AL146" s="173" t="str">
        <f t="shared" si="344"/>
        <v>#DIV/0!</v>
      </c>
      <c r="AM146" s="174" t="str">
        <f t="shared" si="345"/>
        <v>#DIV/0!</v>
      </c>
    </row>
    <row r="147" ht="12.75" customHeight="1">
      <c r="A147" s="26"/>
      <c r="B147" s="190" t="s">
        <v>327</v>
      </c>
      <c r="C147" s="192">
        <v>2.07817635E8</v>
      </c>
      <c r="D147" s="152" t="s">
        <v>328</v>
      </c>
      <c r="E147" s="53" t="s">
        <v>77</v>
      </c>
      <c r="F147" s="154"/>
      <c r="G147" s="53"/>
      <c r="H147" s="53" t="str">
        <f t="shared" si="322"/>
        <v>0.00069</v>
      </c>
      <c r="I147" s="53" t="str">
        <f t="shared" si="323"/>
        <v>89</v>
      </c>
      <c r="J147" s="53" t="str">
        <f t="shared" si="324"/>
        <v>0</v>
      </c>
      <c r="K147" s="155" t="str">
        <f t="shared" si="325"/>
        <v>0.00</v>
      </c>
      <c r="L147" s="156" t="str">
        <f t="shared" si="326"/>
        <v>0.00 </v>
      </c>
      <c r="M147" s="132">
        <v>90.0</v>
      </c>
      <c r="N147" s="325" t="str">
        <f t="shared" si="327"/>
        <v>#DIV/0!</v>
      </c>
      <c r="O147" s="158">
        <v>1332.6</v>
      </c>
      <c r="P147" s="159" t="str">
        <f t="shared" si="328"/>
        <v>#DIV/0!</v>
      </c>
      <c r="Q147" s="160"/>
      <c r="R147" s="161">
        <v>0.26</v>
      </c>
      <c r="S147" s="162" t="str">
        <f t="shared" si="329"/>
        <v>986.12</v>
      </c>
      <c r="T147" s="163" t="str">
        <f t="shared" si="330"/>
        <v>20.00</v>
      </c>
      <c r="U147" s="164" t="str">
        <f t="shared" si="331"/>
        <v>78.89</v>
      </c>
      <c r="V147" s="165" t="str">
        <f t="shared" si="332"/>
        <v>#DIV/0!</v>
      </c>
      <c r="W147" s="166">
        <v>0.14</v>
      </c>
      <c r="X147" s="167" t="str">
        <f t="shared" si="333"/>
        <v>76</v>
      </c>
      <c r="Y147" s="168" t="str">
        <f t="shared" si="334"/>
        <v>366.465</v>
      </c>
      <c r="Z147" s="168" t="str">
        <f t="shared" si="335"/>
        <v>21.399</v>
      </c>
      <c r="AA147" s="164" t="str">
        <f t="shared" si="336"/>
        <v>0.00</v>
      </c>
      <c r="AB147" s="164">
        <v>100.0</v>
      </c>
      <c r="AC147" s="164" t="str">
        <f t="shared" si="337"/>
        <v>4.80</v>
      </c>
      <c r="AD147" s="165" t="str">
        <f t="shared" si="338"/>
        <v>66.63</v>
      </c>
      <c r="AE147" s="23"/>
      <c r="AF147" s="169" t="str">
        <f t="shared" si="339"/>
        <v>10.2</v>
      </c>
      <c r="AG147" s="163" t="str">
        <f t="shared" si="340"/>
        <v>#DIV/0!</v>
      </c>
      <c r="AH147" s="170" t="str">
        <f t="shared" si="341"/>
        <v>#DIV/0!</v>
      </c>
      <c r="AI147" s="26"/>
      <c r="AJ147" s="171" t="str">
        <f t="shared" si="342"/>
        <v>0.00%</v>
      </c>
      <c r="AK147" s="172" t="str">
        <f t="shared" si="343"/>
        <v>#DIV/0!</v>
      </c>
      <c r="AL147" s="173" t="str">
        <f t="shared" si="344"/>
        <v>#DIV/0!</v>
      </c>
      <c r="AM147" s="174" t="str">
        <f t="shared" si="345"/>
        <v>#DIV/0!</v>
      </c>
    </row>
    <row r="148" ht="12.75" customHeight="1">
      <c r="A148" s="26"/>
      <c r="B148" s="125" t="s">
        <v>329</v>
      </c>
      <c r="C148" s="126"/>
      <c r="D148" s="127"/>
      <c r="E148" s="128"/>
      <c r="F148" s="129"/>
      <c r="G148" s="128"/>
      <c r="H148" s="197"/>
      <c r="I148" s="197"/>
      <c r="J148" s="128"/>
      <c r="K148" s="130"/>
      <c r="L148" s="131"/>
      <c r="M148" s="132"/>
      <c r="N148" s="320"/>
      <c r="O148" s="134"/>
      <c r="P148" s="135"/>
      <c r="Q148" s="135"/>
      <c r="R148" s="136"/>
      <c r="S148" s="137"/>
      <c r="T148" s="177"/>
      <c r="U148" s="178"/>
      <c r="V148" s="179"/>
      <c r="W148" s="180"/>
      <c r="X148" s="181"/>
      <c r="Y148" s="182"/>
      <c r="Z148" s="182"/>
      <c r="AA148" s="178"/>
      <c r="AB148" s="178"/>
      <c r="AC148" s="178"/>
      <c r="AD148" s="179"/>
      <c r="AE148" s="183"/>
      <c r="AF148" s="184"/>
      <c r="AG148" s="177"/>
      <c r="AH148" s="185"/>
      <c r="AI148" s="26"/>
      <c r="AJ148" s="186"/>
      <c r="AK148" s="187"/>
      <c r="AL148" s="188"/>
      <c r="AM148" s="189"/>
    </row>
    <row r="149" ht="12.75" customHeight="1">
      <c r="A149" s="26"/>
      <c r="B149" s="190" t="s">
        <v>330</v>
      </c>
      <c r="C149" s="199">
        <v>2.0748378E8</v>
      </c>
      <c r="D149" s="152" t="s">
        <v>331</v>
      </c>
      <c r="E149" s="53" t="s">
        <v>77</v>
      </c>
      <c r="F149" s="154"/>
      <c r="G149" s="53"/>
      <c r="H149" s="53" t="str">
        <f t="shared" ref="H149:H154" si="346">$I$2</f>
        <v>0.00069</v>
      </c>
      <c r="I149" s="53" t="str">
        <f t="shared" ref="I149:I154" si="347">$I$3</f>
        <v>89</v>
      </c>
      <c r="J149" s="53" t="str">
        <f t="shared" ref="J149:J154" si="348">G149*H149*I149*F149</f>
        <v>0</v>
      </c>
      <c r="K149" s="155" t="str">
        <f t="shared" ref="K149:K154" si="349">J149*$J$4</f>
        <v>0.00</v>
      </c>
      <c r="L149" s="156" t="str">
        <f t="shared" ref="L149:L154" si="350">K149+J149</f>
        <v>0.00 </v>
      </c>
      <c r="M149" s="132">
        <v>90.0</v>
      </c>
      <c r="N149" s="325">
        <v>145.57</v>
      </c>
      <c r="O149" s="158">
        <v>601.0</v>
      </c>
      <c r="P149" s="159" t="str">
        <f t="shared" ref="P149:P151" si="351">O149</f>
        <v>601.00</v>
      </c>
      <c r="Q149" s="160">
        <v>515.0</v>
      </c>
      <c r="R149" s="161">
        <v>0.26</v>
      </c>
      <c r="S149" s="162" t="str">
        <f t="shared" ref="S149:S154" si="352">O149-(O149*R149)</f>
        <v>444.74</v>
      </c>
      <c r="T149" s="163" t="str">
        <f t="shared" ref="T149:T154" si="353">$C$1</f>
        <v>20.00</v>
      </c>
      <c r="U149" s="164" t="str">
        <f t="shared" ref="U149:U154" si="354">S149*$C$8</f>
        <v>35.58</v>
      </c>
      <c r="V149" s="165" t="str">
        <f t="shared" ref="V149:V154" si="355">N149*$C$3*(M149/30)</f>
        <v>0.00</v>
      </c>
      <c r="W149" s="166">
        <v>0.29</v>
      </c>
      <c r="X149" s="167" t="str">
        <f t="shared" ref="X149:X154" si="356">((_xlfn.CEILING.MATH(W149)-1)*$C$5+$C$4)</f>
        <v>76</v>
      </c>
      <c r="Y149" s="168" t="str">
        <f t="shared" ref="Y149:Y154" si="357">O149*$Y$6</f>
        <v>165.275</v>
      </c>
      <c r="Z149" s="168" t="str">
        <f t="shared" ref="Z149:Z154" si="358">S149*$Y$7</f>
        <v>9.651</v>
      </c>
      <c r="AA149" s="164" t="str">
        <f t="shared" ref="AA149:AA154" si="359">$Y$3*((100-AB149)/100)</f>
        <v>1.26</v>
      </c>
      <c r="AB149" s="164">
        <v>97.48</v>
      </c>
      <c r="AC149" s="164" t="str">
        <f t="shared" ref="AC149:AC154" si="360">$C$6*$C$7*_xlfn.CEILING.MATH(W149)</f>
        <v>4.80</v>
      </c>
      <c r="AD149" s="165" t="str">
        <f t="shared" ref="AD149:AD154" si="361">O149*$C$2</f>
        <v>30.05</v>
      </c>
      <c r="AE149" s="23"/>
      <c r="AF149" s="169" t="str">
        <f t="shared" ref="AF149:AF154" si="362">(_xlfn.CEILING.MATH(W149))*$Y$1*$AD$2</f>
        <v>10.2</v>
      </c>
      <c r="AG149" s="163" t="str">
        <f t="shared" ref="AG149:AG154" si="363">O149-T149-U149-V149-X149-Y149-Z149-AA149-AC149-AD149-N149</f>
        <v>112.81</v>
      </c>
      <c r="AH149" s="170" t="str">
        <f t="shared" ref="AH149:AH154" si="364">AG149/N149</f>
        <v>77.50%</v>
      </c>
      <c r="AI149" s="26"/>
      <c r="AJ149" s="171" t="str">
        <f t="shared" ref="AJ149:AJ154" si="365">$AD$3</f>
        <v>0.00%</v>
      </c>
      <c r="AK149" s="172" t="str">
        <f t="shared" ref="AK149:AK154" si="366">N149*AJ149</f>
        <v>0.00</v>
      </c>
      <c r="AL149" s="173" t="str">
        <f t="shared" ref="AL149:AL154" si="367">(N149+T149+V149+X149+AA149+AC149+AF149+AK149)/(100%-($C$2+$C$8+$Y$6+$Y$7))</f>
        <v>449.73</v>
      </c>
      <c r="AM149" s="174" t="str">
        <f t="shared" ref="AM149:AM154" si="368">AL149-(AL149*$AD$1)</f>
        <v>319.31</v>
      </c>
    </row>
    <row r="150" ht="12.75" customHeight="1">
      <c r="A150" s="26"/>
      <c r="B150" s="190" t="s">
        <v>332</v>
      </c>
      <c r="C150" s="199">
        <v>2.07482718E8</v>
      </c>
      <c r="D150" s="152" t="s">
        <v>333</v>
      </c>
      <c r="E150" s="53" t="s">
        <v>77</v>
      </c>
      <c r="F150" s="154"/>
      <c r="G150" s="53"/>
      <c r="H150" s="53" t="str">
        <f t="shared" si="346"/>
        <v>0.00069</v>
      </c>
      <c r="I150" s="53" t="str">
        <f t="shared" si="347"/>
        <v>89</v>
      </c>
      <c r="J150" s="53" t="str">
        <f t="shared" si="348"/>
        <v>0</v>
      </c>
      <c r="K150" s="155" t="str">
        <f t="shared" si="349"/>
        <v>0.00</v>
      </c>
      <c r="L150" s="156" t="str">
        <f t="shared" si="350"/>
        <v>0.00 </v>
      </c>
      <c r="M150" s="132">
        <v>90.0</v>
      </c>
      <c r="N150" s="325">
        <v>145.57</v>
      </c>
      <c r="O150" s="158">
        <v>601.0</v>
      </c>
      <c r="P150" s="159" t="str">
        <f t="shared" si="351"/>
        <v>601.00</v>
      </c>
      <c r="Q150" s="160">
        <v>530.0</v>
      </c>
      <c r="R150" s="161">
        <v>0.26</v>
      </c>
      <c r="S150" s="162" t="str">
        <f t="shared" si="352"/>
        <v>444.74</v>
      </c>
      <c r="T150" s="163" t="str">
        <f t="shared" si="353"/>
        <v>20.00</v>
      </c>
      <c r="U150" s="164" t="str">
        <f t="shared" si="354"/>
        <v>35.58</v>
      </c>
      <c r="V150" s="165" t="str">
        <f t="shared" si="355"/>
        <v>0.00</v>
      </c>
      <c r="W150" s="166">
        <v>0.29</v>
      </c>
      <c r="X150" s="167" t="str">
        <f t="shared" si="356"/>
        <v>76</v>
      </c>
      <c r="Y150" s="168" t="str">
        <f t="shared" si="357"/>
        <v>165.275</v>
      </c>
      <c r="Z150" s="168" t="str">
        <f t="shared" si="358"/>
        <v>9.651</v>
      </c>
      <c r="AA150" s="164" t="str">
        <f t="shared" si="359"/>
        <v>1.77</v>
      </c>
      <c r="AB150" s="164">
        <v>96.46</v>
      </c>
      <c r="AC150" s="164" t="str">
        <f t="shared" si="360"/>
        <v>4.80</v>
      </c>
      <c r="AD150" s="165" t="str">
        <f t="shared" si="361"/>
        <v>30.05</v>
      </c>
      <c r="AE150" s="23"/>
      <c r="AF150" s="169" t="str">
        <f t="shared" si="362"/>
        <v>10.2</v>
      </c>
      <c r="AG150" s="163" t="str">
        <f t="shared" si="363"/>
        <v>112.30</v>
      </c>
      <c r="AH150" s="170" t="str">
        <f t="shared" si="364"/>
        <v>77.15%</v>
      </c>
      <c r="AI150" s="26"/>
      <c r="AJ150" s="171" t="str">
        <f t="shared" si="365"/>
        <v>0.00%</v>
      </c>
      <c r="AK150" s="172" t="str">
        <f t="shared" si="366"/>
        <v>0.00</v>
      </c>
      <c r="AL150" s="173" t="str">
        <f t="shared" si="367"/>
        <v>450.62</v>
      </c>
      <c r="AM150" s="174" t="str">
        <f t="shared" si="368"/>
        <v>319.94</v>
      </c>
    </row>
    <row r="151" ht="12.75" customHeight="1">
      <c r="A151" s="26"/>
      <c r="B151" s="190" t="s">
        <v>334</v>
      </c>
      <c r="C151" s="199">
        <v>2.07483179E8</v>
      </c>
      <c r="D151" s="152" t="s">
        <v>335</v>
      </c>
      <c r="E151" s="53" t="s">
        <v>77</v>
      </c>
      <c r="F151" s="154"/>
      <c r="G151" s="53"/>
      <c r="H151" s="53" t="str">
        <f t="shared" si="346"/>
        <v>0.00069</v>
      </c>
      <c r="I151" s="53" t="str">
        <f t="shared" si="347"/>
        <v>89</v>
      </c>
      <c r="J151" s="53" t="str">
        <f t="shared" si="348"/>
        <v>0</v>
      </c>
      <c r="K151" s="155" t="str">
        <f t="shared" si="349"/>
        <v>0.00</v>
      </c>
      <c r="L151" s="156" t="str">
        <f t="shared" si="350"/>
        <v>0.00 </v>
      </c>
      <c r="M151" s="132">
        <v>90.0</v>
      </c>
      <c r="N151" s="325">
        <v>145.57</v>
      </c>
      <c r="O151" s="158">
        <v>601.0</v>
      </c>
      <c r="P151" s="159" t="str">
        <f t="shared" si="351"/>
        <v>601.00</v>
      </c>
      <c r="Q151" s="160">
        <v>600.0</v>
      </c>
      <c r="R151" s="161">
        <v>0.26</v>
      </c>
      <c r="S151" s="162" t="str">
        <f t="shared" si="352"/>
        <v>444.74</v>
      </c>
      <c r="T151" s="163" t="str">
        <f t="shared" si="353"/>
        <v>20.00</v>
      </c>
      <c r="U151" s="164" t="str">
        <f t="shared" si="354"/>
        <v>35.58</v>
      </c>
      <c r="V151" s="165" t="str">
        <f t="shared" si="355"/>
        <v>0.00</v>
      </c>
      <c r="W151" s="166">
        <v>0.45</v>
      </c>
      <c r="X151" s="167" t="str">
        <f t="shared" si="356"/>
        <v>76</v>
      </c>
      <c r="Y151" s="168" t="str">
        <f t="shared" si="357"/>
        <v>165.275</v>
      </c>
      <c r="Z151" s="168" t="str">
        <f t="shared" si="358"/>
        <v>9.651</v>
      </c>
      <c r="AA151" s="164" t="str">
        <f t="shared" si="359"/>
        <v>2.03</v>
      </c>
      <c r="AB151" s="164">
        <v>95.94</v>
      </c>
      <c r="AC151" s="164" t="str">
        <f t="shared" si="360"/>
        <v>4.80</v>
      </c>
      <c r="AD151" s="165" t="str">
        <f t="shared" si="361"/>
        <v>30.05</v>
      </c>
      <c r="AE151" s="23"/>
      <c r="AF151" s="169" t="str">
        <f t="shared" si="362"/>
        <v>10.2</v>
      </c>
      <c r="AG151" s="163" t="str">
        <f t="shared" si="363"/>
        <v>112.04</v>
      </c>
      <c r="AH151" s="170" t="str">
        <f t="shared" si="364"/>
        <v>76.97%</v>
      </c>
      <c r="AI151" s="26"/>
      <c r="AJ151" s="171" t="str">
        <f t="shared" si="365"/>
        <v>0.00%</v>
      </c>
      <c r="AK151" s="172" t="str">
        <f t="shared" si="366"/>
        <v>0.00</v>
      </c>
      <c r="AL151" s="173" t="str">
        <f t="shared" si="367"/>
        <v>451.07</v>
      </c>
      <c r="AM151" s="174" t="str">
        <f t="shared" si="368"/>
        <v>320.26</v>
      </c>
    </row>
    <row r="152" ht="12.75" customHeight="1">
      <c r="A152" s="26"/>
      <c r="B152" s="190" t="s">
        <v>336</v>
      </c>
      <c r="C152" s="192">
        <v>2.12753217E8</v>
      </c>
      <c r="D152" s="190" t="s">
        <v>337</v>
      </c>
      <c r="E152" s="53" t="s">
        <v>77</v>
      </c>
      <c r="F152" s="154"/>
      <c r="G152" s="53"/>
      <c r="H152" s="53" t="str">
        <f t="shared" si="346"/>
        <v>0.00069</v>
      </c>
      <c r="I152" s="53" t="str">
        <f t="shared" si="347"/>
        <v>89</v>
      </c>
      <c r="J152" s="53" t="str">
        <f t="shared" si="348"/>
        <v>0</v>
      </c>
      <c r="K152" s="155" t="str">
        <f t="shared" si="349"/>
        <v>0.00</v>
      </c>
      <c r="L152" s="156" t="str">
        <f t="shared" si="350"/>
        <v>0.00 </v>
      </c>
      <c r="M152" s="132">
        <v>90.0</v>
      </c>
      <c r="N152" s="325" t="str">
        <f t="shared" ref="N152:N154" si="369">L152/F152</f>
        <v>#DIV/0!</v>
      </c>
      <c r="O152" s="158">
        <v>536.1</v>
      </c>
      <c r="P152" s="159" t="str">
        <f t="shared" ref="P152:P154" si="370">AL152</f>
        <v>#DIV/0!</v>
      </c>
      <c r="Q152" s="160"/>
      <c r="R152" s="161">
        <v>0.26</v>
      </c>
      <c r="S152" s="162" t="str">
        <f t="shared" si="352"/>
        <v>396.71</v>
      </c>
      <c r="T152" s="163" t="str">
        <f t="shared" si="353"/>
        <v>20.00</v>
      </c>
      <c r="U152" s="164" t="str">
        <f t="shared" si="354"/>
        <v>31.74</v>
      </c>
      <c r="V152" s="165" t="str">
        <f t="shared" si="355"/>
        <v>#DIV/0!</v>
      </c>
      <c r="W152" s="166">
        <v>0.65</v>
      </c>
      <c r="X152" s="167" t="str">
        <f t="shared" si="356"/>
        <v>76</v>
      </c>
      <c r="Y152" s="168" t="str">
        <f t="shared" si="357"/>
        <v>147.428</v>
      </c>
      <c r="Z152" s="168" t="str">
        <f t="shared" si="358"/>
        <v>8.609</v>
      </c>
      <c r="AA152" s="164" t="str">
        <f t="shared" si="359"/>
        <v>1.46</v>
      </c>
      <c r="AB152" s="164">
        <v>97.09</v>
      </c>
      <c r="AC152" s="164" t="str">
        <f t="shared" si="360"/>
        <v>4.80</v>
      </c>
      <c r="AD152" s="165" t="str">
        <f t="shared" si="361"/>
        <v>26.81</v>
      </c>
      <c r="AE152" s="23"/>
      <c r="AF152" s="169" t="str">
        <f t="shared" si="362"/>
        <v>10.2</v>
      </c>
      <c r="AG152" s="163" t="str">
        <f t="shared" si="363"/>
        <v>#DIV/0!</v>
      </c>
      <c r="AH152" s="170" t="str">
        <f t="shared" si="364"/>
        <v>#DIV/0!</v>
      </c>
      <c r="AI152" s="26"/>
      <c r="AJ152" s="171" t="str">
        <f t="shared" si="365"/>
        <v>0.00%</v>
      </c>
      <c r="AK152" s="172" t="str">
        <f t="shared" si="366"/>
        <v>#DIV/0!</v>
      </c>
      <c r="AL152" s="173" t="str">
        <f t="shared" si="367"/>
        <v>#DIV/0!</v>
      </c>
      <c r="AM152" s="174" t="str">
        <f t="shared" si="368"/>
        <v>#DIV/0!</v>
      </c>
    </row>
    <row r="153" ht="12.75" customHeight="1">
      <c r="A153" s="26"/>
      <c r="B153" s="190" t="s">
        <v>338</v>
      </c>
      <c r="C153" s="192">
        <v>2.12757955E8</v>
      </c>
      <c r="D153" s="152" t="s">
        <v>339</v>
      </c>
      <c r="E153" s="53" t="s">
        <v>77</v>
      </c>
      <c r="F153" s="154"/>
      <c r="G153" s="53"/>
      <c r="H153" s="53" t="str">
        <f t="shared" si="346"/>
        <v>0.00069</v>
      </c>
      <c r="I153" s="53" t="str">
        <f t="shared" si="347"/>
        <v>89</v>
      </c>
      <c r="J153" s="53" t="str">
        <f t="shared" si="348"/>
        <v>0</v>
      </c>
      <c r="K153" s="155" t="str">
        <f t="shared" si="349"/>
        <v>0.00</v>
      </c>
      <c r="L153" s="156" t="str">
        <f t="shared" si="350"/>
        <v>0.00 </v>
      </c>
      <c r="M153" s="132">
        <v>90.0</v>
      </c>
      <c r="N153" s="325" t="str">
        <f t="shared" si="369"/>
        <v>#DIV/0!</v>
      </c>
      <c r="O153" s="158">
        <v>536.1</v>
      </c>
      <c r="P153" s="159" t="str">
        <f t="shared" si="370"/>
        <v>#DIV/0!</v>
      </c>
      <c r="Q153" s="160"/>
      <c r="R153" s="161">
        <v>0.26</v>
      </c>
      <c r="S153" s="162" t="str">
        <f t="shared" si="352"/>
        <v>396.71</v>
      </c>
      <c r="T153" s="163" t="str">
        <f t="shared" si="353"/>
        <v>20.00</v>
      </c>
      <c r="U153" s="164" t="str">
        <f t="shared" si="354"/>
        <v>31.74</v>
      </c>
      <c r="V153" s="165" t="str">
        <f t="shared" si="355"/>
        <v>#DIV/0!</v>
      </c>
      <c r="W153" s="166">
        <v>0.45</v>
      </c>
      <c r="X153" s="167" t="str">
        <f t="shared" si="356"/>
        <v>76</v>
      </c>
      <c r="Y153" s="168" t="str">
        <f t="shared" si="357"/>
        <v>147.428</v>
      </c>
      <c r="Z153" s="168" t="str">
        <f t="shared" si="358"/>
        <v>8.609</v>
      </c>
      <c r="AA153" s="164" t="str">
        <f t="shared" si="359"/>
        <v>2.38</v>
      </c>
      <c r="AB153" s="164">
        <v>95.24</v>
      </c>
      <c r="AC153" s="164" t="str">
        <f t="shared" si="360"/>
        <v>4.80</v>
      </c>
      <c r="AD153" s="165" t="str">
        <f t="shared" si="361"/>
        <v>26.81</v>
      </c>
      <c r="AE153" s="23"/>
      <c r="AF153" s="169" t="str">
        <f t="shared" si="362"/>
        <v>10.2</v>
      </c>
      <c r="AG153" s="163" t="str">
        <f t="shared" si="363"/>
        <v>#DIV/0!</v>
      </c>
      <c r="AH153" s="170" t="str">
        <f t="shared" si="364"/>
        <v>#DIV/0!</v>
      </c>
      <c r="AI153" s="26"/>
      <c r="AJ153" s="171" t="str">
        <f t="shared" si="365"/>
        <v>0.00%</v>
      </c>
      <c r="AK153" s="172" t="str">
        <f t="shared" si="366"/>
        <v>#DIV/0!</v>
      </c>
      <c r="AL153" s="173" t="str">
        <f t="shared" si="367"/>
        <v>#DIV/0!</v>
      </c>
      <c r="AM153" s="174" t="str">
        <f t="shared" si="368"/>
        <v>#DIV/0!</v>
      </c>
    </row>
    <row r="154" ht="12.75" customHeight="1">
      <c r="A154" s="26"/>
      <c r="B154" s="190" t="s">
        <v>340</v>
      </c>
      <c r="C154" s="192">
        <v>2.12759865E8</v>
      </c>
      <c r="D154" s="152" t="s">
        <v>341</v>
      </c>
      <c r="E154" s="53" t="s">
        <v>77</v>
      </c>
      <c r="F154" s="154"/>
      <c r="G154" s="53"/>
      <c r="H154" s="53" t="str">
        <f t="shared" si="346"/>
        <v>0.00069</v>
      </c>
      <c r="I154" s="53" t="str">
        <f t="shared" si="347"/>
        <v>89</v>
      </c>
      <c r="J154" s="53" t="str">
        <f t="shared" si="348"/>
        <v>0</v>
      </c>
      <c r="K154" s="155" t="str">
        <f t="shared" si="349"/>
        <v>0.00</v>
      </c>
      <c r="L154" s="156" t="str">
        <f t="shared" si="350"/>
        <v>0.00 </v>
      </c>
      <c r="M154" s="132">
        <v>90.0</v>
      </c>
      <c r="N154" s="325" t="str">
        <f t="shared" si="369"/>
        <v>#DIV/0!</v>
      </c>
      <c r="O154" s="158">
        <v>536.1</v>
      </c>
      <c r="P154" s="159" t="str">
        <f t="shared" si="370"/>
        <v>#DIV/0!</v>
      </c>
      <c r="Q154" s="160"/>
      <c r="R154" s="161">
        <v>0.26</v>
      </c>
      <c r="S154" s="162" t="str">
        <f t="shared" si="352"/>
        <v>396.71</v>
      </c>
      <c r="T154" s="163" t="str">
        <f t="shared" si="353"/>
        <v>20.00</v>
      </c>
      <c r="U154" s="164" t="str">
        <f t="shared" si="354"/>
        <v>31.74</v>
      </c>
      <c r="V154" s="165" t="str">
        <f t="shared" si="355"/>
        <v>#DIV/0!</v>
      </c>
      <c r="W154" s="166">
        <v>0.45</v>
      </c>
      <c r="X154" s="167" t="str">
        <f t="shared" si="356"/>
        <v>76</v>
      </c>
      <c r="Y154" s="168" t="str">
        <f t="shared" si="357"/>
        <v>147.428</v>
      </c>
      <c r="Z154" s="168" t="str">
        <f t="shared" si="358"/>
        <v>8.609</v>
      </c>
      <c r="AA154" s="164" t="str">
        <f t="shared" si="359"/>
        <v>0.98</v>
      </c>
      <c r="AB154" s="164">
        <v>98.04</v>
      </c>
      <c r="AC154" s="164" t="str">
        <f t="shared" si="360"/>
        <v>4.80</v>
      </c>
      <c r="AD154" s="165" t="str">
        <f t="shared" si="361"/>
        <v>26.81</v>
      </c>
      <c r="AE154" s="23"/>
      <c r="AF154" s="169" t="str">
        <f t="shared" si="362"/>
        <v>10.2</v>
      </c>
      <c r="AG154" s="163" t="str">
        <f t="shared" si="363"/>
        <v>#DIV/0!</v>
      </c>
      <c r="AH154" s="170" t="str">
        <f t="shared" si="364"/>
        <v>#DIV/0!</v>
      </c>
      <c r="AI154" s="26"/>
      <c r="AJ154" s="171" t="str">
        <f t="shared" si="365"/>
        <v>0.00%</v>
      </c>
      <c r="AK154" s="172" t="str">
        <f t="shared" si="366"/>
        <v>#DIV/0!</v>
      </c>
      <c r="AL154" s="173" t="str">
        <f t="shared" si="367"/>
        <v>#DIV/0!</v>
      </c>
      <c r="AM154" s="174" t="str">
        <f t="shared" si="368"/>
        <v>#DIV/0!</v>
      </c>
    </row>
    <row r="155" ht="12.75" customHeight="1">
      <c r="A155" s="26"/>
      <c r="B155" s="125" t="s">
        <v>342</v>
      </c>
      <c r="C155" s="126"/>
      <c r="D155" s="127"/>
      <c r="E155" s="128"/>
      <c r="F155" s="129"/>
      <c r="G155" s="128"/>
      <c r="H155" s="197"/>
      <c r="I155" s="197"/>
      <c r="J155" s="128"/>
      <c r="K155" s="130"/>
      <c r="L155" s="131"/>
      <c r="M155" s="132"/>
      <c r="N155" s="320"/>
      <c r="O155" s="134"/>
      <c r="P155" s="135"/>
      <c r="Q155" s="135"/>
      <c r="R155" s="136"/>
      <c r="S155" s="137"/>
      <c r="T155" s="177"/>
      <c r="U155" s="178"/>
      <c r="V155" s="179"/>
      <c r="W155" s="180"/>
      <c r="X155" s="181"/>
      <c r="Y155" s="182"/>
      <c r="Z155" s="182"/>
      <c r="AA155" s="178"/>
      <c r="AB155" s="178"/>
      <c r="AC155" s="178"/>
      <c r="AD155" s="179"/>
      <c r="AE155" s="183"/>
      <c r="AF155" s="184"/>
      <c r="AG155" s="177"/>
      <c r="AH155" s="185"/>
      <c r="AI155" s="26"/>
      <c r="AJ155" s="186"/>
      <c r="AK155" s="187"/>
      <c r="AL155" s="188"/>
      <c r="AM155" s="189"/>
    </row>
    <row r="156" ht="18.0" customHeight="1">
      <c r="A156" s="26"/>
      <c r="B156" s="190" t="s">
        <v>343</v>
      </c>
      <c r="C156" s="199">
        <v>2.55574453E8</v>
      </c>
      <c r="D156" s="207" t="s">
        <v>344</v>
      </c>
      <c r="E156" s="53" t="s">
        <v>77</v>
      </c>
      <c r="F156" s="154"/>
      <c r="G156" s="53"/>
      <c r="H156" s="53" t="str">
        <f>$I$2</f>
        <v>0.00069</v>
      </c>
      <c r="I156" s="53" t="str">
        <f>$I$3</f>
        <v>89</v>
      </c>
      <c r="J156" s="53" t="str">
        <f>G156*H156*I156*F156</f>
        <v>0</v>
      </c>
      <c r="K156" s="155" t="str">
        <f>J156*$J$4</f>
        <v>0.00</v>
      </c>
      <c r="L156" s="156" t="str">
        <f>K156+J156</f>
        <v>0.00 </v>
      </c>
      <c r="M156" s="132">
        <v>90.0</v>
      </c>
      <c r="N156" s="325">
        <v>156.77</v>
      </c>
      <c r="O156" s="158">
        <v>780.0</v>
      </c>
      <c r="P156" s="159" t="str">
        <f>O156</f>
        <v>780.00</v>
      </c>
      <c r="Q156" s="160">
        <v>1015.0</v>
      </c>
      <c r="R156" s="161">
        <v>0.26</v>
      </c>
      <c r="S156" s="162" t="str">
        <f>O156-(O156*R156)</f>
        <v>577.20</v>
      </c>
      <c r="T156" s="163" t="str">
        <f>$C$1</f>
        <v>20.00</v>
      </c>
      <c r="U156" s="164" t="str">
        <f>S156*$C$8</f>
        <v>46.18</v>
      </c>
      <c r="V156" s="165" t="str">
        <f>N156*$C$3*(M156/30)</f>
        <v>0.00</v>
      </c>
      <c r="W156" s="166">
        <v>1.19</v>
      </c>
      <c r="X156" s="167" t="str">
        <f>((_xlfn.CEILING.MATH(W156)-1)*$C$5+$C$4)</f>
        <v>95</v>
      </c>
      <c r="Y156" s="168" t="str">
        <f>O156*$Y$6</f>
        <v>214.500</v>
      </c>
      <c r="Z156" s="168" t="str">
        <f>S156*$Y$7</f>
        <v>12.525</v>
      </c>
      <c r="AA156" s="164" t="str">
        <f>$Y$3*((100-AB156)/100)</f>
        <v>1.50</v>
      </c>
      <c r="AB156" s="164">
        <v>97.0</v>
      </c>
      <c r="AC156" s="164" t="str">
        <f>$C$6*$C$7*_xlfn.CEILING.MATH(W156)</f>
        <v>9.60</v>
      </c>
      <c r="AD156" s="165" t="str">
        <f>O156*$C$2</f>
        <v>39.00</v>
      </c>
      <c r="AE156" s="23"/>
      <c r="AF156" s="169" t="str">
        <f>(_xlfn.CEILING.MATH(W156))*$Y$1*$AD$2</f>
        <v>20.4</v>
      </c>
      <c r="AG156" s="163" t="str">
        <f>O156-T156-U156-V156-X156-Y156-Z156-AA156-AC156-AD156-N156</f>
        <v>184.93</v>
      </c>
      <c r="AH156" s="170" t="str">
        <f>AG156/N156</f>
        <v>117.96%</v>
      </c>
      <c r="AI156" s="26"/>
      <c r="AJ156" s="171" t="str">
        <f>$AD$3</f>
        <v>0.00%</v>
      </c>
      <c r="AK156" s="172" t="str">
        <f>N156*AJ156</f>
        <v>0.00</v>
      </c>
      <c r="AL156" s="173" t="str">
        <f>(N156+T156+V156+X156+AA156+AC156+AF156+AK156)/(100%-($C$2+$C$8+$Y$6+$Y$7))</f>
        <v>528.99</v>
      </c>
      <c r="AM156" s="174" t="str">
        <f>AL156-(AL156*$AD$1)</f>
        <v>375.58</v>
      </c>
    </row>
    <row r="157" ht="12.75" customHeight="1">
      <c r="A157" s="26"/>
      <c r="B157" s="125" t="s">
        <v>345</v>
      </c>
      <c r="C157" s="126"/>
      <c r="D157" s="127"/>
      <c r="E157" s="128"/>
      <c r="F157" s="129"/>
      <c r="G157" s="128"/>
      <c r="H157" s="197"/>
      <c r="I157" s="197"/>
      <c r="J157" s="128"/>
      <c r="K157" s="130"/>
      <c r="L157" s="131"/>
      <c r="M157" s="132"/>
      <c r="N157" s="320"/>
      <c r="O157" s="134"/>
      <c r="P157" s="135"/>
      <c r="Q157" s="135"/>
      <c r="R157" s="136"/>
      <c r="S157" s="137"/>
      <c r="T157" s="177"/>
      <c r="U157" s="178"/>
      <c r="V157" s="179"/>
      <c r="W157" s="180"/>
      <c r="X157" s="181"/>
      <c r="Y157" s="182"/>
      <c r="Z157" s="182"/>
      <c r="AA157" s="178"/>
      <c r="AB157" s="178"/>
      <c r="AC157" s="178"/>
      <c r="AD157" s="179"/>
      <c r="AE157" s="183"/>
      <c r="AF157" s="184"/>
      <c r="AG157" s="177"/>
      <c r="AH157" s="185"/>
      <c r="AI157" s="26"/>
      <c r="AJ157" s="186"/>
      <c r="AK157" s="187"/>
      <c r="AL157" s="188"/>
      <c r="AM157" s="189"/>
    </row>
    <row r="158" ht="12.75" customHeight="1">
      <c r="A158" s="26"/>
      <c r="B158" s="190" t="s">
        <v>346</v>
      </c>
      <c r="C158" s="199">
        <v>2.1288309E8</v>
      </c>
      <c r="D158" s="152" t="s">
        <v>347</v>
      </c>
      <c r="E158" s="53" t="s">
        <v>77</v>
      </c>
      <c r="F158" s="154"/>
      <c r="G158" s="53"/>
      <c r="H158" s="53" t="str">
        <f t="shared" ref="H158:H162" si="371">$I$2</f>
        <v>0.00069</v>
      </c>
      <c r="I158" s="53" t="str">
        <f t="shared" ref="I158:I162" si="372">$I$3</f>
        <v>89</v>
      </c>
      <c r="J158" s="53" t="str">
        <f t="shared" ref="J158:J162" si="373">G158*H158*I158*F158</f>
        <v>0</v>
      </c>
      <c r="K158" s="155" t="str">
        <f t="shared" ref="K158:K162" si="374">J158*$J$4</f>
        <v>0.00</v>
      </c>
      <c r="L158" s="156" t="str">
        <f t="shared" ref="L158:L162" si="375">K158+J158</f>
        <v>0.00 </v>
      </c>
      <c r="M158" s="132">
        <v>90.0</v>
      </c>
      <c r="N158" s="325">
        <v>138.1</v>
      </c>
      <c r="O158" s="158">
        <v>675.0</v>
      </c>
      <c r="P158" s="159" t="str">
        <f t="shared" ref="P158:P161" si="376">O158</f>
        <v>675.00</v>
      </c>
      <c r="Q158" s="160">
        <v>700.0</v>
      </c>
      <c r="R158" s="161">
        <v>0.26</v>
      </c>
      <c r="S158" s="162" t="str">
        <f t="shared" ref="S158:S162" si="377">O158-(O158*R158)</f>
        <v>499.50</v>
      </c>
      <c r="T158" s="163" t="str">
        <f t="shared" ref="T158:T162" si="378">$C$1</f>
        <v>20.00</v>
      </c>
      <c r="U158" s="164" t="str">
        <f t="shared" ref="U158:U162" si="379">S158*$C$8</f>
        <v>39.96</v>
      </c>
      <c r="V158" s="165" t="str">
        <f t="shared" ref="V158:V162" si="380">N158*$C$3*(M158/30)</f>
        <v>0.00</v>
      </c>
      <c r="W158" s="166">
        <v>0.93</v>
      </c>
      <c r="X158" s="167" t="str">
        <f t="shared" ref="X158:X162" si="381">((_xlfn.CEILING.MATH(W158)-1)*$C$5+$C$4)</f>
        <v>76</v>
      </c>
      <c r="Y158" s="168" t="str">
        <f t="shared" ref="Y158:Y162" si="382">O158*$Y$6</f>
        <v>185.625</v>
      </c>
      <c r="Z158" s="168" t="str">
        <f t="shared" ref="Z158:Z162" si="383">S158*$Y$7</f>
        <v>10.839</v>
      </c>
      <c r="AA158" s="164" t="str">
        <f t="shared" ref="AA158:AA162" si="384">$Y$3*((100-AB158)/100)</f>
        <v>0.00</v>
      </c>
      <c r="AB158" s="164">
        <v>100.0</v>
      </c>
      <c r="AC158" s="164" t="str">
        <f t="shared" ref="AC158:AC162" si="385">$C$6*$C$7*_xlfn.CEILING.MATH(W158)</f>
        <v>4.80</v>
      </c>
      <c r="AD158" s="165" t="str">
        <f t="shared" ref="AD158:AD162" si="386">O158*$C$2</f>
        <v>33.75</v>
      </c>
      <c r="AE158" s="23"/>
      <c r="AF158" s="169" t="str">
        <f t="shared" ref="AF158:AF162" si="387">(_xlfn.CEILING.MATH(W158))*$Y$1*$AD$2</f>
        <v>10.2</v>
      </c>
      <c r="AG158" s="163" t="str">
        <f t="shared" ref="AG158:AG162" si="388">O158-T158-U158-V158-X158-Y158-Z158-AA158-AC158-AD158-N158</f>
        <v>165.93</v>
      </c>
      <c r="AH158" s="170" t="str">
        <f t="shared" ref="AH158:AH162" si="389">AG158/N158</f>
        <v>120.15%</v>
      </c>
      <c r="AI158" s="26"/>
      <c r="AJ158" s="171" t="str">
        <f t="shared" ref="AJ158:AJ162" si="390">$AD$3</f>
        <v>0.00%</v>
      </c>
      <c r="AK158" s="172" t="str">
        <f t="shared" ref="AK158:AK162" si="391">N158*AJ158</f>
        <v>0.00</v>
      </c>
      <c r="AL158" s="173" t="str">
        <f t="shared" ref="AL158:AL162" si="392">(N158+T158+V158+X158+AA158+AC158+AF158+AK158)/(100%-($C$2+$C$8+$Y$6+$Y$7))</f>
        <v>434.50</v>
      </c>
      <c r="AM158" s="174" t="str">
        <f t="shared" ref="AM158:AM162" si="393">AL158-(AL158*$AD$1)</f>
        <v>308.50</v>
      </c>
    </row>
    <row r="159" ht="12.75" customHeight="1">
      <c r="A159" s="26"/>
      <c r="B159" s="190" t="s">
        <v>348</v>
      </c>
      <c r="C159" s="199">
        <v>2.12757456E8</v>
      </c>
      <c r="D159" s="152" t="s">
        <v>349</v>
      </c>
      <c r="E159" s="53" t="s">
        <v>77</v>
      </c>
      <c r="F159" s="154"/>
      <c r="G159" s="53"/>
      <c r="H159" s="53" t="str">
        <f t="shared" si="371"/>
        <v>0.00069</v>
      </c>
      <c r="I159" s="53" t="str">
        <f t="shared" si="372"/>
        <v>89</v>
      </c>
      <c r="J159" s="53" t="str">
        <f t="shared" si="373"/>
        <v>0</v>
      </c>
      <c r="K159" s="155" t="str">
        <f t="shared" si="374"/>
        <v>0.00</v>
      </c>
      <c r="L159" s="156" t="str">
        <f t="shared" si="375"/>
        <v>0.00 </v>
      </c>
      <c r="M159" s="132">
        <v>90.0</v>
      </c>
      <c r="N159" s="325">
        <v>131.12</v>
      </c>
      <c r="O159" s="158">
        <v>619.0</v>
      </c>
      <c r="P159" s="159" t="str">
        <f t="shared" si="376"/>
        <v>619.00</v>
      </c>
      <c r="Q159" s="160">
        <v>623.0</v>
      </c>
      <c r="R159" s="161">
        <v>0.26</v>
      </c>
      <c r="S159" s="162" t="str">
        <f t="shared" si="377"/>
        <v>458.06</v>
      </c>
      <c r="T159" s="163" t="str">
        <f t="shared" si="378"/>
        <v>20.00</v>
      </c>
      <c r="U159" s="164" t="str">
        <f t="shared" si="379"/>
        <v>36.64</v>
      </c>
      <c r="V159" s="165" t="str">
        <f t="shared" si="380"/>
        <v>0.00</v>
      </c>
      <c r="W159" s="166">
        <v>0.93</v>
      </c>
      <c r="X159" s="167" t="str">
        <f t="shared" si="381"/>
        <v>76</v>
      </c>
      <c r="Y159" s="168" t="str">
        <f t="shared" si="382"/>
        <v>170.225</v>
      </c>
      <c r="Z159" s="168" t="str">
        <f t="shared" si="383"/>
        <v>9.940</v>
      </c>
      <c r="AA159" s="164" t="str">
        <f t="shared" si="384"/>
        <v>1.90</v>
      </c>
      <c r="AB159" s="164">
        <v>96.21</v>
      </c>
      <c r="AC159" s="164" t="str">
        <f t="shared" si="385"/>
        <v>4.80</v>
      </c>
      <c r="AD159" s="165" t="str">
        <f t="shared" si="386"/>
        <v>30.95</v>
      </c>
      <c r="AE159" s="23"/>
      <c r="AF159" s="169" t="str">
        <f t="shared" si="387"/>
        <v>10.2</v>
      </c>
      <c r="AG159" s="163" t="str">
        <f t="shared" si="388"/>
        <v>137.43</v>
      </c>
      <c r="AH159" s="170" t="str">
        <f t="shared" si="389"/>
        <v>104.81%</v>
      </c>
      <c r="AI159" s="26"/>
      <c r="AJ159" s="171" t="str">
        <f t="shared" si="390"/>
        <v>0.00%</v>
      </c>
      <c r="AK159" s="172" t="str">
        <f t="shared" si="391"/>
        <v>0.00</v>
      </c>
      <c r="AL159" s="173" t="str">
        <f t="shared" si="392"/>
        <v>425.63</v>
      </c>
      <c r="AM159" s="174" t="str">
        <f t="shared" si="393"/>
        <v>302.20</v>
      </c>
    </row>
    <row r="160" ht="12.75" customHeight="1">
      <c r="A160" s="26"/>
      <c r="B160" s="190" t="s">
        <v>350</v>
      </c>
      <c r="C160" s="199">
        <v>2.12759698E8</v>
      </c>
      <c r="D160" s="152" t="s">
        <v>351</v>
      </c>
      <c r="E160" s="53" t="s">
        <v>77</v>
      </c>
      <c r="F160" s="154"/>
      <c r="G160" s="53"/>
      <c r="H160" s="53" t="str">
        <f t="shared" si="371"/>
        <v>0.00069</v>
      </c>
      <c r="I160" s="53" t="str">
        <f t="shared" si="372"/>
        <v>89</v>
      </c>
      <c r="J160" s="53" t="str">
        <f t="shared" si="373"/>
        <v>0</v>
      </c>
      <c r="K160" s="155" t="str">
        <f t="shared" si="374"/>
        <v>0.00</v>
      </c>
      <c r="L160" s="156" t="str">
        <f t="shared" si="375"/>
        <v>0.00 </v>
      </c>
      <c r="M160" s="132">
        <v>90.0</v>
      </c>
      <c r="N160" s="325">
        <v>138.1</v>
      </c>
      <c r="O160" s="158">
        <v>675.0</v>
      </c>
      <c r="P160" s="159" t="str">
        <f t="shared" si="376"/>
        <v>675.00</v>
      </c>
      <c r="Q160" s="160">
        <v>678.0</v>
      </c>
      <c r="R160" s="161">
        <v>0.26</v>
      </c>
      <c r="S160" s="162" t="str">
        <f t="shared" si="377"/>
        <v>499.50</v>
      </c>
      <c r="T160" s="163" t="str">
        <f t="shared" si="378"/>
        <v>20.00</v>
      </c>
      <c r="U160" s="164" t="str">
        <f t="shared" si="379"/>
        <v>39.96</v>
      </c>
      <c r="V160" s="165" t="str">
        <f t="shared" si="380"/>
        <v>0.00</v>
      </c>
      <c r="W160" s="166">
        <v>0.93</v>
      </c>
      <c r="X160" s="167" t="str">
        <f t="shared" si="381"/>
        <v>76</v>
      </c>
      <c r="Y160" s="168" t="str">
        <f t="shared" si="382"/>
        <v>185.625</v>
      </c>
      <c r="Z160" s="168" t="str">
        <f t="shared" si="383"/>
        <v>10.839</v>
      </c>
      <c r="AA160" s="164" t="str">
        <f t="shared" si="384"/>
        <v>2.71</v>
      </c>
      <c r="AB160" s="164">
        <v>94.59</v>
      </c>
      <c r="AC160" s="164" t="str">
        <f t="shared" si="385"/>
        <v>4.80</v>
      </c>
      <c r="AD160" s="165" t="str">
        <f t="shared" si="386"/>
        <v>33.75</v>
      </c>
      <c r="AE160" s="23"/>
      <c r="AF160" s="169" t="str">
        <f t="shared" si="387"/>
        <v>10.2</v>
      </c>
      <c r="AG160" s="163" t="str">
        <f t="shared" si="388"/>
        <v>163.22</v>
      </c>
      <c r="AH160" s="170" t="str">
        <f t="shared" si="389"/>
        <v>118.19%</v>
      </c>
      <c r="AI160" s="26"/>
      <c r="AJ160" s="171" t="str">
        <f t="shared" si="390"/>
        <v>0.00%</v>
      </c>
      <c r="AK160" s="172" t="str">
        <f t="shared" si="391"/>
        <v>0.00</v>
      </c>
      <c r="AL160" s="173" t="str">
        <f t="shared" si="392"/>
        <v>439.22</v>
      </c>
      <c r="AM160" s="174" t="str">
        <f t="shared" si="393"/>
        <v>311.85</v>
      </c>
    </row>
    <row r="161" ht="12.75" customHeight="1">
      <c r="A161" s="26"/>
      <c r="B161" s="190" t="s">
        <v>352</v>
      </c>
      <c r="C161" s="199">
        <v>2.12760119E8</v>
      </c>
      <c r="D161" s="152" t="s">
        <v>353</v>
      </c>
      <c r="E161" s="53" t="s">
        <v>77</v>
      </c>
      <c r="F161" s="154"/>
      <c r="G161" s="53"/>
      <c r="H161" s="53" t="str">
        <f t="shared" si="371"/>
        <v>0.00069</v>
      </c>
      <c r="I161" s="53" t="str">
        <f t="shared" si="372"/>
        <v>89</v>
      </c>
      <c r="J161" s="53" t="str">
        <f t="shared" si="373"/>
        <v>0</v>
      </c>
      <c r="K161" s="155" t="str">
        <f t="shared" si="374"/>
        <v>0.00</v>
      </c>
      <c r="L161" s="156" t="str">
        <f t="shared" si="375"/>
        <v>0.00 </v>
      </c>
      <c r="M161" s="132">
        <v>90.0</v>
      </c>
      <c r="N161" s="325">
        <v>138.1</v>
      </c>
      <c r="O161" s="158">
        <v>675.0</v>
      </c>
      <c r="P161" s="159" t="str">
        <f t="shared" si="376"/>
        <v>675.00</v>
      </c>
      <c r="Q161" s="160">
        <v>615.0</v>
      </c>
      <c r="R161" s="161">
        <v>0.26</v>
      </c>
      <c r="S161" s="162" t="str">
        <f t="shared" si="377"/>
        <v>499.50</v>
      </c>
      <c r="T161" s="163" t="str">
        <f t="shared" si="378"/>
        <v>20.00</v>
      </c>
      <c r="U161" s="164" t="str">
        <f t="shared" si="379"/>
        <v>39.96</v>
      </c>
      <c r="V161" s="165" t="str">
        <f t="shared" si="380"/>
        <v>0.00</v>
      </c>
      <c r="W161" s="166">
        <v>0.93</v>
      </c>
      <c r="X161" s="167" t="str">
        <f t="shared" si="381"/>
        <v>76</v>
      </c>
      <c r="Y161" s="168" t="str">
        <f t="shared" si="382"/>
        <v>185.625</v>
      </c>
      <c r="Z161" s="168" t="str">
        <f t="shared" si="383"/>
        <v>10.839</v>
      </c>
      <c r="AA161" s="164" t="str">
        <f t="shared" si="384"/>
        <v>1.01</v>
      </c>
      <c r="AB161" s="164">
        <v>97.98</v>
      </c>
      <c r="AC161" s="164" t="str">
        <f t="shared" si="385"/>
        <v>4.80</v>
      </c>
      <c r="AD161" s="165" t="str">
        <f t="shared" si="386"/>
        <v>33.75</v>
      </c>
      <c r="AE161" s="23"/>
      <c r="AF161" s="169" t="str">
        <f t="shared" si="387"/>
        <v>10.2</v>
      </c>
      <c r="AG161" s="163" t="str">
        <f t="shared" si="388"/>
        <v>164.92</v>
      </c>
      <c r="AH161" s="170" t="str">
        <f t="shared" si="389"/>
        <v>119.42%</v>
      </c>
      <c r="AI161" s="26"/>
      <c r="AJ161" s="171" t="str">
        <f t="shared" si="390"/>
        <v>0.00%</v>
      </c>
      <c r="AK161" s="172" t="str">
        <f t="shared" si="391"/>
        <v>0.00</v>
      </c>
      <c r="AL161" s="173" t="str">
        <f t="shared" si="392"/>
        <v>436.26</v>
      </c>
      <c r="AM161" s="174" t="str">
        <f t="shared" si="393"/>
        <v>309.75</v>
      </c>
    </row>
    <row r="162" ht="12.75" customHeight="1">
      <c r="A162" s="26"/>
      <c r="B162" s="190" t="s">
        <v>354</v>
      </c>
      <c r="C162" s="208">
        <v>2.12759049E8</v>
      </c>
      <c r="D162" s="152" t="s">
        <v>355</v>
      </c>
      <c r="E162" s="53" t="s">
        <v>77</v>
      </c>
      <c r="F162" s="154"/>
      <c r="G162" s="53"/>
      <c r="H162" s="53" t="str">
        <f t="shared" si="371"/>
        <v>0.00069</v>
      </c>
      <c r="I162" s="53" t="str">
        <f t="shared" si="372"/>
        <v>89</v>
      </c>
      <c r="J162" s="53" t="str">
        <f t="shared" si="373"/>
        <v>0</v>
      </c>
      <c r="K162" s="155" t="str">
        <f t="shared" si="374"/>
        <v>0.00</v>
      </c>
      <c r="L162" s="156" t="str">
        <f t="shared" si="375"/>
        <v>0.00 </v>
      </c>
      <c r="M162" s="132">
        <v>90.0</v>
      </c>
      <c r="N162" s="325" t="str">
        <f>L162/F162</f>
        <v>#DIV/0!</v>
      </c>
      <c r="O162" s="158">
        <v>555.6</v>
      </c>
      <c r="P162" s="159" t="str">
        <f>AL162</f>
        <v>#DIV/0!</v>
      </c>
      <c r="Q162" s="160"/>
      <c r="R162" s="161">
        <v>0.26</v>
      </c>
      <c r="S162" s="162" t="str">
        <f t="shared" si="377"/>
        <v>411.14</v>
      </c>
      <c r="T162" s="163" t="str">
        <f t="shared" si="378"/>
        <v>20.00</v>
      </c>
      <c r="U162" s="164" t="str">
        <f t="shared" si="379"/>
        <v>32.89</v>
      </c>
      <c r="V162" s="165" t="str">
        <f t="shared" si="380"/>
        <v>#DIV/0!</v>
      </c>
      <c r="W162" s="166">
        <v>0.93</v>
      </c>
      <c r="X162" s="167" t="str">
        <f t="shared" si="381"/>
        <v>76</v>
      </c>
      <c r="Y162" s="168" t="str">
        <f t="shared" si="382"/>
        <v>152.790</v>
      </c>
      <c r="Z162" s="168" t="str">
        <f t="shared" si="383"/>
        <v>8.922</v>
      </c>
      <c r="AA162" s="164" t="str">
        <f t="shared" si="384"/>
        <v>2.32</v>
      </c>
      <c r="AB162" s="164">
        <v>95.37</v>
      </c>
      <c r="AC162" s="164" t="str">
        <f t="shared" si="385"/>
        <v>4.80</v>
      </c>
      <c r="AD162" s="165" t="str">
        <f t="shared" si="386"/>
        <v>27.78</v>
      </c>
      <c r="AE162" s="23"/>
      <c r="AF162" s="169" t="str">
        <f t="shared" si="387"/>
        <v>10.2</v>
      </c>
      <c r="AG162" s="163" t="str">
        <f t="shared" si="388"/>
        <v>#DIV/0!</v>
      </c>
      <c r="AH162" s="170" t="str">
        <f t="shared" si="389"/>
        <v>#DIV/0!</v>
      </c>
      <c r="AI162" s="26"/>
      <c r="AJ162" s="171" t="str">
        <f t="shared" si="390"/>
        <v>0.00%</v>
      </c>
      <c r="AK162" s="172" t="str">
        <f t="shared" si="391"/>
        <v>#DIV/0!</v>
      </c>
      <c r="AL162" s="173" t="str">
        <f t="shared" si="392"/>
        <v>#DIV/0!</v>
      </c>
      <c r="AM162" s="174" t="str">
        <f t="shared" si="393"/>
        <v>#DIV/0!</v>
      </c>
    </row>
    <row r="163" ht="12.75" customHeight="1">
      <c r="A163" s="26"/>
      <c r="B163" s="125" t="s">
        <v>356</v>
      </c>
      <c r="C163" s="126"/>
      <c r="D163" s="127"/>
      <c r="E163" s="128"/>
      <c r="F163" s="129"/>
      <c r="G163" s="128"/>
      <c r="H163" s="197"/>
      <c r="I163" s="197"/>
      <c r="J163" s="128"/>
      <c r="K163" s="130"/>
      <c r="L163" s="131"/>
      <c r="M163" s="132"/>
      <c r="N163" s="320"/>
      <c r="O163" s="134"/>
      <c r="P163" s="135"/>
      <c r="Q163" s="135"/>
      <c r="R163" s="136"/>
      <c r="S163" s="137"/>
      <c r="T163" s="177"/>
      <c r="U163" s="178"/>
      <c r="V163" s="179"/>
      <c r="W163" s="180"/>
      <c r="X163" s="181"/>
      <c r="Y163" s="182"/>
      <c r="Z163" s="182"/>
      <c r="AA163" s="178"/>
      <c r="AB163" s="178"/>
      <c r="AC163" s="178"/>
      <c r="AD163" s="179"/>
      <c r="AE163" s="183"/>
      <c r="AF163" s="184"/>
      <c r="AG163" s="177"/>
      <c r="AH163" s="185"/>
      <c r="AI163" s="26"/>
      <c r="AJ163" s="186"/>
      <c r="AK163" s="187"/>
      <c r="AL163" s="188"/>
      <c r="AM163" s="189"/>
    </row>
    <row r="164" ht="12.75" customHeight="1">
      <c r="A164" s="26"/>
      <c r="B164" s="190" t="s">
        <v>357</v>
      </c>
      <c r="C164" s="199">
        <v>2.1271782E8</v>
      </c>
      <c r="D164" s="152" t="s">
        <v>358</v>
      </c>
      <c r="E164" s="53" t="s">
        <v>77</v>
      </c>
      <c r="F164" s="154"/>
      <c r="G164" s="53"/>
      <c r="H164" s="53" t="str">
        <f t="shared" ref="H164:H169" si="394">$I$2</f>
        <v>0.00069</v>
      </c>
      <c r="I164" s="53" t="str">
        <f t="shared" ref="I164:I169" si="395">$I$3</f>
        <v>89</v>
      </c>
      <c r="J164" s="53" t="str">
        <f t="shared" ref="J164:J169" si="396">G164*H164*I164*F164</f>
        <v>0</v>
      </c>
      <c r="K164" s="155" t="str">
        <f t="shared" ref="K164:K169" si="397">J164*$J$4</f>
        <v>0.00</v>
      </c>
      <c r="L164" s="156" t="str">
        <f t="shared" ref="L164:L169" si="398">K164+J164</f>
        <v>0.00 </v>
      </c>
      <c r="M164" s="132">
        <v>90.0</v>
      </c>
      <c r="N164" s="325">
        <v>427.75</v>
      </c>
      <c r="O164" s="158">
        <v>1311.0</v>
      </c>
      <c r="P164" s="159" t="str">
        <f t="shared" ref="P164:P166" si="399">O164</f>
        <v>1,311.00</v>
      </c>
      <c r="Q164" s="160">
        <v>1538.5</v>
      </c>
      <c r="R164" s="161">
        <v>0.26</v>
      </c>
      <c r="S164" s="162" t="str">
        <f t="shared" ref="S164:S169" si="400">O164-(O164*R164)</f>
        <v>970.14</v>
      </c>
      <c r="T164" s="163" t="str">
        <f t="shared" ref="T164:T169" si="401">$C$1</f>
        <v>20.00</v>
      </c>
      <c r="U164" s="164" t="str">
        <f t="shared" ref="U164:U169" si="402">S164*$C$8</f>
        <v>77.61</v>
      </c>
      <c r="V164" s="165" t="str">
        <f t="shared" ref="V164:V169" si="403">N164*$C$3*(M164/30)</f>
        <v>0.00</v>
      </c>
      <c r="W164" s="166">
        <v>0.23</v>
      </c>
      <c r="X164" s="167" t="str">
        <f t="shared" ref="X164:X169" si="404">((_xlfn.CEILING.MATH(W164)-1)*$C$5+$C$4)</f>
        <v>76</v>
      </c>
      <c r="Y164" s="168" t="str">
        <f t="shared" ref="Y164:Y169" si="405">O164*$Y$6</f>
        <v>360.525</v>
      </c>
      <c r="Z164" s="168" t="str">
        <f t="shared" ref="Z164:Z169" si="406">S164*$Y$7</f>
        <v>21.052</v>
      </c>
      <c r="AA164" s="164" t="str">
        <f t="shared" ref="AA164:AA169" si="407">$Y$3*((100-AB164)/100)</f>
        <v>3.71</v>
      </c>
      <c r="AB164" s="164">
        <v>92.59</v>
      </c>
      <c r="AC164" s="164" t="str">
        <f t="shared" ref="AC164:AC169" si="408">$C$6*$C$7*_xlfn.CEILING.MATH(W164)</f>
        <v>4.80</v>
      </c>
      <c r="AD164" s="165" t="str">
        <f t="shared" ref="AD164:AD169" si="409">O164*$C$2</f>
        <v>65.55</v>
      </c>
      <c r="AE164" s="23"/>
      <c r="AF164" s="169" t="str">
        <f t="shared" ref="AF164:AF169" si="410">(_xlfn.CEILING.MATH(W164))*$Y$1*$AD$2</f>
        <v>10.2</v>
      </c>
      <c r="AG164" s="163" t="str">
        <f t="shared" ref="AG164:AG169" si="411">O164-T164-U164-V164-X164-Y164-Z164-AA164-AC164-AD164-N164</f>
        <v>254.01</v>
      </c>
      <c r="AH164" s="170" t="str">
        <f t="shared" ref="AH164:AH169" si="412">AG164/N164</f>
        <v>59.38%</v>
      </c>
      <c r="AI164" s="26"/>
      <c r="AJ164" s="171" t="str">
        <f t="shared" ref="AJ164:AJ169" si="413">$AD$3</f>
        <v>0.00%</v>
      </c>
      <c r="AK164" s="172" t="str">
        <f t="shared" ref="AK164:AK169" si="414">N164*AJ164</f>
        <v>0.00</v>
      </c>
      <c r="AL164" s="173" t="str">
        <f t="shared" ref="AL164:AL169" si="415">(N164+T164+V164+X164+AA164+AC164+AF164+AK164)/(100%-($C$2+$C$8+$Y$6+$Y$7))</f>
        <v>946.20</v>
      </c>
      <c r="AM164" s="174" t="str">
        <f t="shared" ref="AM164:AM169" si="416">AL164-(AL164*$AD$1)</f>
        <v>671.80</v>
      </c>
    </row>
    <row r="165" ht="12.75" customHeight="1">
      <c r="A165" s="26"/>
      <c r="B165" s="190" t="s">
        <v>359</v>
      </c>
      <c r="C165" s="199">
        <v>2.12713617E8</v>
      </c>
      <c r="D165" s="152" t="s">
        <v>360</v>
      </c>
      <c r="E165" s="53" t="s">
        <v>77</v>
      </c>
      <c r="F165" s="154"/>
      <c r="G165" s="53"/>
      <c r="H165" s="53" t="str">
        <f t="shared" si="394"/>
        <v>0.00069</v>
      </c>
      <c r="I165" s="53" t="str">
        <f t="shared" si="395"/>
        <v>89</v>
      </c>
      <c r="J165" s="53" t="str">
        <f t="shared" si="396"/>
        <v>0</v>
      </c>
      <c r="K165" s="155" t="str">
        <f t="shared" si="397"/>
        <v>0.00</v>
      </c>
      <c r="L165" s="156" t="str">
        <f t="shared" si="398"/>
        <v>0.00 </v>
      </c>
      <c r="M165" s="132">
        <v>90.0</v>
      </c>
      <c r="N165" s="325">
        <v>376.24</v>
      </c>
      <c r="O165" s="158">
        <v>1177.5</v>
      </c>
      <c r="P165" s="159" t="str">
        <f t="shared" si="399"/>
        <v>1,177.50</v>
      </c>
      <c r="Q165" s="160">
        <v>1248.5</v>
      </c>
      <c r="R165" s="161">
        <v>0.26</v>
      </c>
      <c r="S165" s="162" t="str">
        <f t="shared" si="400"/>
        <v>871.35</v>
      </c>
      <c r="T165" s="163" t="str">
        <f t="shared" si="401"/>
        <v>20.00</v>
      </c>
      <c r="U165" s="164" t="str">
        <f t="shared" si="402"/>
        <v>69.71</v>
      </c>
      <c r="V165" s="165" t="str">
        <f t="shared" si="403"/>
        <v>0.00</v>
      </c>
      <c r="W165" s="166">
        <v>0.23</v>
      </c>
      <c r="X165" s="167" t="str">
        <f t="shared" si="404"/>
        <v>76</v>
      </c>
      <c r="Y165" s="168" t="str">
        <f t="shared" si="405"/>
        <v>323.813</v>
      </c>
      <c r="Z165" s="168" t="str">
        <f t="shared" si="406"/>
        <v>18.908</v>
      </c>
      <c r="AA165" s="164" t="str">
        <f t="shared" si="407"/>
        <v>0.96</v>
      </c>
      <c r="AB165" s="164">
        <v>98.08</v>
      </c>
      <c r="AC165" s="164" t="str">
        <f t="shared" si="408"/>
        <v>4.80</v>
      </c>
      <c r="AD165" s="165" t="str">
        <f t="shared" si="409"/>
        <v>58.88</v>
      </c>
      <c r="AE165" s="23"/>
      <c r="AF165" s="169" t="str">
        <f t="shared" si="410"/>
        <v>10.2</v>
      </c>
      <c r="AG165" s="163" t="str">
        <f t="shared" si="411"/>
        <v>228.20</v>
      </c>
      <c r="AH165" s="170" t="str">
        <f t="shared" si="412"/>
        <v>60.65%</v>
      </c>
      <c r="AI165" s="26"/>
      <c r="AJ165" s="171" t="str">
        <f t="shared" si="413"/>
        <v>0.00%</v>
      </c>
      <c r="AK165" s="172" t="str">
        <f t="shared" si="414"/>
        <v>0.00</v>
      </c>
      <c r="AL165" s="173" t="str">
        <f t="shared" si="415"/>
        <v>851.56</v>
      </c>
      <c r="AM165" s="174" t="str">
        <f t="shared" si="416"/>
        <v>604.61</v>
      </c>
    </row>
    <row r="166" ht="12.75" customHeight="1">
      <c r="A166" s="26"/>
      <c r="B166" s="190" t="s">
        <v>361</v>
      </c>
      <c r="C166" s="199">
        <v>2.12713941E8</v>
      </c>
      <c r="D166" s="152" t="s">
        <v>362</v>
      </c>
      <c r="E166" s="53" t="s">
        <v>77</v>
      </c>
      <c r="F166" s="154"/>
      <c r="G166" s="53"/>
      <c r="H166" s="53" t="str">
        <f t="shared" si="394"/>
        <v>0.00069</v>
      </c>
      <c r="I166" s="53" t="str">
        <f t="shared" si="395"/>
        <v>89</v>
      </c>
      <c r="J166" s="53" t="str">
        <f t="shared" si="396"/>
        <v>0</v>
      </c>
      <c r="K166" s="155" t="str">
        <f t="shared" si="397"/>
        <v>0.00</v>
      </c>
      <c r="L166" s="156" t="str">
        <f t="shared" si="398"/>
        <v>0.00 </v>
      </c>
      <c r="M166" s="132">
        <v>90.0</v>
      </c>
      <c r="N166" s="325">
        <v>376.24</v>
      </c>
      <c r="O166" s="158">
        <v>1179.0</v>
      </c>
      <c r="P166" s="159" t="str">
        <f t="shared" si="399"/>
        <v>1,179.00</v>
      </c>
      <c r="Q166" s="160">
        <v>1429.33</v>
      </c>
      <c r="R166" s="161">
        <v>0.26</v>
      </c>
      <c r="S166" s="162" t="str">
        <f t="shared" si="400"/>
        <v>872.46</v>
      </c>
      <c r="T166" s="163" t="str">
        <f t="shared" si="401"/>
        <v>20.00</v>
      </c>
      <c r="U166" s="164" t="str">
        <f t="shared" si="402"/>
        <v>69.80</v>
      </c>
      <c r="V166" s="165" t="str">
        <f t="shared" si="403"/>
        <v>0.00</v>
      </c>
      <c r="W166" s="166">
        <v>0.23</v>
      </c>
      <c r="X166" s="167" t="str">
        <f t="shared" si="404"/>
        <v>76</v>
      </c>
      <c r="Y166" s="168" t="str">
        <f t="shared" si="405"/>
        <v>324.225</v>
      </c>
      <c r="Z166" s="168" t="str">
        <f t="shared" si="406"/>
        <v>18.932</v>
      </c>
      <c r="AA166" s="164" t="str">
        <f t="shared" si="407"/>
        <v>2.18</v>
      </c>
      <c r="AB166" s="164">
        <v>95.65</v>
      </c>
      <c r="AC166" s="164" t="str">
        <f t="shared" si="408"/>
        <v>4.80</v>
      </c>
      <c r="AD166" s="165" t="str">
        <f t="shared" si="409"/>
        <v>58.95</v>
      </c>
      <c r="AE166" s="23"/>
      <c r="AF166" s="169" t="str">
        <f t="shared" si="410"/>
        <v>10.2</v>
      </c>
      <c r="AG166" s="163" t="str">
        <f t="shared" si="411"/>
        <v>227.88</v>
      </c>
      <c r="AH166" s="170" t="str">
        <f t="shared" si="412"/>
        <v>60.57%</v>
      </c>
      <c r="AI166" s="26"/>
      <c r="AJ166" s="171" t="str">
        <f t="shared" si="413"/>
        <v>0.00%</v>
      </c>
      <c r="AK166" s="172" t="str">
        <f t="shared" si="414"/>
        <v>0.00</v>
      </c>
      <c r="AL166" s="173" t="str">
        <f t="shared" si="415"/>
        <v>853.68</v>
      </c>
      <c r="AM166" s="174" t="str">
        <f t="shared" si="416"/>
        <v>606.11</v>
      </c>
    </row>
    <row r="167" ht="12.75" customHeight="1">
      <c r="A167" s="26"/>
      <c r="B167" s="190" t="s">
        <v>363</v>
      </c>
      <c r="C167" s="192">
        <v>2.12714292E8</v>
      </c>
      <c r="D167" s="152" t="s">
        <v>364</v>
      </c>
      <c r="E167" s="53" t="s">
        <v>77</v>
      </c>
      <c r="F167" s="154"/>
      <c r="G167" s="53"/>
      <c r="H167" s="53" t="str">
        <f t="shared" si="394"/>
        <v>0.00069</v>
      </c>
      <c r="I167" s="53" t="str">
        <f t="shared" si="395"/>
        <v>89</v>
      </c>
      <c r="J167" s="53" t="str">
        <f t="shared" si="396"/>
        <v>0</v>
      </c>
      <c r="K167" s="155" t="str">
        <f t="shared" si="397"/>
        <v>0.00</v>
      </c>
      <c r="L167" s="156" t="str">
        <f t="shared" si="398"/>
        <v>0.00 </v>
      </c>
      <c r="M167" s="132">
        <v>90.0</v>
      </c>
      <c r="N167" s="325" t="str">
        <f t="shared" ref="N167:N169" si="417">L167/F167</f>
        <v>#DIV/0!</v>
      </c>
      <c r="O167" s="158">
        <v>1052.1</v>
      </c>
      <c r="P167" s="159" t="str">
        <f t="shared" ref="P167:P169" si="418">AL167</f>
        <v>#DIV/0!</v>
      </c>
      <c r="Q167" s="160"/>
      <c r="R167" s="161">
        <v>0.26</v>
      </c>
      <c r="S167" s="162" t="str">
        <f t="shared" si="400"/>
        <v>778.55</v>
      </c>
      <c r="T167" s="163" t="str">
        <f t="shared" si="401"/>
        <v>20.00</v>
      </c>
      <c r="U167" s="164" t="str">
        <f t="shared" si="402"/>
        <v>62.28</v>
      </c>
      <c r="V167" s="165" t="str">
        <f t="shared" si="403"/>
        <v>#DIV/0!</v>
      </c>
      <c r="W167" s="166">
        <v>0.23</v>
      </c>
      <c r="X167" s="167" t="str">
        <f t="shared" si="404"/>
        <v>76</v>
      </c>
      <c r="Y167" s="168" t="str">
        <f t="shared" si="405"/>
        <v>289.328</v>
      </c>
      <c r="Z167" s="168" t="str">
        <f t="shared" si="406"/>
        <v>16.895</v>
      </c>
      <c r="AA167" s="164" t="str">
        <f t="shared" si="407"/>
        <v>1.85</v>
      </c>
      <c r="AB167" s="164">
        <v>96.3</v>
      </c>
      <c r="AC167" s="164" t="str">
        <f t="shared" si="408"/>
        <v>4.80</v>
      </c>
      <c r="AD167" s="165" t="str">
        <f t="shared" si="409"/>
        <v>52.61</v>
      </c>
      <c r="AE167" s="23"/>
      <c r="AF167" s="169" t="str">
        <f t="shared" si="410"/>
        <v>10.2</v>
      </c>
      <c r="AG167" s="163" t="str">
        <f t="shared" si="411"/>
        <v>#DIV/0!</v>
      </c>
      <c r="AH167" s="170" t="str">
        <f t="shared" si="412"/>
        <v>#DIV/0!</v>
      </c>
      <c r="AI167" s="26"/>
      <c r="AJ167" s="171" t="str">
        <f t="shared" si="413"/>
        <v>0.00%</v>
      </c>
      <c r="AK167" s="172" t="str">
        <f t="shared" si="414"/>
        <v>#DIV/0!</v>
      </c>
      <c r="AL167" s="173" t="str">
        <f t="shared" si="415"/>
        <v>#DIV/0!</v>
      </c>
      <c r="AM167" s="174" t="str">
        <f t="shared" si="416"/>
        <v>#DIV/0!</v>
      </c>
    </row>
    <row r="168" ht="12.75" customHeight="1">
      <c r="A168" s="26"/>
      <c r="B168" s="190" t="s">
        <v>365</v>
      </c>
      <c r="C168" s="192">
        <v>2.12715047E8</v>
      </c>
      <c r="D168" s="152" t="s">
        <v>366</v>
      </c>
      <c r="E168" s="53" t="s">
        <v>77</v>
      </c>
      <c r="F168" s="154"/>
      <c r="G168" s="53"/>
      <c r="H168" s="53" t="str">
        <f t="shared" si="394"/>
        <v>0.00069</v>
      </c>
      <c r="I168" s="53" t="str">
        <f t="shared" si="395"/>
        <v>89</v>
      </c>
      <c r="J168" s="53" t="str">
        <f t="shared" si="396"/>
        <v>0</v>
      </c>
      <c r="K168" s="155" t="str">
        <f t="shared" si="397"/>
        <v>0.00</v>
      </c>
      <c r="L168" s="156" t="str">
        <f t="shared" si="398"/>
        <v>0.00 </v>
      </c>
      <c r="M168" s="132">
        <v>90.0</v>
      </c>
      <c r="N168" s="325" t="str">
        <f t="shared" si="417"/>
        <v>#DIV/0!</v>
      </c>
      <c r="O168" s="158">
        <v>1060.8</v>
      </c>
      <c r="P168" s="159" t="str">
        <f t="shared" si="418"/>
        <v>#DIV/0!</v>
      </c>
      <c r="Q168" s="160"/>
      <c r="R168" s="161">
        <v>0.26</v>
      </c>
      <c r="S168" s="162" t="str">
        <f t="shared" si="400"/>
        <v>784.99</v>
      </c>
      <c r="T168" s="163" t="str">
        <f t="shared" si="401"/>
        <v>20.00</v>
      </c>
      <c r="U168" s="164" t="str">
        <f t="shared" si="402"/>
        <v>62.80</v>
      </c>
      <c r="V168" s="165" t="str">
        <f t="shared" si="403"/>
        <v>#DIV/0!</v>
      </c>
      <c r="W168" s="166">
        <v>0.23</v>
      </c>
      <c r="X168" s="167" t="str">
        <f t="shared" si="404"/>
        <v>76</v>
      </c>
      <c r="Y168" s="168" t="str">
        <f t="shared" si="405"/>
        <v>291.720</v>
      </c>
      <c r="Z168" s="168" t="str">
        <f t="shared" si="406"/>
        <v>17.034</v>
      </c>
      <c r="AA168" s="164" t="str">
        <f t="shared" si="407"/>
        <v>1.93</v>
      </c>
      <c r="AB168" s="164">
        <v>96.15</v>
      </c>
      <c r="AC168" s="164" t="str">
        <f t="shared" si="408"/>
        <v>4.80</v>
      </c>
      <c r="AD168" s="165" t="str">
        <f t="shared" si="409"/>
        <v>53.04</v>
      </c>
      <c r="AE168" s="23"/>
      <c r="AF168" s="169" t="str">
        <f t="shared" si="410"/>
        <v>10.2</v>
      </c>
      <c r="AG168" s="163" t="str">
        <f t="shared" si="411"/>
        <v>#DIV/0!</v>
      </c>
      <c r="AH168" s="170" t="str">
        <f t="shared" si="412"/>
        <v>#DIV/0!</v>
      </c>
      <c r="AI168" s="26"/>
      <c r="AJ168" s="171" t="str">
        <f t="shared" si="413"/>
        <v>0.00%</v>
      </c>
      <c r="AK168" s="172" t="str">
        <f t="shared" si="414"/>
        <v>#DIV/0!</v>
      </c>
      <c r="AL168" s="173" t="str">
        <f t="shared" si="415"/>
        <v>#DIV/0!</v>
      </c>
      <c r="AM168" s="174" t="str">
        <f t="shared" si="416"/>
        <v>#DIV/0!</v>
      </c>
    </row>
    <row r="169" ht="12.75" customHeight="1">
      <c r="A169" s="26"/>
      <c r="B169" s="190" t="s">
        <v>367</v>
      </c>
      <c r="C169" s="192">
        <v>2.12718108E8</v>
      </c>
      <c r="D169" s="152" t="s">
        <v>368</v>
      </c>
      <c r="E169" s="53" t="s">
        <v>77</v>
      </c>
      <c r="F169" s="154"/>
      <c r="G169" s="53"/>
      <c r="H169" s="53" t="str">
        <f t="shared" si="394"/>
        <v>0.00069</v>
      </c>
      <c r="I169" s="53" t="str">
        <f t="shared" si="395"/>
        <v>89</v>
      </c>
      <c r="J169" s="53" t="str">
        <f t="shared" si="396"/>
        <v>0</v>
      </c>
      <c r="K169" s="155" t="str">
        <f t="shared" si="397"/>
        <v>0.00</v>
      </c>
      <c r="L169" s="156" t="str">
        <f t="shared" si="398"/>
        <v>0.00 </v>
      </c>
      <c r="M169" s="132">
        <v>90.0</v>
      </c>
      <c r="N169" s="325" t="str">
        <f t="shared" si="417"/>
        <v>#DIV/0!</v>
      </c>
      <c r="O169" s="158">
        <v>1067.7</v>
      </c>
      <c r="P169" s="159" t="str">
        <f t="shared" si="418"/>
        <v>#DIV/0!</v>
      </c>
      <c r="Q169" s="160"/>
      <c r="R169" s="161">
        <v>0.26</v>
      </c>
      <c r="S169" s="162" t="str">
        <f t="shared" si="400"/>
        <v>790.10</v>
      </c>
      <c r="T169" s="163" t="str">
        <f t="shared" si="401"/>
        <v>20.00</v>
      </c>
      <c r="U169" s="164" t="str">
        <f t="shared" si="402"/>
        <v>63.21</v>
      </c>
      <c r="V169" s="165" t="str">
        <f t="shared" si="403"/>
        <v>#DIV/0!</v>
      </c>
      <c r="W169" s="166">
        <v>0.23</v>
      </c>
      <c r="X169" s="167" t="str">
        <f t="shared" si="404"/>
        <v>76</v>
      </c>
      <c r="Y169" s="168" t="str">
        <f t="shared" si="405"/>
        <v>293.618</v>
      </c>
      <c r="Z169" s="168" t="str">
        <f t="shared" si="406"/>
        <v>17.145</v>
      </c>
      <c r="AA169" s="164" t="str">
        <f t="shared" si="407"/>
        <v>1.14</v>
      </c>
      <c r="AB169" s="164">
        <v>97.73</v>
      </c>
      <c r="AC169" s="164" t="str">
        <f t="shared" si="408"/>
        <v>4.80</v>
      </c>
      <c r="AD169" s="165" t="str">
        <f t="shared" si="409"/>
        <v>53.39</v>
      </c>
      <c r="AE169" s="23"/>
      <c r="AF169" s="169" t="str">
        <f t="shared" si="410"/>
        <v>10.2</v>
      </c>
      <c r="AG169" s="163" t="str">
        <f t="shared" si="411"/>
        <v>#DIV/0!</v>
      </c>
      <c r="AH169" s="170" t="str">
        <f t="shared" si="412"/>
        <v>#DIV/0!</v>
      </c>
      <c r="AI169" s="26"/>
      <c r="AJ169" s="171" t="str">
        <f t="shared" si="413"/>
        <v>0.00%</v>
      </c>
      <c r="AK169" s="172" t="str">
        <f t="shared" si="414"/>
        <v>#DIV/0!</v>
      </c>
      <c r="AL169" s="173" t="str">
        <f t="shared" si="415"/>
        <v>#DIV/0!</v>
      </c>
      <c r="AM169" s="174" t="str">
        <f t="shared" si="416"/>
        <v>#DIV/0!</v>
      </c>
    </row>
    <row r="170" ht="12.75" customHeight="1">
      <c r="A170" s="26"/>
      <c r="B170" s="125" t="s">
        <v>369</v>
      </c>
      <c r="C170" s="126"/>
      <c r="D170" s="209"/>
      <c r="E170" s="128"/>
      <c r="F170" s="129"/>
      <c r="G170" s="128"/>
      <c r="H170" s="197"/>
      <c r="I170" s="197"/>
      <c r="J170" s="128"/>
      <c r="K170" s="130"/>
      <c r="L170" s="131"/>
      <c r="M170" s="132"/>
      <c r="N170" s="320"/>
      <c r="O170" s="134"/>
      <c r="P170" s="135"/>
      <c r="Q170" s="135"/>
      <c r="R170" s="136"/>
      <c r="S170" s="137"/>
      <c r="T170" s="177"/>
      <c r="U170" s="178"/>
      <c r="V170" s="179"/>
      <c r="W170" s="180"/>
      <c r="X170" s="181"/>
      <c r="Y170" s="182"/>
      <c r="Z170" s="182"/>
      <c r="AA170" s="178"/>
      <c r="AB170" s="178"/>
      <c r="AC170" s="178"/>
      <c r="AD170" s="179"/>
      <c r="AE170" s="183"/>
      <c r="AF170" s="184"/>
      <c r="AG170" s="177"/>
      <c r="AH170" s="185"/>
      <c r="AI170" s="26"/>
      <c r="AJ170" s="186"/>
      <c r="AK170" s="187"/>
      <c r="AL170" s="188"/>
      <c r="AM170" s="189"/>
    </row>
    <row r="171" ht="12.75" customHeight="1">
      <c r="A171" s="26"/>
      <c r="B171" s="190" t="s">
        <v>370</v>
      </c>
      <c r="C171" s="199">
        <v>2.14977901E8</v>
      </c>
      <c r="D171" s="210" t="s">
        <v>371</v>
      </c>
      <c r="E171" s="211" t="s">
        <v>372</v>
      </c>
      <c r="F171" s="154"/>
      <c r="G171" s="211"/>
      <c r="H171" s="53" t="str">
        <f t="shared" ref="H171:H173" si="419">$I$2</f>
        <v>0.00069</v>
      </c>
      <c r="I171" s="53" t="str">
        <f t="shared" ref="I171:I173" si="420">$I$3</f>
        <v>89</v>
      </c>
      <c r="J171" s="53" t="str">
        <f t="shared" ref="J171:J173" si="421">G171*H171*I171*F171</f>
        <v>0</v>
      </c>
      <c r="K171" s="155" t="str">
        <f t="shared" ref="K171:K173" si="422">J171*$J$4</f>
        <v>0.00</v>
      </c>
      <c r="L171" s="156" t="str">
        <f t="shared" ref="L171:L173" si="423">K171+J171</f>
        <v>0.00 </v>
      </c>
      <c r="M171" s="132">
        <v>90.0</v>
      </c>
      <c r="N171" s="325">
        <v>324.05</v>
      </c>
      <c r="O171" s="158">
        <v>1100.0</v>
      </c>
      <c r="P171" s="159" t="str">
        <f>O171</f>
        <v>1,100.00</v>
      </c>
      <c r="Q171" s="160">
        <v>1108.0</v>
      </c>
      <c r="R171" s="161">
        <v>0.26</v>
      </c>
      <c r="S171" s="162" t="str">
        <f t="shared" ref="S171:S173" si="424">O171-(O171*R171)</f>
        <v>814.00</v>
      </c>
      <c r="T171" s="163" t="str">
        <f t="shared" ref="T171:T173" si="425">$C$1</f>
        <v>20.00</v>
      </c>
      <c r="U171" s="164" t="str">
        <f t="shared" ref="U171:U173" si="426">S171*$C$8</f>
        <v>65.12</v>
      </c>
      <c r="V171" s="165" t="str">
        <f t="shared" ref="V171:V173" si="427">N171*$C$3*(M171/30)</f>
        <v>0.00</v>
      </c>
      <c r="W171" s="166">
        <v>1.43</v>
      </c>
      <c r="X171" s="167" t="str">
        <f t="shared" ref="X171:X173" si="428">((_xlfn.CEILING.MATH(W171)-1)*$C$5+$C$4)</f>
        <v>95</v>
      </c>
      <c r="Y171" s="168" t="str">
        <f t="shared" ref="Y171:Y173" si="429">O171*$Y$6</f>
        <v>302.500</v>
      </c>
      <c r="Z171" s="168" t="str">
        <f t="shared" ref="Z171:Z173" si="430">S171*$Y$7</f>
        <v>17.664</v>
      </c>
      <c r="AA171" s="164" t="str">
        <f t="shared" ref="AA171:AA173" si="431">$Y$3*((100-AB171)/100)</f>
        <v>2.36</v>
      </c>
      <c r="AB171" s="164">
        <v>95.28</v>
      </c>
      <c r="AC171" s="164" t="str">
        <f t="shared" ref="AC171:AC173" si="432">$C$6*$C$7*_xlfn.CEILING.MATH(W171)</f>
        <v>9.60</v>
      </c>
      <c r="AD171" s="165" t="str">
        <f t="shared" ref="AD171:AD173" si="433">O171*$C$2</f>
        <v>55.00</v>
      </c>
      <c r="AE171" s="23"/>
      <c r="AF171" s="169" t="str">
        <f t="shared" ref="AF171:AF173" si="434">(_xlfn.CEILING.MATH(W171))*$Y$1*$AD$2</f>
        <v>20.4</v>
      </c>
      <c r="AG171" s="163" t="str">
        <f t="shared" ref="AG171:AG173" si="435">O171-T171-U171-V171-X171-Y171-Z171-AA171-AC171-AD171-N171</f>
        <v>208.71</v>
      </c>
      <c r="AH171" s="170" t="str">
        <f t="shared" ref="AH171:AH173" si="436">AG171/N171</f>
        <v>64.41%</v>
      </c>
      <c r="AI171" s="26"/>
      <c r="AJ171" s="171" t="str">
        <f t="shared" ref="AJ171:AJ173" si="437">$AD$3</f>
        <v>0.00%</v>
      </c>
      <c r="AK171" s="172" t="str">
        <f t="shared" ref="AK171:AK173" si="438">N171*AJ171</f>
        <v>0.00</v>
      </c>
      <c r="AL171" s="173" t="str">
        <f t="shared" ref="AL171:AL173" si="439">(N171+T171+V171+X171+AA171+AC171+AF171+AK171)/(100%-($C$2+$C$8+$Y$6+$Y$7))</f>
        <v>822.27</v>
      </c>
      <c r="AM171" s="174" t="str">
        <f t="shared" ref="AM171:AM173" si="440">AL171-(AL171*$AD$1)</f>
        <v>583.81</v>
      </c>
    </row>
    <row r="172" ht="12.75" customHeight="1">
      <c r="A172" s="26"/>
      <c r="B172" s="190" t="s">
        <v>370</v>
      </c>
      <c r="C172" s="192">
        <v>2.76234188E8</v>
      </c>
      <c r="D172" s="210" t="s">
        <v>373</v>
      </c>
      <c r="E172" s="211" t="s">
        <v>372</v>
      </c>
      <c r="F172" s="154"/>
      <c r="G172" s="211"/>
      <c r="H172" s="53" t="str">
        <f t="shared" si="419"/>
        <v>0.00069</v>
      </c>
      <c r="I172" s="53" t="str">
        <f t="shared" si="420"/>
        <v>89</v>
      </c>
      <c r="J172" s="53" t="str">
        <f t="shared" si="421"/>
        <v>0</v>
      </c>
      <c r="K172" s="155" t="str">
        <f t="shared" si="422"/>
        <v>0.00</v>
      </c>
      <c r="L172" s="156" t="str">
        <f t="shared" si="423"/>
        <v>0.00 </v>
      </c>
      <c r="M172" s="132">
        <v>90.0</v>
      </c>
      <c r="N172" s="325" t="str">
        <f t="shared" ref="N172:N173" si="441">L172/F172</f>
        <v>#DIV/0!</v>
      </c>
      <c r="O172" s="158">
        <v>725.7</v>
      </c>
      <c r="P172" s="159" t="str">
        <f t="shared" ref="P172:P173" si="442">AL172</f>
        <v>#DIV/0!</v>
      </c>
      <c r="Q172" s="160"/>
      <c r="R172" s="161">
        <v>0.26</v>
      </c>
      <c r="S172" s="162" t="str">
        <f t="shared" si="424"/>
        <v>537.02</v>
      </c>
      <c r="T172" s="163" t="str">
        <f t="shared" si="425"/>
        <v>20.00</v>
      </c>
      <c r="U172" s="164" t="str">
        <f t="shared" si="426"/>
        <v>42.96</v>
      </c>
      <c r="V172" s="165" t="str">
        <f t="shared" si="427"/>
        <v>#DIV/0!</v>
      </c>
      <c r="W172" s="166">
        <v>0.99</v>
      </c>
      <c r="X172" s="167" t="str">
        <f t="shared" si="428"/>
        <v>76</v>
      </c>
      <c r="Y172" s="168" t="str">
        <f t="shared" si="429"/>
        <v>199.568</v>
      </c>
      <c r="Z172" s="168" t="str">
        <f t="shared" si="430"/>
        <v>11.653</v>
      </c>
      <c r="AA172" s="164" t="str">
        <f t="shared" si="431"/>
        <v>2.09</v>
      </c>
      <c r="AB172" s="164">
        <v>95.83</v>
      </c>
      <c r="AC172" s="164" t="str">
        <f t="shared" si="432"/>
        <v>4.80</v>
      </c>
      <c r="AD172" s="165" t="str">
        <f t="shared" si="433"/>
        <v>36.29</v>
      </c>
      <c r="AE172" s="23"/>
      <c r="AF172" s="169" t="str">
        <f t="shared" si="434"/>
        <v>10.2</v>
      </c>
      <c r="AG172" s="163" t="str">
        <f t="shared" si="435"/>
        <v>#DIV/0!</v>
      </c>
      <c r="AH172" s="170" t="str">
        <f t="shared" si="436"/>
        <v>#DIV/0!</v>
      </c>
      <c r="AI172" s="26"/>
      <c r="AJ172" s="171" t="str">
        <f t="shared" si="437"/>
        <v>0.00%</v>
      </c>
      <c r="AK172" s="172" t="str">
        <f t="shared" si="438"/>
        <v>#DIV/0!</v>
      </c>
      <c r="AL172" s="173" t="str">
        <f t="shared" si="439"/>
        <v>#DIV/0!</v>
      </c>
      <c r="AM172" s="174" t="str">
        <f t="shared" si="440"/>
        <v>#DIV/0!</v>
      </c>
    </row>
    <row r="173" ht="12.75" customHeight="1">
      <c r="A173" s="26"/>
      <c r="B173" s="190" t="s">
        <v>370</v>
      </c>
      <c r="C173" s="192">
        <v>2.76234187E8</v>
      </c>
      <c r="D173" s="210" t="s">
        <v>374</v>
      </c>
      <c r="E173" s="211" t="s">
        <v>372</v>
      </c>
      <c r="F173" s="154"/>
      <c r="G173" s="211"/>
      <c r="H173" s="53" t="str">
        <f t="shared" si="419"/>
        <v>0.00069</v>
      </c>
      <c r="I173" s="53" t="str">
        <f t="shared" si="420"/>
        <v>89</v>
      </c>
      <c r="J173" s="53" t="str">
        <f t="shared" si="421"/>
        <v>0</v>
      </c>
      <c r="K173" s="155" t="str">
        <f t="shared" si="422"/>
        <v>0.00</v>
      </c>
      <c r="L173" s="156" t="str">
        <f t="shared" si="423"/>
        <v>0.00 </v>
      </c>
      <c r="M173" s="132">
        <v>90.0</v>
      </c>
      <c r="N173" s="325" t="str">
        <f t="shared" si="441"/>
        <v>#DIV/0!</v>
      </c>
      <c r="O173" s="158">
        <v>595.8</v>
      </c>
      <c r="P173" s="159" t="str">
        <f t="shared" si="442"/>
        <v>#DIV/0!</v>
      </c>
      <c r="Q173" s="160"/>
      <c r="R173" s="161">
        <v>0.26</v>
      </c>
      <c r="S173" s="162" t="str">
        <f t="shared" si="424"/>
        <v>440.89</v>
      </c>
      <c r="T173" s="163" t="str">
        <f t="shared" si="425"/>
        <v>20.00</v>
      </c>
      <c r="U173" s="164" t="str">
        <f t="shared" si="426"/>
        <v>35.27</v>
      </c>
      <c r="V173" s="165" t="str">
        <f t="shared" si="427"/>
        <v>#DIV/0!</v>
      </c>
      <c r="W173" s="166">
        <v>0.66</v>
      </c>
      <c r="X173" s="167" t="str">
        <f t="shared" si="428"/>
        <v>76</v>
      </c>
      <c r="Y173" s="168" t="str">
        <f t="shared" si="429"/>
        <v>163.845</v>
      </c>
      <c r="Z173" s="168" t="str">
        <f t="shared" si="430"/>
        <v>9.567</v>
      </c>
      <c r="AA173" s="164" t="str">
        <f t="shared" si="431"/>
        <v>0.00</v>
      </c>
      <c r="AB173" s="164">
        <v>100.0</v>
      </c>
      <c r="AC173" s="164" t="str">
        <f t="shared" si="432"/>
        <v>4.80</v>
      </c>
      <c r="AD173" s="165" t="str">
        <f t="shared" si="433"/>
        <v>29.79</v>
      </c>
      <c r="AE173" s="23"/>
      <c r="AF173" s="169" t="str">
        <f t="shared" si="434"/>
        <v>10.2</v>
      </c>
      <c r="AG173" s="163" t="str">
        <f t="shared" si="435"/>
        <v>#DIV/0!</v>
      </c>
      <c r="AH173" s="170" t="str">
        <f t="shared" si="436"/>
        <v>#DIV/0!</v>
      </c>
      <c r="AI173" s="26"/>
      <c r="AJ173" s="171" t="str">
        <f t="shared" si="437"/>
        <v>0.00%</v>
      </c>
      <c r="AK173" s="172" t="str">
        <f t="shared" si="438"/>
        <v>#DIV/0!</v>
      </c>
      <c r="AL173" s="173" t="str">
        <f t="shared" si="439"/>
        <v>#DIV/0!</v>
      </c>
      <c r="AM173" s="174" t="str">
        <f t="shared" si="440"/>
        <v>#DIV/0!</v>
      </c>
    </row>
    <row r="174" ht="12.75" customHeight="1">
      <c r="A174" s="26"/>
      <c r="B174" s="125" t="s">
        <v>375</v>
      </c>
      <c r="C174" s="126"/>
      <c r="D174" s="127"/>
      <c r="E174" s="128"/>
      <c r="F174" s="129"/>
      <c r="G174" s="128"/>
      <c r="H174" s="197"/>
      <c r="I174" s="197"/>
      <c r="J174" s="128"/>
      <c r="K174" s="130"/>
      <c r="L174" s="131"/>
      <c r="M174" s="132"/>
      <c r="N174" s="320"/>
      <c r="O174" s="134"/>
      <c r="P174" s="135"/>
      <c r="Q174" s="135"/>
      <c r="R174" s="136"/>
      <c r="S174" s="137"/>
      <c r="T174" s="177"/>
      <c r="U174" s="178"/>
      <c r="V174" s="179"/>
      <c r="W174" s="180"/>
      <c r="X174" s="181"/>
      <c r="Y174" s="182"/>
      <c r="Z174" s="182"/>
      <c r="AA174" s="178"/>
      <c r="AB174" s="178"/>
      <c r="AC174" s="178"/>
      <c r="AD174" s="179"/>
      <c r="AE174" s="183"/>
      <c r="AF174" s="184"/>
      <c r="AG174" s="177"/>
      <c r="AH174" s="185"/>
      <c r="AI174" s="26"/>
      <c r="AJ174" s="186"/>
      <c r="AK174" s="187"/>
      <c r="AL174" s="188"/>
      <c r="AM174" s="189"/>
    </row>
    <row r="175" ht="12.75" customHeight="1">
      <c r="A175" s="26"/>
      <c r="B175" s="190" t="s">
        <v>376</v>
      </c>
      <c r="C175" s="192">
        <v>2.14964091E8</v>
      </c>
      <c r="D175" s="212" t="s">
        <v>377</v>
      </c>
      <c r="E175" s="53" t="s">
        <v>372</v>
      </c>
      <c r="F175" s="154"/>
      <c r="G175" s="53"/>
      <c r="H175" s="53" t="str">
        <f>$I$2</f>
        <v>0.00069</v>
      </c>
      <c r="I175" s="53" t="str">
        <f>$I$3</f>
        <v>89</v>
      </c>
      <c r="J175" s="53" t="str">
        <f>G175*H175*I175*F175</f>
        <v>0</v>
      </c>
      <c r="K175" s="155" t="str">
        <f>J175*$J$4</f>
        <v>0.00</v>
      </c>
      <c r="L175" s="156" t="str">
        <f>K175+J175</f>
        <v>0.00 </v>
      </c>
      <c r="M175" s="132">
        <v>90.0</v>
      </c>
      <c r="N175" s="325" t="str">
        <f>L175/F175</f>
        <v>#DIV/0!</v>
      </c>
      <c r="O175" s="158">
        <v>1104.6</v>
      </c>
      <c r="P175" s="159" t="str">
        <f>AL175</f>
        <v>#DIV/0!</v>
      </c>
      <c r="Q175" s="160"/>
      <c r="R175" s="161">
        <v>0.26</v>
      </c>
      <c r="S175" s="162" t="str">
        <f>O175-(O175*R175)</f>
        <v>817.40</v>
      </c>
      <c r="T175" s="163" t="str">
        <f>$C$1</f>
        <v>20.00</v>
      </c>
      <c r="U175" s="164" t="str">
        <f>S175*$C$8</f>
        <v>65.39</v>
      </c>
      <c r="V175" s="165" t="str">
        <f>N175*$C$3*(M175/30)</f>
        <v>#DIV/0!</v>
      </c>
      <c r="W175" s="166">
        <v>1.43</v>
      </c>
      <c r="X175" s="167" t="str">
        <f>((_xlfn.CEILING.MATH(W175)-1)*$C$5+$C$4)</f>
        <v>95</v>
      </c>
      <c r="Y175" s="168" t="str">
        <f>O175*$Y$6</f>
        <v>303.765</v>
      </c>
      <c r="Z175" s="168" t="str">
        <f>S175*$Y$7</f>
        <v>17.738</v>
      </c>
      <c r="AA175" s="164" t="str">
        <f>$Y$3*((100-AB175)/100)</f>
        <v>4.77</v>
      </c>
      <c r="AB175" s="164">
        <v>90.46</v>
      </c>
      <c r="AC175" s="164" t="str">
        <f>$C$6*$C$7*_xlfn.CEILING.MATH(W175)</f>
        <v>9.60</v>
      </c>
      <c r="AD175" s="165" t="str">
        <f>O175*$C$2</f>
        <v>55.23</v>
      </c>
      <c r="AE175" s="23"/>
      <c r="AF175" s="169" t="str">
        <f>(_xlfn.CEILING.MATH(W175))*$Y$1*$AD$2</f>
        <v>20.4</v>
      </c>
      <c r="AG175" s="163" t="str">
        <f>O175-T175-U175-V175-X175-Y175-Z175-AA175-AC175-AD175-N175</f>
        <v>#DIV/0!</v>
      </c>
      <c r="AH175" s="170" t="str">
        <f>AG175/N175</f>
        <v>#DIV/0!</v>
      </c>
      <c r="AI175" s="26"/>
      <c r="AJ175" s="171" t="str">
        <f>$AD$3</f>
        <v>0.00%</v>
      </c>
      <c r="AK175" s="172" t="str">
        <f>N175*AJ175</f>
        <v>#DIV/0!</v>
      </c>
      <c r="AL175" s="173" t="str">
        <f>(N175+T175+V175+X175+AA175+AC175+AF175+AK175)/(100%-($C$2+$C$8+$Y$6+$Y$7))</f>
        <v>#DIV/0!</v>
      </c>
      <c r="AM175" s="174" t="str">
        <f>AL175-(AL175*$AD$1)</f>
        <v>#DIV/0!</v>
      </c>
    </row>
    <row r="176" ht="12.75" customHeight="1">
      <c r="A176" s="26"/>
      <c r="B176" s="125" t="s">
        <v>378</v>
      </c>
      <c r="C176" s="126"/>
      <c r="D176" s="127"/>
      <c r="E176" s="128"/>
      <c r="F176" s="129"/>
      <c r="G176" s="128"/>
      <c r="H176" s="197"/>
      <c r="I176" s="197"/>
      <c r="J176" s="128"/>
      <c r="K176" s="130"/>
      <c r="L176" s="131"/>
      <c r="M176" s="132"/>
      <c r="N176" s="320"/>
      <c r="O176" s="134"/>
      <c r="P176" s="135"/>
      <c r="Q176" s="135"/>
      <c r="R176" s="136"/>
      <c r="S176" s="137"/>
      <c r="T176" s="177"/>
      <c r="U176" s="178"/>
      <c r="V176" s="179"/>
      <c r="W176" s="180"/>
      <c r="X176" s="181"/>
      <c r="Y176" s="182"/>
      <c r="Z176" s="182"/>
      <c r="AA176" s="178"/>
      <c r="AB176" s="178"/>
      <c r="AC176" s="178"/>
      <c r="AD176" s="179"/>
      <c r="AE176" s="183"/>
      <c r="AF176" s="184"/>
      <c r="AG176" s="177"/>
      <c r="AH176" s="185"/>
      <c r="AI176" s="26"/>
      <c r="AJ176" s="186"/>
      <c r="AK176" s="187"/>
      <c r="AL176" s="188"/>
      <c r="AM176" s="189"/>
    </row>
    <row r="177" ht="12.75" customHeight="1">
      <c r="A177" s="26"/>
      <c r="B177" s="190" t="s">
        <v>379</v>
      </c>
      <c r="C177" s="199">
        <v>2.36822518E8</v>
      </c>
      <c r="D177" s="152" t="s">
        <v>380</v>
      </c>
      <c r="E177" s="53" t="s">
        <v>372</v>
      </c>
      <c r="F177" s="154"/>
      <c r="G177" s="53"/>
      <c r="H177" s="53" t="str">
        <f t="shared" ref="H177:H179" si="443">$I$2</f>
        <v>0.00069</v>
      </c>
      <c r="I177" s="53" t="str">
        <f t="shared" ref="I177:I179" si="444">$I$3</f>
        <v>89</v>
      </c>
      <c r="J177" s="53" t="str">
        <f t="shared" ref="J177:J179" si="445">G177*H177*I177*F177</f>
        <v>0</v>
      </c>
      <c r="K177" s="155" t="str">
        <f t="shared" ref="K177:K179" si="446">J177*$J$4</f>
        <v>0.00</v>
      </c>
      <c r="L177" s="156" t="str">
        <f t="shared" ref="L177:L179" si="447">K177+J177</f>
        <v>0.00 </v>
      </c>
      <c r="M177" s="132">
        <v>90.0</v>
      </c>
      <c r="N177" s="325">
        <v>354.38</v>
      </c>
      <c r="O177" s="158">
        <v>1037.0</v>
      </c>
      <c r="P177" s="159" t="str">
        <f t="shared" ref="P177:P178" si="448">O177</f>
        <v>1,037.00</v>
      </c>
      <c r="Q177" s="160" t="s">
        <v>78</v>
      </c>
      <c r="R177" s="161">
        <v>0.26</v>
      </c>
      <c r="S177" s="162" t="str">
        <f t="shared" ref="S177:S179" si="449">O177-(O177*R177)</f>
        <v>767.38</v>
      </c>
      <c r="T177" s="163" t="str">
        <f t="shared" ref="T177:T179" si="450">$C$1</f>
        <v>20.00</v>
      </c>
      <c r="U177" s="164" t="str">
        <f t="shared" ref="U177:U179" si="451">S177*$C$8</f>
        <v>61.39</v>
      </c>
      <c r="V177" s="165" t="str">
        <f t="shared" ref="V177:V179" si="452">N177*$C$3*(M177/30)</f>
        <v>0.00</v>
      </c>
      <c r="W177" s="166">
        <v>1.5</v>
      </c>
      <c r="X177" s="167" t="str">
        <f t="shared" ref="X177:X179" si="453">((_xlfn.CEILING.MATH(W177)-1)*$C$5+$C$4)</f>
        <v>95</v>
      </c>
      <c r="Y177" s="168" t="str">
        <f t="shared" ref="Y177:Y179" si="454">O177*$Y$6</f>
        <v>285.175</v>
      </c>
      <c r="Z177" s="168" t="str">
        <f t="shared" ref="Z177:Z179" si="455">S177*$Y$7</f>
        <v>16.652</v>
      </c>
      <c r="AA177" s="164" t="str">
        <f t="shared" ref="AA177:AA179" si="456">$Y$3*((100-AB177)/100)</f>
        <v>3.95</v>
      </c>
      <c r="AB177" s="164">
        <v>92.11</v>
      </c>
      <c r="AC177" s="164" t="str">
        <f t="shared" ref="AC177:AC179" si="457">$C$6*$C$7*_xlfn.CEILING.MATH(W177)</f>
        <v>9.60</v>
      </c>
      <c r="AD177" s="165" t="str">
        <f t="shared" ref="AD177:AD179" si="458">O177*$C$2</f>
        <v>51.85</v>
      </c>
      <c r="AE177" s="23"/>
      <c r="AF177" s="169" t="str">
        <f t="shared" ref="AF177:AF179" si="459">(_xlfn.CEILING.MATH(W177))*$Y$1*$AD$2</f>
        <v>20.4</v>
      </c>
      <c r="AG177" s="163" t="str">
        <f t="shared" ref="AG177:AG179" si="460">O177-T177-U177-V177-X177-Y177-Z177-AA177-AC177-AD177-N177</f>
        <v>139.01</v>
      </c>
      <c r="AH177" s="170" t="str">
        <f t="shared" ref="AH177:AH179" si="461">AG177/N177</f>
        <v>39.23%</v>
      </c>
      <c r="AI177" s="26"/>
      <c r="AJ177" s="171" t="str">
        <f t="shared" ref="AJ177:AJ179" si="462">$AD$3</f>
        <v>0.00%</v>
      </c>
      <c r="AK177" s="172" t="str">
        <f t="shared" ref="AK177:AK179" si="463">N177*AJ177</f>
        <v>0.00</v>
      </c>
      <c r="AL177" s="173" t="str">
        <f t="shared" ref="AL177:AL179" si="464">(N177+T177+V177+X177+AA177+AC177+AF177+AK177)/(100%-($C$2+$C$8+$Y$6+$Y$7))</f>
        <v>877.94</v>
      </c>
      <c r="AM177" s="174" t="str">
        <f t="shared" ref="AM177:AM179" si="465">AL177-(AL177*$AD$1)</f>
        <v>623.34</v>
      </c>
    </row>
    <row r="178" ht="12.75" customHeight="1">
      <c r="A178" s="26"/>
      <c r="B178" s="190" t="s">
        <v>381</v>
      </c>
      <c r="C178" s="199">
        <v>2.36825103E8</v>
      </c>
      <c r="D178" s="152" t="s">
        <v>382</v>
      </c>
      <c r="E178" s="53" t="s">
        <v>372</v>
      </c>
      <c r="F178" s="154"/>
      <c r="G178" s="53"/>
      <c r="H178" s="53" t="str">
        <f t="shared" si="443"/>
        <v>0.00069</v>
      </c>
      <c r="I178" s="53" t="str">
        <f t="shared" si="444"/>
        <v>89</v>
      </c>
      <c r="J178" s="53" t="str">
        <f t="shared" si="445"/>
        <v>0</v>
      </c>
      <c r="K178" s="155" t="str">
        <f t="shared" si="446"/>
        <v>0.00</v>
      </c>
      <c r="L178" s="156" t="str">
        <f t="shared" si="447"/>
        <v>0.00 </v>
      </c>
      <c r="M178" s="132">
        <v>90.0</v>
      </c>
      <c r="N178" s="325">
        <v>367.85</v>
      </c>
      <c r="O178" s="158">
        <v>1340.0</v>
      </c>
      <c r="P178" s="159" t="str">
        <f t="shared" si="448"/>
        <v>1,340.00</v>
      </c>
      <c r="Q178" s="160" t="s">
        <v>78</v>
      </c>
      <c r="R178" s="161">
        <v>0.26</v>
      </c>
      <c r="S178" s="162" t="str">
        <f t="shared" si="449"/>
        <v>991.60</v>
      </c>
      <c r="T178" s="163" t="str">
        <f t="shared" si="450"/>
        <v>20.00</v>
      </c>
      <c r="U178" s="164" t="str">
        <f t="shared" si="451"/>
        <v>79.33</v>
      </c>
      <c r="V178" s="165" t="str">
        <f t="shared" si="452"/>
        <v>0.00</v>
      </c>
      <c r="W178" s="166">
        <v>1.5</v>
      </c>
      <c r="X178" s="167" t="str">
        <f t="shared" si="453"/>
        <v>95</v>
      </c>
      <c r="Y178" s="168" t="str">
        <f t="shared" si="454"/>
        <v>368.500</v>
      </c>
      <c r="Z178" s="168" t="str">
        <f t="shared" si="455"/>
        <v>21.518</v>
      </c>
      <c r="AA178" s="164" t="str">
        <f t="shared" si="456"/>
        <v>1.67</v>
      </c>
      <c r="AB178" s="164">
        <v>96.67</v>
      </c>
      <c r="AC178" s="164" t="str">
        <f t="shared" si="457"/>
        <v>9.60</v>
      </c>
      <c r="AD178" s="165" t="str">
        <f t="shared" si="458"/>
        <v>67.00</v>
      </c>
      <c r="AE178" s="23"/>
      <c r="AF178" s="169" t="str">
        <f t="shared" si="459"/>
        <v>20.4</v>
      </c>
      <c r="AG178" s="163" t="str">
        <f t="shared" si="460"/>
        <v>309.54</v>
      </c>
      <c r="AH178" s="170" t="str">
        <f t="shared" si="461"/>
        <v>84.15%</v>
      </c>
      <c r="AI178" s="26"/>
      <c r="AJ178" s="171" t="str">
        <f t="shared" si="462"/>
        <v>0.00%</v>
      </c>
      <c r="AK178" s="172" t="str">
        <f t="shared" si="463"/>
        <v>0.00</v>
      </c>
      <c r="AL178" s="173" t="str">
        <f t="shared" si="464"/>
        <v>897.46</v>
      </c>
      <c r="AM178" s="174" t="str">
        <f t="shared" si="465"/>
        <v>637.20</v>
      </c>
    </row>
    <row r="179" ht="12.75" customHeight="1">
      <c r="A179" s="26"/>
      <c r="B179" s="190" t="s">
        <v>383</v>
      </c>
      <c r="C179" s="192">
        <v>2.36818852E8</v>
      </c>
      <c r="D179" s="152" t="s">
        <v>384</v>
      </c>
      <c r="E179" s="53" t="s">
        <v>372</v>
      </c>
      <c r="F179" s="154"/>
      <c r="G179" s="53"/>
      <c r="H179" s="53" t="str">
        <f t="shared" si="443"/>
        <v>0.00069</v>
      </c>
      <c r="I179" s="53" t="str">
        <f t="shared" si="444"/>
        <v>89</v>
      </c>
      <c r="J179" s="53" t="str">
        <f t="shared" si="445"/>
        <v>0</v>
      </c>
      <c r="K179" s="155" t="str">
        <f t="shared" si="446"/>
        <v>0.00</v>
      </c>
      <c r="L179" s="156" t="str">
        <f t="shared" si="447"/>
        <v>0.00 </v>
      </c>
      <c r="M179" s="132">
        <v>90.0</v>
      </c>
      <c r="N179" s="325" t="str">
        <f>L179/F179</f>
        <v>#DIV/0!</v>
      </c>
      <c r="O179" s="158">
        <v>871.8</v>
      </c>
      <c r="P179" s="159" t="str">
        <f>AL179</f>
        <v>#DIV/0!</v>
      </c>
      <c r="Q179" s="160"/>
      <c r="R179" s="161">
        <v>0.26</v>
      </c>
      <c r="S179" s="162" t="str">
        <f t="shared" si="449"/>
        <v>645.13</v>
      </c>
      <c r="T179" s="163" t="str">
        <f t="shared" si="450"/>
        <v>20.00</v>
      </c>
      <c r="U179" s="164" t="str">
        <f t="shared" si="451"/>
        <v>51.61</v>
      </c>
      <c r="V179" s="165" t="str">
        <f t="shared" si="452"/>
        <v>#DIV/0!</v>
      </c>
      <c r="W179" s="166">
        <v>1.5</v>
      </c>
      <c r="X179" s="167" t="str">
        <f t="shared" si="453"/>
        <v>95</v>
      </c>
      <c r="Y179" s="168" t="str">
        <f t="shared" si="454"/>
        <v>239.745</v>
      </c>
      <c r="Z179" s="168" t="str">
        <f t="shared" si="455"/>
        <v>13.999</v>
      </c>
      <c r="AA179" s="164" t="str">
        <f t="shared" si="456"/>
        <v>3.91</v>
      </c>
      <c r="AB179" s="164">
        <v>92.19</v>
      </c>
      <c r="AC179" s="164" t="str">
        <f t="shared" si="457"/>
        <v>9.60</v>
      </c>
      <c r="AD179" s="165" t="str">
        <f t="shared" si="458"/>
        <v>43.59</v>
      </c>
      <c r="AE179" s="23"/>
      <c r="AF179" s="169" t="str">
        <f t="shared" si="459"/>
        <v>20.4</v>
      </c>
      <c r="AG179" s="163" t="str">
        <f t="shared" si="460"/>
        <v>#DIV/0!</v>
      </c>
      <c r="AH179" s="170" t="str">
        <f t="shared" si="461"/>
        <v>#DIV/0!</v>
      </c>
      <c r="AI179" s="26"/>
      <c r="AJ179" s="171" t="str">
        <f t="shared" si="462"/>
        <v>0.00%</v>
      </c>
      <c r="AK179" s="172" t="str">
        <f t="shared" si="463"/>
        <v>#DIV/0!</v>
      </c>
      <c r="AL179" s="173" t="str">
        <f t="shared" si="464"/>
        <v>#DIV/0!</v>
      </c>
      <c r="AM179" s="174" t="str">
        <f t="shared" si="465"/>
        <v>#DIV/0!</v>
      </c>
    </row>
    <row r="180" ht="12.75" customHeight="1">
      <c r="A180" s="26"/>
      <c r="B180" s="125" t="s">
        <v>385</v>
      </c>
      <c r="C180" s="126"/>
      <c r="D180" s="127"/>
      <c r="E180" s="128"/>
      <c r="F180" s="129"/>
      <c r="G180" s="128"/>
      <c r="H180" s="197"/>
      <c r="I180" s="197"/>
      <c r="J180" s="128"/>
      <c r="K180" s="130"/>
      <c r="L180" s="131"/>
      <c r="M180" s="132"/>
      <c r="N180" s="320"/>
      <c r="O180" s="134"/>
      <c r="P180" s="135"/>
      <c r="Q180" s="135"/>
      <c r="R180" s="136"/>
      <c r="S180" s="137"/>
      <c r="T180" s="177"/>
      <c r="U180" s="178"/>
      <c r="V180" s="179"/>
      <c r="W180" s="180"/>
      <c r="X180" s="181"/>
      <c r="Y180" s="182"/>
      <c r="Z180" s="182"/>
      <c r="AA180" s="178"/>
      <c r="AB180" s="178"/>
      <c r="AC180" s="178"/>
      <c r="AD180" s="179"/>
      <c r="AE180" s="183"/>
      <c r="AF180" s="184"/>
      <c r="AG180" s="177"/>
      <c r="AH180" s="185"/>
      <c r="AI180" s="26"/>
      <c r="AJ180" s="186"/>
      <c r="AK180" s="187"/>
      <c r="AL180" s="188"/>
      <c r="AM180" s="189"/>
    </row>
    <row r="181" ht="12.75" customHeight="1">
      <c r="A181" s="26"/>
      <c r="B181" s="190" t="s">
        <v>386</v>
      </c>
      <c r="C181" s="191">
        <v>2.12885318E8</v>
      </c>
      <c r="D181" s="152" t="s">
        <v>387</v>
      </c>
      <c r="E181" s="53" t="s">
        <v>77</v>
      </c>
      <c r="F181" s="154"/>
      <c r="G181" s="53"/>
      <c r="H181" s="53" t="str">
        <f t="shared" ref="H181:H188" si="466">$I$2</f>
        <v>0.00069</v>
      </c>
      <c r="I181" s="53" t="str">
        <f t="shared" ref="I181:I188" si="467">$I$3</f>
        <v>89</v>
      </c>
      <c r="J181" s="53" t="str">
        <f t="shared" ref="J181:J188" si="468">G181*H181*I181*F181</f>
        <v>0</v>
      </c>
      <c r="K181" s="155" t="str">
        <f t="shared" ref="K181:K188" si="469">J181*$J$4</f>
        <v>0.00</v>
      </c>
      <c r="L181" s="156" t="str">
        <f t="shared" ref="L181:L188" si="470">K181+J181</f>
        <v>0.00 </v>
      </c>
      <c r="M181" s="132">
        <v>90.0</v>
      </c>
      <c r="N181" s="325" t="str">
        <f t="shared" ref="N181:N188" si="471">L181/F181</f>
        <v>#DIV/0!</v>
      </c>
      <c r="O181" s="158">
        <v>1057.2</v>
      </c>
      <c r="P181" s="159" t="str">
        <f t="shared" ref="P181:P188" si="472">AL181</f>
        <v>#DIV/0!</v>
      </c>
      <c r="Q181" s="160"/>
      <c r="R181" s="161">
        <v>0.26</v>
      </c>
      <c r="S181" s="162" t="str">
        <f t="shared" ref="S181:S188" si="473">O181-(O181*R181)</f>
        <v>782.33</v>
      </c>
      <c r="T181" s="163" t="str">
        <f t="shared" ref="T181:T188" si="474">$C$1</f>
        <v>20.00</v>
      </c>
      <c r="U181" s="164" t="str">
        <f t="shared" ref="U181:U188" si="475">S181*$C$8</f>
        <v>62.59</v>
      </c>
      <c r="V181" s="165" t="str">
        <f t="shared" ref="V181:V188" si="476">N181*$C$3*(M181/30)</f>
        <v>#DIV/0!</v>
      </c>
      <c r="W181" s="166">
        <v>1.03</v>
      </c>
      <c r="X181" s="167" t="str">
        <f t="shared" ref="X181:X188" si="477">((_xlfn.CEILING.MATH(W181)-1)*$C$5+$C$4)</f>
        <v>95</v>
      </c>
      <c r="Y181" s="168" t="str">
        <f t="shared" ref="Y181:Y188" si="478">O181*$Y$6</f>
        <v>290.730</v>
      </c>
      <c r="Z181" s="168" t="str">
        <f t="shared" ref="Z181:Z188" si="479">S181*$Y$7</f>
        <v>16.977</v>
      </c>
      <c r="AA181" s="164" t="str">
        <f t="shared" ref="AA181:AA188" si="480">$Y$3*((100-AB181)/100)</f>
        <v>1.54</v>
      </c>
      <c r="AB181" s="164">
        <v>96.92</v>
      </c>
      <c r="AC181" s="164" t="str">
        <f t="shared" ref="AC181:AC188" si="481">$C$6*$C$7*_xlfn.CEILING.MATH(W181)</f>
        <v>9.60</v>
      </c>
      <c r="AD181" s="165" t="str">
        <f t="shared" ref="AD181:AD188" si="482">O181*$C$2</f>
        <v>52.86</v>
      </c>
      <c r="AE181" s="23"/>
      <c r="AF181" s="169" t="str">
        <f t="shared" ref="AF181:AF188" si="483">(_xlfn.CEILING.MATH(W181))*$Y$1*$AD$2</f>
        <v>20.4</v>
      </c>
      <c r="AG181" s="163" t="str">
        <f t="shared" ref="AG181:AG188" si="484">O181-T181-U181-V181-X181-Y181-Z181-AA181-AC181-AD181-N181</f>
        <v>#DIV/0!</v>
      </c>
      <c r="AH181" s="170" t="str">
        <f t="shared" ref="AH181:AH188" si="485">AG181/N181</f>
        <v>#DIV/0!</v>
      </c>
      <c r="AI181" s="26"/>
      <c r="AJ181" s="171" t="str">
        <f t="shared" ref="AJ181:AJ188" si="486">$AD$3</f>
        <v>0.00%</v>
      </c>
      <c r="AK181" s="172" t="str">
        <f t="shared" ref="AK181:AK188" si="487">N181*AJ181</f>
        <v>#DIV/0!</v>
      </c>
      <c r="AL181" s="173" t="str">
        <f t="shared" ref="AL181:AL188" si="488">(N181+T181+V181+X181+AA181+AC181+AF181+AK181)/(100%-($C$2+$C$8+$Y$6+$Y$7))</f>
        <v>#DIV/0!</v>
      </c>
      <c r="AM181" s="174" t="str">
        <f t="shared" ref="AM181:AM188" si="489">AL181-(AL181*$AD$1)</f>
        <v>#DIV/0!</v>
      </c>
    </row>
    <row r="182" ht="12.75" customHeight="1">
      <c r="A182" s="26"/>
      <c r="B182" s="190" t="s">
        <v>388</v>
      </c>
      <c r="C182" s="192">
        <v>2.14311702E8</v>
      </c>
      <c r="D182" s="152" t="s">
        <v>389</v>
      </c>
      <c r="E182" s="53" t="s">
        <v>77</v>
      </c>
      <c r="F182" s="154"/>
      <c r="G182" s="53"/>
      <c r="H182" s="53" t="str">
        <f t="shared" si="466"/>
        <v>0.00069</v>
      </c>
      <c r="I182" s="53" t="str">
        <f t="shared" si="467"/>
        <v>89</v>
      </c>
      <c r="J182" s="53" t="str">
        <f t="shared" si="468"/>
        <v>0</v>
      </c>
      <c r="K182" s="155" t="str">
        <f t="shared" si="469"/>
        <v>0.00</v>
      </c>
      <c r="L182" s="156" t="str">
        <f t="shared" si="470"/>
        <v>0.00 </v>
      </c>
      <c r="M182" s="132">
        <v>90.0</v>
      </c>
      <c r="N182" s="325" t="str">
        <f t="shared" si="471"/>
        <v>#DIV/0!</v>
      </c>
      <c r="O182" s="158">
        <v>767.7</v>
      </c>
      <c r="P182" s="159" t="str">
        <f t="shared" si="472"/>
        <v>#DIV/0!</v>
      </c>
      <c r="Q182" s="160"/>
      <c r="R182" s="161">
        <v>0.26</v>
      </c>
      <c r="S182" s="162" t="str">
        <f t="shared" si="473"/>
        <v>568.10</v>
      </c>
      <c r="T182" s="163" t="str">
        <f t="shared" si="474"/>
        <v>20.00</v>
      </c>
      <c r="U182" s="164" t="str">
        <f t="shared" si="475"/>
        <v>45.45</v>
      </c>
      <c r="V182" s="165" t="str">
        <f t="shared" si="476"/>
        <v>#DIV/0!</v>
      </c>
      <c r="W182" s="166">
        <v>1.46</v>
      </c>
      <c r="X182" s="167" t="str">
        <f t="shared" si="477"/>
        <v>95</v>
      </c>
      <c r="Y182" s="168" t="str">
        <f t="shared" si="478"/>
        <v>211.118</v>
      </c>
      <c r="Z182" s="168" t="str">
        <f t="shared" si="479"/>
        <v>12.328</v>
      </c>
      <c r="AA182" s="164" t="str">
        <f t="shared" si="480"/>
        <v>2.63</v>
      </c>
      <c r="AB182" s="164">
        <v>94.74</v>
      </c>
      <c r="AC182" s="164" t="str">
        <f t="shared" si="481"/>
        <v>9.60</v>
      </c>
      <c r="AD182" s="165" t="str">
        <f t="shared" si="482"/>
        <v>38.39</v>
      </c>
      <c r="AE182" s="23"/>
      <c r="AF182" s="169" t="str">
        <f t="shared" si="483"/>
        <v>20.4</v>
      </c>
      <c r="AG182" s="163" t="str">
        <f t="shared" si="484"/>
        <v>#DIV/0!</v>
      </c>
      <c r="AH182" s="170" t="str">
        <f t="shared" si="485"/>
        <v>#DIV/0!</v>
      </c>
      <c r="AI182" s="26"/>
      <c r="AJ182" s="171" t="str">
        <f t="shared" si="486"/>
        <v>0.00%</v>
      </c>
      <c r="AK182" s="172" t="str">
        <f t="shared" si="487"/>
        <v>#DIV/0!</v>
      </c>
      <c r="AL182" s="173" t="str">
        <f t="shared" si="488"/>
        <v>#DIV/0!</v>
      </c>
      <c r="AM182" s="174" t="str">
        <f t="shared" si="489"/>
        <v>#DIV/0!</v>
      </c>
    </row>
    <row r="183" ht="12.75" customHeight="1">
      <c r="A183" s="26"/>
      <c r="B183" s="190" t="s">
        <v>390</v>
      </c>
      <c r="C183" s="192">
        <v>2.12885319E8</v>
      </c>
      <c r="D183" s="152" t="s">
        <v>391</v>
      </c>
      <c r="E183" s="53" t="s">
        <v>77</v>
      </c>
      <c r="F183" s="154"/>
      <c r="G183" s="53"/>
      <c r="H183" s="53" t="str">
        <f t="shared" si="466"/>
        <v>0.00069</v>
      </c>
      <c r="I183" s="53" t="str">
        <f t="shared" si="467"/>
        <v>89</v>
      </c>
      <c r="J183" s="53" t="str">
        <f t="shared" si="468"/>
        <v>0</v>
      </c>
      <c r="K183" s="155" t="str">
        <f t="shared" si="469"/>
        <v>0.00</v>
      </c>
      <c r="L183" s="156" t="str">
        <f t="shared" si="470"/>
        <v>0.00 </v>
      </c>
      <c r="M183" s="132">
        <v>90.0</v>
      </c>
      <c r="N183" s="325" t="str">
        <f t="shared" si="471"/>
        <v>#DIV/0!</v>
      </c>
      <c r="O183" s="158">
        <v>1057.2</v>
      </c>
      <c r="P183" s="159" t="str">
        <f t="shared" si="472"/>
        <v>#DIV/0!</v>
      </c>
      <c r="Q183" s="160"/>
      <c r="R183" s="161">
        <v>0.26</v>
      </c>
      <c r="S183" s="162" t="str">
        <f t="shared" si="473"/>
        <v>782.33</v>
      </c>
      <c r="T183" s="163" t="str">
        <f t="shared" si="474"/>
        <v>20.00</v>
      </c>
      <c r="U183" s="164" t="str">
        <f t="shared" si="475"/>
        <v>62.59</v>
      </c>
      <c r="V183" s="165" t="str">
        <f t="shared" si="476"/>
        <v>#DIV/0!</v>
      </c>
      <c r="W183" s="166">
        <v>1.03</v>
      </c>
      <c r="X183" s="167" t="str">
        <f t="shared" si="477"/>
        <v>95</v>
      </c>
      <c r="Y183" s="168" t="str">
        <f t="shared" si="478"/>
        <v>290.730</v>
      </c>
      <c r="Z183" s="168" t="str">
        <f t="shared" si="479"/>
        <v>16.977</v>
      </c>
      <c r="AA183" s="164" t="str">
        <f t="shared" si="480"/>
        <v>1.56</v>
      </c>
      <c r="AB183" s="164">
        <v>96.88</v>
      </c>
      <c r="AC183" s="164" t="str">
        <f t="shared" si="481"/>
        <v>9.60</v>
      </c>
      <c r="AD183" s="165" t="str">
        <f t="shared" si="482"/>
        <v>52.86</v>
      </c>
      <c r="AE183" s="23"/>
      <c r="AF183" s="169" t="str">
        <f t="shared" si="483"/>
        <v>20.4</v>
      </c>
      <c r="AG183" s="163" t="str">
        <f t="shared" si="484"/>
        <v>#DIV/0!</v>
      </c>
      <c r="AH183" s="170" t="str">
        <f t="shared" si="485"/>
        <v>#DIV/0!</v>
      </c>
      <c r="AI183" s="26"/>
      <c r="AJ183" s="171" t="str">
        <f t="shared" si="486"/>
        <v>0.00%</v>
      </c>
      <c r="AK183" s="172" t="str">
        <f t="shared" si="487"/>
        <v>#DIV/0!</v>
      </c>
      <c r="AL183" s="173" t="str">
        <f t="shared" si="488"/>
        <v>#DIV/0!</v>
      </c>
      <c r="AM183" s="174" t="str">
        <f t="shared" si="489"/>
        <v>#DIV/0!</v>
      </c>
    </row>
    <row r="184" ht="12.75" customHeight="1">
      <c r="A184" s="26"/>
      <c r="B184" s="190" t="s">
        <v>392</v>
      </c>
      <c r="C184" s="192">
        <v>2.12885313E8</v>
      </c>
      <c r="D184" s="152" t="s">
        <v>393</v>
      </c>
      <c r="E184" s="53" t="s">
        <v>77</v>
      </c>
      <c r="F184" s="154"/>
      <c r="G184" s="53"/>
      <c r="H184" s="53" t="str">
        <f t="shared" si="466"/>
        <v>0.00069</v>
      </c>
      <c r="I184" s="53" t="str">
        <f t="shared" si="467"/>
        <v>89</v>
      </c>
      <c r="J184" s="53" t="str">
        <f t="shared" si="468"/>
        <v>0</v>
      </c>
      <c r="K184" s="155" t="str">
        <f t="shared" si="469"/>
        <v>0.00</v>
      </c>
      <c r="L184" s="156" t="str">
        <f t="shared" si="470"/>
        <v>0.00 </v>
      </c>
      <c r="M184" s="132">
        <v>90.0</v>
      </c>
      <c r="N184" s="325" t="str">
        <f t="shared" si="471"/>
        <v>#DIV/0!</v>
      </c>
      <c r="O184" s="158">
        <v>1060.8</v>
      </c>
      <c r="P184" s="159" t="str">
        <f t="shared" si="472"/>
        <v>#DIV/0!</v>
      </c>
      <c r="Q184" s="160"/>
      <c r="R184" s="161">
        <v>0.26</v>
      </c>
      <c r="S184" s="162" t="str">
        <f t="shared" si="473"/>
        <v>784.99</v>
      </c>
      <c r="T184" s="163" t="str">
        <f t="shared" si="474"/>
        <v>20.00</v>
      </c>
      <c r="U184" s="164" t="str">
        <f t="shared" si="475"/>
        <v>62.80</v>
      </c>
      <c r="V184" s="165" t="str">
        <f t="shared" si="476"/>
        <v>#DIV/0!</v>
      </c>
      <c r="W184" s="166">
        <v>1.34</v>
      </c>
      <c r="X184" s="167" t="str">
        <f t="shared" si="477"/>
        <v>95</v>
      </c>
      <c r="Y184" s="168" t="str">
        <f t="shared" si="478"/>
        <v>291.720</v>
      </c>
      <c r="Z184" s="168" t="str">
        <f t="shared" si="479"/>
        <v>17.034</v>
      </c>
      <c r="AA184" s="164" t="str">
        <f t="shared" si="480"/>
        <v>1.67</v>
      </c>
      <c r="AB184" s="164">
        <v>96.67</v>
      </c>
      <c r="AC184" s="164" t="str">
        <f t="shared" si="481"/>
        <v>9.60</v>
      </c>
      <c r="AD184" s="165" t="str">
        <f t="shared" si="482"/>
        <v>53.04</v>
      </c>
      <c r="AE184" s="23"/>
      <c r="AF184" s="169" t="str">
        <f t="shared" si="483"/>
        <v>20.4</v>
      </c>
      <c r="AG184" s="163" t="str">
        <f t="shared" si="484"/>
        <v>#DIV/0!</v>
      </c>
      <c r="AH184" s="170" t="str">
        <f t="shared" si="485"/>
        <v>#DIV/0!</v>
      </c>
      <c r="AI184" s="26"/>
      <c r="AJ184" s="171" t="str">
        <f t="shared" si="486"/>
        <v>0.00%</v>
      </c>
      <c r="AK184" s="172" t="str">
        <f t="shared" si="487"/>
        <v>#DIV/0!</v>
      </c>
      <c r="AL184" s="173" t="str">
        <f t="shared" si="488"/>
        <v>#DIV/0!</v>
      </c>
      <c r="AM184" s="174" t="str">
        <f t="shared" si="489"/>
        <v>#DIV/0!</v>
      </c>
    </row>
    <row r="185" ht="12.75" customHeight="1">
      <c r="A185" s="26"/>
      <c r="B185" s="190" t="s">
        <v>394</v>
      </c>
      <c r="C185" s="192">
        <v>2.12885317E8</v>
      </c>
      <c r="D185" s="152" t="s">
        <v>395</v>
      </c>
      <c r="E185" s="53" t="s">
        <v>77</v>
      </c>
      <c r="F185" s="154"/>
      <c r="G185" s="53"/>
      <c r="H185" s="53" t="str">
        <f t="shared" si="466"/>
        <v>0.00069</v>
      </c>
      <c r="I185" s="53" t="str">
        <f t="shared" si="467"/>
        <v>89</v>
      </c>
      <c r="J185" s="53" t="str">
        <f t="shared" si="468"/>
        <v>0</v>
      </c>
      <c r="K185" s="155" t="str">
        <f t="shared" si="469"/>
        <v>0.00</v>
      </c>
      <c r="L185" s="156" t="str">
        <f t="shared" si="470"/>
        <v>0.00 </v>
      </c>
      <c r="M185" s="132">
        <v>90.0</v>
      </c>
      <c r="N185" s="325" t="str">
        <f t="shared" si="471"/>
        <v>#DIV/0!</v>
      </c>
      <c r="O185" s="158">
        <v>1060.8</v>
      </c>
      <c r="P185" s="159" t="str">
        <f t="shared" si="472"/>
        <v>#DIV/0!</v>
      </c>
      <c r="Q185" s="160"/>
      <c r="R185" s="161">
        <v>0.26</v>
      </c>
      <c r="S185" s="162" t="str">
        <f t="shared" si="473"/>
        <v>784.99</v>
      </c>
      <c r="T185" s="163" t="str">
        <f t="shared" si="474"/>
        <v>20.00</v>
      </c>
      <c r="U185" s="164" t="str">
        <f t="shared" si="475"/>
        <v>62.80</v>
      </c>
      <c r="V185" s="165" t="str">
        <f t="shared" si="476"/>
        <v>#DIV/0!</v>
      </c>
      <c r="W185" s="166">
        <v>1.34</v>
      </c>
      <c r="X185" s="167" t="str">
        <f t="shared" si="477"/>
        <v>95</v>
      </c>
      <c r="Y185" s="168" t="str">
        <f t="shared" si="478"/>
        <v>291.720</v>
      </c>
      <c r="Z185" s="168" t="str">
        <f t="shared" si="479"/>
        <v>17.034</v>
      </c>
      <c r="AA185" s="164" t="str">
        <f t="shared" si="480"/>
        <v>3.85</v>
      </c>
      <c r="AB185" s="164">
        <v>92.31</v>
      </c>
      <c r="AC185" s="164" t="str">
        <f t="shared" si="481"/>
        <v>9.60</v>
      </c>
      <c r="AD185" s="165" t="str">
        <f t="shared" si="482"/>
        <v>53.04</v>
      </c>
      <c r="AE185" s="23"/>
      <c r="AF185" s="169" t="str">
        <f t="shared" si="483"/>
        <v>20.4</v>
      </c>
      <c r="AG185" s="163" t="str">
        <f t="shared" si="484"/>
        <v>#DIV/0!</v>
      </c>
      <c r="AH185" s="170" t="str">
        <f t="shared" si="485"/>
        <v>#DIV/0!</v>
      </c>
      <c r="AI185" s="26"/>
      <c r="AJ185" s="171" t="str">
        <f t="shared" si="486"/>
        <v>0.00%</v>
      </c>
      <c r="AK185" s="172" t="str">
        <f t="shared" si="487"/>
        <v>#DIV/0!</v>
      </c>
      <c r="AL185" s="173" t="str">
        <f t="shared" si="488"/>
        <v>#DIV/0!</v>
      </c>
      <c r="AM185" s="174" t="str">
        <f t="shared" si="489"/>
        <v>#DIV/0!</v>
      </c>
    </row>
    <row r="186" ht="12.75" customHeight="1">
      <c r="A186" s="26"/>
      <c r="B186" s="190" t="s">
        <v>396</v>
      </c>
      <c r="C186" s="192">
        <v>2.12885315E8</v>
      </c>
      <c r="D186" s="152" t="s">
        <v>397</v>
      </c>
      <c r="E186" s="53" t="s">
        <v>77</v>
      </c>
      <c r="F186" s="154"/>
      <c r="G186" s="53"/>
      <c r="H186" s="53" t="str">
        <f t="shared" si="466"/>
        <v>0.00069</v>
      </c>
      <c r="I186" s="53" t="str">
        <f t="shared" si="467"/>
        <v>89</v>
      </c>
      <c r="J186" s="53" t="str">
        <f t="shared" si="468"/>
        <v>0</v>
      </c>
      <c r="K186" s="155" t="str">
        <f t="shared" si="469"/>
        <v>0.00</v>
      </c>
      <c r="L186" s="156" t="str">
        <f t="shared" si="470"/>
        <v>0.00 </v>
      </c>
      <c r="M186" s="132">
        <v>90.0</v>
      </c>
      <c r="N186" s="325" t="str">
        <f t="shared" si="471"/>
        <v>#DIV/0!</v>
      </c>
      <c r="O186" s="158">
        <v>1060.8</v>
      </c>
      <c r="P186" s="159" t="str">
        <f t="shared" si="472"/>
        <v>#DIV/0!</v>
      </c>
      <c r="Q186" s="160"/>
      <c r="R186" s="161">
        <v>0.26</v>
      </c>
      <c r="S186" s="162" t="str">
        <f t="shared" si="473"/>
        <v>784.99</v>
      </c>
      <c r="T186" s="163" t="str">
        <f t="shared" si="474"/>
        <v>20.00</v>
      </c>
      <c r="U186" s="164" t="str">
        <f t="shared" si="475"/>
        <v>62.80</v>
      </c>
      <c r="V186" s="165" t="str">
        <f t="shared" si="476"/>
        <v>#DIV/0!</v>
      </c>
      <c r="W186" s="166">
        <v>1.34</v>
      </c>
      <c r="X186" s="167" t="str">
        <f t="shared" si="477"/>
        <v>95</v>
      </c>
      <c r="Y186" s="168" t="str">
        <f t="shared" si="478"/>
        <v>291.720</v>
      </c>
      <c r="Z186" s="168" t="str">
        <f t="shared" si="479"/>
        <v>17.034</v>
      </c>
      <c r="AA186" s="164" t="str">
        <f t="shared" si="480"/>
        <v>1.15</v>
      </c>
      <c r="AB186" s="164">
        <v>97.7</v>
      </c>
      <c r="AC186" s="164" t="str">
        <f t="shared" si="481"/>
        <v>9.60</v>
      </c>
      <c r="AD186" s="165" t="str">
        <f t="shared" si="482"/>
        <v>53.04</v>
      </c>
      <c r="AE186" s="23"/>
      <c r="AF186" s="169" t="str">
        <f t="shared" si="483"/>
        <v>20.4</v>
      </c>
      <c r="AG186" s="163" t="str">
        <f t="shared" si="484"/>
        <v>#DIV/0!</v>
      </c>
      <c r="AH186" s="170" t="str">
        <f t="shared" si="485"/>
        <v>#DIV/0!</v>
      </c>
      <c r="AI186" s="26"/>
      <c r="AJ186" s="171" t="str">
        <f t="shared" si="486"/>
        <v>0.00%</v>
      </c>
      <c r="AK186" s="172" t="str">
        <f t="shared" si="487"/>
        <v>#DIV/0!</v>
      </c>
      <c r="AL186" s="173" t="str">
        <f t="shared" si="488"/>
        <v>#DIV/0!</v>
      </c>
      <c r="AM186" s="174" t="str">
        <f t="shared" si="489"/>
        <v>#DIV/0!</v>
      </c>
    </row>
    <row r="187" ht="12.75" customHeight="1">
      <c r="A187" s="26"/>
      <c r="B187" s="190" t="s">
        <v>398</v>
      </c>
      <c r="C187" s="192">
        <v>2.12885316E8</v>
      </c>
      <c r="D187" s="152" t="s">
        <v>399</v>
      </c>
      <c r="E187" s="53" t="s">
        <v>77</v>
      </c>
      <c r="F187" s="154"/>
      <c r="G187" s="53"/>
      <c r="H187" s="53" t="str">
        <f t="shared" si="466"/>
        <v>0.00069</v>
      </c>
      <c r="I187" s="53" t="str">
        <f t="shared" si="467"/>
        <v>89</v>
      </c>
      <c r="J187" s="53" t="str">
        <f t="shared" si="468"/>
        <v>0</v>
      </c>
      <c r="K187" s="155" t="str">
        <f t="shared" si="469"/>
        <v>0.00</v>
      </c>
      <c r="L187" s="156" t="str">
        <f t="shared" si="470"/>
        <v>0.00 </v>
      </c>
      <c r="M187" s="132">
        <v>90.0</v>
      </c>
      <c r="N187" s="325" t="str">
        <f t="shared" si="471"/>
        <v>#DIV/0!</v>
      </c>
      <c r="O187" s="158">
        <v>1146.6</v>
      </c>
      <c r="P187" s="159" t="str">
        <f t="shared" si="472"/>
        <v>#DIV/0!</v>
      </c>
      <c r="Q187" s="160"/>
      <c r="R187" s="161">
        <v>0.26</v>
      </c>
      <c r="S187" s="162" t="str">
        <f t="shared" si="473"/>
        <v>848.48</v>
      </c>
      <c r="T187" s="163" t="str">
        <f t="shared" si="474"/>
        <v>20.00</v>
      </c>
      <c r="U187" s="164" t="str">
        <f t="shared" si="475"/>
        <v>67.88</v>
      </c>
      <c r="V187" s="165" t="str">
        <f t="shared" si="476"/>
        <v>#DIV/0!</v>
      </c>
      <c r="W187" s="166">
        <v>1.34</v>
      </c>
      <c r="X187" s="167" t="str">
        <f t="shared" si="477"/>
        <v>95</v>
      </c>
      <c r="Y187" s="168" t="str">
        <f t="shared" si="478"/>
        <v>315.315</v>
      </c>
      <c r="Z187" s="168" t="str">
        <f t="shared" si="479"/>
        <v>18.412</v>
      </c>
      <c r="AA187" s="164" t="str">
        <f t="shared" si="480"/>
        <v>1.31</v>
      </c>
      <c r="AB187" s="164">
        <v>97.39</v>
      </c>
      <c r="AC187" s="164" t="str">
        <f t="shared" si="481"/>
        <v>9.60</v>
      </c>
      <c r="AD187" s="165" t="str">
        <f t="shared" si="482"/>
        <v>57.33</v>
      </c>
      <c r="AE187" s="23"/>
      <c r="AF187" s="169" t="str">
        <f t="shared" si="483"/>
        <v>20.4</v>
      </c>
      <c r="AG187" s="163" t="str">
        <f t="shared" si="484"/>
        <v>#DIV/0!</v>
      </c>
      <c r="AH187" s="170" t="str">
        <f t="shared" si="485"/>
        <v>#DIV/0!</v>
      </c>
      <c r="AI187" s="26"/>
      <c r="AJ187" s="171" t="str">
        <f t="shared" si="486"/>
        <v>0.00%</v>
      </c>
      <c r="AK187" s="172" t="str">
        <f t="shared" si="487"/>
        <v>#DIV/0!</v>
      </c>
      <c r="AL187" s="173" t="str">
        <f t="shared" si="488"/>
        <v>#DIV/0!</v>
      </c>
      <c r="AM187" s="174" t="str">
        <f t="shared" si="489"/>
        <v>#DIV/0!</v>
      </c>
    </row>
    <row r="188" ht="12.75" customHeight="1">
      <c r="A188" s="26"/>
      <c r="B188" s="190" t="s">
        <v>400</v>
      </c>
      <c r="C188" s="192">
        <v>2.12885314E8</v>
      </c>
      <c r="D188" s="152" t="s">
        <v>401</v>
      </c>
      <c r="E188" s="53" t="s">
        <v>77</v>
      </c>
      <c r="F188" s="154"/>
      <c r="G188" s="53"/>
      <c r="H188" s="53" t="str">
        <f t="shared" si="466"/>
        <v>0.00069</v>
      </c>
      <c r="I188" s="53" t="str">
        <f t="shared" si="467"/>
        <v>89</v>
      </c>
      <c r="J188" s="53" t="str">
        <f t="shared" si="468"/>
        <v>0</v>
      </c>
      <c r="K188" s="155" t="str">
        <f t="shared" si="469"/>
        <v>0.00</v>
      </c>
      <c r="L188" s="156" t="str">
        <f t="shared" si="470"/>
        <v>0.00 </v>
      </c>
      <c r="M188" s="132">
        <v>90.0</v>
      </c>
      <c r="N188" s="325" t="str">
        <f t="shared" si="471"/>
        <v>#DIV/0!</v>
      </c>
      <c r="O188" s="158">
        <v>1060.8</v>
      </c>
      <c r="P188" s="159" t="str">
        <f t="shared" si="472"/>
        <v>#DIV/0!</v>
      </c>
      <c r="Q188" s="160"/>
      <c r="R188" s="161">
        <v>0.26</v>
      </c>
      <c r="S188" s="162" t="str">
        <f t="shared" si="473"/>
        <v>784.99</v>
      </c>
      <c r="T188" s="163" t="str">
        <f t="shared" si="474"/>
        <v>20.00</v>
      </c>
      <c r="U188" s="164" t="str">
        <f t="shared" si="475"/>
        <v>62.80</v>
      </c>
      <c r="V188" s="165" t="str">
        <f t="shared" si="476"/>
        <v>#DIV/0!</v>
      </c>
      <c r="W188" s="166">
        <v>1.34</v>
      </c>
      <c r="X188" s="167" t="str">
        <f t="shared" si="477"/>
        <v>95</v>
      </c>
      <c r="Y188" s="168" t="str">
        <f t="shared" si="478"/>
        <v>291.720</v>
      </c>
      <c r="Z188" s="168" t="str">
        <f t="shared" si="479"/>
        <v>17.034</v>
      </c>
      <c r="AA188" s="164" t="str">
        <f t="shared" si="480"/>
        <v>3.10</v>
      </c>
      <c r="AB188" s="164">
        <v>93.81</v>
      </c>
      <c r="AC188" s="164" t="str">
        <f t="shared" si="481"/>
        <v>9.60</v>
      </c>
      <c r="AD188" s="165" t="str">
        <f t="shared" si="482"/>
        <v>53.04</v>
      </c>
      <c r="AE188" s="23"/>
      <c r="AF188" s="169" t="str">
        <f t="shared" si="483"/>
        <v>20.4</v>
      </c>
      <c r="AG188" s="163" t="str">
        <f t="shared" si="484"/>
        <v>#DIV/0!</v>
      </c>
      <c r="AH188" s="170" t="str">
        <f t="shared" si="485"/>
        <v>#DIV/0!</v>
      </c>
      <c r="AI188" s="26"/>
      <c r="AJ188" s="171" t="str">
        <f t="shared" si="486"/>
        <v>0.00%</v>
      </c>
      <c r="AK188" s="172" t="str">
        <f t="shared" si="487"/>
        <v>#DIV/0!</v>
      </c>
      <c r="AL188" s="173" t="str">
        <f t="shared" si="488"/>
        <v>#DIV/0!</v>
      </c>
      <c r="AM188" s="174" t="str">
        <f t="shared" si="489"/>
        <v>#DIV/0!</v>
      </c>
    </row>
    <row r="189" ht="12.75" customHeight="1">
      <c r="A189" s="26"/>
      <c r="B189" s="125" t="s">
        <v>402</v>
      </c>
      <c r="C189" s="126"/>
      <c r="D189" s="127"/>
      <c r="E189" s="128"/>
      <c r="F189" s="129"/>
      <c r="G189" s="128"/>
      <c r="H189" s="197"/>
      <c r="I189" s="197"/>
      <c r="J189" s="128"/>
      <c r="K189" s="130"/>
      <c r="L189" s="131"/>
      <c r="M189" s="132"/>
      <c r="N189" s="320"/>
      <c r="O189" s="134"/>
      <c r="P189" s="135"/>
      <c r="Q189" s="135"/>
      <c r="R189" s="136"/>
      <c r="S189" s="137"/>
      <c r="T189" s="177"/>
      <c r="U189" s="178"/>
      <c r="V189" s="179"/>
      <c r="W189" s="180"/>
      <c r="X189" s="181"/>
      <c r="Y189" s="182"/>
      <c r="Z189" s="182"/>
      <c r="AA189" s="178"/>
      <c r="AB189" s="178"/>
      <c r="AC189" s="178"/>
      <c r="AD189" s="179"/>
      <c r="AE189" s="183"/>
      <c r="AF189" s="184"/>
      <c r="AG189" s="177"/>
      <c r="AH189" s="185"/>
      <c r="AI189" s="26"/>
      <c r="AJ189" s="186"/>
      <c r="AK189" s="187"/>
      <c r="AL189" s="188"/>
      <c r="AM189" s="189"/>
    </row>
    <row r="190" ht="12.75" customHeight="1">
      <c r="A190" s="26"/>
      <c r="B190" s="190" t="s">
        <v>403</v>
      </c>
      <c r="C190" s="199">
        <v>1.80709801E8</v>
      </c>
      <c r="D190" s="152" t="s">
        <v>404</v>
      </c>
      <c r="E190" s="53" t="s">
        <v>77</v>
      </c>
      <c r="F190" s="154"/>
      <c r="G190" s="53"/>
      <c r="H190" s="53" t="str">
        <f t="shared" ref="H190:H192" si="490">$I$2</f>
        <v>0.00069</v>
      </c>
      <c r="I190" s="53" t="str">
        <f t="shared" ref="I190:I192" si="491">$I$3</f>
        <v>89</v>
      </c>
      <c r="J190" s="53" t="str">
        <f t="shared" ref="J190:J192" si="492">G190*H190*I190*F190</f>
        <v>0</v>
      </c>
      <c r="K190" s="155" t="str">
        <f t="shared" ref="K190:K192" si="493">J190*$J$4</f>
        <v>0.00</v>
      </c>
      <c r="L190" s="156" t="str">
        <f t="shared" ref="L190:L192" si="494">K190+J190</f>
        <v>0.00 </v>
      </c>
      <c r="M190" s="132">
        <v>90.0</v>
      </c>
      <c r="N190" s="325">
        <v>415.46</v>
      </c>
      <c r="O190" s="158">
        <v>1290.0</v>
      </c>
      <c r="P190" s="159" t="str">
        <f t="shared" ref="P190:P191" si="495">O190</f>
        <v>1,290.00</v>
      </c>
      <c r="Q190" s="160">
        <v>1290.0</v>
      </c>
      <c r="R190" s="161">
        <v>0.26</v>
      </c>
      <c r="S190" s="162" t="str">
        <f t="shared" ref="S190:S192" si="496">O190-(O190*R190)</f>
        <v>954.60</v>
      </c>
      <c r="T190" s="163" t="str">
        <f t="shared" ref="T190:T192" si="497">$C$1</f>
        <v>20.00</v>
      </c>
      <c r="U190" s="164" t="str">
        <f t="shared" ref="U190:U192" si="498">S190*$C$8</f>
        <v>76.37</v>
      </c>
      <c r="V190" s="165" t="str">
        <f t="shared" ref="V190:V192" si="499">N190*$C$3*(M190/30)</f>
        <v>0.00</v>
      </c>
      <c r="W190" s="166">
        <v>0.36</v>
      </c>
      <c r="X190" s="167" t="str">
        <f t="shared" ref="X190:X192" si="500">((_xlfn.CEILING.MATH(W190)-1)*$C$5+$C$4)</f>
        <v>76</v>
      </c>
      <c r="Y190" s="168" t="str">
        <f t="shared" ref="Y190:Y192" si="501">O190*$Y$6</f>
        <v>354.750</v>
      </c>
      <c r="Z190" s="168" t="str">
        <f t="shared" ref="Z190:Z192" si="502">S190*$Y$7</f>
        <v>20.715</v>
      </c>
      <c r="AA190" s="164" t="str">
        <f t="shared" ref="AA190:AA192" si="503">$Y$3*((100-AB190)/100)</f>
        <v>3.19</v>
      </c>
      <c r="AB190" s="164">
        <v>93.62</v>
      </c>
      <c r="AC190" s="164" t="str">
        <f t="shared" ref="AC190:AC192" si="504">$C$6*$C$7*_xlfn.CEILING.MATH(W190)</f>
        <v>4.80</v>
      </c>
      <c r="AD190" s="165" t="str">
        <f t="shared" ref="AD190:AD192" si="505">O190*$C$2</f>
        <v>64.50</v>
      </c>
      <c r="AE190" s="23"/>
      <c r="AF190" s="169" t="str">
        <f t="shared" ref="AF190:AF192" si="506">(_xlfn.CEILING.MATH(W190))*$Y$1*$AD$2</f>
        <v>10.2</v>
      </c>
      <c r="AG190" s="163" t="str">
        <f t="shared" ref="AG190:AG192" si="507">O190-T190-U190-V190-X190-Y190-Z190-AA190-AC190-AD190-N190</f>
        <v>254.22</v>
      </c>
      <c r="AH190" s="170" t="str">
        <f t="shared" ref="AH190:AH192" si="508">AG190/N190</f>
        <v>61.19%</v>
      </c>
      <c r="AI190" s="26"/>
      <c r="AJ190" s="171" t="str">
        <f t="shared" ref="AJ190:AJ192" si="509">$AD$3</f>
        <v>0.00%</v>
      </c>
      <c r="AK190" s="172" t="str">
        <f t="shared" ref="AK190:AK192" si="510">N190*AJ190</f>
        <v>0.00</v>
      </c>
      <c r="AL190" s="173" t="str">
        <f t="shared" ref="AL190:AL192" si="511">(N190+T190+V190+X190+AA190+AC190+AF190+AK190)/(100%-($C$2+$C$8+$Y$6+$Y$7))</f>
        <v>923.86</v>
      </c>
      <c r="AM190" s="174" t="str">
        <f t="shared" ref="AM190:AM192" si="512">AL190-(AL190*$AD$1)</f>
        <v>655.94</v>
      </c>
    </row>
    <row r="191" ht="12.75" customHeight="1">
      <c r="A191" s="26"/>
      <c r="B191" s="190" t="s">
        <v>405</v>
      </c>
      <c r="C191" s="199">
        <v>1.79611284E8</v>
      </c>
      <c r="D191" s="152" t="s">
        <v>406</v>
      </c>
      <c r="E191" s="53" t="s">
        <v>77</v>
      </c>
      <c r="F191" s="154"/>
      <c r="G191" s="53"/>
      <c r="H191" s="53" t="str">
        <f t="shared" si="490"/>
        <v>0.00069</v>
      </c>
      <c r="I191" s="53" t="str">
        <f t="shared" si="491"/>
        <v>89</v>
      </c>
      <c r="J191" s="53" t="str">
        <f t="shared" si="492"/>
        <v>0</v>
      </c>
      <c r="K191" s="155" t="str">
        <f t="shared" si="493"/>
        <v>0.00</v>
      </c>
      <c r="L191" s="156" t="str">
        <f t="shared" si="494"/>
        <v>0.00 </v>
      </c>
      <c r="M191" s="132">
        <v>90.0</v>
      </c>
      <c r="N191" s="325">
        <v>415.46</v>
      </c>
      <c r="O191" s="158">
        <v>1290.0</v>
      </c>
      <c r="P191" s="159" t="str">
        <f t="shared" si="495"/>
        <v>1,290.00</v>
      </c>
      <c r="Q191" s="160" t="s">
        <v>78</v>
      </c>
      <c r="R191" s="161">
        <v>0.26</v>
      </c>
      <c r="S191" s="162" t="str">
        <f t="shared" si="496"/>
        <v>954.60</v>
      </c>
      <c r="T191" s="163" t="str">
        <f t="shared" si="497"/>
        <v>20.00</v>
      </c>
      <c r="U191" s="164" t="str">
        <f t="shared" si="498"/>
        <v>76.37</v>
      </c>
      <c r="V191" s="165" t="str">
        <f t="shared" si="499"/>
        <v>0.00</v>
      </c>
      <c r="W191" s="166">
        <v>0.36</v>
      </c>
      <c r="X191" s="167" t="str">
        <f t="shared" si="500"/>
        <v>76</v>
      </c>
      <c r="Y191" s="168" t="str">
        <f t="shared" si="501"/>
        <v>354.750</v>
      </c>
      <c r="Z191" s="168" t="str">
        <f t="shared" si="502"/>
        <v>20.715</v>
      </c>
      <c r="AA191" s="164" t="str">
        <f t="shared" si="503"/>
        <v>4.00</v>
      </c>
      <c r="AB191" s="164">
        <v>92.0</v>
      </c>
      <c r="AC191" s="164" t="str">
        <f t="shared" si="504"/>
        <v>4.80</v>
      </c>
      <c r="AD191" s="165" t="str">
        <f t="shared" si="505"/>
        <v>64.50</v>
      </c>
      <c r="AE191" s="23"/>
      <c r="AF191" s="169" t="str">
        <f t="shared" si="506"/>
        <v>10.2</v>
      </c>
      <c r="AG191" s="163" t="str">
        <f t="shared" si="507"/>
        <v>253.41</v>
      </c>
      <c r="AH191" s="170" t="str">
        <f t="shared" si="508"/>
        <v>60.99%</v>
      </c>
      <c r="AI191" s="26"/>
      <c r="AJ191" s="171" t="str">
        <f t="shared" si="509"/>
        <v>0.00%</v>
      </c>
      <c r="AK191" s="172" t="str">
        <f t="shared" si="510"/>
        <v>0.00</v>
      </c>
      <c r="AL191" s="173" t="str">
        <f t="shared" si="511"/>
        <v>925.27</v>
      </c>
      <c r="AM191" s="174" t="str">
        <f t="shared" si="512"/>
        <v>656.95</v>
      </c>
    </row>
    <row r="192" ht="12.75" customHeight="1">
      <c r="A192" s="26"/>
      <c r="B192" s="190" t="s">
        <v>407</v>
      </c>
      <c r="C192" s="192">
        <v>1.79611266E8</v>
      </c>
      <c r="D192" s="152" t="s">
        <v>408</v>
      </c>
      <c r="E192" s="53" t="s">
        <v>77</v>
      </c>
      <c r="F192" s="154"/>
      <c r="G192" s="53"/>
      <c r="H192" s="53" t="str">
        <f t="shared" si="490"/>
        <v>0.00069</v>
      </c>
      <c r="I192" s="53" t="str">
        <f t="shared" si="491"/>
        <v>89</v>
      </c>
      <c r="J192" s="53" t="str">
        <f t="shared" si="492"/>
        <v>0</v>
      </c>
      <c r="K192" s="155" t="str">
        <f t="shared" si="493"/>
        <v>0.00</v>
      </c>
      <c r="L192" s="156" t="str">
        <f t="shared" si="494"/>
        <v>0.00 </v>
      </c>
      <c r="M192" s="132">
        <v>90.0</v>
      </c>
      <c r="N192" s="325" t="str">
        <f>L192/F192</f>
        <v>#DIV/0!</v>
      </c>
      <c r="O192" s="158">
        <v>1116.9</v>
      </c>
      <c r="P192" s="159" t="str">
        <f>AL192</f>
        <v>#DIV/0!</v>
      </c>
      <c r="Q192" s="160"/>
      <c r="R192" s="161">
        <v>0.26</v>
      </c>
      <c r="S192" s="162" t="str">
        <f t="shared" si="496"/>
        <v>826.51</v>
      </c>
      <c r="T192" s="163" t="str">
        <f t="shared" si="497"/>
        <v>20.00</v>
      </c>
      <c r="U192" s="164" t="str">
        <f t="shared" si="498"/>
        <v>66.12</v>
      </c>
      <c r="V192" s="165" t="str">
        <f t="shared" si="499"/>
        <v>#DIV/0!</v>
      </c>
      <c r="W192" s="166">
        <v>0.36</v>
      </c>
      <c r="X192" s="167" t="str">
        <f t="shared" si="500"/>
        <v>76</v>
      </c>
      <c r="Y192" s="168" t="str">
        <f t="shared" si="501"/>
        <v>307.148</v>
      </c>
      <c r="Z192" s="168" t="str">
        <f t="shared" si="502"/>
        <v>17.935</v>
      </c>
      <c r="AA192" s="164" t="str">
        <f t="shared" si="503"/>
        <v>4.55</v>
      </c>
      <c r="AB192" s="164">
        <v>90.91</v>
      </c>
      <c r="AC192" s="164" t="str">
        <f t="shared" si="504"/>
        <v>4.80</v>
      </c>
      <c r="AD192" s="165" t="str">
        <f t="shared" si="505"/>
        <v>55.85</v>
      </c>
      <c r="AE192" s="23"/>
      <c r="AF192" s="169" t="str">
        <f t="shared" si="506"/>
        <v>10.2</v>
      </c>
      <c r="AG192" s="163" t="str">
        <f t="shared" si="507"/>
        <v>#DIV/0!</v>
      </c>
      <c r="AH192" s="170" t="str">
        <f t="shared" si="508"/>
        <v>#DIV/0!</v>
      </c>
      <c r="AI192" s="26"/>
      <c r="AJ192" s="171" t="str">
        <f t="shared" si="509"/>
        <v>0.00%</v>
      </c>
      <c r="AK192" s="172" t="str">
        <f t="shared" si="510"/>
        <v>#DIV/0!</v>
      </c>
      <c r="AL192" s="173" t="str">
        <f t="shared" si="511"/>
        <v>#DIV/0!</v>
      </c>
      <c r="AM192" s="174" t="str">
        <f t="shared" si="512"/>
        <v>#DIV/0!</v>
      </c>
    </row>
    <row r="193" ht="12.75" customHeight="1">
      <c r="A193" s="26"/>
      <c r="B193" s="125" t="s">
        <v>409</v>
      </c>
      <c r="C193" s="126"/>
      <c r="D193" s="127"/>
      <c r="E193" s="128"/>
      <c r="F193" s="129"/>
      <c r="G193" s="128"/>
      <c r="H193" s="197"/>
      <c r="I193" s="197"/>
      <c r="J193" s="128"/>
      <c r="K193" s="130"/>
      <c r="L193" s="131"/>
      <c r="M193" s="132"/>
      <c r="N193" s="320"/>
      <c r="O193" s="134"/>
      <c r="P193" s="135"/>
      <c r="Q193" s="135"/>
      <c r="R193" s="136"/>
      <c r="S193" s="137"/>
      <c r="T193" s="177"/>
      <c r="U193" s="178"/>
      <c r="V193" s="179"/>
      <c r="W193" s="180"/>
      <c r="X193" s="181"/>
      <c r="Y193" s="182"/>
      <c r="Z193" s="182"/>
      <c r="AA193" s="178"/>
      <c r="AB193" s="178"/>
      <c r="AC193" s="178"/>
      <c r="AD193" s="179"/>
      <c r="AE193" s="183"/>
      <c r="AF193" s="184"/>
      <c r="AG193" s="177"/>
      <c r="AH193" s="185"/>
      <c r="AI193" s="26"/>
      <c r="AJ193" s="186"/>
      <c r="AK193" s="187"/>
      <c r="AL193" s="188"/>
      <c r="AM193" s="189"/>
    </row>
    <row r="194" ht="12.75" customHeight="1">
      <c r="A194" s="26"/>
      <c r="B194" s="190" t="s">
        <v>410</v>
      </c>
      <c r="C194" s="216"/>
      <c r="D194" s="213" t="s">
        <v>411</v>
      </c>
      <c r="E194" s="53"/>
      <c r="F194" s="154"/>
      <c r="G194" s="53"/>
      <c r="H194" s="53" t="str">
        <f>$I$2</f>
        <v>0.00069</v>
      </c>
      <c r="I194" s="53" t="str">
        <f>$I$3</f>
        <v>89</v>
      </c>
      <c r="J194" s="53" t="str">
        <f>G194*H194*I194*F194</f>
        <v>0</v>
      </c>
      <c r="K194" s="155" t="str">
        <f>J194*$J$4</f>
        <v>0.00</v>
      </c>
      <c r="L194" s="156" t="str">
        <f>K194+J194</f>
        <v>0.00 </v>
      </c>
      <c r="M194" s="132">
        <v>90.0</v>
      </c>
      <c r="N194" s="325" t="str">
        <f>L194/F194</f>
        <v>#DIV/0!</v>
      </c>
      <c r="O194" s="158"/>
      <c r="P194" s="159" t="str">
        <f>AL194</f>
        <v>#DIV/0!</v>
      </c>
      <c r="Q194" s="160"/>
      <c r="R194" s="161">
        <v>0.26</v>
      </c>
      <c r="S194" s="162" t="str">
        <f>O194-(O194*R194)</f>
        <v>0.00</v>
      </c>
      <c r="T194" s="163" t="str">
        <f>$C$1</f>
        <v>20.00</v>
      </c>
      <c r="U194" s="164" t="str">
        <f>S194*$C$8</f>
        <v>0.00</v>
      </c>
      <c r="V194" s="165" t="str">
        <f>N194*$C$3*(M194/30)</f>
        <v>#DIV/0!</v>
      </c>
      <c r="W194" s="166"/>
      <c r="X194" s="167" t="str">
        <f>((_xlfn.CEILING.MATH(W194)-1)*$C$5+$C$4)</f>
        <v>57</v>
      </c>
      <c r="Y194" s="168" t="str">
        <f>O194*$Y$6</f>
        <v>0.000</v>
      </c>
      <c r="Z194" s="168" t="str">
        <f>S194*$Y$7</f>
        <v>0.000</v>
      </c>
      <c r="AA194" s="164" t="str">
        <f>$Y$3*((100-AB194)/100)</f>
        <v>50.00</v>
      </c>
      <c r="AB194" s="164"/>
      <c r="AC194" s="164" t="str">
        <f>$C$6*$C$7*_xlfn.CEILING.MATH(W194)</f>
        <v>0.00</v>
      </c>
      <c r="AD194" s="165" t="str">
        <f>O194*$C$2</f>
        <v>0.00</v>
      </c>
      <c r="AE194" s="23"/>
      <c r="AF194" s="169" t="str">
        <f>(_xlfn.CEILING.MATH(W194))*$Y$1*$AD$2</f>
        <v>0</v>
      </c>
      <c r="AG194" s="163" t="str">
        <f>O194-T194-U194-V194-X194-Y194-Z194-AA194-AC194-AD194-N194</f>
        <v>#DIV/0!</v>
      </c>
      <c r="AH194" s="170" t="str">
        <f>AG194/N194</f>
        <v>#DIV/0!</v>
      </c>
      <c r="AI194" s="26"/>
      <c r="AJ194" s="171" t="str">
        <f>$AD$3</f>
        <v>0.00%</v>
      </c>
      <c r="AK194" s="172" t="str">
        <f>N194*AJ194</f>
        <v>#DIV/0!</v>
      </c>
      <c r="AL194" s="173" t="str">
        <f>(N194+T194+V194+X194+AA194+AC194+AF194+AK194)/(100%-($C$2+$C$8+$Y$6+$Y$7))</f>
        <v>#DIV/0!</v>
      </c>
      <c r="AM194" s="174" t="str">
        <f>AL194-(AL194*$AD$1)</f>
        <v>#DIV/0!</v>
      </c>
    </row>
    <row r="195" ht="12.75" customHeight="1">
      <c r="A195" s="26"/>
      <c r="B195" s="125" t="s">
        <v>412</v>
      </c>
      <c r="C195" s="126"/>
      <c r="D195" s="127"/>
      <c r="E195" s="128"/>
      <c r="F195" s="129"/>
      <c r="G195" s="128"/>
      <c r="H195" s="197"/>
      <c r="I195" s="197"/>
      <c r="J195" s="128"/>
      <c r="K195" s="130"/>
      <c r="L195" s="131"/>
      <c r="M195" s="132"/>
      <c r="N195" s="320"/>
      <c r="O195" s="134"/>
      <c r="P195" s="135"/>
      <c r="Q195" s="135"/>
      <c r="R195" s="136"/>
      <c r="S195" s="137"/>
      <c r="T195" s="177"/>
      <c r="U195" s="178"/>
      <c r="V195" s="179"/>
      <c r="W195" s="180"/>
      <c r="X195" s="181"/>
      <c r="Y195" s="182"/>
      <c r="Z195" s="182"/>
      <c r="AA195" s="178"/>
      <c r="AB195" s="178"/>
      <c r="AC195" s="178"/>
      <c r="AD195" s="179"/>
      <c r="AE195" s="183"/>
      <c r="AF195" s="184"/>
      <c r="AG195" s="177"/>
      <c r="AH195" s="185"/>
      <c r="AI195" s="26"/>
      <c r="AJ195" s="186"/>
      <c r="AK195" s="187"/>
      <c r="AL195" s="188"/>
      <c r="AM195" s="189"/>
    </row>
    <row r="196" ht="12.75" customHeight="1">
      <c r="A196" s="26"/>
      <c r="B196" s="190" t="s">
        <v>413</v>
      </c>
      <c r="C196" s="199">
        <v>2.07818642E8</v>
      </c>
      <c r="D196" s="152" t="s">
        <v>414</v>
      </c>
      <c r="E196" s="53" t="s">
        <v>77</v>
      </c>
      <c r="F196" s="154"/>
      <c r="G196" s="53"/>
      <c r="H196" s="53" t="str">
        <f t="shared" ref="H196:H205" si="513">$I$2</f>
        <v>0.00069</v>
      </c>
      <c r="I196" s="53" t="str">
        <f t="shared" ref="I196:I205" si="514">$I$3</f>
        <v>89</v>
      </c>
      <c r="J196" s="53" t="str">
        <f t="shared" ref="J196:J205" si="515">G196*H196*I196*F196</f>
        <v>0</v>
      </c>
      <c r="K196" s="155" t="str">
        <f t="shared" ref="K196:K205" si="516">J196*$J$4</f>
        <v>0.00</v>
      </c>
      <c r="L196" s="156" t="str">
        <f t="shared" ref="L196:L205" si="517">K196+J196</f>
        <v>0.00 </v>
      </c>
      <c r="M196" s="132">
        <v>90.0</v>
      </c>
      <c r="N196" s="325">
        <v>89.58</v>
      </c>
      <c r="O196" s="158">
        <v>601.0</v>
      </c>
      <c r="P196" s="159" t="str">
        <f t="shared" ref="P196:P198" si="518">O196</f>
        <v>601.00</v>
      </c>
      <c r="Q196" s="160">
        <v>540.0</v>
      </c>
      <c r="R196" s="161">
        <v>0.26</v>
      </c>
      <c r="S196" s="162" t="str">
        <f t="shared" ref="S196:S205" si="519">O196-(O196*R196)</f>
        <v>444.74</v>
      </c>
      <c r="T196" s="163" t="str">
        <f t="shared" ref="T196:T205" si="520">$C$1</f>
        <v>20.00</v>
      </c>
      <c r="U196" s="164" t="str">
        <f t="shared" ref="U196:U205" si="521">S196*$C$8</f>
        <v>35.58</v>
      </c>
      <c r="V196" s="165" t="str">
        <f t="shared" ref="V196:V205" si="522">N196*$C$3*(M196/30)</f>
        <v>0.00</v>
      </c>
      <c r="W196" s="166">
        <v>0.27</v>
      </c>
      <c r="X196" s="167" t="str">
        <f t="shared" ref="X196:X205" si="523">((_xlfn.CEILING.MATH(W196)-1)*$C$5+$C$4)</f>
        <v>76</v>
      </c>
      <c r="Y196" s="168" t="str">
        <f t="shared" ref="Y196:Y205" si="524">O196*$Y$6</f>
        <v>165.275</v>
      </c>
      <c r="Z196" s="168" t="str">
        <f t="shared" ref="Z196:Z205" si="525">S196*$Y$7</f>
        <v>9.651</v>
      </c>
      <c r="AA196" s="164" t="str">
        <f t="shared" ref="AA196:AA205" si="526">$Y$3*((100-AB196)/100)</f>
        <v>0.00</v>
      </c>
      <c r="AB196" s="164">
        <v>100.0</v>
      </c>
      <c r="AC196" s="164" t="str">
        <f t="shared" ref="AC196:AC205" si="527">$C$6*$C$7*_xlfn.CEILING.MATH(W196)</f>
        <v>4.80</v>
      </c>
      <c r="AD196" s="165" t="str">
        <f t="shared" ref="AD196:AD205" si="528">O196*$C$2</f>
        <v>30.05</v>
      </c>
      <c r="AE196" s="23"/>
      <c r="AF196" s="169" t="str">
        <f t="shared" ref="AF196:AF205" si="529">(_xlfn.CEILING.MATH(W196))*$Y$1*$AD$2</f>
        <v>10.2</v>
      </c>
      <c r="AG196" s="163" t="str">
        <f t="shared" ref="AG196:AG205" si="530">O196-T196-U196-V196-X196-Y196-Z196-AA196-AC196-AD196-N196</f>
        <v>170.06</v>
      </c>
      <c r="AH196" s="170" t="str">
        <f t="shared" ref="AH196:AH205" si="531">AG196/N196</f>
        <v>189.85%</v>
      </c>
      <c r="AI196" s="26"/>
      <c r="AJ196" s="171" t="str">
        <f t="shared" ref="AJ196:AJ205" si="532">$AD$3</f>
        <v>0.00%</v>
      </c>
      <c r="AK196" s="172" t="str">
        <f t="shared" ref="AK196:AK205" si="533">N196*AJ196</f>
        <v>0.00</v>
      </c>
      <c r="AL196" s="173" t="str">
        <f t="shared" ref="AL196:AL205" si="534">(N196+T196+V196+X196+AA196+AC196+AF196+AK196)/(100%-($C$2+$C$8+$Y$6+$Y$7))</f>
        <v>349.87</v>
      </c>
      <c r="AM196" s="174" t="str">
        <f t="shared" ref="AM196:AM205" si="535">AL196-(AL196*$AD$1)</f>
        <v>248.41</v>
      </c>
    </row>
    <row r="197" ht="12.75" customHeight="1">
      <c r="A197" s="26"/>
      <c r="B197" s="190" t="s">
        <v>415</v>
      </c>
      <c r="C197" s="199">
        <v>2.10575566E8</v>
      </c>
      <c r="D197" s="152" t="s">
        <v>416</v>
      </c>
      <c r="E197" s="53" t="s">
        <v>77</v>
      </c>
      <c r="F197" s="154"/>
      <c r="G197" s="53"/>
      <c r="H197" s="53" t="str">
        <f t="shared" si="513"/>
        <v>0.00069</v>
      </c>
      <c r="I197" s="53" t="str">
        <f t="shared" si="514"/>
        <v>89</v>
      </c>
      <c r="J197" s="53" t="str">
        <f t="shared" si="515"/>
        <v>0</v>
      </c>
      <c r="K197" s="155" t="str">
        <f t="shared" si="516"/>
        <v>0.00</v>
      </c>
      <c r="L197" s="156" t="str">
        <f t="shared" si="517"/>
        <v>0.00 </v>
      </c>
      <c r="M197" s="132">
        <v>90.0</v>
      </c>
      <c r="N197" s="325">
        <v>89.58</v>
      </c>
      <c r="O197" s="158">
        <v>675.0</v>
      </c>
      <c r="P197" s="159" t="str">
        <f t="shared" si="518"/>
        <v>675.00</v>
      </c>
      <c r="Q197" s="160">
        <v>680.0</v>
      </c>
      <c r="R197" s="161">
        <v>0.26</v>
      </c>
      <c r="S197" s="162" t="str">
        <f t="shared" si="519"/>
        <v>499.50</v>
      </c>
      <c r="T197" s="163" t="str">
        <f t="shared" si="520"/>
        <v>20.00</v>
      </c>
      <c r="U197" s="164" t="str">
        <f t="shared" si="521"/>
        <v>39.96</v>
      </c>
      <c r="V197" s="165" t="str">
        <f t="shared" si="522"/>
        <v>0.00</v>
      </c>
      <c r="W197" s="166">
        <v>0.27</v>
      </c>
      <c r="X197" s="167" t="str">
        <f t="shared" si="523"/>
        <v>76</v>
      </c>
      <c r="Y197" s="168" t="str">
        <f t="shared" si="524"/>
        <v>185.625</v>
      </c>
      <c r="Z197" s="168" t="str">
        <f t="shared" si="525"/>
        <v>10.839</v>
      </c>
      <c r="AA197" s="164" t="str">
        <f t="shared" si="526"/>
        <v>0.58</v>
      </c>
      <c r="AB197" s="164">
        <v>98.85</v>
      </c>
      <c r="AC197" s="164" t="str">
        <f t="shared" si="527"/>
        <v>4.80</v>
      </c>
      <c r="AD197" s="165" t="str">
        <f t="shared" si="528"/>
        <v>33.75</v>
      </c>
      <c r="AE197" s="23"/>
      <c r="AF197" s="169" t="str">
        <f t="shared" si="529"/>
        <v>10.2</v>
      </c>
      <c r="AG197" s="163" t="str">
        <f t="shared" si="530"/>
        <v>213.87</v>
      </c>
      <c r="AH197" s="170" t="str">
        <f t="shared" si="531"/>
        <v>238.75%</v>
      </c>
      <c r="AI197" s="26"/>
      <c r="AJ197" s="171" t="str">
        <f t="shared" si="532"/>
        <v>0.00%</v>
      </c>
      <c r="AK197" s="172" t="str">
        <f t="shared" si="533"/>
        <v>0.00</v>
      </c>
      <c r="AL197" s="173" t="str">
        <f t="shared" si="534"/>
        <v>350.87</v>
      </c>
      <c r="AM197" s="174" t="str">
        <f t="shared" si="535"/>
        <v>249.12</v>
      </c>
    </row>
    <row r="198" ht="12.75" customHeight="1">
      <c r="A198" s="26"/>
      <c r="B198" s="190" t="s">
        <v>417</v>
      </c>
      <c r="C198" s="199">
        <v>2.10579932E8</v>
      </c>
      <c r="D198" s="152" t="s">
        <v>418</v>
      </c>
      <c r="E198" s="53" t="s">
        <v>77</v>
      </c>
      <c r="F198" s="154"/>
      <c r="G198" s="53"/>
      <c r="H198" s="53" t="str">
        <f t="shared" si="513"/>
        <v>0.00069</v>
      </c>
      <c r="I198" s="53" t="str">
        <f t="shared" si="514"/>
        <v>89</v>
      </c>
      <c r="J198" s="53" t="str">
        <f t="shared" si="515"/>
        <v>0</v>
      </c>
      <c r="K198" s="155" t="str">
        <f t="shared" si="516"/>
        <v>0.00</v>
      </c>
      <c r="L198" s="156" t="str">
        <f t="shared" si="517"/>
        <v>0.00 </v>
      </c>
      <c r="M198" s="132">
        <v>90.0</v>
      </c>
      <c r="N198" s="325">
        <v>89.58</v>
      </c>
      <c r="O198" s="158">
        <v>601.0</v>
      </c>
      <c r="P198" s="159" t="str">
        <f t="shared" si="518"/>
        <v>601.00</v>
      </c>
      <c r="Q198" s="160">
        <v>606.0</v>
      </c>
      <c r="R198" s="161">
        <v>0.26</v>
      </c>
      <c r="S198" s="162" t="str">
        <f t="shared" si="519"/>
        <v>444.74</v>
      </c>
      <c r="T198" s="163" t="str">
        <f t="shared" si="520"/>
        <v>20.00</v>
      </c>
      <c r="U198" s="164" t="str">
        <f t="shared" si="521"/>
        <v>35.58</v>
      </c>
      <c r="V198" s="165" t="str">
        <f t="shared" si="522"/>
        <v>0.00</v>
      </c>
      <c r="W198" s="166">
        <v>0.27</v>
      </c>
      <c r="X198" s="167" t="str">
        <f t="shared" si="523"/>
        <v>76</v>
      </c>
      <c r="Y198" s="168" t="str">
        <f t="shared" si="524"/>
        <v>165.275</v>
      </c>
      <c r="Z198" s="168" t="str">
        <f t="shared" si="525"/>
        <v>9.651</v>
      </c>
      <c r="AA198" s="164" t="str">
        <f t="shared" si="526"/>
        <v>1.14</v>
      </c>
      <c r="AB198" s="164">
        <v>97.73</v>
      </c>
      <c r="AC198" s="164" t="str">
        <f t="shared" si="527"/>
        <v>4.80</v>
      </c>
      <c r="AD198" s="165" t="str">
        <f t="shared" si="528"/>
        <v>30.05</v>
      </c>
      <c r="AE198" s="23"/>
      <c r="AF198" s="169" t="str">
        <f t="shared" si="529"/>
        <v>10.2</v>
      </c>
      <c r="AG198" s="163" t="str">
        <f t="shared" si="530"/>
        <v>168.93</v>
      </c>
      <c r="AH198" s="170" t="str">
        <f t="shared" si="531"/>
        <v>188.58%</v>
      </c>
      <c r="AI198" s="26"/>
      <c r="AJ198" s="171" t="str">
        <f t="shared" si="532"/>
        <v>0.00%</v>
      </c>
      <c r="AK198" s="172" t="str">
        <f t="shared" si="533"/>
        <v>0.00</v>
      </c>
      <c r="AL198" s="173" t="str">
        <f t="shared" si="534"/>
        <v>351.85</v>
      </c>
      <c r="AM198" s="174" t="str">
        <f t="shared" si="535"/>
        <v>249.81</v>
      </c>
    </row>
    <row r="199" ht="12.75" customHeight="1">
      <c r="A199" s="26"/>
      <c r="B199" s="190" t="s">
        <v>419</v>
      </c>
      <c r="C199" s="192">
        <v>2.10573611E8</v>
      </c>
      <c r="D199" s="152" t="s">
        <v>420</v>
      </c>
      <c r="E199" s="53" t="s">
        <v>77</v>
      </c>
      <c r="F199" s="154"/>
      <c r="G199" s="53"/>
      <c r="H199" s="53" t="str">
        <f t="shared" si="513"/>
        <v>0.00069</v>
      </c>
      <c r="I199" s="53" t="str">
        <f t="shared" si="514"/>
        <v>89</v>
      </c>
      <c r="J199" s="53" t="str">
        <f t="shared" si="515"/>
        <v>0</v>
      </c>
      <c r="K199" s="155" t="str">
        <f t="shared" si="516"/>
        <v>0.00</v>
      </c>
      <c r="L199" s="156" t="str">
        <f t="shared" si="517"/>
        <v>0.00 </v>
      </c>
      <c r="M199" s="132">
        <v>90.0</v>
      </c>
      <c r="N199" s="325" t="str">
        <f t="shared" ref="N199:N205" si="536">L199/F199</f>
        <v>#DIV/0!</v>
      </c>
      <c r="O199" s="158">
        <v>460.8</v>
      </c>
      <c r="P199" s="159" t="str">
        <f t="shared" ref="P199:P205" si="537">AL199</f>
        <v>#DIV/0!</v>
      </c>
      <c r="Q199" s="160"/>
      <c r="R199" s="161">
        <v>0.26</v>
      </c>
      <c r="S199" s="162" t="str">
        <f t="shared" si="519"/>
        <v>340.99</v>
      </c>
      <c r="T199" s="163" t="str">
        <f t="shared" si="520"/>
        <v>20.00</v>
      </c>
      <c r="U199" s="164" t="str">
        <f t="shared" si="521"/>
        <v>27.28</v>
      </c>
      <c r="V199" s="165" t="str">
        <f t="shared" si="522"/>
        <v>#DIV/0!</v>
      </c>
      <c r="W199" s="166">
        <v>0.27</v>
      </c>
      <c r="X199" s="167" t="str">
        <f t="shared" si="523"/>
        <v>76</v>
      </c>
      <c r="Y199" s="168" t="str">
        <f t="shared" si="524"/>
        <v>126.720</v>
      </c>
      <c r="Z199" s="168" t="str">
        <f t="shared" si="525"/>
        <v>7.400</v>
      </c>
      <c r="AA199" s="164" t="str">
        <f t="shared" si="526"/>
        <v>2.94</v>
      </c>
      <c r="AB199" s="164">
        <v>94.12</v>
      </c>
      <c r="AC199" s="164" t="str">
        <f t="shared" si="527"/>
        <v>4.80</v>
      </c>
      <c r="AD199" s="165" t="str">
        <f t="shared" si="528"/>
        <v>23.04</v>
      </c>
      <c r="AE199" s="23"/>
      <c r="AF199" s="169" t="str">
        <f t="shared" si="529"/>
        <v>10.2</v>
      </c>
      <c r="AG199" s="163" t="str">
        <f t="shared" si="530"/>
        <v>#DIV/0!</v>
      </c>
      <c r="AH199" s="170" t="str">
        <f t="shared" si="531"/>
        <v>#DIV/0!</v>
      </c>
      <c r="AI199" s="26"/>
      <c r="AJ199" s="171" t="str">
        <f t="shared" si="532"/>
        <v>0.00%</v>
      </c>
      <c r="AK199" s="172" t="str">
        <f t="shared" si="533"/>
        <v>#DIV/0!</v>
      </c>
      <c r="AL199" s="173" t="str">
        <f t="shared" si="534"/>
        <v>#DIV/0!</v>
      </c>
      <c r="AM199" s="174" t="str">
        <f t="shared" si="535"/>
        <v>#DIV/0!</v>
      </c>
    </row>
    <row r="200" ht="12.75" customHeight="1">
      <c r="A200" s="26"/>
      <c r="B200" s="190" t="s">
        <v>421</v>
      </c>
      <c r="C200" s="191">
        <v>2.0781902E8</v>
      </c>
      <c r="D200" s="152" t="s">
        <v>422</v>
      </c>
      <c r="E200" s="53" t="s">
        <v>77</v>
      </c>
      <c r="F200" s="154"/>
      <c r="G200" s="53"/>
      <c r="H200" s="53" t="str">
        <f t="shared" si="513"/>
        <v>0.00069</v>
      </c>
      <c r="I200" s="53" t="str">
        <f t="shared" si="514"/>
        <v>89</v>
      </c>
      <c r="J200" s="53" t="str">
        <f t="shared" si="515"/>
        <v>0</v>
      </c>
      <c r="K200" s="155" t="str">
        <f t="shared" si="516"/>
        <v>0.00</v>
      </c>
      <c r="L200" s="156" t="str">
        <f t="shared" si="517"/>
        <v>0.00 </v>
      </c>
      <c r="M200" s="132">
        <v>90.0</v>
      </c>
      <c r="N200" s="325" t="str">
        <f t="shared" si="536"/>
        <v>#DIV/0!</v>
      </c>
      <c r="O200" s="158">
        <v>413.4</v>
      </c>
      <c r="P200" s="159" t="str">
        <f t="shared" si="537"/>
        <v>#DIV/0!</v>
      </c>
      <c r="Q200" s="160"/>
      <c r="R200" s="161">
        <v>0.26</v>
      </c>
      <c r="S200" s="162" t="str">
        <f t="shared" si="519"/>
        <v>305.92</v>
      </c>
      <c r="T200" s="163" t="str">
        <f t="shared" si="520"/>
        <v>20.00</v>
      </c>
      <c r="U200" s="164" t="str">
        <f t="shared" si="521"/>
        <v>24.47</v>
      </c>
      <c r="V200" s="165" t="str">
        <f t="shared" si="522"/>
        <v>#DIV/0!</v>
      </c>
      <c r="W200" s="166">
        <v>0.32</v>
      </c>
      <c r="X200" s="167" t="str">
        <f t="shared" si="523"/>
        <v>76</v>
      </c>
      <c r="Y200" s="168" t="str">
        <f t="shared" si="524"/>
        <v>113.685</v>
      </c>
      <c r="Z200" s="168" t="str">
        <f t="shared" si="525"/>
        <v>6.638</v>
      </c>
      <c r="AA200" s="164" t="str">
        <f t="shared" si="526"/>
        <v>0.62</v>
      </c>
      <c r="AB200" s="164">
        <v>98.77</v>
      </c>
      <c r="AC200" s="164" t="str">
        <f t="shared" si="527"/>
        <v>4.80</v>
      </c>
      <c r="AD200" s="165" t="str">
        <f t="shared" si="528"/>
        <v>20.67</v>
      </c>
      <c r="AE200" s="23"/>
      <c r="AF200" s="169" t="str">
        <f t="shared" si="529"/>
        <v>10.2</v>
      </c>
      <c r="AG200" s="163" t="str">
        <f t="shared" si="530"/>
        <v>#DIV/0!</v>
      </c>
      <c r="AH200" s="170" t="str">
        <f t="shared" si="531"/>
        <v>#DIV/0!</v>
      </c>
      <c r="AI200" s="26"/>
      <c r="AJ200" s="171" t="str">
        <f t="shared" si="532"/>
        <v>0.00%</v>
      </c>
      <c r="AK200" s="172" t="str">
        <f t="shared" si="533"/>
        <v>#DIV/0!</v>
      </c>
      <c r="AL200" s="173" t="str">
        <f t="shared" si="534"/>
        <v>#DIV/0!</v>
      </c>
      <c r="AM200" s="174" t="str">
        <f t="shared" si="535"/>
        <v>#DIV/0!</v>
      </c>
    </row>
    <row r="201" ht="12.75" customHeight="1">
      <c r="A201" s="26"/>
      <c r="B201" s="190" t="s">
        <v>423</v>
      </c>
      <c r="C201" s="192">
        <v>2.07818475E8</v>
      </c>
      <c r="D201" s="152" t="s">
        <v>424</v>
      </c>
      <c r="E201" s="53" t="s">
        <v>77</v>
      </c>
      <c r="F201" s="154"/>
      <c r="G201" s="53"/>
      <c r="H201" s="53" t="str">
        <f t="shared" si="513"/>
        <v>0.00069</v>
      </c>
      <c r="I201" s="53" t="str">
        <f t="shared" si="514"/>
        <v>89</v>
      </c>
      <c r="J201" s="53" t="str">
        <f t="shared" si="515"/>
        <v>0</v>
      </c>
      <c r="K201" s="155" t="str">
        <f t="shared" si="516"/>
        <v>0.00</v>
      </c>
      <c r="L201" s="156" t="str">
        <f t="shared" si="517"/>
        <v>0.00 </v>
      </c>
      <c r="M201" s="132">
        <v>90.0</v>
      </c>
      <c r="N201" s="325" t="str">
        <f t="shared" si="536"/>
        <v>#DIV/0!</v>
      </c>
      <c r="O201" s="158">
        <v>413.4</v>
      </c>
      <c r="P201" s="159" t="str">
        <f t="shared" si="537"/>
        <v>#DIV/0!</v>
      </c>
      <c r="Q201" s="160"/>
      <c r="R201" s="161">
        <v>0.26</v>
      </c>
      <c r="S201" s="162" t="str">
        <f t="shared" si="519"/>
        <v>305.92</v>
      </c>
      <c r="T201" s="163" t="str">
        <f t="shared" si="520"/>
        <v>20.00</v>
      </c>
      <c r="U201" s="164" t="str">
        <f t="shared" si="521"/>
        <v>24.47</v>
      </c>
      <c r="V201" s="165" t="str">
        <f t="shared" si="522"/>
        <v>#DIV/0!</v>
      </c>
      <c r="W201" s="166">
        <v>0.32</v>
      </c>
      <c r="X201" s="167" t="str">
        <f t="shared" si="523"/>
        <v>76</v>
      </c>
      <c r="Y201" s="168" t="str">
        <f t="shared" si="524"/>
        <v>113.685</v>
      </c>
      <c r="Z201" s="168" t="str">
        <f t="shared" si="525"/>
        <v>6.638</v>
      </c>
      <c r="AA201" s="164" t="str">
        <f t="shared" si="526"/>
        <v>2.10</v>
      </c>
      <c r="AB201" s="164">
        <v>95.8</v>
      </c>
      <c r="AC201" s="164" t="str">
        <f t="shared" si="527"/>
        <v>4.80</v>
      </c>
      <c r="AD201" s="165" t="str">
        <f t="shared" si="528"/>
        <v>20.67</v>
      </c>
      <c r="AE201" s="23"/>
      <c r="AF201" s="169" t="str">
        <f t="shared" si="529"/>
        <v>10.2</v>
      </c>
      <c r="AG201" s="163" t="str">
        <f t="shared" si="530"/>
        <v>#DIV/0!</v>
      </c>
      <c r="AH201" s="170" t="str">
        <f t="shared" si="531"/>
        <v>#DIV/0!</v>
      </c>
      <c r="AI201" s="26"/>
      <c r="AJ201" s="171" t="str">
        <f t="shared" si="532"/>
        <v>0.00%</v>
      </c>
      <c r="AK201" s="172" t="str">
        <f t="shared" si="533"/>
        <v>#DIV/0!</v>
      </c>
      <c r="AL201" s="173" t="str">
        <f t="shared" si="534"/>
        <v>#DIV/0!</v>
      </c>
      <c r="AM201" s="174" t="str">
        <f t="shared" si="535"/>
        <v>#DIV/0!</v>
      </c>
    </row>
    <row r="202" ht="12.75" customHeight="1">
      <c r="A202" s="26"/>
      <c r="B202" s="190" t="s">
        <v>425</v>
      </c>
      <c r="C202" s="192">
        <v>2.07819733E8</v>
      </c>
      <c r="D202" s="152" t="s">
        <v>426</v>
      </c>
      <c r="E202" s="53" t="s">
        <v>77</v>
      </c>
      <c r="F202" s="154"/>
      <c r="G202" s="53"/>
      <c r="H202" s="53" t="str">
        <f t="shared" si="513"/>
        <v>0.00069</v>
      </c>
      <c r="I202" s="53" t="str">
        <f t="shared" si="514"/>
        <v>89</v>
      </c>
      <c r="J202" s="53" t="str">
        <f t="shared" si="515"/>
        <v>0</v>
      </c>
      <c r="K202" s="155" t="str">
        <f t="shared" si="516"/>
        <v>0.00</v>
      </c>
      <c r="L202" s="156" t="str">
        <f t="shared" si="517"/>
        <v>0.00 </v>
      </c>
      <c r="M202" s="132">
        <v>90.0</v>
      </c>
      <c r="N202" s="325" t="str">
        <f t="shared" si="536"/>
        <v>#DIV/0!</v>
      </c>
      <c r="O202" s="158">
        <v>413.4</v>
      </c>
      <c r="P202" s="159" t="str">
        <f t="shared" si="537"/>
        <v>#DIV/0!</v>
      </c>
      <c r="Q202" s="160"/>
      <c r="R202" s="161">
        <v>0.26</v>
      </c>
      <c r="S202" s="162" t="str">
        <f t="shared" si="519"/>
        <v>305.92</v>
      </c>
      <c r="T202" s="163" t="str">
        <f t="shared" si="520"/>
        <v>20.00</v>
      </c>
      <c r="U202" s="164" t="str">
        <f t="shared" si="521"/>
        <v>24.47</v>
      </c>
      <c r="V202" s="165" t="str">
        <f t="shared" si="522"/>
        <v>#DIV/0!</v>
      </c>
      <c r="W202" s="166">
        <v>0.32</v>
      </c>
      <c r="X202" s="167" t="str">
        <f t="shared" si="523"/>
        <v>76</v>
      </c>
      <c r="Y202" s="168" t="str">
        <f t="shared" si="524"/>
        <v>113.685</v>
      </c>
      <c r="Z202" s="168" t="str">
        <f t="shared" si="525"/>
        <v>6.638</v>
      </c>
      <c r="AA202" s="164" t="str">
        <f t="shared" si="526"/>
        <v>2.12</v>
      </c>
      <c r="AB202" s="164">
        <v>95.76</v>
      </c>
      <c r="AC202" s="164" t="str">
        <f t="shared" si="527"/>
        <v>4.80</v>
      </c>
      <c r="AD202" s="165" t="str">
        <f t="shared" si="528"/>
        <v>20.67</v>
      </c>
      <c r="AE202" s="23"/>
      <c r="AF202" s="169" t="str">
        <f t="shared" si="529"/>
        <v>10.2</v>
      </c>
      <c r="AG202" s="163" t="str">
        <f t="shared" si="530"/>
        <v>#DIV/0!</v>
      </c>
      <c r="AH202" s="170" t="str">
        <f t="shared" si="531"/>
        <v>#DIV/0!</v>
      </c>
      <c r="AI202" s="26"/>
      <c r="AJ202" s="171" t="str">
        <f t="shared" si="532"/>
        <v>0.00%</v>
      </c>
      <c r="AK202" s="172" t="str">
        <f t="shared" si="533"/>
        <v>#DIV/0!</v>
      </c>
      <c r="AL202" s="173" t="str">
        <f t="shared" si="534"/>
        <v>#DIV/0!</v>
      </c>
      <c r="AM202" s="174" t="str">
        <f t="shared" si="535"/>
        <v>#DIV/0!</v>
      </c>
    </row>
    <row r="203" ht="12.75" customHeight="1">
      <c r="A203" s="26"/>
      <c r="B203" s="190" t="s">
        <v>427</v>
      </c>
      <c r="C203" s="214">
        <v>1.65008074E8</v>
      </c>
      <c r="D203" s="152" t="s">
        <v>428</v>
      </c>
      <c r="E203" s="53" t="s">
        <v>77</v>
      </c>
      <c r="F203" s="154"/>
      <c r="G203" s="53"/>
      <c r="H203" s="53" t="str">
        <f t="shared" si="513"/>
        <v>0.00069</v>
      </c>
      <c r="I203" s="53" t="str">
        <f t="shared" si="514"/>
        <v>89</v>
      </c>
      <c r="J203" s="53" t="str">
        <f t="shared" si="515"/>
        <v>0</v>
      </c>
      <c r="K203" s="155" t="str">
        <f t="shared" si="516"/>
        <v>0.00</v>
      </c>
      <c r="L203" s="156" t="str">
        <f t="shared" si="517"/>
        <v>0.00 </v>
      </c>
      <c r="M203" s="132">
        <v>90.0</v>
      </c>
      <c r="N203" s="325" t="str">
        <f t="shared" si="536"/>
        <v>#DIV/0!</v>
      </c>
      <c r="O203" s="158">
        <v>462.6</v>
      </c>
      <c r="P203" s="159" t="str">
        <f t="shared" si="537"/>
        <v>#DIV/0!</v>
      </c>
      <c r="Q203" s="160"/>
      <c r="R203" s="161">
        <v>0.26</v>
      </c>
      <c r="S203" s="162" t="str">
        <f t="shared" si="519"/>
        <v>342.32</v>
      </c>
      <c r="T203" s="163" t="str">
        <f t="shared" si="520"/>
        <v>20.00</v>
      </c>
      <c r="U203" s="164" t="str">
        <f t="shared" si="521"/>
        <v>27.39</v>
      </c>
      <c r="V203" s="165" t="str">
        <f t="shared" si="522"/>
        <v>#DIV/0!</v>
      </c>
      <c r="W203" s="166">
        <v>0.16</v>
      </c>
      <c r="X203" s="167" t="str">
        <f t="shared" si="523"/>
        <v>76</v>
      </c>
      <c r="Y203" s="168" t="str">
        <f t="shared" si="524"/>
        <v>127.215</v>
      </c>
      <c r="Z203" s="168" t="str">
        <f t="shared" si="525"/>
        <v>7.428</v>
      </c>
      <c r="AA203" s="164" t="str">
        <f t="shared" si="526"/>
        <v>5.00</v>
      </c>
      <c r="AB203" s="164">
        <v>90.0</v>
      </c>
      <c r="AC203" s="164" t="str">
        <f t="shared" si="527"/>
        <v>4.80</v>
      </c>
      <c r="AD203" s="165" t="str">
        <f t="shared" si="528"/>
        <v>23.13</v>
      </c>
      <c r="AE203" s="23"/>
      <c r="AF203" s="169" t="str">
        <f t="shared" si="529"/>
        <v>10.2</v>
      </c>
      <c r="AG203" s="163" t="str">
        <f t="shared" si="530"/>
        <v>#DIV/0!</v>
      </c>
      <c r="AH203" s="170" t="str">
        <f t="shared" si="531"/>
        <v>#DIV/0!</v>
      </c>
      <c r="AI203" s="26"/>
      <c r="AJ203" s="171" t="str">
        <f t="shared" si="532"/>
        <v>0.00%</v>
      </c>
      <c r="AK203" s="172" t="str">
        <f t="shared" si="533"/>
        <v>#DIV/0!</v>
      </c>
      <c r="AL203" s="173" t="str">
        <f t="shared" si="534"/>
        <v>#DIV/0!</v>
      </c>
      <c r="AM203" s="174" t="str">
        <f t="shared" si="535"/>
        <v>#DIV/0!</v>
      </c>
    </row>
    <row r="204" ht="12.75" customHeight="1">
      <c r="A204" s="26"/>
      <c r="B204" s="190" t="s">
        <v>429</v>
      </c>
      <c r="C204" s="214">
        <v>1.65008162E8</v>
      </c>
      <c r="D204" s="152" t="s">
        <v>430</v>
      </c>
      <c r="E204" s="53" t="s">
        <v>77</v>
      </c>
      <c r="F204" s="154"/>
      <c r="G204" s="53"/>
      <c r="H204" s="53" t="str">
        <f t="shared" si="513"/>
        <v>0.00069</v>
      </c>
      <c r="I204" s="53" t="str">
        <f t="shared" si="514"/>
        <v>89</v>
      </c>
      <c r="J204" s="53" t="str">
        <f t="shared" si="515"/>
        <v>0</v>
      </c>
      <c r="K204" s="155" t="str">
        <f t="shared" si="516"/>
        <v>0.00</v>
      </c>
      <c r="L204" s="156" t="str">
        <f t="shared" si="517"/>
        <v>0.00 </v>
      </c>
      <c r="M204" s="132">
        <v>90.0</v>
      </c>
      <c r="N204" s="325" t="str">
        <f t="shared" si="536"/>
        <v>#DIV/0!</v>
      </c>
      <c r="O204" s="158">
        <v>460.8</v>
      </c>
      <c r="P204" s="159" t="str">
        <f t="shared" si="537"/>
        <v>#DIV/0!</v>
      </c>
      <c r="Q204" s="160"/>
      <c r="R204" s="161">
        <v>0.26</v>
      </c>
      <c r="S204" s="162" t="str">
        <f t="shared" si="519"/>
        <v>340.99</v>
      </c>
      <c r="T204" s="163" t="str">
        <f t="shared" si="520"/>
        <v>20.00</v>
      </c>
      <c r="U204" s="164" t="str">
        <f t="shared" si="521"/>
        <v>27.28</v>
      </c>
      <c r="V204" s="165" t="str">
        <f t="shared" si="522"/>
        <v>#DIV/0!</v>
      </c>
      <c r="W204" s="166">
        <v>0.16</v>
      </c>
      <c r="X204" s="167" t="str">
        <f t="shared" si="523"/>
        <v>76</v>
      </c>
      <c r="Y204" s="168" t="str">
        <f t="shared" si="524"/>
        <v>126.720</v>
      </c>
      <c r="Z204" s="168" t="str">
        <f t="shared" si="525"/>
        <v>7.400</v>
      </c>
      <c r="AA204" s="164" t="str">
        <f t="shared" si="526"/>
        <v>3.34</v>
      </c>
      <c r="AB204" s="164">
        <v>93.33</v>
      </c>
      <c r="AC204" s="164" t="str">
        <f t="shared" si="527"/>
        <v>4.80</v>
      </c>
      <c r="AD204" s="165" t="str">
        <f t="shared" si="528"/>
        <v>23.04</v>
      </c>
      <c r="AE204" s="23"/>
      <c r="AF204" s="169" t="str">
        <f t="shared" si="529"/>
        <v>10.2</v>
      </c>
      <c r="AG204" s="163" t="str">
        <f t="shared" si="530"/>
        <v>#DIV/0!</v>
      </c>
      <c r="AH204" s="170" t="str">
        <f t="shared" si="531"/>
        <v>#DIV/0!</v>
      </c>
      <c r="AI204" s="26"/>
      <c r="AJ204" s="171" t="str">
        <f t="shared" si="532"/>
        <v>0.00%</v>
      </c>
      <c r="AK204" s="172" t="str">
        <f t="shared" si="533"/>
        <v>#DIV/0!</v>
      </c>
      <c r="AL204" s="173" t="str">
        <f t="shared" si="534"/>
        <v>#DIV/0!</v>
      </c>
      <c r="AM204" s="174" t="str">
        <f t="shared" si="535"/>
        <v>#DIV/0!</v>
      </c>
    </row>
    <row r="205" ht="12.75" customHeight="1">
      <c r="A205" s="26"/>
      <c r="B205" s="190" t="s">
        <v>431</v>
      </c>
      <c r="C205" s="191">
        <v>1.65007944E8</v>
      </c>
      <c r="D205" s="152" t="s">
        <v>432</v>
      </c>
      <c r="E205" s="53" t="s">
        <v>77</v>
      </c>
      <c r="F205" s="154"/>
      <c r="G205" s="53"/>
      <c r="H205" s="53" t="str">
        <f t="shared" si="513"/>
        <v>0.00069</v>
      </c>
      <c r="I205" s="53" t="str">
        <f t="shared" si="514"/>
        <v>89</v>
      </c>
      <c r="J205" s="53" t="str">
        <f t="shared" si="515"/>
        <v>0</v>
      </c>
      <c r="K205" s="155" t="str">
        <f t="shared" si="516"/>
        <v>0.00</v>
      </c>
      <c r="L205" s="156" t="str">
        <f t="shared" si="517"/>
        <v>0.00 </v>
      </c>
      <c r="M205" s="132">
        <v>90.0</v>
      </c>
      <c r="N205" s="325" t="str">
        <f t="shared" si="536"/>
        <v>#DIV/0!</v>
      </c>
      <c r="O205" s="158">
        <v>462.6</v>
      </c>
      <c r="P205" s="159" t="str">
        <f t="shared" si="537"/>
        <v>#DIV/0!</v>
      </c>
      <c r="Q205" s="160"/>
      <c r="R205" s="161">
        <v>0.26</v>
      </c>
      <c r="S205" s="162" t="str">
        <f t="shared" si="519"/>
        <v>342.32</v>
      </c>
      <c r="T205" s="163" t="str">
        <f t="shared" si="520"/>
        <v>20.00</v>
      </c>
      <c r="U205" s="164" t="str">
        <f t="shared" si="521"/>
        <v>27.39</v>
      </c>
      <c r="V205" s="165" t="str">
        <f t="shared" si="522"/>
        <v>#DIV/0!</v>
      </c>
      <c r="W205" s="166">
        <v>0.16</v>
      </c>
      <c r="X205" s="167" t="str">
        <f t="shared" si="523"/>
        <v>76</v>
      </c>
      <c r="Y205" s="168" t="str">
        <f t="shared" si="524"/>
        <v>127.215</v>
      </c>
      <c r="Z205" s="168" t="str">
        <f t="shared" si="525"/>
        <v>7.428</v>
      </c>
      <c r="AA205" s="164" t="str">
        <f t="shared" si="526"/>
        <v>5.27</v>
      </c>
      <c r="AB205" s="164">
        <v>89.47</v>
      </c>
      <c r="AC205" s="164" t="str">
        <f t="shared" si="527"/>
        <v>4.80</v>
      </c>
      <c r="AD205" s="165" t="str">
        <f t="shared" si="528"/>
        <v>23.13</v>
      </c>
      <c r="AE205" s="23"/>
      <c r="AF205" s="169" t="str">
        <f t="shared" si="529"/>
        <v>10.2</v>
      </c>
      <c r="AG205" s="163" t="str">
        <f t="shared" si="530"/>
        <v>#DIV/0!</v>
      </c>
      <c r="AH205" s="170" t="str">
        <f t="shared" si="531"/>
        <v>#DIV/0!</v>
      </c>
      <c r="AI205" s="26"/>
      <c r="AJ205" s="171" t="str">
        <f t="shared" si="532"/>
        <v>0.00%</v>
      </c>
      <c r="AK205" s="172" t="str">
        <f t="shared" si="533"/>
        <v>#DIV/0!</v>
      </c>
      <c r="AL205" s="173" t="str">
        <f t="shared" si="534"/>
        <v>#DIV/0!</v>
      </c>
      <c r="AM205" s="174" t="str">
        <f t="shared" si="535"/>
        <v>#DIV/0!</v>
      </c>
    </row>
    <row r="206" ht="12.75" customHeight="1">
      <c r="A206" s="26"/>
      <c r="B206" s="125" t="s">
        <v>433</v>
      </c>
      <c r="C206" s="126"/>
      <c r="D206" s="127"/>
      <c r="E206" s="128"/>
      <c r="F206" s="129"/>
      <c r="G206" s="128"/>
      <c r="H206" s="197"/>
      <c r="I206" s="197"/>
      <c r="J206" s="128"/>
      <c r="K206" s="130"/>
      <c r="L206" s="131"/>
      <c r="M206" s="132"/>
      <c r="N206" s="320"/>
      <c r="O206" s="134"/>
      <c r="P206" s="135"/>
      <c r="Q206" s="135"/>
      <c r="R206" s="136"/>
      <c r="S206" s="137"/>
      <c r="T206" s="177"/>
      <c r="U206" s="178"/>
      <c r="V206" s="179"/>
      <c r="W206" s="180"/>
      <c r="X206" s="181"/>
      <c r="Y206" s="182"/>
      <c r="Z206" s="182"/>
      <c r="AA206" s="178"/>
      <c r="AB206" s="178"/>
      <c r="AC206" s="178"/>
      <c r="AD206" s="179"/>
      <c r="AE206" s="183"/>
      <c r="AF206" s="184"/>
      <c r="AG206" s="177"/>
      <c r="AH206" s="185"/>
      <c r="AI206" s="26"/>
      <c r="AJ206" s="186"/>
      <c r="AK206" s="187"/>
      <c r="AL206" s="188"/>
      <c r="AM206" s="189"/>
    </row>
    <row r="207" ht="12.75" customHeight="1">
      <c r="A207" s="26"/>
      <c r="B207" s="190" t="s">
        <v>434</v>
      </c>
      <c r="C207" s="199">
        <v>1.98143251E8</v>
      </c>
      <c r="D207" s="152" t="s">
        <v>435</v>
      </c>
      <c r="E207" s="53" t="s">
        <v>77</v>
      </c>
      <c r="F207" s="154"/>
      <c r="G207" s="53"/>
      <c r="H207" s="53" t="str">
        <f t="shared" ref="H207:H213" si="538">$I$2</f>
        <v>0.00069</v>
      </c>
      <c r="I207" s="53" t="str">
        <f t="shared" ref="I207:I213" si="539">$I$3</f>
        <v>89</v>
      </c>
      <c r="J207" s="53" t="str">
        <f t="shared" ref="J207:J213" si="540">G207*H207*I207*F207</f>
        <v>0</v>
      </c>
      <c r="K207" s="155" t="str">
        <f t="shared" ref="K207:K213" si="541">J207*$J$4</f>
        <v>0.00</v>
      </c>
      <c r="L207" s="156" t="str">
        <f t="shared" ref="L207:L213" si="542">K207+J207</f>
        <v>0.00 </v>
      </c>
      <c r="M207" s="132">
        <v>90.0</v>
      </c>
      <c r="N207" s="325">
        <v>735.34</v>
      </c>
      <c r="O207" s="158">
        <v>2100.0</v>
      </c>
      <c r="P207" s="159" t="str">
        <f t="shared" ref="P207:P213" si="543">O207</f>
        <v>2,100.00</v>
      </c>
      <c r="Q207" s="160">
        <v>2135.0</v>
      </c>
      <c r="R207" s="161">
        <v>0.26</v>
      </c>
      <c r="S207" s="162" t="str">
        <f t="shared" ref="S207:S213" si="544">O207-(O207*R207)</f>
        <v>1,554.00</v>
      </c>
      <c r="T207" s="163" t="str">
        <f t="shared" ref="T207:T213" si="545">$C$1</f>
        <v>20.00</v>
      </c>
      <c r="U207" s="164" t="str">
        <f t="shared" ref="U207:U213" si="546">S207*$C$8</f>
        <v>124.32</v>
      </c>
      <c r="V207" s="165" t="str">
        <f t="shared" ref="V207:V213" si="547">N207*$C$3*(M207/30)</f>
        <v>0.00</v>
      </c>
      <c r="W207" s="166">
        <v>0.61</v>
      </c>
      <c r="X207" s="167" t="str">
        <f t="shared" ref="X207:X213" si="548">((_xlfn.CEILING.MATH(W207)-1)*$C$5+$C$4)</f>
        <v>76</v>
      </c>
      <c r="Y207" s="168" t="str">
        <f t="shared" ref="Y207:Y213" si="549">O207*$Y$6</f>
        <v>577.500</v>
      </c>
      <c r="Z207" s="168" t="str">
        <f t="shared" ref="Z207:Z213" si="550">S207*$Y$7</f>
        <v>33.722</v>
      </c>
      <c r="AA207" s="164" t="str">
        <f t="shared" ref="AA207:AA213" si="551">$Y$3*((100-AB207)/100)</f>
        <v>5.83</v>
      </c>
      <c r="AB207" s="164">
        <v>88.34</v>
      </c>
      <c r="AC207" s="164" t="str">
        <f t="shared" ref="AC207:AC213" si="552">$C$6*$C$7*_xlfn.CEILING.MATH(W207)</f>
        <v>4.80</v>
      </c>
      <c r="AD207" s="165" t="str">
        <f t="shared" ref="AD207:AD213" si="553">O207*$C$2</f>
        <v>105.00</v>
      </c>
      <c r="AE207" s="23"/>
      <c r="AF207" s="169" t="str">
        <f t="shared" ref="AF207:AF213" si="554">(_xlfn.CEILING.MATH(W207))*$Y$1*$AD$2</f>
        <v>10.2</v>
      </c>
      <c r="AG207" s="163" t="str">
        <f t="shared" ref="AG207:AG213" si="555">O207-T207-U207-V207-X207-Y207-Z207-AA207-AC207-AD207-N207</f>
        <v>417.49</v>
      </c>
      <c r="AH207" s="170" t="str">
        <f t="shared" ref="AH207:AH213" si="556">AG207/N207</f>
        <v>56.77%</v>
      </c>
      <c r="AI207" s="26"/>
      <c r="AJ207" s="171" t="str">
        <f t="shared" ref="AJ207:AJ213" si="557">$AD$3</f>
        <v>0.00%</v>
      </c>
      <c r="AK207" s="172" t="str">
        <f t="shared" ref="AK207:AK213" si="558">N207*AJ207</f>
        <v>0.00</v>
      </c>
      <c r="AL207" s="173" t="str">
        <f t="shared" ref="AL207:AL213" si="559">(N207+T207+V207+X207+AA207+AC207+AF207+AK207)/(100%-($C$2+$C$8+$Y$6+$Y$7))</f>
        <v>1,486.43</v>
      </c>
      <c r="AM207" s="174" t="str">
        <f t="shared" ref="AM207:AM213" si="560">AL207-(AL207*$AD$1)</f>
        <v>1,055.36</v>
      </c>
    </row>
    <row r="208" ht="12.75" customHeight="1">
      <c r="A208" s="26"/>
      <c r="B208" s="190" t="s">
        <v>436</v>
      </c>
      <c r="C208" s="199">
        <v>2.05054338E8</v>
      </c>
      <c r="D208" s="152" t="s">
        <v>437</v>
      </c>
      <c r="E208" s="53" t="s">
        <v>77</v>
      </c>
      <c r="F208" s="154"/>
      <c r="G208" s="53"/>
      <c r="H208" s="53" t="str">
        <f t="shared" si="538"/>
        <v>0.00069</v>
      </c>
      <c r="I208" s="53" t="str">
        <f t="shared" si="539"/>
        <v>89</v>
      </c>
      <c r="J208" s="53" t="str">
        <f t="shared" si="540"/>
        <v>0</v>
      </c>
      <c r="K208" s="155" t="str">
        <f t="shared" si="541"/>
        <v>0.00</v>
      </c>
      <c r="L208" s="156" t="str">
        <f t="shared" si="542"/>
        <v>0.00 </v>
      </c>
      <c r="M208" s="132">
        <v>90.0</v>
      </c>
      <c r="N208" s="325">
        <v>735.34</v>
      </c>
      <c r="O208" s="158">
        <v>3441.0</v>
      </c>
      <c r="P208" s="159" t="str">
        <f t="shared" si="543"/>
        <v>3,441.00</v>
      </c>
      <c r="Q208" s="160">
        <v>3641.0</v>
      </c>
      <c r="R208" s="161">
        <v>0.26</v>
      </c>
      <c r="S208" s="162" t="str">
        <f t="shared" si="544"/>
        <v>2,546.34</v>
      </c>
      <c r="T208" s="163" t="str">
        <f t="shared" si="545"/>
        <v>20.00</v>
      </c>
      <c r="U208" s="164" t="str">
        <f t="shared" si="546"/>
        <v>203.71</v>
      </c>
      <c r="V208" s="165" t="str">
        <f t="shared" si="547"/>
        <v>0.00</v>
      </c>
      <c r="W208" s="166">
        <v>0.93</v>
      </c>
      <c r="X208" s="167" t="str">
        <f t="shared" si="548"/>
        <v>76</v>
      </c>
      <c r="Y208" s="168" t="str">
        <f t="shared" si="549"/>
        <v>946.275</v>
      </c>
      <c r="Z208" s="168" t="str">
        <f t="shared" si="550"/>
        <v>55.256</v>
      </c>
      <c r="AA208" s="164" t="str">
        <f t="shared" si="551"/>
        <v>2.79</v>
      </c>
      <c r="AB208" s="164">
        <v>94.43</v>
      </c>
      <c r="AC208" s="164" t="str">
        <f t="shared" si="552"/>
        <v>4.80</v>
      </c>
      <c r="AD208" s="165" t="str">
        <f t="shared" si="553"/>
        <v>172.05</v>
      </c>
      <c r="AE208" s="23"/>
      <c r="AF208" s="169" t="str">
        <f t="shared" si="554"/>
        <v>10.2</v>
      </c>
      <c r="AG208" s="163" t="str">
        <f t="shared" si="555"/>
        <v>1,224.79</v>
      </c>
      <c r="AH208" s="170" t="str">
        <f t="shared" si="556"/>
        <v>166.56%</v>
      </c>
      <c r="AI208" s="26"/>
      <c r="AJ208" s="171" t="str">
        <f t="shared" si="557"/>
        <v>0.00%</v>
      </c>
      <c r="AK208" s="172" t="str">
        <f t="shared" si="558"/>
        <v>0.00</v>
      </c>
      <c r="AL208" s="173" t="str">
        <f t="shared" si="559"/>
        <v>1,481.12</v>
      </c>
      <c r="AM208" s="174" t="str">
        <f t="shared" si="560"/>
        <v>1,051.59</v>
      </c>
    </row>
    <row r="209" ht="12.75" customHeight="1">
      <c r="A209" s="26"/>
      <c r="B209" s="190" t="s">
        <v>440</v>
      </c>
      <c r="C209" s="199">
        <v>1.98147185E8</v>
      </c>
      <c r="D209" s="152" t="s">
        <v>441</v>
      </c>
      <c r="E209" s="53" t="s">
        <v>77</v>
      </c>
      <c r="F209" s="154"/>
      <c r="G209" s="53"/>
      <c r="H209" s="53" t="str">
        <f t="shared" si="538"/>
        <v>0.00069</v>
      </c>
      <c r="I209" s="53" t="str">
        <f t="shared" si="539"/>
        <v>89</v>
      </c>
      <c r="J209" s="53" t="str">
        <f t="shared" si="540"/>
        <v>0</v>
      </c>
      <c r="K209" s="155" t="str">
        <f t="shared" si="541"/>
        <v>0.00</v>
      </c>
      <c r="L209" s="156" t="str">
        <f t="shared" si="542"/>
        <v>0.00 </v>
      </c>
      <c r="M209" s="132">
        <v>90.0</v>
      </c>
      <c r="N209" s="325">
        <v>1029.48</v>
      </c>
      <c r="O209" s="158">
        <v>3504.0</v>
      </c>
      <c r="P209" s="159" t="str">
        <f t="shared" si="543"/>
        <v>3,504.00</v>
      </c>
      <c r="Q209" s="160">
        <v>3604.0</v>
      </c>
      <c r="R209" s="161">
        <v>0.26</v>
      </c>
      <c r="S209" s="162" t="str">
        <f t="shared" si="544"/>
        <v>2,592.96</v>
      </c>
      <c r="T209" s="163" t="str">
        <f t="shared" si="545"/>
        <v>20.00</v>
      </c>
      <c r="U209" s="164" t="str">
        <f t="shared" si="546"/>
        <v>207.44</v>
      </c>
      <c r="V209" s="165" t="str">
        <f t="shared" si="547"/>
        <v>0.00</v>
      </c>
      <c r="W209" s="166">
        <v>0.3</v>
      </c>
      <c r="X209" s="167" t="str">
        <f t="shared" si="548"/>
        <v>76</v>
      </c>
      <c r="Y209" s="168" t="str">
        <f t="shared" si="549"/>
        <v>963.600</v>
      </c>
      <c r="Z209" s="168" t="str">
        <f t="shared" si="550"/>
        <v>56.267</v>
      </c>
      <c r="AA209" s="164" t="str">
        <f t="shared" si="551"/>
        <v>18.75</v>
      </c>
      <c r="AB209" s="164">
        <v>62.5</v>
      </c>
      <c r="AC209" s="164" t="str">
        <f t="shared" si="552"/>
        <v>4.80</v>
      </c>
      <c r="AD209" s="165" t="str">
        <f t="shared" si="553"/>
        <v>175.20</v>
      </c>
      <c r="AE209" s="23"/>
      <c r="AF209" s="169" t="str">
        <f t="shared" si="554"/>
        <v>10.2</v>
      </c>
      <c r="AG209" s="163" t="str">
        <f t="shared" si="555"/>
        <v>952.47</v>
      </c>
      <c r="AH209" s="170" t="str">
        <f t="shared" si="556"/>
        <v>92.52%</v>
      </c>
      <c r="AI209" s="26"/>
      <c r="AJ209" s="171" t="str">
        <f t="shared" si="557"/>
        <v>0.00%</v>
      </c>
      <c r="AK209" s="172" t="str">
        <f t="shared" si="558"/>
        <v>0.00</v>
      </c>
      <c r="AL209" s="173" t="str">
        <f t="shared" si="559"/>
        <v>2,022.03</v>
      </c>
      <c r="AM209" s="174" t="str">
        <f t="shared" si="560"/>
        <v>1,435.64</v>
      </c>
    </row>
    <row r="210" ht="12.75" customHeight="1">
      <c r="A210" s="26"/>
      <c r="B210" s="190" t="s">
        <v>442</v>
      </c>
      <c r="C210" s="199">
        <v>1.98148122E8</v>
      </c>
      <c r="D210" s="152" t="s">
        <v>443</v>
      </c>
      <c r="E210" s="53" t="s">
        <v>77</v>
      </c>
      <c r="F210" s="154"/>
      <c r="G210" s="53"/>
      <c r="H210" s="53" t="str">
        <f t="shared" si="538"/>
        <v>0.00069</v>
      </c>
      <c r="I210" s="53" t="str">
        <f t="shared" si="539"/>
        <v>89</v>
      </c>
      <c r="J210" s="53" t="str">
        <f t="shared" si="540"/>
        <v>0</v>
      </c>
      <c r="K210" s="155" t="str">
        <f t="shared" si="541"/>
        <v>0.00</v>
      </c>
      <c r="L210" s="156" t="str">
        <f t="shared" si="542"/>
        <v>0.00 </v>
      </c>
      <c r="M210" s="132">
        <v>90.0</v>
      </c>
      <c r="N210" s="325">
        <v>1176.55</v>
      </c>
      <c r="O210" s="158">
        <v>3300.0</v>
      </c>
      <c r="P210" s="159" t="str">
        <f t="shared" si="543"/>
        <v>3,300.00</v>
      </c>
      <c r="Q210" s="160">
        <v>3347.0</v>
      </c>
      <c r="R210" s="161">
        <v>0.26</v>
      </c>
      <c r="S210" s="162" t="str">
        <f t="shared" si="544"/>
        <v>2,442.00</v>
      </c>
      <c r="T210" s="163" t="str">
        <f t="shared" si="545"/>
        <v>20.00</v>
      </c>
      <c r="U210" s="164" t="str">
        <f t="shared" si="546"/>
        <v>195.36</v>
      </c>
      <c r="V210" s="165" t="str">
        <f t="shared" si="547"/>
        <v>0.00</v>
      </c>
      <c r="W210" s="166">
        <v>0.25</v>
      </c>
      <c r="X210" s="167" t="str">
        <f t="shared" si="548"/>
        <v>76</v>
      </c>
      <c r="Y210" s="168" t="str">
        <f t="shared" si="549"/>
        <v>907.500</v>
      </c>
      <c r="Z210" s="168" t="str">
        <f t="shared" si="550"/>
        <v>52.991</v>
      </c>
      <c r="AA210" s="164" t="str">
        <f t="shared" si="551"/>
        <v>2.44</v>
      </c>
      <c r="AB210" s="164">
        <v>95.12</v>
      </c>
      <c r="AC210" s="164" t="str">
        <f t="shared" si="552"/>
        <v>4.80</v>
      </c>
      <c r="AD210" s="165" t="str">
        <f t="shared" si="553"/>
        <v>165.00</v>
      </c>
      <c r="AE210" s="23"/>
      <c r="AF210" s="169" t="str">
        <f t="shared" si="554"/>
        <v>10.2</v>
      </c>
      <c r="AG210" s="163" t="str">
        <f t="shared" si="555"/>
        <v>699.36</v>
      </c>
      <c r="AH210" s="170" t="str">
        <f t="shared" si="556"/>
        <v>59.44%</v>
      </c>
      <c r="AI210" s="26"/>
      <c r="AJ210" s="171" t="str">
        <f t="shared" si="557"/>
        <v>0.00%</v>
      </c>
      <c r="AK210" s="172" t="str">
        <f t="shared" si="558"/>
        <v>0.00</v>
      </c>
      <c r="AL210" s="173" t="str">
        <f t="shared" si="559"/>
        <v>2,250.11</v>
      </c>
      <c r="AM210" s="174" t="str">
        <f t="shared" si="560"/>
        <v>1,597.58</v>
      </c>
    </row>
    <row r="211" ht="12.75" customHeight="1">
      <c r="A211" s="26"/>
      <c r="B211" s="190" t="s">
        <v>444</v>
      </c>
      <c r="C211" s="199">
        <v>1.98156472E8</v>
      </c>
      <c r="D211" s="152" t="s">
        <v>445</v>
      </c>
      <c r="E211" s="53" t="s">
        <v>77</v>
      </c>
      <c r="F211" s="154"/>
      <c r="G211" s="53"/>
      <c r="H211" s="53" t="str">
        <f t="shared" si="538"/>
        <v>0.00069</v>
      </c>
      <c r="I211" s="53" t="str">
        <f t="shared" si="539"/>
        <v>89</v>
      </c>
      <c r="J211" s="53" t="str">
        <f t="shared" si="540"/>
        <v>0</v>
      </c>
      <c r="K211" s="155" t="str">
        <f t="shared" si="541"/>
        <v>0.00</v>
      </c>
      <c r="L211" s="156" t="str">
        <f t="shared" si="542"/>
        <v>0.00 </v>
      </c>
      <c r="M211" s="132">
        <v>90.0</v>
      </c>
      <c r="N211" s="325">
        <v>735.34</v>
      </c>
      <c r="O211" s="158">
        <v>2050.0</v>
      </c>
      <c r="P211" s="159" t="str">
        <f t="shared" si="543"/>
        <v>2,050.00</v>
      </c>
      <c r="Q211" s="160">
        <v>2071.0</v>
      </c>
      <c r="R211" s="161">
        <v>0.26</v>
      </c>
      <c r="S211" s="162" t="str">
        <f t="shared" si="544"/>
        <v>1,517.00</v>
      </c>
      <c r="T211" s="163" t="str">
        <f t="shared" si="545"/>
        <v>20.00</v>
      </c>
      <c r="U211" s="164" t="str">
        <f t="shared" si="546"/>
        <v>121.36</v>
      </c>
      <c r="V211" s="165" t="str">
        <f t="shared" si="547"/>
        <v>0.00</v>
      </c>
      <c r="W211" s="166">
        <v>0.19</v>
      </c>
      <c r="X211" s="167" t="str">
        <f t="shared" si="548"/>
        <v>76</v>
      </c>
      <c r="Y211" s="168" t="str">
        <f t="shared" si="549"/>
        <v>563.750</v>
      </c>
      <c r="Z211" s="168" t="str">
        <f t="shared" si="550"/>
        <v>32.919</v>
      </c>
      <c r="AA211" s="164" t="str">
        <f t="shared" si="551"/>
        <v>4.11</v>
      </c>
      <c r="AB211" s="164">
        <v>91.78</v>
      </c>
      <c r="AC211" s="164" t="str">
        <f t="shared" si="552"/>
        <v>4.80</v>
      </c>
      <c r="AD211" s="165" t="str">
        <f t="shared" si="553"/>
        <v>102.50</v>
      </c>
      <c r="AE211" s="23"/>
      <c r="AF211" s="169" t="str">
        <f t="shared" si="554"/>
        <v>10.2</v>
      </c>
      <c r="AG211" s="163" t="str">
        <f t="shared" si="555"/>
        <v>389.22</v>
      </c>
      <c r="AH211" s="170" t="str">
        <f t="shared" si="556"/>
        <v>52.93%</v>
      </c>
      <c r="AI211" s="26"/>
      <c r="AJ211" s="171" t="str">
        <f t="shared" si="557"/>
        <v>0.00%</v>
      </c>
      <c r="AK211" s="172" t="str">
        <f t="shared" si="558"/>
        <v>0.00</v>
      </c>
      <c r="AL211" s="173" t="str">
        <f t="shared" si="559"/>
        <v>1,483.43</v>
      </c>
      <c r="AM211" s="174" t="str">
        <f t="shared" si="560"/>
        <v>1,053.23</v>
      </c>
    </row>
    <row r="212" ht="12.75" customHeight="1">
      <c r="A212" s="26"/>
      <c r="B212" s="190" t="s">
        <v>446</v>
      </c>
      <c r="C212" s="199">
        <v>1.98156358E8</v>
      </c>
      <c r="D212" s="152" t="s">
        <v>447</v>
      </c>
      <c r="E212" s="53" t="s">
        <v>77</v>
      </c>
      <c r="F212" s="154"/>
      <c r="G212" s="53"/>
      <c r="H212" s="53" t="str">
        <f t="shared" si="538"/>
        <v>0.00069</v>
      </c>
      <c r="I212" s="53" t="str">
        <f t="shared" si="539"/>
        <v>89</v>
      </c>
      <c r="J212" s="53" t="str">
        <f t="shared" si="540"/>
        <v>0</v>
      </c>
      <c r="K212" s="155" t="str">
        <f t="shared" si="541"/>
        <v>0.00</v>
      </c>
      <c r="L212" s="156" t="str">
        <f t="shared" si="542"/>
        <v>0.00 </v>
      </c>
      <c r="M212" s="132">
        <v>90.0</v>
      </c>
      <c r="N212" s="325">
        <v>352.96</v>
      </c>
      <c r="O212" s="158">
        <v>1275.0</v>
      </c>
      <c r="P212" s="159" t="str">
        <f t="shared" si="543"/>
        <v>1,275.00</v>
      </c>
      <c r="Q212" s="160">
        <v>1303.0</v>
      </c>
      <c r="R212" s="161">
        <v>0.26</v>
      </c>
      <c r="S212" s="162" t="str">
        <f t="shared" si="544"/>
        <v>943.50</v>
      </c>
      <c r="T212" s="163" t="str">
        <f t="shared" si="545"/>
        <v>20.00</v>
      </c>
      <c r="U212" s="164" t="str">
        <f t="shared" si="546"/>
        <v>75.48</v>
      </c>
      <c r="V212" s="165" t="str">
        <f t="shared" si="547"/>
        <v>0.00</v>
      </c>
      <c r="W212" s="166">
        <v>0.43</v>
      </c>
      <c r="X212" s="167" t="str">
        <f t="shared" si="548"/>
        <v>76</v>
      </c>
      <c r="Y212" s="168" t="str">
        <f t="shared" si="549"/>
        <v>350.625</v>
      </c>
      <c r="Z212" s="168" t="str">
        <f t="shared" si="550"/>
        <v>20.474</v>
      </c>
      <c r="AA212" s="164" t="str">
        <f t="shared" si="551"/>
        <v>3.19</v>
      </c>
      <c r="AB212" s="164">
        <v>93.63</v>
      </c>
      <c r="AC212" s="164" t="str">
        <f t="shared" si="552"/>
        <v>4.80</v>
      </c>
      <c r="AD212" s="165" t="str">
        <f t="shared" si="553"/>
        <v>63.75</v>
      </c>
      <c r="AE212" s="23"/>
      <c r="AF212" s="169" t="str">
        <f t="shared" si="554"/>
        <v>10.2</v>
      </c>
      <c r="AG212" s="163" t="str">
        <f t="shared" si="555"/>
        <v>307.73</v>
      </c>
      <c r="AH212" s="170" t="str">
        <f t="shared" si="556"/>
        <v>87.18%</v>
      </c>
      <c r="AI212" s="26"/>
      <c r="AJ212" s="171" t="str">
        <f t="shared" si="557"/>
        <v>0.00%</v>
      </c>
      <c r="AK212" s="172" t="str">
        <f t="shared" si="558"/>
        <v>0.00</v>
      </c>
      <c r="AL212" s="173" t="str">
        <f t="shared" si="559"/>
        <v>814.84</v>
      </c>
      <c r="AM212" s="174" t="str">
        <f t="shared" si="560"/>
        <v>578.53</v>
      </c>
    </row>
    <row r="213" ht="12.75" customHeight="1">
      <c r="A213" s="26"/>
      <c r="B213" s="190" t="s">
        <v>448</v>
      </c>
      <c r="C213" s="199">
        <v>1.98156698E8</v>
      </c>
      <c r="D213" s="152" t="s">
        <v>449</v>
      </c>
      <c r="E213" s="53" t="s">
        <v>77</v>
      </c>
      <c r="F213" s="154"/>
      <c r="G213" s="53"/>
      <c r="H213" s="53" t="str">
        <f t="shared" si="538"/>
        <v>0.00069</v>
      </c>
      <c r="I213" s="53" t="str">
        <f t="shared" si="539"/>
        <v>89</v>
      </c>
      <c r="J213" s="53" t="str">
        <f t="shared" si="540"/>
        <v>0</v>
      </c>
      <c r="K213" s="155" t="str">
        <f t="shared" si="541"/>
        <v>0.00</v>
      </c>
      <c r="L213" s="156" t="str">
        <f t="shared" si="542"/>
        <v>0.00 </v>
      </c>
      <c r="M213" s="132">
        <v>90.0</v>
      </c>
      <c r="N213" s="325">
        <v>853.0</v>
      </c>
      <c r="O213" s="158">
        <v>2999.0</v>
      </c>
      <c r="P213" s="159" t="str">
        <f t="shared" si="543"/>
        <v>2,999.00</v>
      </c>
      <c r="Q213" s="160" t="s">
        <v>78</v>
      </c>
      <c r="R213" s="161">
        <v>0.26</v>
      </c>
      <c r="S213" s="162" t="str">
        <f t="shared" si="544"/>
        <v>2,219.26</v>
      </c>
      <c r="T213" s="163" t="str">
        <f t="shared" si="545"/>
        <v>20.00</v>
      </c>
      <c r="U213" s="164" t="str">
        <f t="shared" si="546"/>
        <v>177.54</v>
      </c>
      <c r="V213" s="165" t="str">
        <f t="shared" si="547"/>
        <v>0.00</v>
      </c>
      <c r="W213" s="166">
        <v>0.5</v>
      </c>
      <c r="X213" s="167" t="str">
        <f t="shared" si="548"/>
        <v>76</v>
      </c>
      <c r="Y213" s="168" t="str">
        <f t="shared" si="549"/>
        <v>824.725</v>
      </c>
      <c r="Z213" s="168" t="str">
        <f t="shared" si="550"/>
        <v>48.158</v>
      </c>
      <c r="AA213" s="164" t="str">
        <f t="shared" si="551"/>
        <v>11.54</v>
      </c>
      <c r="AB213" s="164">
        <v>76.92</v>
      </c>
      <c r="AC213" s="164" t="str">
        <f t="shared" si="552"/>
        <v>4.80</v>
      </c>
      <c r="AD213" s="165" t="str">
        <f t="shared" si="553"/>
        <v>149.95</v>
      </c>
      <c r="AE213" s="23"/>
      <c r="AF213" s="169" t="str">
        <f t="shared" si="554"/>
        <v>10.2</v>
      </c>
      <c r="AG213" s="163" t="str">
        <f t="shared" si="555"/>
        <v>833.29</v>
      </c>
      <c r="AH213" s="170" t="str">
        <f t="shared" si="556"/>
        <v>97.69%</v>
      </c>
      <c r="AI213" s="26"/>
      <c r="AJ213" s="171" t="str">
        <f t="shared" si="557"/>
        <v>0.00%</v>
      </c>
      <c r="AK213" s="172" t="str">
        <f t="shared" si="558"/>
        <v>0.00</v>
      </c>
      <c r="AL213" s="173" t="str">
        <f t="shared" si="559"/>
        <v>1,701.62</v>
      </c>
      <c r="AM213" s="174" t="str">
        <f t="shared" si="560"/>
        <v>1,208.15</v>
      </c>
    </row>
    <row r="214" ht="12.75" customHeight="1">
      <c r="A214" s="26"/>
      <c r="B214" s="125" t="s">
        <v>450</v>
      </c>
      <c r="C214" s="126"/>
      <c r="D214" s="127"/>
      <c r="E214" s="128"/>
      <c r="F214" s="129"/>
      <c r="G214" s="128"/>
      <c r="H214" s="197"/>
      <c r="I214" s="197"/>
      <c r="J214" s="128"/>
      <c r="K214" s="130"/>
      <c r="L214" s="131"/>
      <c r="M214" s="132"/>
      <c r="N214" s="320"/>
      <c r="O214" s="134"/>
      <c r="P214" s="135"/>
      <c r="Q214" s="135"/>
      <c r="R214" s="136"/>
      <c r="S214" s="137"/>
      <c r="T214" s="177"/>
      <c r="U214" s="178"/>
      <c r="V214" s="179"/>
      <c r="W214" s="180"/>
      <c r="X214" s="181"/>
      <c r="Y214" s="182"/>
      <c r="Z214" s="182"/>
      <c r="AA214" s="178"/>
      <c r="AB214" s="178"/>
      <c r="AC214" s="178"/>
      <c r="AD214" s="179"/>
      <c r="AE214" s="183"/>
      <c r="AF214" s="184"/>
      <c r="AG214" s="177"/>
      <c r="AH214" s="185"/>
      <c r="AI214" s="26"/>
      <c r="AJ214" s="186"/>
      <c r="AK214" s="187"/>
      <c r="AL214" s="188"/>
      <c r="AM214" s="189"/>
    </row>
    <row r="215" ht="12.75" customHeight="1">
      <c r="A215" s="26"/>
      <c r="B215" s="190" t="s">
        <v>451</v>
      </c>
      <c r="C215" s="191">
        <v>1.68956857E8</v>
      </c>
      <c r="D215" s="152" t="s">
        <v>452</v>
      </c>
      <c r="E215" s="53" t="s">
        <v>77</v>
      </c>
      <c r="F215" s="154"/>
      <c r="G215" s="53"/>
      <c r="H215" s="53" t="str">
        <f t="shared" ref="H215:H243" si="561">$I$2</f>
        <v>0.00069</v>
      </c>
      <c r="I215" s="53" t="str">
        <f t="shared" ref="I215:I243" si="562">$I$3</f>
        <v>89</v>
      </c>
      <c r="J215" s="53" t="str">
        <f t="shared" ref="J215:J243" si="563">G215*H215*I215*F215</f>
        <v>0</v>
      </c>
      <c r="K215" s="155" t="str">
        <f t="shared" ref="K215:K243" si="564">J215*$J$4</f>
        <v>0.00</v>
      </c>
      <c r="L215" s="156" t="str">
        <f t="shared" ref="L215:L243" si="565">K215+J215</f>
        <v>0.00 </v>
      </c>
      <c r="M215" s="132">
        <v>90.0</v>
      </c>
      <c r="N215" s="325" t="str">
        <f t="shared" ref="N215:N243" si="566">L215/F215</f>
        <v>#DIV/0!</v>
      </c>
      <c r="O215" s="158">
        <v>1246.8</v>
      </c>
      <c r="P215" s="159" t="str">
        <f t="shared" ref="P215:P243" si="567">AL215</f>
        <v>#DIV/0!</v>
      </c>
      <c r="Q215" s="160"/>
      <c r="R215" s="161">
        <v>0.26</v>
      </c>
      <c r="S215" s="162" t="str">
        <f t="shared" ref="S215:S225" si="568">O215-(O215*R215)</f>
        <v>922.63</v>
      </c>
      <c r="T215" s="163" t="str">
        <f t="shared" ref="T215:T225" si="569">$C$1</f>
        <v>20.00</v>
      </c>
      <c r="U215" s="164" t="str">
        <f t="shared" ref="U215:U225" si="570">S215*$C$8</f>
        <v>73.81</v>
      </c>
      <c r="V215" s="165" t="str">
        <f t="shared" ref="V215:V225" si="571">N215*$C$3*(M215/30)</f>
        <v>#DIV/0!</v>
      </c>
      <c r="W215" s="166">
        <v>1.46</v>
      </c>
      <c r="X215" s="167" t="str">
        <f t="shared" ref="X215:X225" si="572">((_xlfn.CEILING.MATH(W215)-1)*$C$5+$C$4)</f>
        <v>95</v>
      </c>
      <c r="Y215" s="168" t="str">
        <f t="shared" ref="Y215:Y225" si="573">O215*$Y$6</f>
        <v>342.870</v>
      </c>
      <c r="Z215" s="168" t="str">
        <f t="shared" ref="Z215:Z225" si="574">S215*$Y$7</f>
        <v>20.021</v>
      </c>
      <c r="AA215" s="164" t="str">
        <f t="shared" ref="AA215:AA225" si="575">$Y$3*((100-AB215)/100)</f>
        <v>2.48</v>
      </c>
      <c r="AB215" s="164">
        <v>95.04</v>
      </c>
      <c r="AC215" s="164" t="str">
        <f t="shared" ref="AC215:AC225" si="576">$C$6*$C$7*_xlfn.CEILING.MATH(W215)</f>
        <v>9.60</v>
      </c>
      <c r="AD215" s="165" t="str">
        <f t="shared" ref="AD215:AD225" si="577">O215*$C$2</f>
        <v>62.34</v>
      </c>
      <c r="AE215" s="23"/>
      <c r="AF215" s="169" t="str">
        <f t="shared" ref="AF215:AF225" si="578">(_xlfn.CEILING.MATH(W215))*$Y$1*$AD$2</f>
        <v>20.4</v>
      </c>
      <c r="AG215" s="163" t="str">
        <f t="shared" ref="AG215:AG225" si="579">O215-T215-U215-V215-X215-Y215-Z215-AA215-AC215-AD215-N215</f>
        <v>#DIV/0!</v>
      </c>
      <c r="AH215" s="170" t="str">
        <f t="shared" ref="AH215:AH225" si="580">AG215/N215</f>
        <v>#DIV/0!</v>
      </c>
      <c r="AI215" s="26"/>
      <c r="AJ215" s="171" t="str">
        <f t="shared" ref="AJ215:AJ225" si="581">$AD$3</f>
        <v>0.00%</v>
      </c>
      <c r="AK215" s="172" t="str">
        <f t="shared" ref="AK215:AK225" si="582">N215*AJ215</f>
        <v>#DIV/0!</v>
      </c>
      <c r="AL215" s="173" t="str">
        <f t="shared" ref="AL215:AL225" si="583">(N215+T215+V215+X215+AA215+AC215+AF215+AK215)/(100%-($C$2+$C$8+$Y$6+$Y$7))</f>
        <v>#DIV/0!</v>
      </c>
      <c r="AM215" s="174" t="str">
        <f t="shared" ref="AM215:AM225" si="584">AL215-(AL215*$AD$1)</f>
        <v>#DIV/0!</v>
      </c>
    </row>
    <row r="216" ht="12.75" customHeight="1">
      <c r="A216" s="26"/>
      <c r="B216" s="190" t="s">
        <v>453</v>
      </c>
      <c r="C216" s="192">
        <v>1.88818E8</v>
      </c>
      <c r="D216" s="152" t="s">
        <v>454</v>
      </c>
      <c r="E216" s="53" t="s">
        <v>455</v>
      </c>
      <c r="F216" s="154"/>
      <c r="G216" s="53"/>
      <c r="H216" s="53" t="str">
        <f t="shared" si="561"/>
        <v>0.00069</v>
      </c>
      <c r="I216" s="53" t="str">
        <f t="shared" si="562"/>
        <v>89</v>
      </c>
      <c r="J216" s="53" t="str">
        <f t="shared" si="563"/>
        <v>0</v>
      </c>
      <c r="K216" s="155" t="str">
        <f t="shared" si="564"/>
        <v>0.00</v>
      </c>
      <c r="L216" s="156" t="str">
        <f t="shared" si="565"/>
        <v>0.00 </v>
      </c>
      <c r="M216" s="132">
        <v>90.0</v>
      </c>
      <c r="N216" s="325" t="str">
        <f t="shared" si="566"/>
        <v>#DIV/0!</v>
      </c>
      <c r="O216" s="158">
        <v>816.0</v>
      </c>
      <c r="P216" s="159" t="str">
        <f t="shared" si="567"/>
        <v>#DIV/0!</v>
      </c>
      <c r="Q216" s="160"/>
      <c r="R216" s="161">
        <v>0.26</v>
      </c>
      <c r="S216" s="162" t="str">
        <f t="shared" si="568"/>
        <v>603.84</v>
      </c>
      <c r="T216" s="163" t="str">
        <f t="shared" si="569"/>
        <v>20.00</v>
      </c>
      <c r="U216" s="164" t="str">
        <f t="shared" si="570"/>
        <v>48.31</v>
      </c>
      <c r="V216" s="165" t="str">
        <f t="shared" si="571"/>
        <v>#DIV/0!</v>
      </c>
      <c r="W216" s="166">
        <v>0.61</v>
      </c>
      <c r="X216" s="167" t="str">
        <f t="shared" si="572"/>
        <v>76</v>
      </c>
      <c r="Y216" s="168" t="str">
        <f t="shared" si="573"/>
        <v>224.400</v>
      </c>
      <c r="Z216" s="168" t="str">
        <f t="shared" si="574"/>
        <v>13.103</v>
      </c>
      <c r="AA216" s="164" t="str">
        <f t="shared" si="575"/>
        <v>6.09</v>
      </c>
      <c r="AB216" s="164">
        <v>87.83</v>
      </c>
      <c r="AC216" s="164" t="str">
        <f t="shared" si="576"/>
        <v>4.80</v>
      </c>
      <c r="AD216" s="165" t="str">
        <f t="shared" si="577"/>
        <v>40.80</v>
      </c>
      <c r="AE216" s="23"/>
      <c r="AF216" s="169" t="str">
        <f t="shared" si="578"/>
        <v>10.2</v>
      </c>
      <c r="AG216" s="163" t="str">
        <f t="shared" si="579"/>
        <v>#DIV/0!</v>
      </c>
      <c r="AH216" s="170" t="str">
        <f t="shared" si="580"/>
        <v>#DIV/0!</v>
      </c>
      <c r="AI216" s="26"/>
      <c r="AJ216" s="171" t="str">
        <f t="shared" si="581"/>
        <v>0.00%</v>
      </c>
      <c r="AK216" s="172" t="str">
        <f t="shared" si="582"/>
        <v>#DIV/0!</v>
      </c>
      <c r="AL216" s="173" t="str">
        <f t="shared" si="583"/>
        <v>#DIV/0!</v>
      </c>
      <c r="AM216" s="174" t="str">
        <f t="shared" si="584"/>
        <v>#DIV/0!</v>
      </c>
    </row>
    <row r="217" ht="12.75" customHeight="1">
      <c r="A217" s="26"/>
      <c r="B217" s="190" t="s">
        <v>456</v>
      </c>
      <c r="C217" s="215">
        <v>1.88823064E8</v>
      </c>
      <c r="D217" s="152" t="s">
        <v>457</v>
      </c>
      <c r="E217" s="53" t="s">
        <v>77</v>
      </c>
      <c r="F217" s="154"/>
      <c r="G217" s="53"/>
      <c r="H217" s="53" t="str">
        <f t="shared" si="561"/>
        <v>0.00069</v>
      </c>
      <c r="I217" s="53" t="str">
        <f t="shared" si="562"/>
        <v>89</v>
      </c>
      <c r="J217" s="53" t="str">
        <f t="shared" si="563"/>
        <v>0</v>
      </c>
      <c r="K217" s="155" t="str">
        <f t="shared" si="564"/>
        <v>0.00</v>
      </c>
      <c r="L217" s="156" t="str">
        <f t="shared" si="565"/>
        <v>0.00 </v>
      </c>
      <c r="M217" s="132">
        <v>90.0</v>
      </c>
      <c r="N217" s="325" t="str">
        <f t="shared" si="566"/>
        <v>#DIV/0!</v>
      </c>
      <c r="O217" s="158">
        <v>729.9</v>
      </c>
      <c r="P217" s="159" t="str">
        <f t="shared" si="567"/>
        <v>#DIV/0!</v>
      </c>
      <c r="Q217" s="160"/>
      <c r="R217" s="161">
        <v>0.26</v>
      </c>
      <c r="S217" s="162" t="str">
        <f t="shared" si="568"/>
        <v>540.13</v>
      </c>
      <c r="T217" s="163" t="str">
        <f t="shared" si="569"/>
        <v>20.00</v>
      </c>
      <c r="U217" s="164" t="str">
        <f t="shared" si="570"/>
        <v>43.21</v>
      </c>
      <c r="V217" s="165" t="str">
        <f t="shared" si="571"/>
        <v>#DIV/0!</v>
      </c>
      <c r="W217" s="166">
        <v>1.08</v>
      </c>
      <c r="X217" s="167" t="str">
        <f t="shared" si="572"/>
        <v>95</v>
      </c>
      <c r="Y217" s="168" t="str">
        <f t="shared" si="573"/>
        <v>200.723</v>
      </c>
      <c r="Z217" s="168" t="str">
        <f t="shared" si="574"/>
        <v>11.721</v>
      </c>
      <c r="AA217" s="164" t="str">
        <f t="shared" si="575"/>
        <v>1.93</v>
      </c>
      <c r="AB217" s="164">
        <v>96.15</v>
      </c>
      <c r="AC217" s="164" t="str">
        <f t="shared" si="576"/>
        <v>9.60</v>
      </c>
      <c r="AD217" s="165" t="str">
        <f t="shared" si="577"/>
        <v>36.50</v>
      </c>
      <c r="AE217" s="23"/>
      <c r="AF217" s="169" t="str">
        <f t="shared" si="578"/>
        <v>20.4</v>
      </c>
      <c r="AG217" s="163" t="str">
        <f t="shared" si="579"/>
        <v>#DIV/0!</v>
      </c>
      <c r="AH217" s="170" t="str">
        <f t="shared" si="580"/>
        <v>#DIV/0!</v>
      </c>
      <c r="AI217" s="26"/>
      <c r="AJ217" s="171" t="str">
        <f t="shared" si="581"/>
        <v>0.00%</v>
      </c>
      <c r="AK217" s="172" t="str">
        <f t="shared" si="582"/>
        <v>#DIV/0!</v>
      </c>
      <c r="AL217" s="173" t="str">
        <f t="shared" si="583"/>
        <v>#DIV/0!</v>
      </c>
      <c r="AM217" s="174" t="str">
        <f t="shared" si="584"/>
        <v>#DIV/0!</v>
      </c>
    </row>
    <row r="218" ht="12.75" customHeight="1">
      <c r="A218" s="26"/>
      <c r="B218" s="190" t="s">
        <v>458</v>
      </c>
      <c r="C218" s="191">
        <v>1.99544883E8</v>
      </c>
      <c r="D218" s="152" t="s">
        <v>459</v>
      </c>
      <c r="E218" s="53" t="s">
        <v>77</v>
      </c>
      <c r="F218" s="154"/>
      <c r="G218" s="53"/>
      <c r="H218" s="53" t="str">
        <f t="shared" si="561"/>
        <v>0.00069</v>
      </c>
      <c r="I218" s="53" t="str">
        <f t="shared" si="562"/>
        <v>89</v>
      </c>
      <c r="J218" s="53" t="str">
        <f t="shared" si="563"/>
        <v>0</v>
      </c>
      <c r="K218" s="155" t="str">
        <f t="shared" si="564"/>
        <v>0.00</v>
      </c>
      <c r="L218" s="156" t="str">
        <f t="shared" si="565"/>
        <v>0.00 </v>
      </c>
      <c r="M218" s="132">
        <v>90.0</v>
      </c>
      <c r="N218" s="325" t="str">
        <f t="shared" si="566"/>
        <v>#DIV/0!</v>
      </c>
      <c r="O218" s="158">
        <v>1809.9</v>
      </c>
      <c r="P218" s="159" t="str">
        <f t="shared" si="567"/>
        <v>#DIV/0!</v>
      </c>
      <c r="Q218" s="160"/>
      <c r="R218" s="161">
        <v>0.26</v>
      </c>
      <c r="S218" s="162" t="str">
        <f t="shared" si="568"/>
        <v>1,339.33</v>
      </c>
      <c r="T218" s="163" t="str">
        <f t="shared" si="569"/>
        <v>20.00</v>
      </c>
      <c r="U218" s="164" t="str">
        <f t="shared" si="570"/>
        <v>107.15</v>
      </c>
      <c r="V218" s="165" t="str">
        <f t="shared" si="571"/>
        <v>#DIV/0!</v>
      </c>
      <c r="W218" s="166">
        <v>2.64</v>
      </c>
      <c r="X218" s="167" t="str">
        <f t="shared" si="572"/>
        <v>114</v>
      </c>
      <c r="Y218" s="168" t="str">
        <f t="shared" si="573"/>
        <v>497.723</v>
      </c>
      <c r="Z218" s="168" t="str">
        <f t="shared" si="574"/>
        <v>29.063</v>
      </c>
      <c r="AA218" s="164" t="str">
        <f t="shared" si="575"/>
        <v>1.90</v>
      </c>
      <c r="AB218" s="164">
        <v>96.21</v>
      </c>
      <c r="AC218" s="164" t="str">
        <f t="shared" si="576"/>
        <v>14.40</v>
      </c>
      <c r="AD218" s="165" t="str">
        <f t="shared" si="577"/>
        <v>90.50</v>
      </c>
      <c r="AE218" s="23"/>
      <c r="AF218" s="169" t="str">
        <f t="shared" si="578"/>
        <v>30.6</v>
      </c>
      <c r="AG218" s="163" t="str">
        <f t="shared" si="579"/>
        <v>#DIV/0!</v>
      </c>
      <c r="AH218" s="170" t="str">
        <f t="shared" si="580"/>
        <v>#DIV/0!</v>
      </c>
      <c r="AI218" s="26"/>
      <c r="AJ218" s="171" t="str">
        <f t="shared" si="581"/>
        <v>0.00%</v>
      </c>
      <c r="AK218" s="172" t="str">
        <f t="shared" si="582"/>
        <v>#DIV/0!</v>
      </c>
      <c r="AL218" s="173" t="str">
        <f t="shared" si="583"/>
        <v>#DIV/0!</v>
      </c>
      <c r="AM218" s="174" t="str">
        <f t="shared" si="584"/>
        <v>#DIV/0!</v>
      </c>
    </row>
    <row r="219" ht="12.75" customHeight="1">
      <c r="A219" s="26"/>
      <c r="B219" s="190" t="s">
        <v>460</v>
      </c>
      <c r="C219" s="192">
        <v>1.6895673E8</v>
      </c>
      <c r="D219" s="152" t="s">
        <v>461</v>
      </c>
      <c r="E219" s="53" t="s">
        <v>77</v>
      </c>
      <c r="F219" s="154"/>
      <c r="G219" s="53"/>
      <c r="H219" s="53" t="str">
        <f t="shared" si="561"/>
        <v>0.00069</v>
      </c>
      <c r="I219" s="53" t="str">
        <f t="shared" si="562"/>
        <v>89</v>
      </c>
      <c r="J219" s="53" t="str">
        <f t="shared" si="563"/>
        <v>0</v>
      </c>
      <c r="K219" s="155" t="str">
        <f t="shared" si="564"/>
        <v>0.00</v>
      </c>
      <c r="L219" s="156" t="str">
        <f t="shared" si="565"/>
        <v>0.00 </v>
      </c>
      <c r="M219" s="132">
        <v>90.0</v>
      </c>
      <c r="N219" s="325" t="str">
        <f t="shared" si="566"/>
        <v>#DIV/0!</v>
      </c>
      <c r="O219" s="158">
        <v>880.2</v>
      </c>
      <c r="P219" s="159" t="str">
        <f t="shared" si="567"/>
        <v>#DIV/0!</v>
      </c>
      <c r="Q219" s="160"/>
      <c r="R219" s="161">
        <v>0.26</v>
      </c>
      <c r="S219" s="162" t="str">
        <f t="shared" si="568"/>
        <v>651.35</v>
      </c>
      <c r="T219" s="163" t="str">
        <f t="shared" si="569"/>
        <v>20.00</v>
      </c>
      <c r="U219" s="164" t="str">
        <f t="shared" si="570"/>
        <v>52.11</v>
      </c>
      <c r="V219" s="165" t="str">
        <f t="shared" si="571"/>
        <v>#DIV/0!</v>
      </c>
      <c r="W219" s="166">
        <v>0.69</v>
      </c>
      <c r="X219" s="167" t="str">
        <f t="shared" si="572"/>
        <v>76</v>
      </c>
      <c r="Y219" s="168" t="str">
        <f t="shared" si="573"/>
        <v>242.055</v>
      </c>
      <c r="Z219" s="168" t="str">
        <f t="shared" si="574"/>
        <v>14.134</v>
      </c>
      <c r="AA219" s="164" t="str">
        <f t="shared" si="575"/>
        <v>1.01</v>
      </c>
      <c r="AB219" s="164">
        <v>97.99</v>
      </c>
      <c r="AC219" s="164" t="str">
        <f t="shared" si="576"/>
        <v>4.80</v>
      </c>
      <c r="AD219" s="165" t="str">
        <f t="shared" si="577"/>
        <v>44.01</v>
      </c>
      <c r="AE219" s="23"/>
      <c r="AF219" s="169" t="str">
        <f t="shared" si="578"/>
        <v>10.2</v>
      </c>
      <c r="AG219" s="163" t="str">
        <f t="shared" si="579"/>
        <v>#DIV/0!</v>
      </c>
      <c r="AH219" s="170" t="str">
        <f t="shared" si="580"/>
        <v>#DIV/0!</v>
      </c>
      <c r="AI219" s="26"/>
      <c r="AJ219" s="171" t="str">
        <f t="shared" si="581"/>
        <v>0.00%</v>
      </c>
      <c r="AK219" s="172" t="str">
        <f t="shared" si="582"/>
        <v>#DIV/0!</v>
      </c>
      <c r="AL219" s="173" t="str">
        <f t="shared" si="583"/>
        <v>#DIV/0!</v>
      </c>
      <c r="AM219" s="174" t="str">
        <f t="shared" si="584"/>
        <v>#DIV/0!</v>
      </c>
    </row>
    <row r="220" ht="12.75" customHeight="1">
      <c r="A220" s="26"/>
      <c r="B220" s="190" t="s">
        <v>462</v>
      </c>
      <c r="C220" s="192">
        <v>1.90158095E8</v>
      </c>
      <c r="D220" s="152" t="s">
        <v>463</v>
      </c>
      <c r="E220" s="53" t="s">
        <v>77</v>
      </c>
      <c r="F220" s="154"/>
      <c r="G220" s="53"/>
      <c r="H220" s="53" t="str">
        <f t="shared" si="561"/>
        <v>0.00069</v>
      </c>
      <c r="I220" s="53" t="str">
        <f t="shared" si="562"/>
        <v>89</v>
      </c>
      <c r="J220" s="53" t="str">
        <f t="shared" si="563"/>
        <v>0</v>
      </c>
      <c r="K220" s="155" t="str">
        <f t="shared" si="564"/>
        <v>0.00</v>
      </c>
      <c r="L220" s="156" t="str">
        <f t="shared" si="565"/>
        <v>0.00 </v>
      </c>
      <c r="M220" s="132">
        <v>90.0</v>
      </c>
      <c r="N220" s="325" t="str">
        <f t="shared" si="566"/>
        <v>#DIV/0!</v>
      </c>
      <c r="O220" s="158">
        <v>959.1</v>
      </c>
      <c r="P220" s="159" t="str">
        <f t="shared" si="567"/>
        <v>#DIV/0!</v>
      </c>
      <c r="Q220" s="160"/>
      <c r="R220" s="161">
        <v>0.26</v>
      </c>
      <c r="S220" s="162" t="str">
        <f t="shared" si="568"/>
        <v>709.73</v>
      </c>
      <c r="T220" s="163" t="str">
        <f t="shared" si="569"/>
        <v>20.00</v>
      </c>
      <c r="U220" s="164" t="str">
        <f t="shared" si="570"/>
        <v>56.78</v>
      </c>
      <c r="V220" s="165" t="str">
        <f t="shared" si="571"/>
        <v>#DIV/0!</v>
      </c>
      <c r="W220" s="166">
        <v>0.36</v>
      </c>
      <c r="X220" s="167" t="str">
        <f t="shared" si="572"/>
        <v>76</v>
      </c>
      <c r="Y220" s="168" t="str">
        <f t="shared" si="573"/>
        <v>263.753</v>
      </c>
      <c r="Z220" s="168" t="str">
        <f t="shared" si="574"/>
        <v>15.401</v>
      </c>
      <c r="AA220" s="164" t="str">
        <f t="shared" si="575"/>
        <v>0.00</v>
      </c>
      <c r="AB220" s="164">
        <v>100.0</v>
      </c>
      <c r="AC220" s="164" t="str">
        <f t="shared" si="576"/>
        <v>4.80</v>
      </c>
      <c r="AD220" s="165" t="str">
        <f t="shared" si="577"/>
        <v>47.96</v>
      </c>
      <c r="AE220" s="23"/>
      <c r="AF220" s="169" t="str">
        <f t="shared" si="578"/>
        <v>10.2</v>
      </c>
      <c r="AG220" s="163" t="str">
        <f t="shared" si="579"/>
        <v>#DIV/0!</v>
      </c>
      <c r="AH220" s="170" t="str">
        <f t="shared" si="580"/>
        <v>#DIV/0!</v>
      </c>
      <c r="AI220" s="26"/>
      <c r="AJ220" s="171" t="str">
        <f t="shared" si="581"/>
        <v>0.00%</v>
      </c>
      <c r="AK220" s="172" t="str">
        <f t="shared" si="582"/>
        <v>#DIV/0!</v>
      </c>
      <c r="AL220" s="173" t="str">
        <f t="shared" si="583"/>
        <v>#DIV/0!</v>
      </c>
      <c r="AM220" s="174" t="str">
        <f t="shared" si="584"/>
        <v>#DIV/0!</v>
      </c>
    </row>
    <row r="221" ht="12.75" customHeight="1">
      <c r="A221" s="26"/>
      <c r="B221" s="190" t="s">
        <v>464</v>
      </c>
      <c r="C221" s="191">
        <v>1.90158096E8</v>
      </c>
      <c r="D221" s="152" t="s">
        <v>465</v>
      </c>
      <c r="E221" s="53" t="s">
        <v>77</v>
      </c>
      <c r="F221" s="154"/>
      <c r="G221" s="53"/>
      <c r="H221" s="53" t="str">
        <f t="shared" si="561"/>
        <v>0.00069</v>
      </c>
      <c r="I221" s="53" t="str">
        <f t="shared" si="562"/>
        <v>89</v>
      </c>
      <c r="J221" s="53" t="str">
        <f t="shared" si="563"/>
        <v>0</v>
      </c>
      <c r="K221" s="155" t="str">
        <f t="shared" si="564"/>
        <v>0.00</v>
      </c>
      <c r="L221" s="156" t="str">
        <f t="shared" si="565"/>
        <v>0.00 </v>
      </c>
      <c r="M221" s="132">
        <v>90.0</v>
      </c>
      <c r="N221" s="325" t="str">
        <f t="shared" si="566"/>
        <v>#DIV/0!</v>
      </c>
      <c r="O221" s="158">
        <v>959.1</v>
      </c>
      <c r="P221" s="159" t="str">
        <f t="shared" si="567"/>
        <v>#DIV/0!</v>
      </c>
      <c r="Q221" s="160"/>
      <c r="R221" s="161">
        <v>0.26</v>
      </c>
      <c r="S221" s="162" t="str">
        <f t="shared" si="568"/>
        <v>709.73</v>
      </c>
      <c r="T221" s="163" t="str">
        <f t="shared" si="569"/>
        <v>20.00</v>
      </c>
      <c r="U221" s="164" t="str">
        <f t="shared" si="570"/>
        <v>56.78</v>
      </c>
      <c r="V221" s="165" t="str">
        <f t="shared" si="571"/>
        <v>#DIV/0!</v>
      </c>
      <c r="W221" s="166">
        <v>0.36</v>
      </c>
      <c r="X221" s="167" t="str">
        <f t="shared" si="572"/>
        <v>76</v>
      </c>
      <c r="Y221" s="168" t="str">
        <f t="shared" si="573"/>
        <v>263.753</v>
      </c>
      <c r="Z221" s="168" t="str">
        <f t="shared" si="574"/>
        <v>15.401</v>
      </c>
      <c r="AA221" s="164" t="str">
        <f t="shared" si="575"/>
        <v>1.79</v>
      </c>
      <c r="AB221" s="164">
        <v>96.43</v>
      </c>
      <c r="AC221" s="164" t="str">
        <f t="shared" si="576"/>
        <v>4.80</v>
      </c>
      <c r="AD221" s="165" t="str">
        <f t="shared" si="577"/>
        <v>47.96</v>
      </c>
      <c r="AE221" s="23"/>
      <c r="AF221" s="169" t="str">
        <f t="shared" si="578"/>
        <v>10.2</v>
      </c>
      <c r="AG221" s="163" t="str">
        <f t="shared" si="579"/>
        <v>#DIV/0!</v>
      </c>
      <c r="AH221" s="170" t="str">
        <f t="shared" si="580"/>
        <v>#DIV/0!</v>
      </c>
      <c r="AI221" s="26"/>
      <c r="AJ221" s="171" t="str">
        <f t="shared" si="581"/>
        <v>0.00%</v>
      </c>
      <c r="AK221" s="172" t="str">
        <f t="shared" si="582"/>
        <v>#DIV/0!</v>
      </c>
      <c r="AL221" s="173" t="str">
        <f t="shared" si="583"/>
        <v>#DIV/0!</v>
      </c>
      <c r="AM221" s="174" t="str">
        <f t="shared" si="584"/>
        <v>#DIV/0!</v>
      </c>
    </row>
    <row r="222" ht="12.75" customHeight="1">
      <c r="A222" s="26"/>
      <c r="B222" s="190" t="s">
        <v>466</v>
      </c>
      <c r="C222" s="191">
        <v>1.90158094E8</v>
      </c>
      <c r="D222" s="152" t="s">
        <v>467</v>
      </c>
      <c r="E222" s="53" t="s">
        <v>77</v>
      </c>
      <c r="F222" s="154"/>
      <c r="G222" s="53"/>
      <c r="H222" s="53" t="str">
        <f t="shared" si="561"/>
        <v>0.00069</v>
      </c>
      <c r="I222" s="53" t="str">
        <f t="shared" si="562"/>
        <v>89</v>
      </c>
      <c r="J222" s="53" t="str">
        <f t="shared" si="563"/>
        <v>0</v>
      </c>
      <c r="K222" s="155" t="str">
        <f t="shared" si="564"/>
        <v>0.00</v>
      </c>
      <c r="L222" s="156" t="str">
        <f t="shared" si="565"/>
        <v>0.00 </v>
      </c>
      <c r="M222" s="132">
        <v>90.0</v>
      </c>
      <c r="N222" s="325" t="str">
        <f t="shared" si="566"/>
        <v>#DIV/0!</v>
      </c>
      <c r="O222" s="158">
        <v>959.1</v>
      </c>
      <c r="P222" s="159" t="str">
        <f t="shared" si="567"/>
        <v>#DIV/0!</v>
      </c>
      <c r="Q222" s="160"/>
      <c r="R222" s="161">
        <v>0.26</v>
      </c>
      <c r="S222" s="162" t="str">
        <f t="shared" si="568"/>
        <v>709.73</v>
      </c>
      <c r="T222" s="163" t="str">
        <f t="shared" si="569"/>
        <v>20.00</v>
      </c>
      <c r="U222" s="164" t="str">
        <f t="shared" si="570"/>
        <v>56.78</v>
      </c>
      <c r="V222" s="165" t="str">
        <f t="shared" si="571"/>
        <v>#DIV/0!</v>
      </c>
      <c r="W222" s="166">
        <v>0.36</v>
      </c>
      <c r="X222" s="167" t="str">
        <f t="shared" si="572"/>
        <v>76</v>
      </c>
      <c r="Y222" s="168" t="str">
        <f t="shared" si="573"/>
        <v>263.753</v>
      </c>
      <c r="Z222" s="168" t="str">
        <f t="shared" si="574"/>
        <v>15.401</v>
      </c>
      <c r="AA222" s="164" t="str">
        <f t="shared" si="575"/>
        <v>3.32</v>
      </c>
      <c r="AB222" s="164">
        <v>93.37</v>
      </c>
      <c r="AC222" s="164" t="str">
        <f t="shared" si="576"/>
        <v>4.80</v>
      </c>
      <c r="AD222" s="165" t="str">
        <f t="shared" si="577"/>
        <v>47.96</v>
      </c>
      <c r="AE222" s="23"/>
      <c r="AF222" s="169" t="str">
        <f t="shared" si="578"/>
        <v>10.2</v>
      </c>
      <c r="AG222" s="163" t="str">
        <f t="shared" si="579"/>
        <v>#DIV/0!</v>
      </c>
      <c r="AH222" s="170" t="str">
        <f t="shared" si="580"/>
        <v>#DIV/0!</v>
      </c>
      <c r="AI222" s="26"/>
      <c r="AJ222" s="171" t="str">
        <f t="shared" si="581"/>
        <v>0.00%</v>
      </c>
      <c r="AK222" s="172" t="str">
        <f t="shared" si="582"/>
        <v>#DIV/0!</v>
      </c>
      <c r="AL222" s="173" t="str">
        <f t="shared" si="583"/>
        <v>#DIV/0!</v>
      </c>
      <c r="AM222" s="174" t="str">
        <f t="shared" si="584"/>
        <v>#DIV/0!</v>
      </c>
    </row>
    <row r="223" ht="12.75" customHeight="1">
      <c r="A223" s="26"/>
      <c r="B223" s="190" t="s">
        <v>468</v>
      </c>
      <c r="C223" s="191">
        <v>1.90158097E8</v>
      </c>
      <c r="D223" s="152" t="s">
        <v>469</v>
      </c>
      <c r="E223" s="53" t="s">
        <v>77</v>
      </c>
      <c r="F223" s="154"/>
      <c r="G223" s="53"/>
      <c r="H223" s="53" t="str">
        <f t="shared" si="561"/>
        <v>0.00069</v>
      </c>
      <c r="I223" s="53" t="str">
        <f t="shared" si="562"/>
        <v>89</v>
      </c>
      <c r="J223" s="53" t="str">
        <f t="shared" si="563"/>
        <v>0</v>
      </c>
      <c r="K223" s="155" t="str">
        <f t="shared" si="564"/>
        <v>0.00</v>
      </c>
      <c r="L223" s="156" t="str">
        <f t="shared" si="565"/>
        <v>0.00 </v>
      </c>
      <c r="M223" s="132">
        <v>90.0</v>
      </c>
      <c r="N223" s="325" t="str">
        <f t="shared" si="566"/>
        <v>#DIV/0!</v>
      </c>
      <c r="O223" s="158">
        <v>959.1</v>
      </c>
      <c r="P223" s="159" t="str">
        <f t="shared" si="567"/>
        <v>#DIV/0!</v>
      </c>
      <c r="Q223" s="160"/>
      <c r="R223" s="161">
        <v>0.26</v>
      </c>
      <c r="S223" s="162" t="str">
        <f t="shared" si="568"/>
        <v>709.73</v>
      </c>
      <c r="T223" s="163" t="str">
        <f t="shared" si="569"/>
        <v>20.00</v>
      </c>
      <c r="U223" s="164" t="str">
        <f t="shared" si="570"/>
        <v>56.78</v>
      </c>
      <c r="V223" s="165" t="str">
        <f t="shared" si="571"/>
        <v>#DIV/0!</v>
      </c>
      <c r="W223" s="166">
        <v>0.36</v>
      </c>
      <c r="X223" s="167" t="str">
        <f t="shared" si="572"/>
        <v>76</v>
      </c>
      <c r="Y223" s="168" t="str">
        <f t="shared" si="573"/>
        <v>263.753</v>
      </c>
      <c r="Z223" s="168" t="str">
        <f t="shared" si="574"/>
        <v>15.401</v>
      </c>
      <c r="AA223" s="164" t="str">
        <f t="shared" si="575"/>
        <v>0.73</v>
      </c>
      <c r="AB223" s="164">
        <v>98.54</v>
      </c>
      <c r="AC223" s="164" t="str">
        <f t="shared" si="576"/>
        <v>4.80</v>
      </c>
      <c r="AD223" s="165" t="str">
        <f t="shared" si="577"/>
        <v>47.96</v>
      </c>
      <c r="AE223" s="23"/>
      <c r="AF223" s="169" t="str">
        <f t="shared" si="578"/>
        <v>10.2</v>
      </c>
      <c r="AG223" s="163" t="str">
        <f t="shared" si="579"/>
        <v>#DIV/0!</v>
      </c>
      <c r="AH223" s="170" t="str">
        <f t="shared" si="580"/>
        <v>#DIV/0!</v>
      </c>
      <c r="AI223" s="26"/>
      <c r="AJ223" s="171" t="str">
        <f t="shared" si="581"/>
        <v>0.00%</v>
      </c>
      <c r="AK223" s="172" t="str">
        <f t="shared" si="582"/>
        <v>#DIV/0!</v>
      </c>
      <c r="AL223" s="173" t="str">
        <f t="shared" si="583"/>
        <v>#DIV/0!</v>
      </c>
      <c r="AM223" s="174" t="str">
        <f t="shared" si="584"/>
        <v>#DIV/0!</v>
      </c>
    </row>
    <row r="224" ht="12.75" customHeight="1">
      <c r="A224" s="26"/>
      <c r="B224" s="190" t="s">
        <v>470</v>
      </c>
      <c r="C224" s="191">
        <v>1.90158093E8</v>
      </c>
      <c r="D224" s="152" t="s">
        <v>471</v>
      </c>
      <c r="E224" s="53" t="s">
        <v>77</v>
      </c>
      <c r="F224" s="154"/>
      <c r="G224" s="53"/>
      <c r="H224" s="53" t="str">
        <f t="shared" si="561"/>
        <v>0.00069</v>
      </c>
      <c r="I224" s="53" t="str">
        <f t="shared" si="562"/>
        <v>89</v>
      </c>
      <c r="J224" s="53" t="str">
        <f t="shared" si="563"/>
        <v>0</v>
      </c>
      <c r="K224" s="155" t="str">
        <f t="shared" si="564"/>
        <v>0.00</v>
      </c>
      <c r="L224" s="156" t="str">
        <f t="shared" si="565"/>
        <v>0.00 </v>
      </c>
      <c r="M224" s="132">
        <v>90.0</v>
      </c>
      <c r="N224" s="325" t="str">
        <f t="shared" si="566"/>
        <v>#DIV/0!</v>
      </c>
      <c r="O224" s="158">
        <v>959.1</v>
      </c>
      <c r="P224" s="159" t="str">
        <f t="shared" si="567"/>
        <v>#DIV/0!</v>
      </c>
      <c r="Q224" s="160"/>
      <c r="R224" s="161">
        <v>0.26</v>
      </c>
      <c r="S224" s="162" t="str">
        <f t="shared" si="568"/>
        <v>709.73</v>
      </c>
      <c r="T224" s="163" t="str">
        <f t="shared" si="569"/>
        <v>20.00</v>
      </c>
      <c r="U224" s="164" t="str">
        <f t="shared" si="570"/>
        <v>56.78</v>
      </c>
      <c r="V224" s="165" t="str">
        <f t="shared" si="571"/>
        <v>#DIV/0!</v>
      </c>
      <c r="W224" s="166">
        <v>0.36</v>
      </c>
      <c r="X224" s="167" t="str">
        <f t="shared" si="572"/>
        <v>76</v>
      </c>
      <c r="Y224" s="168" t="str">
        <f t="shared" si="573"/>
        <v>263.753</v>
      </c>
      <c r="Z224" s="168" t="str">
        <f t="shared" si="574"/>
        <v>15.401</v>
      </c>
      <c r="AA224" s="164" t="str">
        <f t="shared" si="575"/>
        <v>2.88</v>
      </c>
      <c r="AB224" s="164">
        <v>94.25</v>
      </c>
      <c r="AC224" s="164" t="str">
        <f t="shared" si="576"/>
        <v>4.80</v>
      </c>
      <c r="AD224" s="165" t="str">
        <f t="shared" si="577"/>
        <v>47.96</v>
      </c>
      <c r="AE224" s="23"/>
      <c r="AF224" s="169" t="str">
        <f t="shared" si="578"/>
        <v>10.2</v>
      </c>
      <c r="AG224" s="163" t="str">
        <f t="shared" si="579"/>
        <v>#DIV/0!</v>
      </c>
      <c r="AH224" s="170" t="str">
        <f t="shared" si="580"/>
        <v>#DIV/0!</v>
      </c>
      <c r="AI224" s="26"/>
      <c r="AJ224" s="171" t="str">
        <f t="shared" si="581"/>
        <v>0.00%</v>
      </c>
      <c r="AK224" s="172" t="str">
        <f t="shared" si="582"/>
        <v>#DIV/0!</v>
      </c>
      <c r="AL224" s="173" t="str">
        <f t="shared" si="583"/>
        <v>#DIV/0!</v>
      </c>
      <c r="AM224" s="174" t="str">
        <f t="shared" si="584"/>
        <v>#DIV/0!</v>
      </c>
    </row>
    <row r="225" ht="12.75" customHeight="1">
      <c r="A225" s="26"/>
      <c r="B225" s="190" t="s">
        <v>472</v>
      </c>
      <c r="C225" s="191">
        <v>1.8302882E8</v>
      </c>
      <c r="D225" s="152" t="s">
        <v>473</v>
      </c>
      <c r="E225" s="53" t="s">
        <v>77</v>
      </c>
      <c r="F225" s="154"/>
      <c r="G225" s="53"/>
      <c r="H225" s="53" t="str">
        <f t="shared" si="561"/>
        <v>0.00069</v>
      </c>
      <c r="I225" s="53" t="str">
        <f t="shared" si="562"/>
        <v>89</v>
      </c>
      <c r="J225" s="53" t="str">
        <f t="shared" si="563"/>
        <v>0</v>
      </c>
      <c r="K225" s="155" t="str">
        <f t="shared" si="564"/>
        <v>0.00</v>
      </c>
      <c r="L225" s="156" t="str">
        <f t="shared" si="565"/>
        <v>0.00 </v>
      </c>
      <c r="M225" s="132">
        <v>90.0</v>
      </c>
      <c r="N225" s="325" t="str">
        <f t="shared" si="566"/>
        <v>#DIV/0!</v>
      </c>
      <c r="O225" s="158">
        <v>1173.0</v>
      </c>
      <c r="P225" s="159" t="str">
        <f t="shared" si="567"/>
        <v>#DIV/0!</v>
      </c>
      <c r="Q225" s="160"/>
      <c r="R225" s="161">
        <v>0.26</v>
      </c>
      <c r="S225" s="162" t="str">
        <f t="shared" si="568"/>
        <v>868.02</v>
      </c>
      <c r="T225" s="163" t="str">
        <f t="shared" si="569"/>
        <v>20.00</v>
      </c>
      <c r="U225" s="164" t="str">
        <f t="shared" si="570"/>
        <v>69.44</v>
      </c>
      <c r="V225" s="165" t="str">
        <f t="shared" si="571"/>
        <v>#DIV/0!</v>
      </c>
      <c r="W225" s="166">
        <v>0.68</v>
      </c>
      <c r="X225" s="167" t="str">
        <f t="shared" si="572"/>
        <v>76</v>
      </c>
      <c r="Y225" s="168" t="str">
        <f t="shared" si="573"/>
        <v>322.575</v>
      </c>
      <c r="Z225" s="168" t="str">
        <f t="shared" si="574"/>
        <v>18.836</v>
      </c>
      <c r="AA225" s="164" t="str">
        <f t="shared" si="575"/>
        <v>1.72</v>
      </c>
      <c r="AB225" s="164">
        <v>96.56</v>
      </c>
      <c r="AC225" s="164" t="str">
        <f t="shared" si="576"/>
        <v>4.80</v>
      </c>
      <c r="AD225" s="165" t="str">
        <f t="shared" si="577"/>
        <v>58.65</v>
      </c>
      <c r="AE225" s="23"/>
      <c r="AF225" s="169" t="str">
        <f t="shared" si="578"/>
        <v>10.2</v>
      </c>
      <c r="AG225" s="163" t="str">
        <f t="shared" si="579"/>
        <v>#DIV/0!</v>
      </c>
      <c r="AH225" s="170" t="str">
        <f t="shared" si="580"/>
        <v>#DIV/0!</v>
      </c>
      <c r="AI225" s="26"/>
      <c r="AJ225" s="171" t="str">
        <f t="shared" si="581"/>
        <v>0.00%</v>
      </c>
      <c r="AK225" s="172" t="str">
        <f t="shared" si="582"/>
        <v>#DIV/0!</v>
      </c>
      <c r="AL225" s="173" t="str">
        <f t="shared" si="583"/>
        <v>#DIV/0!</v>
      </c>
      <c r="AM225" s="174" t="str">
        <f t="shared" si="584"/>
        <v>#DIV/0!</v>
      </c>
    </row>
    <row r="226" ht="12.75" customHeight="1">
      <c r="A226" s="26"/>
      <c r="B226" s="190" t="s">
        <v>474</v>
      </c>
      <c r="C226" s="216"/>
      <c r="D226" s="217" t="s">
        <v>475</v>
      </c>
      <c r="E226" s="53" t="s">
        <v>77</v>
      </c>
      <c r="F226" s="154"/>
      <c r="G226" s="53"/>
      <c r="H226" s="53" t="str">
        <f t="shared" si="561"/>
        <v>0.00069</v>
      </c>
      <c r="I226" s="53" t="str">
        <f t="shared" si="562"/>
        <v>89</v>
      </c>
      <c r="J226" s="53" t="str">
        <f t="shared" si="563"/>
        <v>0</v>
      </c>
      <c r="K226" s="155" t="str">
        <f t="shared" si="564"/>
        <v>0.00</v>
      </c>
      <c r="L226" s="156" t="str">
        <f t="shared" si="565"/>
        <v>0.00 </v>
      </c>
      <c r="M226" s="132">
        <v>90.0</v>
      </c>
      <c r="N226" s="325" t="str">
        <f t="shared" si="566"/>
        <v>#DIV/0!</v>
      </c>
      <c r="O226" s="158"/>
      <c r="P226" s="159" t="str">
        <f t="shared" si="567"/>
        <v/>
      </c>
      <c r="Q226" s="160"/>
      <c r="R226" s="161"/>
      <c r="S226" s="162"/>
      <c r="T226" s="163"/>
      <c r="U226" s="164"/>
      <c r="V226" s="165"/>
      <c r="W226" s="166"/>
      <c r="X226" s="167"/>
      <c r="Y226" s="168"/>
      <c r="Z226" s="168"/>
      <c r="AA226" s="164"/>
      <c r="AB226" s="164"/>
      <c r="AC226" s="164"/>
      <c r="AD226" s="165"/>
      <c r="AE226" s="23"/>
      <c r="AF226" s="218"/>
      <c r="AG226" s="163"/>
      <c r="AH226" s="170"/>
      <c r="AI226" s="26"/>
      <c r="AJ226" s="171"/>
      <c r="AK226" s="172"/>
      <c r="AL226" s="219"/>
      <c r="AM226" s="174"/>
    </row>
    <row r="227" ht="12.75" customHeight="1">
      <c r="A227" s="26"/>
      <c r="B227" s="190" t="s">
        <v>474</v>
      </c>
      <c r="C227" s="220"/>
      <c r="D227" s="221" t="s">
        <v>476</v>
      </c>
      <c r="E227" s="211" t="s">
        <v>77</v>
      </c>
      <c r="F227" s="154"/>
      <c r="G227" s="211"/>
      <c r="H227" s="53" t="str">
        <f t="shared" si="561"/>
        <v>0.00069</v>
      </c>
      <c r="I227" s="53" t="str">
        <f t="shared" si="562"/>
        <v>89</v>
      </c>
      <c r="J227" s="53" t="str">
        <f t="shared" si="563"/>
        <v>0</v>
      </c>
      <c r="K227" s="155" t="str">
        <f t="shared" si="564"/>
        <v>0.00</v>
      </c>
      <c r="L227" s="156" t="str">
        <f t="shared" si="565"/>
        <v>0.00 </v>
      </c>
      <c r="M227" s="132">
        <v>90.0</v>
      </c>
      <c r="N227" s="325" t="str">
        <f t="shared" si="566"/>
        <v>#DIV/0!</v>
      </c>
      <c r="O227" s="158">
        <v>481.8</v>
      </c>
      <c r="P227" s="159" t="str">
        <f t="shared" si="567"/>
        <v>#DIV/0!</v>
      </c>
      <c r="Q227" s="160"/>
      <c r="R227" s="161">
        <v>0.26</v>
      </c>
      <c r="S227" s="162" t="str">
        <f t="shared" ref="S227:S231" si="585">O227-(O227*R227)</f>
        <v>356.53</v>
      </c>
      <c r="T227" s="163" t="str">
        <f t="shared" ref="T227:T231" si="586">$C$1</f>
        <v>20.00</v>
      </c>
      <c r="U227" s="164" t="str">
        <f t="shared" ref="U227:U231" si="587">S227*$C$8</f>
        <v>28.52</v>
      </c>
      <c r="V227" s="165" t="str">
        <f t="shared" ref="V227:V231" si="588">N227*$C$3*(M227/30)</f>
        <v>#DIV/0!</v>
      </c>
      <c r="W227" s="166">
        <v>0.68</v>
      </c>
      <c r="X227" s="167" t="str">
        <f t="shared" ref="X227:X231" si="589">((_xlfn.CEILING.MATH(W227)-1)*$C$5+$C$4)</f>
        <v>76</v>
      </c>
      <c r="Y227" s="168" t="str">
        <f t="shared" ref="Y227:Y231" si="590">O227*$Y$6</f>
        <v>132.495</v>
      </c>
      <c r="Z227" s="168" t="str">
        <f t="shared" ref="Z227:Z231" si="591">S227*$Y$7</f>
        <v>7.737</v>
      </c>
      <c r="AA227" s="164" t="str">
        <f t="shared" ref="AA227:AA231" si="592">$Y$3*((100-AB227)/100)</f>
        <v>0.00</v>
      </c>
      <c r="AB227" s="164">
        <v>100.0</v>
      </c>
      <c r="AC227" s="164" t="str">
        <f t="shared" ref="AC227:AC231" si="593">$C$6*$C$7*_xlfn.CEILING.MATH(W227)</f>
        <v>4.80</v>
      </c>
      <c r="AD227" s="165" t="str">
        <f t="shared" ref="AD227:AD231" si="594">O227*$C$2</f>
        <v>24.09</v>
      </c>
      <c r="AE227" s="23"/>
      <c r="AF227" s="169" t="str">
        <f t="shared" ref="AF227:AF231" si="595">(_xlfn.CEILING.MATH(W227))*$Y$1*$AD$2</f>
        <v>10.2</v>
      </c>
      <c r="AG227" s="163" t="str">
        <f t="shared" ref="AG227:AG231" si="596">O227-T227-U227-V227-X227-Y227-Z227-AA227-AC227-AD227-N227</f>
        <v>#DIV/0!</v>
      </c>
      <c r="AH227" s="170" t="str">
        <f t="shared" ref="AH227:AH231" si="597">AG227/N227</f>
        <v>#DIV/0!</v>
      </c>
      <c r="AI227" s="26"/>
      <c r="AJ227" s="171" t="str">
        <f t="shared" ref="AJ227:AJ231" si="598">$AD$3</f>
        <v>0.00%</v>
      </c>
      <c r="AK227" s="172" t="str">
        <f t="shared" ref="AK227:AK231" si="599">N227*AJ227</f>
        <v>#DIV/0!</v>
      </c>
      <c r="AL227" s="173" t="str">
        <f t="shared" ref="AL227:AL231" si="600">(N227+T227+V227+X227+AA227+AC227+AF227+AK227)/(100%-($C$2+$C$8+$Y$6+$Y$7))</f>
        <v>#DIV/0!</v>
      </c>
      <c r="AM227" s="174" t="str">
        <f t="shared" ref="AM227:AM236" si="601">AL227-(AL227*$AD$1)</f>
        <v>#DIV/0!</v>
      </c>
    </row>
    <row r="228" ht="12.75" customHeight="1">
      <c r="A228" s="26"/>
      <c r="B228" s="190" t="s">
        <v>474</v>
      </c>
      <c r="C228" s="220"/>
      <c r="D228" s="221" t="s">
        <v>477</v>
      </c>
      <c r="E228" s="211" t="s">
        <v>77</v>
      </c>
      <c r="F228" s="154"/>
      <c r="G228" s="211"/>
      <c r="H228" s="53" t="str">
        <f t="shared" si="561"/>
        <v>0.00069</v>
      </c>
      <c r="I228" s="53" t="str">
        <f t="shared" si="562"/>
        <v>89</v>
      </c>
      <c r="J228" s="53" t="str">
        <f t="shared" si="563"/>
        <v>0</v>
      </c>
      <c r="K228" s="155" t="str">
        <f t="shared" si="564"/>
        <v>0.00</v>
      </c>
      <c r="L228" s="156" t="str">
        <f t="shared" si="565"/>
        <v>0.00 </v>
      </c>
      <c r="M228" s="132">
        <v>90.0</v>
      </c>
      <c r="N228" s="325" t="str">
        <f t="shared" si="566"/>
        <v>#DIV/0!</v>
      </c>
      <c r="O228" s="158">
        <v>511.2</v>
      </c>
      <c r="P228" s="159" t="str">
        <f t="shared" si="567"/>
        <v>#DIV/0!</v>
      </c>
      <c r="Q228" s="160"/>
      <c r="R228" s="161">
        <v>0.26</v>
      </c>
      <c r="S228" s="162" t="str">
        <f t="shared" si="585"/>
        <v>378.29</v>
      </c>
      <c r="T228" s="163" t="str">
        <f t="shared" si="586"/>
        <v>20.00</v>
      </c>
      <c r="U228" s="164" t="str">
        <f t="shared" si="587"/>
        <v>30.26</v>
      </c>
      <c r="V228" s="165" t="str">
        <f t="shared" si="588"/>
        <v>#DIV/0!</v>
      </c>
      <c r="W228" s="166">
        <v>0.77</v>
      </c>
      <c r="X228" s="167" t="str">
        <f t="shared" si="589"/>
        <v>76</v>
      </c>
      <c r="Y228" s="168" t="str">
        <f t="shared" si="590"/>
        <v>140.580</v>
      </c>
      <c r="Z228" s="168" t="str">
        <f t="shared" si="591"/>
        <v>8.209</v>
      </c>
      <c r="AA228" s="164" t="str">
        <f t="shared" si="592"/>
        <v>7.15</v>
      </c>
      <c r="AB228" s="164">
        <v>85.71</v>
      </c>
      <c r="AC228" s="164" t="str">
        <f t="shared" si="593"/>
        <v>4.80</v>
      </c>
      <c r="AD228" s="165" t="str">
        <f t="shared" si="594"/>
        <v>25.56</v>
      </c>
      <c r="AE228" s="23"/>
      <c r="AF228" s="169" t="str">
        <f t="shared" si="595"/>
        <v>10.2</v>
      </c>
      <c r="AG228" s="163" t="str">
        <f t="shared" si="596"/>
        <v>#DIV/0!</v>
      </c>
      <c r="AH228" s="170" t="str">
        <f t="shared" si="597"/>
        <v>#DIV/0!</v>
      </c>
      <c r="AI228" s="26"/>
      <c r="AJ228" s="171" t="str">
        <f t="shared" si="598"/>
        <v>0.00%</v>
      </c>
      <c r="AK228" s="172" t="str">
        <f t="shared" si="599"/>
        <v>#DIV/0!</v>
      </c>
      <c r="AL228" s="173" t="str">
        <f t="shared" si="600"/>
        <v>#DIV/0!</v>
      </c>
      <c r="AM228" s="174" t="str">
        <f t="shared" si="601"/>
        <v>#DIV/0!</v>
      </c>
    </row>
    <row r="229" ht="12.75" customHeight="1">
      <c r="A229" s="26"/>
      <c r="B229" s="190" t="s">
        <v>474</v>
      </c>
      <c r="C229" s="220"/>
      <c r="D229" s="221" t="s">
        <v>478</v>
      </c>
      <c r="E229" s="211" t="s">
        <v>77</v>
      </c>
      <c r="F229" s="154"/>
      <c r="G229" s="211"/>
      <c r="H229" s="53" t="str">
        <f t="shared" si="561"/>
        <v>0.00069</v>
      </c>
      <c r="I229" s="53" t="str">
        <f t="shared" si="562"/>
        <v>89</v>
      </c>
      <c r="J229" s="53" t="str">
        <f t="shared" si="563"/>
        <v>0</v>
      </c>
      <c r="K229" s="155" t="str">
        <f t="shared" si="564"/>
        <v>0.00</v>
      </c>
      <c r="L229" s="156" t="str">
        <f t="shared" si="565"/>
        <v>0.00 </v>
      </c>
      <c r="M229" s="132">
        <v>90.0</v>
      </c>
      <c r="N229" s="325" t="str">
        <f t="shared" si="566"/>
        <v>#DIV/0!</v>
      </c>
      <c r="O229" s="158">
        <v>900.0</v>
      </c>
      <c r="P229" s="159" t="str">
        <f t="shared" si="567"/>
        <v>#DIV/0!</v>
      </c>
      <c r="Q229" s="160"/>
      <c r="R229" s="161">
        <v>0.26</v>
      </c>
      <c r="S229" s="162" t="str">
        <f t="shared" si="585"/>
        <v>666.00</v>
      </c>
      <c r="T229" s="163" t="str">
        <f t="shared" si="586"/>
        <v>20.00</v>
      </c>
      <c r="U229" s="164" t="str">
        <f t="shared" si="587"/>
        <v>53.28</v>
      </c>
      <c r="V229" s="165" t="str">
        <f t="shared" si="588"/>
        <v>#DIV/0!</v>
      </c>
      <c r="W229" s="166">
        <v>0.68</v>
      </c>
      <c r="X229" s="167" t="str">
        <f t="shared" si="589"/>
        <v>76</v>
      </c>
      <c r="Y229" s="168" t="str">
        <f t="shared" si="590"/>
        <v>247.500</v>
      </c>
      <c r="Z229" s="168" t="str">
        <f t="shared" si="591"/>
        <v>14.452</v>
      </c>
      <c r="AA229" s="164" t="str">
        <f t="shared" si="592"/>
        <v>1.95</v>
      </c>
      <c r="AB229" s="164">
        <v>96.1</v>
      </c>
      <c r="AC229" s="164" t="str">
        <f t="shared" si="593"/>
        <v>4.80</v>
      </c>
      <c r="AD229" s="165" t="str">
        <f t="shared" si="594"/>
        <v>45.00</v>
      </c>
      <c r="AE229" s="23"/>
      <c r="AF229" s="169" t="str">
        <f t="shared" si="595"/>
        <v>10.2</v>
      </c>
      <c r="AG229" s="163" t="str">
        <f t="shared" si="596"/>
        <v>#DIV/0!</v>
      </c>
      <c r="AH229" s="170" t="str">
        <f t="shared" si="597"/>
        <v>#DIV/0!</v>
      </c>
      <c r="AI229" s="26"/>
      <c r="AJ229" s="171" t="str">
        <f t="shared" si="598"/>
        <v>0.00%</v>
      </c>
      <c r="AK229" s="172" t="str">
        <f t="shared" si="599"/>
        <v>#DIV/0!</v>
      </c>
      <c r="AL229" s="173" t="str">
        <f t="shared" si="600"/>
        <v>#DIV/0!</v>
      </c>
      <c r="AM229" s="174" t="str">
        <f t="shared" si="601"/>
        <v>#DIV/0!</v>
      </c>
    </row>
    <row r="230" ht="12.75" customHeight="1">
      <c r="A230" s="26"/>
      <c r="B230" s="190" t="s">
        <v>479</v>
      </c>
      <c r="C230" s="191">
        <v>1.65308892E8</v>
      </c>
      <c r="D230" s="222" t="s">
        <v>480</v>
      </c>
      <c r="E230" s="53" t="s">
        <v>77</v>
      </c>
      <c r="F230" s="154"/>
      <c r="G230" s="53"/>
      <c r="H230" s="53" t="str">
        <f t="shared" si="561"/>
        <v>0.00069</v>
      </c>
      <c r="I230" s="53" t="str">
        <f t="shared" si="562"/>
        <v>89</v>
      </c>
      <c r="J230" s="53" t="str">
        <f t="shared" si="563"/>
        <v>0</v>
      </c>
      <c r="K230" s="155" t="str">
        <f t="shared" si="564"/>
        <v>0.00</v>
      </c>
      <c r="L230" s="156" t="str">
        <f t="shared" si="565"/>
        <v>0.00 </v>
      </c>
      <c r="M230" s="132">
        <v>90.0</v>
      </c>
      <c r="N230" s="325" t="str">
        <f t="shared" si="566"/>
        <v>#DIV/0!</v>
      </c>
      <c r="O230" s="158">
        <v>1302.9</v>
      </c>
      <c r="P230" s="159" t="str">
        <f t="shared" si="567"/>
        <v>#DIV/0!</v>
      </c>
      <c r="Q230" s="160"/>
      <c r="R230" s="161">
        <v>0.26</v>
      </c>
      <c r="S230" s="162" t="str">
        <f t="shared" si="585"/>
        <v>964.15</v>
      </c>
      <c r="T230" s="163" t="str">
        <f t="shared" si="586"/>
        <v>20.00</v>
      </c>
      <c r="U230" s="164" t="str">
        <f t="shared" si="587"/>
        <v>77.13</v>
      </c>
      <c r="V230" s="165" t="str">
        <f t="shared" si="588"/>
        <v>#DIV/0!</v>
      </c>
      <c r="W230" s="166">
        <v>0.43</v>
      </c>
      <c r="X230" s="167" t="str">
        <f t="shared" si="589"/>
        <v>76</v>
      </c>
      <c r="Y230" s="168" t="str">
        <f t="shared" si="590"/>
        <v>358.298</v>
      </c>
      <c r="Z230" s="168" t="str">
        <f t="shared" si="591"/>
        <v>20.922</v>
      </c>
      <c r="AA230" s="164" t="str">
        <f t="shared" si="592"/>
        <v>2.84</v>
      </c>
      <c r="AB230" s="164">
        <v>94.33</v>
      </c>
      <c r="AC230" s="164" t="str">
        <f t="shared" si="593"/>
        <v>4.80</v>
      </c>
      <c r="AD230" s="165" t="str">
        <f t="shared" si="594"/>
        <v>65.15</v>
      </c>
      <c r="AE230" s="23"/>
      <c r="AF230" s="169" t="str">
        <f t="shared" si="595"/>
        <v>10.2</v>
      </c>
      <c r="AG230" s="163" t="str">
        <f t="shared" si="596"/>
        <v>#DIV/0!</v>
      </c>
      <c r="AH230" s="170" t="str">
        <f t="shared" si="597"/>
        <v>#DIV/0!</v>
      </c>
      <c r="AI230" s="26"/>
      <c r="AJ230" s="171" t="str">
        <f t="shared" si="598"/>
        <v>0.00%</v>
      </c>
      <c r="AK230" s="172" t="str">
        <f t="shared" si="599"/>
        <v>#DIV/0!</v>
      </c>
      <c r="AL230" s="173" t="str">
        <f t="shared" si="600"/>
        <v>#DIV/0!</v>
      </c>
      <c r="AM230" s="174" t="str">
        <f t="shared" si="601"/>
        <v>#DIV/0!</v>
      </c>
    </row>
    <row r="231" ht="12.75" customHeight="1">
      <c r="A231" s="26"/>
      <c r="B231" s="190" t="s">
        <v>481</v>
      </c>
      <c r="C231" s="202">
        <v>1.8303083E8</v>
      </c>
      <c r="D231" s="152" t="s">
        <v>482</v>
      </c>
      <c r="E231" s="53" t="s">
        <v>77</v>
      </c>
      <c r="F231" s="154"/>
      <c r="G231" s="53"/>
      <c r="H231" s="53" t="str">
        <f t="shared" si="561"/>
        <v>0.00069</v>
      </c>
      <c r="I231" s="53" t="str">
        <f t="shared" si="562"/>
        <v>89</v>
      </c>
      <c r="J231" s="53" t="str">
        <f t="shared" si="563"/>
        <v>0</v>
      </c>
      <c r="K231" s="155" t="str">
        <f t="shared" si="564"/>
        <v>0.00</v>
      </c>
      <c r="L231" s="156" t="str">
        <f t="shared" si="565"/>
        <v>0.00 </v>
      </c>
      <c r="M231" s="132">
        <v>90.0</v>
      </c>
      <c r="N231" s="325" t="str">
        <f t="shared" si="566"/>
        <v>#DIV/0!</v>
      </c>
      <c r="O231" s="158">
        <v>1398.38</v>
      </c>
      <c r="P231" s="159" t="str">
        <f t="shared" si="567"/>
        <v>#DIV/0!</v>
      </c>
      <c r="Q231" s="160"/>
      <c r="R231" s="161">
        <v>0.26</v>
      </c>
      <c r="S231" s="162" t="str">
        <f t="shared" si="585"/>
        <v>1,034.80</v>
      </c>
      <c r="T231" s="163" t="str">
        <f t="shared" si="586"/>
        <v>20.00</v>
      </c>
      <c r="U231" s="164" t="str">
        <f t="shared" si="587"/>
        <v>82.78</v>
      </c>
      <c r="V231" s="165" t="str">
        <f t="shared" si="588"/>
        <v>#DIV/0!</v>
      </c>
      <c r="W231" s="166">
        <v>2.11</v>
      </c>
      <c r="X231" s="167" t="str">
        <f t="shared" si="589"/>
        <v>114</v>
      </c>
      <c r="Y231" s="168" t="str">
        <f t="shared" si="590"/>
        <v>384.555</v>
      </c>
      <c r="Z231" s="168" t="str">
        <f t="shared" si="591"/>
        <v>22.455</v>
      </c>
      <c r="AA231" s="164" t="str">
        <f t="shared" si="592"/>
        <v>4.17</v>
      </c>
      <c r="AB231" s="164">
        <v>91.67</v>
      </c>
      <c r="AC231" s="164" t="str">
        <f t="shared" si="593"/>
        <v>14.40</v>
      </c>
      <c r="AD231" s="165" t="str">
        <f t="shared" si="594"/>
        <v>69.92</v>
      </c>
      <c r="AE231" s="23"/>
      <c r="AF231" s="169" t="str">
        <f t="shared" si="595"/>
        <v>30.6</v>
      </c>
      <c r="AG231" s="163" t="str">
        <f t="shared" si="596"/>
        <v>#DIV/0!</v>
      </c>
      <c r="AH231" s="170" t="str">
        <f t="shared" si="597"/>
        <v>#DIV/0!</v>
      </c>
      <c r="AI231" s="26"/>
      <c r="AJ231" s="171" t="str">
        <f t="shared" si="598"/>
        <v>0.00%</v>
      </c>
      <c r="AK231" s="172" t="str">
        <f t="shared" si="599"/>
        <v>#DIV/0!</v>
      </c>
      <c r="AL231" s="173" t="str">
        <f t="shared" si="600"/>
        <v>#DIV/0!</v>
      </c>
      <c r="AM231" s="174" t="str">
        <f t="shared" si="601"/>
        <v>#DIV/0!</v>
      </c>
    </row>
    <row r="232" ht="12.75" customHeight="1">
      <c r="A232" s="26"/>
      <c r="B232" s="190" t="s">
        <v>483</v>
      </c>
      <c r="C232" s="216"/>
      <c r="D232" s="217" t="s">
        <v>484</v>
      </c>
      <c r="E232" s="53" t="s">
        <v>77</v>
      </c>
      <c r="F232" s="154"/>
      <c r="G232" s="53"/>
      <c r="H232" s="53" t="str">
        <f t="shared" si="561"/>
        <v>0.00069</v>
      </c>
      <c r="I232" s="53" t="str">
        <f t="shared" si="562"/>
        <v>89</v>
      </c>
      <c r="J232" s="53" t="str">
        <f t="shared" si="563"/>
        <v>0</v>
      </c>
      <c r="K232" s="155" t="str">
        <f t="shared" si="564"/>
        <v>0.00</v>
      </c>
      <c r="L232" s="156" t="str">
        <f t="shared" si="565"/>
        <v>0.00 </v>
      </c>
      <c r="M232" s="132">
        <v>90.0</v>
      </c>
      <c r="N232" s="325" t="str">
        <f t="shared" si="566"/>
        <v>#DIV/0!</v>
      </c>
      <c r="O232" s="158"/>
      <c r="P232" s="159" t="str">
        <f t="shared" si="567"/>
        <v/>
      </c>
      <c r="Q232" s="160"/>
      <c r="R232" s="161"/>
      <c r="S232" s="162"/>
      <c r="T232" s="163"/>
      <c r="U232" s="164"/>
      <c r="V232" s="165"/>
      <c r="W232" s="166"/>
      <c r="X232" s="167"/>
      <c r="Y232" s="168"/>
      <c r="Z232" s="168"/>
      <c r="AA232" s="164"/>
      <c r="AB232" s="164"/>
      <c r="AC232" s="164"/>
      <c r="AD232" s="165"/>
      <c r="AE232" s="23"/>
      <c r="AF232" s="218"/>
      <c r="AG232" s="163"/>
      <c r="AH232" s="170"/>
      <c r="AI232" s="26"/>
      <c r="AJ232" s="171"/>
      <c r="AK232" s="172"/>
      <c r="AL232" s="219"/>
      <c r="AM232" s="174" t="str">
        <f t="shared" si="601"/>
        <v>0.00</v>
      </c>
    </row>
    <row r="233" ht="12.75" customHeight="1">
      <c r="A233" s="26"/>
      <c r="B233" s="190" t="s">
        <v>474</v>
      </c>
      <c r="C233" s="220"/>
      <c r="D233" s="223" t="s">
        <v>485</v>
      </c>
      <c r="E233" s="211" t="s">
        <v>77</v>
      </c>
      <c r="F233" s="154"/>
      <c r="G233" s="211"/>
      <c r="H233" s="53" t="str">
        <f t="shared" si="561"/>
        <v>0.00069</v>
      </c>
      <c r="I233" s="53" t="str">
        <f t="shared" si="562"/>
        <v>89</v>
      </c>
      <c r="J233" s="53" t="str">
        <f t="shared" si="563"/>
        <v>0</v>
      </c>
      <c r="K233" s="155" t="str">
        <f t="shared" si="564"/>
        <v>0.00</v>
      </c>
      <c r="L233" s="156" t="str">
        <f t="shared" si="565"/>
        <v>0.00 </v>
      </c>
      <c r="M233" s="132">
        <v>90.0</v>
      </c>
      <c r="N233" s="325" t="str">
        <f t="shared" si="566"/>
        <v>#DIV/0!</v>
      </c>
      <c r="O233" s="158">
        <v>403.0</v>
      </c>
      <c r="P233" s="159" t="str">
        <f t="shared" si="567"/>
        <v>#DIV/0!</v>
      </c>
      <c r="Q233" s="160"/>
      <c r="R233" s="161">
        <v>0.26</v>
      </c>
      <c r="S233" s="162" t="str">
        <f t="shared" ref="S233:S236" si="602">O233-(O233*R233)</f>
        <v>298.22</v>
      </c>
      <c r="T233" s="163" t="str">
        <f t="shared" ref="T233:T236" si="603">$C$1</f>
        <v>20.00</v>
      </c>
      <c r="U233" s="164" t="str">
        <f t="shared" ref="U233:U236" si="604">S233*$C$8</f>
        <v>23.86</v>
      </c>
      <c r="V233" s="165" t="str">
        <f t="shared" ref="V233:V236" si="605">N233*$C$3*(M233/30)</f>
        <v>#DIV/0!</v>
      </c>
      <c r="W233" s="166">
        <v>0.68</v>
      </c>
      <c r="X233" s="167" t="str">
        <f t="shared" ref="X233:X236" si="606">((_xlfn.CEILING.MATH(W233)-1)*$C$5+$C$4)</f>
        <v>76</v>
      </c>
      <c r="Y233" s="168" t="str">
        <f t="shared" ref="Y233:Y236" si="607">O233*$Y$6</f>
        <v>110.825</v>
      </c>
      <c r="Z233" s="168" t="str">
        <f t="shared" ref="Z233:Z236" si="608">S233*$Y$7</f>
        <v>6.471</v>
      </c>
      <c r="AA233" s="164" t="str">
        <f t="shared" ref="AA233:AA236" si="609">$Y$3*((100-AB233)/100)</f>
        <v>2.64</v>
      </c>
      <c r="AB233" s="164">
        <v>94.72</v>
      </c>
      <c r="AC233" s="164" t="str">
        <f t="shared" ref="AC233:AC236" si="610">$C$6*$C$7*_xlfn.CEILING.MATH(W233)</f>
        <v>4.80</v>
      </c>
      <c r="AD233" s="165" t="str">
        <f t="shared" ref="AD233:AD236" si="611">O233*$C$2</f>
        <v>20.15</v>
      </c>
      <c r="AE233" s="23"/>
      <c r="AF233" s="169" t="str">
        <f t="shared" ref="AF233:AF236" si="612">(_xlfn.CEILING.MATH(W233))*$Y$1*$AD$2</f>
        <v>10.2</v>
      </c>
      <c r="AG233" s="163" t="str">
        <f t="shared" ref="AG233:AG236" si="613">O233-T233-U233-V233-X233-Y233-Z233-AA233-AC233-AD233-N233</f>
        <v>#DIV/0!</v>
      </c>
      <c r="AH233" s="170" t="str">
        <f t="shared" ref="AH233:AH236" si="614">AG233/N233</f>
        <v>#DIV/0!</v>
      </c>
      <c r="AI233" s="26"/>
      <c r="AJ233" s="171" t="str">
        <f t="shared" ref="AJ233:AJ236" si="615">$AD$3</f>
        <v>0.00%</v>
      </c>
      <c r="AK233" s="172" t="str">
        <f t="shared" ref="AK233:AK236" si="616">N233*AJ233</f>
        <v>#DIV/0!</v>
      </c>
      <c r="AL233" s="173" t="str">
        <f t="shared" ref="AL233:AL236" si="617">(N233+T233+V233+X233+AA233+AC233+AF233+AK233)/(100%-($C$2+$C$8+$Y$6+$Y$7))</f>
        <v>#DIV/0!</v>
      </c>
      <c r="AM233" s="174" t="str">
        <f t="shared" si="601"/>
        <v>#DIV/0!</v>
      </c>
    </row>
    <row r="234" ht="12.75" customHeight="1">
      <c r="A234" s="26"/>
      <c r="B234" s="190" t="s">
        <v>474</v>
      </c>
      <c r="C234" s="220"/>
      <c r="D234" s="223" t="s">
        <v>486</v>
      </c>
      <c r="E234" s="211" t="s">
        <v>77</v>
      </c>
      <c r="F234" s="154"/>
      <c r="G234" s="211"/>
      <c r="H234" s="53" t="str">
        <f t="shared" si="561"/>
        <v>0.00069</v>
      </c>
      <c r="I234" s="53" t="str">
        <f t="shared" si="562"/>
        <v>89</v>
      </c>
      <c r="J234" s="53" t="str">
        <f t="shared" si="563"/>
        <v>0</v>
      </c>
      <c r="K234" s="155" t="str">
        <f t="shared" si="564"/>
        <v>0.00</v>
      </c>
      <c r="L234" s="156" t="str">
        <f t="shared" si="565"/>
        <v>0.00 </v>
      </c>
      <c r="M234" s="132">
        <v>90.0</v>
      </c>
      <c r="N234" s="325" t="str">
        <f t="shared" si="566"/>
        <v>#DIV/0!</v>
      </c>
      <c r="O234" s="158">
        <v>528.5</v>
      </c>
      <c r="P234" s="159" t="str">
        <f t="shared" si="567"/>
        <v>#DIV/0!</v>
      </c>
      <c r="Q234" s="160"/>
      <c r="R234" s="161">
        <v>0.26</v>
      </c>
      <c r="S234" s="162" t="str">
        <f t="shared" si="602"/>
        <v>391.09</v>
      </c>
      <c r="T234" s="163" t="str">
        <f t="shared" si="603"/>
        <v>20.00</v>
      </c>
      <c r="U234" s="164" t="str">
        <f t="shared" si="604"/>
        <v>31.29</v>
      </c>
      <c r="V234" s="165" t="str">
        <f t="shared" si="605"/>
        <v>#DIV/0!</v>
      </c>
      <c r="W234" s="166">
        <v>0.77</v>
      </c>
      <c r="X234" s="167" t="str">
        <f t="shared" si="606"/>
        <v>76</v>
      </c>
      <c r="Y234" s="168" t="str">
        <f t="shared" si="607"/>
        <v>145.338</v>
      </c>
      <c r="Z234" s="168" t="str">
        <f t="shared" si="608"/>
        <v>8.487</v>
      </c>
      <c r="AA234" s="164" t="str">
        <f t="shared" si="609"/>
        <v>3.07</v>
      </c>
      <c r="AB234" s="164">
        <v>93.86</v>
      </c>
      <c r="AC234" s="164" t="str">
        <f t="shared" si="610"/>
        <v>4.80</v>
      </c>
      <c r="AD234" s="165" t="str">
        <f t="shared" si="611"/>
        <v>26.43</v>
      </c>
      <c r="AE234" s="23"/>
      <c r="AF234" s="169" t="str">
        <f t="shared" si="612"/>
        <v>10.2</v>
      </c>
      <c r="AG234" s="163" t="str">
        <f t="shared" si="613"/>
        <v>#DIV/0!</v>
      </c>
      <c r="AH234" s="170" t="str">
        <f t="shared" si="614"/>
        <v>#DIV/0!</v>
      </c>
      <c r="AI234" s="26"/>
      <c r="AJ234" s="171" t="str">
        <f t="shared" si="615"/>
        <v>0.00%</v>
      </c>
      <c r="AK234" s="172" t="str">
        <f t="shared" si="616"/>
        <v>#DIV/0!</v>
      </c>
      <c r="AL234" s="173" t="str">
        <f t="shared" si="617"/>
        <v>#DIV/0!</v>
      </c>
      <c r="AM234" s="174" t="str">
        <f t="shared" si="601"/>
        <v>#DIV/0!</v>
      </c>
    </row>
    <row r="235" ht="12.75" customHeight="1">
      <c r="A235" s="26"/>
      <c r="B235" s="190" t="s">
        <v>474</v>
      </c>
      <c r="C235" s="220"/>
      <c r="D235" s="223" t="s">
        <v>487</v>
      </c>
      <c r="E235" s="211" t="s">
        <v>77</v>
      </c>
      <c r="F235" s="154"/>
      <c r="G235" s="211"/>
      <c r="H235" s="53" t="str">
        <f t="shared" si="561"/>
        <v>0.00069</v>
      </c>
      <c r="I235" s="53" t="str">
        <f t="shared" si="562"/>
        <v>89</v>
      </c>
      <c r="J235" s="53" t="str">
        <f t="shared" si="563"/>
        <v>0</v>
      </c>
      <c r="K235" s="155" t="str">
        <f t="shared" si="564"/>
        <v>0.00</v>
      </c>
      <c r="L235" s="156" t="str">
        <f t="shared" si="565"/>
        <v>0.00 </v>
      </c>
      <c r="M235" s="132">
        <v>90.0</v>
      </c>
      <c r="N235" s="325" t="str">
        <f t="shared" si="566"/>
        <v>#DIV/0!</v>
      </c>
      <c r="O235" s="158">
        <v>808.8</v>
      </c>
      <c r="P235" s="159" t="str">
        <f t="shared" si="567"/>
        <v>#DIV/0!</v>
      </c>
      <c r="Q235" s="160"/>
      <c r="R235" s="161">
        <v>0.26</v>
      </c>
      <c r="S235" s="162" t="str">
        <f t="shared" si="602"/>
        <v>598.51</v>
      </c>
      <c r="T235" s="163" t="str">
        <f t="shared" si="603"/>
        <v>20.00</v>
      </c>
      <c r="U235" s="164" t="str">
        <f t="shared" si="604"/>
        <v>47.88</v>
      </c>
      <c r="V235" s="165" t="str">
        <f t="shared" si="605"/>
        <v>#DIV/0!</v>
      </c>
      <c r="W235" s="166">
        <v>0.86</v>
      </c>
      <c r="X235" s="167" t="str">
        <f t="shared" si="606"/>
        <v>76</v>
      </c>
      <c r="Y235" s="168" t="str">
        <f t="shared" si="607"/>
        <v>222.420</v>
      </c>
      <c r="Z235" s="168" t="str">
        <f t="shared" si="608"/>
        <v>12.988</v>
      </c>
      <c r="AA235" s="164" t="str">
        <f t="shared" si="609"/>
        <v>3.05</v>
      </c>
      <c r="AB235" s="164">
        <v>93.9</v>
      </c>
      <c r="AC235" s="164" t="str">
        <f t="shared" si="610"/>
        <v>4.80</v>
      </c>
      <c r="AD235" s="165" t="str">
        <f t="shared" si="611"/>
        <v>40.44</v>
      </c>
      <c r="AE235" s="23"/>
      <c r="AF235" s="169" t="str">
        <f t="shared" si="612"/>
        <v>10.2</v>
      </c>
      <c r="AG235" s="163" t="str">
        <f t="shared" si="613"/>
        <v>#DIV/0!</v>
      </c>
      <c r="AH235" s="170" t="str">
        <f t="shared" si="614"/>
        <v>#DIV/0!</v>
      </c>
      <c r="AI235" s="26"/>
      <c r="AJ235" s="171" t="str">
        <f t="shared" si="615"/>
        <v>0.00%</v>
      </c>
      <c r="AK235" s="172" t="str">
        <f t="shared" si="616"/>
        <v>#DIV/0!</v>
      </c>
      <c r="AL235" s="173" t="str">
        <f t="shared" si="617"/>
        <v>#DIV/0!</v>
      </c>
      <c r="AM235" s="174" t="str">
        <f t="shared" si="601"/>
        <v>#DIV/0!</v>
      </c>
    </row>
    <row r="236" ht="12.75" customHeight="1">
      <c r="A236" s="26"/>
      <c r="B236" s="190" t="s">
        <v>488</v>
      </c>
      <c r="C236" s="191">
        <v>1.83127988E8</v>
      </c>
      <c r="D236" s="222" t="s">
        <v>489</v>
      </c>
      <c r="E236" s="53" t="s">
        <v>77</v>
      </c>
      <c r="F236" s="154"/>
      <c r="G236" s="53"/>
      <c r="H236" s="53" t="str">
        <f t="shared" si="561"/>
        <v>0.00069</v>
      </c>
      <c r="I236" s="53" t="str">
        <f t="shared" si="562"/>
        <v>89</v>
      </c>
      <c r="J236" s="53" t="str">
        <f t="shared" si="563"/>
        <v>0</v>
      </c>
      <c r="K236" s="155" t="str">
        <f t="shared" si="564"/>
        <v>0.00</v>
      </c>
      <c r="L236" s="156" t="str">
        <f t="shared" si="565"/>
        <v>0.00 </v>
      </c>
      <c r="M236" s="132">
        <v>90.0</v>
      </c>
      <c r="N236" s="325" t="str">
        <f t="shared" si="566"/>
        <v>#DIV/0!</v>
      </c>
      <c r="O236" s="158">
        <v>1241.4</v>
      </c>
      <c r="P236" s="159" t="str">
        <f t="shared" si="567"/>
        <v>#DIV/0!</v>
      </c>
      <c r="Q236" s="160"/>
      <c r="R236" s="161">
        <v>0.26</v>
      </c>
      <c r="S236" s="162" t="str">
        <f t="shared" si="602"/>
        <v>918.64</v>
      </c>
      <c r="T236" s="163" t="str">
        <f t="shared" si="603"/>
        <v>20.00</v>
      </c>
      <c r="U236" s="164" t="str">
        <f t="shared" si="604"/>
        <v>73.49</v>
      </c>
      <c r="V236" s="165" t="str">
        <f t="shared" si="605"/>
        <v>#DIV/0!</v>
      </c>
      <c r="W236" s="166">
        <v>0.43</v>
      </c>
      <c r="X236" s="167" t="str">
        <f t="shared" si="606"/>
        <v>76</v>
      </c>
      <c r="Y236" s="168" t="str">
        <f t="shared" si="607"/>
        <v>341.385</v>
      </c>
      <c r="Z236" s="168" t="str">
        <f t="shared" si="608"/>
        <v>19.934</v>
      </c>
      <c r="AA236" s="164" t="str">
        <f t="shared" si="609"/>
        <v>3.20</v>
      </c>
      <c r="AB236" s="164">
        <v>93.6</v>
      </c>
      <c r="AC236" s="164" t="str">
        <f t="shared" si="610"/>
        <v>4.80</v>
      </c>
      <c r="AD236" s="165" t="str">
        <f t="shared" si="611"/>
        <v>62.07</v>
      </c>
      <c r="AE236" s="23"/>
      <c r="AF236" s="169" t="str">
        <f t="shared" si="612"/>
        <v>10.2</v>
      </c>
      <c r="AG236" s="163" t="str">
        <f t="shared" si="613"/>
        <v>#DIV/0!</v>
      </c>
      <c r="AH236" s="170" t="str">
        <f t="shared" si="614"/>
        <v>#DIV/0!</v>
      </c>
      <c r="AI236" s="26"/>
      <c r="AJ236" s="171" t="str">
        <f t="shared" si="615"/>
        <v>0.00%</v>
      </c>
      <c r="AK236" s="172" t="str">
        <f t="shared" si="616"/>
        <v>#DIV/0!</v>
      </c>
      <c r="AL236" s="173" t="str">
        <f t="shared" si="617"/>
        <v>#DIV/0!</v>
      </c>
      <c r="AM236" s="174" t="str">
        <f t="shared" si="601"/>
        <v>#DIV/0!</v>
      </c>
    </row>
    <row r="237" ht="12.75" customHeight="1">
      <c r="A237" s="26"/>
      <c r="B237" s="190" t="s">
        <v>490</v>
      </c>
      <c r="C237" s="216"/>
      <c r="D237" s="217" t="s">
        <v>491</v>
      </c>
      <c r="E237" s="53" t="s">
        <v>77</v>
      </c>
      <c r="F237" s="154"/>
      <c r="G237" s="53"/>
      <c r="H237" s="53" t="str">
        <f t="shared" si="561"/>
        <v>0.00069</v>
      </c>
      <c r="I237" s="53" t="str">
        <f t="shared" si="562"/>
        <v>89</v>
      </c>
      <c r="J237" s="53" t="str">
        <f t="shared" si="563"/>
        <v>0</v>
      </c>
      <c r="K237" s="155" t="str">
        <f t="shared" si="564"/>
        <v>0.00</v>
      </c>
      <c r="L237" s="156" t="str">
        <f t="shared" si="565"/>
        <v>0.00 </v>
      </c>
      <c r="M237" s="132">
        <v>90.0</v>
      </c>
      <c r="N237" s="325" t="str">
        <f t="shared" si="566"/>
        <v>#DIV/0!</v>
      </c>
      <c r="O237" s="158"/>
      <c r="P237" s="159" t="str">
        <f t="shared" si="567"/>
        <v/>
      </c>
      <c r="Q237" s="160"/>
      <c r="R237" s="161"/>
      <c r="S237" s="162"/>
      <c r="T237" s="163"/>
      <c r="U237" s="164"/>
      <c r="V237" s="165"/>
      <c r="W237" s="166"/>
      <c r="X237" s="167"/>
      <c r="Y237" s="168"/>
      <c r="Z237" s="168"/>
      <c r="AA237" s="164"/>
      <c r="AB237" s="164"/>
      <c r="AC237" s="164"/>
      <c r="AD237" s="165"/>
      <c r="AE237" s="23"/>
      <c r="AF237" s="218"/>
      <c r="AG237" s="163"/>
      <c r="AH237" s="170"/>
      <c r="AI237" s="26"/>
      <c r="AJ237" s="171"/>
      <c r="AK237" s="172"/>
      <c r="AL237" s="219"/>
      <c r="AM237" s="174"/>
    </row>
    <row r="238" ht="13.5" customHeight="1">
      <c r="A238" s="26"/>
      <c r="B238" s="190" t="s">
        <v>474</v>
      </c>
      <c r="C238" s="220"/>
      <c r="D238" s="221" t="s">
        <v>492</v>
      </c>
      <c r="E238" s="211" t="s">
        <v>77</v>
      </c>
      <c r="F238" s="154"/>
      <c r="G238" s="211"/>
      <c r="H238" s="53" t="str">
        <f t="shared" si="561"/>
        <v>0.00069</v>
      </c>
      <c r="I238" s="53" t="str">
        <f t="shared" si="562"/>
        <v>89</v>
      </c>
      <c r="J238" s="53" t="str">
        <f t="shared" si="563"/>
        <v>0</v>
      </c>
      <c r="K238" s="155" t="str">
        <f t="shared" si="564"/>
        <v>0.00</v>
      </c>
      <c r="L238" s="156" t="str">
        <f t="shared" si="565"/>
        <v>0.00 </v>
      </c>
      <c r="M238" s="132">
        <v>90.0</v>
      </c>
      <c r="N238" s="325" t="str">
        <f t="shared" si="566"/>
        <v>#DIV/0!</v>
      </c>
      <c r="O238" s="158">
        <v>398.16</v>
      </c>
      <c r="P238" s="159" t="str">
        <f t="shared" si="567"/>
        <v>#DIV/0!</v>
      </c>
      <c r="Q238" s="160"/>
      <c r="R238" s="161">
        <v>0.26</v>
      </c>
      <c r="S238" s="162" t="str">
        <f t="shared" ref="S238:S243" si="618">O238-(O238*R238)</f>
        <v>294.64</v>
      </c>
      <c r="T238" s="163" t="str">
        <f t="shared" ref="T238:T243" si="619">$C$1</f>
        <v>20.00</v>
      </c>
      <c r="U238" s="164" t="str">
        <f t="shared" ref="U238:U243" si="620">S238*$C$8</f>
        <v>23.57</v>
      </c>
      <c r="V238" s="165" t="str">
        <f t="shared" ref="V238:V243" si="621">N238*$C$3*(M238/30)</f>
        <v>#DIV/0!</v>
      </c>
      <c r="W238" s="166">
        <v>0.75</v>
      </c>
      <c r="X238" s="167" t="str">
        <f t="shared" ref="X238:X243" si="622">((_xlfn.CEILING.MATH(W238)-1)*$C$5+$C$4)</f>
        <v>76</v>
      </c>
      <c r="Y238" s="168" t="str">
        <f t="shared" ref="Y238:Y243" si="623">O238*$Y$6</f>
        <v>109.494</v>
      </c>
      <c r="Z238" s="168" t="str">
        <f t="shared" ref="Z238:Z243" si="624">S238*$Y$7</f>
        <v>6.394</v>
      </c>
      <c r="AA238" s="164" t="str">
        <f t="shared" ref="AA238:AA243" si="625">$Y$3*((100-AB238)/100)</f>
        <v>3.57</v>
      </c>
      <c r="AB238" s="164">
        <v>92.86</v>
      </c>
      <c r="AC238" s="164" t="str">
        <f t="shared" ref="AC238:AC243" si="626">$C$6*$C$7*_xlfn.CEILING.MATH(W238)</f>
        <v>4.80</v>
      </c>
      <c r="AD238" s="165" t="str">
        <f t="shared" ref="AD238:AD243" si="627">O238*$C$2</f>
        <v>19.91</v>
      </c>
      <c r="AE238" s="23"/>
      <c r="AF238" s="169" t="str">
        <f t="shared" ref="AF238:AF243" si="628">(_xlfn.CEILING.MATH(W238))*$Y$1*$AD$2</f>
        <v>10.2</v>
      </c>
      <c r="AG238" s="163" t="str">
        <f t="shared" ref="AG238:AG243" si="629">O238-T238-U238-V238-X238-Y238-Z238-AA238-AC238-AD238-N238</f>
        <v>#DIV/0!</v>
      </c>
      <c r="AH238" s="170" t="str">
        <f t="shared" ref="AH238:AH243" si="630">AG238/N238</f>
        <v>#DIV/0!</v>
      </c>
      <c r="AI238" s="26"/>
      <c r="AJ238" s="171" t="str">
        <f t="shared" ref="AJ238:AJ243" si="631">$AD$3</f>
        <v>0.00%</v>
      </c>
      <c r="AK238" s="172" t="str">
        <f t="shared" ref="AK238:AK243" si="632">N238*AJ238</f>
        <v>#DIV/0!</v>
      </c>
      <c r="AL238" s="173" t="str">
        <f t="shared" ref="AL238:AL243" si="633">(N238+T238+V238+X238+AA238+AC238+AF238+AK238)/(100%-($C$2+$C$8+$Y$6+$Y$7))</f>
        <v>#DIV/0!</v>
      </c>
      <c r="AM238" s="174" t="str">
        <f t="shared" ref="AM238:AM243" si="634">AL238-(AL238*$AD$1)</f>
        <v>#DIV/0!</v>
      </c>
    </row>
    <row r="239" ht="13.5" customHeight="1">
      <c r="A239" s="26"/>
      <c r="B239" s="190" t="s">
        <v>474</v>
      </c>
      <c r="C239" s="220"/>
      <c r="D239" s="221" t="s">
        <v>493</v>
      </c>
      <c r="E239" s="211" t="s">
        <v>77</v>
      </c>
      <c r="F239" s="154"/>
      <c r="G239" s="211"/>
      <c r="H239" s="53" t="str">
        <f t="shared" si="561"/>
        <v>0.00069</v>
      </c>
      <c r="I239" s="53" t="str">
        <f t="shared" si="562"/>
        <v>89</v>
      </c>
      <c r="J239" s="53" t="str">
        <f t="shared" si="563"/>
        <v>0</v>
      </c>
      <c r="K239" s="155" t="str">
        <f t="shared" si="564"/>
        <v>0.00</v>
      </c>
      <c r="L239" s="156" t="str">
        <f t="shared" si="565"/>
        <v>0.00 </v>
      </c>
      <c r="M239" s="132">
        <v>90.0</v>
      </c>
      <c r="N239" s="325" t="str">
        <f t="shared" si="566"/>
        <v>#DIV/0!</v>
      </c>
      <c r="O239" s="158">
        <v>722.1</v>
      </c>
      <c r="P239" s="159" t="str">
        <f t="shared" si="567"/>
        <v>#DIV/0!</v>
      </c>
      <c r="Q239" s="160"/>
      <c r="R239" s="161">
        <v>0.26</v>
      </c>
      <c r="S239" s="162" t="str">
        <f t="shared" si="618"/>
        <v>534.35</v>
      </c>
      <c r="T239" s="163" t="str">
        <f t="shared" si="619"/>
        <v>20.00</v>
      </c>
      <c r="U239" s="164" t="str">
        <f t="shared" si="620"/>
        <v>42.75</v>
      </c>
      <c r="V239" s="165" t="str">
        <f t="shared" si="621"/>
        <v>#DIV/0!</v>
      </c>
      <c r="W239" s="166">
        <v>0.68</v>
      </c>
      <c r="X239" s="167" t="str">
        <f t="shared" si="622"/>
        <v>76</v>
      </c>
      <c r="Y239" s="168" t="str">
        <f t="shared" si="623"/>
        <v>198.578</v>
      </c>
      <c r="Z239" s="168" t="str">
        <f t="shared" si="624"/>
        <v>11.595</v>
      </c>
      <c r="AA239" s="164" t="str">
        <f t="shared" si="625"/>
        <v>15.00</v>
      </c>
      <c r="AB239" s="164">
        <v>70.0</v>
      </c>
      <c r="AC239" s="164" t="str">
        <f t="shared" si="626"/>
        <v>4.80</v>
      </c>
      <c r="AD239" s="165" t="str">
        <f t="shared" si="627"/>
        <v>36.11</v>
      </c>
      <c r="AE239" s="23"/>
      <c r="AF239" s="169" t="str">
        <f t="shared" si="628"/>
        <v>10.2</v>
      </c>
      <c r="AG239" s="163" t="str">
        <f t="shared" si="629"/>
        <v>#DIV/0!</v>
      </c>
      <c r="AH239" s="170" t="str">
        <f t="shared" si="630"/>
        <v>#DIV/0!</v>
      </c>
      <c r="AI239" s="26"/>
      <c r="AJ239" s="171" t="str">
        <f t="shared" si="631"/>
        <v>0.00%</v>
      </c>
      <c r="AK239" s="172" t="str">
        <f t="shared" si="632"/>
        <v>#DIV/0!</v>
      </c>
      <c r="AL239" s="173" t="str">
        <f t="shared" si="633"/>
        <v>#DIV/0!</v>
      </c>
      <c r="AM239" s="174" t="str">
        <f t="shared" si="634"/>
        <v>#DIV/0!</v>
      </c>
    </row>
    <row r="240" ht="13.5" customHeight="1">
      <c r="A240" s="26"/>
      <c r="B240" s="190" t="s">
        <v>474</v>
      </c>
      <c r="C240" s="220"/>
      <c r="D240" s="221" t="s">
        <v>494</v>
      </c>
      <c r="E240" s="211" t="s">
        <v>77</v>
      </c>
      <c r="F240" s="154"/>
      <c r="G240" s="211"/>
      <c r="H240" s="53" t="str">
        <f t="shared" si="561"/>
        <v>0.00069</v>
      </c>
      <c r="I240" s="53" t="str">
        <f t="shared" si="562"/>
        <v>89</v>
      </c>
      <c r="J240" s="53" t="str">
        <f t="shared" si="563"/>
        <v>0</v>
      </c>
      <c r="K240" s="155" t="str">
        <f t="shared" si="564"/>
        <v>0.00</v>
      </c>
      <c r="L240" s="156" t="str">
        <f t="shared" si="565"/>
        <v>0.00 </v>
      </c>
      <c r="M240" s="132">
        <v>90.0</v>
      </c>
      <c r="N240" s="325" t="str">
        <f t="shared" si="566"/>
        <v>#DIV/0!</v>
      </c>
      <c r="O240" s="158">
        <v>1171.2</v>
      </c>
      <c r="P240" s="159" t="str">
        <f t="shared" si="567"/>
        <v>#DIV/0!</v>
      </c>
      <c r="Q240" s="160"/>
      <c r="R240" s="161">
        <v>0.26</v>
      </c>
      <c r="S240" s="162" t="str">
        <f t="shared" si="618"/>
        <v>866.69</v>
      </c>
      <c r="T240" s="163" t="str">
        <f t="shared" si="619"/>
        <v>20.00</v>
      </c>
      <c r="U240" s="164" t="str">
        <f t="shared" si="620"/>
        <v>69.34</v>
      </c>
      <c r="V240" s="165" t="str">
        <f t="shared" si="621"/>
        <v>#DIV/0!</v>
      </c>
      <c r="W240" s="166">
        <v>0.86</v>
      </c>
      <c r="X240" s="167" t="str">
        <f t="shared" si="622"/>
        <v>76</v>
      </c>
      <c r="Y240" s="168" t="str">
        <f t="shared" si="623"/>
        <v>322.080</v>
      </c>
      <c r="Z240" s="168" t="str">
        <f t="shared" si="624"/>
        <v>18.807</v>
      </c>
      <c r="AA240" s="164" t="str">
        <f t="shared" si="625"/>
        <v>4.17</v>
      </c>
      <c r="AB240" s="164">
        <v>91.67</v>
      </c>
      <c r="AC240" s="164" t="str">
        <f t="shared" si="626"/>
        <v>4.80</v>
      </c>
      <c r="AD240" s="165" t="str">
        <f t="shared" si="627"/>
        <v>58.56</v>
      </c>
      <c r="AE240" s="23"/>
      <c r="AF240" s="169" t="str">
        <f t="shared" si="628"/>
        <v>10.2</v>
      </c>
      <c r="AG240" s="163" t="str">
        <f t="shared" si="629"/>
        <v>#DIV/0!</v>
      </c>
      <c r="AH240" s="170" t="str">
        <f t="shared" si="630"/>
        <v>#DIV/0!</v>
      </c>
      <c r="AI240" s="26"/>
      <c r="AJ240" s="171" t="str">
        <f t="shared" si="631"/>
        <v>0.00%</v>
      </c>
      <c r="AK240" s="172" t="str">
        <f t="shared" si="632"/>
        <v>#DIV/0!</v>
      </c>
      <c r="AL240" s="173" t="str">
        <f t="shared" si="633"/>
        <v>#DIV/0!</v>
      </c>
      <c r="AM240" s="174" t="str">
        <f t="shared" si="634"/>
        <v>#DIV/0!</v>
      </c>
    </row>
    <row r="241" ht="12.75" customHeight="1">
      <c r="A241" s="26"/>
      <c r="B241" s="190" t="s">
        <v>495</v>
      </c>
      <c r="C241" s="191">
        <v>1.69074006E8</v>
      </c>
      <c r="D241" s="222" t="s">
        <v>496</v>
      </c>
      <c r="E241" s="53" t="s">
        <v>77</v>
      </c>
      <c r="F241" s="154"/>
      <c r="G241" s="53"/>
      <c r="H241" s="53" t="str">
        <f t="shared" si="561"/>
        <v>0.00069</v>
      </c>
      <c r="I241" s="53" t="str">
        <f t="shared" si="562"/>
        <v>89</v>
      </c>
      <c r="J241" s="53" t="str">
        <f t="shared" si="563"/>
        <v>0</v>
      </c>
      <c r="K241" s="155" t="str">
        <f t="shared" si="564"/>
        <v>0.00</v>
      </c>
      <c r="L241" s="156" t="str">
        <f t="shared" si="565"/>
        <v>0.00 </v>
      </c>
      <c r="M241" s="132">
        <v>90.0</v>
      </c>
      <c r="N241" s="325" t="str">
        <f t="shared" si="566"/>
        <v>#DIV/0!</v>
      </c>
      <c r="O241" s="158">
        <v>1009.8</v>
      </c>
      <c r="P241" s="159" t="str">
        <f t="shared" si="567"/>
        <v>#DIV/0!</v>
      </c>
      <c r="Q241" s="160"/>
      <c r="R241" s="161">
        <v>0.26</v>
      </c>
      <c r="S241" s="162" t="str">
        <f t="shared" si="618"/>
        <v>747.25</v>
      </c>
      <c r="T241" s="163" t="str">
        <f t="shared" si="619"/>
        <v>20.00</v>
      </c>
      <c r="U241" s="164" t="str">
        <f t="shared" si="620"/>
        <v>59.78</v>
      </c>
      <c r="V241" s="165" t="str">
        <f t="shared" si="621"/>
        <v>#DIV/0!</v>
      </c>
      <c r="W241" s="166">
        <v>1.26</v>
      </c>
      <c r="X241" s="167" t="str">
        <f t="shared" si="622"/>
        <v>95</v>
      </c>
      <c r="Y241" s="168" t="str">
        <f t="shared" si="623"/>
        <v>277.695</v>
      </c>
      <c r="Z241" s="168" t="str">
        <f t="shared" si="624"/>
        <v>16.215</v>
      </c>
      <c r="AA241" s="164" t="str">
        <f t="shared" si="625"/>
        <v>34.09</v>
      </c>
      <c r="AB241" s="164">
        <v>31.82</v>
      </c>
      <c r="AC241" s="164" t="str">
        <f t="shared" si="626"/>
        <v>9.60</v>
      </c>
      <c r="AD241" s="165" t="str">
        <f t="shared" si="627"/>
        <v>50.49</v>
      </c>
      <c r="AE241" s="23"/>
      <c r="AF241" s="169" t="str">
        <f t="shared" si="628"/>
        <v>20.4</v>
      </c>
      <c r="AG241" s="163" t="str">
        <f t="shared" si="629"/>
        <v>#DIV/0!</v>
      </c>
      <c r="AH241" s="170" t="str">
        <f t="shared" si="630"/>
        <v>#DIV/0!</v>
      </c>
      <c r="AI241" s="26"/>
      <c r="AJ241" s="171" t="str">
        <f t="shared" si="631"/>
        <v>0.00%</v>
      </c>
      <c r="AK241" s="172" t="str">
        <f t="shared" si="632"/>
        <v>#DIV/0!</v>
      </c>
      <c r="AL241" s="173" t="str">
        <f t="shared" si="633"/>
        <v>#DIV/0!</v>
      </c>
      <c r="AM241" s="174" t="str">
        <f t="shared" si="634"/>
        <v>#DIV/0!</v>
      </c>
    </row>
    <row r="242" ht="12.75" customHeight="1">
      <c r="A242" s="26"/>
      <c r="B242" s="190" t="s">
        <v>497</v>
      </c>
      <c r="C242" s="192">
        <v>1.91033857E8</v>
      </c>
      <c r="D242" s="152" t="s">
        <v>498</v>
      </c>
      <c r="E242" s="53" t="s">
        <v>77</v>
      </c>
      <c r="F242" s="154"/>
      <c r="G242" s="53"/>
      <c r="H242" s="53" t="str">
        <f t="shared" si="561"/>
        <v>0.00069</v>
      </c>
      <c r="I242" s="53" t="str">
        <f t="shared" si="562"/>
        <v>89</v>
      </c>
      <c r="J242" s="53" t="str">
        <f t="shared" si="563"/>
        <v>0</v>
      </c>
      <c r="K242" s="155" t="str">
        <f t="shared" si="564"/>
        <v>0.00</v>
      </c>
      <c r="L242" s="156" t="str">
        <f t="shared" si="565"/>
        <v>0.00 </v>
      </c>
      <c r="M242" s="132">
        <v>90.0</v>
      </c>
      <c r="N242" s="325" t="str">
        <f t="shared" si="566"/>
        <v>#DIV/0!</v>
      </c>
      <c r="O242" s="158">
        <v>476.4</v>
      </c>
      <c r="P242" s="159" t="str">
        <f t="shared" si="567"/>
        <v>#DIV/0!</v>
      </c>
      <c r="Q242" s="160"/>
      <c r="R242" s="161">
        <v>0.26</v>
      </c>
      <c r="S242" s="162" t="str">
        <f t="shared" si="618"/>
        <v>352.54</v>
      </c>
      <c r="T242" s="163" t="str">
        <f t="shared" si="619"/>
        <v>20.00</v>
      </c>
      <c r="U242" s="164" t="str">
        <f t="shared" si="620"/>
        <v>28.20</v>
      </c>
      <c r="V242" s="165" t="str">
        <f t="shared" si="621"/>
        <v>#DIV/0!</v>
      </c>
      <c r="W242" s="166">
        <v>0.09</v>
      </c>
      <c r="X242" s="167" t="str">
        <f t="shared" si="622"/>
        <v>76</v>
      </c>
      <c r="Y242" s="168" t="str">
        <f t="shared" si="623"/>
        <v>131.010</v>
      </c>
      <c r="Z242" s="168" t="str">
        <f t="shared" si="624"/>
        <v>7.650</v>
      </c>
      <c r="AA242" s="164" t="str">
        <f t="shared" si="625"/>
        <v>3.68</v>
      </c>
      <c r="AB242" s="164">
        <v>92.65</v>
      </c>
      <c r="AC242" s="164" t="str">
        <f t="shared" si="626"/>
        <v>4.80</v>
      </c>
      <c r="AD242" s="165" t="str">
        <f t="shared" si="627"/>
        <v>23.82</v>
      </c>
      <c r="AE242" s="23"/>
      <c r="AF242" s="169" t="str">
        <f t="shared" si="628"/>
        <v>10.2</v>
      </c>
      <c r="AG242" s="163" t="str">
        <f t="shared" si="629"/>
        <v>#DIV/0!</v>
      </c>
      <c r="AH242" s="170" t="str">
        <f t="shared" si="630"/>
        <v>#DIV/0!</v>
      </c>
      <c r="AI242" s="26"/>
      <c r="AJ242" s="171" t="str">
        <f t="shared" si="631"/>
        <v>0.00%</v>
      </c>
      <c r="AK242" s="172" t="str">
        <f t="shared" si="632"/>
        <v>#DIV/0!</v>
      </c>
      <c r="AL242" s="173" t="str">
        <f t="shared" si="633"/>
        <v>#DIV/0!</v>
      </c>
      <c r="AM242" s="174" t="str">
        <f t="shared" si="634"/>
        <v>#DIV/0!</v>
      </c>
    </row>
    <row r="243" ht="12.75" customHeight="1">
      <c r="A243" s="26"/>
      <c r="B243" s="190" t="s">
        <v>499</v>
      </c>
      <c r="C243" s="192">
        <v>1.95289584E8</v>
      </c>
      <c r="D243" s="152" t="s">
        <v>500</v>
      </c>
      <c r="E243" s="53" t="s">
        <v>77</v>
      </c>
      <c r="F243" s="154"/>
      <c r="G243" s="53"/>
      <c r="H243" s="53" t="str">
        <f t="shared" si="561"/>
        <v>0.00069</v>
      </c>
      <c r="I243" s="53" t="str">
        <f t="shared" si="562"/>
        <v>89</v>
      </c>
      <c r="J243" s="53" t="str">
        <f t="shared" si="563"/>
        <v>0</v>
      </c>
      <c r="K243" s="155" t="str">
        <f t="shared" si="564"/>
        <v>0.00</v>
      </c>
      <c r="L243" s="156" t="str">
        <f t="shared" si="565"/>
        <v>0.00 </v>
      </c>
      <c r="M243" s="132">
        <v>90.0</v>
      </c>
      <c r="N243" s="325" t="str">
        <f t="shared" si="566"/>
        <v>#DIV/0!</v>
      </c>
      <c r="O243" s="158">
        <v>492.3</v>
      </c>
      <c r="P243" s="159" t="str">
        <f t="shared" si="567"/>
        <v>#DIV/0!</v>
      </c>
      <c r="Q243" s="160"/>
      <c r="R243" s="161">
        <v>0.26</v>
      </c>
      <c r="S243" s="162" t="str">
        <f t="shared" si="618"/>
        <v>364.30</v>
      </c>
      <c r="T243" s="163" t="str">
        <f t="shared" si="619"/>
        <v>20.00</v>
      </c>
      <c r="U243" s="164" t="str">
        <f t="shared" si="620"/>
        <v>29.14</v>
      </c>
      <c r="V243" s="165" t="str">
        <f t="shared" si="621"/>
        <v>#DIV/0!</v>
      </c>
      <c r="W243" s="166">
        <v>0.09</v>
      </c>
      <c r="X243" s="167" t="str">
        <f t="shared" si="622"/>
        <v>76</v>
      </c>
      <c r="Y243" s="168" t="str">
        <f t="shared" si="623"/>
        <v>135.383</v>
      </c>
      <c r="Z243" s="168" t="str">
        <f t="shared" si="624"/>
        <v>7.905</v>
      </c>
      <c r="AA243" s="164" t="str">
        <f t="shared" si="625"/>
        <v>1.90</v>
      </c>
      <c r="AB243" s="164">
        <v>96.2</v>
      </c>
      <c r="AC243" s="164" t="str">
        <f t="shared" si="626"/>
        <v>4.80</v>
      </c>
      <c r="AD243" s="165" t="str">
        <f t="shared" si="627"/>
        <v>24.62</v>
      </c>
      <c r="AE243" s="23"/>
      <c r="AF243" s="169" t="str">
        <f t="shared" si="628"/>
        <v>10.2</v>
      </c>
      <c r="AG243" s="163" t="str">
        <f t="shared" si="629"/>
        <v>#DIV/0!</v>
      </c>
      <c r="AH243" s="170" t="str">
        <f t="shared" si="630"/>
        <v>#DIV/0!</v>
      </c>
      <c r="AI243" s="26"/>
      <c r="AJ243" s="171" t="str">
        <f t="shared" si="631"/>
        <v>0.00%</v>
      </c>
      <c r="AK243" s="172" t="str">
        <f t="shared" si="632"/>
        <v>#DIV/0!</v>
      </c>
      <c r="AL243" s="173" t="str">
        <f t="shared" si="633"/>
        <v>#DIV/0!</v>
      </c>
      <c r="AM243" s="174" t="str">
        <f t="shared" si="634"/>
        <v>#DIV/0!</v>
      </c>
    </row>
    <row r="244" ht="12.75" customHeight="1">
      <c r="A244" s="26"/>
      <c r="B244" s="125" t="s">
        <v>501</v>
      </c>
      <c r="C244" s="126"/>
      <c r="D244" s="127"/>
      <c r="E244" s="128"/>
      <c r="F244" s="129"/>
      <c r="G244" s="128"/>
      <c r="H244" s="197"/>
      <c r="I244" s="197"/>
      <c r="J244" s="128"/>
      <c r="K244" s="130"/>
      <c r="L244" s="131"/>
      <c r="M244" s="132"/>
      <c r="N244" s="320"/>
      <c r="O244" s="134"/>
      <c r="P244" s="135"/>
      <c r="Q244" s="135"/>
      <c r="R244" s="136"/>
      <c r="S244" s="137"/>
      <c r="T244" s="177"/>
      <c r="U244" s="178"/>
      <c r="V244" s="179"/>
      <c r="W244" s="180"/>
      <c r="X244" s="181"/>
      <c r="Y244" s="182"/>
      <c r="Z244" s="182"/>
      <c r="AA244" s="178"/>
      <c r="AB244" s="178"/>
      <c r="AC244" s="178"/>
      <c r="AD244" s="179"/>
      <c r="AE244" s="183"/>
      <c r="AF244" s="184"/>
      <c r="AG244" s="177"/>
      <c r="AH244" s="185"/>
      <c r="AI244" s="26"/>
      <c r="AJ244" s="186"/>
      <c r="AK244" s="187"/>
      <c r="AL244" s="188"/>
      <c r="AM244" s="189"/>
    </row>
    <row r="245" ht="12.75" customHeight="1">
      <c r="A245" s="26"/>
      <c r="B245" s="190" t="s">
        <v>502</v>
      </c>
      <c r="C245" s="191">
        <v>2.12766743E8</v>
      </c>
      <c r="D245" s="152" t="s">
        <v>503</v>
      </c>
      <c r="E245" s="53" t="s">
        <v>77</v>
      </c>
      <c r="F245" s="154"/>
      <c r="G245" s="53"/>
      <c r="H245" s="53" t="str">
        <f t="shared" ref="H245:H252" si="635">$I$2</f>
        <v>0.00069</v>
      </c>
      <c r="I245" s="53" t="str">
        <f t="shared" ref="I245:I252" si="636">$I$3</f>
        <v>89</v>
      </c>
      <c r="J245" s="53" t="str">
        <f t="shared" ref="J245:J252" si="637">G245*H245*I245*F245</f>
        <v>0</v>
      </c>
      <c r="K245" s="155" t="str">
        <f t="shared" ref="K245:K252" si="638">J245*$J$4</f>
        <v>0.00</v>
      </c>
      <c r="L245" s="156" t="str">
        <f t="shared" ref="L245:L252" si="639">K245+J245</f>
        <v>0.00 </v>
      </c>
      <c r="M245" s="132">
        <v>90.0</v>
      </c>
      <c r="N245" s="325" t="str">
        <f t="shared" ref="N245:N252" si="640">L245/F245</f>
        <v>#DIV/0!</v>
      </c>
      <c r="O245" s="158">
        <v>1080.0</v>
      </c>
      <c r="P245" s="159" t="str">
        <f t="shared" ref="P245:P252" si="641">AL245</f>
        <v>#DIV/0!</v>
      </c>
      <c r="Q245" s="160"/>
      <c r="R245" s="161">
        <v>0.26</v>
      </c>
      <c r="S245" s="162" t="str">
        <f t="shared" ref="S245:S252" si="642">O245-(O245*R245)</f>
        <v>799.20</v>
      </c>
      <c r="T245" s="163" t="str">
        <f t="shared" ref="T245:T252" si="643">$C$1</f>
        <v>20.00</v>
      </c>
      <c r="U245" s="164" t="str">
        <f t="shared" ref="U245:U252" si="644">S245*$C$8</f>
        <v>63.94</v>
      </c>
      <c r="V245" s="165" t="str">
        <f t="shared" ref="V245:V252" si="645">N245*$C$3*(M245/30)</f>
        <v>#DIV/0!</v>
      </c>
      <c r="W245" s="166">
        <v>0.41</v>
      </c>
      <c r="X245" s="167" t="str">
        <f t="shared" ref="X245:X252" si="646">((_xlfn.CEILING.MATH(W245)-1)*$C$5+$C$4)</f>
        <v>76</v>
      </c>
      <c r="Y245" s="168" t="str">
        <f t="shared" ref="Y245:Y252" si="647">O245*$Y$6</f>
        <v>297.000</v>
      </c>
      <c r="Z245" s="168" t="str">
        <f t="shared" ref="Z245:Z252" si="648">S245*$Y$7</f>
        <v>17.343</v>
      </c>
      <c r="AA245" s="164" t="str">
        <f t="shared" ref="AA245:AA252" si="649">$Y$3*((100-AB245)/100)</f>
        <v>3.38</v>
      </c>
      <c r="AB245" s="164">
        <v>93.25</v>
      </c>
      <c r="AC245" s="164" t="str">
        <f t="shared" ref="AC245:AC252" si="650">$C$6*$C$7*_xlfn.CEILING.MATH(W245)</f>
        <v>4.80</v>
      </c>
      <c r="AD245" s="165" t="str">
        <f t="shared" ref="AD245:AD252" si="651">O245*$C$2</f>
        <v>54.00</v>
      </c>
      <c r="AE245" s="23"/>
      <c r="AF245" s="169" t="str">
        <f t="shared" ref="AF245:AF252" si="652">(_xlfn.CEILING.MATH(W245))*$Y$1*$AD$2</f>
        <v>10.2</v>
      </c>
      <c r="AG245" s="163" t="str">
        <f t="shared" ref="AG245:AG252" si="653">O245-T245-U245-V245-X245-Y245-Z245-AA245-AC245-AD245-N245</f>
        <v>#DIV/0!</v>
      </c>
      <c r="AH245" s="170" t="str">
        <f t="shared" ref="AH245:AH252" si="654">AG245/N245</f>
        <v>#DIV/0!</v>
      </c>
      <c r="AI245" s="26"/>
      <c r="AJ245" s="171" t="str">
        <f t="shared" ref="AJ245:AJ252" si="655">$AD$3</f>
        <v>0.00%</v>
      </c>
      <c r="AK245" s="172" t="str">
        <f t="shared" ref="AK245:AK252" si="656">N245*AJ245</f>
        <v>#DIV/0!</v>
      </c>
      <c r="AL245" s="173" t="str">
        <f t="shared" ref="AL245:AL252" si="657">(N245+T245+V245+X245+AA245+AC245+AF245+AK245)/(100%-($C$2+$C$8+$Y$6+$Y$7))</f>
        <v>#DIV/0!</v>
      </c>
      <c r="AM245" s="174" t="str">
        <f t="shared" ref="AM245:AM252" si="658">AL245-(AL245*$AD$1)</f>
        <v>#DIV/0!</v>
      </c>
    </row>
    <row r="246" ht="12.75" customHeight="1">
      <c r="A246" s="26"/>
      <c r="B246" s="190" t="s">
        <v>504</v>
      </c>
      <c r="C246" s="192">
        <v>2.12765655E8</v>
      </c>
      <c r="D246" s="152" t="s">
        <v>505</v>
      </c>
      <c r="E246" s="53" t="s">
        <v>77</v>
      </c>
      <c r="F246" s="154"/>
      <c r="G246" s="53"/>
      <c r="H246" s="53" t="str">
        <f t="shared" si="635"/>
        <v>0.00069</v>
      </c>
      <c r="I246" s="53" t="str">
        <f t="shared" si="636"/>
        <v>89</v>
      </c>
      <c r="J246" s="53" t="str">
        <f t="shared" si="637"/>
        <v>0</v>
      </c>
      <c r="K246" s="155" t="str">
        <f t="shared" si="638"/>
        <v>0.00</v>
      </c>
      <c r="L246" s="156" t="str">
        <f t="shared" si="639"/>
        <v>0.00 </v>
      </c>
      <c r="M246" s="132">
        <v>90.0</v>
      </c>
      <c r="N246" s="325" t="str">
        <f t="shared" si="640"/>
        <v>#DIV/0!</v>
      </c>
      <c r="O246" s="158">
        <v>1080.0</v>
      </c>
      <c r="P246" s="159" t="str">
        <f t="shared" si="641"/>
        <v>#DIV/0!</v>
      </c>
      <c r="Q246" s="160"/>
      <c r="R246" s="161">
        <v>0.26</v>
      </c>
      <c r="S246" s="162" t="str">
        <f t="shared" si="642"/>
        <v>799.20</v>
      </c>
      <c r="T246" s="163" t="str">
        <f t="shared" si="643"/>
        <v>20.00</v>
      </c>
      <c r="U246" s="164" t="str">
        <f t="shared" si="644"/>
        <v>63.94</v>
      </c>
      <c r="V246" s="165" t="str">
        <f t="shared" si="645"/>
        <v>#DIV/0!</v>
      </c>
      <c r="W246" s="166">
        <v>0.32</v>
      </c>
      <c r="X246" s="167" t="str">
        <f t="shared" si="646"/>
        <v>76</v>
      </c>
      <c r="Y246" s="168" t="str">
        <f t="shared" si="647"/>
        <v>297.000</v>
      </c>
      <c r="Z246" s="168" t="str">
        <f t="shared" si="648"/>
        <v>17.343</v>
      </c>
      <c r="AA246" s="164" t="str">
        <f t="shared" si="649"/>
        <v>2.18</v>
      </c>
      <c r="AB246" s="164">
        <v>95.65</v>
      </c>
      <c r="AC246" s="164" t="str">
        <f t="shared" si="650"/>
        <v>4.80</v>
      </c>
      <c r="AD246" s="165" t="str">
        <f t="shared" si="651"/>
        <v>54.00</v>
      </c>
      <c r="AE246" s="23"/>
      <c r="AF246" s="169" t="str">
        <f t="shared" si="652"/>
        <v>10.2</v>
      </c>
      <c r="AG246" s="163" t="str">
        <f t="shared" si="653"/>
        <v>#DIV/0!</v>
      </c>
      <c r="AH246" s="170" t="str">
        <f t="shared" si="654"/>
        <v>#DIV/0!</v>
      </c>
      <c r="AI246" s="26"/>
      <c r="AJ246" s="171" t="str">
        <f t="shared" si="655"/>
        <v>0.00%</v>
      </c>
      <c r="AK246" s="172" t="str">
        <f t="shared" si="656"/>
        <v>#DIV/0!</v>
      </c>
      <c r="AL246" s="173" t="str">
        <f t="shared" si="657"/>
        <v>#DIV/0!</v>
      </c>
      <c r="AM246" s="174" t="str">
        <f t="shared" si="658"/>
        <v>#DIV/0!</v>
      </c>
    </row>
    <row r="247" ht="12.75" customHeight="1">
      <c r="A247" s="26"/>
      <c r="B247" s="190" t="s">
        <v>506</v>
      </c>
      <c r="C247" s="192">
        <v>2.12796158E8</v>
      </c>
      <c r="D247" s="152" t="s">
        <v>507</v>
      </c>
      <c r="E247" s="53" t="s">
        <v>77</v>
      </c>
      <c r="F247" s="154"/>
      <c r="G247" s="53"/>
      <c r="H247" s="53" t="str">
        <f t="shared" si="635"/>
        <v>0.00069</v>
      </c>
      <c r="I247" s="53" t="str">
        <f t="shared" si="636"/>
        <v>89</v>
      </c>
      <c r="J247" s="53" t="str">
        <f t="shared" si="637"/>
        <v>0</v>
      </c>
      <c r="K247" s="155" t="str">
        <f t="shared" si="638"/>
        <v>0.00</v>
      </c>
      <c r="L247" s="156" t="str">
        <f t="shared" si="639"/>
        <v>0.00 </v>
      </c>
      <c r="M247" s="132">
        <v>90.0</v>
      </c>
      <c r="N247" s="325" t="str">
        <f t="shared" si="640"/>
        <v>#DIV/0!</v>
      </c>
      <c r="O247" s="158">
        <v>1137.9</v>
      </c>
      <c r="P247" s="159" t="str">
        <f t="shared" si="641"/>
        <v>#DIV/0!</v>
      </c>
      <c r="Q247" s="160"/>
      <c r="R247" s="161">
        <v>0.26</v>
      </c>
      <c r="S247" s="162" t="str">
        <f t="shared" si="642"/>
        <v>842.05</v>
      </c>
      <c r="T247" s="163" t="str">
        <f t="shared" si="643"/>
        <v>20.00</v>
      </c>
      <c r="U247" s="164" t="str">
        <f t="shared" si="644"/>
        <v>67.36</v>
      </c>
      <c r="V247" s="165" t="str">
        <f t="shared" si="645"/>
        <v>#DIV/0!</v>
      </c>
      <c r="W247" s="166">
        <v>0.4</v>
      </c>
      <c r="X247" s="167" t="str">
        <f t="shared" si="646"/>
        <v>76</v>
      </c>
      <c r="Y247" s="168" t="str">
        <f t="shared" si="647"/>
        <v>312.923</v>
      </c>
      <c r="Z247" s="168" t="str">
        <f t="shared" si="648"/>
        <v>18.272</v>
      </c>
      <c r="AA247" s="164" t="str">
        <f t="shared" si="649"/>
        <v>1.16</v>
      </c>
      <c r="AB247" s="164">
        <v>97.69</v>
      </c>
      <c r="AC247" s="164" t="str">
        <f t="shared" si="650"/>
        <v>4.80</v>
      </c>
      <c r="AD247" s="165" t="str">
        <f t="shared" si="651"/>
        <v>56.90</v>
      </c>
      <c r="AE247" s="23"/>
      <c r="AF247" s="169" t="str">
        <f t="shared" si="652"/>
        <v>10.2</v>
      </c>
      <c r="AG247" s="163" t="str">
        <f t="shared" si="653"/>
        <v>#DIV/0!</v>
      </c>
      <c r="AH247" s="170" t="str">
        <f t="shared" si="654"/>
        <v>#DIV/0!</v>
      </c>
      <c r="AI247" s="26"/>
      <c r="AJ247" s="171" t="str">
        <f t="shared" si="655"/>
        <v>0.00%</v>
      </c>
      <c r="AK247" s="172" t="str">
        <f t="shared" si="656"/>
        <v>#DIV/0!</v>
      </c>
      <c r="AL247" s="173" t="str">
        <f t="shared" si="657"/>
        <v>#DIV/0!</v>
      </c>
      <c r="AM247" s="174" t="str">
        <f t="shared" si="658"/>
        <v>#DIV/0!</v>
      </c>
    </row>
    <row r="248" ht="12.75" customHeight="1">
      <c r="A248" s="26"/>
      <c r="B248" s="190" t="s">
        <v>508</v>
      </c>
      <c r="C248" s="202">
        <v>2.12825852E8</v>
      </c>
      <c r="D248" s="152" t="s">
        <v>509</v>
      </c>
      <c r="E248" s="53" t="s">
        <v>77</v>
      </c>
      <c r="F248" s="154"/>
      <c r="G248" s="53"/>
      <c r="H248" s="53" t="str">
        <f t="shared" si="635"/>
        <v>0.00069</v>
      </c>
      <c r="I248" s="53" t="str">
        <f t="shared" si="636"/>
        <v>89</v>
      </c>
      <c r="J248" s="53" t="str">
        <f t="shared" si="637"/>
        <v>0</v>
      </c>
      <c r="K248" s="155" t="str">
        <f t="shared" si="638"/>
        <v>0.00</v>
      </c>
      <c r="L248" s="156" t="str">
        <f t="shared" si="639"/>
        <v>0.00 </v>
      </c>
      <c r="M248" s="132">
        <v>90.0</v>
      </c>
      <c r="N248" s="325" t="str">
        <f t="shared" si="640"/>
        <v>#DIV/0!</v>
      </c>
      <c r="O248" s="158">
        <v>1137.9</v>
      </c>
      <c r="P248" s="159" t="str">
        <f t="shared" si="641"/>
        <v>#DIV/0!</v>
      </c>
      <c r="Q248" s="160"/>
      <c r="R248" s="161">
        <v>0.26</v>
      </c>
      <c r="S248" s="162" t="str">
        <f t="shared" si="642"/>
        <v>842.05</v>
      </c>
      <c r="T248" s="163" t="str">
        <f t="shared" si="643"/>
        <v>20.00</v>
      </c>
      <c r="U248" s="164" t="str">
        <f t="shared" si="644"/>
        <v>67.36</v>
      </c>
      <c r="V248" s="165" t="str">
        <f t="shared" si="645"/>
        <v>#DIV/0!</v>
      </c>
      <c r="W248" s="166">
        <v>0.58</v>
      </c>
      <c r="X248" s="167" t="str">
        <f t="shared" si="646"/>
        <v>76</v>
      </c>
      <c r="Y248" s="168" t="str">
        <f t="shared" si="647"/>
        <v>312.923</v>
      </c>
      <c r="Z248" s="168" t="str">
        <f t="shared" si="648"/>
        <v>18.272</v>
      </c>
      <c r="AA248" s="164" t="str">
        <f t="shared" si="649"/>
        <v>1.71</v>
      </c>
      <c r="AB248" s="164">
        <v>96.59</v>
      </c>
      <c r="AC248" s="164" t="str">
        <f t="shared" si="650"/>
        <v>4.80</v>
      </c>
      <c r="AD248" s="165" t="str">
        <f t="shared" si="651"/>
        <v>56.90</v>
      </c>
      <c r="AE248" s="23"/>
      <c r="AF248" s="169" t="str">
        <f t="shared" si="652"/>
        <v>10.2</v>
      </c>
      <c r="AG248" s="163" t="str">
        <f t="shared" si="653"/>
        <v>#DIV/0!</v>
      </c>
      <c r="AH248" s="170" t="str">
        <f t="shared" si="654"/>
        <v>#DIV/0!</v>
      </c>
      <c r="AI248" s="26"/>
      <c r="AJ248" s="171" t="str">
        <f t="shared" si="655"/>
        <v>0.00%</v>
      </c>
      <c r="AK248" s="172" t="str">
        <f t="shared" si="656"/>
        <v>#DIV/0!</v>
      </c>
      <c r="AL248" s="173" t="str">
        <f t="shared" si="657"/>
        <v>#DIV/0!</v>
      </c>
      <c r="AM248" s="174" t="str">
        <f t="shared" si="658"/>
        <v>#DIV/0!</v>
      </c>
    </row>
    <row r="249" ht="12.75" customHeight="1">
      <c r="A249" s="26"/>
      <c r="B249" s="190" t="s">
        <v>510</v>
      </c>
      <c r="C249" s="192">
        <v>2.12827062E8</v>
      </c>
      <c r="D249" s="152" t="s">
        <v>511</v>
      </c>
      <c r="E249" s="53" t="s">
        <v>77</v>
      </c>
      <c r="F249" s="154"/>
      <c r="G249" s="53"/>
      <c r="H249" s="53" t="str">
        <f t="shared" si="635"/>
        <v>0.00069</v>
      </c>
      <c r="I249" s="53" t="str">
        <f t="shared" si="636"/>
        <v>89</v>
      </c>
      <c r="J249" s="53" t="str">
        <f t="shared" si="637"/>
        <v>0</v>
      </c>
      <c r="K249" s="155" t="str">
        <f t="shared" si="638"/>
        <v>0.00</v>
      </c>
      <c r="L249" s="156" t="str">
        <f t="shared" si="639"/>
        <v>0.00 </v>
      </c>
      <c r="M249" s="132">
        <v>90.0</v>
      </c>
      <c r="N249" s="325" t="str">
        <f t="shared" si="640"/>
        <v>#DIV/0!</v>
      </c>
      <c r="O249" s="158">
        <v>1137.9</v>
      </c>
      <c r="P249" s="159" t="str">
        <f t="shared" si="641"/>
        <v>#DIV/0!</v>
      </c>
      <c r="Q249" s="160"/>
      <c r="R249" s="161">
        <v>0.26</v>
      </c>
      <c r="S249" s="162" t="str">
        <f t="shared" si="642"/>
        <v>842.05</v>
      </c>
      <c r="T249" s="163" t="str">
        <f t="shared" si="643"/>
        <v>20.00</v>
      </c>
      <c r="U249" s="164" t="str">
        <f t="shared" si="644"/>
        <v>67.36</v>
      </c>
      <c r="V249" s="165" t="str">
        <f t="shared" si="645"/>
        <v>#DIV/0!</v>
      </c>
      <c r="W249" s="166">
        <v>0.58</v>
      </c>
      <c r="X249" s="167" t="str">
        <f t="shared" si="646"/>
        <v>76</v>
      </c>
      <c r="Y249" s="168" t="str">
        <f t="shared" si="647"/>
        <v>312.923</v>
      </c>
      <c r="Z249" s="168" t="str">
        <f t="shared" si="648"/>
        <v>18.272</v>
      </c>
      <c r="AA249" s="164" t="str">
        <f t="shared" si="649"/>
        <v>0.98</v>
      </c>
      <c r="AB249" s="164">
        <v>98.04</v>
      </c>
      <c r="AC249" s="164" t="str">
        <f t="shared" si="650"/>
        <v>4.80</v>
      </c>
      <c r="AD249" s="165" t="str">
        <f t="shared" si="651"/>
        <v>56.90</v>
      </c>
      <c r="AE249" s="23"/>
      <c r="AF249" s="169" t="str">
        <f t="shared" si="652"/>
        <v>10.2</v>
      </c>
      <c r="AG249" s="163" t="str">
        <f t="shared" si="653"/>
        <v>#DIV/0!</v>
      </c>
      <c r="AH249" s="170" t="str">
        <f t="shared" si="654"/>
        <v>#DIV/0!</v>
      </c>
      <c r="AI249" s="26"/>
      <c r="AJ249" s="171" t="str">
        <f t="shared" si="655"/>
        <v>0.00%</v>
      </c>
      <c r="AK249" s="172" t="str">
        <f t="shared" si="656"/>
        <v>#DIV/0!</v>
      </c>
      <c r="AL249" s="173" t="str">
        <f t="shared" si="657"/>
        <v>#DIV/0!</v>
      </c>
      <c r="AM249" s="174" t="str">
        <f t="shared" si="658"/>
        <v>#DIV/0!</v>
      </c>
    </row>
    <row r="250" ht="12.75" customHeight="1">
      <c r="A250" s="26"/>
      <c r="B250" s="190" t="s">
        <v>512</v>
      </c>
      <c r="C250" s="192">
        <v>2.14312934E8</v>
      </c>
      <c r="D250" s="152" t="s">
        <v>513</v>
      </c>
      <c r="E250" s="53" t="s">
        <v>77</v>
      </c>
      <c r="F250" s="154"/>
      <c r="G250" s="53"/>
      <c r="H250" s="53" t="str">
        <f t="shared" si="635"/>
        <v>0.00069</v>
      </c>
      <c r="I250" s="53" t="str">
        <f t="shared" si="636"/>
        <v>89</v>
      </c>
      <c r="J250" s="53" t="str">
        <f t="shared" si="637"/>
        <v>0</v>
      </c>
      <c r="K250" s="155" t="str">
        <f t="shared" si="638"/>
        <v>0.00</v>
      </c>
      <c r="L250" s="156" t="str">
        <f t="shared" si="639"/>
        <v>0.00 </v>
      </c>
      <c r="M250" s="132">
        <v>90.0</v>
      </c>
      <c r="N250" s="325" t="str">
        <f t="shared" si="640"/>
        <v>#DIV/0!</v>
      </c>
      <c r="O250" s="158">
        <v>747.0</v>
      </c>
      <c r="P250" s="159" t="str">
        <f t="shared" si="641"/>
        <v>#DIV/0!</v>
      </c>
      <c r="Q250" s="160"/>
      <c r="R250" s="161">
        <v>0.26</v>
      </c>
      <c r="S250" s="162" t="str">
        <f t="shared" si="642"/>
        <v>552.78</v>
      </c>
      <c r="T250" s="163" t="str">
        <f t="shared" si="643"/>
        <v>20.00</v>
      </c>
      <c r="U250" s="164" t="str">
        <f t="shared" si="644"/>
        <v>44.22</v>
      </c>
      <c r="V250" s="165" t="str">
        <f t="shared" si="645"/>
        <v>#DIV/0!</v>
      </c>
      <c r="W250" s="166">
        <v>0.4</v>
      </c>
      <c r="X250" s="167" t="str">
        <f t="shared" si="646"/>
        <v>76</v>
      </c>
      <c r="Y250" s="168" t="str">
        <f t="shared" si="647"/>
        <v>205.425</v>
      </c>
      <c r="Z250" s="168" t="str">
        <f t="shared" si="648"/>
        <v>11.995</v>
      </c>
      <c r="AA250" s="164" t="str">
        <f t="shared" si="649"/>
        <v>0.92</v>
      </c>
      <c r="AB250" s="164">
        <v>98.15</v>
      </c>
      <c r="AC250" s="164" t="str">
        <f t="shared" si="650"/>
        <v>4.80</v>
      </c>
      <c r="AD250" s="165" t="str">
        <f t="shared" si="651"/>
        <v>37.35</v>
      </c>
      <c r="AE250" s="23"/>
      <c r="AF250" s="169" t="str">
        <f t="shared" si="652"/>
        <v>10.2</v>
      </c>
      <c r="AG250" s="163" t="str">
        <f t="shared" si="653"/>
        <v>#DIV/0!</v>
      </c>
      <c r="AH250" s="170" t="str">
        <f t="shared" si="654"/>
        <v>#DIV/0!</v>
      </c>
      <c r="AI250" s="26"/>
      <c r="AJ250" s="171" t="str">
        <f t="shared" si="655"/>
        <v>0.00%</v>
      </c>
      <c r="AK250" s="172" t="str">
        <f t="shared" si="656"/>
        <v>#DIV/0!</v>
      </c>
      <c r="AL250" s="173" t="str">
        <f t="shared" si="657"/>
        <v>#DIV/0!</v>
      </c>
      <c r="AM250" s="174" t="str">
        <f t="shared" si="658"/>
        <v>#DIV/0!</v>
      </c>
    </row>
    <row r="251" ht="12.75" customHeight="1">
      <c r="A251" s="26"/>
      <c r="B251" s="190" t="s">
        <v>514</v>
      </c>
      <c r="C251" s="192">
        <v>2.14312999E8</v>
      </c>
      <c r="D251" s="152" t="s">
        <v>515</v>
      </c>
      <c r="E251" s="53" t="s">
        <v>77</v>
      </c>
      <c r="F251" s="154"/>
      <c r="G251" s="53"/>
      <c r="H251" s="53" t="str">
        <f t="shared" si="635"/>
        <v>0.00069</v>
      </c>
      <c r="I251" s="53" t="str">
        <f t="shared" si="636"/>
        <v>89</v>
      </c>
      <c r="J251" s="53" t="str">
        <f t="shared" si="637"/>
        <v>0</v>
      </c>
      <c r="K251" s="155" t="str">
        <f t="shared" si="638"/>
        <v>0.00</v>
      </c>
      <c r="L251" s="156" t="str">
        <f t="shared" si="639"/>
        <v>0.00 </v>
      </c>
      <c r="M251" s="132">
        <v>90.0</v>
      </c>
      <c r="N251" s="325" t="str">
        <f t="shared" si="640"/>
        <v>#DIV/0!</v>
      </c>
      <c r="O251" s="158">
        <v>747.0</v>
      </c>
      <c r="P251" s="159" t="str">
        <f t="shared" si="641"/>
        <v>#DIV/0!</v>
      </c>
      <c r="Q251" s="160"/>
      <c r="R251" s="161">
        <v>0.26</v>
      </c>
      <c r="S251" s="162" t="str">
        <f t="shared" si="642"/>
        <v>552.78</v>
      </c>
      <c r="T251" s="163" t="str">
        <f t="shared" si="643"/>
        <v>20.00</v>
      </c>
      <c r="U251" s="164" t="str">
        <f t="shared" si="644"/>
        <v>44.22</v>
      </c>
      <c r="V251" s="165" t="str">
        <f t="shared" si="645"/>
        <v>#DIV/0!</v>
      </c>
      <c r="W251" s="166">
        <v>0.4</v>
      </c>
      <c r="X251" s="167" t="str">
        <f t="shared" si="646"/>
        <v>76</v>
      </c>
      <c r="Y251" s="168" t="str">
        <f t="shared" si="647"/>
        <v>205.425</v>
      </c>
      <c r="Z251" s="168" t="str">
        <f t="shared" si="648"/>
        <v>11.995</v>
      </c>
      <c r="AA251" s="164" t="str">
        <f t="shared" si="649"/>
        <v>12.50</v>
      </c>
      <c r="AB251" s="164">
        <v>75.0</v>
      </c>
      <c r="AC251" s="164" t="str">
        <f t="shared" si="650"/>
        <v>4.80</v>
      </c>
      <c r="AD251" s="165" t="str">
        <f t="shared" si="651"/>
        <v>37.35</v>
      </c>
      <c r="AE251" s="23"/>
      <c r="AF251" s="169" t="str">
        <f t="shared" si="652"/>
        <v>10.2</v>
      </c>
      <c r="AG251" s="163" t="str">
        <f t="shared" si="653"/>
        <v>#DIV/0!</v>
      </c>
      <c r="AH251" s="170" t="str">
        <f t="shared" si="654"/>
        <v>#DIV/0!</v>
      </c>
      <c r="AI251" s="26"/>
      <c r="AJ251" s="171" t="str">
        <f t="shared" si="655"/>
        <v>0.00%</v>
      </c>
      <c r="AK251" s="172" t="str">
        <f t="shared" si="656"/>
        <v>#DIV/0!</v>
      </c>
      <c r="AL251" s="173" t="str">
        <f t="shared" si="657"/>
        <v>#DIV/0!</v>
      </c>
      <c r="AM251" s="174" t="str">
        <f t="shared" si="658"/>
        <v>#DIV/0!</v>
      </c>
    </row>
    <row r="252" ht="12.75" customHeight="1">
      <c r="A252" s="26"/>
      <c r="B252" s="190" t="s">
        <v>516</v>
      </c>
      <c r="C252" s="192">
        <v>2.14313051E8</v>
      </c>
      <c r="D252" s="152" t="s">
        <v>517</v>
      </c>
      <c r="E252" s="53" t="s">
        <v>77</v>
      </c>
      <c r="F252" s="154"/>
      <c r="G252" s="53"/>
      <c r="H252" s="53" t="str">
        <f t="shared" si="635"/>
        <v>0.00069</v>
      </c>
      <c r="I252" s="53" t="str">
        <f t="shared" si="636"/>
        <v>89</v>
      </c>
      <c r="J252" s="53" t="str">
        <f t="shared" si="637"/>
        <v>0</v>
      </c>
      <c r="K252" s="155" t="str">
        <f t="shared" si="638"/>
        <v>0.00</v>
      </c>
      <c r="L252" s="156" t="str">
        <f t="shared" si="639"/>
        <v>0.00 </v>
      </c>
      <c r="M252" s="132">
        <v>90.0</v>
      </c>
      <c r="N252" s="325" t="str">
        <f t="shared" si="640"/>
        <v>#DIV/0!</v>
      </c>
      <c r="O252" s="158">
        <v>1118.7</v>
      </c>
      <c r="P252" s="159" t="str">
        <f t="shared" si="641"/>
        <v>#DIV/0!</v>
      </c>
      <c r="Q252" s="160"/>
      <c r="R252" s="161">
        <v>0.26</v>
      </c>
      <c r="S252" s="162" t="str">
        <f t="shared" si="642"/>
        <v>827.84</v>
      </c>
      <c r="T252" s="163" t="str">
        <f t="shared" si="643"/>
        <v>20.00</v>
      </c>
      <c r="U252" s="164" t="str">
        <f t="shared" si="644"/>
        <v>66.23</v>
      </c>
      <c r="V252" s="165" t="str">
        <f t="shared" si="645"/>
        <v>#DIV/0!</v>
      </c>
      <c r="W252" s="166">
        <v>0.46</v>
      </c>
      <c r="X252" s="167" t="str">
        <f t="shared" si="646"/>
        <v>76</v>
      </c>
      <c r="Y252" s="168" t="str">
        <f t="shared" si="647"/>
        <v>307.643</v>
      </c>
      <c r="Z252" s="168" t="str">
        <f t="shared" si="648"/>
        <v>17.964</v>
      </c>
      <c r="AA252" s="164" t="str">
        <f t="shared" si="649"/>
        <v>3.66</v>
      </c>
      <c r="AB252" s="164">
        <v>92.68</v>
      </c>
      <c r="AC252" s="164" t="str">
        <f t="shared" si="650"/>
        <v>4.80</v>
      </c>
      <c r="AD252" s="165" t="str">
        <f t="shared" si="651"/>
        <v>55.94</v>
      </c>
      <c r="AE252" s="23"/>
      <c r="AF252" s="169" t="str">
        <f t="shared" si="652"/>
        <v>10.2</v>
      </c>
      <c r="AG252" s="163" t="str">
        <f t="shared" si="653"/>
        <v>#DIV/0!</v>
      </c>
      <c r="AH252" s="170" t="str">
        <f t="shared" si="654"/>
        <v>#DIV/0!</v>
      </c>
      <c r="AI252" s="26"/>
      <c r="AJ252" s="171" t="str">
        <f t="shared" si="655"/>
        <v>0.00%</v>
      </c>
      <c r="AK252" s="172" t="str">
        <f t="shared" si="656"/>
        <v>#DIV/0!</v>
      </c>
      <c r="AL252" s="173" t="str">
        <f t="shared" si="657"/>
        <v>#DIV/0!</v>
      </c>
      <c r="AM252" s="174" t="str">
        <f t="shared" si="658"/>
        <v>#DIV/0!</v>
      </c>
    </row>
    <row r="253" ht="12.75" customHeight="1">
      <c r="A253" s="26"/>
      <c r="B253" s="125" t="s">
        <v>518</v>
      </c>
      <c r="C253" s="126"/>
      <c r="D253" s="127"/>
      <c r="E253" s="128"/>
      <c r="F253" s="129"/>
      <c r="G253" s="128"/>
      <c r="H253" s="197"/>
      <c r="I253" s="197"/>
      <c r="J253" s="128"/>
      <c r="K253" s="130"/>
      <c r="L253" s="131"/>
      <c r="M253" s="132"/>
      <c r="N253" s="320"/>
      <c r="O253" s="134"/>
      <c r="P253" s="135"/>
      <c r="Q253" s="135"/>
      <c r="R253" s="136"/>
      <c r="S253" s="137"/>
      <c r="T253" s="177"/>
      <c r="U253" s="178"/>
      <c r="V253" s="179"/>
      <c r="W253" s="180"/>
      <c r="X253" s="181"/>
      <c r="Y253" s="182"/>
      <c r="Z253" s="182"/>
      <c r="AA253" s="178"/>
      <c r="AB253" s="178"/>
      <c r="AC253" s="178"/>
      <c r="AD253" s="179"/>
      <c r="AE253" s="183"/>
      <c r="AF253" s="184"/>
      <c r="AG253" s="177"/>
      <c r="AH253" s="185"/>
      <c r="AI253" s="26"/>
      <c r="AJ253" s="186"/>
      <c r="AK253" s="187"/>
      <c r="AL253" s="188"/>
      <c r="AM253" s="189"/>
    </row>
    <row r="254" ht="12.75" customHeight="1">
      <c r="A254" s="26"/>
      <c r="B254" s="190" t="s">
        <v>519</v>
      </c>
      <c r="C254" s="199">
        <v>1.51175877E8</v>
      </c>
      <c r="D254" s="152" t="s">
        <v>520</v>
      </c>
      <c r="E254" s="53" t="s">
        <v>77</v>
      </c>
      <c r="F254" s="154"/>
      <c r="G254" s="53"/>
      <c r="H254" s="53" t="str">
        <f t="shared" ref="H254:H267" si="659">$I$2</f>
        <v>0.00069</v>
      </c>
      <c r="I254" s="53" t="str">
        <f t="shared" ref="I254:I267" si="660">$I$3</f>
        <v>89</v>
      </c>
      <c r="J254" s="53" t="str">
        <f t="shared" ref="J254:J267" si="661">G254*H254*I254*F254</f>
        <v>0</v>
      </c>
      <c r="K254" s="155" t="str">
        <f t="shared" ref="K254:K267" si="662">J254*$J$4</f>
        <v>0.00</v>
      </c>
      <c r="L254" s="156" t="str">
        <f t="shared" ref="L254:L267" si="663">K254+J254</f>
        <v>0.00 </v>
      </c>
      <c r="M254" s="132">
        <v>90.0</v>
      </c>
      <c r="N254" s="325">
        <v>415.46</v>
      </c>
      <c r="O254" s="158">
        <v>1200.0</v>
      </c>
      <c r="P254" s="159" t="str">
        <f t="shared" ref="P254:P265" si="664">O254</f>
        <v>1,200.00</v>
      </c>
      <c r="Q254" s="160">
        <v>1151.0</v>
      </c>
      <c r="R254" s="161">
        <v>0.26</v>
      </c>
      <c r="S254" s="162" t="str">
        <f t="shared" ref="S254:S267" si="665">O254-(O254*R254)</f>
        <v>888.00</v>
      </c>
      <c r="T254" s="163" t="str">
        <f t="shared" ref="T254:T265" si="666">$C$1</f>
        <v>20.00</v>
      </c>
      <c r="U254" s="164" t="str">
        <f t="shared" ref="U254:U267" si="667">S254*$C$8</f>
        <v>71.04</v>
      </c>
      <c r="V254" s="165" t="str">
        <f t="shared" ref="V254:V267" si="668">N254*$C$3*(M254/30)</f>
        <v>0.00</v>
      </c>
      <c r="W254" s="166">
        <v>0.41</v>
      </c>
      <c r="X254" s="167" t="str">
        <f t="shared" ref="X254:X265" si="669">((_xlfn.CEILING.MATH(W254)-1)*$C$5+$C$4)</f>
        <v>76</v>
      </c>
      <c r="Y254" s="168" t="str">
        <f t="shared" ref="Y254:Y267" si="670">O254*$Y$6</f>
        <v>330.000</v>
      </c>
      <c r="Z254" s="168" t="str">
        <f t="shared" ref="Z254:Z267" si="671">S254*$Y$7</f>
        <v>19.270</v>
      </c>
      <c r="AA254" s="164" t="str">
        <f t="shared" ref="AA254:AA267" si="672">$Y$3*((100-AB254)/100)</f>
        <v>1.85</v>
      </c>
      <c r="AB254" s="164">
        <v>96.31</v>
      </c>
      <c r="AC254" s="164" t="str">
        <f t="shared" ref="AC254:AC267" si="673">$C$6*$C$7*_xlfn.CEILING.MATH(W254)</f>
        <v>4.80</v>
      </c>
      <c r="AD254" s="165" t="str">
        <f t="shared" ref="AD254:AD267" si="674">O254*$C$2</f>
        <v>60.00</v>
      </c>
      <c r="AE254" s="23"/>
      <c r="AF254" s="169" t="str">
        <f t="shared" ref="AF254:AF267" si="675">(_xlfn.CEILING.MATH(W254))*$Y$1*$AD$2</f>
        <v>10.2</v>
      </c>
      <c r="AG254" s="163" t="str">
        <f t="shared" ref="AG254:AG267" si="676">O254-T254-U254-V254-X254-Y254-Z254-AA254-AC254-AD254-N254</f>
        <v>201.59</v>
      </c>
      <c r="AH254" s="170" t="str">
        <f t="shared" ref="AH254:AH267" si="677">AG254/N254</f>
        <v>48.52%</v>
      </c>
      <c r="AI254" s="26"/>
      <c r="AJ254" s="171" t="str">
        <f t="shared" ref="AJ254:AJ267" si="678">$AD$3</f>
        <v>0.00%</v>
      </c>
      <c r="AK254" s="172" t="str">
        <f t="shared" ref="AK254:AK267" si="679">N254*AJ254</f>
        <v>0.00</v>
      </c>
      <c r="AL254" s="173" t="str">
        <f t="shared" ref="AL254:AL267" si="680">(N254+T254+V254+X254+AA254+AC254+AF254+AK254)/(100%-($C$2+$C$8+$Y$6+$Y$7))</f>
        <v>921.52</v>
      </c>
      <c r="AM254" s="174" t="str">
        <f t="shared" ref="AM254:AM267" si="681">AL254-(AL254*$AD$1)</f>
        <v>654.28</v>
      </c>
    </row>
    <row r="255" ht="12.75" customHeight="1">
      <c r="A255" s="26"/>
      <c r="B255" s="190" t="s">
        <v>521</v>
      </c>
      <c r="C255" s="199">
        <v>1.79611278E8</v>
      </c>
      <c r="D255" s="152" t="s">
        <v>522</v>
      </c>
      <c r="E255" s="53" t="s">
        <v>77</v>
      </c>
      <c r="F255" s="154"/>
      <c r="G255" s="53"/>
      <c r="H255" s="53" t="str">
        <f t="shared" si="659"/>
        <v>0.00069</v>
      </c>
      <c r="I255" s="53" t="str">
        <f t="shared" si="660"/>
        <v>89</v>
      </c>
      <c r="J255" s="53" t="str">
        <f t="shared" si="661"/>
        <v>0</v>
      </c>
      <c r="K255" s="155" t="str">
        <f t="shared" si="662"/>
        <v>0.00</v>
      </c>
      <c r="L255" s="156" t="str">
        <f t="shared" si="663"/>
        <v>0.00 </v>
      </c>
      <c r="M255" s="132">
        <v>90.0</v>
      </c>
      <c r="N255" s="325">
        <v>415.46</v>
      </c>
      <c r="O255" s="158">
        <v>1215.0</v>
      </c>
      <c r="P255" s="159" t="str">
        <f t="shared" si="664"/>
        <v>1,215.00</v>
      </c>
      <c r="Q255" s="160">
        <v>1053.0</v>
      </c>
      <c r="R255" s="161">
        <v>0.26</v>
      </c>
      <c r="S255" s="162" t="str">
        <f t="shared" si="665"/>
        <v>899.10</v>
      </c>
      <c r="T255" s="163" t="str">
        <f t="shared" si="666"/>
        <v>20.00</v>
      </c>
      <c r="U255" s="164" t="str">
        <f t="shared" si="667"/>
        <v>71.93</v>
      </c>
      <c r="V255" s="165" t="str">
        <f t="shared" si="668"/>
        <v>0.00</v>
      </c>
      <c r="W255" s="166">
        <v>0.41</v>
      </c>
      <c r="X255" s="167" t="str">
        <f t="shared" si="669"/>
        <v>76</v>
      </c>
      <c r="Y255" s="168" t="str">
        <f t="shared" si="670"/>
        <v>334.125</v>
      </c>
      <c r="Z255" s="168" t="str">
        <f t="shared" si="671"/>
        <v>19.510</v>
      </c>
      <c r="AA255" s="164" t="str">
        <f t="shared" si="672"/>
        <v>1.84</v>
      </c>
      <c r="AB255" s="164">
        <v>96.32</v>
      </c>
      <c r="AC255" s="164" t="str">
        <f t="shared" si="673"/>
        <v>4.80</v>
      </c>
      <c r="AD255" s="165" t="str">
        <f t="shared" si="674"/>
        <v>60.75</v>
      </c>
      <c r="AE255" s="23"/>
      <c r="AF255" s="169" t="str">
        <f t="shared" si="675"/>
        <v>10.2</v>
      </c>
      <c r="AG255" s="163" t="str">
        <f t="shared" si="676"/>
        <v>210.59</v>
      </c>
      <c r="AH255" s="170" t="str">
        <f t="shared" si="677"/>
        <v>50.69%</v>
      </c>
      <c r="AI255" s="26"/>
      <c r="AJ255" s="171" t="str">
        <f t="shared" si="678"/>
        <v>0.00%</v>
      </c>
      <c r="AK255" s="172" t="str">
        <f t="shared" si="679"/>
        <v>0.00</v>
      </c>
      <c r="AL255" s="173" t="str">
        <f t="shared" si="680"/>
        <v>921.51</v>
      </c>
      <c r="AM255" s="174" t="str">
        <f t="shared" si="681"/>
        <v>654.27</v>
      </c>
    </row>
    <row r="256" ht="12.75" customHeight="1">
      <c r="A256" s="26"/>
      <c r="B256" s="190" t="s">
        <v>523</v>
      </c>
      <c r="C256" s="199">
        <v>1.80992464E8</v>
      </c>
      <c r="D256" s="152" t="s">
        <v>524</v>
      </c>
      <c r="E256" s="53" t="s">
        <v>77</v>
      </c>
      <c r="F256" s="154"/>
      <c r="G256" s="53"/>
      <c r="H256" s="53" t="str">
        <f t="shared" si="659"/>
        <v>0.00069</v>
      </c>
      <c r="I256" s="53" t="str">
        <f t="shared" si="660"/>
        <v>89</v>
      </c>
      <c r="J256" s="53" t="str">
        <f t="shared" si="661"/>
        <v>0</v>
      </c>
      <c r="K256" s="155" t="str">
        <f t="shared" si="662"/>
        <v>0.00</v>
      </c>
      <c r="L256" s="156" t="str">
        <f t="shared" si="663"/>
        <v>0.00 </v>
      </c>
      <c r="M256" s="132">
        <v>90.0</v>
      </c>
      <c r="N256" s="325">
        <v>591.29</v>
      </c>
      <c r="O256" s="158">
        <v>1740.0</v>
      </c>
      <c r="P256" s="159" t="str">
        <f t="shared" si="664"/>
        <v>1,740.00</v>
      </c>
      <c r="Q256" s="160">
        <v>1733.0</v>
      </c>
      <c r="R256" s="161">
        <v>0.26</v>
      </c>
      <c r="S256" s="162" t="str">
        <f t="shared" si="665"/>
        <v>1,287.60</v>
      </c>
      <c r="T256" s="163" t="str">
        <f t="shared" si="666"/>
        <v>20.00</v>
      </c>
      <c r="U256" s="164" t="str">
        <f t="shared" si="667"/>
        <v>103.01</v>
      </c>
      <c r="V256" s="165" t="str">
        <f t="shared" si="668"/>
        <v>0.00</v>
      </c>
      <c r="W256" s="166">
        <v>0.73</v>
      </c>
      <c r="X256" s="167" t="str">
        <f t="shared" si="669"/>
        <v>76</v>
      </c>
      <c r="Y256" s="168" t="str">
        <f t="shared" si="670"/>
        <v>478.500</v>
      </c>
      <c r="Z256" s="168" t="str">
        <f t="shared" si="671"/>
        <v>27.941</v>
      </c>
      <c r="AA256" s="164" t="str">
        <f t="shared" si="672"/>
        <v>4.38</v>
      </c>
      <c r="AB256" s="164">
        <v>91.25</v>
      </c>
      <c r="AC256" s="164" t="str">
        <f t="shared" si="673"/>
        <v>4.80</v>
      </c>
      <c r="AD256" s="165" t="str">
        <f t="shared" si="674"/>
        <v>87.00</v>
      </c>
      <c r="AE256" s="23"/>
      <c r="AF256" s="169" t="str">
        <f t="shared" si="675"/>
        <v>10.2</v>
      </c>
      <c r="AG256" s="163" t="str">
        <f t="shared" si="676"/>
        <v>347.09</v>
      </c>
      <c r="AH256" s="170" t="str">
        <f t="shared" si="677"/>
        <v>58.70%</v>
      </c>
      <c r="AI256" s="26"/>
      <c r="AJ256" s="171" t="str">
        <f t="shared" si="678"/>
        <v>0.00%</v>
      </c>
      <c r="AK256" s="172" t="str">
        <f t="shared" si="679"/>
        <v>0.00</v>
      </c>
      <c r="AL256" s="173" t="str">
        <f t="shared" si="680"/>
        <v>1,232.63</v>
      </c>
      <c r="AM256" s="174" t="str">
        <f t="shared" si="681"/>
        <v>875.17</v>
      </c>
    </row>
    <row r="257" ht="12.75" customHeight="1">
      <c r="A257" s="26"/>
      <c r="B257" s="190" t="s">
        <v>525</v>
      </c>
      <c r="C257" s="199">
        <v>1.80988755E8</v>
      </c>
      <c r="D257" s="152" t="s">
        <v>526</v>
      </c>
      <c r="E257" s="53" t="s">
        <v>77</v>
      </c>
      <c r="F257" s="154"/>
      <c r="G257" s="53"/>
      <c r="H257" s="53" t="str">
        <f t="shared" si="659"/>
        <v>0.00069</v>
      </c>
      <c r="I257" s="53" t="str">
        <f t="shared" si="660"/>
        <v>89</v>
      </c>
      <c r="J257" s="53" t="str">
        <f t="shared" si="661"/>
        <v>0</v>
      </c>
      <c r="K257" s="155" t="str">
        <f t="shared" si="662"/>
        <v>0.00</v>
      </c>
      <c r="L257" s="156" t="str">
        <f t="shared" si="663"/>
        <v>0.00 </v>
      </c>
      <c r="M257" s="132">
        <v>90.0</v>
      </c>
      <c r="N257" s="325">
        <v>486.69</v>
      </c>
      <c r="O257" s="158">
        <v>1440.0</v>
      </c>
      <c r="P257" s="159" t="str">
        <f t="shared" si="664"/>
        <v>1,440.00</v>
      </c>
      <c r="Q257" s="160">
        <v>1499.0</v>
      </c>
      <c r="R257" s="161">
        <v>0.26</v>
      </c>
      <c r="S257" s="162" t="str">
        <f t="shared" si="665"/>
        <v>1,065.60</v>
      </c>
      <c r="T257" s="163" t="str">
        <f t="shared" si="666"/>
        <v>20.00</v>
      </c>
      <c r="U257" s="164" t="str">
        <f t="shared" si="667"/>
        <v>85.25</v>
      </c>
      <c r="V257" s="165" t="str">
        <f t="shared" si="668"/>
        <v>0.00</v>
      </c>
      <c r="W257" s="166">
        <v>0.73</v>
      </c>
      <c r="X257" s="167" t="str">
        <f t="shared" si="669"/>
        <v>76</v>
      </c>
      <c r="Y257" s="168" t="str">
        <f t="shared" si="670"/>
        <v>396.000</v>
      </c>
      <c r="Z257" s="168" t="str">
        <f t="shared" si="671"/>
        <v>23.124</v>
      </c>
      <c r="AA257" s="164" t="str">
        <f t="shared" si="672"/>
        <v>2.78</v>
      </c>
      <c r="AB257" s="164">
        <v>94.44</v>
      </c>
      <c r="AC257" s="164" t="str">
        <f t="shared" si="673"/>
        <v>4.80</v>
      </c>
      <c r="AD257" s="165" t="str">
        <f t="shared" si="674"/>
        <v>72.00</v>
      </c>
      <c r="AE257" s="23"/>
      <c r="AF257" s="169" t="str">
        <f t="shared" si="675"/>
        <v>10.2</v>
      </c>
      <c r="AG257" s="163" t="str">
        <f t="shared" si="676"/>
        <v>273.36</v>
      </c>
      <c r="AH257" s="170" t="str">
        <f t="shared" si="677"/>
        <v>56.17%</v>
      </c>
      <c r="AI257" s="26"/>
      <c r="AJ257" s="171" t="str">
        <f t="shared" si="678"/>
        <v>0.00%</v>
      </c>
      <c r="AK257" s="172" t="str">
        <f t="shared" si="679"/>
        <v>0.00</v>
      </c>
      <c r="AL257" s="173" t="str">
        <f t="shared" si="680"/>
        <v>1,047.39</v>
      </c>
      <c r="AM257" s="174" t="str">
        <f t="shared" si="681"/>
        <v>743.65</v>
      </c>
    </row>
    <row r="258" ht="12.75" customHeight="1">
      <c r="A258" s="26"/>
      <c r="B258" s="190" t="s">
        <v>527</v>
      </c>
      <c r="C258" s="199">
        <v>1.5117588E8</v>
      </c>
      <c r="D258" s="152" t="s">
        <v>528</v>
      </c>
      <c r="E258" s="53" t="s">
        <v>77</v>
      </c>
      <c r="F258" s="154"/>
      <c r="G258" s="53"/>
      <c r="H258" s="53" t="str">
        <f t="shared" si="659"/>
        <v>0.00069</v>
      </c>
      <c r="I258" s="53" t="str">
        <f t="shared" si="660"/>
        <v>89</v>
      </c>
      <c r="J258" s="53" t="str">
        <f t="shared" si="661"/>
        <v>0</v>
      </c>
      <c r="K258" s="155" t="str">
        <f t="shared" si="662"/>
        <v>0.00</v>
      </c>
      <c r="L258" s="156" t="str">
        <f t="shared" si="663"/>
        <v>0.00 </v>
      </c>
      <c r="M258" s="132">
        <v>90.0</v>
      </c>
      <c r="N258" s="325">
        <v>385.05</v>
      </c>
      <c r="O258" s="158">
        <v>1140.0</v>
      </c>
      <c r="P258" s="159" t="str">
        <f t="shared" si="664"/>
        <v>1,140.00</v>
      </c>
      <c r="Q258" s="160">
        <v>1120.0</v>
      </c>
      <c r="R258" s="161">
        <v>0.26</v>
      </c>
      <c r="S258" s="162" t="str">
        <f t="shared" si="665"/>
        <v>843.60</v>
      </c>
      <c r="T258" s="163" t="str">
        <f t="shared" si="666"/>
        <v>20.00</v>
      </c>
      <c r="U258" s="164" t="str">
        <f t="shared" si="667"/>
        <v>67.49</v>
      </c>
      <c r="V258" s="165" t="str">
        <f t="shared" si="668"/>
        <v>0.00</v>
      </c>
      <c r="W258" s="166">
        <v>0.41</v>
      </c>
      <c r="X258" s="167" t="str">
        <f t="shared" si="669"/>
        <v>76</v>
      </c>
      <c r="Y258" s="168" t="str">
        <f t="shared" si="670"/>
        <v>313.500</v>
      </c>
      <c r="Z258" s="168" t="str">
        <f t="shared" si="671"/>
        <v>18.306</v>
      </c>
      <c r="AA258" s="164" t="str">
        <f t="shared" si="672"/>
        <v>1.47</v>
      </c>
      <c r="AB258" s="164">
        <v>97.06</v>
      </c>
      <c r="AC258" s="164" t="str">
        <f t="shared" si="673"/>
        <v>4.80</v>
      </c>
      <c r="AD258" s="165" t="str">
        <f t="shared" si="674"/>
        <v>57.00</v>
      </c>
      <c r="AE258" s="23"/>
      <c r="AF258" s="169" t="str">
        <f t="shared" si="675"/>
        <v>10.2</v>
      </c>
      <c r="AG258" s="163" t="str">
        <f t="shared" si="676"/>
        <v>196.39</v>
      </c>
      <c r="AH258" s="170" t="str">
        <f t="shared" si="677"/>
        <v>51.00%</v>
      </c>
      <c r="AI258" s="26"/>
      <c r="AJ258" s="171" t="str">
        <f t="shared" si="678"/>
        <v>0.00%</v>
      </c>
      <c r="AK258" s="172" t="str">
        <f t="shared" si="679"/>
        <v>0.00</v>
      </c>
      <c r="AL258" s="173" t="str">
        <f t="shared" si="680"/>
        <v>867.82</v>
      </c>
      <c r="AM258" s="174" t="str">
        <f t="shared" si="681"/>
        <v>616.15</v>
      </c>
    </row>
    <row r="259" ht="12.75" customHeight="1">
      <c r="A259" s="26"/>
      <c r="B259" s="190" t="s">
        <v>529</v>
      </c>
      <c r="C259" s="199">
        <v>1.79611304E8</v>
      </c>
      <c r="D259" s="152" t="s">
        <v>530</v>
      </c>
      <c r="E259" s="53" t="s">
        <v>77</v>
      </c>
      <c r="F259" s="154"/>
      <c r="G259" s="53"/>
      <c r="H259" s="53" t="str">
        <f t="shared" si="659"/>
        <v>0.00069</v>
      </c>
      <c r="I259" s="53" t="str">
        <f t="shared" si="660"/>
        <v>89</v>
      </c>
      <c r="J259" s="53" t="str">
        <f t="shared" si="661"/>
        <v>0</v>
      </c>
      <c r="K259" s="155" t="str">
        <f t="shared" si="662"/>
        <v>0.00</v>
      </c>
      <c r="L259" s="156" t="str">
        <f t="shared" si="663"/>
        <v>0.00 </v>
      </c>
      <c r="M259" s="132">
        <v>90.0</v>
      </c>
      <c r="N259" s="325">
        <v>415.46</v>
      </c>
      <c r="O259" s="158">
        <v>1140.0</v>
      </c>
      <c r="P259" s="159" t="str">
        <f t="shared" si="664"/>
        <v>1,140.00</v>
      </c>
      <c r="Q259" s="160">
        <v>1100.0</v>
      </c>
      <c r="R259" s="161">
        <v>0.26</v>
      </c>
      <c r="S259" s="162" t="str">
        <f t="shared" si="665"/>
        <v>843.60</v>
      </c>
      <c r="T259" s="163" t="str">
        <f t="shared" si="666"/>
        <v>20.00</v>
      </c>
      <c r="U259" s="164" t="str">
        <f t="shared" si="667"/>
        <v>67.49</v>
      </c>
      <c r="V259" s="165" t="str">
        <f t="shared" si="668"/>
        <v>0.00</v>
      </c>
      <c r="W259" s="166">
        <v>0.41</v>
      </c>
      <c r="X259" s="167" t="str">
        <f t="shared" si="669"/>
        <v>76</v>
      </c>
      <c r="Y259" s="168" t="str">
        <f t="shared" si="670"/>
        <v>313.500</v>
      </c>
      <c r="Z259" s="168" t="str">
        <f t="shared" si="671"/>
        <v>18.306</v>
      </c>
      <c r="AA259" s="164" t="str">
        <f t="shared" si="672"/>
        <v>1.53</v>
      </c>
      <c r="AB259" s="164">
        <v>96.95</v>
      </c>
      <c r="AC259" s="164" t="str">
        <f t="shared" si="673"/>
        <v>4.80</v>
      </c>
      <c r="AD259" s="165" t="str">
        <f t="shared" si="674"/>
        <v>57.00</v>
      </c>
      <c r="AE259" s="23"/>
      <c r="AF259" s="169" t="str">
        <f t="shared" si="675"/>
        <v>10.2</v>
      </c>
      <c r="AG259" s="163" t="str">
        <f t="shared" si="676"/>
        <v>165.92</v>
      </c>
      <c r="AH259" s="170" t="str">
        <f t="shared" si="677"/>
        <v>39.94%</v>
      </c>
      <c r="AI259" s="26"/>
      <c r="AJ259" s="171" t="str">
        <f t="shared" si="678"/>
        <v>0.00%</v>
      </c>
      <c r="AK259" s="172" t="str">
        <f t="shared" si="679"/>
        <v>0.00</v>
      </c>
      <c r="AL259" s="173" t="str">
        <f t="shared" si="680"/>
        <v>920.96</v>
      </c>
      <c r="AM259" s="174" t="str">
        <f t="shared" si="681"/>
        <v>653.88</v>
      </c>
    </row>
    <row r="260" ht="12.75" customHeight="1">
      <c r="A260" s="26"/>
      <c r="B260" s="190" t="s">
        <v>531</v>
      </c>
      <c r="C260" s="199">
        <v>1.79611318E8</v>
      </c>
      <c r="D260" s="152" t="s">
        <v>532</v>
      </c>
      <c r="E260" s="53" t="s">
        <v>77</v>
      </c>
      <c r="F260" s="154"/>
      <c r="G260" s="53"/>
      <c r="H260" s="53" t="str">
        <f t="shared" si="659"/>
        <v>0.00069</v>
      </c>
      <c r="I260" s="53" t="str">
        <f t="shared" si="660"/>
        <v>89</v>
      </c>
      <c r="J260" s="53" t="str">
        <f t="shared" si="661"/>
        <v>0</v>
      </c>
      <c r="K260" s="155" t="str">
        <f t="shared" si="662"/>
        <v>0.00</v>
      </c>
      <c r="L260" s="156" t="str">
        <f t="shared" si="663"/>
        <v>0.00 </v>
      </c>
      <c r="M260" s="132">
        <v>90.0</v>
      </c>
      <c r="N260" s="325">
        <v>415.46</v>
      </c>
      <c r="O260" s="158">
        <v>1200.0</v>
      </c>
      <c r="P260" s="159" t="str">
        <f t="shared" si="664"/>
        <v>1,200.00</v>
      </c>
      <c r="Q260" s="160">
        <v>1105.0</v>
      </c>
      <c r="R260" s="161">
        <v>0.26</v>
      </c>
      <c r="S260" s="162" t="str">
        <f t="shared" si="665"/>
        <v>888.00</v>
      </c>
      <c r="T260" s="163" t="str">
        <f t="shared" si="666"/>
        <v>20.00</v>
      </c>
      <c r="U260" s="164" t="str">
        <f t="shared" si="667"/>
        <v>71.04</v>
      </c>
      <c r="V260" s="165" t="str">
        <f t="shared" si="668"/>
        <v>0.00</v>
      </c>
      <c r="W260" s="166">
        <v>0.41</v>
      </c>
      <c r="X260" s="167" t="str">
        <f t="shared" si="669"/>
        <v>76</v>
      </c>
      <c r="Y260" s="168" t="str">
        <f t="shared" si="670"/>
        <v>330.000</v>
      </c>
      <c r="Z260" s="168" t="str">
        <f t="shared" si="671"/>
        <v>19.270</v>
      </c>
      <c r="AA260" s="164" t="str">
        <f t="shared" si="672"/>
        <v>1.52</v>
      </c>
      <c r="AB260" s="164">
        <v>96.97</v>
      </c>
      <c r="AC260" s="164" t="str">
        <f t="shared" si="673"/>
        <v>4.80</v>
      </c>
      <c r="AD260" s="165" t="str">
        <f t="shared" si="674"/>
        <v>60.00</v>
      </c>
      <c r="AE260" s="23"/>
      <c r="AF260" s="169" t="str">
        <f t="shared" si="675"/>
        <v>10.2</v>
      </c>
      <c r="AG260" s="163" t="str">
        <f t="shared" si="676"/>
        <v>201.92</v>
      </c>
      <c r="AH260" s="170" t="str">
        <f t="shared" si="677"/>
        <v>48.60%</v>
      </c>
      <c r="AI260" s="26"/>
      <c r="AJ260" s="171" t="str">
        <f t="shared" si="678"/>
        <v>0.00%</v>
      </c>
      <c r="AK260" s="172" t="str">
        <f t="shared" si="679"/>
        <v>0.00</v>
      </c>
      <c r="AL260" s="173" t="str">
        <f t="shared" si="680"/>
        <v>920.94</v>
      </c>
      <c r="AM260" s="174" t="str">
        <f t="shared" si="681"/>
        <v>653.87</v>
      </c>
    </row>
    <row r="261" ht="12.75" customHeight="1">
      <c r="A261" s="26"/>
      <c r="B261" s="190" t="s">
        <v>533</v>
      </c>
      <c r="C261" s="199">
        <v>1.79611231E8</v>
      </c>
      <c r="D261" s="152" t="s">
        <v>534</v>
      </c>
      <c r="E261" s="53" t="s">
        <v>77</v>
      </c>
      <c r="F261" s="154"/>
      <c r="G261" s="53"/>
      <c r="H261" s="53" t="str">
        <f t="shared" si="659"/>
        <v>0.00069</v>
      </c>
      <c r="I261" s="53" t="str">
        <f t="shared" si="660"/>
        <v>89</v>
      </c>
      <c r="J261" s="53" t="str">
        <f t="shared" si="661"/>
        <v>0</v>
      </c>
      <c r="K261" s="155" t="str">
        <f t="shared" si="662"/>
        <v>0.00</v>
      </c>
      <c r="L261" s="156" t="str">
        <f t="shared" si="663"/>
        <v>0.00 </v>
      </c>
      <c r="M261" s="132">
        <v>90.0</v>
      </c>
      <c r="N261" s="325">
        <v>385.05</v>
      </c>
      <c r="O261" s="158">
        <v>1275.0</v>
      </c>
      <c r="P261" s="159" t="str">
        <f t="shared" si="664"/>
        <v>1,275.00</v>
      </c>
      <c r="Q261" s="160">
        <v>1230.0</v>
      </c>
      <c r="R261" s="161">
        <v>0.26</v>
      </c>
      <c r="S261" s="162" t="str">
        <f t="shared" si="665"/>
        <v>943.50</v>
      </c>
      <c r="T261" s="163" t="str">
        <f t="shared" si="666"/>
        <v>20.00</v>
      </c>
      <c r="U261" s="164" t="str">
        <f t="shared" si="667"/>
        <v>75.48</v>
      </c>
      <c r="V261" s="165" t="str">
        <f t="shared" si="668"/>
        <v>0.00</v>
      </c>
      <c r="W261" s="166">
        <v>0.41</v>
      </c>
      <c r="X261" s="167" t="str">
        <f t="shared" si="669"/>
        <v>76</v>
      </c>
      <c r="Y261" s="168" t="str">
        <f t="shared" si="670"/>
        <v>350.625</v>
      </c>
      <c r="Z261" s="168" t="str">
        <f t="shared" si="671"/>
        <v>20.474</v>
      </c>
      <c r="AA261" s="164" t="str">
        <f t="shared" si="672"/>
        <v>2.18</v>
      </c>
      <c r="AB261" s="164">
        <v>95.65</v>
      </c>
      <c r="AC261" s="164" t="str">
        <f t="shared" si="673"/>
        <v>4.80</v>
      </c>
      <c r="AD261" s="165" t="str">
        <f t="shared" si="674"/>
        <v>63.75</v>
      </c>
      <c r="AE261" s="23"/>
      <c r="AF261" s="169" t="str">
        <f t="shared" si="675"/>
        <v>10.2</v>
      </c>
      <c r="AG261" s="163" t="str">
        <f t="shared" si="676"/>
        <v>276.65</v>
      </c>
      <c r="AH261" s="170" t="str">
        <f t="shared" si="677"/>
        <v>71.85%</v>
      </c>
      <c r="AI261" s="26"/>
      <c r="AJ261" s="171" t="str">
        <f t="shared" si="678"/>
        <v>0.00%</v>
      </c>
      <c r="AK261" s="172" t="str">
        <f t="shared" si="679"/>
        <v>0.00</v>
      </c>
      <c r="AL261" s="173" t="str">
        <f t="shared" si="680"/>
        <v>869.05</v>
      </c>
      <c r="AM261" s="174" t="str">
        <f t="shared" si="681"/>
        <v>617.02</v>
      </c>
    </row>
    <row r="262" ht="12.75" customHeight="1">
      <c r="A262" s="26"/>
      <c r="B262" s="190" t="s">
        <v>535</v>
      </c>
      <c r="C262" s="199">
        <v>1.80711041E8</v>
      </c>
      <c r="D262" s="152" t="s">
        <v>536</v>
      </c>
      <c r="E262" s="53"/>
      <c r="F262" s="154"/>
      <c r="G262" s="53"/>
      <c r="H262" s="53" t="str">
        <f t="shared" si="659"/>
        <v>0.00069</v>
      </c>
      <c r="I262" s="53" t="str">
        <f t="shared" si="660"/>
        <v>89</v>
      </c>
      <c r="J262" s="53" t="str">
        <f t="shared" si="661"/>
        <v>0</v>
      </c>
      <c r="K262" s="155" t="str">
        <f t="shared" si="662"/>
        <v>0.00</v>
      </c>
      <c r="L262" s="156" t="str">
        <f t="shared" si="663"/>
        <v>0.00 </v>
      </c>
      <c r="M262" s="132">
        <v>90.0</v>
      </c>
      <c r="N262" s="325">
        <v>385.05</v>
      </c>
      <c r="O262" s="158">
        <v>1350.0</v>
      </c>
      <c r="P262" s="159" t="str">
        <f t="shared" si="664"/>
        <v>1,350.00</v>
      </c>
      <c r="Q262" s="160">
        <v>1351.0</v>
      </c>
      <c r="R262" s="161">
        <v>0.26</v>
      </c>
      <c r="S262" s="162" t="str">
        <f t="shared" si="665"/>
        <v>999.00</v>
      </c>
      <c r="T262" s="163" t="str">
        <f t="shared" si="666"/>
        <v>20.00</v>
      </c>
      <c r="U262" s="164" t="str">
        <f t="shared" si="667"/>
        <v>79.92</v>
      </c>
      <c r="V262" s="165" t="str">
        <f t="shared" si="668"/>
        <v>0.00</v>
      </c>
      <c r="W262" s="166">
        <v>0.41</v>
      </c>
      <c r="X262" s="167" t="str">
        <f t="shared" si="669"/>
        <v>76</v>
      </c>
      <c r="Y262" s="168" t="str">
        <f t="shared" si="670"/>
        <v>371.250</v>
      </c>
      <c r="Z262" s="168" t="str">
        <f t="shared" si="671"/>
        <v>21.678</v>
      </c>
      <c r="AA262" s="164" t="str">
        <f t="shared" si="672"/>
        <v>1.32</v>
      </c>
      <c r="AB262" s="164">
        <v>97.37</v>
      </c>
      <c r="AC262" s="164" t="str">
        <f t="shared" si="673"/>
        <v>4.80</v>
      </c>
      <c r="AD262" s="165" t="str">
        <f t="shared" si="674"/>
        <v>67.50</v>
      </c>
      <c r="AE262" s="23"/>
      <c r="AF262" s="169" t="str">
        <f t="shared" si="675"/>
        <v>10.2</v>
      </c>
      <c r="AG262" s="163" t="str">
        <f t="shared" si="676"/>
        <v>322.49</v>
      </c>
      <c r="AH262" s="170" t="str">
        <f t="shared" si="677"/>
        <v>83.75%</v>
      </c>
      <c r="AI262" s="26"/>
      <c r="AJ262" s="171" t="str">
        <f t="shared" si="678"/>
        <v>0.00%</v>
      </c>
      <c r="AK262" s="172" t="str">
        <f t="shared" si="679"/>
        <v>0.00</v>
      </c>
      <c r="AL262" s="173" t="str">
        <f t="shared" si="680"/>
        <v>867.55</v>
      </c>
      <c r="AM262" s="174" t="str">
        <f t="shared" si="681"/>
        <v>615.96</v>
      </c>
    </row>
    <row r="263" ht="12.75" customHeight="1">
      <c r="A263" s="26"/>
      <c r="B263" s="190" t="s">
        <v>537</v>
      </c>
      <c r="C263" s="199">
        <v>1.80711104E8</v>
      </c>
      <c r="D263" s="152" t="s">
        <v>538</v>
      </c>
      <c r="E263" s="53" t="s">
        <v>77</v>
      </c>
      <c r="F263" s="154"/>
      <c r="G263" s="53"/>
      <c r="H263" s="53" t="str">
        <f t="shared" si="659"/>
        <v>0.00069</v>
      </c>
      <c r="I263" s="53" t="str">
        <f t="shared" si="660"/>
        <v>89</v>
      </c>
      <c r="J263" s="53" t="str">
        <f t="shared" si="661"/>
        <v>0</v>
      </c>
      <c r="K263" s="155" t="str">
        <f t="shared" si="662"/>
        <v>0.00</v>
      </c>
      <c r="L263" s="156" t="str">
        <f t="shared" si="663"/>
        <v>0.00 </v>
      </c>
      <c r="M263" s="132">
        <v>90.0</v>
      </c>
      <c r="N263" s="325">
        <v>415.46</v>
      </c>
      <c r="O263" s="158">
        <v>1139.04</v>
      </c>
      <c r="P263" s="159" t="str">
        <f t="shared" si="664"/>
        <v>1,139.04</v>
      </c>
      <c r="Q263" s="160">
        <v>1118.0</v>
      </c>
      <c r="R263" s="161">
        <v>0.26</v>
      </c>
      <c r="S263" s="162" t="str">
        <f t="shared" si="665"/>
        <v>842.89</v>
      </c>
      <c r="T263" s="163" t="str">
        <f t="shared" si="666"/>
        <v>20.00</v>
      </c>
      <c r="U263" s="164" t="str">
        <f t="shared" si="667"/>
        <v>67.43</v>
      </c>
      <c r="V263" s="165" t="str">
        <f t="shared" si="668"/>
        <v>0.00</v>
      </c>
      <c r="W263" s="166">
        <v>0.41</v>
      </c>
      <c r="X263" s="167" t="str">
        <f t="shared" si="669"/>
        <v>76</v>
      </c>
      <c r="Y263" s="168" t="str">
        <f t="shared" si="670"/>
        <v>313.236</v>
      </c>
      <c r="Z263" s="168" t="str">
        <f t="shared" si="671"/>
        <v>18.291</v>
      </c>
      <c r="AA263" s="164" t="str">
        <f t="shared" si="672"/>
        <v>1.82</v>
      </c>
      <c r="AB263" s="164">
        <v>96.36</v>
      </c>
      <c r="AC263" s="164" t="str">
        <f t="shared" si="673"/>
        <v>4.80</v>
      </c>
      <c r="AD263" s="165" t="str">
        <f t="shared" si="674"/>
        <v>56.95</v>
      </c>
      <c r="AE263" s="23"/>
      <c r="AF263" s="169" t="str">
        <f t="shared" si="675"/>
        <v>10.2</v>
      </c>
      <c r="AG263" s="163" t="str">
        <f t="shared" si="676"/>
        <v>165.05</v>
      </c>
      <c r="AH263" s="170" t="str">
        <f t="shared" si="677"/>
        <v>39.73%</v>
      </c>
      <c r="AI263" s="26"/>
      <c r="AJ263" s="171" t="str">
        <f t="shared" si="678"/>
        <v>0.00%</v>
      </c>
      <c r="AK263" s="172" t="str">
        <f t="shared" si="679"/>
        <v>0.00</v>
      </c>
      <c r="AL263" s="173" t="str">
        <f t="shared" si="680"/>
        <v>921.47</v>
      </c>
      <c r="AM263" s="174" t="str">
        <f t="shared" si="681"/>
        <v>654.25</v>
      </c>
    </row>
    <row r="264" ht="12.75" customHeight="1">
      <c r="A264" s="26"/>
      <c r="B264" s="190" t="s">
        <v>539</v>
      </c>
      <c r="C264" s="199">
        <v>1.79611207E8</v>
      </c>
      <c r="D264" s="152" t="s">
        <v>540</v>
      </c>
      <c r="E264" s="53" t="s">
        <v>77</v>
      </c>
      <c r="F264" s="154"/>
      <c r="G264" s="53"/>
      <c r="H264" s="53" t="str">
        <f t="shared" si="659"/>
        <v>0.00069</v>
      </c>
      <c r="I264" s="53" t="str">
        <f t="shared" si="660"/>
        <v>89</v>
      </c>
      <c r="J264" s="53" t="str">
        <f t="shared" si="661"/>
        <v>0</v>
      </c>
      <c r="K264" s="155" t="str">
        <f t="shared" si="662"/>
        <v>0.00</v>
      </c>
      <c r="L264" s="156" t="str">
        <f t="shared" si="663"/>
        <v>0.00 </v>
      </c>
      <c r="M264" s="132">
        <v>90.0</v>
      </c>
      <c r="N264" s="325">
        <v>415.46</v>
      </c>
      <c r="O264" s="158">
        <v>1117.5</v>
      </c>
      <c r="P264" s="159" t="str">
        <f t="shared" si="664"/>
        <v>1,117.50</v>
      </c>
      <c r="Q264" s="160">
        <v>1080.0</v>
      </c>
      <c r="R264" s="161">
        <v>0.26</v>
      </c>
      <c r="S264" s="162" t="str">
        <f t="shared" si="665"/>
        <v>826.95</v>
      </c>
      <c r="T264" s="163" t="str">
        <f t="shared" si="666"/>
        <v>20.00</v>
      </c>
      <c r="U264" s="164" t="str">
        <f t="shared" si="667"/>
        <v>66.16</v>
      </c>
      <c r="V264" s="165" t="str">
        <f t="shared" si="668"/>
        <v>0.00</v>
      </c>
      <c r="W264" s="166">
        <v>0.41</v>
      </c>
      <c r="X264" s="167" t="str">
        <f t="shared" si="669"/>
        <v>76</v>
      </c>
      <c r="Y264" s="168" t="str">
        <f t="shared" si="670"/>
        <v>307.313</v>
      </c>
      <c r="Z264" s="168" t="str">
        <f t="shared" si="671"/>
        <v>17.945</v>
      </c>
      <c r="AA264" s="164" t="str">
        <f t="shared" si="672"/>
        <v>1.22</v>
      </c>
      <c r="AB264" s="164">
        <v>97.56</v>
      </c>
      <c r="AC264" s="164" t="str">
        <f t="shared" si="673"/>
        <v>4.80</v>
      </c>
      <c r="AD264" s="165" t="str">
        <f t="shared" si="674"/>
        <v>55.88</v>
      </c>
      <c r="AE264" s="23"/>
      <c r="AF264" s="169" t="str">
        <f t="shared" si="675"/>
        <v>10.2</v>
      </c>
      <c r="AG264" s="163" t="str">
        <f t="shared" si="676"/>
        <v>152.73</v>
      </c>
      <c r="AH264" s="170" t="str">
        <f t="shared" si="677"/>
        <v>36.76%</v>
      </c>
      <c r="AI264" s="26"/>
      <c r="AJ264" s="171" t="str">
        <f t="shared" si="678"/>
        <v>0.00%</v>
      </c>
      <c r="AK264" s="172" t="str">
        <f t="shared" si="679"/>
        <v>0.00</v>
      </c>
      <c r="AL264" s="173" t="str">
        <f t="shared" si="680"/>
        <v>920.43</v>
      </c>
      <c r="AM264" s="174" t="str">
        <f t="shared" si="681"/>
        <v>653.50</v>
      </c>
    </row>
    <row r="265" ht="12.75" customHeight="1">
      <c r="A265" s="26"/>
      <c r="B265" s="190" t="s">
        <v>541</v>
      </c>
      <c r="C265" s="199">
        <v>1.80987509E8</v>
      </c>
      <c r="D265" s="152" t="s">
        <v>542</v>
      </c>
      <c r="E265" s="53" t="s">
        <v>77</v>
      </c>
      <c r="F265" s="154"/>
      <c r="G265" s="53"/>
      <c r="H265" s="53" t="str">
        <f t="shared" si="659"/>
        <v>0.00069</v>
      </c>
      <c r="I265" s="53" t="str">
        <f t="shared" si="660"/>
        <v>89</v>
      </c>
      <c r="J265" s="53" t="str">
        <f t="shared" si="661"/>
        <v>0</v>
      </c>
      <c r="K265" s="155" t="str">
        <f t="shared" si="662"/>
        <v>0.00</v>
      </c>
      <c r="L265" s="156" t="str">
        <f t="shared" si="663"/>
        <v>0.00 </v>
      </c>
      <c r="M265" s="132">
        <v>90.0</v>
      </c>
      <c r="N265" s="325">
        <v>486.69</v>
      </c>
      <c r="O265" s="158">
        <v>1201.0</v>
      </c>
      <c r="P265" s="159" t="str">
        <f t="shared" si="664"/>
        <v>1,201.00</v>
      </c>
      <c r="Q265" s="160">
        <v>1119.0</v>
      </c>
      <c r="R265" s="161">
        <v>0.26</v>
      </c>
      <c r="S265" s="162" t="str">
        <f t="shared" si="665"/>
        <v>888.74</v>
      </c>
      <c r="T265" s="163" t="str">
        <f t="shared" si="666"/>
        <v>20.00</v>
      </c>
      <c r="U265" s="164" t="str">
        <f t="shared" si="667"/>
        <v>71.10</v>
      </c>
      <c r="V265" s="165" t="str">
        <f t="shared" si="668"/>
        <v>0.00</v>
      </c>
      <c r="W265" s="166">
        <v>0.66</v>
      </c>
      <c r="X265" s="167" t="str">
        <f t="shared" si="669"/>
        <v>76</v>
      </c>
      <c r="Y265" s="168" t="str">
        <f t="shared" si="670"/>
        <v>330.275</v>
      </c>
      <c r="Z265" s="168" t="str">
        <f t="shared" si="671"/>
        <v>19.286</v>
      </c>
      <c r="AA265" s="164" t="str">
        <f t="shared" si="672"/>
        <v>1.37</v>
      </c>
      <c r="AB265" s="164">
        <v>97.26</v>
      </c>
      <c r="AC265" s="164" t="str">
        <f t="shared" si="673"/>
        <v>4.80</v>
      </c>
      <c r="AD265" s="165" t="str">
        <f t="shared" si="674"/>
        <v>60.05</v>
      </c>
      <c r="AE265" s="23"/>
      <c r="AF265" s="169" t="str">
        <f t="shared" si="675"/>
        <v>10.2</v>
      </c>
      <c r="AG265" s="163" t="str">
        <f t="shared" si="676"/>
        <v>131.43</v>
      </c>
      <c r="AH265" s="170" t="str">
        <f t="shared" si="677"/>
        <v>27.00%</v>
      </c>
      <c r="AI265" s="26"/>
      <c r="AJ265" s="171" t="str">
        <f t="shared" si="678"/>
        <v>0.00%</v>
      </c>
      <c r="AK265" s="172" t="str">
        <f t="shared" si="679"/>
        <v>0.00</v>
      </c>
      <c r="AL265" s="173" t="str">
        <f t="shared" si="680"/>
        <v>1,044.93</v>
      </c>
      <c r="AM265" s="174" t="str">
        <f t="shared" si="681"/>
        <v>741.90</v>
      </c>
    </row>
    <row r="266" ht="12.75" customHeight="1">
      <c r="A266" s="26"/>
      <c r="B266" s="190" t="s">
        <v>543</v>
      </c>
      <c r="C266" s="216"/>
      <c r="D266" s="152" t="s">
        <v>544</v>
      </c>
      <c r="E266" s="53" t="s">
        <v>77</v>
      </c>
      <c r="F266" s="154"/>
      <c r="G266" s="53"/>
      <c r="H266" s="53" t="str">
        <f t="shared" si="659"/>
        <v>0.00069</v>
      </c>
      <c r="I266" s="53" t="str">
        <f t="shared" si="660"/>
        <v>89</v>
      </c>
      <c r="J266" s="53" t="str">
        <f t="shared" si="661"/>
        <v>0</v>
      </c>
      <c r="K266" s="155" t="str">
        <f t="shared" si="662"/>
        <v>0.00</v>
      </c>
      <c r="L266" s="156" t="str">
        <f t="shared" si="663"/>
        <v>0.00 </v>
      </c>
      <c r="M266" s="132">
        <v>90.0</v>
      </c>
      <c r="N266" s="325" t="str">
        <f t="shared" ref="N266:N267" si="682">L266/F266</f>
        <v>#DIV/0!</v>
      </c>
      <c r="O266" s="158"/>
      <c r="P266" s="159" t="str">
        <f t="shared" ref="P266:P267" si="683">AL266</f>
        <v>#DIV/0!</v>
      </c>
      <c r="Q266" s="160"/>
      <c r="R266" s="161">
        <v>0.26</v>
      </c>
      <c r="S266" s="162" t="str">
        <f t="shared" si="665"/>
        <v>0.00</v>
      </c>
      <c r="T266" s="163">
        <v>0.0</v>
      </c>
      <c r="U266" s="164" t="str">
        <f t="shared" si="667"/>
        <v>0.00</v>
      </c>
      <c r="V266" s="165" t="str">
        <f t="shared" si="668"/>
        <v>#DIV/0!</v>
      </c>
      <c r="W266" s="166"/>
      <c r="X266" s="167"/>
      <c r="Y266" s="168" t="str">
        <f t="shared" si="670"/>
        <v>0.000</v>
      </c>
      <c r="Z266" s="168" t="str">
        <f t="shared" si="671"/>
        <v>0.000</v>
      </c>
      <c r="AA266" s="164" t="str">
        <f t="shared" si="672"/>
        <v>0.00</v>
      </c>
      <c r="AB266" s="164">
        <v>100.0</v>
      </c>
      <c r="AC266" s="164" t="str">
        <f t="shared" si="673"/>
        <v>0.00</v>
      </c>
      <c r="AD266" s="165" t="str">
        <f t="shared" si="674"/>
        <v>0.00</v>
      </c>
      <c r="AE266" s="23"/>
      <c r="AF266" s="169" t="str">
        <f t="shared" si="675"/>
        <v>0</v>
      </c>
      <c r="AG266" s="163" t="str">
        <f t="shared" si="676"/>
        <v>#DIV/0!</v>
      </c>
      <c r="AH266" s="170" t="str">
        <f t="shared" si="677"/>
        <v>#DIV/0!</v>
      </c>
      <c r="AI266" s="26"/>
      <c r="AJ266" s="171" t="str">
        <f t="shared" si="678"/>
        <v>0.00%</v>
      </c>
      <c r="AK266" s="172" t="str">
        <f t="shared" si="679"/>
        <v>#DIV/0!</v>
      </c>
      <c r="AL266" s="173" t="str">
        <f t="shared" si="680"/>
        <v>#DIV/0!</v>
      </c>
      <c r="AM266" s="174" t="str">
        <f t="shared" si="681"/>
        <v>#DIV/0!</v>
      </c>
    </row>
    <row r="267" ht="12.75" customHeight="1">
      <c r="A267" s="26"/>
      <c r="B267" s="190" t="s">
        <v>545</v>
      </c>
      <c r="C267" s="216"/>
      <c r="D267" s="152" t="s">
        <v>546</v>
      </c>
      <c r="E267" s="53" t="s">
        <v>77</v>
      </c>
      <c r="F267" s="154"/>
      <c r="G267" s="53"/>
      <c r="H267" s="53" t="str">
        <f t="shared" si="659"/>
        <v>0.00069</v>
      </c>
      <c r="I267" s="53" t="str">
        <f t="shared" si="660"/>
        <v>89</v>
      </c>
      <c r="J267" s="53" t="str">
        <f t="shared" si="661"/>
        <v>0</v>
      </c>
      <c r="K267" s="155" t="str">
        <f t="shared" si="662"/>
        <v>0.00</v>
      </c>
      <c r="L267" s="156" t="str">
        <f t="shared" si="663"/>
        <v>0.00 </v>
      </c>
      <c r="M267" s="132">
        <v>90.0</v>
      </c>
      <c r="N267" s="325" t="str">
        <f t="shared" si="682"/>
        <v>#DIV/0!</v>
      </c>
      <c r="O267" s="158"/>
      <c r="P267" s="159" t="str">
        <f t="shared" si="683"/>
        <v>#DIV/0!</v>
      </c>
      <c r="Q267" s="160"/>
      <c r="R267" s="161">
        <v>0.26</v>
      </c>
      <c r="S267" s="162" t="str">
        <f t="shared" si="665"/>
        <v>0.00</v>
      </c>
      <c r="T267" s="163">
        <v>0.0</v>
      </c>
      <c r="U267" s="164" t="str">
        <f t="shared" si="667"/>
        <v>0.00</v>
      </c>
      <c r="V267" s="165" t="str">
        <f t="shared" si="668"/>
        <v>#DIV/0!</v>
      </c>
      <c r="W267" s="166"/>
      <c r="X267" s="167"/>
      <c r="Y267" s="168" t="str">
        <f t="shared" si="670"/>
        <v>0.000</v>
      </c>
      <c r="Z267" s="168" t="str">
        <f t="shared" si="671"/>
        <v>0.000</v>
      </c>
      <c r="AA267" s="164" t="str">
        <f t="shared" si="672"/>
        <v>0.00</v>
      </c>
      <c r="AB267" s="164">
        <v>100.0</v>
      </c>
      <c r="AC267" s="164" t="str">
        <f t="shared" si="673"/>
        <v>0.00</v>
      </c>
      <c r="AD267" s="165" t="str">
        <f t="shared" si="674"/>
        <v>0.00</v>
      </c>
      <c r="AE267" s="23"/>
      <c r="AF267" s="169" t="str">
        <f t="shared" si="675"/>
        <v>0</v>
      </c>
      <c r="AG267" s="163" t="str">
        <f t="shared" si="676"/>
        <v>#DIV/0!</v>
      </c>
      <c r="AH267" s="170" t="str">
        <f t="shared" si="677"/>
        <v>#DIV/0!</v>
      </c>
      <c r="AI267" s="26"/>
      <c r="AJ267" s="171" t="str">
        <f t="shared" si="678"/>
        <v>0.00%</v>
      </c>
      <c r="AK267" s="172" t="str">
        <f t="shared" si="679"/>
        <v>#DIV/0!</v>
      </c>
      <c r="AL267" s="173" t="str">
        <f t="shared" si="680"/>
        <v>#DIV/0!</v>
      </c>
      <c r="AM267" s="174" t="str">
        <f t="shared" si="681"/>
        <v>#DIV/0!</v>
      </c>
    </row>
    <row r="268" ht="12.75" customHeight="1">
      <c r="A268" s="26"/>
      <c r="B268" s="125" t="s">
        <v>547</v>
      </c>
      <c r="C268" s="126"/>
      <c r="D268" s="127"/>
      <c r="E268" s="128"/>
      <c r="F268" s="129"/>
      <c r="G268" s="128"/>
      <c r="H268" s="197"/>
      <c r="I268" s="197"/>
      <c r="J268" s="128"/>
      <c r="K268" s="130"/>
      <c r="L268" s="131"/>
      <c r="M268" s="132"/>
      <c r="N268" s="320"/>
      <c r="O268" s="134"/>
      <c r="P268" s="135"/>
      <c r="Q268" s="135"/>
      <c r="R268" s="136"/>
      <c r="S268" s="137"/>
      <c r="T268" s="177"/>
      <c r="U268" s="178"/>
      <c r="V268" s="179"/>
      <c r="W268" s="180"/>
      <c r="X268" s="181"/>
      <c r="Y268" s="182"/>
      <c r="Z268" s="182"/>
      <c r="AA268" s="178"/>
      <c r="AB268" s="178"/>
      <c r="AC268" s="178"/>
      <c r="AD268" s="179"/>
      <c r="AE268" s="183"/>
      <c r="AF268" s="184"/>
      <c r="AG268" s="177"/>
      <c r="AH268" s="185"/>
      <c r="AI268" s="26"/>
      <c r="AJ268" s="186"/>
      <c r="AK268" s="187"/>
      <c r="AL268" s="188"/>
      <c r="AM268" s="189"/>
    </row>
    <row r="269" ht="12.75" customHeight="1">
      <c r="A269" s="26"/>
      <c r="B269" s="190" t="s">
        <v>548</v>
      </c>
      <c r="C269" s="199">
        <v>2.26115324E8</v>
      </c>
      <c r="D269" s="152" t="s">
        <v>549</v>
      </c>
      <c r="E269" s="53" t="s">
        <v>372</v>
      </c>
      <c r="F269" s="154"/>
      <c r="G269" s="53"/>
      <c r="H269" s="53" t="str">
        <f t="shared" ref="H269:H276" si="684">$I$2</f>
        <v>0.00069</v>
      </c>
      <c r="I269" s="53" t="str">
        <f t="shared" ref="I269:I276" si="685">$I$3</f>
        <v>89</v>
      </c>
      <c r="J269" s="53" t="str">
        <f t="shared" ref="J269:J276" si="686">G269*H269*I269*F269</f>
        <v>0</v>
      </c>
      <c r="K269" s="155" t="str">
        <f t="shared" ref="K269:K276" si="687">J269*$J$4</f>
        <v>0.00</v>
      </c>
      <c r="L269" s="156" t="str">
        <f t="shared" ref="L269:L276" si="688">K269+J269</f>
        <v>0.00 </v>
      </c>
      <c r="M269" s="132">
        <v>90.0</v>
      </c>
      <c r="N269" s="325">
        <v>479.27</v>
      </c>
      <c r="O269" s="158">
        <v>1440.0</v>
      </c>
      <c r="P269" s="159" t="str">
        <f t="shared" ref="P269:P275" si="689">O269</f>
        <v>1,440.00</v>
      </c>
      <c r="Q269" s="160">
        <v>1406.0</v>
      </c>
      <c r="R269" s="161">
        <v>0.26</v>
      </c>
      <c r="S269" s="162" t="str">
        <f t="shared" ref="S269:S276" si="690">O269-(O269*R269)</f>
        <v>1,065.60</v>
      </c>
      <c r="T269" s="163" t="str">
        <f t="shared" ref="T269:T276" si="691">$C$1</f>
        <v>20.00</v>
      </c>
      <c r="U269" s="164" t="str">
        <f t="shared" ref="U269:U276" si="692">S269*$C$8</f>
        <v>85.25</v>
      </c>
      <c r="V269" s="165" t="str">
        <f t="shared" ref="V269:V276" si="693">N269*$C$3*(M269/30)</f>
        <v>0.00</v>
      </c>
      <c r="W269" s="166">
        <v>0.86</v>
      </c>
      <c r="X269" s="167" t="str">
        <f t="shared" ref="X269:X276" si="694">((_xlfn.CEILING.MATH(W269)-1)*$C$5+$C$4)</f>
        <v>76</v>
      </c>
      <c r="Y269" s="168" t="str">
        <f t="shared" ref="Y269:Y276" si="695">O269*$Y$6</f>
        <v>396.000</v>
      </c>
      <c r="Z269" s="168" t="str">
        <f t="shared" ref="Z269:Z276" si="696">S269*$Y$7</f>
        <v>23.124</v>
      </c>
      <c r="AA269" s="164" t="str">
        <f t="shared" ref="AA269:AA276" si="697">$Y$3*((100-AB269)/100)</f>
        <v>7.15</v>
      </c>
      <c r="AB269" s="164">
        <v>85.71</v>
      </c>
      <c r="AC269" s="164" t="str">
        <f t="shared" ref="AC269:AC276" si="698">$C$6*$C$7*_xlfn.CEILING.MATH(W269)</f>
        <v>4.80</v>
      </c>
      <c r="AD269" s="165" t="str">
        <f t="shared" ref="AD269:AD276" si="699">O269*$C$2</f>
        <v>72.00</v>
      </c>
      <c r="AE269" s="23"/>
      <c r="AF269" s="169" t="str">
        <f t="shared" ref="AF269:AF276" si="700">(_xlfn.CEILING.MATH(W269))*$Y$1*$AD$2</f>
        <v>10.2</v>
      </c>
      <c r="AG269" s="163" t="str">
        <f t="shared" ref="AG269:AG276" si="701">O269-T269-U269-V269-X269-Y269-Z269-AA269-AC269-AD269-N269</f>
        <v>276.41</v>
      </c>
      <c r="AH269" s="170" t="str">
        <f t="shared" ref="AH269:AH276" si="702">AG269/N269</f>
        <v>57.67%</v>
      </c>
      <c r="AI269" s="26"/>
      <c r="AJ269" s="171" t="str">
        <f t="shared" ref="AJ269:AJ276" si="703">$AD$3</f>
        <v>0.00%</v>
      </c>
      <c r="AK269" s="172" t="str">
        <f t="shared" ref="AK269:AK276" si="704">N269*AJ269</f>
        <v>0.00</v>
      </c>
      <c r="AL269" s="173" t="str">
        <f t="shared" ref="AL269:AL276" si="705">(N269+T269+V269+X269+AA269+AC269+AF269+AK269)/(100%-($C$2+$C$8+$Y$6+$Y$7))</f>
        <v>1,042.06</v>
      </c>
      <c r="AM269" s="174" t="str">
        <f t="shared" ref="AM269:AM276" si="706">AL269-(AL269*$AD$1)</f>
        <v>739.87</v>
      </c>
    </row>
    <row r="270" ht="12.75" customHeight="1">
      <c r="A270" s="26"/>
      <c r="B270" s="190" t="s">
        <v>550</v>
      </c>
      <c r="C270" s="199">
        <v>2.26114831E8</v>
      </c>
      <c r="D270" s="152" t="s">
        <v>551</v>
      </c>
      <c r="E270" s="53" t="s">
        <v>372</v>
      </c>
      <c r="F270" s="154"/>
      <c r="G270" s="53"/>
      <c r="H270" s="53" t="str">
        <f t="shared" si="684"/>
        <v>0.00069</v>
      </c>
      <c r="I270" s="53" t="str">
        <f t="shared" si="685"/>
        <v>89</v>
      </c>
      <c r="J270" s="53" t="str">
        <f t="shared" si="686"/>
        <v>0</v>
      </c>
      <c r="K270" s="155" t="str">
        <f t="shared" si="687"/>
        <v>0.00</v>
      </c>
      <c r="L270" s="156" t="str">
        <f t="shared" si="688"/>
        <v>0.00 </v>
      </c>
      <c r="M270" s="132">
        <v>90.0</v>
      </c>
      <c r="N270" s="325">
        <v>479.27</v>
      </c>
      <c r="O270" s="158">
        <v>1455.0</v>
      </c>
      <c r="P270" s="159" t="str">
        <f t="shared" si="689"/>
        <v>1,455.00</v>
      </c>
      <c r="Q270" s="160">
        <v>1425.0</v>
      </c>
      <c r="R270" s="161">
        <v>0.26</v>
      </c>
      <c r="S270" s="162" t="str">
        <f t="shared" si="690"/>
        <v>1,076.70</v>
      </c>
      <c r="T270" s="163" t="str">
        <f t="shared" si="691"/>
        <v>20.00</v>
      </c>
      <c r="U270" s="164" t="str">
        <f t="shared" si="692"/>
        <v>86.14</v>
      </c>
      <c r="V270" s="165" t="str">
        <f t="shared" si="693"/>
        <v>0.00</v>
      </c>
      <c r="W270" s="166">
        <v>0.86</v>
      </c>
      <c r="X270" s="167" t="str">
        <f t="shared" si="694"/>
        <v>76</v>
      </c>
      <c r="Y270" s="168" t="str">
        <f t="shared" si="695"/>
        <v>400.125</v>
      </c>
      <c r="Z270" s="168" t="str">
        <f t="shared" si="696"/>
        <v>23.364</v>
      </c>
      <c r="AA270" s="164" t="str">
        <f t="shared" si="697"/>
        <v>2.95</v>
      </c>
      <c r="AB270" s="164">
        <v>94.1</v>
      </c>
      <c r="AC270" s="164" t="str">
        <f t="shared" si="698"/>
        <v>4.80</v>
      </c>
      <c r="AD270" s="165" t="str">
        <f t="shared" si="699"/>
        <v>72.75</v>
      </c>
      <c r="AE270" s="23"/>
      <c r="AF270" s="169" t="str">
        <f t="shared" si="700"/>
        <v>10.2</v>
      </c>
      <c r="AG270" s="163" t="str">
        <f t="shared" si="701"/>
        <v>289.60</v>
      </c>
      <c r="AH270" s="170" t="str">
        <f t="shared" si="702"/>
        <v>60.43%</v>
      </c>
      <c r="AI270" s="26"/>
      <c r="AJ270" s="171" t="str">
        <f t="shared" si="703"/>
        <v>0.00%</v>
      </c>
      <c r="AK270" s="172" t="str">
        <f t="shared" si="704"/>
        <v>0.00</v>
      </c>
      <c r="AL270" s="173" t="str">
        <f t="shared" si="705"/>
        <v>1,034.75</v>
      </c>
      <c r="AM270" s="174" t="str">
        <f t="shared" si="706"/>
        <v>734.67</v>
      </c>
    </row>
    <row r="271" ht="12.75" customHeight="1">
      <c r="A271" s="26"/>
      <c r="B271" s="190" t="s">
        <v>552</v>
      </c>
      <c r="C271" s="199">
        <v>2.26115478E8</v>
      </c>
      <c r="D271" s="152" t="s">
        <v>553</v>
      </c>
      <c r="E271" s="53" t="s">
        <v>372</v>
      </c>
      <c r="F271" s="154"/>
      <c r="G271" s="53"/>
      <c r="H271" s="53" t="str">
        <f t="shared" si="684"/>
        <v>0.00069</v>
      </c>
      <c r="I271" s="53" t="str">
        <f t="shared" si="685"/>
        <v>89</v>
      </c>
      <c r="J271" s="53" t="str">
        <f t="shared" si="686"/>
        <v>0</v>
      </c>
      <c r="K271" s="155" t="str">
        <f t="shared" si="687"/>
        <v>0.00</v>
      </c>
      <c r="L271" s="156" t="str">
        <f t="shared" si="688"/>
        <v>0.00 </v>
      </c>
      <c r="M271" s="132">
        <v>90.0</v>
      </c>
      <c r="N271" s="325">
        <v>474.28</v>
      </c>
      <c r="O271" s="158">
        <v>1410.0</v>
      </c>
      <c r="P271" s="159" t="str">
        <f t="shared" si="689"/>
        <v>1,410.00</v>
      </c>
      <c r="Q271" s="160">
        <v>1400.0</v>
      </c>
      <c r="R271" s="161">
        <v>0.26</v>
      </c>
      <c r="S271" s="162" t="str">
        <f t="shared" si="690"/>
        <v>1,043.40</v>
      </c>
      <c r="T271" s="163" t="str">
        <f t="shared" si="691"/>
        <v>20.00</v>
      </c>
      <c r="U271" s="164" t="str">
        <f t="shared" si="692"/>
        <v>83.47</v>
      </c>
      <c r="V271" s="165" t="str">
        <f t="shared" si="693"/>
        <v>0.00</v>
      </c>
      <c r="W271" s="166">
        <v>0.86</v>
      </c>
      <c r="X271" s="167" t="str">
        <f t="shared" si="694"/>
        <v>76</v>
      </c>
      <c r="Y271" s="168" t="str">
        <f t="shared" si="695"/>
        <v>387.750</v>
      </c>
      <c r="Z271" s="168" t="str">
        <f t="shared" si="696"/>
        <v>22.642</v>
      </c>
      <c r="AA271" s="164" t="str">
        <f t="shared" si="697"/>
        <v>0.85</v>
      </c>
      <c r="AB271" s="164">
        <v>98.29</v>
      </c>
      <c r="AC271" s="164" t="str">
        <f t="shared" si="698"/>
        <v>4.80</v>
      </c>
      <c r="AD271" s="165" t="str">
        <f t="shared" si="699"/>
        <v>70.50</v>
      </c>
      <c r="AE271" s="23"/>
      <c r="AF271" s="169" t="str">
        <f t="shared" si="700"/>
        <v>10.2</v>
      </c>
      <c r="AG271" s="163" t="str">
        <f t="shared" si="701"/>
        <v>269.70</v>
      </c>
      <c r="AH271" s="170" t="str">
        <f t="shared" si="702"/>
        <v>56.87%</v>
      </c>
      <c r="AI271" s="26"/>
      <c r="AJ271" s="171" t="str">
        <f t="shared" si="703"/>
        <v>0.00%</v>
      </c>
      <c r="AK271" s="172" t="str">
        <f t="shared" si="704"/>
        <v>0.00</v>
      </c>
      <c r="AL271" s="173" t="str">
        <f t="shared" si="705"/>
        <v>1,022.39</v>
      </c>
      <c r="AM271" s="174" t="str">
        <f t="shared" si="706"/>
        <v>725.90</v>
      </c>
    </row>
    <row r="272" ht="12.75" customHeight="1">
      <c r="A272" s="26"/>
      <c r="B272" s="190" t="s">
        <v>554</v>
      </c>
      <c r="C272" s="199">
        <v>2.26115248E8</v>
      </c>
      <c r="D272" s="152" t="s">
        <v>555</v>
      </c>
      <c r="E272" s="53" t="s">
        <v>372</v>
      </c>
      <c r="F272" s="154"/>
      <c r="G272" s="53"/>
      <c r="H272" s="53" t="str">
        <f t="shared" si="684"/>
        <v>0.00069</v>
      </c>
      <c r="I272" s="53" t="str">
        <f t="shared" si="685"/>
        <v>89</v>
      </c>
      <c r="J272" s="53" t="str">
        <f t="shared" si="686"/>
        <v>0</v>
      </c>
      <c r="K272" s="155" t="str">
        <f t="shared" si="687"/>
        <v>0.00</v>
      </c>
      <c r="L272" s="156" t="str">
        <f t="shared" si="688"/>
        <v>0.00 </v>
      </c>
      <c r="M272" s="132">
        <v>90.0</v>
      </c>
      <c r="N272" s="325">
        <v>479.27</v>
      </c>
      <c r="O272" s="158">
        <v>1363.8</v>
      </c>
      <c r="P272" s="159" t="str">
        <f t="shared" si="689"/>
        <v>1,363.80</v>
      </c>
      <c r="Q272" s="160">
        <v>1346.0</v>
      </c>
      <c r="R272" s="161">
        <v>0.26</v>
      </c>
      <c r="S272" s="162" t="str">
        <f t="shared" si="690"/>
        <v>1,009.21</v>
      </c>
      <c r="T272" s="163" t="str">
        <f t="shared" si="691"/>
        <v>20.00</v>
      </c>
      <c r="U272" s="164" t="str">
        <f t="shared" si="692"/>
        <v>80.74</v>
      </c>
      <c r="V272" s="165" t="str">
        <f t="shared" si="693"/>
        <v>0.00</v>
      </c>
      <c r="W272" s="166">
        <v>0.86</v>
      </c>
      <c r="X272" s="167" t="str">
        <f t="shared" si="694"/>
        <v>76</v>
      </c>
      <c r="Y272" s="168" t="str">
        <f t="shared" si="695"/>
        <v>375.045</v>
      </c>
      <c r="Z272" s="168" t="str">
        <f t="shared" si="696"/>
        <v>21.900</v>
      </c>
      <c r="AA272" s="164" t="str">
        <f t="shared" si="697"/>
        <v>2.32</v>
      </c>
      <c r="AB272" s="164">
        <v>95.36</v>
      </c>
      <c r="AC272" s="164" t="str">
        <f t="shared" si="698"/>
        <v>4.80</v>
      </c>
      <c r="AD272" s="165" t="str">
        <f t="shared" si="699"/>
        <v>68.19</v>
      </c>
      <c r="AE272" s="23"/>
      <c r="AF272" s="169" t="str">
        <f t="shared" si="700"/>
        <v>10.2</v>
      </c>
      <c r="AG272" s="163" t="str">
        <f t="shared" si="701"/>
        <v>235.54</v>
      </c>
      <c r="AH272" s="170" t="str">
        <f t="shared" si="702"/>
        <v>49.15%</v>
      </c>
      <c r="AI272" s="26"/>
      <c r="AJ272" s="171" t="str">
        <f t="shared" si="703"/>
        <v>0.00%</v>
      </c>
      <c r="AK272" s="172" t="str">
        <f t="shared" si="704"/>
        <v>0.00</v>
      </c>
      <c r="AL272" s="173" t="str">
        <f t="shared" si="705"/>
        <v>1,033.65</v>
      </c>
      <c r="AM272" s="174" t="str">
        <f t="shared" si="706"/>
        <v>733.89</v>
      </c>
    </row>
    <row r="273" ht="12.75" customHeight="1">
      <c r="A273" s="26"/>
      <c r="B273" s="190" t="s">
        <v>556</v>
      </c>
      <c r="C273" s="199">
        <v>2.26117746E8</v>
      </c>
      <c r="D273" s="152" t="s">
        <v>557</v>
      </c>
      <c r="E273" s="53" t="s">
        <v>372</v>
      </c>
      <c r="F273" s="154"/>
      <c r="G273" s="53"/>
      <c r="H273" s="53" t="str">
        <f t="shared" si="684"/>
        <v>0.00069</v>
      </c>
      <c r="I273" s="53" t="str">
        <f t="shared" si="685"/>
        <v>89</v>
      </c>
      <c r="J273" s="53" t="str">
        <f t="shared" si="686"/>
        <v>0</v>
      </c>
      <c r="K273" s="155" t="str">
        <f t="shared" si="687"/>
        <v>0.00</v>
      </c>
      <c r="L273" s="156" t="str">
        <f t="shared" si="688"/>
        <v>0.00 </v>
      </c>
      <c r="M273" s="132">
        <v>90.0</v>
      </c>
      <c r="N273" s="325">
        <v>479.27</v>
      </c>
      <c r="O273" s="158">
        <v>1318.34</v>
      </c>
      <c r="P273" s="159" t="str">
        <f t="shared" si="689"/>
        <v>1,318.34</v>
      </c>
      <c r="Q273" s="160">
        <v>1283.0</v>
      </c>
      <c r="R273" s="161">
        <v>0.26</v>
      </c>
      <c r="S273" s="162" t="str">
        <f t="shared" si="690"/>
        <v>975.57</v>
      </c>
      <c r="T273" s="163" t="str">
        <f t="shared" si="691"/>
        <v>20.00</v>
      </c>
      <c r="U273" s="164" t="str">
        <f t="shared" si="692"/>
        <v>78.05</v>
      </c>
      <c r="V273" s="165" t="str">
        <f t="shared" si="693"/>
        <v>0.00</v>
      </c>
      <c r="W273" s="166">
        <v>0.86</v>
      </c>
      <c r="X273" s="167" t="str">
        <f t="shared" si="694"/>
        <v>76</v>
      </c>
      <c r="Y273" s="168" t="str">
        <f t="shared" si="695"/>
        <v>362.544</v>
      </c>
      <c r="Z273" s="168" t="str">
        <f t="shared" si="696"/>
        <v>21.170</v>
      </c>
      <c r="AA273" s="164" t="str">
        <f t="shared" si="697"/>
        <v>3.34</v>
      </c>
      <c r="AB273" s="164">
        <v>93.33</v>
      </c>
      <c r="AC273" s="164" t="str">
        <f t="shared" si="698"/>
        <v>4.80</v>
      </c>
      <c r="AD273" s="165" t="str">
        <f t="shared" si="699"/>
        <v>65.92</v>
      </c>
      <c r="AE273" s="23"/>
      <c r="AF273" s="169" t="str">
        <f t="shared" si="700"/>
        <v>10.2</v>
      </c>
      <c r="AG273" s="163" t="str">
        <f t="shared" si="701"/>
        <v>207.26</v>
      </c>
      <c r="AH273" s="170" t="str">
        <f t="shared" si="702"/>
        <v>43.24%</v>
      </c>
      <c r="AI273" s="26"/>
      <c r="AJ273" s="171" t="str">
        <f t="shared" si="703"/>
        <v>0.00%</v>
      </c>
      <c r="AK273" s="172" t="str">
        <f t="shared" si="704"/>
        <v>0.00</v>
      </c>
      <c r="AL273" s="173" t="str">
        <f t="shared" si="705"/>
        <v>1,035.42</v>
      </c>
      <c r="AM273" s="174" t="str">
        <f t="shared" si="706"/>
        <v>735.15</v>
      </c>
    </row>
    <row r="274" ht="12.75" customHeight="1">
      <c r="A274" s="26"/>
      <c r="B274" s="190" t="s">
        <v>558</v>
      </c>
      <c r="C274" s="199">
        <v>2.26114935E8</v>
      </c>
      <c r="D274" s="152" t="s">
        <v>559</v>
      </c>
      <c r="E274" s="53" t="s">
        <v>372</v>
      </c>
      <c r="F274" s="154"/>
      <c r="G274" s="53"/>
      <c r="H274" s="53" t="str">
        <f t="shared" si="684"/>
        <v>0.00069</v>
      </c>
      <c r="I274" s="53" t="str">
        <f t="shared" si="685"/>
        <v>89</v>
      </c>
      <c r="J274" s="53" t="str">
        <f t="shared" si="686"/>
        <v>0</v>
      </c>
      <c r="K274" s="155" t="str">
        <f t="shared" si="687"/>
        <v>0.00</v>
      </c>
      <c r="L274" s="156" t="str">
        <f t="shared" si="688"/>
        <v>0.00 </v>
      </c>
      <c r="M274" s="132">
        <v>90.0</v>
      </c>
      <c r="N274" s="325">
        <v>474.28</v>
      </c>
      <c r="O274" s="158">
        <v>1425.0</v>
      </c>
      <c r="P274" s="159" t="str">
        <f t="shared" si="689"/>
        <v>1,425.00</v>
      </c>
      <c r="Q274" s="160">
        <v>1407.0</v>
      </c>
      <c r="R274" s="161">
        <v>0.26</v>
      </c>
      <c r="S274" s="162" t="str">
        <f t="shared" si="690"/>
        <v>1,054.50</v>
      </c>
      <c r="T274" s="163" t="str">
        <f t="shared" si="691"/>
        <v>20.00</v>
      </c>
      <c r="U274" s="164" t="str">
        <f t="shared" si="692"/>
        <v>84.36</v>
      </c>
      <c r="V274" s="165" t="str">
        <f t="shared" si="693"/>
        <v>0.00</v>
      </c>
      <c r="W274" s="166">
        <v>0.86</v>
      </c>
      <c r="X274" s="167" t="str">
        <f t="shared" si="694"/>
        <v>76</v>
      </c>
      <c r="Y274" s="168" t="str">
        <f t="shared" si="695"/>
        <v>391.875</v>
      </c>
      <c r="Z274" s="168" t="str">
        <f t="shared" si="696"/>
        <v>22.883</v>
      </c>
      <c r="AA274" s="164" t="str">
        <f t="shared" si="697"/>
        <v>1.94</v>
      </c>
      <c r="AB274" s="164">
        <v>96.12</v>
      </c>
      <c r="AC274" s="164" t="str">
        <f t="shared" si="698"/>
        <v>4.80</v>
      </c>
      <c r="AD274" s="165" t="str">
        <f t="shared" si="699"/>
        <v>71.25</v>
      </c>
      <c r="AE274" s="23"/>
      <c r="AF274" s="169" t="str">
        <f t="shared" si="700"/>
        <v>10.2</v>
      </c>
      <c r="AG274" s="163" t="str">
        <f t="shared" si="701"/>
        <v>277.61</v>
      </c>
      <c r="AH274" s="170" t="str">
        <f t="shared" si="702"/>
        <v>58.53%</v>
      </c>
      <c r="AI274" s="26"/>
      <c r="AJ274" s="171" t="str">
        <f t="shared" si="703"/>
        <v>0.00%</v>
      </c>
      <c r="AK274" s="172" t="str">
        <f t="shared" si="704"/>
        <v>0.00</v>
      </c>
      <c r="AL274" s="173" t="str">
        <f t="shared" si="705"/>
        <v>1,024.28</v>
      </c>
      <c r="AM274" s="174" t="str">
        <f t="shared" si="706"/>
        <v>727.24</v>
      </c>
    </row>
    <row r="275" ht="12.75" customHeight="1">
      <c r="A275" s="26"/>
      <c r="B275" s="190" t="s">
        <v>560</v>
      </c>
      <c r="C275" s="199">
        <v>2.26115141E8</v>
      </c>
      <c r="D275" s="152" t="s">
        <v>561</v>
      </c>
      <c r="E275" s="53" t="s">
        <v>372</v>
      </c>
      <c r="F275" s="154"/>
      <c r="G275" s="53"/>
      <c r="H275" s="53" t="str">
        <f t="shared" si="684"/>
        <v>0.00069</v>
      </c>
      <c r="I275" s="53" t="str">
        <f t="shared" si="685"/>
        <v>89</v>
      </c>
      <c r="J275" s="53" t="str">
        <f t="shared" si="686"/>
        <v>0</v>
      </c>
      <c r="K275" s="155" t="str">
        <f t="shared" si="687"/>
        <v>0.00</v>
      </c>
      <c r="L275" s="156" t="str">
        <f t="shared" si="688"/>
        <v>0.00 </v>
      </c>
      <c r="M275" s="132">
        <v>90.0</v>
      </c>
      <c r="N275" s="325">
        <v>474.28</v>
      </c>
      <c r="O275" s="158">
        <v>1410.0</v>
      </c>
      <c r="P275" s="159" t="str">
        <f t="shared" si="689"/>
        <v>1,410.00</v>
      </c>
      <c r="Q275" s="160">
        <v>1450.0</v>
      </c>
      <c r="R275" s="161">
        <v>0.26</v>
      </c>
      <c r="S275" s="162" t="str">
        <f t="shared" si="690"/>
        <v>1,043.40</v>
      </c>
      <c r="T275" s="163" t="str">
        <f t="shared" si="691"/>
        <v>20.00</v>
      </c>
      <c r="U275" s="164" t="str">
        <f t="shared" si="692"/>
        <v>83.47</v>
      </c>
      <c r="V275" s="165" t="str">
        <f t="shared" si="693"/>
        <v>0.00</v>
      </c>
      <c r="W275" s="166">
        <v>0.86</v>
      </c>
      <c r="X275" s="167" t="str">
        <f t="shared" si="694"/>
        <v>76</v>
      </c>
      <c r="Y275" s="168" t="str">
        <f t="shared" si="695"/>
        <v>387.750</v>
      </c>
      <c r="Z275" s="168" t="str">
        <f t="shared" si="696"/>
        <v>22.642</v>
      </c>
      <c r="AA275" s="164" t="str">
        <f t="shared" si="697"/>
        <v>0.54</v>
      </c>
      <c r="AB275" s="164">
        <v>98.92</v>
      </c>
      <c r="AC275" s="164" t="str">
        <f t="shared" si="698"/>
        <v>4.80</v>
      </c>
      <c r="AD275" s="165" t="str">
        <f t="shared" si="699"/>
        <v>70.50</v>
      </c>
      <c r="AE275" s="23"/>
      <c r="AF275" s="169" t="str">
        <f t="shared" si="700"/>
        <v>10.2</v>
      </c>
      <c r="AG275" s="163" t="str">
        <f t="shared" si="701"/>
        <v>270.02</v>
      </c>
      <c r="AH275" s="170" t="str">
        <f t="shared" si="702"/>
        <v>56.93%</v>
      </c>
      <c r="AI275" s="26"/>
      <c r="AJ275" s="171" t="str">
        <f t="shared" si="703"/>
        <v>0.00%</v>
      </c>
      <c r="AK275" s="172" t="str">
        <f t="shared" si="704"/>
        <v>0.00</v>
      </c>
      <c r="AL275" s="173" t="str">
        <f t="shared" si="705"/>
        <v>1,021.84</v>
      </c>
      <c r="AM275" s="174" t="str">
        <f t="shared" si="706"/>
        <v>725.51</v>
      </c>
    </row>
    <row r="276" ht="12.75" customHeight="1">
      <c r="A276" s="26"/>
      <c r="B276" s="190" t="s">
        <v>548</v>
      </c>
      <c r="C276" s="224">
        <v>2.55574854E8</v>
      </c>
      <c r="D276" s="225" t="s">
        <v>562</v>
      </c>
      <c r="E276" s="53" t="s">
        <v>372</v>
      </c>
      <c r="F276" s="154"/>
      <c r="G276" s="53"/>
      <c r="H276" s="53" t="str">
        <f t="shared" si="684"/>
        <v>0.00069</v>
      </c>
      <c r="I276" s="53" t="str">
        <f t="shared" si="685"/>
        <v>89</v>
      </c>
      <c r="J276" s="53" t="str">
        <f t="shared" si="686"/>
        <v>0</v>
      </c>
      <c r="K276" s="155" t="str">
        <f t="shared" si="687"/>
        <v>0.00</v>
      </c>
      <c r="L276" s="156" t="str">
        <f t="shared" si="688"/>
        <v>0.00 </v>
      </c>
      <c r="M276" s="132">
        <v>90.0</v>
      </c>
      <c r="N276" s="325" t="str">
        <f>L276/F276</f>
        <v>#DIV/0!</v>
      </c>
      <c r="O276" s="158">
        <v>2100.0</v>
      </c>
      <c r="P276" s="159" t="str">
        <f>AL276</f>
        <v>#DIV/0!</v>
      </c>
      <c r="Q276" s="160"/>
      <c r="R276" s="161">
        <v>0.26</v>
      </c>
      <c r="S276" s="162" t="str">
        <f t="shared" si="690"/>
        <v>1,554.00</v>
      </c>
      <c r="T276" s="163" t="str">
        <f t="shared" si="691"/>
        <v>20.00</v>
      </c>
      <c r="U276" s="164" t="str">
        <f t="shared" si="692"/>
        <v>124.32</v>
      </c>
      <c r="V276" s="165" t="str">
        <f t="shared" si="693"/>
        <v>#DIV/0!</v>
      </c>
      <c r="W276" s="166">
        <v>1.15</v>
      </c>
      <c r="X276" s="167" t="str">
        <f t="shared" si="694"/>
        <v>95</v>
      </c>
      <c r="Y276" s="168" t="str">
        <f t="shared" si="695"/>
        <v>577.500</v>
      </c>
      <c r="Z276" s="168" t="str">
        <f t="shared" si="696"/>
        <v>33.722</v>
      </c>
      <c r="AA276" s="164" t="str">
        <f t="shared" si="697"/>
        <v>0.00</v>
      </c>
      <c r="AB276" s="164">
        <v>100.0</v>
      </c>
      <c r="AC276" s="164" t="str">
        <f t="shared" si="698"/>
        <v>9.60</v>
      </c>
      <c r="AD276" s="165" t="str">
        <f t="shared" si="699"/>
        <v>105.00</v>
      </c>
      <c r="AE276" s="23"/>
      <c r="AF276" s="169" t="str">
        <f t="shared" si="700"/>
        <v>20.4</v>
      </c>
      <c r="AG276" s="163" t="str">
        <f t="shared" si="701"/>
        <v>#DIV/0!</v>
      </c>
      <c r="AH276" s="170" t="str">
        <f t="shared" si="702"/>
        <v>#DIV/0!</v>
      </c>
      <c r="AI276" s="26"/>
      <c r="AJ276" s="171" t="str">
        <f t="shared" si="703"/>
        <v>0.00%</v>
      </c>
      <c r="AK276" s="172" t="str">
        <f t="shared" si="704"/>
        <v>#DIV/0!</v>
      </c>
      <c r="AL276" s="173" t="str">
        <f t="shared" si="705"/>
        <v>#DIV/0!</v>
      </c>
      <c r="AM276" s="174" t="str">
        <f t="shared" si="706"/>
        <v>#DIV/0!</v>
      </c>
    </row>
    <row r="277" ht="12.75" customHeight="1">
      <c r="A277" s="26"/>
      <c r="B277" s="125" t="s">
        <v>563</v>
      </c>
      <c r="C277" s="126"/>
      <c r="D277" s="127"/>
      <c r="E277" s="128"/>
      <c r="F277" s="129"/>
      <c r="G277" s="128"/>
      <c r="H277" s="197"/>
      <c r="I277" s="197"/>
      <c r="J277" s="128"/>
      <c r="K277" s="130"/>
      <c r="L277" s="131"/>
      <c r="M277" s="132"/>
      <c r="N277" s="320"/>
      <c r="O277" s="134"/>
      <c r="P277" s="135"/>
      <c r="Q277" s="135"/>
      <c r="R277" s="136"/>
      <c r="S277" s="137"/>
      <c r="T277" s="177"/>
      <c r="U277" s="178"/>
      <c r="V277" s="179"/>
      <c r="W277" s="180"/>
      <c r="X277" s="181"/>
      <c r="Y277" s="182"/>
      <c r="Z277" s="182"/>
      <c r="AA277" s="178"/>
      <c r="AB277" s="178"/>
      <c r="AC277" s="178"/>
      <c r="AD277" s="179"/>
      <c r="AE277" s="183"/>
      <c r="AF277" s="184"/>
      <c r="AG277" s="177"/>
      <c r="AH277" s="185"/>
      <c r="AI277" s="26"/>
      <c r="AJ277" s="186"/>
      <c r="AK277" s="187"/>
      <c r="AL277" s="188"/>
      <c r="AM277" s="189"/>
    </row>
    <row r="278" ht="12.75" customHeight="1">
      <c r="A278" s="26"/>
      <c r="B278" s="190"/>
      <c r="C278" s="199">
        <v>4.37154709E8</v>
      </c>
      <c r="D278" s="152" t="s">
        <v>564</v>
      </c>
      <c r="E278" s="53" t="s">
        <v>77</v>
      </c>
      <c r="F278" s="154"/>
      <c r="G278" s="53"/>
      <c r="H278" s="53" t="str">
        <f t="shared" ref="H278:H289" si="707">$I$2</f>
        <v>0.00069</v>
      </c>
      <c r="I278" s="53" t="str">
        <f t="shared" ref="I278:I289" si="708">$I$3</f>
        <v>89</v>
      </c>
      <c r="J278" s="53" t="str">
        <f t="shared" ref="J278:J289" si="709">G278*H278*I278*F278</f>
        <v>0</v>
      </c>
      <c r="K278" s="155" t="str">
        <f t="shared" ref="K278:K289" si="710">J278*$J$4</f>
        <v>0.00</v>
      </c>
      <c r="L278" s="156" t="str">
        <f t="shared" ref="L278:L289" si="711">K278+J278</f>
        <v>0.00 </v>
      </c>
      <c r="M278" s="132">
        <v>90.0</v>
      </c>
      <c r="N278" s="325">
        <v>444.11</v>
      </c>
      <c r="O278" s="158">
        <v>1325.0</v>
      </c>
      <c r="P278" s="159">
        <v>1550.0</v>
      </c>
      <c r="Q278" s="160">
        <v>1372.0</v>
      </c>
      <c r="R278" s="161">
        <v>0.26</v>
      </c>
      <c r="S278" s="162" t="str">
        <f t="shared" ref="S278:S289" si="712">O278-(O278*R278)</f>
        <v>980.50</v>
      </c>
      <c r="T278" s="163" t="str">
        <f t="shared" ref="T278:T289" si="713">$C$1</f>
        <v>20.00</v>
      </c>
      <c r="U278" s="164" t="str">
        <f t="shared" ref="U278:U289" si="714">S278*$C$8</f>
        <v>78.44</v>
      </c>
      <c r="V278" s="165" t="str">
        <f t="shared" ref="V278:V289" si="715">N278*$C$3*(M278/30)</f>
        <v>0.00</v>
      </c>
      <c r="W278" s="166">
        <v>0.73</v>
      </c>
      <c r="X278" s="167" t="str">
        <f t="shared" ref="X278:X289" si="716">((_xlfn.CEILING.MATH(W278)-1)*$C$5+$C$4)</f>
        <v>76</v>
      </c>
      <c r="Y278" s="168" t="str">
        <f t="shared" ref="Y278:Y289" si="717">O278*$Y$6</f>
        <v>364.375</v>
      </c>
      <c r="Z278" s="168" t="str">
        <f t="shared" ref="Z278:Z289" si="718">S278*$Y$7</f>
        <v>21.277</v>
      </c>
      <c r="AA278" s="164" t="str">
        <f t="shared" ref="AA278:AA289" si="719">$Y$3*((100-AB278)/100)</f>
        <v>0.54</v>
      </c>
      <c r="AB278" s="164">
        <v>98.92</v>
      </c>
      <c r="AC278" s="164" t="str">
        <f t="shared" ref="AC278:AC289" si="720">$C$6*$C$7*_xlfn.CEILING.MATH(W278)</f>
        <v>4.80</v>
      </c>
      <c r="AD278" s="165" t="str">
        <f t="shared" ref="AD278:AD289" si="721">O278*$C$2</f>
        <v>66.25</v>
      </c>
      <c r="AE278" s="23"/>
      <c r="AF278" s="169" t="str">
        <f t="shared" ref="AF278:AF289" si="722">(_xlfn.CEILING.MATH(W278))*$Y$1*$AD$2</f>
        <v>10.2</v>
      </c>
      <c r="AG278" s="163" t="str">
        <f t="shared" ref="AG278:AG289" si="723">O278-T278-U278-V278-X278-Y278-Z278-AA278-AC278-AD278-N278</f>
        <v>249.21</v>
      </c>
      <c r="AH278" s="170" t="str">
        <f t="shared" ref="AH278:AH289" si="724">AG278/N278</f>
        <v>56.11%</v>
      </c>
      <c r="AI278" s="26"/>
      <c r="AJ278" s="171">
        <v>0.25</v>
      </c>
      <c r="AK278" s="172" t="str">
        <f t="shared" ref="AK278:AK289" si="725">N278*AJ278</f>
        <v>111.03</v>
      </c>
      <c r="AL278" s="173" t="str">
        <f t="shared" ref="AL278:AL289" si="726">(N278+T278+V278+X278+AA278+AC278+AF278+AK278)/(100%-($C$2+$C$8+$Y$6+$Y$7))</f>
        <v>1,162.88</v>
      </c>
      <c r="AM278" s="174" t="str">
        <f t="shared" ref="AM278:AM289" si="727">AL278-(AL278*$AD$1)</f>
        <v>825.64</v>
      </c>
    </row>
    <row r="279" ht="12.75" customHeight="1">
      <c r="A279" s="26"/>
      <c r="B279" s="190"/>
      <c r="C279" s="199">
        <v>4.37190353E8</v>
      </c>
      <c r="D279" s="152" t="s">
        <v>565</v>
      </c>
      <c r="E279" s="53" t="s">
        <v>77</v>
      </c>
      <c r="F279" s="154"/>
      <c r="G279" s="53"/>
      <c r="H279" s="53" t="str">
        <f t="shared" si="707"/>
        <v>0.00069</v>
      </c>
      <c r="I279" s="53" t="str">
        <f t="shared" si="708"/>
        <v>89</v>
      </c>
      <c r="J279" s="53" t="str">
        <f t="shared" si="709"/>
        <v>0</v>
      </c>
      <c r="K279" s="155" t="str">
        <f t="shared" si="710"/>
        <v>0.00</v>
      </c>
      <c r="L279" s="156" t="str">
        <f t="shared" si="711"/>
        <v>0.00 </v>
      </c>
      <c r="M279" s="132">
        <v>90.0</v>
      </c>
      <c r="N279" s="325">
        <v>1093.2</v>
      </c>
      <c r="O279" s="158">
        <v>2600.0</v>
      </c>
      <c r="P279" s="159">
        <v>2600.0</v>
      </c>
      <c r="Q279" s="160">
        <v>2458.0</v>
      </c>
      <c r="R279" s="161">
        <v>0.26</v>
      </c>
      <c r="S279" s="162" t="str">
        <f t="shared" si="712"/>
        <v>1,924.00</v>
      </c>
      <c r="T279" s="163" t="str">
        <f t="shared" si="713"/>
        <v>20.00</v>
      </c>
      <c r="U279" s="164" t="str">
        <f t="shared" si="714"/>
        <v>153.92</v>
      </c>
      <c r="V279" s="165" t="str">
        <f t="shared" si="715"/>
        <v>0.00</v>
      </c>
      <c r="W279" s="166">
        <v>0.73</v>
      </c>
      <c r="X279" s="167" t="str">
        <f t="shared" si="716"/>
        <v>76</v>
      </c>
      <c r="Y279" s="168" t="str">
        <f t="shared" si="717"/>
        <v>715.000</v>
      </c>
      <c r="Z279" s="168" t="str">
        <f t="shared" si="718"/>
        <v>41.751</v>
      </c>
      <c r="AA279" s="164" t="str">
        <f t="shared" si="719"/>
        <v>0.54</v>
      </c>
      <c r="AB279" s="164">
        <v>98.92</v>
      </c>
      <c r="AC279" s="164" t="str">
        <f t="shared" si="720"/>
        <v>4.80</v>
      </c>
      <c r="AD279" s="165" t="str">
        <f t="shared" si="721"/>
        <v>130.00</v>
      </c>
      <c r="AE279" s="23"/>
      <c r="AF279" s="169" t="str">
        <f t="shared" si="722"/>
        <v>10.2</v>
      </c>
      <c r="AG279" s="163" t="str">
        <f t="shared" si="723"/>
        <v>364.79</v>
      </c>
      <c r="AH279" s="170" t="str">
        <f t="shared" si="724"/>
        <v>33.37%</v>
      </c>
      <c r="AI279" s="26"/>
      <c r="AJ279" s="171">
        <v>0.25</v>
      </c>
      <c r="AK279" s="172" t="str">
        <f t="shared" si="725"/>
        <v>273.30</v>
      </c>
      <c r="AL279" s="173" t="str">
        <f t="shared" si="726"/>
        <v>2,578.13</v>
      </c>
      <c r="AM279" s="174" t="str">
        <f t="shared" si="727"/>
        <v>1,830.47</v>
      </c>
    </row>
    <row r="280" ht="12.75" customHeight="1">
      <c r="A280" s="26"/>
      <c r="B280" s="190"/>
      <c r="C280" s="199">
        <v>4.37203627E8</v>
      </c>
      <c r="D280" s="152" t="s">
        <v>566</v>
      </c>
      <c r="E280" s="53" t="s">
        <v>77</v>
      </c>
      <c r="F280" s="154"/>
      <c r="G280" s="53"/>
      <c r="H280" s="53" t="str">
        <f t="shared" si="707"/>
        <v>0.00069</v>
      </c>
      <c r="I280" s="53" t="str">
        <f t="shared" si="708"/>
        <v>89</v>
      </c>
      <c r="J280" s="53" t="str">
        <f t="shared" si="709"/>
        <v>0</v>
      </c>
      <c r="K280" s="155" t="str">
        <f t="shared" si="710"/>
        <v>0.00</v>
      </c>
      <c r="L280" s="156" t="str">
        <f t="shared" si="711"/>
        <v>0.00 </v>
      </c>
      <c r="M280" s="132">
        <v>90.0</v>
      </c>
      <c r="N280" s="325">
        <v>512.44</v>
      </c>
      <c r="O280" s="158">
        <v>1549.0</v>
      </c>
      <c r="P280" s="159">
        <v>1750.0</v>
      </c>
      <c r="Q280" s="160">
        <v>1559.0</v>
      </c>
      <c r="R280" s="161">
        <v>0.26</v>
      </c>
      <c r="S280" s="162" t="str">
        <f t="shared" si="712"/>
        <v>1,146.26</v>
      </c>
      <c r="T280" s="163" t="str">
        <f t="shared" si="713"/>
        <v>20.00</v>
      </c>
      <c r="U280" s="164" t="str">
        <f t="shared" si="714"/>
        <v>91.70</v>
      </c>
      <c r="V280" s="165" t="str">
        <f t="shared" si="715"/>
        <v>0.00</v>
      </c>
      <c r="W280" s="166">
        <v>0.73</v>
      </c>
      <c r="X280" s="167" t="str">
        <f t="shared" si="716"/>
        <v>76</v>
      </c>
      <c r="Y280" s="168" t="str">
        <f t="shared" si="717"/>
        <v>425.975</v>
      </c>
      <c r="Z280" s="168" t="str">
        <f t="shared" si="718"/>
        <v>24.874</v>
      </c>
      <c r="AA280" s="164" t="str">
        <f t="shared" si="719"/>
        <v>0.54</v>
      </c>
      <c r="AB280" s="164">
        <v>98.92</v>
      </c>
      <c r="AC280" s="164" t="str">
        <f t="shared" si="720"/>
        <v>4.80</v>
      </c>
      <c r="AD280" s="165" t="str">
        <f t="shared" si="721"/>
        <v>77.45</v>
      </c>
      <c r="AE280" s="23"/>
      <c r="AF280" s="169" t="str">
        <f t="shared" si="722"/>
        <v>10.2</v>
      </c>
      <c r="AG280" s="163" t="str">
        <f t="shared" si="723"/>
        <v>315.22</v>
      </c>
      <c r="AH280" s="170" t="str">
        <f t="shared" si="724"/>
        <v>61.51%</v>
      </c>
      <c r="AI280" s="26"/>
      <c r="AJ280" s="171">
        <v>0.25</v>
      </c>
      <c r="AK280" s="172" t="str">
        <f t="shared" si="725"/>
        <v>128.11</v>
      </c>
      <c r="AL280" s="173" t="str">
        <f t="shared" si="726"/>
        <v>1,311.86</v>
      </c>
      <c r="AM280" s="174" t="str">
        <f t="shared" si="727"/>
        <v>931.42</v>
      </c>
    </row>
    <row r="281" ht="12.75" customHeight="1">
      <c r="A281" s="26"/>
      <c r="B281" s="190"/>
      <c r="C281" s="199">
        <v>4.37231408E8</v>
      </c>
      <c r="D281" s="152" t="s">
        <v>567</v>
      </c>
      <c r="E281" s="53" t="s">
        <v>77</v>
      </c>
      <c r="F281" s="154"/>
      <c r="G281" s="53"/>
      <c r="H281" s="53" t="str">
        <f t="shared" si="707"/>
        <v>0.00069</v>
      </c>
      <c r="I281" s="53" t="str">
        <f t="shared" si="708"/>
        <v>89</v>
      </c>
      <c r="J281" s="53" t="str">
        <f t="shared" si="709"/>
        <v>0</v>
      </c>
      <c r="K281" s="155" t="str">
        <f t="shared" si="710"/>
        <v>0.00</v>
      </c>
      <c r="L281" s="156" t="str">
        <f t="shared" si="711"/>
        <v>0.00 </v>
      </c>
      <c r="M281" s="132">
        <v>90.0</v>
      </c>
      <c r="N281" s="325">
        <v>854.06</v>
      </c>
      <c r="O281" s="158">
        <v>1800.0</v>
      </c>
      <c r="P281" s="159">
        <v>1800.0</v>
      </c>
      <c r="Q281" s="160">
        <v>1287.0</v>
      </c>
      <c r="R281" s="161">
        <v>0.26</v>
      </c>
      <c r="S281" s="162" t="str">
        <f t="shared" si="712"/>
        <v>1,332.00</v>
      </c>
      <c r="T281" s="163" t="str">
        <f t="shared" si="713"/>
        <v>20.00</v>
      </c>
      <c r="U281" s="164" t="str">
        <f t="shared" si="714"/>
        <v>106.56</v>
      </c>
      <c r="V281" s="165" t="str">
        <f t="shared" si="715"/>
        <v>0.00</v>
      </c>
      <c r="W281" s="166">
        <v>0.73</v>
      </c>
      <c r="X281" s="167" t="str">
        <f t="shared" si="716"/>
        <v>76</v>
      </c>
      <c r="Y281" s="168" t="str">
        <f t="shared" si="717"/>
        <v>495.000</v>
      </c>
      <c r="Z281" s="168" t="str">
        <f t="shared" si="718"/>
        <v>28.904</v>
      </c>
      <c r="AA281" s="164" t="str">
        <f t="shared" si="719"/>
        <v>0.54</v>
      </c>
      <c r="AB281" s="164">
        <v>98.92</v>
      </c>
      <c r="AC281" s="164" t="str">
        <f t="shared" si="720"/>
        <v>4.80</v>
      </c>
      <c r="AD281" s="165" t="str">
        <f t="shared" si="721"/>
        <v>90.00</v>
      </c>
      <c r="AE281" s="23"/>
      <c r="AF281" s="169" t="str">
        <f t="shared" si="722"/>
        <v>10.2</v>
      </c>
      <c r="AG281" s="163" t="str">
        <f t="shared" si="723"/>
        <v>124.14</v>
      </c>
      <c r="AH281" s="170" t="str">
        <f t="shared" si="724"/>
        <v>14.53%</v>
      </c>
      <c r="AI281" s="26"/>
      <c r="AJ281" s="171">
        <v>0.25</v>
      </c>
      <c r="AK281" s="172" t="str">
        <f t="shared" si="725"/>
        <v>213.52</v>
      </c>
      <c r="AL281" s="173" t="str">
        <f t="shared" si="726"/>
        <v>2,056.72</v>
      </c>
      <c r="AM281" s="174" t="str">
        <f t="shared" si="727"/>
        <v>1,460.27</v>
      </c>
    </row>
    <row r="282" ht="12.75" customHeight="1">
      <c r="A282" s="26"/>
      <c r="B282" s="190"/>
      <c r="C282" s="199">
        <v>4.37238521E8</v>
      </c>
      <c r="D282" s="152" t="s">
        <v>568</v>
      </c>
      <c r="E282" s="53" t="s">
        <v>77</v>
      </c>
      <c r="F282" s="154"/>
      <c r="G282" s="53"/>
      <c r="H282" s="53" t="str">
        <f t="shared" si="707"/>
        <v>0.00069</v>
      </c>
      <c r="I282" s="53" t="str">
        <f t="shared" si="708"/>
        <v>89</v>
      </c>
      <c r="J282" s="53" t="str">
        <f t="shared" si="709"/>
        <v>0</v>
      </c>
      <c r="K282" s="155" t="str">
        <f t="shared" si="710"/>
        <v>0.00</v>
      </c>
      <c r="L282" s="156" t="str">
        <f t="shared" si="711"/>
        <v>0.00 </v>
      </c>
      <c r="M282" s="132">
        <v>90.0</v>
      </c>
      <c r="N282" s="325">
        <v>819.9</v>
      </c>
      <c r="O282" s="158">
        <v>2099.0</v>
      </c>
      <c r="P282" s="159">
        <v>2200.0</v>
      </c>
      <c r="Q282" s="160">
        <v>2119.0</v>
      </c>
      <c r="R282" s="161">
        <v>0.26</v>
      </c>
      <c r="S282" s="162" t="str">
        <f t="shared" si="712"/>
        <v>1,553.26</v>
      </c>
      <c r="T282" s="163" t="str">
        <f t="shared" si="713"/>
        <v>20.00</v>
      </c>
      <c r="U282" s="164" t="str">
        <f t="shared" si="714"/>
        <v>124.26</v>
      </c>
      <c r="V282" s="165" t="str">
        <f t="shared" si="715"/>
        <v>0.00</v>
      </c>
      <c r="W282" s="166">
        <v>0.73</v>
      </c>
      <c r="X282" s="167" t="str">
        <f t="shared" si="716"/>
        <v>76</v>
      </c>
      <c r="Y282" s="168" t="str">
        <f t="shared" si="717"/>
        <v>577.225</v>
      </c>
      <c r="Z282" s="168" t="str">
        <f t="shared" si="718"/>
        <v>33.706</v>
      </c>
      <c r="AA282" s="164" t="str">
        <f t="shared" si="719"/>
        <v>0.54</v>
      </c>
      <c r="AB282" s="164">
        <v>98.92</v>
      </c>
      <c r="AC282" s="164" t="str">
        <f t="shared" si="720"/>
        <v>4.80</v>
      </c>
      <c r="AD282" s="165" t="str">
        <f t="shared" si="721"/>
        <v>104.95</v>
      </c>
      <c r="AE282" s="23"/>
      <c r="AF282" s="169" t="str">
        <f t="shared" si="722"/>
        <v>10.2</v>
      </c>
      <c r="AG282" s="163" t="str">
        <f t="shared" si="723"/>
        <v>337.62</v>
      </c>
      <c r="AH282" s="170" t="str">
        <f t="shared" si="724"/>
        <v>41.18%</v>
      </c>
      <c r="AI282" s="26"/>
      <c r="AJ282" s="171">
        <v>0.25</v>
      </c>
      <c r="AK282" s="172" t="str">
        <f t="shared" si="725"/>
        <v>204.98</v>
      </c>
      <c r="AL282" s="173" t="str">
        <f t="shared" si="726"/>
        <v>1,982.23</v>
      </c>
      <c r="AM282" s="174" t="str">
        <f t="shared" si="727"/>
        <v>1,407.39</v>
      </c>
    </row>
    <row r="283" ht="12.75" customHeight="1">
      <c r="A283" s="26"/>
      <c r="B283" s="190"/>
      <c r="C283" s="199">
        <v>4.3724264E8</v>
      </c>
      <c r="D283" s="152" t="s">
        <v>569</v>
      </c>
      <c r="E283" s="53" t="s">
        <v>77</v>
      </c>
      <c r="F283" s="154"/>
      <c r="G283" s="53"/>
      <c r="H283" s="53" t="str">
        <f t="shared" si="707"/>
        <v>0.00069</v>
      </c>
      <c r="I283" s="53" t="str">
        <f t="shared" si="708"/>
        <v>89</v>
      </c>
      <c r="J283" s="53" t="str">
        <f t="shared" si="709"/>
        <v>0</v>
      </c>
      <c r="K283" s="155" t="str">
        <f t="shared" si="710"/>
        <v>0.00</v>
      </c>
      <c r="L283" s="156" t="str">
        <f t="shared" si="711"/>
        <v>0.00 </v>
      </c>
      <c r="M283" s="132">
        <v>90.0</v>
      </c>
      <c r="N283" s="325">
        <v>512.44</v>
      </c>
      <c r="O283" s="158">
        <v>1500.0</v>
      </c>
      <c r="P283" s="159">
        <v>1550.0</v>
      </c>
      <c r="Q283" s="160">
        <v>1549.0</v>
      </c>
      <c r="R283" s="161">
        <v>0.26</v>
      </c>
      <c r="S283" s="162" t="str">
        <f t="shared" si="712"/>
        <v>1,110.00</v>
      </c>
      <c r="T283" s="163" t="str">
        <f t="shared" si="713"/>
        <v>20.00</v>
      </c>
      <c r="U283" s="164" t="str">
        <f t="shared" si="714"/>
        <v>88.80</v>
      </c>
      <c r="V283" s="165" t="str">
        <f t="shared" si="715"/>
        <v>0.00</v>
      </c>
      <c r="W283" s="166">
        <v>0.73</v>
      </c>
      <c r="X283" s="167" t="str">
        <f t="shared" si="716"/>
        <v>76</v>
      </c>
      <c r="Y283" s="168" t="str">
        <f t="shared" si="717"/>
        <v>412.500</v>
      </c>
      <c r="Z283" s="168" t="str">
        <f t="shared" si="718"/>
        <v>24.087</v>
      </c>
      <c r="AA283" s="164" t="str">
        <f t="shared" si="719"/>
        <v>0.54</v>
      </c>
      <c r="AB283" s="164">
        <v>98.92</v>
      </c>
      <c r="AC283" s="164" t="str">
        <f t="shared" si="720"/>
        <v>4.80</v>
      </c>
      <c r="AD283" s="165" t="str">
        <f t="shared" si="721"/>
        <v>75.00</v>
      </c>
      <c r="AE283" s="23"/>
      <c r="AF283" s="169" t="str">
        <f t="shared" si="722"/>
        <v>10.2</v>
      </c>
      <c r="AG283" s="163" t="str">
        <f t="shared" si="723"/>
        <v>285.83</v>
      </c>
      <c r="AH283" s="170" t="str">
        <f t="shared" si="724"/>
        <v>55.78%</v>
      </c>
      <c r="AI283" s="26"/>
      <c r="AJ283" s="171">
        <v>0.25</v>
      </c>
      <c r="AK283" s="172" t="str">
        <f t="shared" si="725"/>
        <v>128.11</v>
      </c>
      <c r="AL283" s="173" t="str">
        <f t="shared" si="726"/>
        <v>1,311.86</v>
      </c>
      <c r="AM283" s="174" t="str">
        <f t="shared" si="727"/>
        <v>931.42</v>
      </c>
    </row>
    <row r="284" ht="12.75" customHeight="1">
      <c r="A284" s="26"/>
      <c r="B284" s="190"/>
      <c r="C284" s="199">
        <v>4.3724887E8</v>
      </c>
      <c r="D284" s="152" t="s">
        <v>570</v>
      </c>
      <c r="E284" s="53" t="s">
        <v>77</v>
      </c>
      <c r="F284" s="154"/>
      <c r="G284" s="53"/>
      <c r="H284" s="53" t="str">
        <f t="shared" si="707"/>
        <v>0.00069</v>
      </c>
      <c r="I284" s="53" t="str">
        <f t="shared" si="708"/>
        <v>89</v>
      </c>
      <c r="J284" s="53" t="str">
        <f t="shared" si="709"/>
        <v>0</v>
      </c>
      <c r="K284" s="155" t="str">
        <f t="shared" si="710"/>
        <v>0.00</v>
      </c>
      <c r="L284" s="156" t="str">
        <f t="shared" si="711"/>
        <v>0.00 </v>
      </c>
      <c r="M284" s="132">
        <v>90.0</v>
      </c>
      <c r="N284" s="325">
        <v>622.29</v>
      </c>
      <c r="O284" s="158">
        <v>1500.0</v>
      </c>
      <c r="P284" s="159">
        <v>1650.0</v>
      </c>
      <c r="Q284" s="160">
        <v>1220.0</v>
      </c>
      <c r="R284" s="161">
        <v>0.26</v>
      </c>
      <c r="S284" s="162" t="str">
        <f t="shared" si="712"/>
        <v>1,110.00</v>
      </c>
      <c r="T284" s="163" t="str">
        <f t="shared" si="713"/>
        <v>20.00</v>
      </c>
      <c r="U284" s="164" t="str">
        <f t="shared" si="714"/>
        <v>88.80</v>
      </c>
      <c r="V284" s="165" t="str">
        <f t="shared" si="715"/>
        <v>0.00</v>
      </c>
      <c r="W284" s="166">
        <v>0.73</v>
      </c>
      <c r="X284" s="167" t="str">
        <f t="shared" si="716"/>
        <v>76</v>
      </c>
      <c r="Y284" s="168" t="str">
        <f t="shared" si="717"/>
        <v>412.500</v>
      </c>
      <c r="Z284" s="168" t="str">
        <f t="shared" si="718"/>
        <v>24.087</v>
      </c>
      <c r="AA284" s="164" t="str">
        <f t="shared" si="719"/>
        <v>0.54</v>
      </c>
      <c r="AB284" s="164">
        <v>98.92</v>
      </c>
      <c r="AC284" s="164" t="str">
        <f t="shared" si="720"/>
        <v>4.80</v>
      </c>
      <c r="AD284" s="165" t="str">
        <f t="shared" si="721"/>
        <v>75.00</v>
      </c>
      <c r="AE284" s="23"/>
      <c r="AF284" s="169" t="str">
        <f t="shared" si="722"/>
        <v>10.2</v>
      </c>
      <c r="AG284" s="163" t="str">
        <f t="shared" si="723"/>
        <v>175.98</v>
      </c>
      <c r="AH284" s="170" t="str">
        <f t="shared" si="724"/>
        <v>28.28%</v>
      </c>
      <c r="AI284" s="26"/>
      <c r="AJ284" s="171">
        <v>0.25</v>
      </c>
      <c r="AK284" s="172" t="str">
        <f t="shared" si="725"/>
        <v>155.57</v>
      </c>
      <c r="AL284" s="173" t="str">
        <f t="shared" si="726"/>
        <v>1,551.37</v>
      </c>
      <c r="AM284" s="174" t="str">
        <f t="shared" si="727"/>
        <v>1,101.48</v>
      </c>
    </row>
    <row r="285" ht="12.75" customHeight="1">
      <c r="A285" s="26"/>
      <c r="B285" s="190"/>
      <c r="C285" s="199">
        <v>4.37254254E8</v>
      </c>
      <c r="D285" s="152" t="s">
        <v>571</v>
      </c>
      <c r="E285" s="53" t="s">
        <v>77</v>
      </c>
      <c r="F285" s="154"/>
      <c r="G285" s="53"/>
      <c r="H285" s="53" t="str">
        <f t="shared" si="707"/>
        <v>0.00069</v>
      </c>
      <c r="I285" s="53" t="str">
        <f t="shared" si="708"/>
        <v>89</v>
      </c>
      <c r="J285" s="53" t="str">
        <f t="shared" si="709"/>
        <v>0</v>
      </c>
      <c r="K285" s="155" t="str">
        <f t="shared" si="710"/>
        <v>0.00</v>
      </c>
      <c r="L285" s="156" t="str">
        <f t="shared" si="711"/>
        <v>0.00 </v>
      </c>
      <c r="M285" s="132">
        <v>90.0</v>
      </c>
      <c r="N285" s="325">
        <v>1161.66</v>
      </c>
      <c r="O285" s="158">
        <v>2449.0</v>
      </c>
      <c r="P285" s="159">
        <v>2650.0</v>
      </c>
      <c r="Q285" s="160">
        <v>2471.0</v>
      </c>
      <c r="R285" s="161">
        <v>0.26</v>
      </c>
      <c r="S285" s="162" t="str">
        <f t="shared" si="712"/>
        <v>1,812.26</v>
      </c>
      <c r="T285" s="163" t="str">
        <f t="shared" si="713"/>
        <v>20.00</v>
      </c>
      <c r="U285" s="164" t="str">
        <f t="shared" si="714"/>
        <v>144.98</v>
      </c>
      <c r="V285" s="165" t="str">
        <f t="shared" si="715"/>
        <v>0.00</v>
      </c>
      <c r="W285" s="166">
        <v>0.73</v>
      </c>
      <c r="X285" s="167" t="str">
        <f t="shared" si="716"/>
        <v>76</v>
      </c>
      <c r="Y285" s="168" t="str">
        <f t="shared" si="717"/>
        <v>673.475</v>
      </c>
      <c r="Z285" s="168" t="str">
        <f t="shared" si="718"/>
        <v>39.326</v>
      </c>
      <c r="AA285" s="164" t="str">
        <f t="shared" si="719"/>
        <v>0.54</v>
      </c>
      <c r="AB285" s="164">
        <v>98.92</v>
      </c>
      <c r="AC285" s="164" t="str">
        <f t="shared" si="720"/>
        <v>4.80</v>
      </c>
      <c r="AD285" s="165" t="str">
        <f t="shared" si="721"/>
        <v>122.45</v>
      </c>
      <c r="AE285" s="23"/>
      <c r="AF285" s="169" t="str">
        <f t="shared" si="722"/>
        <v>10.2</v>
      </c>
      <c r="AG285" s="163" t="str">
        <f t="shared" si="723"/>
        <v>205.77</v>
      </c>
      <c r="AH285" s="170" t="str">
        <f t="shared" si="724"/>
        <v>17.71%</v>
      </c>
      <c r="AI285" s="26"/>
      <c r="AJ285" s="171">
        <v>0.25</v>
      </c>
      <c r="AK285" s="172" t="str">
        <f t="shared" si="725"/>
        <v>290.42</v>
      </c>
      <c r="AL285" s="173" t="str">
        <f t="shared" si="726"/>
        <v>2,727.39</v>
      </c>
      <c r="AM285" s="174" t="str">
        <f t="shared" si="727"/>
        <v>1,936.45</v>
      </c>
    </row>
    <row r="286" ht="12.75" customHeight="1">
      <c r="A286" s="26"/>
      <c r="B286" s="190"/>
      <c r="C286" s="199">
        <v>4.37776835E8</v>
      </c>
      <c r="D286" s="152" t="s">
        <v>572</v>
      </c>
      <c r="E286" s="53" t="s">
        <v>77</v>
      </c>
      <c r="F286" s="154"/>
      <c r="G286" s="53"/>
      <c r="H286" s="53" t="str">
        <f t="shared" si="707"/>
        <v>0.00069</v>
      </c>
      <c r="I286" s="53" t="str">
        <f t="shared" si="708"/>
        <v>89</v>
      </c>
      <c r="J286" s="53" t="str">
        <f t="shared" si="709"/>
        <v>0</v>
      </c>
      <c r="K286" s="155" t="str">
        <f t="shared" si="710"/>
        <v>0.00</v>
      </c>
      <c r="L286" s="156" t="str">
        <f t="shared" si="711"/>
        <v>0.00 </v>
      </c>
      <c r="M286" s="132">
        <v>90.0</v>
      </c>
      <c r="N286" s="325">
        <v>819.9</v>
      </c>
      <c r="O286" s="158">
        <v>2149.0</v>
      </c>
      <c r="P286" s="159">
        <v>2260.0</v>
      </c>
      <c r="Q286" s="160">
        <v>2175.0</v>
      </c>
      <c r="R286" s="161">
        <v>0.26</v>
      </c>
      <c r="S286" s="162" t="str">
        <f t="shared" si="712"/>
        <v>1,590.26</v>
      </c>
      <c r="T286" s="163" t="str">
        <f t="shared" si="713"/>
        <v>20.00</v>
      </c>
      <c r="U286" s="164" t="str">
        <f t="shared" si="714"/>
        <v>127.22</v>
      </c>
      <c r="V286" s="165" t="str">
        <f t="shared" si="715"/>
        <v>0.00</v>
      </c>
      <c r="W286" s="166">
        <v>0.73</v>
      </c>
      <c r="X286" s="167" t="str">
        <f t="shared" si="716"/>
        <v>76</v>
      </c>
      <c r="Y286" s="168" t="str">
        <f t="shared" si="717"/>
        <v>590.975</v>
      </c>
      <c r="Z286" s="168" t="str">
        <f t="shared" si="718"/>
        <v>34.509</v>
      </c>
      <c r="AA286" s="164" t="str">
        <f t="shared" si="719"/>
        <v>0.54</v>
      </c>
      <c r="AB286" s="164">
        <v>98.92</v>
      </c>
      <c r="AC286" s="164" t="str">
        <f t="shared" si="720"/>
        <v>4.80</v>
      </c>
      <c r="AD286" s="165" t="str">
        <f t="shared" si="721"/>
        <v>107.45</v>
      </c>
      <c r="AE286" s="23"/>
      <c r="AF286" s="169" t="str">
        <f t="shared" si="722"/>
        <v>10.2</v>
      </c>
      <c r="AG286" s="163" t="str">
        <f t="shared" si="723"/>
        <v>367.61</v>
      </c>
      <c r="AH286" s="170" t="str">
        <f t="shared" si="724"/>
        <v>44.84%</v>
      </c>
      <c r="AI286" s="26"/>
      <c r="AJ286" s="171">
        <v>0.25</v>
      </c>
      <c r="AK286" s="172" t="str">
        <f t="shared" si="725"/>
        <v>204.98</v>
      </c>
      <c r="AL286" s="173" t="str">
        <f t="shared" si="726"/>
        <v>1,982.23</v>
      </c>
      <c r="AM286" s="174" t="str">
        <f t="shared" si="727"/>
        <v>1,407.39</v>
      </c>
    </row>
    <row r="287" ht="12.75" customHeight="1">
      <c r="A287" s="26"/>
      <c r="B287" s="190"/>
      <c r="C287" s="199">
        <v>4.37797551E8</v>
      </c>
      <c r="D287" s="152" t="s">
        <v>573</v>
      </c>
      <c r="E287" s="53" t="s">
        <v>77</v>
      </c>
      <c r="F287" s="154"/>
      <c r="G287" s="53"/>
      <c r="H287" s="53" t="str">
        <f t="shared" si="707"/>
        <v>0.00069</v>
      </c>
      <c r="I287" s="53" t="str">
        <f t="shared" si="708"/>
        <v>89</v>
      </c>
      <c r="J287" s="53" t="str">
        <f t="shared" si="709"/>
        <v>0</v>
      </c>
      <c r="K287" s="155" t="str">
        <f t="shared" si="710"/>
        <v>0.00</v>
      </c>
      <c r="L287" s="156" t="str">
        <f t="shared" si="711"/>
        <v>0.00 </v>
      </c>
      <c r="M287" s="132">
        <v>90.0</v>
      </c>
      <c r="N287" s="325">
        <v>956.83</v>
      </c>
      <c r="O287" s="158">
        <v>2176.0</v>
      </c>
      <c r="P287" s="159">
        <v>2250.0</v>
      </c>
      <c r="Q287" s="160">
        <v>2204.0</v>
      </c>
      <c r="R287" s="161">
        <v>0.26</v>
      </c>
      <c r="S287" s="162" t="str">
        <f t="shared" si="712"/>
        <v>1,610.24</v>
      </c>
      <c r="T287" s="163" t="str">
        <f t="shared" si="713"/>
        <v>20.00</v>
      </c>
      <c r="U287" s="164" t="str">
        <f t="shared" si="714"/>
        <v>128.82</v>
      </c>
      <c r="V287" s="165" t="str">
        <f t="shared" si="715"/>
        <v>0.00</v>
      </c>
      <c r="W287" s="166">
        <v>0.73</v>
      </c>
      <c r="X287" s="167" t="str">
        <f t="shared" si="716"/>
        <v>76</v>
      </c>
      <c r="Y287" s="168" t="str">
        <f t="shared" si="717"/>
        <v>598.400</v>
      </c>
      <c r="Z287" s="168" t="str">
        <f t="shared" si="718"/>
        <v>34.942</v>
      </c>
      <c r="AA287" s="164" t="str">
        <f t="shared" si="719"/>
        <v>0.54</v>
      </c>
      <c r="AB287" s="164">
        <v>98.92</v>
      </c>
      <c r="AC287" s="164" t="str">
        <f t="shared" si="720"/>
        <v>4.80</v>
      </c>
      <c r="AD287" s="165" t="str">
        <f t="shared" si="721"/>
        <v>108.80</v>
      </c>
      <c r="AE287" s="23"/>
      <c r="AF287" s="169" t="str">
        <f t="shared" si="722"/>
        <v>10.2</v>
      </c>
      <c r="AG287" s="163" t="str">
        <f t="shared" si="723"/>
        <v>246.87</v>
      </c>
      <c r="AH287" s="170" t="str">
        <f t="shared" si="724"/>
        <v>25.80%</v>
      </c>
      <c r="AI287" s="26"/>
      <c r="AJ287" s="171">
        <v>0.25</v>
      </c>
      <c r="AK287" s="172" t="str">
        <f t="shared" si="725"/>
        <v>239.21</v>
      </c>
      <c r="AL287" s="173" t="str">
        <f t="shared" si="726"/>
        <v>2,280.79</v>
      </c>
      <c r="AM287" s="174" t="str">
        <f t="shared" si="727"/>
        <v>1,619.36</v>
      </c>
    </row>
    <row r="288" ht="12.75" customHeight="1">
      <c r="A288" s="26"/>
      <c r="B288" s="190"/>
      <c r="C288" s="199">
        <v>4.37845041E8</v>
      </c>
      <c r="D288" s="152" t="s">
        <v>574</v>
      </c>
      <c r="E288" s="53" t="s">
        <v>77</v>
      </c>
      <c r="F288" s="154"/>
      <c r="G288" s="53"/>
      <c r="H288" s="53" t="str">
        <f t="shared" si="707"/>
        <v>0.00069</v>
      </c>
      <c r="I288" s="53" t="str">
        <f t="shared" si="708"/>
        <v>89</v>
      </c>
      <c r="J288" s="53" t="str">
        <f t="shared" si="709"/>
        <v>0</v>
      </c>
      <c r="K288" s="155" t="str">
        <f t="shared" si="710"/>
        <v>0.00</v>
      </c>
      <c r="L288" s="156" t="str">
        <f t="shared" si="711"/>
        <v>0.00 </v>
      </c>
      <c r="M288" s="132">
        <v>90.0</v>
      </c>
      <c r="N288" s="325">
        <v>1024.87</v>
      </c>
      <c r="O288" s="158">
        <v>2250.0</v>
      </c>
      <c r="P288" s="159">
        <v>2250.0</v>
      </c>
      <c r="Q288" s="160">
        <v>2290.0</v>
      </c>
      <c r="R288" s="161">
        <v>0.26</v>
      </c>
      <c r="S288" s="162" t="str">
        <f t="shared" si="712"/>
        <v>1,665.00</v>
      </c>
      <c r="T288" s="163" t="str">
        <f t="shared" si="713"/>
        <v>20.00</v>
      </c>
      <c r="U288" s="164" t="str">
        <f t="shared" si="714"/>
        <v>133.20</v>
      </c>
      <c r="V288" s="165" t="str">
        <f t="shared" si="715"/>
        <v>0.00</v>
      </c>
      <c r="W288" s="166">
        <v>0.73</v>
      </c>
      <c r="X288" s="167" t="str">
        <f t="shared" si="716"/>
        <v>76</v>
      </c>
      <c r="Y288" s="168" t="str">
        <f t="shared" si="717"/>
        <v>618.750</v>
      </c>
      <c r="Z288" s="168" t="str">
        <f t="shared" si="718"/>
        <v>36.131</v>
      </c>
      <c r="AA288" s="164" t="str">
        <f t="shared" si="719"/>
        <v>0.54</v>
      </c>
      <c r="AB288" s="164">
        <v>98.92</v>
      </c>
      <c r="AC288" s="164" t="str">
        <f t="shared" si="720"/>
        <v>4.80</v>
      </c>
      <c r="AD288" s="165" t="str">
        <f t="shared" si="721"/>
        <v>112.50</v>
      </c>
      <c r="AE288" s="23"/>
      <c r="AF288" s="169" t="str">
        <f t="shared" si="722"/>
        <v>10.2</v>
      </c>
      <c r="AG288" s="163" t="str">
        <f t="shared" si="723"/>
        <v>223.21</v>
      </c>
      <c r="AH288" s="170" t="str">
        <f t="shared" si="724"/>
        <v>21.78%</v>
      </c>
      <c r="AI288" s="26"/>
      <c r="AJ288" s="171">
        <v>0.25</v>
      </c>
      <c r="AK288" s="172" t="str">
        <f t="shared" si="725"/>
        <v>256.22</v>
      </c>
      <c r="AL288" s="173" t="str">
        <f t="shared" si="726"/>
        <v>2,429.14</v>
      </c>
      <c r="AM288" s="174" t="str">
        <f t="shared" si="727"/>
        <v>1,724.69</v>
      </c>
    </row>
    <row r="289" ht="12.75" customHeight="1">
      <c r="A289" s="26"/>
      <c r="B289" s="190"/>
      <c r="C289" s="199">
        <v>4.37850261E8</v>
      </c>
      <c r="D289" s="152" t="s">
        <v>576</v>
      </c>
      <c r="E289" s="53" t="s">
        <v>77</v>
      </c>
      <c r="F289" s="154"/>
      <c r="G289" s="53"/>
      <c r="H289" s="53" t="str">
        <f t="shared" si="707"/>
        <v>0.00069</v>
      </c>
      <c r="I289" s="53" t="str">
        <f t="shared" si="708"/>
        <v>89</v>
      </c>
      <c r="J289" s="53" t="str">
        <f t="shared" si="709"/>
        <v>0</v>
      </c>
      <c r="K289" s="155" t="str">
        <f t="shared" si="710"/>
        <v>0.00</v>
      </c>
      <c r="L289" s="156" t="str">
        <f t="shared" si="711"/>
        <v>0.00 </v>
      </c>
      <c r="M289" s="132">
        <v>90.0</v>
      </c>
      <c r="N289" s="325">
        <v>0.0</v>
      </c>
      <c r="O289" s="158">
        <v>2001.0</v>
      </c>
      <c r="P289" s="159">
        <v>2001.0</v>
      </c>
      <c r="Q289" s="160">
        <v>2044.0</v>
      </c>
      <c r="R289" s="161">
        <v>0.26</v>
      </c>
      <c r="S289" s="162" t="str">
        <f t="shared" si="712"/>
        <v>1,480.74</v>
      </c>
      <c r="T289" s="163" t="str">
        <f t="shared" si="713"/>
        <v>20.00</v>
      </c>
      <c r="U289" s="164" t="str">
        <f t="shared" si="714"/>
        <v>118.46</v>
      </c>
      <c r="V289" s="165" t="str">
        <f t="shared" si="715"/>
        <v>0.00</v>
      </c>
      <c r="W289" s="166">
        <v>0.73</v>
      </c>
      <c r="X289" s="167" t="str">
        <f t="shared" si="716"/>
        <v>76</v>
      </c>
      <c r="Y289" s="168" t="str">
        <f t="shared" si="717"/>
        <v>550.275</v>
      </c>
      <c r="Z289" s="168" t="str">
        <f t="shared" si="718"/>
        <v>32.132</v>
      </c>
      <c r="AA289" s="164" t="str">
        <f t="shared" si="719"/>
        <v>0.54</v>
      </c>
      <c r="AB289" s="164">
        <v>98.92</v>
      </c>
      <c r="AC289" s="164" t="str">
        <f t="shared" si="720"/>
        <v>4.80</v>
      </c>
      <c r="AD289" s="165" t="str">
        <f t="shared" si="721"/>
        <v>100.05</v>
      </c>
      <c r="AE289" s="23"/>
      <c r="AF289" s="169" t="str">
        <f t="shared" si="722"/>
        <v>10.2</v>
      </c>
      <c r="AG289" s="163" t="str">
        <f t="shared" si="723"/>
        <v>1,098.74</v>
      </c>
      <c r="AH289" s="170" t="str">
        <f t="shared" si="724"/>
        <v>#DIV/0!</v>
      </c>
      <c r="AI289" s="26"/>
      <c r="AJ289" s="171">
        <v>0.25</v>
      </c>
      <c r="AK289" s="172" t="str">
        <f t="shared" si="725"/>
        <v>0.00</v>
      </c>
      <c r="AL289" s="173" t="str">
        <f t="shared" si="726"/>
        <v>194.56</v>
      </c>
      <c r="AM289" s="174" t="str">
        <f t="shared" si="727"/>
        <v>138.14</v>
      </c>
    </row>
    <row r="290" ht="12.75" customHeight="1">
      <c r="A290" s="26"/>
      <c r="B290" s="125" t="s">
        <v>577</v>
      </c>
      <c r="C290" s="126"/>
      <c r="D290" s="127"/>
      <c r="E290" s="128"/>
      <c r="F290" s="129"/>
      <c r="G290" s="128"/>
      <c r="H290" s="197"/>
      <c r="I290" s="197"/>
      <c r="J290" s="128"/>
      <c r="K290" s="130"/>
      <c r="L290" s="131"/>
      <c r="M290" s="132"/>
      <c r="N290" s="320"/>
      <c r="O290" s="134"/>
      <c r="P290" s="135"/>
      <c r="Q290" s="135"/>
      <c r="R290" s="136"/>
      <c r="S290" s="137"/>
      <c r="T290" s="177"/>
      <c r="U290" s="178"/>
      <c r="V290" s="179"/>
      <c r="W290" s="180"/>
      <c r="X290" s="181"/>
      <c r="Y290" s="182"/>
      <c r="Z290" s="182"/>
      <c r="AA290" s="178"/>
      <c r="AB290" s="178"/>
      <c r="AC290" s="178"/>
      <c r="AD290" s="179"/>
      <c r="AE290" s="183"/>
      <c r="AF290" s="184"/>
      <c r="AG290" s="177"/>
      <c r="AH290" s="185"/>
      <c r="AI290" s="26"/>
      <c r="AJ290" s="186"/>
      <c r="AK290" s="187"/>
      <c r="AL290" s="188"/>
      <c r="AM290" s="189"/>
    </row>
    <row r="291" ht="12.75" customHeight="1">
      <c r="A291" s="26"/>
      <c r="B291" s="190" t="s">
        <v>578</v>
      </c>
      <c r="C291" s="199">
        <v>2.14312259E8</v>
      </c>
      <c r="D291" s="152" t="s">
        <v>579</v>
      </c>
      <c r="E291" s="53" t="s">
        <v>77</v>
      </c>
      <c r="F291" s="154"/>
      <c r="G291" s="53"/>
      <c r="H291" s="53" t="str">
        <f t="shared" ref="H291:H296" si="728">$I$2</f>
        <v>0.00069</v>
      </c>
      <c r="I291" s="53" t="str">
        <f t="shared" ref="I291:I296" si="729">$I$3</f>
        <v>89</v>
      </c>
      <c r="J291" s="53" t="str">
        <f t="shared" ref="J291:J296" si="730">G291*H291*I291*F291</f>
        <v>0</v>
      </c>
      <c r="K291" s="155" t="str">
        <f t="shared" ref="K291:K296" si="731">J291*$J$4</f>
        <v>0.00</v>
      </c>
      <c r="L291" s="156" t="str">
        <f t="shared" ref="L291:L296" si="732">K291+J291</f>
        <v>0.00 </v>
      </c>
      <c r="M291" s="132">
        <v>90.0</v>
      </c>
      <c r="N291" s="325">
        <v>472.75</v>
      </c>
      <c r="O291" s="158">
        <v>2019.0</v>
      </c>
      <c r="P291" s="159" t="str">
        <f t="shared" ref="P291:P293" si="733">O291</f>
        <v>2,019.00</v>
      </c>
      <c r="Q291" s="160" t="s">
        <v>78</v>
      </c>
      <c r="R291" s="161">
        <v>0.26</v>
      </c>
      <c r="S291" s="162" t="str">
        <f t="shared" ref="S291:S296" si="734">O291-(O291*R291)</f>
        <v>1,494.06</v>
      </c>
      <c r="T291" s="163" t="str">
        <f t="shared" ref="T291:T296" si="735">$C$1</f>
        <v>20.00</v>
      </c>
      <c r="U291" s="164" t="str">
        <f t="shared" ref="U291:U296" si="736">S291*$C$8</f>
        <v>119.52</v>
      </c>
      <c r="V291" s="165" t="str">
        <f t="shared" ref="V291:V296" si="737">N291*$C$3*(M291/30)</f>
        <v>0.00</v>
      </c>
      <c r="W291" s="166">
        <v>3.0</v>
      </c>
      <c r="X291" s="167" t="str">
        <f t="shared" ref="X291:X296" si="738">((_xlfn.CEILING.MATH(W291)-1)*$C$5+$C$4)</f>
        <v>114</v>
      </c>
      <c r="Y291" s="168" t="str">
        <f t="shared" ref="Y291:Y296" si="739">O291*$Y$6</f>
        <v>555.225</v>
      </c>
      <c r="Z291" s="168" t="str">
        <f t="shared" ref="Z291:Z296" si="740">S291*$Y$7</f>
        <v>32.421</v>
      </c>
      <c r="AA291" s="164" t="str">
        <f t="shared" ref="AA291:AA296" si="741">$Y$3*((100-AB291)/100)</f>
        <v>5.88</v>
      </c>
      <c r="AB291" s="164">
        <v>88.24</v>
      </c>
      <c r="AC291" s="164" t="str">
        <f t="shared" ref="AC291:AC296" si="742">$C$6*$C$7*_xlfn.CEILING.MATH(W291)</f>
        <v>14.40</v>
      </c>
      <c r="AD291" s="165" t="str">
        <f t="shared" ref="AD291:AD296" si="743">O291*$C$2</f>
        <v>100.95</v>
      </c>
      <c r="AE291" s="23"/>
      <c r="AF291" s="169" t="str">
        <f t="shared" ref="AF291:AF296" si="744">(_xlfn.CEILING.MATH(W291))*$Y$1*$AD$2</f>
        <v>30.6</v>
      </c>
      <c r="AG291" s="163" t="str">
        <f t="shared" ref="AG291:AG296" si="745">O291-T291-U291-V291-X291-Y291-Z291-AA291-AC291-AD291-N291</f>
        <v>583.85</v>
      </c>
      <c r="AH291" s="170" t="str">
        <f t="shared" ref="AH291:AH296" si="746">AG291/N291</f>
        <v>123.50%</v>
      </c>
      <c r="AI291" s="26"/>
      <c r="AJ291" s="171" t="str">
        <f t="shared" ref="AJ291:AJ296" si="747">$AD$3</f>
        <v>0.00%</v>
      </c>
      <c r="AK291" s="172" t="str">
        <f t="shared" ref="AK291:AK296" si="748">N291*AJ291</f>
        <v>0.00</v>
      </c>
      <c r="AL291" s="173" t="str">
        <f t="shared" ref="AL291:AL296" si="749">(N291+T291+V291+X291+AA291+AC291+AF291+AK291)/(100%-($C$2+$C$8+$Y$6+$Y$7))</f>
        <v>1,147.10</v>
      </c>
      <c r="AM291" s="174" t="str">
        <f t="shared" ref="AM291:AM296" si="750">AL291-(AL291*$AD$1)</f>
        <v>814.44</v>
      </c>
    </row>
    <row r="292" ht="12.75" customHeight="1">
      <c r="A292" s="26"/>
      <c r="B292" s="190" t="s">
        <v>580</v>
      </c>
      <c r="C292" s="199">
        <v>2.14312149E8</v>
      </c>
      <c r="D292" s="152" t="s">
        <v>581</v>
      </c>
      <c r="E292" s="53" t="s">
        <v>77</v>
      </c>
      <c r="F292" s="154"/>
      <c r="G292" s="53"/>
      <c r="H292" s="53" t="str">
        <f t="shared" si="728"/>
        <v>0.00069</v>
      </c>
      <c r="I292" s="53" t="str">
        <f t="shared" si="729"/>
        <v>89</v>
      </c>
      <c r="J292" s="53" t="str">
        <f t="shared" si="730"/>
        <v>0</v>
      </c>
      <c r="K292" s="155" t="str">
        <f t="shared" si="731"/>
        <v>0.00</v>
      </c>
      <c r="L292" s="156" t="str">
        <f t="shared" si="732"/>
        <v>0.00 </v>
      </c>
      <c r="M292" s="132">
        <v>90.0</v>
      </c>
      <c r="N292" s="325">
        <v>277.84</v>
      </c>
      <c r="O292" s="158">
        <v>1304.0</v>
      </c>
      <c r="P292" s="159" t="str">
        <f t="shared" si="733"/>
        <v>1,304.00</v>
      </c>
      <c r="Q292" s="160" t="s">
        <v>78</v>
      </c>
      <c r="R292" s="161">
        <v>0.26</v>
      </c>
      <c r="S292" s="162" t="str">
        <f t="shared" si="734"/>
        <v>964.96</v>
      </c>
      <c r="T292" s="163" t="str">
        <f t="shared" si="735"/>
        <v>20.00</v>
      </c>
      <c r="U292" s="164" t="str">
        <f t="shared" si="736"/>
        <v>77.20</v>
      </c>
      <c r="V292" s="165" t="str">
        <f t="shared" si="737"/>
        <v>0.00</v>
      </c>
      <c r="W292" s="166">
        <v>0.24</v>
      </c>
      <c r="X292" s="167" t="str">
        <f t="shared" si="738"/>
        <v>76</v>
      </c>
      <c r="Y292" s="168" t="str">
        <f t="shared" si="739"/>
        <v>358.600</v>
      </c>
      <c r="Z292" s="168" t="str">
        <f t="shared" si="740"/>
        <v>20.940</v>
      </c>
      <c r="AA292" s="164" t="str">
        <f t="shared" si="741"/>
        <v>7.15</v>
      </c>
      <c r="AB292" s="164">
        <v>85.71</v>
      </c>
      <c r="AC292" s="164" t="str">
        <f t="shared" si="742"/>
        <v>4.80</v>
      </c>
      <c r="AD292" s="165" t="str">
        <f t="shared" si="743"/>
        <v>65.20</v>
      </c>
      <c r="AE292" s="23"/>
      <c r="AF292" s="169" t="str">
        <f t="shared" si="744"/>
        <v>10.2</v>
      </c>
      <c r="AG292" s="163" t="str">
        <f t="shared" si="745"/>
        <v>396.28</v>
      </c>
      <c r="AH292" s="170" t="str">
        <f t="shared" si="746"/>
        <v>142.63%</v>
      </c>
      <c r="AI292" s="26"/>
      <c r="AJ292" s="171" t="str">
        <f t="shared" si="747"/>
        <v>0.00%</v>
      </c>
      <c r="AK292" s="172" t="str">
        <f t="shared" si="748"/>
        <v>0.00</v>
      </c>
      <c r="AL292" s="173" t="str">
        <f t="shared" si="749"/>
        <v>690.71</v>
      </c>
      <c r="AM292" s="174" t="str">
        <f t="shared" si="750"/>
        <v>490.41</v>
      </c>
    </row>
    <row r="293" ht="12.75" customHeight="1">
      <c r="A293" s="26"/>
      <c r="B293" s="190" t="s">
        <v>582</v>
      </c>
      <c r="C293" s="199">
        <v>2.14311963E8</v>
      </c>
      <c r="D293" s="152" t="s">
        <v>583</v>
      </c>
      <c r="E293" s="53" t="s">
        <v>77</v>
      </c>
      <c r="F293" s="154"/>
      <c r="G293" s="53"/>
      <c r="H293" s="53" t="str">
        <f t="shared" si="728"/>
        <v>0.00069</v>
      </c>
      <c r="I293" s="53" t="str">
        <f t="shared" si="729"/>
        <v>89</v>
      </c>
      <c r="J293" s="53" t="str">
        <f t="shared" si="730"/>
        <v>0</v>
      </c>
      <c r="K293" s="155" t="str">
        <f t="shared" si="731"/>
        <v>0.00</v>
      </c>
      <c r="L293" s="156" t="str">
        <f t="shared" si="732"/>
        <v>0.00 </v>
      </c>
      <c r="M293" s="132">
        <v>90.0</v>
      </c>
      <c r="N293" s="325">
        <v>370.68</v>
      </c>
      <c r="O293" s="158">
        <v>1850.0</v>
      </c>
      <c r="P293" s="159" t="str">
        <f t="shared" si="733"/>
        <v>1,850.00</v>
      </c>
      <c r="Q293" s="160">
        <v>1968.0</v>
      </c>
      <c r="R293" s="161">
        <v>0.26</v>
      </c>
      <c r="S293" s="162" t="str">
        <f t="shared" si="734"/>
        <v>1,369.00</v>
      </c>
      <c r="T293" s="163" t="str">
        <f t="shared" si="735"/>
        <v>20.00</v>
      </c>
      <c r="U293" s="164" t="str">
        <f t="shared" si="736"/>
        <v>109.52</v>
      </c>
      <c r="V293" s="165" t="str">
        <f t="shared" si="737"/>
        <v>0.00</v>
      </c>
      <c r="W293" s="166">
        <v>0.18</v>
      </c>
      <c r="X293" s="167" t="str">
        <f t="shared" si="738"/>
        <v>76</v>
      </c>
      <c r="Y293" s="168" t="str">
        <f t="shared" si="739"/>
        <v>508.750</v>
      </c>
      <c r="Z293" s="168" t="str">
        <f t="shared" si="740"/>
        <v>29.707</v>
      </c>
      <c r="AA293" s="164" t="str">
        <f t="shared" si="741"/>
        <v>3.71</v>
      </c>
      <c r="AB293" s="164">
        <v>92.59</v>
      </c>
      <c r="AC293" s="164" t="str">
        <f t="shared" si="742"/>
        <v>4.80</v>
      </c>
      <c r="AD293" s="165" t="str">
        <f t="shared" si="743"/>
        <v>92.50</v>
      </c>
      <c r="AE293" s="23"/>
      <c r="AF293" s="169" t="str">
        <f t="shared" si="744"/>
        <v>10.2</v>
      </c>
      <c r="AG293" s="163" t="str">
        <f t="shared" si="745"/>
        <v>634.34</v>
      </c>
      <c r="AH293" s="170" t="str">
        <f t="shared" si="746"/>
        <v>171.13%</v>
      </c>
      <c r="AI293" s="26"/>
      <c r="AJ293" s="171" t="str">
        <f t="shared" si="747"/>
        <v>0.00%</v>
      </c>
      <c r="AK293" s="172" t="str">
        <f t="shared" si="748"/>
        <v>0.00</v>
      </c>
      <c r="AL293" s="173" t="str">
        <f t="shared" si="749"/>
        <v>846.65</v>
      </c>
      <c r="AM293" s="174" t="str">
        <f t="shared" si="750"/>
        <v>601.12</v>
      </c>
    </row>
    <row r="294" ht="12.75" customHeight="1">
      <c r="A294" s="26"/>
      <c r="B294" s="190" t="s">
        <v>584</v>
      </c>
      <c r="C294" s="202">
        <v>2.14312065E8</v>
      </c>
      <c r="D294" s="152" t="s">
        <v>585</v>
      </c>
      <c r="E294" s="53" t="s">
        <v>77</v>
      </c>
      <c r="F294" s="154"/>
      <c r="G294" s="53"/>
      <c r="H294" s="53" t="str">
        <f t="shared" si="728"/>
        <v>0.00069</v>
      </c>
      <c r="I294" s="53" t="str">
        <f t="shared" si="729"/>
        <v>89</v>
      </c>
      <c r="J294" s="53" t="str">
        <f t="shared" si="730"/>
        <v>0</v>
      </c>
      <c r="K294" s="155" t="str">
        <f t="shared" si="731"/>
        <v>0.00</v>
      </c>
      <c r="L294" s="156" t="str">
        <f t="shared" si="732"/>
        <v>0.00 </v>
      </c>
      <c r="M294" s="132">
        <v>90.0</v>
      </c>
      <c r="N294" s="325" t="str">
        <f t="shared" ref="N294:N296" si="751">L294/F294</f>
        <v>#DIV/0!</v>
      </c>
      <c r="O294" s="158">
        <v>1259.1</v>
      </c>
      <c r="P294" s="159" t="str">
        <f t="shared" ref="P294:P296" si="752">AL294</f>
        <v>#DIV/0!</v>
      </c>
      <c r="Q294" s="160"/>
      <c r="R294" s="161">
        <v>0.26</v>
      </c>
      <c r="S294" s="162" t="str">
        <f t="shared" si="734"/>
        <v>931.73</v>
      </c>
      <c r="T294" s="163" t="str">
        <f t="shared" si="735"/>
        <v>20.00</v>
      </c>
      <c r="U294" s="164" t="str">
        <f t="shared" si="736"/>
        <v>74.54</v>
      </c>
      <c r="V294" s="165" t="str">
        <f t="shared" si="737"/>
        <v>#DIV/0!</v>
      </c>
      <c r="W294" s="166">
        <v>0.68</v>
      </c>
      <c r="X294" s="167" t="str">
        <f t="shared" si="738"/>
        <v>76</v>
      </c>
      <c r="Y294" s="168" t="str">
        <f t="shared" si="739"/>
        <v>346.253</v>
      </c>
      <c r="Z294" s="168" t="str">
        <f t="shared" si="740"/>
        <v>20.219</v>
      </c>
      <c r="AA294" s="164" t="str">
        <f t="shared" si="741"/>
        <v>1.69</v>
      </c>
      <c r="AB294" s="164">
        <v>96.62</v>
      </c>
      <c r="AC294" s="164" t="str">
        <f t="shared" si="742"/>
        <v>4.80</v>
      </c>
      <c r="AD294" s="165" t="str">
        <f t="shared" si="743"/>
        <v>62.96</v>
      </c>
      <c r="AE294" s="23"/>
      <c r="AF294" s="169" t="str">
        <f t="shared" si="744"/>
        <v>10.2</v>
      </c>
      <c r="AG294" s="163" t="str">
        <f t="shared" si="745"/>
        <v>#DIV/0!</v>
      </c>
      <c r="AH294" s="170" t="str">
        <f t="shared" si="746"/>
        <v>#DIV/0!</v>
      </c>
      <c r="AI294" s="26"/>
      <c r="AJ294" s="171" t="str">
        <f t="shared" si="747"/>
        <v>0.00%</v>
      </c>
      <c r="AK294" s="172" t="str">
        <f t="shared" si="748"/>
        <v>#DIV/0!</v>
      </c>
      <c r="AL294" s="173" t="str">
        <f t="shared" si="749"/>
        <v>#DIV/0!</v>
      </c>
      <c r="AM294" s="174" t="str">
        <f t="shared" si="750"/>
        <v>#DIV/0!</v>
      </c>
    </row>
    <row r="295" ht="12.75" customHeight="1">
      <c r="A295" s="26"/>
      <c r="B295" s="190" t="s">
        <v>586</v>
      </c>
      <c r="C295" s="202">
        <v>2.1431211E8</v>
      </c>
      <c r="D295" s="152" t="s">
        <v>587</v>
      </c>
      <c r="E295" s="53" t="s">
        <v>77</v>
      </c>
      <c r="F295" s="154"/>
      <c r="G295" s="53"/>
      <c r="H295" s="53" t="str">
        <f t="shared" si="728"/>
        <v>0.00069</v>
      </c>
      <c r="I295" s="53" t="str">
        <f t="shared" si="729"/>
        <v>89</v>
      </c>
      <c r="J295" s="53" t="str">
        <f t="shared" si="730"/>
        <v>0</v>
      </c>
      <c r="K295" s="155" t="str">
        <f t="shared" si="731"/>
        <v>0.00</v>
      </c>
      <c r="L295" s="156" t="str">
        <f t="shared" si="732"/>
        <v>0.00 </v>
      </c>
      <c r="M295" s="132">
        <v>90.0</v>
      </c>
      <c r="N295" s="325" t="str">
        <f t="shared" si="751"/>
        <v>#DIV/0!</v>
      </c>
      <c r="O295" s="158">
        <v>1501.2</v>
      </c>
      <c r="P295" s="159" t="str">
        <f t="shared" si="752"/>
        <v>#DIV/0!</v>
      </c>
      <c r="Q295" s="160"/>
      <c r="R295" s="161">
        <v>0.26</v>
      </c>
      <c r="S295" s="162" t="str">
        <f t="shared" si="734"/>
        <v>1,110.89</v>
      </c>
      <c r="T295" s="163" t="str">
        <f t="shared" si="735"/>
        <v>20.00</v>
      </c>
      <c r="U295" s="164" t="str">
        <f t="shared" si="736"/>
        <v>88.87</v>
      </c>
      <c r="V295" s="165" t="str">
        <f t="shared" si="737"/>
        <v>#DIV/0!</v>
      </c>
      <c r="W295" s="166">
        <v>0.61</v>
      </c>
      <c r="X295" s="167" t="str">
        <f t="shared" si="738"/>
        <v>76</v>
      </c>
      <c r="Y295" s="168" t="str">
        <f t="shared" si="739"/>
        <v>412.830</v>
      </c>
      <c r="Z295" s="168" t="str">
        <f t="shared" si="740"/>
        <v>24.106</v>
      </c>
      <c r="AA295" s="164" t="str">
        <f t="shared" si="741"/>
        <v>4.86</v>
      </c>
      <c r="AB295" s="164">
        <v>90.28</v>
      </c>
      <c r="AC295" s="164" t="str">
        <f t="shared" si="742"/>
        <v>4.80</v>
      </c>
      <c r="AD295" s="165" t="str">
        <f t="shared" si="743"/>
        <v>75.06</v>
      </c>
      <c r="AE295" s="23"/>
      <c r="AF295" s="169" t="str">
        <f t="shared" si="744"/>
        <v>10.2</v>
      </c>
      <c r="AG295" s="163" t="str">
        <f t="shared" si="745"/>
        <v>#DIV/0!</v>
      </c>
      <c r="AH295" s="170" t="str">
        <f t="shared" si="746"/>
        <v>#DIV/0!</v>
      </c>
      <c r="AI295" s="26"/>
      <c r="AJ295" s="171" t="str">
        <f t="shared" si="747"/>
        <v>0.00%</v>
      </c>
      <c r="AK295" s="172" t="str">
        <f t="shared" si="748"/>
        <v>#DIV/0!</v>
      </c>
      <c r="AL295" s="173" t="str">
        <f t="shared" si="749"/>
        <v>#DIV/0!</v>
      </c>
      <c r="AM295" s="174" t="str">
        <f t="shared" si="750"/>
        <v>#DIV/0!</v>
      </c>
    </row>
    <row r="296" ht="12.75" customHeight="1">
      <c r="A296" s="26"/>
      <c r="B296" s="190" t="s">
        <v>588</v>
      </c>
      <c r="C296" s="202">
        <v>2.14319164E8</v>
      </c>
      <c r="D296" s="152" t="s">
        <v>589</v>
      </c>
      <c r="E296" s="53" t="s">
        <v>77</v>
      </c>
      <c r="F296" s="154"/>
      <c r="G296" s="53"/>
      <c r="H296" s="53" t="str">
        <f t="shared" si="728"/>
        <v>0.00069</v>
      </c>
      <c r="I296" s="53" t="str">
        <f t="shared" si="729"/>
        <v>89</v>
      </c>
      <c r="J296" s="53" t="str">
        <f t="shared" si="730"/>
        <v>0</v>
      </c>
      <c r="K296" s="155" t="str">
        <f t="shared" si="731"/>
        <v>0.00</v>
      </c>
      <c r="L296" s="156" t="str">
        <f t="shared" si="732"/>
        <v>0.00 </v>
      </c>
      <c r="M296" s="132">
        <v>90.0</v>
      </c>
      <c r="N296" s="325" t="str">
        <f t="shared" si="751"/>
        <v>#DIV/0!</v>
      </c>
      <c r="O296" s="158">
        <v>2308.2</v>
      </c>
      <c r="P296" s="159" t="str">
        <f t="shared" si="752"/>
        <v>#DIV/0!</v>
      </c>
      <c r="Q296" s="160"/>
      <c r="R296" s="161">
        <v>0.26</v>
      </c>
      <c r="S296" s="162" t="str">
        <f t="shared" si="734"/>
        <v>1,708.07</v>
      </c>
      <c r="T296" s="163" t="str">
        <f t="shared" si="735"/>
        <v>20.00</v>
      </c>
      <c r="U296" s="164" t="str">
        <f t="shared" si="736"/>
        <v>136.65</v>
      </c>
      <c r="V296" s="165" t="str">
        <f t="shared" si="737"/>
        <v>#DIV/0!</v>
      </c>
      <c r="W296" s="166">
        <v>0.96</v>
      </c>
      <c r="X296" s="167" t="str">
        <f t="shared" si="738"/>
        <v>76</v>
      </c>
      <c r="Y296" s="168" t="str">
        <f t="shared" si="739"/>
        <v>634.755</v>
      </c>
      <c r="Z296" s="168" t="str">
        <f t="shared" si="740"/>
        <v>37.065</v>
      </c>
      <c r="AA296" s="164" t="str">
        <f t="shared" si="741"/>
        <v>1.48</v>
      </c>
      <c r="AB296" s="164">
        <v>97.04</v>
      </c>
      <c r="AC296" s="164" t="str">
        <f t="shared" si="742"/>
        <v>4.80</v>
      </c>
      <c r="AD296" s="165" t="str">
        <f t="shared" si="743"/>
        <v>115.41</v>
      </c>
      <c r="AE296" s="23"/>
      <c r="AF296" s="169" t="str">
        <f t="shared" si="744"/>
        <v>10.2</v>
      </c>
      <c r="AG296" s="163" t="str">
        <f t="shared" si="745"/>
        <v>#DIV/0!</v>
      </c>
      <c r="AH296" s="170" t="str">
        <f t="shared" si="746"/>
        <v>#DIV/0!</v>
      </c>
      <c r="AI296" s="26"/>
      <c r="AJ296" s="171" t="str">
        <f t="shared" si="747"/>
        <v>0.00%</v>
      </c>
      <c r="AK296" s="172" t="str">
        <f t="shared" si="748"/>
        <v>#DIV/0!</v>
      </c>
      <c r="AL296" s="173" t="str">
        <f t="shared" si="749"/>
        <v>#DIV/0!</v>
      </c>
      <c r="AM296" s="174" t="str">
        <f t="shared" si="750"/>
        <v>#DIV/0!</v>
      </c>
    </row>
    <row r="297" ht="12.75" customHeight="1">
      <c r="A297" s="26"/>
      <c r="B297" s="125" t="s">
        <v>590</v>
      </c>
      <c r="C297" s="126"/>
      <c r="D297" s="127"/>
      <c r="E297" s="128"/>
      <c r="F297" s="129"/>
      <c r="G297" s="128"/>
      <c r="H297" s="197"/>
      <c r="I297" s="197"/>
      <c r="J297" s="128"/>
      <c r="K297" s="130"/>
      <c r="L297" s="131"/>
      <c r="M297" s="132"/>
      <c r="N297" s="320"/>
      <c r="O297" s="134"/>
      <c r="P297" s="135"/>
      <c r="Q297" s="135"/>
      <c r="R297" s="136"/>
      <c r="S297" s="137"/>
      <c r="T297" s="177"/>
      <c r="U297" s="178"/>
      <c r="V297" s="179"/>
      <c r="W297" s="180"/>
      <c r="X297" s="181"/>
      <c r="Y297" s="182"/>
      <c r="Z297" s="182"/>
      <c r="AA297" s="178"/>
      <c r="AB297" s="178"/>
      <c r="AC297" s="178"/>
      <c r="AD297" s="179"/>
      <c r="AE297" s="183"/>
      <c r="AF297" s="184"/>
      <c r="AG297" s="177"/>
      <c r="AH297" s="185"/>
      <c r="AI297" s="26"/>
      <c r="AJ297" s="186"/>
      <c r="AK297" s="187"/>
      <c r="AL297" s="188"/>
      <c r="AM297" s="189"/>
    </row>
    <row r="298" ht="12.75" customHeight="1">
      <c r="A298" s="26"/>
      <c r="B298" s="190" t="s">
        <v>591</v>
      </c>
      <c r="C298" s="208">
        <v>2.48928555E8</v>
      </c>
      <c r="D298" s="152" t="s">
        <v>592</v>
      </c>
      <c r="E298" s="53" t="s">
        <v>77</v>
      </c>
      <c r="F298" s="154"/>
      <c r="G298" s="53"/>
      <c r="H298" s="53" t="str">
        <f t="shared" ref="H298:H305" si="753">$I$2</f>
        <v>0.00069</v>
      </c>
      <c r="I298" s="53" t="str">
        <f t="shared" ref="I298:I305" si="754">$I$3</f>
        <v>89</v>
      </c>
      <c r="J298" s="53" t="str">
        <f t="shared" ref="J298:J305" si="755">G298*H298*I298*F298</f>
        <v>0</v>
      </c>
      <c r="K298" s="155" t="str">
        <f t="shared" ref="K298:K305" si="756">J298*$J$4</f>
        <v>0.00</v>
      </c>
      <c r="L298" s="156" t="str">
        <f t="shared" ref="L298:L305" si="757">K298+J298</f>
        <v>0.00 </v>
      </c>
      <c r="M298" s="132">
        <v>90.0</v>
      </c>
      <c r="N298" s="325" t="str">
        <f t="shared" ref="N298:N305" si="758">L298/F298</f>
        <v>#DIV/0!</v>
      </c>
      <c r="O298" s="158">
        <v>1999.2</v>
      </c>
      <c r="P298" s="159" t="str">
        <f t="shared" ref="P298:P305" si="759">AL298</f>
        <v>#DIV/0!</v>
      </c>
      <c r="Q298" s="160"/>
      <c r="R298" s="161">
        <v>0.26</v>
      </c>
      <c r="S298" s="162" t="str">
        <f t="shared" ref="S298:S305" si="760">O298-(O298*R298)</f>
        <v>1,479.41</v>
      </c>
      <c r="T298" s="163" t="str">
        <f t="shared" ref="T298:T305" si="761">$C$1</f>
        <v>20.00</v>
      </c>
      <c r="U298" s="164" t="str">
        <f t="shared" ref="U298:U305" si="762">S298*$C$8</f>
        <v>118.35</v>
      </c>
      <c r="V298" s="165" t="str">
        <f t="shared" ref="V298:V305" si="763">N298*$C$3*(M298/30)</f>
        <v>#DIV/0!</v>
      </c>
      <c r="W298" s="166">
        <v>1.08</v>
      </c>
      <c r="X298" s="167" t="str">
        <f t="shared" ref="X298:X305" si="764">((_xlfn.CEILING.MATH(W298)-1)*$C$5+$C$4)</f>
        <v>95</v>
      </c>
      <c r="Y298" s="168" t="str">
        <f t="shared" ref="Y298:Y305" si="765">O298*$Y$6</f>
        <v>549.780</v>
      </c>
      <c r="Z298" s="168" t="str">
        <f t="shared" ref="Z298:Z305" si="766">S298*$Y$7</f>
        <v>32.103</v>
      </c>
      <c r="AA298" s="164" t="str">
        <f t="shared" ref="AA298:AA305" si="767">$Y$3*((100-AB298)/100)</f>
        <v>2.50</v>
      </c>
      <c r="AB298" s="164">
        <v>95.0</v>
      </c>
      <c r="AC298" s="164" t="str">
        <f t="shared" ref="AC298:AC305" si="768">$C$6*$C$7*_xlfn.CEILING.MATH(W298)</f>
        <v>9.60</v>
      </c>
      <c r="AD298" s="165" t="str">
        <f t="shared" ref="AD298:AD305" si="769">O298*$C$2</f>
        <v>99.96</v>
      </c>
      <c r="AE298" s="23"/>
      <c r="AF298" s="169" t="str">
        <f t="shared" ref="AF298:AF305" si="770">(_xlfn.CEILING.MATH(W298))*$Y$1*$AD$2</f>
        <v>20.4</v>
      </c>
      <c r="AG298" s="163" t="str">
        <f t="shared" ref="AG298:AG305" si="771">O298-T298-U298-V298-X298-Y298-Z298-AA298-AC298-AD298-N298</f>
        <v>#DIV/0!</v>
      </c>
      <c r="AH298" s="170" t="str">
        <f t="shared" ref="AH298:AH305" si="772">AG298/N298</f>
        <v>#DIV/0!</v>
      </c>
      <c r="AI298" s="26"/>
      <c r="AJ298" s="171" t="str">
        <f t="shared" ref="AJ298:AJ305" si="773">$AD$3</f>
        <v>0.00%</v>
      </c>
      <c r="AK298" s="172" t="str">
        <f t="shared" ref="AK298:AK305" si="774">N298*AJ298</f>
        <v>#DIV/0!</v>
      </c>
      <c r="AL298" s="173" t="str">
        <f t="shared" ref="AL298:AL305" si="775">(N298+T298+V298+X298+AA298+AC298+AF298+AK298)/(100%-($C$2+$C$8+$Y$6+$Y$7))</f>
        <v>#DIV/0!</v>
      </c>
      <c r="AM298" s="174" t="str">
        <f t="shared" ref="AM298:AM305" si="776">AL298-(AL298*$AD$1)</f>
        <v>#DIV/0!</v>
      </c>
    </row>
    <row r="299" ht="12.75" customHeight="1">
      <c r="A299" s="26"/>
      <c r="B299" s="190" t="s">
        <v>593</v>
      </c>
      <c r="C299" s="192">
        <v>2.48920315E8</v>
      </c>
      <c r="D299" s="152" t="s">
        <v>594</v>
      </c>
      <c r="E299" s="53" t="s">
        <v>77</v>
      </c>
      <c r="F299" s="154"/>
      <c r="G299" s="53"/>
      <c r="H299" s="53" t="str">
        <f t="shared" si="753"/>
        <v>0.00069</v>
      </c>
      <c r="I299" s="53" t="str">
        <f t="shared" si="754"/>
        <v>89</v>
      </c>
      <c r="J299" s="53" t="str">
        <f t="shared" si="755"/>
        <v>0</v>
      </c>
      <c r="K299" s="155" t="str">
        <f t="shared" si="756"/>
        <v>0.00</v>
      </c>
      <c r="L299" s="156" t="str">
        <f t="shared" si="757"/>
        <v>0.00 </v>
      </c>
      <c r="M299" s="132">
        <v>90.0</v>
      </c>
      <c r="N299" s="325" t="str">
        <f t="shared" si="758"/>
        <v>#DIV/0!</v>
      </c>
      <c r="O299" s="158">
        <v>1659.0</v>
      </c>
      <c r="P299" s="159" t="str">
        <f t="shared" si="759"/>
        <v>#DIV/0!</v>
      </c>
      <c r="Q299" s="160"/>
      <c r="R299" s="161">
        <v>0.26</v>
      </c>
      <c r="S299" s="162" t="str">
        <f t="shared" si="760"/>
        <v>1,227.66</v>
      </c>
      <c r="T299" s="163" t="str">
        <f t="shared" si="761"/>
        <v>20.00</v>
      </c>
      <c r="U299" s="164" t="str">
        <f t="shared" si="762"/>
        <v>98.21</v>
      </c>
      <c r="V299" s="165" t="str">
        <f t="shared" si="763"/>
        <v>#DIV/0!</v>
      </c>
      <c r="W299" s="166">
        <v>0.43</v>
      </c>
      <c r="X299" s="167" t="str">
        <f t="shared" si="764"/>
        <v>76</v>
      </c>
      <c r="Y299" s="168" t="str">
        <f t="shared" si="765"/>
        <v>456.225</v>
      </c>
      <c r="Z299" s="168" t="str">
        <f t="shared" si="766"/>
        <v>26.640</v>
      </c>
      <c r="AA299" s="164" t="str">
        <f t="shared" si="767"/>
        <v>0.00</v>
      </c>
      <c r="AB299" s="164">
        <v>100.0</v>
      </c>
      <c r="AC299" s="164" t="str">
        <f t="shared" si="768"/>
        <v>4.80</v>
      </c>
      <c r="AD299" s="165" t="str">
        <f t="shared" si="769"/>
        <v>82.95</v>
      </c>
      <c r="AE299" s="23"/>
      <c r="AF299" s="169" t="str">
        <f t="shared" si="770"/>
        <v>10.2</v>
      </c>
      <c r="AG299" s="163" t="str">
        <f t="shared" si="771"/>
        <v>#DIV/0!</v>
      </c>
      <c r="AH299" s="170" t="str">
        <f t="shared" si="772"/>
        <v>#DIV/0!</v>
      </c>
      <c r="AI299" s="26"/>
      <c r="AJ299" s="171" t="str">
        <f t="shared" si="773"/>
        <v>0.00%</v>
      </c>
      <c r="AK299" s="172" t="str">
        <f t="shared" si="774"/>
        <v>#DIV/0!</v>
      </c>
      <c r="AL299" s="173" t="str">
        <f t="shared" si="775"/>
        <v>#DIV/0!</v>
      </c>
      <c r="AM299" s="174" t="str">
        <f t="shared" si="776"/>
        <v>#DIV/0!</v>
      </c>
    </row>
    <row r="300" ht="12.75" customHeight="1">
      <c r="A300" s="26"/>
      <c r="B300" s="190" t="s">
        <v>595</v>
      </c>
      <c r="C300" s="202">
        <v>2.48928046E8</v>
      </c>
      <c r="D300" s="152" t="s">
        <v>596</v>
      </c>
      <c r="E300" s="53" t="s">
        <v>77</v>
      </c>
      <c r="F300" s="154"/>
      <c r="G300" s="53"/>
      <c r="H300" s="53" t="str">
        <f t="shared" si="753"/>
        <v>0.00069</v>
      </c>
      <c r="I300" s="53" t="str">
        <f t="shared" si="754"/>
        <v>89</v>
      </c>
      <c r="J300" s="53" t="str">
        <f t="shared" si="755"/>
        <v>0</v>
      </c>
      <c r="K300" s="155" t="str">
        <f t="shared" si="756"/>
        <v>0.00</v>
      </c>
      <c r="L300" s="156" t="str">
        <f t="shared" si="757"/>
        <v>0.00 </v>
      </c>
      <c r="M300" s="132">
        <v>90.0</v>
      </c>
      <c r="N300" s="325" t="str">
        <f t="shared" si="758"/>
        <v>#DIV/0!</v>
      </c>
      <c r="O300" s="158">
        <v>1195.09</v>
      </c>
      <c r="P300" s="159" t="str">
        <f t="shared" si="759"/>
        <v>#DIV/0!</v>
      </c>
      <c r="Q300" s="160"/>
      <c r="R300" s="161">
        <v>0.26</v>
      </c>
      <c r="S300" s="162" t="str">
        <f t="shared" si="760"/>
        <v>884.37</v>
      </c>
      <c r="T300" s="163" t="str">
        <f t="shared" si="761"/>
        <v>20.00</v>
      </c>
      <c r="U300" s="164" t="str">
        <f t="shared" si="762"/>
        <v>70.75</v>
      </c>
      <c r="V300" s="165" t="str">
        <f t="shared" si="763"/>
        <v>#DIV/0!</v>
      </c>
      <c r="W300" s="166">
        <v>0.48</v>
      </c>
      <c r="X300" s="167" t="str">
        <f t="shared" si="764"/>
        <v>76</v>
      </c>
      <c r="Y300" s="168" t="str">
        <f t="shared" si="765"/>
        <v>328.650</v>
      </c>
      <c r="Z300" s="168" t="str">
        <f t="shared" si="766"/>
        <v>19.191</v>
      </c>
      <c r="AA300" s="164" t="str">
        <f t="shared" si="767"/>
        <v>12.50</v>
      </c>
      <c r="AB300" s="164">
        <v>75.0</v>
      </c>
      <c r="AC300" s="164" t="str">
        <f t="shared" si="768"/>
        <v>4.80</v>
      </c>
      <c r="AD300" s="165" t="str">
        <f t="shared" si="769"/>
        <v>59.75</v>
      </c>
      <c r="AE300" s="23"/>
      <c r="AF300" s="169" t="str">
        <f t="shared" si="770"/>
        <v>10.2</v>
      </c>
      <c r="AG300" s="163" t="str">
        <f t="shared" si="771"/>
        <v>#DIV/0!</v>
      </c>
      <c r="AH300" s="170" t="str">
        <f t="shared" si="772"/>
        <v>#DIV/0!</v>
      </c>
      <c r="AI300" s="26"/>
      <c r="AJ300" s="171" t="str">
        <f t="shared" si="773"/>
        <v>0.00%</v>
      </c>
      <c r="AK300" s="172" t="str">
        <f t="shared" si="774"/>
        <v>#DIV/0!</v>
      </c>
      <c r="AL300" s="173" t="str">
        <f t="shared" si="775"/>
        <v>#DIV/0!</v>
      </c>
      <c r="AM300" s="174" t="str">
        <f t="shared" si="776"/>
        <v>#DIV/0!</v>
      </c>
    </row>
    <row r="301" ht="12.75" customHeight="1">
      <c r="A301" s="26"/>
      <c r="B301" s="190" t="s">
        <v>597</v>
      </c>
      <c r="C301" s="202">
        <v>2.48929125E8</v>
      </c>
      <c r="D301" s="152" t="s">
        <v>598</v>
      </c>
      <c r="E301" s="53" t="s">
        <v>77</v>
      </c>
      <c r="F301" s="154"/>
      <c r="G301" s="53"/>
      <c r="H301" s="53" t="str">
        <f t="shared" si="753"/>
        <v>0.00069</v>
      </c>
      <c r="I301" s="53" t="str">
        <f t="shared" si="754"/>
        <v>89</v>
      </c>
      <c r="J301" s="53" t="str">
        <f t="shared" si="755"/>
        <v>0</v>
      </c>
      <c r="K301" s="155" t="str">
        <f t="shared" si="756"/>
        <v>0.00</v>
      </c>
      <c r="L301" s="156" t="str">
        <f t="shared" si="757"/>
        <v>0.00 </v>
      </c>
      <c r="M301" s="132">
        <v>90.0</v>
      </c>
      <c r="N301" s="325" t="str">
        <f t="shared" si="758"/>
        <v>#DIV/0!</v>
      </c>
      <c r="O301" s="158">
        <v>2127.3</v>
      </c>
      <c r="P301" s="159" t="str">
        <f t="shared" si="759"/>
        <v>#DIV/0!</v>
      </c>
      <c r="Q301" s="160"/>
      <c r="R301" s="161">
        <v>0.26</v>
      </c>
      <c r="S301" s="162" t="str">
        <f t="shared" si="760"/>
        <v>1,574.20</v>
      </c>
      <c r="T301" s="163" t="str">
        <f t="shared" si="761"/>
        <v>20.00</v>
      </c>
      <c r="U301" s="164" t="str">
        <f t="shared" si="762"/>
        <v>125.94</v>
      </c>
      <c r="V301" s="165" t="str">
        <f t="shared" si="763"/>
        <v>#DIV/0!</v>
      </c>
      <c r="W301" s="166">
        <v>0.25</v>
      </c>
      <c r="X301" s="167" t="str">
        <f t="shared" si="764"/>
        <v>76</v>
      </c>
      <c r="Y301" s="168" t="str">
        <f t="shared" si="765"/>
        <v>585.008</v>
      </c>
      <c r="Z301" s="168" t="str">
        <f t="shared" si="766"/>
        <v>34.160</v>
      </c>
      <c r="AA301" s="164" t="str">
        <f t="shared" si="767"/>
        <v>1.63</v>
      </c>
      <c r="AB301" s="164">
        <v>96.74</v>
      </c>
      <c r="AC301" s="164" t="str">
        <f t="shared" si="768"/>
        <v>4.80</v>
      </c>
      <c r="AD301" s="165" t="str">
        <f t="shared" si="769"/>
        <v>106.37</v>
      </c>
      <c r="AE301" s="23"/>
      <c r="AF301" s="169" t="str">
        <f t="shared" si="770"/>
        <v>10.2</v>
      </c>
      <c r="AG301" s="163" t="str">
        <f t="shared" si="771"/>
        <v>#DIV/0!</v>
      </c>
      <c r="AH301" s="170" t="str">
        <f t="shared" si="772"/>
        <v>#DIV/0!</v>
      </c>
      <c r="AI301" s="26"/>
      <c r="AJ301" s="171" t="str">
        <f t="shared" si="773"/>
        <v>0.00%</v>
      </c>
      <c r="AK301" s="172" t="str">
        <f t="shared" si="774"/>
        <v>#DIV/0!</v>
      </c>
      <c r="AL301" s="173" t="str">
        <f t="shared" si="775"/>
        <v>#DIV/0!</v>
      </c>
      <c r="AM301" s="174" t="str">
        <f t="shared" si="776"/>
        <v>#DIV/0!</v>
      </c>
    </row>
    <row r="302" ht="12.75" customHeight="1">
      <c r="A302" s="26"/>
      <c r="B302" s="190" t="s">
        <v>599</v>
      </c>
      <c r="C302" s="202">
        <v>2.48922407E8</v>
      </c>
      <c r="D302" s="152" t="s">
        <v>600</v>
      </c>
      <c r="E302" s="53" t="s">
        <v>77</v>
      </c>
      <c r="F302" s="154"/>
      <c r="G302" s="53"/>
      <c r="H302" s="53" t="str">
        <f t="shared" si="753"/>
        <v>0.00069</v>
      </c>
      <c r="I302" s="53" t="str">
        <f t="shared" si="754"/>
        <v>89</v>
      </c>
      <c r="J302" s="53" t="str">
        <f t="shared" si="755"/>
        <v>0</v>
      </c>
      <c r="K302" s="155" t="str">
        <f t="shared" si="756"/>
        <v>0.00</v>
      </c>
      <c r="L302" s="156" t="str">
        <f t="shared" si="757"/>
        <v>0.00 </v>
      </c>
      <c r="M302" s="132">
        <v>90.0</v>
      </c>
      <c r="N302" s="325" t="str">
        <f t="shared" si="758"/>
        <v>#DIV/0!</v>
      </c>
      <c r="O302" s="158">
        <v>1829.1</v>
      </c>
      <c r="P302" s="159" t="str">
        <f t="shared" si="759"/>
        <v>#DIV/0!</v>
      </c>
      <c r="Q302" s="160"/>
      <c r="R302" s="161">
        <v>0.26</v>
      </c>
      <c r="S302" s="162" t="str">
        <f t="shared" si="760"/>
        <v>1,353.53</v>
      </c>
      <c r="T302" s="163" t="str">
        <f t="shared" si="761"/>
        <v>20.00</v>
      </c>
      <c r="U302" s="164" t="str">
        <f t="shared" si="762"/>
        <v>108.28</v>
      </c>
      <c r="V302" s="165" t="str">
        <f t="shared" si="763"/>
        <v>#DIV/0!</v>
      </c>
      <c r="W302" s="166">
        <v>0.21</v>
      </c>
      <c r="X302" s="167" t="str">
        <f t="shared" si="764"/>
        <v>76</v>
      </c>
      <c r="Y302" s="168" t="str">
        <f t="shared" si="765"/>
        <v>503.003</v>
      </c>
      <c r="Z302" s="168" t="str">
        <f t="shared" si="766"/>
        <v>29.372</v>
      </c>
      <c r="AA302" s="164" t="str">
        <f t="shared" si="767"/>
        <v>1.67</v>
      </c>
      <c r="AB302" s="164">
        <v>96.67</v>
      </c>
      <c r="AC302" s="164" t="str">
        <f t="shared" si="768"/>
        <v>4.80</v>
      </c>
      <c r="AD302" s="165" t="str">
        <f t="shared" si="769"/>
        <v>91.46</v>
      </c>
      <c r="AE302" s="23"/>
      <c r="AF302" s="169" t="str">
        <f t="shared" si="770"/>
        <v>10.2</v>
      </c>
      <c r="AG302" s="163" t="str">
        <f t="shared" si="771"/>
        <v>#DIV/0!</v>
      </c>
      <c r="AH302" s="170" t="str">
        <f t="shared" si="772"/>
        <v>#DIV/0!</v>
      </c>
      <c r="AI302" s="26"/>
      <c r="AJ302" s="171" t="str">
        <f t="shared" si="773"/>
        <v>0.00%</v>
      </c>
      <c r="AK302" s="172" t="str">
        <f t="shared" si="774"/>
        <v>#DIV/0!</v>
      </c>
      <c r="AL302" s="173" t="str">
        <f t="shared" si="775"/>
        <v>#DIV/0!</v>
      </c>
      <c r="AM302" s="174" t="str">
        <f t="shared" si="776"/>
        <v>#DIV/0!</v>
      </c>
    </row>
    <row r="303" ht="12.75" customHeight="1">
      <c r="A303" s="26"/>
      <c r="B303" s="190" t="s">
        <v>601</v>
      </c>
      <c r="C303" s="192">
        <v>2.48929483E8</v>
      </c>
      <c r="D303" s="152" t="s">
        <v>602</v>
      </c>
      <c r="E303" s="53" t="s">
        <v>77</v>
      </c>
      <c r="F303" s="154"/>
      <c r="G303" s="53"/>
      <c r="H303" s="53" t="str">
        <f t="shared" si="753"/>
        <v>0.00069</v>
      </c>
      <c r="I303" s="53" t="str">
        <f t="shared" si="754"/>
        <v>89</v>
      </c>
      <c r="J303" s="53" t="str">
        <f t="shared" si="755"/>
        <v>0</v>
      </c>
      <c r="K303" s="155" t="str">
        <f t="shared" si="756"/>
        <v>0.00</v>
      </c>
      <c r="L303" s="156" t="str">
        <f t="shared" si="757"/>
        <v>0.00 </v>
      </c>
      <c r="M303" s="132">
        <v>90.0</v>
      </c>
      <c r="N303" s="325" t="str">
        <f t="shared" si="758"/>
        <v>#DIV/0!</v>
      </c>
      <c r="O303" s="158">
        <v>1967.7</v>
      </c>
      <c r="P303" s="159" t="str">
        <f t="shared" si="759"/>
        <v>#DIV/0!</v>
      </c>
      <c r="Q303" s="160"/>
      <c r="R303" s="161">
        <v>0.26</v>
      </c>
      <c r="S303" s="162" t="str">
        <f t="shared" si="760"/>
        <v>1,456.10</v>
      </c>
      <c r="T303" s="163" t="str">
        <f t="shared" si="761"/>
        <v>20.00</v>
      </c>
      <c r="U303" s="164" t="str">
        <f t="shared" si="762"/>
        <v>116.49</v>
      </c>
      <c r="V303" s="165" t="str">
        <f t="shared" si="763"/>
        <v>#DIV/0!</v>
      </c>
      <c r="W303" s="166">
        <v>0.4</v>
      </c>
      <c r="X303" s="167" t="str">
        <f t="shared" si="764"/>
        <v>76</v>
      </c>
      <c r="Y303" s="168" t="str">
        <f t="shared" si="765"/>
        <v>541.118</v>
      </c>
      <c r="Z303" s="168" t="str">
        <f t="shared" si="766"/>
        <v>31.597</v>
      </c>
      <c r="AA303" s="164" t="str">
        <f t="shared" si="767"/>
        <v>4.41</v>
      </c>
      <c r="AB303" s="164">
        <v>91.18</v>
      </c>
      <c r="AC303" s="164" t="str">
        <f t="shared" si="768"/>
        <v>4.80</v>
      </c>
      <c r="AD303" s="165" t="str">
        <f t="shared" si="769"/>
        <v>98.39</v>
      </c>
      <c r="AE303" s="23"/>
      <c r="AF303" s="169" t="str">
        <f t="shared" si="770"/>
        <v>10.2</v>
      </c>
      <c r="AG303" s="163" t="str">
        <f t="shared" si="771"/>
        <v>#DIV/0!</v>
      </c>
      <c r="AH303" s="170" t="str">
        <f t="shared" si="772"/>
        <v>#DIV/0!</v>
      </c>
      <c r="AI303" s="26"/>
      <c r="AJ303" s="171" t="str">
        <f t="shared" si="773"/>
        <v>0.00%</v>
      </c>
      <c r="AK303" s="172" t="str">
        <f t="shared" si="774"/>
        <v>#DIV/0!</v>
      </c>
      <c r="AL303" s="173" t="str">
        <f t="shared" si="775"/>
        <v>#DIV/0!</v>
      </c>
      <c r="AM303" s="174" t="str">
        <f t="shared" si="776"/>
        <v>#DIV/0!</v>
      </c>
    </row>
    <row r="304" ht="12.75" customHeight="1">
      <c r="A304" s="26"/>
      <c r="B304" s="190" t="s">
        <v>603</v>
      </c>
      <c r="C304" s="192">
        <v>2.48930918E8</v>
      </c>
      <c r="D304" s="152" t="s">
        <v>604</v>
      </c>
      <c r="E304" s="53" t="s">
        <v>77</v>
      </c>
      <c r="F304" s="154"/>
      <c r="G304" s="53"/>
      <c r="H304" s="53" t="str">
        <f t="shared" si="753"/>
        <v>0.00069</v>
      </c>
      <c r="I304" s="53" t="str">
        <f t="shared" si="754"/>
        <v>89</v>
      </c>
      <c r="J304" s="53" t="str">
        <f t="shared" si="755"/>
        <v>0</v>
      </c>
      <c r="K304" s="155" t="str">
        <f t="shared" si="756"/>
        <v>0.00</v>
      </c>
      <c r="L304" s="156" t="str">
        <f t="shared" si="757"/>
        <v>0.00 </v>
      </c>
      <c r="M304" s="132">
        <v>90.0</v>
      </c>
      <c r="N304" s="325" t="str">
        <f t="shared" si="758"/>
        <v>#DIV/0!</v>
      </c>
      <c r="O304" s="158">
        <v>560.7</v>
      </c>
      <c r="P304" s="159" t="str">
        <f t="shared" si="759"/>
        <v>#DIV/0!</v>
      </c>
      <c r="Q304" s="160"/>
      <c r="R304" s="161">
        <v>0.26</v>
      </c>
      <c r="S304" s="162" t="str">
        <f t="shared" si="760"/>
        <v>414.92</v>
      </c>
      <c r="T304" s="163" t="str">
        <f t="shared" si="761"/>
        <v>20.00</v>
      </c>
      <c r="U304" s="164" t="str">
        <f t="shared" si="762"/>
        <v>33.19</v>
      </c>
      <c r="V304" s="165" t="str">
        <f t="shared" si="763"/>
        <v>#DIV/0!</v>
      </c>
      <c r="W304" s="166">
        <v>0.19</v>
      </c>
      <c r="X304" s="167" t="str">
        <f t="shared" si="764"/>
        <v>76</v>
      </c>
      <c r="Y304" s="168" t="str">
        <f t="shared" si="765"/>
        <v>154.193</v>
      </c>
      <c r="Z304" s="168" t="str">
        <f t="shared" si="766"/>
        <v>9.004</v>
      </c>
      <c r="AA304" s="164" t="str">
        <f t="shared" si="767"/>
        <v>3.68</v>
      </c>
      <c r="AB304" s="164">
        <v>92.64</v>
      </c>
      <c r="AC304" s="164" t="str">
        <f t="shared" si="768"/>
        <v>4.80</v>
      </c>
      <c r="AD304" s="165" t="str">
        <f t="shared" si="769"/>
        <v>28.04</v>
      </c>
      <c r="AE304" s="23"/>
      <c r="AF304" s="169" t="str">
        <f t="shared" si="770"/>
        <v>10.2</v>
      </c>
      <c r="AG304" s="163" t="str">
        <f t="shared" si="771"/>
        <v>#DIV/0!</v>
      </c>
      <c r="AH304" s="170" t="str">
        <f t="shared" si="772"/>
        <v>#DIV/0!</v>
      </c>
      <c r="AI304" s="26"/>
      <c r="AJ304" s="171" t="str">
        <f t="shared" si="773"/>
        <v>0.00%</v>
      </c>
      <c r="AK304" s="172" t="str">
        <f t="shared" si="774"/>
        <v>#DIV/0!</v>
      </c>
      <c r="AL304" s="173" t="str">
        <f t="shared" si="775"/>
        <v>#DIV/0!</v>
      </c>
      <c r="AM304" s="174" t="str">
        <f t="shared" si="776"/>
        <v>#DIV/0!</v>
      </c>
    </row>
    <row r="305" ht="12.75" customHeight="1">
      <c r="A305" s="26"/>
      <c r="B305" s="190" t="s">
        <v>605</v>
      </c>
      <c r="C305" s="192">
        <v>2.4893025E8</v>
      </c>
      <c r="D305" s="152" t="s">
        <v>606</v>
      </c>
      <c r="E305" s="53" t="s">
        <v>77</v>
      </c>
      <c r="F305" s="154"/>
      <c r="G305" s="53"/>
      <c r="H305" s="53" t="str">
        <f t="shared" si="753"/>
        <v>0.00069</v>
      </c>
      <c r="I305" s="53" t="str">
        <f t="shared" si="754"/>
        <v>89</v>
      </c>
      <c r="J305" s="53" t="str">
        <f t="shared" si="755"/>
        <v>0</v>
      </c>
      <c r="K305" s="155" t="str">
        <f t="shared" si="756"/>
        <v>0.00</v>
      </c>
      <c r="L305" s="156" t="str">
        <f t="shared" si="757"/>
        <v>0.00 </v>
      </c>
      <c r="M305" s="132">
        <v>90.0</v>
      </c>
      <c r="N305" s="325" t="str">
        <f t="shared" si="758"/>
        <v>#DIV/0!</v>
      </c>
      <c r="O305" s="158">
        <v>1518.6</v>
      </c>
      <c r="P305" s="159" t="str">
        <f t="shared" si="759"/>
        <v>#DIV/0!</v>
      </c>
      <c r="Q305" s="160"/>
      <c r="R305" s="161">
        <v>0.26</v>
      </c>
      <c r="S305" s="162" t="str">
        <f t="shared" si="760"/>
        <v>1,123.76</v>
      </c>
      <c r="T305" s="163" t="str">
        <f t="shared" si="761"/>
        <v>20.00</v>
      </c>
      <c r="U305" s="164" t="str">
        <f t="shared" si="762"/>
        <v>89.90</v>
      </c>
      <c r="V305" s="165" t="str">
        <f t="shared" si="763"/>
        <v>#DIV/0!</v>
      </c>
      <c r="W305" s="166">
        <v>0.41</v>
      </c>
      <c r="X305" s="167" t="str">
        <f t="shared" si="764"/>
        <v>76</v>
      </c>
      <c r="Y305" s="168" t="str">
        <f t="shared" si="765"/>
        <v>417.615</v>
      </c>
      <c r="Z305" s="168" t="str">
        <f t="shared" si="766"/>
        <v>24.386</v>
      </c>
      <c r="AA305" s="164" t="str">
        <f t="shared" si="767"/>
        <v>4.74</v>
      </c>
      <c r="AB305" s="164">
        <v>90.53</v>
      </c>
      <c r="AC305" s="164" t="str">
        <f t="shared" si="768"/>
        <v>4.80</v>
      </c>
      <c r="AD305" s="165" t="str">
        <f t="shared" si="769"/>
        <v>75.93</v>
      </c>
      <c r="AE305" s="23"/>
      <c r="AF305" s="169" t="str">
        <f t="shared" si="770"/>
        <v>10.2</v>
      </c>
      <c r="AG305" s="163" t="str">
        <f t="shared" si="771"/>
        <v>#DIV/0!</v>
      </c>
      <c r="AH305" s="170" t="str">
        <f t="shared" si="772"/>
        <v>#DIV/0!</v>
      </c>
      <c r="AI305" s="26"/>
      <c r="AJ305" s="171" t="str">
        <f t="shared" si="773"/>
        <v>0.00%</v>
      </c>
      <c r="AK305" s="172" t="str">
        <f t="shared" si="774"/>
        <v>#DIV/0!</v>
      </c>
      <c r="AL305" s="173" t="str">
        <f t="shared" si="775"/>
        <v>#DIV/0!</v>
      </c>
      <c r="AM305" s="174" t="str">
        <f t="shared" si="776"/>
        <v>#DIV/0!</v>
      </c>
    </row>
    <row r="306" ht="12.75" customHeight="1">
      <c r="A306" s="26"/>
      <c r="B306" s="125" t="s">
        <v>607</v>
      </c>
      <c r="C306" s="126"/>
      <c r="D306" s="127"/>
      <c r="E306" s="128"/>
      <c r="F306" s="129"/>
      <c r="G306" s="128"/>
      <c r="H306" s="197"/>
      <c r="I306" s="197"/>
      <c r="J306" s="128"/>
      <c r="K306" s="130"/>
      <c r="L306" s="131"/>
      <c r="M306" s="132"/>
      <c r="N306" s="320"/>
      <c r="O306" s="134"/>
      <c r="P306" s="135"/>
      <c r="Q306" s="135"/>
      <c r="R306" s="136"/>
      <c r="S306" s="137"/>
      <c r="T306" s="177"/>
      <c r="U306" s="178"/>
      <c r="V306" s="179"/>
      <c r="W306" s="180"/>
      <c r="X306" s="181"/>
      <c r="Y306" s="182"/>
      <c r="Z306" s="182"/>
      <c r="AA306" s="178"/>
      <c r="AB306" s="178"/>
      <c r="AC306" s="178"/>
      <c r="AD306" s="179"/>
      <c r="AE306" s="183"/>
      <c r="AF306" s="184"/>
      <c r="AG306" s="177"/>
      <c r="AH306" s="185"/>
      <c r="AI306" s="26"/>
      <c r="AJ306" s="186"/>
      <c r="AK306" s="187"/>
      <c r="AL306" s="188"/>
      <c r="AM306" s="189"/>
    </row>
    <row r="307" ht="12.75" customHeight="1">
      <c r="A307" s="26"/>
      <c r="B307" s="190" t="s">
        <v>608</v>
      </c>
      <c r="C307" s="208">
        <v>2.14312385E8</v>
      </c>
      <c r="D307" s="152" t="s">
        <v>609</v>
      </c>
      <c r="E307" s="53" t="s">
        <v>77</v>
      </c>
      <c r="F307" s="154"/>
      <c r="G307" s="53"/>
      <c r="H307" s="53" t="str">
        <f t="shared" ref="H307:H308" si="777">$I$2</f>
        <v>0.00069</v>
      </c>
      <c r="I307" s="53" t="str">
        <f t="shared" ref="I307:I308" si="778">$I$3</f>
        <v>89</v>
      </c>
      <c r="J307" s="53" t="str">
        <f t="shared" ref="J307:J308" si="779">G307*H307*I307*F307</f>
        <v>0</v>
      </c>
      <c r="K307" s="155" t="str">
        <f t="shared" ref="K307:K308" si="780">J307*$J$4</f>
        <v>0.00</v>
      </c>
      <c r="L307" s="156" t="str">
        <f t="shared" ref="L307:L308" si="781">K307+J307</f>
        <v>0.00 </v>
      </c>
      <c r="M307" s="132">
        <v>90.0</v>
      </c>
      <c r="N307" s="325" t="str">
        <f>L307/F307</f>
        <v>#DIV/0!</v>
      </c>
      <c r="O307" s="158">
        <v>1557.3</v>
      </c>
      <c r="P307" s="159" t="str">
        <f>AL307</f>
        <v>#DIV/0!</v>
      </c>
      <c r="Q307" s="160"/>
      <c r="R307" s="161">
        <v>0.26</v>
      </c>
      <c r="S307" s="162" t="str">
        <f t="shared" ref="S307:S308" si="782">O307-(O307*R307)</f>
        <v>1,152.40</v>
      </c>
      <c r="T307" s="163" t="str">
        <f t="shared" ref="T307:T308" si="783">$C$1</f>
        <v>20.00</v>
      </c>
      <c r="U307" s="164" t="str">
        <f t="shared" ref="U307:U308" si="784">S307*$C$8</f>
        <v>92.19</v>
      </c>
      <c r="V307" s="165" t="str">
        <f t="shared" ref="V307:V308" si="785">N307*$C$3*(M307/30)</f>
        <v>#DIV/0!</v>
      </c>
      <c r="W307" s="166">
        <v>0.26</v>
      </c>
      <c r="X307" s="167" t="str">
        <f t="shared" ref="X307:X308" si="786">((_xlfn.CEILING.MATH(W307)-1)*$C$5+$C$4)</f>
        <v>76</v>
      </c>
      <c r="Y307" s="168" t="str">
        <f t="shared" ref="Y307:Y308" si="787">O307*$Y$6</f>
        <v>428.258</v>
      </c>
      <c r="Z307" s="168" t="str">
        <f t="shared" ref="Z307:Z308" si="788">S307*$Y$7</f>
        <v>25.007</v>
      </c>
      <c r="AA307" s="164" t="str">
        <f t="shared" ref="AA307:AA308" si="789">$Y$3*((100-AB307)/100)</f>
        <v>6.45</v>
      </c>
      <c r="AB307" s="164">
        <v>87.1</v>
      </c>
      <c r="AC307" s="164" t="str">
        <f t="shared" ref="AC307:AC308" si="790">$C$6*$C$7*_xlfn.CEILING.MATH(W307)</f>
        <v>4.80</v>
      </c>
      <c r="AD307" s="165" t="str">
        <f t="shared" ref="AD307:AD308" si="791">O307*$C$2</f>
        <v>77.87</v>
      </c>
      <c r="AE307" s="23"/>
      <c r="AF307" s="169" t="str">
        <f t="shared" ref="AF307:AF308" si="792">(_xlfn.CEILING.MATH(W307))*$Y$1*$AD$2</f>
        <v>10.2</v>
      </c>
      <c r="AG307" s="163" t="str">
        <f t="shared" ref="AG307:AG308" si="793">O307-T307-U307-V307-X307-Y307-Z307-AA307-AC307-AD307-N307</f>
        <v>#DIV/0!</v>
      </c>
      <c r="AH307" s="170" t="str">
        <f t="shared" ref="AH307:AH308" si="794">AG307/N307</f>
        <v>#DIV/0!</v>
      </c>
      <c r="AI307" s="26"/>
      <c r="AJ307" s="171" t="str">
        <f t="shared" ref="AJ307:AJ308" si="795">$AD$3</f>
        <v>0.00%</v>
      </c>
      <c r="AK307" s="172" t="str">
        <f t="shared" ref="AK307:AK308" si="796">N307*AJ307</f>
        <v>#DIV/0!</v>
      </c>
      <c r="AL307" s="173" t="str">
        <f t="shared" ref="AL307:AL308" si="797">(N307+T307+V307+X307+AA307+AC307+AF307+AK307)/(100%-($C$2+$C$8+$Y$6+$Y$7))</f>
        <v>#DIV/0!</v>
      </c>
      <c r="AM307" s="174" t="str">
        <f t="shared" ref="AM307:AM308" si="798">AL307-(AL307*$AD$1)</f>
        <v>#DIV/0!</v>
      </c>
    </row>
    <row r="308" ht="12.75" customHeight="1">
      <c r="A308" s="26"/>
      <c r="B308" s="190" t="s">
        <v>610</v>
      </c>
      <c r="C308" s="199">
        <v>2.47275092E8</v>
      </c>
      <c r="D308" s="152" t="s">
        <v>611</v>
      </c>
      <c r="E308" s="53" t="s">
        <v>77</v>
      </c>
      <c r="F308" s="154"/>
      <c r="G308" s="53"/>
      <c r="H308" s="53" t="str">
        <f t="shared" si="777"/>
        <v>0.00069</v>
      </c>
      <c r="I308" s="53" t="str">
        <f t="shared" si="778"/>
        <v>89</v>
      </c>
      <c r="J308" s="53" t="str">
        <f t="shared" si="779"/>
        <v>0</v>
      </c>
      <c r="K308" s="155" t="str">
        <f t="shared" si="780"/>
        <v>0.00</v>
      </c>
      <c r="L308" s="156" t="str">
        <f t="shared" si="781"/>
        <v>0.00 </v>
      </c>
      <c r="M308" s="132">
        <v>90.0</v>
      </c>
      <c r="N308" s="325">
        <v>840.24</v>
      </c>
      <c r="O308" s="158">
        <v>2550.0</v>
      </c>
      <c r="P308" s="159" t="str">
        <f>O308</f>
        <v>2,550.00</v>
      </c>
      <c r="Q308" s="160">
        <v>2603.0</v>
      </c>
      <c r="R308" s="161">
        <v>0.26</v>
      </c>
      <c r="S308" s="162" t="str">
        <f t="shared" si="782"/>
        <v>1,887.00</v>
      </c>
      <c r="T308" s="163" t="str">
        <f t="shared" si="783"/>
        <v>20.00</v>
      </c>
      <c r="U308" s="164" t="str">
        <f t="shared" si="784"/>
        <v>150.96</v>
      </c>
      <c r="V308" s="165" t="str">
        <f t="shared" si="785"/>
        <v>0.00</v>
      </c>
      <c r="W308" s="166">
        <v>0.78</v>
      </c>
      <c r="X308" s="167" t="str">
        <f t="shared" si="786"/>
        <v>76</v>
      </c>
      <c r="Y308" s="168" t="str">
        <f t="shared" si="787"/>
        <v>701.250</v>
      </c>
      <c r="Z308" s="168" t="str">
        <f t="shared" si="788"/>
        <v>40.948</v>
      </c>
      <c r="AA308" s="164" t="str">
        <f t="shared" si="789"/>
        <v>8.62</v>
      </c>
      <c r="AB308" s="164">
        <v>82.76</v>
      </c>
      <c r="AC308" s="164" t="str">
        <f t="shared" si="790"/>
        <v>4.80</v>
      </c>
      <c r="AD308" s="165" t="str">
        <f t="shared" si="791"/>
        <v>127.50</v>
      </c>
      <c r="AE308" s="23"/>
      <c r="AF308" s="169" t="str">
        <f t="shared" si="792"/>
        <v>10.2</v>
      </c>
      <c r="AG308" s="163" t="str">
        <f t="shared" si="793"/>
        <v>579.68</v>
      </c>
      <c r="AH308" s="170" t="str">
        <f t="shared" si="794"/>
        <v>68.99%</v>
      </c>
      <c r="AI308" s="26"/>
      <c r="AJ308" s="171" t="str">
        <f t="shared" si="795"/>
        <v>0.00%</v>
      </c>
      <c r="AK308" s="172" t="str">
        <f t="shared" si="796"/>
        <v>0.00</v>
      </c>
      <c r="AL308" s="173" t="str">
        <f t="shared" si="797"/>
        <v>1,674.27</v>
      </c>
      <c r="AM308" s="174" t="str">
        <f t="shared" si="798"/>
        <v>1,188.73</v>
      </c>
    </row>
    <row r="309" ht="12.75" customHeight="1">
      <c r="A309" s="26"/>
      <c r="B309" s="125" t="s">
        <v>612</v>
      </c>
      <c r="C309" s="126"/>
      <c r="D309" s="127"/>
      <c r="E309" s="128"/>
      <c r="F309" s="129"/>
      <c r="G309" s="128"/>
      <c r="H309" s="197"/>
      <c r="I309" s="197"/>
      <c r="J309" s="128"/>
      <c r="K309" s="130"/>
      <c r="L309" s="131"/>
      <c r="M309" s="132"/>
      <c r="N309" s="320"/>
      <c r="O309" s="134"/>
      <c r="P309" s="135"/>
      <c r="Q309" s="135"/>
      <c r="R309" s="136"/>
      <c r="S309" s="137"/>
      <c r="T309" s="177"/>
      <c r="U309" s="178"/>
      <c r="V309" s="179"/>
      <c r="W309" s="180"/>
      <c r="X309" s="181"/>
      <c r="Y309" s="182"/>
      <c r="Z309" s="182"/>
      <c r="AA309" s="178"/>
      <c r="AB309" s="178"/>
      <c r="AC309" s="178"/>
      <c r="AD309" s="179"/>
      <c r="AE309" s="183"/>
      <c r="AF309" s="184"/>
      <c r="AG309" s="177"/>
      <c r="AH309" s="185"/>
      <c r="AI309" s="26"/>
      <c r="AJ309" s="186"/>
      <c r="AK309" s="187"/>
      <c r="AL309" s="188"/>
      <c r="AM309" s="189"/>
    </row>
    <row r="310" ht="12.75" customHeight="1">
      <c r="A310" s="26"/>
      <c r="B310" s="190" t="s">
        <v>613</v>
      </c>
      <c r="C310" s="191">
        <v>2.12886638E8</v>
      </c>
      <c r="D310" s="152" t="s">
        <v>614</v>
      </c>
      <c r="E310" s="53" t="s">
        <v>77</v>
      </c>
      <c r="F310" s="154"/>
      <c r="G310" s="53"/>
      <c r="H310" s="53" t="str">
        <f t="shared" ref="H310:H324" si="799">$I$2</f>
        <v>0.00069</v>
      </c>
      <c r="I310" s="53" t="str">
        <f t="shared" ref="I310:I324" si="800">$I$3</f>
        <v>89</v>
      </c>
      <c r="J310" s="53" t="str">
        <f t="shared" ref="J310:J324" si="801">G310*H310*I310*F310</f>
        <v>0</v>
      </c>
      <c r="K310" s="155" t="str">
        <f t="shared" ref="K310:K324" si="802">J310*$J$4</f>
        <v>0.00</v>
      </c>
      <c r="L310" s="156" t="str">
        <f t="shared" ref="L310:L324" si="803">K310+J310</f>
        <v>0.00 </v>
      </c>
      <c r="M310" s="132">
        <v>90.0</v>
      </c>
      <c r="N310" s="325" t="str">
        <f t="shared" ref="N310:N324" si="804">L310/F310</f>
        <v>#DIV/0!</v>
      </c>
      <c r="O310" s="158">
        <v>1091.8</v>
      </c>
      <c r="P310" s="159" t="str">
        <f t="shared" ref="P310:P324" si="805">AL310</f>
        <v>#DIV/0!</v>
      </c>
      <c r="Q310" s="160"/>
      <c r="R310" s="161">
        <v>0.26</v>
      </c>
      <c r="S310" s="162" t="str">
        <f t="shared" ref="S310:S324" si="806">O310-(O310*R310)</f>
        <v>807.93</v>
      </c>
      <c r="T310" s="163" t="str">
        <f t="shared" ref="T310:T324" si="807">$C$1</f>
        <v>20.00</v>
      </c>
      <c r="U310" s="164" t="str">
        <f t="shared" ref="U310:U324" si="808">S310*$C$8</f>
        <v>64.63</v>
      </c>
      <c r="V310" s="165" t="str">
        <f t="shared" ref="V310:V324" si="809">N310*$C$3*(M310/30)</f>
        <v>#DIV/0!</v>
      </c>
      <c r="W310" s="166">
        <v>0.65</v>
      </c>
      <c r="X310" s="167" t="str">
        <f t="shared" ref="X310:X324" si="810">((_xlfn.CEILING.MATH(W310)-1)*$C$5+$C$4)</f>
        <v>76</v>
      </c>
      <c r="Y310" s="168" t="str">
        <f t="shared" ref="Y310:Y324" si="811">O310*$Y$6</f>
        <v>300.245</v>
      </c>
      <c r="Z310" s="168" t="str">
        <f t="shared" ref="Z310:Z324" si="812">S310*$Y$7</f>
        <v>17.532</v>
      </c>
      <c r="AA310" s="164" t="str">
        <f t="shared" ref="AA310:AA324" si="813">$Y$3*((100-AB310)/100)</f>
        <v>1.91</v>
      </c>
      <c r="AB310" s="164">
        <v>96.18</v>
      </c>
      <c r="AC310" s="164" t="str">
        <f t="shared" ref="AC310:AC324" si="814">$C$6*$C$7*_xlfn.CEILING.MATH(W310)</f>
        <v>4.80</v>
      </c>
      <c r="AD310" s="165" t="str">
        <f t="shared" ref="AD310:AD324" si="815">O310*$C$2</f>
        <v>54.59</v>
      </c>
      <c r="AE310" s="23"/>
      <c r="AF310" s="169" t="str">
        <f t="shared" ref="AF310:AF324" si="816">(_xlfn.CEILING.MATH(W310))*$Y$1*$AD$2</f>
        <v>10.2</v>
      </c>
      <c r="AG310" s="163" t="str">
        <f t="shared" ref="AG310:AG324" si="817">O310-T310-U310-V310-X310-Y310-Z310-AA310-AC310-AD310-N310</f>
        <v>#DIV/0!</v>
      </c>
      <c r="AH310" s="170" t="str">
        <f t="shared" ref="AH310:AH324" si="818">AG310/N310</f>
        <v>#DIV/0!</v>
      </c>
      <c r="AI310" s="26"/>
      <c r="AJ310" s="171" t="str">
        <f t="shared" ref="AJ310:AJ324" si="819">$AD$3</f>
        <v>0.00%</v>
      </c>
      <c r="AK310" s="172" t="str">
        <f t="shared" ref="AK310:AK324" si="820">N310*AJ310</f>
        <v>#DIV/0!</v>
      </c>
      <c r="AL310" s="173" t="str">
        <f t="shared" ref="AL310:AL324" si="821">(N310+T310+V310+X310+AA310+AC310+AF310+AK310)/(100%-($C$2+$C$8+$Y$6+$Y$7))</f>
        <v>#DIV/0!</v>
      </c>
      <c r="AM310" s="174" t="str">
        <f t="shared" ref="AM310:AM324" si="822">AL310-(AL310*$AD$1)</f>
        <v>#DIV/0!</v>
      </c>
    </row>
    <row r="311" ht="12.75" customHeight="1">
      <c r="A311" s="26"/>
      <c r="B311" s="190" t="s">
        <v>615</v>
      </c>
      <c r="C311" s="192">
        <v>2.14312703E8</v>
      </c>
      <c r="D311" s="152" t="s">
        <v>616</v>
      </c>
      <c r="E311" s="53" t="s">
        <v>77</v>
      </c>
      <c r="F311" s="154"/>
      <c r="G311" s="53"/>
      <c r="H311" s="53" t="str">
        <f t="shared" si="799"/>
        <v>0.00069</v>
      </c>
      <c r="I311" s="53" t="str">
        <f t="shared" si="800"/>
        <v>89</v>
      </c>
      <c r="J311" s="53" t="str">
        <f t="shared" si="801"/>
        <v>0</v>
      </c>
      <c r="K311" s="155" t="str">
        <f t="shared" si="802"/>
        <v>0.00</v>
      </c>
      <c r="L311" s="156" t="str">
        <f t="shared" si="803"/>
        <v>0.00 </v>
      </c>
      <c r="M311" s="132">
        <v>90.0</v>
      </c>
      <c r="N311" s="325" t="str">
        <f t="shared" si="804"/>
        <v>#DIV/0!</v>
      </c>
      <c r="O311" s="158">
        <v>848.4</v>
      </c>
      <c r="P311" s="159" t="str">
        <f t="shared" si="805"/>
        <v>#DIV/0!</v>
      </c>
      <c r="Q311" s="160"/>
      <c r="R311" s="161">
        <v>0.26</v>
      </c>
      <c r="S311" s="162" t="str">
        <f t="shared" si="806"/>
        <v>627.82</v>
      </c>
      <c r="T311" s="163" t="str">
        <f t="shared" si="807"/>
        <v>20.00</v>
      </c>
      <c r="U311" s="164" t="str">
        <f t="shared" si="808"/>
        <v>50.23</v>
      </c>
      <c r="V311" s="165" t="str">
        <f t="shared" si="809"/>
        <v>#DIV/0!</v>
      </c>
      <c r="W311" s="166">
        <v>0.65</v>
      </c>
      <c r="X311" s="167" t="str">
        <f t="shared" si="810"/>
        <v>76</v>
      </c>
      <c r="Y311" s="168" t="str">
        <f t="shared" si="811"/>
        <v>233.310</v>
      </c>
      <c r="Z311" s="168" t="str">
        <f t="shared" si="812"/>
        <v>13.624</v>
      </c>
      <c r="AA311" s="164" t="str">
        <f t="shared" si="813"/>
        <v>4.61</v>
      </c>
      <c r="AB311" s="164">
        <v>90.79</v>
      </c>
      <c r="AC311" s="164" t="str">
        <f t="shared" si="814"/>
        <v>4.80</v>
      </c>
      <c r="AD311" s="165" t="str">
        <f t="shared" si="815"/>
        <v>42.42</v>
      </c>
      <c r="AE311" s="23"/>
      <c r="AF311" s="169" t="str">
        <f t="shared" si="816"/>
        <v>10.2</v>
      </c>
      <c r="AG311" s="163" t="str">
        <f t="shared" si="817"/>
        <v>#DIV/0!</v>
      </c>
      <c r="AH311" s="170" t="str">
        <f t="shared" si="818"/>
        <v>#DIV/0!</v>
      </c>
      <c r="AI311" s="26"/>
      <c r="AJ311" s="171" t="str">
        <f t="shared" si="819"/>
        <v>0.00%</v>
      </c>
      <c r="AK311" s="172" t="str">
        <f t="shared" si="820"/>
        <v>#DIV/0!</v>
      </c>
      <c r="AL311" s="173" t="str">
        <f t="shared" si="821"/>
        <v>#DIV/0!</v>
      </c>
      <c r="AM311" s="174" t="str">
        <f t="shared" si="822"/>
        <v>#DIV/0!</v>
      </c>
    </row>
    <row r="312" ht="12.75" customHeight="1">
      <c r="A312" s="26"/>
      <c r="B312" s="190" t="s">
        <v>617</v>
      </c>
      <c r="C312" s="192">
        <v>2.14312772E8</v>
      </c>
      <c r="D312" s="152" t="s">
        <v>618</v>
      </c>
      <c r="E312" s="53" t="s">
        <v>77</v>
      </c>
      <c r="F312" s="154"/>
      <c r="G312" s="53"/>
      <c r="H312" s="53" t="str">
        <f t="shared" si="799"/>
        <v>0.00069</v>
      </c>
      <c r="I312" s="53" t="str">
        <f t="shared" si="800"/>
        <v>89</v>
      </c>
      <c r="J312" s="53" t="str">
        <f t="shared" si="801"/>
        <v>0</v>
      </c>
      <c r="K312" s="155" t="str">
        <f t="shared" si="802"/>
        <v>0.00</v>
      </c>
      <c r="L312" s="156" t="str">
        <f t="shared" si="803"/>
        <v>0.00 </v>
      </c>
      <c r="M312" s="132">
        <v>90.0</v>
      </c>
      <c r="N312" s="325" t="str">
        <f t="shared" si="804"/>
        <v>#DIV/0!</v>
      </c>
      <c r="O312" s="158">
        <v>1402.8</v>
      </c>
      <c r="P312" s="159" t="str">
        <f t="shared" si="805"/>
        <v>#DIV/0!</v>
      </c>
      <c r="Q312" s="160"/>
      <c r="R312" s="161">
        <v>0.26</v>
      </c>
      <c r="S312" s="162" t="str">
        <f t="shared" si="806"/>
        <v>1,038.07</v>
      </c>
      <c r="T312" s="163" t="str">
        <f t="shared" si="807"/>
        <v>20.00</v>
      </c>
      <c r="U312" s="164" t="str">
        <f t="shared" si="808"/>
        <v>83.05</v>
      </c>
      <c r="V312" s="165" t="str">
        <f t="shared" si="809"/>
        <v>#DIV/0!</v>
      </c>
      <c r="W312" s="166">
        <v>0.42</v>
      </c>
      <c r="X312" s="167" t="str">
        <f t="shared" si="810"/>
        <v>76</v>
      </c>
      <c r="Y312" s="168" t="str">
        <f t="shared" si="811"/>
        <v>385.770</v>
      </c>
      <c r="Z312" s="168" t="str">
        <f t="shared" si="812"/>
        <v>22.526</v>
      </c>
      <c r="AA312" s="164" t="str">
        <f t="shared" si="813"/>
        <v>1.52</v>
      </c>
      <c r="AB312" s="164">
        <v>96.96</v>
      </c>
      <c r="AC312" s="164" t="str">
        <f t="shared" si="814"/>
        <v>4.80</v>
      </c>
      <c r="AD312" s="165" t="str">
        <f t="shared" si="815"/>
        <v>70.14</v>
      </c>
      <c r="AE312" s="23"/>
      <c r="AF312" s="169" t="str">
        <f t="shared" si="816"/>
        <v>10.2</v>
      </c>
      <c r="AG312" s="163" t="str">
        <f t="shared" si="817"/>
        <v>#DIV/0!</v>
      </c>
      <c r="AH312" s="170" t="str">
        <f t="shared" si="818"/>
        <v>#DIV/0!</v>
      </c>
      <c r="AI312" s="26"/>
      <c r="AJ312" s="171" t="str">
        <f t="shared" si="819"/>
        <v>0.00%</v>
      </c>
      <c r="AK312" s="172" t="str">
        <f t="shared" si="820"/>
        <v>#DIV/0!</v>
      </c>
      <c r="AL312" s="173" t="str">
        <f t="shared" si="821"/>
        <v>#DIV/0!</v>
      </c>
      <c r="AM312" s="174" t="str">
        <f t="shared" si="822"/>
        <v>#DIV/0!</v>
      </c>
    </row>
    <row r="313" ht="12.75" customHeight="1">
      <c r="A313" s="26"/>
      <c r="B313" s="190" t="s">
        <v>619</v>
      </c>
      <c r="C313" s="192">
        <v>2.12889023E8</v>
      </c>
      <c r="D313" s="152" t="s">
        <v>620</v>
      </c>
      <c r="E313" s="53" t="s">
        <v>77</v>
      </c>
      <c r="F313" s="154"/>
      <c r="G313" s="53"/>
      <c r="H313" s="53" t="str">
        <f t="shared" si="799"/>
        <v>0.00069</v>
      </c>
      <c r="I313" s="53" t="str">
        <f t="shared" si="800"/>
        <v>89</v>
      </c>
      <c r="J313" s="53" t="str">
        <f t="shared" si="801"/>
        <v>0</v>
      </c>
      <c r="K313" s="155" t="str">
        <f t="shared" si="802"/>
        <v>0.00</v>
      </c>
      <c r="L313" s="156" t="str">
        <f t="shared" si="803"/>
        <v>0.00 </v>
      </c>
      <c r="M313" s="132">
        <v>90.0</v>
      </c>
      <c r="N313" s="325" t="str">
        <f t="shared" si="804"/>
        <v>#DIV/0!</v>
      </c>
      <c r="O313" s="158">
        <v>643.2</v>
      </c>
      <c r="P313" s="159" t="str">
        <f t="shared" si="805"/>
        <v>#DIV/0!</v>
      </c>
      <c r="Q313" s="160"/>
      <c r="R313" s="161">
        <v>0.26</v>
      </c>
      <c r="S313" s="162" t="str">
        <f t="shared" si="806"/>
        <v>475.97</v>
      </c>
      <c r="T313" s="163" t="str">
        <f t="shared" si="807"/>
        <v>20.00</v>
      </c>
      <c r="U313" s="164" t="str">
        <f t="shared" si="808"/>
        <v>38.08</v>
      </c>
      <c r="V313" s="165" t="str">
        <f t="shared" si="809"/>
        <v>#DIV/0!</v>
      </c>
      <c r="W313" s="166">
        <v>0.04</v>
      </c>
      <c r="X313" s="167" t="str">
        <f t="shared" si="810"/>
        <v>76</v>
      </c>
      <c r="Y313" s="168" t="str">
        <f t="shared" si="811"/>
        <v>176.880</v>
      </c>
      <c r="Z313" s="168" t="str">
        <f t="shared" si="812"/>
        <v>10.329</v>
      </c>
      <c r="AA313" s="164" t="str">
        <f t="shared" si="813"/>
        <v>16.67</v>
      </c>
      <c r="AB313" s="164">
        <v>66.67</v>
      </c>
      <c r="AC313" s="164" t="str">
        <f t="shared" si="814"/>
        <v>4.80</v>
      </c>
      <c r="AD313" s="165" t="str">
        <f t="shared" si="815"/>
        <v>32.16</v>
      </c>
      <c r="AE313" s="23"/>
      <c r="AF313" s="169" t="str">
        <f t="shared" si="816"/>
        <v>10.2</v>
      </c>
      <c r="AG313" s="163" t="str">
        <f t="shared" si="817"/>
        <v>#DIV/0!</v>
      </c>
      <c r="AH313" s="170" t="str">
        <f t="shared" si="818"/>
        <v>#DIV/0!</v>
      </c>
      <c r="AI313" s="26"/>
      <c r="AJ313" s="171" t="str">
        <f t="shared" si="819"/>
        <v>0.00%</v>
      </c>
      <c r="AK313" s="172" t="str">
        <f t="shared" si="820"/>
        <v>#DIV/0!</v>
      </c>
      <c r="AL313" s="173" t="str">
        <f t="shared" si="821"/>
        <v>#DIV/0!</v>
      </c>
      <c r="AM313" s="174" t="str">
        <f t="shared" si="822"/>
        <v>#DIV/0!</v>
      </c>
    </row>
    <row r="314" ht="12.75" customHeight="1">
      <c r="A314" s="26"/>
      <c r="B314" s="190" t="s">
        <v>237</v>
      </c>
      <c r="C314" s="192">
        <v>2.12889028E8</v>
      </c>
      <c r="D314" s="152" t="s">
        <v>794</v>
      </c>
      <c r="E314" s="53" t="s">
        <v>77</v>
      </c>
      <c r="F314" s="154"/>
      <c r="G314" s="53"/>
      <c r="H314" s="53" t="str">
        <f t="shared" si="799"/>
        <v>0.00069</v>
      </c>
      <c r="I314" s="53" t="str">
        <f t="shared" si="800"/>
        <v>89</v>
      </c>
      <c r="J314" s="53" t="str">
        <f t="shared" si="801"/>
        <v>0</v>
      </c>
      <c r="K314" s="155" t="str">
        <f t="shared" si="802"/>
        <v>0.00</v>
      </c>
      <c r="L314" s="156" t="str">
        <f t="shared" si="803"/>
        <v>0.00 </v>
      </c>
      <c r="M314" s="132">
        <v>90.0</v>
      </c>
      <c r="N314" s="325" t="str">
        <f t="shared" si="804"/>
        <v>#DIV/0!</v>
      </c>
      <c r="O314" s="158">
        <v>643.2</v>
      </c>
      <c r="P314" s="159" t="str">
        <f t="shared" si="805"/>
        <v>#DIV/0!</v>
      </c>
      <c r="Q314" s="160"/>
      <c r="R314" s="161">
        <v>0.26</v>
      </c>
      <c r="S314" s="162" t="str">
        <f t="shared" si="806"/>
        <v>475.97</v>
      </c>
      <c r="T314" s="163" t="str">
        <f t="shared" si="807"/>
        <v>20.00</v>
      </c>
      <c r="U314" s="164" t="str">
        <f t="shared" si="808"/>
        <v>38.08</v>
      </c>
      <c r="V314" s="165" t="str">
        <f t="shared" si="809"/>
        <v>#DIV/0!</v>
      </c>
      <c r="W314" s="166">
        <v>0.04</v>
      </c>
      <c r="X314" s="167" t="str">
        <f t="shared" si="810"/>
        <v>76</v>
      </c>
      <c r="Y314" s="168" t="str">
        <f t="shared" si="811"/>
        <v>176.880</v>
      </c>
      <c r="Z314" s="168" t="str">
        <f t="shared" si="812"/>
        <v>10.329</v>
      </c>
      <c r="AA314" s="164" t="str">
        <f t="shared" si="813"/>
        <v>5.45</v>
      </c>
      <c r="AB314" s="164">
        <v>89.11</v>
      </c>
      <c r="AC314" s="164" t="str">
        <f t="shared" si="814"/>
        <v>4.80</v>
      </c>
      <c r="AD314" s="165" t="str">
        <f t="shared" si="815"/>
        <v>32.16</v>
      </c>
      <c r="AE314" s="23"/>
      <c r="AF314" s="169" t="str">
        <f t="shared" si="816"/>
        <v>10.2</v>
      </c>
      <c r="AG314" s="163" t="str">
        <f t="shared" si="817"/>
        <v>#DIV/0!</v>
      </c>
      <c r="AH314" s="170" t="str">
        <f t="shared" si="818"/>
        <v>#DIV/0!</v>
      </c>
      <c r="AI314" s="26"/>
      <c r="AJ314" s="171" t="str">
        <f t="shared" si="819"/>
        <v>0.00%</v>
      </c>
      <c r="AK314" s="172" t="str">
        <f t="shared" si="820"/>
        <v>#DIV/0!</v>
      </c>
      <c r="AL314" s="173" t="str">
        <f t="shared" si="821"/>
        <v>#DIV/0!</v>
      </c>
      <c r="AM314" s="174" t="str">
        <f t="shared" si="822"/>
        <v>#DIV/0!</v>
      </c>
    </row>
    <row r="315" ht="12.75" customHeight="1">
      <c r="A315" s="26"/>
      <c r="B315" s="190" t="s">
        <v>233</v>
      </c>
      <c r="C315" s="192">
        <v>2.12889025E8</v>
      </c>
      <c r="D315" s="152" t="s">
        <v>795</v>
      </c>
      <c r="E315" s="53" t="s">
        <v>77</v>
      </c>
      <c r="F315" s="154"/>
      <c r="G315" s="53"/>
      <c r="H315" s="53" t="str">
        <f t="shared" si="799"/>
        <v>0.00069</v>
      </c>
      <c r="I315" s="53" t="str">
        <f t="shared" si="800"/>
        <v>89</v>
      </c>
      <c r="J315" s="53" t="str">
        <f t="shared" si="801"/>
        <v>0</v>
      </c>
      <c r="K315" s="155" t="str">
        <f t="shared" si="802"/>
        <v>0.00</v>
      </c>
      <c r="L315" s="156" t="str">
        <f t="shared" si="803"/>
        <v>0.00 </v>
      </c>
      <c r="M315" s="132">
        <v>90.0</v>
      </c>
      <c r="N315" s="325" t="str">
        <f t="shared" si="804"/>
        <v>#DIV/0!</v>
      </c>
      <c r="O315" s="158">
        <v>643.2</v>
      </c>
      <c r="P315" s="159" t="str">
        <f t="shared" si="805"/>
        <v>#DIV/0!</v>
      </c>
      <c r="Q315" s="160"/>
      <c r="R315" s="161">
        <v>0.26</v>
      </c>
      <c r="S315" s="162" t="str">
        <f t="shared" si="806"/>
        <v>475.97</v>
      </c>
      <c r="T315" s="163" t="str">
        <f t="shared" si="807"/>
        <v>20.00</v>
      </c>
      <c r="U315" s="164" t="str">
        <f t="shared" si="808"/>
        <v>38.08</v>
      </c>
      <c r="V315" s="165" t="str">
        <f t="shared" si="809"/>
        <v>#DIV/0!</v>
      </c>
      <c r="W315" s="166">
        <v>0.04</v>
      </c>
      <c r="X315" s="167" t="str">
        <f t="shared" si="810"/>
        <v>76</v>
      </c>
      <c r="Y315" s="168" t="str">
        <f t="shared" si="811"/>
        <v>176.880</v>
      </c>
      <c r="Z315" s="168" t="str">
        <f t="shared" si="812"/>
        <v>10.329</v>
      </c>
      <c r="AA315" s="164" t="str">
        <f t="shared" si="813"/>
        <v>4.26</v>
      </c>
      <c r="AB315" s="164">
        <v>91.49</v>
      </c>
      <c r="AC315" s="164" t="str">
        <f t="shared" si="814"/>
        <v>4.80</v>
      </c>
      <c r="AD315" s="165" t="str">
        <f t="shared" si="815"/>
        <v>32.16</v>
      </c>
      <c r="AE315" s="23"/>
      <c r="AF315" s="169" t="str">
        <f t="shared" si="816"/>
        <v>10.2</v>
      </c>
      <c r="AG315" s="163" t="str">
        <f t="shared" si="817"/>
        <v>#DIV/0!</v>
      </c>
      <c r="AH315" s="170" t="str">
        <f t="shared" si="818"/>
        <v>#DIV/0!</v>
      </c>
      <c r="AI315" s="26"/>
      <c r="AJ315" s="171" t="str">
        <f t="shared" si="819"/>
        <v>0.00%</v>
      </c>
      <c r="AK315" s="172" t="str">
        <f t="shared" si="820"/>
        <v>#DIV/0!</v>
      </c>
      <c r="AL315" s="173" t="str">
        <f t="shared" si="821"/>
        <v>#DIV/0!</v>
      </c>
      <c r="AM315" s="174" t="str">
        <f t="shared" si="822"/>
        <v>#DIV/0!</v>
      </c>
    </row>
    <row r="316" ht="12.75" customHeight="1">
      <c r="A316" s="26"/>
      <c r="B316" s="190" t="s">
        <v>235</v>
      </c>
      <c r="C316" s="192">
        <v>2.12889027E8</v>
      </c>
      <c r="D316" s="152" t="s">
        <v>796</v>
      </c>
      <c r="E316" s="53" t="s">
        <v>77</v>
      </c>
      <c r="F316" s="154"/>
      <c r="G316" s="53"/>
      <c r="H316" s="53" t="str">
        <f t="shared" si="799"/>
        <v>0.00069</v>
      </c>
      <c r="I316" s="53" t="str">
        <f t="shared" si="800"/>
        <v>89</v>
      </c>
      <c r="J316" s="53" t="str">
        <f t="shared" si="801"/>
        <v>0</v>
      </c>
      <c r="K316" s="155" t="str">
        <f t="shared" si="802"/>
        <v>0.00</v>
      </c>
      <c r="L316" s="156" t="str">
        <f t="shared" si="803"/>
        <v>0.00 </v>
      </c>
      <c r="M316" s="132">
        <v>90.0</v>
      </c>
      <c r="N316" s="325" t="str">
        <f t="shared" si="804"/>
        <v>#DIV/0!</v>
      </c>
      <c r="O316" s="158">
        <v>643.2</v>
      </c>
      <c r="P316" s="159" t="str">
        <f t="shared" si="805"/>
        <v>#DIV/0!</v>
      </c>
      <c r="Q316" s="160"/>
      <c r="R316" s="161">
        <v>0.26</v>
      </c>
      <c r="S316" s="162" t="str">
        <f t="shared" si="806"/>
        <v>475.97</v>
      </c>
      <c r="T316" s="163" t="str">
        <f t="shared" si="807"/>
        <v>20.00</v>
      </c>
      <c r="U316" s="164" t="str">
        <f t="shared" si="808"/>
        <v>38.08</v>
      </c>
      <c r="V316" s="165" t="str">
        <f t="shared" si="809"/>
        <v>#DIV/0!</v>
      </c>
      <c r="W316" s="166">
        <v>0.04</v>
      </c>
      <c r="X316" s="167" t="str">
        <f t="shared" si="810"/>
        <v>76</v>
      </c>
      <c r="Y316" s="168" t="str">
        <f t="shared" si="811"/>
        <v>176.880</v>
      </c>
      <c r="Z316" s="168" t="str">
        <f t="shared" si="812"/>
        <v>10.329</v>
      </c>
      <c r="AA316" s="164" t="str">
        <f t="shared" si="813"/>
        <v>10.00</v>
      </c>
      <c r="AB316" s="164">
        <v>80.0</v>
      </c>
      <c r="AC316" s="164" t="str">
        <f t="shared" si="814"/>
        <v>4.80</v>
      </c>
      <c r="AD316" s="165" t="str">
        <f t="shared" si="815"/>
        <v>32.16</v>
      </c>
      <c r="AE316" s="23"/>
      <c r="AF316" s="169" t="str">
        <f t="shared" si="816"/>
        <v>10.2</v>
      </c>
      <c r="AG316" s="163" t="str">
        <f t="shared" si="817"/>
        <v>#DIV/0!</v>
      </c>
      <c r="AH316" s="170" t="str">
        <f t="shared" si="818"/>
        <v>#DIV/0!</v>
      </c>
      <c r="AI316" s="26"/>
      <c r="AJ316" s="171" t="str">
        <f t="shared" si="819"/>
        <v>0.00%</v>
      </c>
      <c r="AK316" s="172" t="str">
        <f t="shared" si="820"/>
        <v>#DIV/0!</v>
      </c>
      <c r="AL316" s="173" t="str">
        <f t="shared" si="821"/>
        <v>#DIV/0!</v>
      </c>
      <c r="AM316" s="174" t="str">
        <f t="shared" si="822"/>
        <v>#DIV/0!</v>
      </c>
    </row>
    <row r="317" ht="12.75" customHeight="1">
      <c r="A317" s="26"/>
      <c r="B317" s="190" t="s">
        <v>621</v>
      </c>
      <c r="C317" s="192">
        <v>2.12889026E8</v>
      </c>
      <c r="D317" s="152" t="s">
        <v>622</v>
      </c>
      <c r="E317" s="53" t="s">
        <v>77</v>
      </c>
      <c r="F317" s="154"/>
      <c r="G317" s="53"/>
      <c r="H317" s="53" t="str">
        <f t="shared" si="799"/>
        <v>0.00069</v>
      </c>
      <c r="I317" s="53" t="str">
        <f t="shared" si="800"/>
        <v>89</v>
      </c>
      <c r="J317" s="53" t="str">
        <f t="shared" si="801"/>
        <v>0</v>
      </c>
      <c r="K317" s="155" t="str">
        <f t="shared" si="802"/>
        <v>0.00</v>
      </c>
      <c r="L317" s="156" t="str">
        <f t="shared" si="803"/>
        <v>0.00 </v>
      </c>
      <c r="M317" s="132">
        <v>90.0</v>
      </c>
      <c r="N317" s="325" t="str">
        <f t="shared" si="804"/>
        <v>#DIV/0!</v>
      </c>
      <c r="O317" s="158">
        <v>643.2</v>
      </c>
      <c r="P317" s="159" t="str">
        <f t="shared" si="805"/>
        <v>#DIV/0!</v>
      </c>
      <c r="Q317" s="160"/>
      <c r="R317" s="161">
        <v>0.26</v>
      </c>
      <c r="S317" s="162" t="str">
        <f t="shared" si="806"/>
        <v>475.97</v>
      </c>
      <c r="T317" s="163" t="str">
        <f t="shared" si="807"/>
        <v>20.00</v>
      </c>
      <c r="U317" s="164" t="str">
        <f t="shared" si="808"/>
        <v>38.08</v>
      </c>
      <c r="V317" s="165" t="str">
        <f t="shared" si="809"/>
        <v>#DIV/0!</v>
      </c>
      <c r="W317" s="166">
        <v>0.04</v>
      </c>
      <c r="X317" s="167" t="str">
        <f t="shared" si="810"/>
        <v>76</v>
      </c>
      <c r="Y317" s="168" t="str">
        <f t="shared" si="811"/>
        <v>176.880</v>
      </c>
      <c r="Z317" s="168" t="str">
        <f t="shared" si="812"/>
        <v>10.329</v>
      </c>
      <c r="AA317" s="164" t="str">
        <f t="shared" si="813"/>
        <v>3.50</v>
      </c>
      <c r="AB317" s="164">
        <v>93.01</v>
      </c>
      <c r="AC317" s="164" t="str">
        <f t="shared" si="814"/>
        <v>4.80</v>
      </c>
      <c r="AD317" s="165" t="str">
        <f t="shared" si="815"/>
        <v>32.16</v>
      </c>
      <c r="AE317" s="23"/>
      <c r="AF317" s="169" t="str">
        <f t="shared" si="816"/>
        <v>10.2</v>
      </c>
      <c r="AG317" s="163" t="str">
        <f t="shared" si="817"/>
        <v>#DIV/0!</v>
      </c>
      <c r="AH317" s="170" t="str">
        <f t="shared" si="818"/>
        <v>#DIV/0!</v>
      </c>
      <c r="AI317" s="26"/>
      <c r="AJ317" s="171" t="str">
        <f t="shared" si="819"/>
        <v>0.00%</v>
      </c>
      <c r="AK317" s="172" t="str">
        <f t="shared" si="820"/>
        <v>#DIV/0!</v>
      </c>
      <c r="AL317" s="173" t="str">
        <f t="shared" si="821"/>
        <v>#DIV/0!</v>
      </c>
      <c r="AM317" s="174" t="str">
        <f t="shared" si="822"/>
        <v>#DIV/0!</v>
      </c>
    </row>
    <row r="318" ht="12.75" customHeight="1">
      <c r="A318" s="26"/>
      <c r="B318" s="190" t="s">
        <v>623</v>
      </c>
      <c r="C318" s="192">
        <v>2.12889024E8</v>
      </c>
      <c r="D318" s="152" t="s">
        <v>624</v>
      </c>
      <c r="E318" s="53" t="s">
        <v>77</v>
      </c>
      <c r="F318" s="154"/>
      <c r="G318" s="53"/>
      <c r="H318" s="53" t="str">
        <f t="shared" si="799"/>
        <v>0.00069</v>
      </c>
      <c r="I318" s="53" t="str">
        <f t="shared" si="800"/>
        <v>89</v>
      </c>
      <c r="J318" s="53" t="str">
        <f t="shared" si="801"/>
        <v>0</v>
      </c>
      <c r="K318" s="155" t="str">
        <f t="shared" si="802"/>
        <v>0.00</v>
      </c>
      <c r="L318" s="156" t="str">
        <f t="shared" si="803"/>
        <v>0.00 </v>
      </c>
      <c r="M318" s="132">
        <v>90.0</v>
      </c>
      <c r="N318" s="325" t="str">
        <f t="shared" si="804"/>
        <v>#DIV/0!</v>
      </c>
      <c r="O318" s="158">
        <v>643.2</v>
      </c>
      <c r="P318" s="159" t="str">
        <f t="shared" si="805"/>
        <v>#DIV/0!</v>
      </c>
      <c r="Q318" s="160"/>
      <c r="R318" s="161">
        <v>0.26</v>
      </c>
      <c r="S318" s="162" t="str">
        <f t="shared" si="806"/>
        <v>475.97</v>
      </c>
      <c r="T318" s="163" t="str">
        <f t="shared" si="807"/>
        <v>20.00</v>
      </c>
      <c r="U318" s="164" t="str">
        <f t="shared" si="808"/>
        <v>38.08</v>
      </c>
      <c r="V318" s="165" t="str">
        <f t="shared" si="809"/>
        <v>#DIV/0!</v>
      </c>
      <c r="W318" s="166">
        <v>0.04</v>
      </c>
      <c r="X318" s="167" t="str">
        <f t="shared" si="810"/>
        <v>76</v>
      </c>
      <c r="Y318" s="168" t="str">
        <f t="shared" si="811"/>
        <v>176.880</v>
      </c>
      <c r="Z318" s="168" t="str">
        <f t="shared" si="812"/>
        <v>10.329</v>
      </c>
      <c r="AA318" s="164" t="str">
        <f t="shared" si="813"/>
        <v>6.76</v>
      </c>
      <c r="AB318" s="164">
        <v>86.49</v>
      </c>
      <c r="AC318" s="164" t="str">
        <f t="shared" si="814"/>
        <v>4.80</v>
      </c>
      <c r="AD318" s="165" t="str">
        <f t="shared" si="815"/>
        <v>32.16</v>
      </c>
      <c r="AE318" s="23"/>
      <c r="AF318" s="169" t="str">
        <f t="shared" si="816"/>
        <v>10.2</v>
      </c>
      <c r="AG318" s="163" t="str">
        <f t="shared" si="817"/>
        <v>#DIV/0!</v>
      </c>
      <c r="AH318" s="170" t="str">
        <f t="shared" si="818"/>
        <v>#DIV/0!</v>
      </c>
      <c r="AI318" s="26"/>
      <c r="AJ318" s="171" t="str">
        <f t="shared" si="819"/>
        <v>0.00%</v>
      </c>
      <c r="AK318" s="172" t="str">
        <f t="shared" si="820"/>
        <v>#DIV/0!</v>
      </c>
      <c r="AL318" s="173" t="str">
        <f t="shared" si="821"/>
        <v>#DIV/0!</v>
      </c>
      <c r="AM318" s="174" t="str">
        <f t="shared" si="822"/>
        <v>#DIV/0!</v>
      </c>
    </row>
    <row r="319" ht="12.75" customHeight="1">
      <c r="A319" s="26"/>
      <c r="B319" s="190" t="s">
        <v>625</v>
      </c>
      <c r="C319" s="192">
        <v>2.12887146E8</v>
      </c>
      <c r="D319" s="152" t="s">
        <v>626</v>
      </c>
      <c r="E319" s="53" t="s">
        <v>77</v>
      </c>
      <c r="F319" s="154"/>
      <c r="G319" s="53"/>
      <c r="H319" s="53" t="str">
        <f t="shared" si="799"/>
        <v>0.00069</v>
      </c>
      <c r="I319" s="53" t="str">
        <f t="shared" si="800"/>
        <v>89</v>
      </c>
      <c r="J319" s="53" t="str">
        <f t="shared" si="801"/>
        <v>0</v>
      </c>
      <c r="K319" s="155" t="str">
        <f t="shared" si="802"/>
        <v>0.00</v>
      </c>
      <c r="L319" s="156" t="str">
        <f t="shared" si="803"/>
        <v>0.00 </v>
      </c>
      <c r="M319" s="132">
        <v>90.0</v>
      </c>
      <c r="N319" s="325" t="str">
        <f t="shared" si="804"/>
        <v>#DIV/0!</v>
      </c>
      <c r="O319" s="158">
        <v>574.8</v>
      </c>
      <c r="P319" s="159" t="str">
        <f t="shared" si="805"/>
        <v>#DIV/0!</v>
      </c>
      <c r="Q319" s="160"/>
      <c r="R319" s="161">
        <v>0.26</v>
      </c>
      <c r="S319" s="162" t="str">
        <f t="shared" si="806"/>
        <v>425.35</v>
      </c>
      <c r="T319" s="163" t="str">
        <f t="shared" si="807"/>
        <v>20.00</v>
      </c>
      <c r="U319" s="164" t="str">
        <f t="shared" si="808"/>
        <v>34.03</v>
      </c>
      <c r="V319" s="165" t="str">
        <f t="shared" si="809"/>
        <v>#DIV/0!</v>
      </c>
      <c r="W319" s="166">
        <v>0.97</v>
      </c>
      <c r="X319" s="167" t="str">
        <f t="shared" si="810"/>
        <v>76</v>
      </c>
      <c r="Y319" s="168" t="str">
        <f t="shared" si="811"/>
        <v>158.070</v>
      </c>
      <c r="Z319" s="168" t="str">
        <f t="shared" si="812"/>
        <v>9.230</v>
      </c>
      <c r="AA319" s="164" t="str">
        <f t="shared" si="813"/>
        <v>2.47</v>
      </c>
      <c r="AB319" s="164">
        <v>95.06</v>
      </c>
      <c r="AC319" s="164" t="str">
        <f t="shared" si="814"/>
        <v>4.80</v>
      </c>
      <c r="AD319" s="165" t="str">
        <f t="shared" si="815"/>
        <v>28.74</v>
      </c>
      <c r="AE319" s="23"/>
      <c r="AF319" s="169" t="str">
        <f t="shared" si="816"/>
        <v>10.2</v>
      </c>
      <c r="AG319" s="163" t="str">
        <f t="shared" si="817"/>
        <v>#DIV/0!</v>
      </c>
      <c r="AH319" s="170" t="str">
        <f t="shared" si="818"/>
        <v>#DIV/0!</v>
      </c>
      <c r="AI319" s="26"/>
      <c r="AJ319" s="171" t="str">
        <f t="shared" si="819"/>
        <v>0.00%</v>
      </c>
      <c r="AK319" s="172" t="str">
        <f t="shared" si="820"/>
        <v>#DIV/0!</v>
      </c>
      <c r="AL319" s="173" t="str">
        <f t="shared" si="821"/>
        <v>#DIV/0!</v>
      </c>
      <c r="AM319" s="174" t="str">
        <f t="shared" si="822"/>
        <v>#DIV/0!</v>
      </c>
    </row>
    <row r="320" ht="12.75" customHeight="1">
      <c r="A320" s="26"/>
      <c r="B320" s="190" t="s">
        <v>627</v>
      </c>
      <c r="C320" s="192">
        <v>2.07484812E8</v>
      </c>
      <c r="D320" s="152" t="s">
        <v>628</v>
      </c>
      <c r="E320" s="53" t="s">
        <v>77</v>
      </c>
      <c r="F320" s="154"/>
      <c r="G320" s="53"/>
      <c r="H320" s="53" t="str">
        <f t="shared" si="799"/>
        <v>0.00069</v>
      </c>
      <c r="I320" s="53" t="str">
        <f t="shared" si="800"/>
        <v>89</v>
      </c>
      <c r="J320" s="53" t="str">
        <f t="shared" si="801"/>
        <v>0</v>
      </c>
      <c r="K320" s="155" t="str">
        <f t="shared" si="802"/>
        <v>0.00</v>
      </c>
      <c r="L320" s="156" t="str">
        <f t="shared" si="803"/>
        <v>0.00 </v>
      </c>
      <c r="M320" s="132">
        <v>90.0</v>
      </c>
      <c r="N320" s="325" t="str">
        <f t="shared" si="804"/>
        <v>#DIV/0!</v>
      </c>
      <c r="O320" s="158">
        <v>744.9</v>
      </c>
      <c r="P320" s="159" t="str">
        <f t="shared" si="805"/>
        <v>#DIV/0!</v>
      </c>
      <c r="Q320" s="160"/>
      <c r="R320" s="161">
        <v>0.26</v>
      </c>
      <c r="S320" s="162" t="str">
        <f t="shared" si="806"/>
        <v>551.23</v>
      </c>
      <c r="T320" s="163" t="str">
        <f t="shared" si="807"/>
        <v>20.00</v>
      </c>
      <c r="U320" s="164" t="str">
        <f t="shared" si="808"/>
        <v>44.10</v>
      </c>
      <c r="V320" s="165" t="str">
        <f t="shared" si="809"/>
        <v>#DIV/0!</v>
      </c>
      <c r="W320" s="166">
        <v>0.6</v>
      </c>
      <c r="X320" s="167" t="str">
        <f t="shared" si="810"/>
        <v>76</v>
      </c>
      <c r="Y320" s="168" t="str">
        <f t="shared" si="811"/>
        <v>204.848</v>
      </c>
      <c r="Z320" s="168" t="str">
        <f t="shared" si="812"/>
        <v>11.962</v>
      </c>
      <c r="AA320" s="164" t="str">
        <f t="shared" si="813"/>
        <v>1.01</v>
      </c>
      <c r="AB320" s="164">
        <v>97.98</v>
      </c>
      <c r="AC320" s="164" t="str">
        <f t="shared" si="814"/>
        <v>4.80</v>
      </c>
      <c r="AD320" s="165" t="str">
        <f t="shared" si="815"/>
        <v>37.25</v>
      </c>
      <c r="AE320" s="23"/>
      <c r="AF320" s="169" t="str">
        <f t="shared" si="816"/>
        <v>10.2</v>
      </c>
      <c r="AG320" s="163" t="str">
        <f t="shared" si="817"/>
        <v>#DIV/0!</v>
      </c>
      <c r="AH320" s="170" t="str">
        <f t="shared" si="818"/>
        <v>#DIV/0!</v>
      </c>
      <c r="AI320" s="26"/>
      <c r="AJ320" s="171" t="str">
        <f t="shared" si="819"/>
        <v>0.00%</v>
      </c>
      <c r="AK320" s="172" t="str">
        <f t="shared" si="820"/>
        <v>#DIV/0!</v>
      </c>
      <c r="AL320" s="173" t="str">
        <f t="shared" si="821"/>
        <v>#DIV/0!</v>
      </c>
      <c r="AM320" s="174" t="str">
        <f t="shared" si="822"/>
        <v>#DIV/0!</v>
      </c>
    </row>
    <row r="321" ht="12.75" customHeight="1">
      <c r="A321" s="26"/>
      <c r="B321" s="190" t="s">
        <v>629</v>
      </c>
      <c r="C321" s="202">
        <v>2.14312837E8</v>
      </c>
      <c r="D321" s="152" t="s">
        <v>630</v>
      </c>
      <c r="E321" s="53" t="s">
        <v>77</v>
      </c>
      <c r="F321" s="154"/>
      <c r="G321" s="53"/>
      <c r="H321" s="53" t="str">
        <f t="shared" si="799"/>
        <v>0.00069</v>
      </c>
      <c r="I321" s="53" t="str">
        <f t="shared" si="800"/>
        <v>89</v>
      </c>
      <c r="J321" s="53" t="str">
        <f t="shared" si="801"/>
        <v>0</v>
      </c>
      <c r="K321" s="155" t="str">
        <f t="shared" si="802"/>
        <v>0.00</v>
      </c>
      <c r="L321" s="156" t="str">
        <f t="shared" si="803"/>
        <v>0.00 </v>
      </c>
      <c r="M321" s="132">
        <v>90.0</v>
      </c>
      <c r="N321" s="325" t="str">
        <f t="shared" si="804"/>
        <v>#DIV/0!</v>
      </c>
      <c r="O321" s="158">
        <v>587.1</v>
      </c>
      <c r="P321" s="159" t="str">
        <f t="shared" si="805"/>
        <v>#DIV/0!</v>
      </c>
      <c r="Q321" s="160"/>
      <c r="R321" s="161">
        <v>0.26</v>
      </c>
      <c r="S321" s="162" t="str">
        <f t="shared" si="806"/>
        <v>434.45</v>
      </c>
      <c r="T321" s="163" t="str">
        <f t="shared" si="807"/>
        <v>20.00</v>
      </c>
      <c r="U321" s="164" t="str">
        <f t="shared" si="808"/>
        <v>34.76</v>
      </c>
      <c r="V321" s="165" t="str">
        <f t="shared" si="809"/>
        <v>#DIV/0!</v>
      </c>
      <c r="W321" s="166">
        <v>0.01</v>
      </c>
      <c r="X321" s="167" t="str">
        <f t="shared" si="810"/>
        <v>76</v>
      </c>
      <c r="Y321" s="168" t="str">
        <f t="shared" si="811"/>
        <v>161.453</v>
      </c>
      <c r="Z321" s="168" t="str">
        <f t="shared" si="812"/>
        <v>9.428</v>
      </c>
      <c r="AA321" s="164" t="str">
        <f t="shared" si="813"/>
        <v>2.99</v>
      </c>
      <c r="AB321" s="164">
        <v>94.03</v>
      </c>
      <c r="AC321" s="164" t="str">
        <f t="shared" si="814"/>
        <v>4.80</v>
      </c>
      <c r="AD321" s="165" t="str">
        <f t="shared" si="815"/>
        <v>29.36</v>
      </c>
      <c r="AE321" s="23"/>
      <c r="AF321" s="169" t="str">
        <f t="shared" si="816"/>
        <v>10.2</v>
      </c>
      <c r="AG321" s="163" t="str">
        <f t="shared" si="817"/>
        <v>#DIV/0!</v>
      </c>
      <c r="AH321" s="170" t="str">
        <f t="shared" si="818"/>
        <v>#DIV/0!</v>
      </c>
      <c r="AI321" s="26"/>
      <c r="AJ321" s="171" t="str">
        <f t="shared" si="819"/>
        <v>0.00%</v>
      </c>
      <c r="AK321" s="172" t="str">
        <f t="shared" si="820"/>
        <v>#DIV/0!</v>
      </c>
      <c r="AL321" s="173" t="str">
        <f t="shared" si="821"/>
        <v>#DIV/0!</v>
      </c>
      <c r="AM321" s="174" t="str">
        <f t="shared" si="822"/>
        <v>#DIV/0!</v>
      </c>
    </row>
    <row r="322" ht="12.75" customHeight="1">
      <c r="A322" s="26"/>
      <c r="B322" s="190" t="s">
        <v>631</v>
      </c>
      <c r="C322" s="192">
        <v>2.12890346E8</v>
      </c>
      <c r="D322" s="152" t="s">
        <v>632</v>
      </c>
      <c r="E322" s="53" t="s">
        <v>77</v>
      </c>
      <c r="F322" s="154"/>
      <c r="G322" s="53"/>
      <c r="H322" s="53" t="str">
        <f t="shared" si="799"/>
        <v>0.00069</v>
      </c>
      <c r="I322" s="53" t="str">
        <f t="shared" si="800"/>
        <v>89</v>
      </c>
      <c r="J322" s="53" t="str">
        <f t="shared" si="801"/>
        <v>0</v>
      </c>
      <c r="K322" s="155" t="str">
        <f t="shared" si="802"/>
        <v>0.00</v>
      </c>
      <c r="L322" s="156" t="str">
        <f t="shared" si="803"/>
        <v>0.00 </v>
      </c>
      <c r="M322" s="132">
        <v>90.0</v>
      </c>
      <c r="N322" s="325" t="str">
        <f t="shared" si="804"/>
        <v>#DIV/0!</v>
      </c>
      <c r="O322" s="158">
        <v>811.5</v>
      </c>
      <c r="P322" s="159" t="str">
        <f t="shared" si="805"/>
        <v>#DIV/0!</v>
      </c>
      <c r="Q322" s="160"/>
      <c r="R322" s="161">
        <v>0.26</v>
      </c>
      <c r="S322" s="162" t="str">
        <f t="shared" si="806"/>
        <v>600.51</v>
      </c>
      <c r="T322" s="163" t="str">
        <f t="shared" si="807"/>
        <v>20.00</v>
      </c>
      <c r="U322" s="164" t="str">
        <f t="shared" si="808"/>
        <v>48.04</v>
      </c>
      <c r="V322" s="165" t="str">
        <f t="shared" si="809"/>
        <v>#DIV/0!</v>
      </c>
      <c r="W322" s="166">
        <v>0.1</v>
      </c>
      <c r="X322" s="167" t="str">
        <f t="shared" si="810"/>
        <v>76</v>
      </c>
      <c r="Y322" s="168" t="str">
        <f t="shared" si="811"/>
        <v>223.163</v>
      </c>
      <c r="Z322" s="168" t="str">
        <f t="shared" si="812"/>
        <v>13.031</v>
      </c>
      <c r="AA322" s="164" t="str">
        <f t="shared" si="813"/>
        <v>2.09</v>
      </c>
      <c r="AB322" s="164">
        <v>95.83</v>
      </c>
      <c r="AC322" s="164" t="str">
        <f t="shared" si="814"/>
        <v>4.80</v>
      </c>
      <c r="AD322" s="165" t="str">
        <f t="shared" si="815"/>
        <v>40.58</v>
      </c>
      <c r="AE322" s="23"/>
      <c r="AF322" s="169" t="str">
        <f t="shared" si="816"/>
        <v>10.2</v>
      </c>
      <c r="AG322" s="163" t="str">
        <f t="shared" si="817"/>
        <v>#DIV/0!</v>
      </c>
      <c r="AH322" s="170" t="str">
        <f t="shared" si="818"/>
        <v>#DIV/0!</v>
      </c>
      <c r="AI322" s="26"/>
      <c r="AJ322" s="171" t="str">
        <f t="shared" si="819"/>
        <v>0.00%</v>
      </c>
      <c r="AK322" s="172" t="str">
        <f t="shared" si="820"/>
        <v>#DIV/0!</v>
      </c>
      <c r="AL322" s="173" t="str">
        <f t="shared" si="821"/>
        <v>#DIV/0!</v>
      </c>
      <c r="AM322" s="174" t="str">
        <f t="shared" si="822"/>
        <v>#DIV/0!</v>
      </c>
    </row>
    <row r="323" ht="12.75" customHeight="1">
      <c r="A323" s="26"/>
      <c r="B323" s="190" t="s">
        <v>633</v>
      </c>
      <c r="C323" s="192">
        <v>2.12890347E8</v>
      </c>
      <c r="D323" s="152" t="s">
        <v>634</v>
      </c>
      <c r="E323" s="53" t="s">
        <v>77</v>
      </c>
      <c r="F323" s="154"/>
      <c r="G323" s="53"/>
      <c r="H323" s="53" t="str">
        <f t="shared" si="799"/>
        <v>0.00069</v>
      </c>
      <c r="I323" s="53" t="str">
        <f t="shared" si="800"/>
        <v>89</v>
      </c>
      <c r="J323" s="53" t="str">
        <f t="shared" si="801"/>
        <v>0</v>
      </c>
      <c r="K323" s="155" t="str">
        <f t="shared" si="802"/>
        <v>0.00</v>
      </c>
      <c r="L323" s="156" t="str">
        <f t="shared" si="803"/>
        <v>0.00 </v>
      </c>
      <c r="M323" s="132">
        <v>90.0</v>
      </c>
      <c r="N323" s="325" t="str">
        <f t="shared" si="804"/>
        <v>#DIV/0!</v>
      </c>
      <c r="O323" s="158">
        <v>880.2</v>
      </c>
      <c r="P323" s="159" t="str">
        <f t="shared" si="805"/>
        <v>#DIV/0!</v>
      </c>
      <c r="Q323" s="160"/>
      <c r="R323" s="161">
        <v>0.26</v>
      </c>
      <c r="S323" s="162" t="str">
        <f t="shared" si="806"/>
        <v>651.35</v>
      </c>
      <c r="T323" s="163" t="str">
        <f t="shared" si="807"/>
        <v>20.00</v>
      </c>
      <c r="U323" s="164" t="str">
        <f t="shared" si="808"/>
        <v>52.11</v>
      </c>
      <c r="V323" s="165" t="str">
        <f t="shared" si="809"/>
        <v>#DIV/0!</v>
      </c>
      <c r="W323" s="166">
        <v>0.19</v>
      </c>
      <c r="X323" s="167" t="str">
        <f t="shared" si="810"/>
        <v>76</v>
      </c>
      <c r="Y323" s="168" t="str">
        <f t="shared" si="811"/>
        <v>242.055</v>
      </c>
      <c r="Z323" s="168" t="str">
        <f t="shared" si="812"/>
        <v>14.134</v>
      </c>
      <c r="AA323" s="164" t="str">
        <f t="shared" si="813"/>
        <v>3.03</v>
      </c>
      <c r="AB323" s="164">
        <v>93.95</v>
      </c>
      <c r="AC323" s="164" t="str">
        <f t="shared" si="814"/>
        <v>4.80</v>
      </c>
      <c r="AD323" s="165" t="str">
        <f t="shared" si="815"/>
        <v>44.01</v>
      </c>
      <c r="AE323" s="23"/>
      <c r="AF323" s="169" t="str">
        <f t="shared" si="816"/>
        <v>10.2</v>
      </c>
      <c r="AG323" s="163" t="str">
        <f t="shared" si="817"/>
        <v>#DIV/0!</v>
      </c>
      <c r="AH323" s="170" t="str">
        <f t="shared" si="818"/>
        <v>#DIV/0!</v>
      </c>
      <c r="AI323" s="26"/>
      <c r="AJ323" s="171" t="str">
        <f t="shared" si="819"/>
        <v>0.00%</v>
      </c>
      <c r="AK323" s="172" t="str">
        <f t="shared" si="820"/>
        <v>#DIV/0!</v>
      </c>
      <c r="AL323" s="173" t="str">
        <f t="shared" si="821"/>
        <v>#DIV/0!</v>
      </c>
      <c r="AM323" s="174" t="str">
        <f t="shared" si="822"/>
        <v>#DIV/0!</v>
      </c>
    </row>
    <row r="324" ht="12.75" customHeight="1">
      <c r="A324" s="26"/>
      <c r="B324" s="190" t="s">
        <v>635</v>
      </c>
      <c r="C324" s="192">
        <v>2.12887E8</v>
      </c>
      <c r="D324" s="152" t="s">
        <v>636</v>
      </c>
      <c r="E324" s="53" t="s">
        <v>77</v>
      </c>
      <c r="F324" s="154"/>
      <c r="G324" s="53"/>
      <c r="H324" s="53" t="str">
        <f t="shared" si="799"/>
        <v>0.00069</v>
      </c>
      <c r="I324" s="53" t="str">
        <f t="shared" si="800"/>
        <v>89</v>
      </c>
      <c r="J324" s="53" t="str">
        <f t="shared" si="801"/>
        <v>0</v>
      </c>
      <c r="K324" s="155" t="str">
        <f t="shared" si="802"/>
        <v>0.00</v>
      </c>
      <c r="L324" s="156" t="str">
        <f t="shared" si="803"/>
        <v>0.00 </v>
      </c>
      <c r="M324" s="132">
        <v>90.0</v>
      </c>
      <c r="N324" s="325" t="str">
        <f t="shared" si="804"/>
        <v>#DIV/0!</v>
      </c>
      <c r="O324" s="158">
        <v>676.5</v>
      </c>
      <c r="P324" s="159" t="str">
        <f t="shared" si="805"/>
        <v>#DIV/0!</v>
      </c>
      <c r="Q324" s="160"/>
      <c r="R324" s="161">
        <v>0.26</v>
      </c>
      <c r="S324" s="162" t="str">
        <f t="shared" si="806"/>
        <v>500.61</v>
      </c>
      <c r="T324" s="163" t="str">
        <f t="shared" si="807"/>
        <v>20.00</v>
      </c>
      <c r="U324" s="164" t="str">
        <f t="shared" si="808"/>
        <v>40.05</v>
      </c>
      <c r="V324" s="165" t="str">
        <f t="shared" si="809"/>
        <v>#DIV/0!</v>
      </c>
      <c r="W324" s="166">
        <v>0.73</v>
      </c>
      <c r="X324" s="167" t="str">
        <f t="shared" si="810"/>
        <v>76</v>
      </c>
      <c r="Y324" s="168" t="str">
        <f t="shared" si="811"/>
        <v>186.038</v>
      </c>
      <c r="Z324" s="168" t="str">
        <f t="shared" si="812"/>
        <v>10.863</v>
      </c>
      <c r="AA324" s="164" t="str">
        <f t="shared" si="813"/>
        <v>0.00</v>
      </c>
      <c r="AB324" s="164">
        <v>100.0</v>
      </c>
      <c r="AC324" s="164" t="str">
        <f t="shared" si="814"/>
        <v>4.80</v>
      </c>
      <c r="AD324" s="165" t="str">
        <f t="shared" si="815"/>
        <v>33.83</v>
      </c>
      <c r="AE324" s="23"/>
      <c r="AF324" s="169" t="str">
        <f t="shared" si="816"/>
        <v>10.2</v>
      </c>
      <c r="AG324" s="163" t="str">
        <f t="shared" si="817"/>
        <v>#DIV/0!</v>
      </c>
      <c r="AH324" s="170" t="str">
        <f t="shared" si="818"/>
        <v>#DIV/0!</v>
      </c>
      <c r="AI324" s="26"/>
      <c r="AJ324" s="171" t="str">
        <f t="shared" si="819"/>
        <v>0.00%</v>
      </c>
      <c r="AK324" s="172" t="str">
        <f t="shared" si="820"/>
        <v>#DIV/0!</v>
      </c>
      <c r="AL324" s="173" t="str">
        <f t="shared" si="821"/>
        <v>#DIV/0!</v>
      </c>
      <c r="AM324" s="174" t="str">
        <f t="shared" si="822"/>
        <v>#DIV/0!</v>
      </c>
    </row>
    <row r="325" ht="12.75" customHeight="1">
      <c r="A325" s="26"/>
      <c r="B325" s="125" t="s">
        <v>637</v>
      </c>
      <c r="C325" s="126"/>
      <c r="D325" s="127"/>
      <c r="E325" s="128"/>
      <c r="F325" s="129"/>
      <c r="G325" s="128"/>
      <c r="H325" s="197"/>
      <c r="I325" s="197"/>
      <c r="J325" s="128"/>
      <c r="K325" s="130"/>
      <c r="L325" s="131"/>
      <c r="M325" s="132"/>
      <c r="N325" s="320"/>
      <c r="O325" s="134"/>
      <c r="P325" s="135"/>
      <c r="Q325" s="135"/>
      <c r="R325" s="136"/>
      <c r="S325" s="137"/>
      <c r="T325" s="177"/>
      <c r="U325" s="178"/>
      <c r="V325" s="179"/>
      <c r="W325" s="180"/>
      <c r="X325" s="181"/>
      <c r="Y325" s="182"/>
      <c r="Z325" s="182"/>
      <c r="AA325" s="178"/>
      <c r="AB325" s="178"/>
      <c r="AC325" s="178"/>
      <c r="AD325" s="179"/>
      <c r="AE325" s="183"/>
      <c r="AF325" s="184"/>
      <c r="AG325" s="177"/>
      <c r="AH325" s="185"/>
      <c r="AI325" s="26"/>
      <c r="AJ325" s="186"/>
      <c r="AK325" s="187"/>
      <c r="AL325" s="188"/>
      <c r="AM325" s="189"/>
    </row>
    <row r="326" ht="12.75" customHeight="1">
      <c r="A326" s="26"/>
      <c r="B326" s="190" t="s">
        <v>638</v>
      </c>
      <c r="C326" s="191">
        <v>1.80596737E8</v>
      </c>
      <c r="D326" s="217" t="s">
        <v>639</v>
      </c>
      <c r="E326" s="226" t="s">
        <v>77</v>
      </c>
      <c r="F326" s="381"/>
      <c r="G326" s="227"/>
      <c r="H326" s="227" t="str">
        <f>$I$2</f>
        <v>0.00069</v>
      </c>
      <c r="I326" s="227" t="str">
        <f>$I$3</f>
        <v>89</v>
      </c>
      <c r="J326" s="53" t="str">
        <f>G326*H326*I326*F326</f>
        <v>0</v>
      </c>
      <c r="K326" s="155" t="str">
        <f>J326*$J$4</f>
        <v>0.00</v>
      </c>
      <c r="L326" s="156" t="str">
        <f>K326+J326</f>
        <v>0.00 </v>
      </c>
      <c r="M326" s="228">
        <v>90.0</v>
      </c>
      <c r="N326" s="325" t="str">
        <f>L326/F326</f>
        <v>#DIV/0!</v>
      </c>
      <c r="O326" s="158">
        <v>917.4</v>
      </c>
      <c r="P326" s="159" t="str">
        <f>AL326</f>
        <v>#DIV/0!</v>
      </c>
      <c r="Q326" s="160"/>
      <c r="R326" s="161">
        <v>0.26</v>
      </c>
      <c r="S326" s="162" t="str">
        <f>O326-(O326*R326)</f>
        <v>678.88</v>
      </c>
      <c r="T326" s="229" t="str">
        <f>$C$1</f>
        <v>20.00</v>
      </c>
      <c r="U326" s="233" t="str">
        <f>S326*$C$8</f>
        <v>54.31</v>
      </c>
      <c r="V326" s="230" t="str">
        <f>N326*$C$3*(M326/30)</f>
        <v>#DIV/0!</v>
      </c>
      <c r="W326" s="166">
        <v>0.3</v>
      </c>
      <c r="X326" s="231" t="str">
        <f>((_xlfn.CEILING.MATH(W326)-1)*$C$5+$C$4)</f>
        <v>76</v>
      </c>
      <c r="Y326" s="232" t="str">
        <f>O326*$Y$6</f>
        <v>252.285</v>
      </c>
      <c r="Z326" s="232" t="str">
        <f>S326*$Y$7</f>
        <v>14.732</v>
      </c>
      <c r="AA326" s="233" t="str">
        <f>$Y$3*((100-AB326)/100)</f>
        <v>1.60</v>
      </c>
      <c r="AB326" s="233">
        <v>96.81</v>
      </c>
      <c r="AC326" s="233" t="str">
        <f>$C$6*$C$7*_xlfn.CEILING.MATH(W326)</f>
        <v>4.80</v>
      </c>
      <c r="AD326" s="230" t="str">
        <f>O326*$C$2</f>
        <v>45.87</v>
      </c>
      <c r="AE326" s="23"/>
      <c r="AF326" s="169" t="str">
        <f>(_xlfn.CEILING.MATH(W326))*$Y$1*$AD$2</f>
        <v>10.2</v>
      </c>
      <c r="AG326" s="229" t="str">
        <f>O326-T326-U326-V326-X326-Y326-Z326-AA326-AC326-AD326-N326</f>
        <v>#DIV/0!</v>
      </c>
      <c r="AH326" s="234" t="str">
        <f>AG326/N326</f>
        <v>#DIV/0!</v>
      </c>
      <c r="AI326" s="26"/>
      <c r="AJ326" s="235" t="str">
        <f>$AD$3</f>
        <v>0.00%</v>
      </c>
      <c r="AK326" s="236" t="str">
        <f>N326*AJ326</f>
        <v>#DIV/0!</v>
      </c>
      <c r="AL326" s="237" t="str">
        <f>(N326+T326+V326+X326+AA326+AC326+AF326+AK326)/(100%-($C$2+$C$8+$Y$6+$Y$7))</f>
        <v>#DIV/0!</v>
      </c>
      <c r="AM326" s="238" t="str">
        <f>AL326-(AL326*$AD$1)</f>
        <v>#DIV/0!</v>
      </c>
    </row>
    <row r="327" ht="12.75" customHeight="1">
      <c r="A327" s="26"/>
      <c r="B327" s="12"/>
      <c r="C327" s="240"/>
      <c r="D327" s="339" t="s">
        <v>763</v>
      </c>
      <c r="E327" s="340"/>
      <c r="F327" s="341"/>
      <c r="G327" s="341"/>
      <c r="H327" s="341"/>
      <c r="I327" s="341"/>
      <c r="J327" s="341"/>
      <c r="K327" s="342"/>
      <c r="L327" s="343" t="str">
        <f>SUM(L11:L326)-L19-L101</f>
        <v>0.00 </v>
      </c>
      <c r="M327" s="10"/>
      <c r="N327" s="12"/>
      <c r="O327" s="242"/>
      <c r="P327" s="243"/>
      <c r="Q327" s="243"/>
      <c r="R327" s="14"/>
      <c r="S327" s="242"/>
      <c r="T327" s="15"/>
      <c r="U327" s="15"/>
      <c r="V327" s="345" t="str">
        <f>SUM(V11:V326)</f>
        <v>#DIV/0!</v>
      </c>
      <c r="W327" s="8"/>
      <c r="X327" s="8"/>
      <c r="Y327" s="56"/>
      <c r="Z327" s="56"/>
      <c r="AA327" s="15"/>
      <c r="AB327" s="15"/>
      <c r="AC327" s="15"/>
      <c r="AD327" s="346"/>
      <c r="AE327" s="57"/>
      <c r="AF327" s="57"/>
      <c r="AG327" s="15"/>
      <c r="AH327" s="25"/>
      <c r="AI327" s="26"/>
      <c r="AJ327" s="26"/>
      <c r="AK327" s="27"/>
      <c r="AL327" s="28"/>
      <c r="AM327" s="29"/>
    </row>
    <row r="328" ht="12.75" customHeight="1">
      <c r="A328" s="26"/>
      <c r="B328" s="12"/>
      <c r="C328" s="240"/>
      <c r="D328" s="241"/>
      <c r="E328" s="5"/>
      <c r="F328" s="5"/>
      <c r="G328" s="5"/>
      <c r="H328" s="5"/>
      <c r="I328" s="5"/>
      <c r="J328" s="5"/>
      <c r="K328" s="8"/>
      <c r="L328" s="9"/>
      <c r="M328" s="10"/>
      <c r="N328" s="12"/>
      <c r="O328" s="242"/>
      <c r="P328" s="243"/>
      <c r="Q328" s="243"/>
      <c r="R328" s="14"/>
      <c r="S328" s="242"/>
      <c r="T328" s="15"/>
      <c r="U328" s="15"/>
      <c r="V328" s="15"/>
      <c r="W328" s="8"/>
      <c r="X328" s="8"/>
      <c r="Y328" s="56"/>
      <c r="Z328" s="56"/>
      <c r="AA328" s="15"/>
      <c r="AB328" s="15"/>
      <c r="AC328" s="15"/>
      <c r="AD328" s="15"/>
      <c r="AE328" s="57"/>
      <c r="AF328" s="57"/>
      <c r="AG328" s="15"/>
      <c r="AH328" s="25"/>
      <c r="AI328" s="26"/>
      <c r="AJ328" s="26"/>
      <c r="AK328" s="27"/>
      <c r="AL328" s="28"/>
      <c r="AM328" s="29"/>
    </row>
    <row r="329" ht="12.75" customHeight="1">
      <c r="A329" s="26"/>
      <c r="B329" s="12"/>
      <c r="C329" s="240"/>
      <c r="D329" s="241"/>
      <c r="E329" s="5"/>
      <c r="F329" s="5"/>
      <c r="G329" s="5"/>
      <c r="H329" s="5"/>
      <c r="I329" s="5"/>
      <c r="J329" s="5"/>
      <c r="K329" s="8"/>
      <c r="L329" s="9"/>
      <c r="M329" s="10"/>
      <c r="N329" s="12"/>
      <c r="O329" s="242"/>
      <c r="P329" s="243"/>
      <c r="Q329" s="243"/>
      <c r="R329" s="14"/>
      <c r="S329" s="242"/>
      <c r="T329" s="15"/>
      <c r="U329" s="15"/>
      <c r="V329" s="15"/>
      <c r="W329" s="8"/>
      <c r="X329" s="8"/>
      <c r="Y329" s="56"/>
      <c r="Z329" s="56"/>
      <c r="AA329" s="15"/>
      <c r="AB329" s="15"/>
      <c r="AC329" s="15"/>
      <c r="AD329" s="15"/>
      <c r="AE329" s="57"/>
      <c r="AF329" s="57"/>
      <c r="AG329" s="15"/>
      <c r="AH329" s="25"/>
      <c r="AI329" s="26"/>
      <c r="AJ329" s="26"/>
      <c r="AK329" s="27"/>
      <c r="AL329" s="28"/>
      <c r="AM329" s="29"/>
    </row>
    <row r="330" ht="12.75" customHeight="1">
      <c r="A330" s="26"/>
      <c r="B330" s="12"/>
      <c r="C330" s="240"/>
      <c r="D330" s="241"/>
      <c r="E330" s="5"/>
      <c r="F330" s="5"/>
      <c r="G330" s="5"/>
      <c r="H330" s="5"/>
      <c r="I330" s="5"/>
      <c r="J330" s="5"/>
      <c r="K330" s="8"/>
      <c r="L330" s="9"/>
      <c r="M330" s="10"/>
      <c r="N330" s="12"/>
      <c r="O330" s="242"/>
      <c r="P330" s="243"/>
      <c r="Q330" s="243"/>
      <c r="R330" s="14"/>
      <c r="S330" s="242"/>
      <c r="T330" s="15"/>
      <c r="U330" s="15"/>
      <c r="V330" s="15"/>
      <c r="W330" s="8"/>
      <c r="X330" s="8"/>
      <c r="Y330" s="56"/>
      <c r="Z330" s="56"/>
      <c r="AA330" s="15"/>
      <c r="AB330" s="15"/>
      <c r="AC330" s="15"/>
      <c r="AD330" s="15"/>
      <c r="AE330" s="57"/>
      <c r="AF330" s="57"/>
      <c r="AG330" s="15"/>
      <c r="AH330" s="25"/>
      <c r="AI330" s="26"/>
      <c r="AJ330" s="26"/>
      <c r="AK330" s="27"/>
      <c r="AL330" s="28"/>
      <c r="AM330" s="29"/>
    </row>
    <row r="331" ht="12.75" customHeight="1">
      <c r="A331" s="26"/>
      <c r="B331" s="12"/>
      <c r="C331" s="240"/>
      <c r="D331" s="241"/>
      <c r="E331" s="5"/>
      <c r="F331" s="5"/>
      <c r="G331" s="5"/>
      <c r="H331" s="5"/>
      <c r="I331" s="5"/>
      <c r="J331" s="5"/>
      <c r="K331" s="8"/>
      <c r="L331" s="9"/>
      <c r="M331" s="10"/>
      <c r="N331" s="12"/>
      <c r="O331" s="242"/>
      <c r="P331" s="243"/>
      <c r="Q331" s="243"/>
      <c r="R331" s="14"/>
      <c r="S331" s="242"/>
      <c r="T331" s="15"/>
      <c r="U331" s="15"/>
      <c r="V331" s="15"/>
      <c r="W331" s="8"/>
      <c r="X331" s="8"/>
      <c r="Y331" s="56"/>
      <c r="Z331" s="56"/>
      <c r="AA331" s="15"/>
      <c r="AB331" s="15"/>
      <c r="AC331" s="15"/>
      <c r="AD331" s="15"/>
      <c r="AE331" s="57"/>
      <c r="AF331" s="57"/>
      <c r="AG331" s="15"/>
      <c r="AH331" s="25"/>
      <c r="AI331" s="26"/>
      <c r="AJ331" s="26"/>
      <c r="AK331" s="27"/>
      <c r="AL331" s="28"/>
      <c r="AM331" s="29"/>
    </row>
    <row r="332" ht="12.75" customHeight="1">
      <c r="A332" s="26"/>
      <c r="B332" s="12"/>
      <c r="C332" s="240"/>
      <c r="D332" s="241"/>
      <c r="E332" s="5"/>
      <c r="F332" s="5"/>
      <c r="G332" s="5"/>
      <c r="H332" s="5"/>
      <c r="I332" s="5"/>
      <c r="J332" s="5"/>
      <c r="K332" s="8"/>
      <c r="L332" s="9"/>
      <c r="M332" s="10"/>
      <c r="N332" s="12"/>
      <c r="O332" s="242"/>
      <c r="P332" s="243"/>
      <c r="Q332" s="243"/>
      <c r="R332" s="14"/>
      <c r="S332" s="242"/>
      <c r="T332" s="15"/>
      <c r="U332" s="15"/>
      <c r="V332" s="15"/>
      <c r="W332" s="8"/>
      <c r="X332" s="8"/>
      <c r="Y332" s="56"/>
      <c r="Z332" s="56"/>
      <c r="AA332" s="15"/>
      <c r="AB332" s="15"/>
      <c r="AC332" s="15"/>
      <c r="AD332" s="15"/>
      <c r="AE332" s="57"/>
      <c r="AF332" s="57"/>
      <c r="AG332" s="15"/>
      <c r="AH332" s="25"/>
      <c r="AI332" s="26"/>
      <c r="AJ332" s="26"/>
      <c r="AK332" s="27"/>
      <c r="AL332" s="28"/>
      <c r="AM332" s="29"/>
    </row>
    <row r="333" ht="12.75" customHeight="1">
      <c r="A333" s="26"/>
      <c r="B333" s="12"/>
      <c r="C333" s="240"/>
      <c r="D333" s="241"/>
      <c r="E333" s="5"/>
      <c r="F333" s="5"/>
      <c r="G333" s="5"/>
      <c r="H333" s="5"/>
      <c r="I333" s="5"/>
      <c r="J333" s="5"/>
      <c r="K333" s="8"/>
      <c r="L333" s="9"/>
      <c r="M333" s="10"/>
      <c r="N333" s="12"/>
      <c r="O333" s="242"/>
      <c r="P333" s="243"/>
      <c r="Q333" s="243"/>
      <c r="R333" s="14"/>
      <c r="S333" s="242"/>
      <c r="T333" s="15"/>
      <c r="U333" s="15"/>
      <c r="V333" s="15"/>
      <c r="W333" s="8"/>
      <c r="X333" s="8"/>
      <c r="Y333" s="56"/>
      <c r="Z333" s="56"/>
      <c r="AA333" s="15"/>
      <c r="AB333" s="15"/>
      <c r="AC333" s="15"/>
      <c r="AD333" s="15"/>
      <c r="AE333" s="57"/>
      <c r="AF333" s="57"/>
      <c r="AG333" s="15"/>
      <c r="AH333" s="25"/>
      <c r="AI333" s="26"/>
      <c r="AJ333" s="26"/>
      <c r="AK333" s="27"/>
      <c r="AL333" s="28"/>
      <c r="AM333" s="29"/>
    </row>
    <row r="334" ht="12.75" customHeight="1">
      <c r="A334" s="26"/>
      <c r="B334" s="12"/>
      <c r="C334" s="240"/>
      <c r="D334" s="241"/>
      <c r="E334" s="5"/>
      <c r="F334" s="5"/>
      <c r="G334" s="5"/>
      <c r="H334" s="5"/>
      <c r="I334" s="5"/>
      <c r="J334" s="5"/>
      <c r="K334" s="8"/>
      <c r="L334" s="9"/>
      <c r="M334" s="10"/>
      <c r="N334" s="12"/>
      <c r="O334" s="242"/>
      <c r="P334" s="243"/>
      <c r="Q334" s="243"/>
      <c r="R334" s="14"/>
      <c r="S334" s="242"/>
      <c r="T334" s="15"/>
      <c r="U334" s="15"/>
      <c r="V334" s="15"/>
      <c r="W334" s="8"/>
      <c r="X334" s="8"/>
      <c r="Y334" s="56"/>
      <c r="Z334" s="56"/>
      <c r="AA334" s="15"/>
      <c r="AB334" s="15"/>
      <c r="AC334" s="15"/>
      <c r="AD334" s="15"/>
      <c r="AE334" s="57"/>
      <c r="AF334" s="57"/>
      <c r="AG334" s="15"/>
      <c r="AH334" s="25"/>
      <c r="AI334" s="26"/>
      <c r="AJ334" s="26"/>
      <c r="AK334" s="27"/>
      <c r="AL334" s="28"/>
      <c r="AM334" s="29"/>
    </row>
    <row r="335" ht="12.75" customHeight="1">
      <c r="A335" s="26"/>
      <c r="B335" s="12"/>
      <c r="C335" s="240"/>
      <c r="D335" s="241"/>
      <c r="E335" s="5"/>
      <c r="F335" s="5"/>
      <c r="G335" s="5"/>
      <c r="H335" s="5"/>
      <c r="I335" s="5"/>
      <c r="J335" s="5"/>
      <c r="K335" s="8"/>
      <c r="L335" s="9"/>
      <c r="M335" s="10"/>
      <c r="N335" s="12"/>
      <c r="O335" s="242"/>
      <c r="P335" s="243"/>
      <c r="Q335" s="243"/>
      <c r="R335" s="14"/>
      <c r="S335" s="242"/>
      <c r="T335" s="15"/>
      <c r="U335" s="15"/>
      <c r="V335" s="15"/>
      <c r="W335" s="8"/>
      <c r="X335" s="8"/>
      <c r="Y335" s="56"/>
      <c r="Z335" s="56"/>
      <c r="AA335" s="15"/>
      <c r="AB335" s="15"/>
      <c r="AC335" s="15"/>
      <c r="AD335" s="15"/>
      <c r="AE335" s="57"/>
      <c r="AF335" s="57"/>
      <c r="AG335" s="15"/>
      <c r="AH335" s="25"/>
      <c r="AI335" s="26"/>
      <c r="AJ335" s="26"/>
      <c r="AK335" s="27"/>
      <c r="AL335" s="28"/>
      <c r="AM335" s="29"/>
    </row>
    <row r="336" ht="12.75" customHeight="1">
      <c r="A336" s="26"/>
      <c r="B336" s="12"/>
      <c r="C336" s="240"/>
      <c r="D336" s="241"/>
      <c r="E336" s="5"/>
      <c r="F336" s="5"/>
      <c r="G336" s="5"/>
      <c r="H336" s="5"/>
      <c r="I336" s="5"/>
      <c r="J336" s="5"/>
      <c r="K336" s="8"/>
      <c r="L336" s="9"/>
      <c r="M336" s="10"/>
      <c r="N336" s="12"/>
      <c r="O336" s="242"/>
      <c r="P336" s="243"/>
      <c r="Q336" s="243"/>
      <c r="R336" s="14"/>
      <c r="S336" s="242"/>
      <c r="T336" s="15"/>
      <c r="U336" s="15"/>
      <c r="V336" s="15"/>
      <c r="W336" s="8"/>
      <c r="X336" s="8"/>
      <c r="Y336" s="56"/>
      <c r="Z336" s="56"/>
      <c r="AA336" s="15"/>
      <c r="AB336" s="15"/>
      <c r="AC336" s="15"/>
      <c r="AD336" s="15"/>
      <c r="AE336" s="57"/>
      <c r="AF336" s="57"/>
      <c r="AG336" s="15"/>
      <c r="AH336" s="25"/>
      <c r="AI336" s="26"/>
      <c r="AJ336" s="26"/>
      <c r="AK336" s="27"/>
      <c r="AL336" s="28"/>
      <c r="AM336" s="29"/>
    </row>
    <row r="337" ht="12.75" customHeight="1">
      <c r="A337" s="26"/>
      <c r="B337" s="12"/>
      <c r="C337" s="240"/>
      <c r="D337" s="241"/>
      <c r="E337" s="5"/>
      <c r="F337" s="5"/>
      <c r="G337" s="5"/>
      <c r="H337" s="5"/>
      <c r="I337" s="5"/>
      <c r="J337" s="5"/>
      <c r="K337" s="8"/>
      <c r="L337" s="9"/>
      <c r="M337" s="10"/>
      <c r="N337" s="12"/>
      <c r="O337" s="242"/>
      <c r="P337" s="243"/>
      <c r="Q337" s="243"/>
      <c r="R337" s="14"/>
      <c r="S337" s="242"/>
      <c r="T337" s="15"/>
      <c r="U337" s="15"/>
      <c r="V337" s="15"/>
      <c r="W337" s="8"/>
      <c r="X337" s="8"/>
      <c r="Y337" s="56"/>
      <c r="Z337" s="56"/>
      <c r="AA337" s="15"/>
      <c r="AB337" s="15"/>
      <c r="AC337" s="15"/>
      <c r="AD337" s="15"/>
      <c r="AE337" s="57"/>
      <c r="AF337" s="57"/>
      <c r="AG337" s="15"/>
      <c r="AH337" s="25"/>
      <c r="AI337" s="26"/>
      <c r="AJ337" s="26"/>
      <c r="AK337" s="27"/>
      <c r="AL337" s="28"/>
      <c r="AM337" s="29"/>
    </row>
    <row r="338" ht="12.75" customHeight="1">
      <c r="A338" s="26"/>
      <c r="B338" s="12"/>
      <c r="C338" s="240"/>
      <c r="D338" s="241"/>
      <c r="E338" s="5"/>
      <c r="F338" s="5"/>
      <c r="G338" s="5"/>
      <c r="H338" s="5"/>
      <c r="I338" s="5"/>
      <c r="J338" s="5"/>
      <c r="K338" s="8"/>
      <c r="L338" s="9"/>
      <c r="M338" s="10"/>
      <c r="N338" s="12"/>
      <c r="O338" s="242"/>
      <c r="P338" s="243"/>
      <c r="Q338" s="243"/>
      <c r="R338" s="14"/>
      <c r="S338" s="242"/>
      <c r="T338" s="15"/>
      <c r="U338" s="15"/>
      <c r="V338" s="15"/>
      <c r="W338" s="8"/>
      <c r="X338" s="8"/>
      <c r="Y338" s="56"/>
      <c r="Z338" s="56"/>
      <c r="AA338" s="15"/>
      <c r="AB338" s="15"/>
      <c r="AC338" s="15"/>
      <c r="AD338" s="15"/>
      <c r="AE338" s="57"/>
      <c r="AF338" s="57"/>
      <c r="AG338" s="15"/>
      <c r="AH338" s="25"/>
      <c r="AI338" s="26"/>
      <c r="AJ338" s="26"/>
      <c r="AK338" s="27"/>
      <c r="AL338" s="28"/>
      <c r="AM338" s="29"/>
    </row>
    <row r="339" ht="12.75" customHeight="1">
      <c r="A339" s="26"/>
      <c r="B339" s="12"/>
      <c r="C339" s="240"/>
      <c r="D339" s="241"/>
      <c r="E339" s="5"/>
      <c r="F339" s="5"/>
      <c r="G339" s="5"/>
      <c r="H339" s="5"/>
      <c r="I339" s="5"/>
      <c r="J339" s="5"/>
      <c r="K339" s="8"/>
      <c r="L339" s="9"/>
      <c r="M339" s="10"/>
      <c r="N339" s="12"/>
      <c r="O339" s="242"/>
      <c r="P339" s="243"/>
      <c r="Q339" s="243"/>
      <c r="R339" s="14"/>
      <c r="S339" s="242"/>
      <c r="T339" s="15"/>
      <c r="U339" s="15"/>
      <c r="V339" s="15"/>
      <c r="W339" s="8"/>
      <c r="X339" s="8"/>
      <c r="Y339" s="56"/>
      <c r="Z339" s="56"/>
      <c r="AA339" s="15"/>
      <c r="AB339" s="15"/>
      <c r="AC339" s="15"/>
      <c r="AD339" s="15"/>
      <c r="AE339" s="57"/>
      <c r="AF339" s="57"/>
      <c r="AG339" s="15"/>
      <c r="AH339" s="25"/>
      <c r="AI339" s="26"/>
      <c r="AJ339" s="26"/>
      <c r="AK339" s="27"/>
      <c r="AL339" s="28"/>
      <c r="AM339" s="29"/>
    </row>
    <row r="340" ht="12.75" customHeight="1">
      <c r="A340" s="26"/>
      <c r="B340" s="12"/>
      <c r="C340" s="240"/>
      <c r="D340" s="241"/>
      <c r="E340" s="5"/>
      <c r="F340" s="5"/>
      <c r="G340" s="5"/>
      <c r="H340" s="5"/>
      <c r="I340" s="5"/>
      <c r="J340" s="5"/>
      <c r="K340" s="8"/>
      <c r="L340" s="9"/>
      <c r="M340" s="10"/>
      <c r="N340" s="12"/>
      <c r="O340" s="242"/>
      <c r="P340" s="243"/>
      <c r="Q340" s="243"/>
      <c r="R340" s="14"/>
      <c r="S340" s="242"/>
      <c r="T340" s="15"/>
      <c r="U340" s="15"/>
      <c r="V340" s="15"/>
      <c r="W340" s="8"/>
      <c r="X340" s="8"/>
      <c r="Y340" s="56"/>
      <c r="Z340" s="56"/>
      <c r="AA340" s="15"/>
      <c r="AB340" s="15"/>
      <c r="AC340" s="15"/>
      <c r="AD340" s="15"/>
      <c r="AE340" s="57"/>
      <c r="AF340" s="57"/>
      <c r="AG340" s="15"/>
      <c r="AH340" s="25"/>
      <c r="AI340" s="26"/>
      <c r="AJ340" s="26"/>
      <c r="AK340" s="27"/>
      <c r="AL340" s="28"/>
      <c r="AM340" s="29"/>
    </row>
    <row r="341" ht="12.75" customHeight="1">
      <c r="A341" s="26"/>
      <c r="B341" s="12"/>
      <c r="C341" s="240"/>
      <c r="D341" s="241"/>
      <c r="E341" s="5"/>
      <c r="F341" s="5"/>
      <c r="G341" s="5"/>
      <c r="H341" s="5"/>
      <c r="I341" s="5"/>
      <c r="J341" s="5"/>
      <c r="K341" s="8"/>
      <c r="L341" s="9"/>
      <c r="M341" s="10"/>
      <c r="N341" s="12"/>
      <c r="O341" s="242"/>
      <c r="P341" s="243"/>
      <c r="Q341" s="243"/>
      <c r="R341" s="14"/>
      <c r="S341" s="242"/>
      <c r="T341" s="15"/>
      <c r="U341" s="15"/>
      <c r="V341" s="15"/>
      <c r="W341" s="8"/>
      <c r="X341" s="8"/>
      <c r="Y341" s="56"/>
      <c r="Z341" s="56"/>
      <c r="AA341" s="15"/>
      <c r="AB341" s="15"/>
      <c r="AC341" s="15"/>
      <c r="AD341" s="15"/>
      <c r="AE341" s="57"/>
      <c r="AF341" s="57"/>
      <c r="AG341" s="15"/>
      <c r="AH341" s="25"/>
      <c r="AI341" s="26"/>
      <c r="AJ341" s="26"/>
      <c r="AK341" s="27"/>
      <c r="AL341" s="28"/>
      <c r="AM341" s="29"/>
    </row>
    <row r="342" ht="12.75" customHeight="1">
      <c r="A342" s="26"/>
      <c r="B342" s="12"/>
      <c r="C342" s="240"/>
      <c r="D342" s="241"/>
      <c r="E342" s="5"/>
      <c r="F342" s="5"/>
      <c r="G342" s="5"/>
      <c r="H342" s="5"/>
      <c r="I342" s="5"/>
      <c r="J342" s="5"/>
      <c r="K342" s="8"/>
      <c r="L342" s="9"/>
      <c r="M342" s="10"/>
      <c r="N342" s="12"/>
      <c r="O342" s="242"/>
      <c r="P342" s="243"/>
      <c r="Q342" s="243"/>
      <c r="R342" s="14"/>
      <c r="S342" s="242"/>
      <c r="T342" s="15"/>
      <c r="U342" s="15"/>
      <c r="V342" s="15"/>
      <c r="W342" s="8"/>
      <c r="X342" s="8"/>
      <c r="Y342" s="56"/>
      <c r="Z342" s="56"/>
      <c r="AA342" s="15"/>
      <c r="AB342" s="15"/>
      <c r="AC342" s="15"/>
      <c r="AD342" s="15"/>
      <c r="AE342" s="57"/>
      <c r="AF342" s="57"/>
      <c r="AG342" s="15"/>
      <c r="AH342" s="25"/>
      <c r="AI342" s="26"/>
      <c r="AJ342" s="26"/>
      <c r="AK342" s="27"/>
      <c r="AL342" s="28"/>
      <c r="AM342" s="29"/>
    </row>
    <row r="343" ht="12.75" customHeight="1">
      <c r="A343" s="26"/>
      <c r="B343" s="12"/>
      <c r="C343" s="240"/>
      <c r="D343" s="241"/>
      <c r="E343" s="5"/>
      <c r="F343" s="5"/>
      <c r="G343" s="5"/>
      <c r="H343" s="5"/>
      <c r="I343" s="5"/>
      <c r="J343" s="5"/>
      <c r="K343" s="8"/>
      <c r="L343" s="9"/>
      <c r="M343" s="10"/>
      <c r="N343" s="12"/>
      <c r="O343" s="242"/>
      <c r="P343" s="243"/>
      <c r="Q343" s="243"/>
      <c r="R343" s="14"/>
      <c r="S343" s="242"/>
      <c r="T343" s="15"/>
      <c r="U343" s="15"/>
      <c r="V343" s="15"/>
      <c r="W343" s="8"/>
      <c r="X343" s="8"/>
      <c r="Y343" s="56"/>
      <c r="Z343" s="56"/>
      <c r="AA343" s="15"/>
      <c r="AB343" s="15"/>
      <c r="AC343" s="15"/>
      <c r="AD343" s="15"/>
      <c r="AE343" s="57"/>
      <c r="AF343" s="57"/>
      <c r="AG343" s="15"/>
      <c r="AH343" s="25"/>
      <c r="AI343" s="26"/>
      <c r="AJ343" s="26"/>
      <c r="AK343" s="27"/>
      <c r="AL343" s="28"/>
      <c r="AM343" s="29"/>
    </row>
    <row r="344" ht="12.75" customHeight="1">
      <c r="A344" s="26"/>
      <c r="B344" s="12"/>
      <c r="C344" s="240"/>
      <c r="D344" s="241"/>
      <c r="E344" s="5"/>
      <c r="F344" s="5"/>
      <c r="G344" s="5"/>
      <c r="H344" s="5"/>
      <c r="I344" s="5"/>
      <c r="J344" s="5"/>
      <c r="K344" s="8"/>
      <c r="L344" s="9"/>
      <c r="M344" s="10"/>
      <c r="N344" s="12"/>
      <c r="O344" s="242"/>
      <c r="P344" s="243"/>
      <c r="Q344" s="243"/>
      <c r="R344" s="14"/>
      <c r="S344" s="242"/>
      <c r="T344" s="15"/>
      <c r="U344" s="15"/>
      <c r="V344" s="15"/>
      <c r="W344" s="8"/>
      <c r="X344" s="8"/>
      <c r="Y344" s="56"/>
      <c r="Z344" s="56"/>
      <c r="AA344" s="15"/>
      <c r="AB344" s="15"/>
      <c r="AC344" s="15"/>
      <c r="AD344" s="15"/>
      <c r="AE344" s="57"/>
      <c r="AF344" s="57"/>
      <c r="AG344" s="15"/>
      <c r="AH344" s="25"/>
      <c r="AI344" s="26"/>
      <c r="AJ344" s="26"/>
      <c r="AK344" s="27"/>
      <c r="AL344" s="28"/>
      <c r="AM344" s="29"/>
    </row>
    <row r="345" ht="12.75" customHeight="1">
      <c r="A345" s="26"/>
      <c r="B345" s="12"/>
      <c r="C345" s="240"/>
      <c r="D345" s="241"/>
      <c r="E345" s="5"/>
      <c r="F345" s="5"/>
      <c r="G345" s="5"/>
      <c r="H345" s="5"/>
      <c r="I345" s="5"/>
      <c r="J345" s="5"/>
      <c r="K345" s="8"/>
      <c r="L345" s="9"/>
      <c r="M345" s="10"/>
      <c r="N345" s="12"/>
      <c r="O345" s="242"/>
      <c r="P345" s="243"/>
      <c r="Q345" s="243"/>
      <c r="R345" s="14"/>
      <c r="S345" s="242"/>
      <c r="T345" s="15"/>
      <c r="U345" s="15"/>
      <c r="V345" s="15"/>
      <c r="W345" s="8"/>
      <c r="X345" s="8"/>
      <c r="Y345" s="56"/>
      <c r="Z345" s="56"/>
      <c r="AA345" s="15"/>
      <c r="AB345" s="15"/>
      <c r="AC345" s="15"/>
      <c r="AD345" s="15"/>
      <c r="AE345" s="57"/>
      <c r="AF345" s="57"/>
      <c r="AG345" s="15"/>
      <c r="AH345" s="25"/>
      <c r="AI345" s="26"/>
      <c r="AJ345" s="26"/>
      <c r="AK345" s="27"/>
      <c r="AL345" s="28"/>
      <c r="AM345" s="29"/>
    </row>
    <row r="346" ht="12.75" customHeight="1">
      <c r="A346" s="26"/>
      <c r="B346" s="12"/>
      <c r="C346" s="240"/>
      <c r="D346" s="241"/>
      <c r="E346" s="5"/>
      <c r="F346" s="5"/>
      <c r="G346" s="5"/>
      <c r="H346" s="5"/>
      <c r="I346" s="5"/>
      <c r="J346" s="5"/>
      <c r="K346" s="8"/>
      <c r="L346" s="9"/>
      <c r="M346" s="10"/>
      <c r="N346" s="12"/>
      <c r="O346" s="242"/>
      <c r="P346" s="243"/>
      <c r="Q346" s="243"/>
      <c r="R346" s="14"/>
      <c r="S346" s="242"/>
      <c r="T346" s="15"/>
      <c r="U346" s="15"/>
      <c r="V346" s="15"/>
      <c r="W346" s="8"/>
      <c r="X346" s="8"/>
      <c r="Y346" s="56"/>
      <c r="Z346" s="56"/>
      <c r="AA346" s="15"/>
      <c r="AB346" s="15"/>
      <c r="AC346" s="15"/>
      <c r="AD346" s="15"/>
      <c r="AE346" s="57"/>
      <c r="AF346" s="57"/>
      <c r="AG346" s="15"/>
      <c r="AH346" s="25"/>
      <c r="AI346" s="26"/>
      <c r="AJ346" s="26"/>
      <c r="AK346" s="27"/>
      <c r="AL346" s="28"/>
      <c r="AM346" s="29"/>
    </row>
    <row r="347" ht="12.75" customHeight="1">
      <c r="A347" s="26"/>
      <c r="B347" s="12"/>
      <c r="C347" s="240"/>
      <c r="D347" s="241"/>
      <c r="E347" s="5"/>
      <c r="F347" s="5"/>
      <c r="G347" s="5"/>
      <c r="H347" s="5"/>
      <c r="I347" s="5"/>
      <c r="J347" s="5"/>
      <c r="K347" s="8"/>
      <c r="L347" s="9"/>
      <c r="M347" s="10"/>
      <c r="N347" s="12"/>
      <c r="O347" s="242"/>
      <c r="P347" s="243"/>
      <c r="Q347" s="243"/>
      <c r="R347" s="14"/>
      <c r="S347" s="242"/>
      <c r="T347" s="15"/>
      <c r="U347" s="15"/>
      <c r="V347" s="15"/>
      <c r="W347" s="8"/>
      <c r="X347" s="8"/>
      <c r="Y347" s="56"/>
      <c r="Z347" s="56"/>
      <c r="AA347" s="15"/>
      <c r="AB347" s="15"/>
      <c r="AC347" s="15"/>
      <c r="AD347" s="15"/>
      <c r="AE347" s="57"/>
      <c r="AF347" s="57"/>
      <c r="AG347" s="15"/>
      <c r="AH347" s="25"/>
      <c r="AI347" s="26"/>
      <c r="AJ347" s="26"/>
      <c r="AK347" s="27"/>
      <c r="AL347" s="28"/>
      <c r="AM347" s="29"/>
    </row>
    <row r="348" ht="12.75" customHeight="1">
      <c r="A348" s="26"/>
      <c r="B348" s="12"/>
      <c r="C348" s="240"/>
      <c r="D348" s="241"/>
      <c r="E348" s="5"/>
      <c r="F348" s="5"/>
      <c r="G348" s="5"/>
      <c r="H348" s="5"/>
      <c r="I348" s="5"/>
      <c r="J348" s="5"/>
      <c r="K348" s="8"/>
      <c r="L348" s="9"/>
      <c r="M348" s="10"/>
      <c r="N348" s="12"/>
      <c r="O348" s="242"/>
      <c r="P348" s="243"/>
      <c r="Q348" s="243"/>
      <c r="R348" s="14"/>
      <c r="S348" s="242"/>
      <c r="T348" s="15"/>
      <c r="U348" s="15"/>
      <c r="V348" s="15"/>
      <c r="W348" s="8"/>
      <c r="X348" s="8"/>
      <c r="Y348" s="56"/>
      <c r="Z348" s="56"/>
      <c r="AA348" s="15"/>
      <c r="AB348" s="15"/>
      <c r="AC348" s="15"/>
      <c r="AD348" s="15"/>
      <c r="AE348" s="57"/>
      <c r="AF348" s="57"/>
      <c r="AG348" s="15"/>
      <c r="AH348" s="25"/>
      <c r="AI348" s="26"/>
      <c r="AJ348" s="26"/>
      <c r="AK348" s="27"/>
      <c r="AL348" s="28"/>
      <c r="AM348" s="29"/>
    </row>
    <row r="349" ht="12.75" customHeight="1">
      <c r="A349" s="26"/>
      <c r="B349" s="12"/>
      <c r="C349" s="240"/>
      <c r="D349" s="241"/>
      <c r="E349" s="5"/>
      <c r="F349" s="5"/>
      <c r="G349" s="5"/>
      <c r="H349" s="5"/>
      <c r="I349" s="5"/>
      <c r="J349" s="5"/>
      <c r="K349" s="8"/>
      <c r="L349" s="9"/>
      <c r="M349" s="10"/>
      <c r="N349" s="12"/>
      <c r="O349" s="242"/>
      <c r="P349" s="243"/>
      <c r="Q349" s="243"/>
      <c r="R349" s="14"/>
      <c r="S349" s="242"/>
      <c r="T349" s="15"/>
      <c r="U349" s="15"/>
      <c r="V349" s="15"/>
      <c r="W349" s="8"/>
      <c r="X349" s="8"/>
      <c r="Y349" s="56"/>
      <c r="Z349" s="56"/>
      <c r="AA349" s="15"/>
      <c r="AB349" s="15"/>
      <c r="AC349" s="15"/>
      <c r="AD349" s="15"/>
      <c r="AE349" s="57"/>
      <c r="AF349" s="57"/>
      <c r="AG349" s="15"/>
      <c r="AH349" s="25"/>
      <c r="AI349" s="26"/>
      <c r="AJ349" s="26"/>
      <c r="AK349" s="27"/>
      <c r="AL349" s="28"/>
      <c r="AM349" s="29"/>
    </row>
    <row r="350" ht="12.75" customHeight="1">
      <c r="A350" s="26"/>
      <c r="B350" s="12"/>
      <c r="C350" s="240"/>
      <c r="D350" s="241"/>
      <c r="E350" s="5"/>
      <c r="F350" s="5"/>
      <c r="G350" s="5"/>
      <c r="H350" s="5"/>
      <c r="I350" s="5"/>
      <c r="J350" s="5"/>
      <c r="K350" s="8"/>
      <c r="L350" s="9"/>
      <c r="M350" s="10"/>
      <c r="N350" s="12"/>
      <c r="O350" s="242"/>
      <c r="P350" s="243"/>
      <c r="Q350" s="243"/>
      <c r="R350" s="14"/>
      <c r="S350" s="242"/>
      <c r="T350" s="15"/>
      <c r="U350" s="15"/>
      <c r="V350" s="15"/>
      <c r="W350" s="8"/>
      <c r="X350" s="8"/>
      <c r="Y350" s="56"/>
      <c r="Z350" s="56"/>
      <c r="AA350" s="15"/>
      <c r="AB350" s="15"/>
      <c r="AC350" s="15"/>
      <c r="AD350" s="15"/>
      <c r="AE350" s="57"/>
      <c r="AF350" s="57"/>
      <c r="AG350" s="15"/>
      <c r="AH350" s="25"/>
      <c r="AI350" s="26"/>
      <c r="AJ350" s="26"/>
      <c r="AK350" s="27"/>
      <c r="AL350" s="28"/>
      <c r="AM350" s="29"/>
    </row>
    <row r="351" ht="12.75" customHeight="1">
      <c r="A351" s="26"/>
      <c r="B351" s="12"/>
      <c r="C351" s="240"/>
      <c r="D351" s="241"/>
      <c r="E351" s="5"/>
      <c r="F351" s="5"/>
      <c r="G351" s="5"/>
      <c r="H351" s="5"/>
      <c r="I351" s="5"/>
      <c r="J351" s="5"/>
      <c r="K351" s="8"/>
      <c r="L351" s="9"/>
      <c r="M351" s="10"/>
      <c r="N351" s="12"/>
      <c r="O351" s="242"/>
      <c r="P351" s="243"/>
      <c r="Q351" s="243"/>
      <c r="R351" s="14"/>
      <c r="S351" s="242"/>
      <c r="T351" s="15"/>
      <c r="U351" s="15"/>
      <c r="V351" s="15"/>
      <c r="W351" s="8"/>
      <c r="X351" s="8"/>
      <c r="Y351" s="56"/>
      <c r="Z351" s="56"/>
      <c r="AA351" s="15"/>
      <c r="AB351" s="15"/>
      <c r="AC351" s="15"/>
      <c r="AD351" s="15"/>
      <c r="AE351" s="57"/>
      <c r="AF351" s="57"/>
      <c r="AG351" s="15"/>
      <c r="AH351" s="25"/>
      <c r="AI351" s="26"/>
      <c r="AJ351" s="26"/>
      <c r="AK351" s="27"/>
      <c r="AL351" s="28"/>
      <c r="AM351" s="29"/>
    </row>
    <row r="352" ht="12.75" customHeight="1">
      <c r="A352" s="26"/>
      <c r="B352" s="12"/>
      <c r="C352" s="240"/>
      <c r="D352" s="241"/>
      <c r="E352" s="5"/>
      <c r="F352" s="5"/>
      <c r="G352" s="5"/>
      <c r="H352" s="5"/>
      <c r="I352" s="5"/>
      <c r="J352" s="5"/>
      <c r="K352" s="8"/>
      <c r="L352" s="9"/>
      <c r="M352" s="10"/>
      <c r="N352" s="12"/>
      <c r="O352" s="242"/>
      <c r="P352" s="243"/>
      <c r="Q352" s="243"/>
      <c r="R352" s="14"/>
      <c r="S352" s="242"/>
      <c r="T352" s="15"/>
      <c r="U352" s="15"/>
      <c r="V352" s="15"/>
      <c r="W352" s="8"/>
      <c r="X352" s="8"/>
      <c r="Y352" s="56"/>
      <c r="Z352" s="56"/>
      <c r="AA352" s="15"/>
      <c r="AB352" s="15"/>
      <c r="AC352" s="15"/>
      <c r="AD352" s="15"/>
      <c r="AE352" s="57"/>
      <c r="AF352" s="57"/>
      <c r="AG352" s="15"/>
      <c r="AH352" s="25"/>
      <c r="AI352" s="26"/>
      <c r="AJ352" s="26"/>
      <c r="AK352" s="27"/>
      <c r="AL352" s="28"/>
      <c r="AM352" s="29"/>
    </row>
    <row r="353" ht="12.75" customHeight="1">
      <c r="A353" s="26"/>
      <c r="B353" s="12"/>
      <c r="C353" s="240"/>
      <c r="D353" s="241"/>
      <c r="E353" s="5"/>
      <c r="F353" s="5"/>
      <c r="G353" s="5"/>
      <c r="H353" s="5"/>
      <c r="I353" s="5"/>
      <c r="J353" s="5"/>
      <c r="K353" s="8"/>
      <c r="L353" s="9"/>
      <c r="M353" s="10"/>
      <c r="N353" s="12"/>
      <c r="O353" s="242"/>
      <c r="P353" s="243"/>
      <c r="Q353" s="243"/>
      <c r="R353" s="14"/>
      <c r="S353" s="242"/>
      <c r="T353" s="15"/>
      <c r="U353" s="15"/>
      <c r="V353" s="15"/>
      <c r="W353" s="8"/>
      <c r="X353" s="8"/>
      <c r="Y353" s="56"/>
      <c r="Z353" s="56"/>
      <c r="AA353" s="15"/>
      <c r="AB353" s="15"/>
      <c r="AC353" s="15"/>
      <c r="AD353" s="15"/>
      <c r="AE353" s="57"/>
      <c r="AF353" s="57"/>
      <c r="AG353" s="15"/>
      <c r="AH353" s="25"/>
      <c r="AI353" s="26"/>
      <c r="AJ353" s="26"/>
      <c r="AK353" s="27"/>
      <c r="AL353" s="28"/>
      <c r="AM353" s="29"/>
    </row>
    <row r="354" ht="12.75" customHeight="1">
      <c r="A354" s="26"/>
      <c r="B354" s="12"/>
      <c r="C354" s="240"/>
      <c r="D354" s="241"/>
      <c r="E354" s="5"/>
      <c r="F354" s="5"/>
      <c r="G354" s="5"/>
      <c r="H354" s="5"/>
      <c r="I354" s="5"/>
      <c r="J354" s="5"/>
      <c r="K354" s="8"/>
      <c r="L354" s="9"/>
      <c r="M354" s="10"/>
      <c r="N354" s="12"/>
      <c r="O354" s="242"/>
      <c r="P354" s="243"/>
      <c r="Q354" s="243"/>
      <c r="R354" s="14"/>
      <c r="S354" s="242"/>
      <c r="T354" s="15"/>
      <c r="U354" s="15"/>
      <c r="V354" s="15"/>
      <c r="W354" s="8"/>
      <c r="X354" s="8"/>
      <c r="Y354" s="56"/>
      <c r="Z354" s="56"/>
      <c r="AA354" s="15"/>
      <c r="AB354" s="15"/>
      <c r="AC354" s="15"/>
      <c r="AD354" s="15"/>
      <c r="AE354" s="57"/>
      <c r="AF354" s="57"/>
      <c r="AG354" s="15"/>
      <c r="AH354" s="25"/>
      <c r="AI354" s="26"/>
      <c r="AJ354" s="26"/>
      <c r="AK354" s="27"/>
      <c r="AL354" s="28"/>
      <c r="AM354" s="29"/>
    </row>
    <row r="355" ht="12.75" customHeight="1">
      <c r="A355" s="26"/>
      <c r="B355" s="12"/>
      <c r="C355" s="240"/>
      <c r="D355" s="241"/>
      <c r="E355" s="5"/>
      <c r="F355" s="5"/>
      <c r="G355" s="5"/>
      <c r="H355" s="5"/>
      <c r="I355" s="5"/>
      <c r="J355" s="5"/>
      <c r="K355" s="8"/>
      <c r="L355" s="9"/>
      <c r="M355" s="10"/>
      <c r="N355" s="12"/>
      <c r="O355" s="242"/>
      <c r="P355" s="243"/>
      <c r="Q355" s="243"/>
      <c r="R355" s="14"/>
      <c r="S355" s="242"/>
      <c r="T355" s="15"/>
      <c r="U355" s="15"/>
      <c r="V355" s="15"/>
      <c r="W355" s="8"/>
      <c r="X355" s="8"/>
      <c r="Y355" s="56"/>
      <c r="Z355" s="56"/>
      <c r="AA355" s="15"/>
      <c r="AB355" s="15"/>
      <c r="AC355" s="15"/>
      <c r="AD355" s="15"/>
      <c r="AE355" s="57"/>
      <c r="AF355" s="57"/>
      <c r="AG355" s="15"/>
      <c r="AH355" s="25"/>
      <c r="AI355" s="26"/>
      <c r="AJ355" s="26"/>
      <c r="AK355" s="27"/>
      <c r="AL355" s="28"/>
      <c r="AM355" s="29"/>
    </row>
    <row r="356" ht="12.75" customHeight="1">
      <c r="A356" s="26"/>
      <c r="B356" s="12"/>
      <c r="C356" s="240"/>
      <c r="D356" s="241"/>
      <c r="E356" s="5"/>
      <c r="F356" s="5"/>
      <c r="G356" s="5"/>
      <c r="H356" s="5"/>
      <c r="I356" s="5"/>
      <c r="J356" s="5"/>
      <c r="K356" s="8"/>
      <c r="L356" s="9"/>
      <c r="M356" s="10"/>
      <c r="N356" s="12"/>
      <c r="O356" s="242"/>
      <c r="P356" s="243"/>
      <c r="Q356" s="243"/>
      <c r="R356" s="14"/>
      <c r="S356" s="242"/>
      <c r="T356" s="15"/>
      <c r="U356" s="15"/>
      <c r="V356" s="15"/>
      <c r="W356" s="8"/>
      <c r="X356" s="8"/>
      <c r="Y356" s="56"/>
      <c r="Z356" s="56"/>
      <c r="AA356" s="15"/>
      <c r="AB356" s="15"/>
      <c r="AC356" s="15"/>
      <c r="AD356" s="15"/>
      <c r="AE356" s="57"/>
      <c r="AF356" s="57"/>
      <c r="AG356" s="15"/>
      <c r="AH356" s="25"/>
      <c r="AI356" s="26"/>
      <c r="AJ356" s="26"/>
      <c r="AK356" s="27"/>
      <c r="AL356" s="28"/>
      <c r="AM356" s="29"/>
    </row>
    <row r="357" ht="12.75" customHeight="1">
      <c r="A357" s="26"/>
      <c r="B357" s="12"/>
      <c r="C357" s="240"/>
      <c r="D357" s="241"/>
      <c r="E357" s="5"/>
      <c r="F357" s="5"/>
      <c r="G357" s="5"/>
      <c r="H357" s="5"/>
      <c r="I357" s="5"/>
      <c r="J357" s="5"/>
      <c r="K357" s="8"/>
      <c r="L357" s="9"/>
      <c r="M357" s="10"/>
      <c r="N357" s="12"/>
      <c r="O357" s="242"/>
      <c r="P357" s="243"/>
      <c r="Q357" s="243"/>
      <c r="R357" s="14"/>
      <c r="S357" s="242"/>
      <c r="T357" s="15"/>
      <c r="U357" s="15"/>
      <c r="V357" s="15"/>
      <c r="W357" s="8"/>
      <c r="X357" s="8"/>
      <c r="Y357" s="56"/>
      <c r="Z357" s="56"/>
      <c r="AA357" s="15"/>
      <c r="AB357" s="15"/>
      <c r="AC357" s="15"/>
      <c r="AD357" s="15"/>
      <c r="AE357" s="57"/>
      <c r="AF357" s="57"/>
      <c r="AG357" s="15"/>
      <c r="AH357" s="25"/>
      <c r="AI357" s="26"/>
      <c r="AJ357" s="26"/>
      <c r="AK357" s="27"/>
      <c r="AL357" s="28"/>
      <c r="AM357" s="29"/>
    </row>
    <row r="358" ht="12.75" customHeight="1">
      <c r="A358" s="26"/>
      <c r="B358" s="12"/>
      <c r="C358" s="240"/>
      <c r="D358" s="241"/>
      <c r="E358" s="5"/>
      <c r="F358" s="5"/>
      <c r="G358" s="5"/>
      <c r="H358" s="5"/>
      <c r="I358" s="5"/>
      <c r="J358" s="5"/>
      <c r="K358" s="8"/>
      <c r="L358" s="9"/>
      <c r="M358" s="10"/>
      <c r="N358" s="12"/>
      <c r="O358" s="242"/>
      <c r="P358" s="243"/>
      <c r="Q358" s="243"/>
      <c r="R358" s="14"/>
      <c r="S358" s="242"/>
      <c r="T358" s="15"/>
      <c r="U358" s="15"/>
      <c r="V358" s="15"/>
      <c r="W358" s="8"/>
      <c r="X358" s="8"/>
      <c r="Y358" s="56"/>
      <c r="Z358" s="56"/>
      <c r="AA358" s="15"/>
      <c r="AB358" s="15"/>
      <c r="AC358" s="15"/>
      <c r="AD358" s="15"/>
      <c r="AE358" s="57"/>
      <c r="AF358" s="57"/>
      <c r="AG358" s="15"/>
      <c r="AH358" s="25"/>
      <c r="AI358" s="26"/>
      <c r="AJ358" s="26"/>
      <c r="AK358" s="27"/>
      <c r="AL358" s="28"/>
      <c r="AM358" s="29"/>
    </row>
    <row r="359" ht="12.75" customHeight="1">
      <c r="A359" s="26"/>
      <c r="B359" s="12"/>
      <c r="C359" s="240"/>
      <c r="D359" s="241"/>
      <c r="E359" s="5"/>
      <c r="F359" s="5"/>
      <c r="G359" s="5"/>
      <c r="H359" s="5"/>
      <c r="I359" s="5"/>
      <c r="J359" s="5"/>
      <c r="K359" s="8"/>
      <c r="L359" s="9"/>
      <c r="M359" s="10"/>
      <c r="N359" s="12"/>
      <c r="O359" s="242"/>
      <c r="P359" s="243"/>
      <c r="Q359" s="243"/>
      <c r="R359" s="14"/>
      <c r="S359" s="242"/>
      <c r="T359" s="15"/>
      <c r="U359" s="15"/>
      <c r="V359" s="15"/>
      <c r="W359" s="8"/>
      <c r="X359" s="8"/>
      <c r="Y359" s="56"/>
      <c r="Z359" s="56"/>
      <c r="AA359" s="15"/>
      <c r="AB359" s="15"/>
      <c r="AC359" s="15"/>
      <c r="AD359" s="15"/>
      <c r="AE359" s="57"/>
      <c r="AF359" s="57"/>
      <c r="AG359" s="15"/>
      <c r="AH359" s="25"/>
      <c r="AI359" s="26"/>
      <c r="AJ359" s="26"/>
      <c r="AK359" s="27"/>
      <c r="AL359" s="28"/>
      <c r="AM359" s="29"/>
    </row>
    <row r="360" ht="12.75" customHeight="1">
      <c r="A360" s="26"/>
      <c r="B360" s="12"/>
      <c r="C360" s="240"/>
      <c r="D360" s="241"/>
      <c r="E360" s="5"/>
      <c r="F360" s="5"/>
      <c r="G360" s="5"/>
      <c r="H360" s="5"/>
      <c r="I360" s="5"/>
      <c r="J360" s="5"/>
      <c r="K360" s="8"/>
      <c r="L360" s="9"/>
      <c r="M360" s="10"/>
      <c r="N360" s="12"/>
      <c r="O360" s="242"/>
      <c r="P360" s="243"/>
      <c r="Q360" s="243"/>
      <c r="R360" s="14"/>
      <c r="S360" s="242"/>
      <c r="T360" s="15"/>
      <c r="U360" s="15"/>
      <c r="V360" s="15"/>
      <c r="W360" s="8"/>
      <c r="X360" s="8"/>
      <c r="Y360" s="56"/>
      <c r="Z360" s="56"/>
      <c r="AA360" s="15"/>
      <c r="AB360" s="15"/>
      <c r="AC360" s="15"/>
      <c r="AD360" s="15"/>
      <c r="AE360" s="57"/>
      <c r="AF360" s="57"/>
      <c r="AG360" s="15"/>
      <c r="AH360" s="25"/>
      <c r="AI360" s="26"/>
      <c r="AJ360" s="26"/>
      <c r="AK360" s="27"/>
      <c r="AL360" s="28"/>
      <c r="AM360" s="29"/>
    </row>
    <row r="361" ht="12.75" customHeight="1">
      <c r="A361" s="26"/>
      <c r="B361" s="12"/>
      <c r="C361" s="240"/>
      <c r="D361" s="241"/>
      <c r="E361" s="5"/>
      <c r="F361" s="5"/>
      <c r="G361" s="5"/>
      <c r="H361" s="5"/>
      <c r="I361" s="5"/>
      <c r="J361" s="5"/>
      <c r="K361" s="8"/>
      <c r="L361" s="9"/>
      <c r="M361" s="10"/>
      <c r="N361" s="12"/>
      <c r="O361" s="242"/>
      <c r="P361" s="243"/>
      <c r="Q361" s="243"/>
      <c r="R361" s="14"/>
      <c r="S361" s="242"/>
      <c r="T361" s="15"/>
      <c r="U361" s="15"/>
      <c r="V361" s="15"/>
      <c r="W361" s="8"/>
      <c r="X361" s="8"/>
      <c r="Y361" s="56"/>
      <c r="Z361" s="56"/>
      <c r="AA361" s="15"/>
      <c r="AB361" s="15"/>
      <c r="AC361" s="15"/>
      <c r="AD361" s="15"/>
      <c r="AE361" s="57"/>
      <c r="AF361" s="57"/>
      <c r="AG361" s="15"/>
      <c r="AH361" s="25"/>
      <c r="AI361" s="26"/>
      <c r="AJ361" s="26"/>
      <c r="AK361" s="27"/>
      <c r="AL361" s="28"/>
      <c r="AM361" s="29"/>
    </row>
    <row r="362" ht="12.75" customHeight="1">
      <c r="A362" s="26"/>
      <c r="B362" s="12"/>
      <c r="C362" s="240"/>
      <c r="D362" s="241"/>
      <c r="E362" s="5"/>
      <c r="F362" s="5"/>
      <c r="G362" s="5"/>
      <c r="H362" s="5"/>
      <c r="I362" s="5"/>
      <c r="J362" s="5"/>
      <c r="K362" s="8"/>
      <c r="L362" s="9"/>
      <c r="M362" s="10"/>
      <c r="N362" s="12"/>
      <c r="O362" s="242"/>
      <c r="P362" s="243"/>
      <c r="Q362" s="243"/>
      <c r="R362" s="14"/>
      <c r="S362" s="242"/>
      <c r="T362" s="15"/>
      <c r="U362" s="15"/>
      <c r="V362" s="15"/>
      <c r="W362" s="8"/>
      <c r="X362" s="8"/>
      <c r="Y362" s="56"/>
      <c r="Z362" s="56"/>
      <c r="AA362" s="15"/>
      <c r="AB362" s="15"/>
      <c r="AC362" s="15"/>
      <c r="AD362" s="15"/>
      <c r="AE362" s="57"/>
      <c r="AF362" s="57"/>
      <c r="AG362" s="15"/>
      <c r="AH362" s="25"/>
      <c r="AI362" s="26"/>
      <c r="AJ362" s="26"/>
      <c r="AK362" s="27"/>
      <c r="AL362" s="28"/>
      <c r="AM362" s="29"/>
    </row>
    <row r="363" ht="12.75" customHeight="1">
      <c r="A363" s="26"/>
      <c r="B363" s="12"/>
      <c r="C363" s="240"/>
      <c r="D363" s="241"/>
      <c r="E363" s="5"/>
      <c r="F363" s="5"/>
      <c r="G363" s="5"/>
      <c r="H363" s="5"/>
      <c r="I363" s="5"/>
      <c r="J363" s="5"/>
      <c r="K363" s="8"/>
      <c r="L363" s="9"/>
      <c r="M363" s="10"/>
      <c r="N363" s="12"/>
      <c r="O363" s="242"/>
      <c r="P363" s="243"/>
      <c r="Q363" s="243"/>
      <c r="R363" s="14"/>
      <c r="S363" s="242"/>
      <c r="T363" s="15"/>
      <c r="U363" s="15"/>
      <c r="V363" s="15"/>
      <c r="W363" s="8"/>
      <c r="X363" s="8"/>
      <c r="Y363" s="56"/>
      <c r="Z363" s="56"/>
      <c r="AA363" s="15"/>
      <c r="AB363" s="15"/>
      <c r="AC363" s="15"/>
      <c r="AD363" s="15"/>
      <c r="AE363" s="57"/>
      <c r="AF363" s="57"/>
      <c r="AG363" s="15"/>
      <c r="AH363" s="25"/>
      <c r="AI363" s="26"/>
      <c r="AJ363" s="26"/>
      <c r="AK363" s="27"/>
      <c r="AL363" s="28"/>
      <c r="AM363" s="29"/>
    </row>
    <row r="364" ht="12.75" customHeight="1">
      <c r="A364" s="26"/>
      <c r="B364" s="12"/>
      <c r="C364" s="240"/>
      <c r="D364" s="241"/>
      <c r="E364" s="5"/>
      <c r="F364" s="5"/>
      <c r="G364" s="5"/>
      <c r="H364" s="5"/>
      <c r="I364" s="5"/>
      <c r="J364" s="5"/>
      <c r="K364" s="8"/>
      <c r="L364" s="9"/>
      <c r="M364" s="10"/>
      <c r="N364" s="12"/>
      <c r="O364" s="242"/>
      <c r="P364" s="243"/>
      <c r="Q364" s="243"/>
      <c r="R364" s="14"/>
      <c r="S364" s="242"/>
      <c r="T364" s="15"/>
      <c r="U364" s="15"/>
      <c r="V364" s="15"/>
      <c r="W364" s="8"/>
      <c r="X364" s="8"/>
      <c r="Y364" s="56"/>
      <c r="Z364" s="56"/>
      <c r="AA364" s="15"/>
      <c r="AB364" s="15"/>
      <c r="AC364" s="15"/>
      <c r="AD364" s="15"/>
      <c r="AE364" s="57"/>
      <c r="AF364" s="57"/>
      <c r="AG364" s="15"/>
      <c r="AH364" s="25"/>
      <c r="AI364" s="26"/>
      <c r="AJ364" s="26"/>
      <c r="AK364" s="27"/>
      <c r="AL364" s="28"/>
      <c r="AM364" s="29"/>
    </row>
    <row r="365" ht="12.75" customHeight="1">
      <c r="A365" s="26"/>
      <c r="B365" s="12"/>
      <c r="C365" s="240"/>
      <c r="D365" s="241"/>
      <c r="E365" s="5"/>
      <c r="F365" s="5"/>
      <c r="G365" s="5"/>
      <c r="H365" s="5"/>
      <c r="I365" s="5"/>
      <c r="J365" s="5"/>
      <c r="K365" s="8"/>
      <c r="L365" s="9"/>
      <c r="M365" s="10"/>
      <c r="N365" s="12"/>
      <c r="O365" s="242"/>
      <c r="P365" s="243"/>
      <c r="Q365" s="243"/>
      <c r="R365" s="14"/>
      <c r="S365" s="242"/>
      <c r="T365" s="15"/>
      <c r="U365" s="15"/>
      <c r="V365" s="15"/>
      <c r="W365" s="8"/>
      <c r="X365" s="8"/>
      <c r="Y365" s="56"/>
      <c r="Z365" s="56"/>
      <c r="AA365" s="15"/>
      <c r="AB365" s="15"/>
      <c r="AC365" s="15"/>
      <c r="AD365" s="15"/>
      <c r="AE365" s="57"/>
      <c r="AF365" s="57"/>
      <c r="AG365" s="15"/>
      <c r="AH365" s="25"/>
      <c r="AI365" s="26"/>
      <c r="AJ365" s="26"/>
      <c r="AK365" s="27"/>
      <c r="AL365" s="28"/>
      <c r="AM365" s="29"/>
    </row>
    <row r="366" ht="12.75" customHeight="1">
      <c r="A366" s="26"/>
      <c r="B366" s="12"/>
      <c r="C366" s="240"/>
      <c r="D366" s="241"/>
      <c r="E366" s="5"/>
      <c r="F366" s="5"/>
      <c r="G366" s="5"/>
      <c r="H366" s="5"/>
      <c r="I366" s="5"/>
      <c r="J366" s="5"/>
      <c r="K366" s="8"/>
      <c r="L366" s="9"/>
      <c r="M366" s="10"/>
      <c r="N366" s="12"/>
      <c r="O366" s="242"/>
      <c r="P366" s="243"/>
      <c r="Q366" s="243"/>
      <c r="R366" s="14"/>
      <c r="S366" s="242"/>
      <c r="T366" s="15"/>
      <c r="U366" s="15"/>
      <c r="V366" s="15"/>
      <c r="W366" s="8"/>
      <c r="X366" s="8"/>
      <c r="Y366" s="56"/>
      <c r="Z366" s="56"/>
      <c r="AA366" s="15"/>
      <c r="AB366" s="15"/>
      <c r="AC366" s="15"/>
      <c r="AD366" s="15"/>
      <c r="AE366" s="57"/>
      <c r="AF366" s="57"/>
      <c r="AG366" s="15"/>
      <c r="AH366" s="25"/>
      <c r="AI366" s="26"/>
      <c r="AJ366" s="26"/>
      <c r="AK366" s="27"/>
      <c r="AL366" s="28"/>
      <c r="AM366" s="29"/>
    </row>
    <row r="367" ht="12.75" customHeight="1">
      <c r="A367" s="26"/>
      <c r="B367" s="12"/>
      <c r="C367" s="240"/>
      <c r="D367" s="241"/>
      <c r="E367" s="5"/>
      <c r="F367" s="5"/>
      <c r="G367" s="5"/>
      <c r="H367" s="5"/>
      <c r="I367" s="5"/>
      <c r="J367" s="5"/>
      <c r="K367" s="8"/>
      <c r="L367" s="9"/>
      <c r="M367" s="10"/>
      <c r="N367" s="12"/>
      <c r="O367" s="242"/>
      <c r="P367" s="243"/>
      <c r="Q367" s="243"/>
      <c r="R367" s="14"/>
      <c r="S367" s="242"/>
      <c r="T367" s="15"/>
      <c r="U367" s="15"/>
      <c r="V367" s="15"/>
      <c r="W367" s="8"/>
      <c r="X367" s="8"/>
      <c r="Y367" s="56"/>
      <c r="Z367" s="56"/>
      <c r="AA367" s="15"/>
      <c r="AB367" s="15"/>
      <c r="AC367" s="15"/>
      <c r="AD367" s="15"/>
      <c r="AE367" s="57"/>
      <c r="AF367" s="57"/>
      <c r="AG367" s="15"/>
      <c r="AH367" s="25"/>
      <c r="AI367" s="26"/>
      <c r="AJ367" s="26"/>
      <c r="AK367" s="27"/>
      <c r="AL367" s="28"/>
      <c r="AM367" s="29"/>
    </row>
    <row r="368" ht="12.75" customHeight="1">
      <c r="A368" s="26"/>
      <c r="B368" s="12"/>
      <c r="C368" s="240"/>
      <c r="D368" s="241"/>
      <c r="E368" s="5"/>
      <c r="F368" s="5"/>
      <c r="G368" s="5"/>
      <c r="H368" s="5"/>
      <c r="I368" s="5"/>
      <c r="J368" s="5"/>
      <c r="K368" s="8"/>
      <c r="L368" s="9"/>
      <c r="M368" s="10"/>
      <c r="N368" s="12"/>
      <c r="O368" s="242"/>
      <c r="P368" s="243"/>
      <c r="Q368" s="243"/>
      <c r="R368" s="14"/>
      <c r="S368" s="242"/>
      <c r="T368" s="15"/>
      <c r="U368" s="15"/>
      <c r="V368" s="15"/>
      <c r="W368" s="8"/>
      <c r="X368" s="8"/>
      <c r="Y368" s="56"/>
      <c r="Z368" s="56"/>
      <c r="AA368" s="15"/>
      <c r="AB368" s="15"/>
      <c r="AC368" s="15"/>
      <c r="AD368" s="15"/>
      <c r="AE368" s="57"/>
      <c r="AF368" s="57"/>
      <c r="AG368" s="15"/>
      <c r="AH368" s="25"/>
      <c r="AI368" s="26"/>
      <c r="AJ368" s="26"/>
      <c r="AK368" s="27"/>
      <c r="AL368" s="28"/>
      <c r="AM368" s="29"/>
    </row>
    <row r="369" ht="12.75" customHeight="1">
      <c r="A369" s="26"/>
      <c r="B369" s="12"/>
      <c r="C369" s="240"/>
      <c r="D369" s="241"/>
      <c r="E369" s="5"/>
      <c r="F369" s="5"/>
      <c r="G369" s="5"/>
      <c r="H369" s="5"/>
      <c r="I369" s="5"/>
      <c r="J369" s="5"/>
      <c r="K369" s="8"/>
      <c r="L369" s="9"/>
      <c r="M369" s="10"/>
      <c r="N369" s="12"/>
      <c r="O369" s="242"/>
      <c r="P369" s="243"/>
      <c r="Q369" s="243"/>
      <c r="R369" s="14"/>
      <c r="S369" s="242"/>
      <c r="T369" s="15"/>
      <c r="U369" s="15"/>
      <c r="V369" s="15"/>
      <c r="W369" s="8"/>
      <c r="X369" s="8"/>
      <c r="Y369" s="56"/>
      <c r="Z369" s="56"/>
      <c r="AA369" s="15"/>
      <c r="AB369" s="15"/>
      <c r="AC369" s="15"/>
      <c r="AD369" s="15"/>
      <c r="AE369" s="57"/>
      <c r="AF369" s="57"/>
      <c r="AG369" s="15"/>
      <c r="AH369" s="25"/>
      <c r="AI369" s="26"/>
      <c r="AJ369" s="26"/>
      <c r="AK369" s="27"/>
      <c r="AL369" s="28"/>
      <c r="AM369" s="29"/>
    </row>
    <row r="370" ht="12.75" customHeight="1">
      <c r="A370" s="26"/>
      <c r="B370" s="12"/>
      <c r="C370" s="240"/>
      <c r="D370" s="241"/>
      <c r="E370" s="5"/>
      <c r="F370" s="5"/>
      <c r="G370" s="5"/>
      <c r="H370" s="5"/>
      <c r="I370" s="5"/>
      <c r="J370" s="5"/>
      <c r="K370" s="8"/>
      <c r="L370" s="9"/>
      <c r="M370" s="10"/>
      <c r="N370" s="12"/>
      <c r="O370" s="242"/>
      <c r="P370" s="243"/>
      <c r="Q370" s="243"/>
      <c r="R370" s="14"/>
      <c r="S370" s="242"/>
      <c r="T370" s="15"/>
      <c r="U370" s="15"/>
      <c r="V370" s="15"/>
      <c r="W370" s="8"/>
      <c r="X370" s="8"/>
      <c r="Y370" s="56"/>
      <c r="Z370" s="56"/>
      <c r="AA370" s="15"/>
      <c r="AB370" s="15"/>
      <c r="AC370" s="15"/>
      <c r="AD370" s="15"/>
      <c r="AE370" s="57"/>
      <c r="AF370" s="57"/>
      <c r="AG370" s="15"/>
      <c r="AH370" s="25"/>
      <c r="AI370" s="26"/>
      <c r="AJ370" s="26"/>
      <c r="AK370" s="27"/>
      <c r="AL370" s="28"/>
      <c r="AM370" s="29"/>
    </row>
    <row r="371" ht="12.75" customHeight="1">
      <c r="A371" s="26"/>
      <c r="B371" s="12"/>
      <c r="C371" s="240"/>
      <c r="D371" s="241"/>
      <c r="E371" s="5"/>
      <c r="F371" s="5"/>
      <c r="G371" s="5"/>
      <c r="H371" s="5"/>
      <c r="I371" s="5"/>
      <c r="J371" s="5"/>
      <c r="K371" s="8"/>
      <c r="L371" s="9"/>
      <c r="M371" s="10"/>
      <c r="N371" s="12"/>
      <c r="O371" s="242"/>
      <c r="P371" s="243"/>
      <c r="Q371" s="243"/>
      <c r="R371" s="14"/>
      <c r="S371" s="242"/>
      <c r="T371" s="15"/>
      <c r="U371" s="15"/>
      <c r="V371" s="15"/>
      <c r="W371" s="8"/>
      <c r="X371" s="8"/>
      <c r="Y371" s="56"/>
      <c r="Z371" s="56"/>
      <c r="AA371" s="15"/>
      <c r="AB371" s="15"/>
      <c r="AC371" s="15"/>
      <c r="AD371" s="15"/>
      <c r="AE371" s="57"/>
      <c r="AF371" s="57"/>
      <c r="AG371" s="15"/>
      <c r="AH371" s="25"/>
      <c r="AI371" s="26"/>
      <c r="AJ371" s="26"/>
      <c r="AK371" s="27"/>
      <c r="AL371" s="28"/>
      <c r="AM371" s="29"/>
    </row>
    <row r="372" ht="12.75" customHeight="1">
      <c r="A372" s="26"/>
      <c r="B372" s="12"/>
      <c r="C372" s="240"/>
      <c r="D372" s="241"/>
      <c r="E372" s="5"/>
      <c r="F372" s="5"/>
      <c r="G372" s="5"/>
      <c r="H372" s="5"/>
      <c r="I372" s="5"/>
      <c r="J372" s="5"/>
      <c r="K372" s="8"/>
      <c r="L372" s="9"/>
      <c r="M372" s="10"/>
      <c r="N372" s="12"/>
      <c r="O372" s="242"/>
      <c r="P372" s="243"/>
      <c r="Q372" s="243"/>
      <c r="R372" s="14"/>
      <c r="S372" s="242"/>
      <c r="T372" s="15"/>
      <c r="U372" s="15"/>
      <c r="V372" s="15"/>
      <c r="W372" s="8"/>
      <c r="X372" s="8"/>
      <c r="Y372" s="56"/>
      <c r="Z372" s="56"/>
      <c r="AA372" s="15"/>
      <c r="AB372" s="15"/>
      <c r="AC372" s="15"/>
      <c r="AD372" s="15"/>
      <c r="AE372" s="57"/>
      <c r="AF372" s="57"/>
      <c r="AG372" s="15"/>
      <c r="AH372" s="25"/>
      <c r="AI372" s="26"/>
      <c r="AJ372" s="26"/>
      <c r="AK372" s="27"/>
      <c r="AL372" s="28"/>
      <c r="AM372" s="29"/>
    </row>
    <row r="373" ht="12.75" customHeight="1">
      <c r="A373" s="26"/>
      <c r="B373" s="12"/>
      <c r="C373" s="240"/>
      <c r="D373" s="241"/>
      <c r="E373" s="5"/>
      <c r="F373" s="5"/>
      <c r="G373" s="5"/>
      <c r="H373" s="5"/>
      <c r="I373" s="5"/>
      <c r="J373" s="5"/>
      <c r="K373" s="8"/>
      <c r="L373" s="9"/>
      <c r="M373" s="10"/>
      <c r="N373" s="12"/>
      <c r="O373" s="242"/>
      <c r="P373" s="243"/>
      <c r="Q373" s="243"/>
      <c r="R373" s="14"/>
      <c r="S373" s="242"/>
      <c r="T373" s="15"/>
      <c r="U373" s="15"/>
      <c r="V373" s="15"/>
      <c r="W373" s="8"/>
      <c r="X373" s="8"/>
      <c r="Y373" s="56"/>
      <c r="Z373" s="56"/>
      <c r="AA373" s="15"/>
      <c r="AB373" s="15"/>
      <c r="AC373" s="15"/>
      <c r="AD373" s="15"/>
      <c r="AE373" s="57"/>
      <c r="AF373" s="57"/>
      <c r="AG373" s="15"/>
      <c r="AH373" s="25"/>
      <c r="AI373" s="26"/>
      <c r="AJ373" s="26"/>
      <c r="AK373" s="27"/>
      <c r="AL373" s="28"/>
      <c r="AM373" s="29"/>
    </row>
    <row r="374" ht="12.75" customHeight="1">
      <c r="A374" s="26"/>
      <c r="B374" s="12"/>
      <c r="C374" s="240"/>
      <c r="D374" s="241"/>
      <c r="E374" s="5"/>
      <c r="F374" s="5"/>
      <c r="G374" s="5"/>
      <c r="H374" s="5"/>
      <c r="I374" s="5"/>
      <c r="J374" s="5"/>
      <c r="K374" s="8"/>
      <c r="L374" s="9"/>
      <c r="M374" s="10"/>
      <c r="N374" s="12"/>
      <c r="O374" s="242"/>
      <c r="P374" s="243"/>
      <c r="Q374" s="243"/>
      <c r="R374" s="14"/>
      <c r="S374" s="242"/>
      <c r="T374" s="15"/>
      <c r="U374" s="15"/>
      <c r="V374" s="15"/>
      <c r="W374" s="8"/>
      <c r="X374" s="8"/>
      <c r="Y374" s="56"/>
      <c r="Z374" s="56"/>
      <c r="AA374" s="15"/>
      <c r="AB374" s="15"/>
      <c r="AC374" s="15"/>
      <c r="AD374" s="15"/>
      <c r="AE374" s="57"/>
      <c r="AF374" s="57"/>
      <c r="AG374" s="15"/>
      <c r="AH374" s="25"/>
      <c r="AI374" s="26"/>
      <c r="AJ374" s="26"/>
      <c r="AK374" s="27"/>
      <c r="AL374" s="28"/>
      <c r="AM374" s="29"/>
    </row>
    <row r="375" ht="12.75" customHeight="1">
      <c r="A375" s="26"/>
      <c r="B375" s="12"/>
      <c r="C375" s="240"/>
      <c r="D375" s="241"/>
      <c r="E375" s="5"/>
      <c r="F375" s="5"/>
      <c r="G375" s="5"/>
      <c r="H375" s="5"/>
      <c r="I375" s="5"/>
      <c r="J375" s="5"/>
      <c r="K375" s="8"/>
      <c r="L375" s="9"/>
      <c r="M375" s="10"/>
      <c r="N375" s="12"/>
      <c r="O375" s="242"/>
      <c r="P375" s="243"/>
      <c r="Q375" s="243"/>
      <c r="R375" s="14"/>
      <c r="S375" s="242"/>
      <c r="T375" s="15"/>
      <c r="U375" s="15"/>
      <c r="V375" s="15"/>
      <c r="W375" s="8"/>
      <c r="X375" s="8"/>
      <c r="Y375" s="56"/>
      <c r="Z375" s="56"/>
      <c r="AA375" s="15"/>
      <c r="AB375" s="15"/>
      <c r="AC375" s="15"/>
      <c r="AD375" s="15"/>
      <c r="AE375" s="57"/>
      <c r="AF375" s="57"/>
      <c r="AG375" s="15"/>
      <c r="AH375" s="25"/>
      <c r="AI375" s="26"/>
      <c r="AJ375" s="26"/>
      <c r="AK375" s="27"/>
      <c r="AL375" s="28"/>
      <c r="AM375" s="29"/>
    </row>
    <row r="376" ht="12.75" customHeight="1">
      <c r="A376" s="26"/>
      <c r="B376" s="12"/>
      <c r="C376" s="240"/>
      <c r="D376" s="241"/>
      <c r="E376" s="5"/>
      <c r="F376" s="5"/>
      <c r="G376" s="5"/>
      <c r="H376" s="5"/>
      <c r="I376" s="5"/>
      <c r="J376" s="5"/>
      <c r="K376" s="8"/>
      <c r="L376" s="9"/>
      <c r="M376" s="10"/>
      <c r="N376" s="12"/>
      <c r="O376" s="242"/>
      <c r="P376" s="243"/>
      <c r="Q376" s="243"/>
      <c r="R376" s="14"/>
      <c r="S376" s="242"/>
      <c r="T376" s="15"/>
      <c r="U376" s="15"/>
      <c r="V376" s="15"/>
      <c r="W376" s="8"/>
      <c r="X376" s="8"/>
      <c r="Y376" s="56"/>
      <c r="Z376" s="56"/>
      <c r="AA376" s="15"/>
      <c r="AB376" s="15"/>
      <c r="AC376" s="15"/>
      <c r="AD376" s="15"/>
      <c r="AE376" s="57"/>
      <c r="AF376" s="57"/>
      <c r="AG376" s="15"/>
      <c r="AH376" s="25"/>
      <c r="AI376" s="26"/>
      <c r="AJ376" s="26"/>
      <c r="AK376" s="27"/>
      <c r="AL376" s="28"/>
      <c r="AM376" s="29"/>
    </row>
    <row r="377" ht="12.75" customHeight="1">
      <c r="A377" s="26"/>
      <c r="B377" s="12"/>
      <c r="C377" s="240"/>
      <c r="D377" s="241"/>
      <c r="E377" s="5"/>
      <c r="F377" s="5"/>
      <c r="G377" s="5"/>
      <c r="H377" s="5"/>
      <c r="I377" s="5"/>
      <c r="J377" s="5"/>
      <c r="K377" s="8"/>
      <c r="L377" s="9"/>
      <c r="M377" s="10"/>
      <c r="N377" s="12"/>
      <c r="O377" s="242"/>
      <c r="P377" s="243"/>
      <c r="Q377" s="243"/>
      <c r="R377" s="14"/>
      <c r="S377" s="242"/>
      <c r="T377" s="15"/>
      <c r="U377" s="15"/>
      <c r="V377" s="15"/>
      <c r="W377" s="8"/>
      <c r="X377" s="8"/>
      <c r="Y377" s="56"/>
      <c r="Z377" s="56"/>
      <c r="AA377" s="15"/>
      <c r="AB377" s="15"/>
      <c r="AC377" s="15"/>
      <c r="AD377" s="15"/>
      <c r="AE377" s="57"/>
      <c r="AF377" s="57"/>
      <c r="AG377" s="15"/>
      <c r="AH377" s="25"/>
      <c r="AI377" s="26"/>
      <c r="AJ377" s="26"/>
      <c r="AK377" s="27"/>
      <c r="AL377" s="28"/>
      <c r="AM377" s="29"/>
    </row>
    <row r="378" ht="12.75" customHeight="1">
      <c r="A378" s="26"/>
      <c r="B378" s="12"/>
      <c r="C378" s="240"/>
      <c r="D378" s="241"/>
      <c r="E378" s="5"/>
      <c r="F378" s="5"/>
      <c r="G378" s="5"/>
      <c r="H378" s="5"/>
      <c r="I378" s="5"/>
      <c r="J378" s="5"/>
      <c r="K378" s="8"/>
      <c r="L378" s="9"/>
      <c r="M378" s="10"/>
      <c r="N378" s="12"/>
      <c r="O378" s="242"/>
      <c r="P378" s="243"/>
      <c r="Q378" s="243"/>
      <c r="R378" s="14"/>
      <c r="S378" s="242"/>
      <c r="T378" s="15"/>
      <c r="U378" s="15"/>
      <c r="V378" s="15"/>
      <c r="W378" s="8"/>
      <c r="X378" s="8"/>
      <c r="Y378" s="56"/>
      <c r="Z378" s="56"/>
      <c r="AA378" s="15"/>
      <c r="AB378" s="15"/>
      <c r="AC378" s="15"/>
      <c r="AD378" s="15"/>
      <c r="AE378" s="57"/>
      <c r="AF378" s="57"/>
      <c r="AG378" s="15"/>
      <c r="AH378" s="25"/>
      <c r="AI378" s="26"/>
      <c r="AJ378" s="26"/>
      <c r="AK378" s="27"/>
      <c r="AL378" s="28"/>
      <c r="AM378" s="29"/>
    </row>
    <row r="379" ht="12.75" customHeight="1">
      <c r="A379" s="26"/>
      <c r="B379" s="12"/>
      <c r="C379" s="240"/>
      <c r="D379" s="241"/>
      <c r="E379" s="5"/>
      <c r="F379" s="5"/>
      <c r="G379" s="5"/>
      <c r="H379" s="5"/>
      <c r="I379" s="5"/>
      <c r="J379" s="5"/>
      <c r="K379" s="8"/>
      <c r="L379" s="9"/>
      <c r="M379" s="10"/>
      <c r="N379" s="12"/>
      <c r="O379" s="242"/>
      <c r="P379" s="243"/>
      <c r="Q379" s="243"/>
      <c r="R379" s="14"/>
      <c r="S379" s="242"/>
      <c r="T379" s="15"/>
      <c r="U379" s="15"/>
      <c r="V379" s="15"/>
      <c r="W379" s="8"/>
      <c r="X379" s="8"/>
      <c r="Y379" s="56"/>
      <c r="Z379" s="56"/>
      <c r="AA379" s="15"/>
      <c r="AB379" s="15"/>
      <c r="AC379" s="15"/>
      <c r="AD379" s="15"/>
      <c r="AE379" s="57"/>
      <c r="AF379" s="57"/>
      <c r="AG379" s="15"/>
      <c r="AH379" s="25"/>
      <c r="AI379" s="26"/>
      <c r="AJ379" s="26"/>
      <c r="AK379" s="27"/>
      <c r="AL379" s="28"/>
      <c r="AM379" s="29"/>
    </row>
    <row r="380" ht="12.75" customHeight="1">
      <c r="A380" s="26"/>
      <c r="B380" s="12"/>
      <c r="C380" s="240"/>
      <c r="D380" s="241"/>
      <c r="E380" s="5"/>
      <c r="F380" s="5"/>
      <c r="G380" s="5"/>
      <c r="H380" s="5"/>
      <c r="I380" s="5"/>
      <c r="J380" s="5"/>
      <c r="K380" s="8"/>
      <c r="L380" s="9"/>
      <c r="M380" s="10"/>
      <c r="N380" s="12"/>
      <c r="O380" s="242"/>
      <c r="P380" s="243"/>
      <c r="Q380" s="243"/>
      <c r="R380" s="14"/>
      <c r="S380" s="242"/>
      <c r="T380" s="15"/>
      <c r="U380" s="15"/>
      <c r="V380" s="15"/>
      <c r="W380" s="8"/>
      <c r="X380" s="8"/>
      <c r="Y380" s="56"/>
      <c r="Z380" s="56"/>
      <c r="AA380" s="15"/>
      <c r="AB380" s="15"/>
      <c r="AC380" s="15"/>
      <c r="AD380" s="15"/>
      <c r="AE380" s="57"/>
      <c r="AF380" s="57"/>
      <c r="AG380" s="15"/>
      <c r="AH380" s="25"/>
      <c r="AI380" s="26"/>
      <c r="AJ380" s="26"/>
      <c r="AK380" s="27"/>
      <c r="AL380" s="28"/>
      <c r="AM380" s="29"/>
    </row>
    <row r="381" ht="12.75" customHeight="1">
      <c r="A381" s="26"/>
      <c r="B381" s="12"/>
      <c r="C381" s="240"/>
      <c r="D381" s="241"/>
      <c r="E381" s="5"/>
      <c r="F381" s="5"/>
      <c r="G381" s="5"/>
      <c r="H381" s="5"/>
      <c r="I381" s="5"/>
      <c r="J381" s="5"/>
      <c r="K381" s="8"/>
      <c r="L381" s="9"/>
      <c r="M381" s="10"/>
      <c r="N381" s="12"/>
      <c r="O381" s="242"/>
      <c r="P381" s="243"/>
      <c r="Q381" s="243"/>
      <c r="R381" s="14"/>
      <c r="S381" s="242"/>
      <c r="T381" s="15"/>
      <c r="U381" s="15"/>
      <c r="V381" s="15"/>
      <c r="W381" s="8"/>
      <c r="X381" s="8"/>
      <c r="Y381" s="56"/>
      <c r="Z381" s="56"/>
      <c r="AA381" s="15"/>
      <c r="AB381" s="15"/>
      <c r="AC381" s="15"/>
      <c r="AD381" s="15"/>
      <c r="AE381" s="57"/>
      <c r="AF381" s="57"/>
      <c r="AG381" s="15"/>
      <c r="AH381" s="25"/>
      <c r="AI381" s="26"/>
      <c r="AJ381" s="26"/>
      <c r="AK381" s="27"/>
      <c r="AL381" s="28"/>
      <c r="AM381" s="29"/>
    </row>
    <row r="382" ht="12.75" customHeight="1">
      <c r="A382" s="26"/>
      <c r="B382" s="12"/>
      <c r="C382" s="240"/>
      <c r="D382" s="241"/>
      <c r="E382" s="5"/>
      <c r="F382" s="5"/>
      <c r="G382" s="5"/>
      <c r="H382" s="5"/>
      <c r="I382" s="5"/>
      <c r="J382" s="5"/>
      <c r="K382" s="8"/>
      <c r="L382" s="9"/>
      <c r="M382" s="10"/>
      <c r="N382" s="12"/>
      <c r="O382" s="242"/>
      <c r="P382" s="243"/>
      <c r="Q382" s="243"/>
      <c r="R382" s="14"/>
      <c r="S382" s="242"/>
      <c r="T382" s="15"/>
      <c r="U382" s="15"/>
      <c r="V382" s="15"/>
      <c r="W382" s="8"/>
      <c r="X382" s="8"/>
      <c r="Y382" s="56"/>
      <c r="Z382" s="56"/>
      <c r="AA382" s="15"/>
      <c r="AB382" s="15"/>
      <c r="AC382" s="15"/>
      <c r="AD382" s="15"/>
      <c r="AE382" s="57"/>
      <c r="AF382" s="57"/>
      <c r="AG382" s="15"/>
      <c r="AH382" s="25"/>
      <c r="AI382" s="26"/>
      <c r="AJ382" s="26"/>
      <c r="AK382" s="27"/>
      <c r="AL382" s="28"/>
      <c r="AM382" s="29"/>
    </row>
    <row r="383" ht="12.75" customHeight="1">
      <c r="A383" s="26"/>
      <c r="B383" s="12"/>
      <c r="C383" s="240"/>
      <c r="D383" s="241"/>
      <c r="E383" s="5"/>
      <c r="F383" s="5"/>
      <c r="G383" s="5"/>
      <c r="H383" s="5"/>
      <c r="I383" s="5"/>
      <c r="J383" s="5"/>
      <c r="K383" s="8"/>
      <c r="L383" s="9"/>
      <c r="M383" s="10"/>
      <c r="N383" s="12"/>
      <c r="O383" s="242"/>
      <c r="P383" s="243"/>
      <c r="Q383" s="243"/>
      <c r="R383" s="14"/>
      <c r="S383" s="242"/>
      <c r="T383" s="15"/>
      <c r="U383" s="15"/>
      <c r="V383" s="15"/>
      <c r="W383" s="8"/>
      <c r="X383" s="8"/>
      <c r="Y383" s="56"/>
      <c r="Z383" s="56"/>
      <c r="AA383" s="15"/>
      <c r="AB383" s="15"/>
      <c r="AC383" s="15"/>
      <c r="AD383" s="15"/>
      <c r="AE383" s="57"/>
      <c r="AF383" s="57"/>
      <c r="AG383" s="15"/>
      <c r="AH383" s="25"/>
      <c r="AI383" s="26"/>
      <c r="AJ383" s="26"/>
      <c r="AK383" s="27"/>
      <c r="AL383" s="28"/>
      <c r="AM383" s="29"/>
    </row>
    <row r="384" ht="12.75" customHeight="1">
      <c r="A384" s="26"/>
      <c r="B384" s="12"/>
      <c r="C384" s="240"/>
      <c r="D384" s="241"/>
      <c r="E384" s="5"/>
      <c r="F384" s="5"/>
      <c r="G384" s="5"/>
      <c r="H384" s="5"/>
      <c r="I384" s="5"/>
      <c r="J384" s="5"/>
      <c r="K384" s="8"/>
      <c r="L384" s="9"/>
      <c r="M384" s="10"/>
      <c r="N384" s="12"/>
      <c r="O384" s="242"/>
      <c r="P384" s="243"/>
      <c r="Q384" s="243"/>
      <c r="R384" s="14"/>
      <c r="S384" s="242"/>
      <c r="T384" s="15"/>
      <c r="U384" s="15"/>
      <c r="V384" s="15"/>
      <c r="W384" s="8"/>
      <c r="X384" s="8"/>
      <c r="Y384" s="56"/>
      <c r="Z384" s="56"/>
      <c r="AA384" s="15"/>
      <c r="AB384" s="15"/>
      <c r="AC384" s="15"/>
      <c r="AD384" s="15"/>
      <c r="AE384" s="57"/>
      <c r="AF384" s="57"/>
      <c r="AG384" s="15"/>
      <c r="AH384" s="25"/>
      <c r="AI384" s="26"/>
      <c r="AJ384" s="26"/>
      <c r="AK384" s="27"/>
      <c r="AL384" s="28"/>
      <c r="AM384" s="29"/>
    </row>
    <row r="385" ht="12.75" customHeight="1">
      <c r="A385" s="26"/>
      <c r="B385" s="12"/>
      <c r="C385" s="240"/>
      <c r="D385" s="241"/>
      <c r="E385" s="5"/>
      <c r="F385" s="5"/>
      <c r="G385" s="5"/>
      <c r="H385" s="5"/>
      <c r="I385" s="5"/>
      <c r="J385" s="5"/>
      <c r="K385" s="8"/>
      <c r="L385" s="9"/>
      <c r="M385" s="10"/>
      <c r="N385" s="12"/>
      <c r="O385" s="242"/>
      <c r="P385" s="243"/>
      <c r="Q385" s="243"/>
      <c r="R385" s="14"/>
      <c r="S385" s="242"/>
      <c r="T385" s="15"/>
      <c r="U385" s="15"/>
      <c r="V385" s="15"/>
      <c r="W385" s="8"/>
      <c r="X385" s="8"/>
      <c r="Y385" s="56"/>
      <c r="Z385" s="56"/>
      <c r="AA385" s="15"/>
      <c r="AB385" s="15"/>
      <c r="AC385" s="15"/>
      <c r="AD385" s="15"/>
      <c r="AE385" s="57"/>
      <c r="AF385" s="57"/>
      <c r="AG385" s="15"/>
      <c r="AH385" s="25"/>
      <c r="AI385" s="26"/>
      <c r="AJ385" s="26"/>
      <c r="AK385" s="27"/>
      <c r="AL385" s="28"/>
      <c r="AM385" s="29"/>
    </row>
    <row r="386" ht="12.75" customHeight="1">
      <c r="A386" s="26"/>
      <c r="B386" s="12"/>
      <c r="C386" s="240"/>
      <c r="D386" s="241"/>
      <c r="E386" s="5"/>
      <c r="F386" s="5"/>
      <c r="G386" s="5"/>
      <c r="H386" s="5"/>
      <c r="I386" s="5"/>
      <c r="J386" s="5"/>
      <c r="K386" s="8"/>
      <c r="L386" s="9"/>
      <c r="M386" s="10"/>
      <c r="N386" s="12"/>
      <c r="O386" s="242"/>
      <c r="P386" s="243"/>
      <c r="Q386" s="243"/>
      <c r="R386" s="14"/>
      <c r="S386" s="242"/>
      <c r="T386" s="15"/>
      <c r="U386" s="15"/>
      <c r="V386" s="15"/>
      <c r="W386" s="8"/>
      <c r="X386" s="8"/>
      <c r="Y386" s="56"/>
      <c r="Z386" s="56"/>
      <c r="AA386" s="15"/>
      <c r="AB386" s="15"/>
      <c r="AC386" s="15"/>
      <c r="AD386" s="15"/>
      <c r="AE386" s="57"/>
      <c r="AF386" s="57"/>
      <c r="AG386" s="15"/>
      <c r="AH386" s="25"/>
      <c r="AI386" s="26"/>
      <c r="AJ386" s="26"/>
      <c r="AK386" s="27"/>
      <c r="AL386" s="28"/>
      <c r="AM386" s="29"/>
    </row>
    <row r="387" ht="12.75" customHeight="1">
      <c r="A387" s="26"/>
      <c r="B387" s="12"/>
      <c r="C387" s="240"/>
      <c r="D387" s="241"/>
      <c r="E387" s="5"/>
      <c r="F387" s="5"/>
      <c r="G387" s="5"/>
      <c r="H387" s="5"/>
      <c r="I387" s="5"/>
      <c r="J387" s="5"/>
      <c r="K387" s="8"/>
      <c r="L387" s="9"/>
      <c r="M387" s="10"/>
      <c r="N387" s="12"/>
      <c r="O387" s="242"/>
      <c r="P387" s="243"/>
      <c r="Q387" s="243"/>
      <c r="R387" s="14"/>
      <c r="S387" s="242"/>
      <c r="T387" s="15"/>
      <c r="U387" s="15"/>
      <c r="V387" s="15"/>
      <c r="W387" s="8"/>
      <c r="X387" s="8"/>
      <c r="Y387" s="56"/>
      <c r="Z387" s="56"/>
      <c r="AA387" s="15"/>
      <c r="AB387" s="15"/>
      <c r="AC387" s="15"/>
      <c r="AD387" s="15"/>
      <c r="AE387" s="57"/>
      <c r="AF387" s="57"/>
      <c r="AG387" s="15"/>
      <c r="AH387" s="25"/>
      <c r="AI387" s="26"/>
      <c r="AJ387" s="26"/>
      <c r="AK387" s="27"/>
      <c r="AL387" s="28"/>
      <c r="AM387" s="29"/>
    </row>
    <row r="388" ht="12.75" customHeight="1">
      <c r="A388" s="26"/>
      <c r="B388" s="12"/>
      <c r="C388" s="240"/>
      <c r="D388" s="241"/>
      <c r="E388" s="5"/>
      <c r="F388" s="5"/>
      <c r="G388" s="5"/>
      <c r="H388" s="5"/>
      <c r="I388" s="5"/>
      <c r="J388" s="5"/>
      <c r="K388" s="8"/>
      <c r="L388" s="9"/>
      <c r="M388" s="10"/>
      <c r="N388" s="12"/>
      <c r="O388" s="242"/>
      <c r="P388" s="243"/>
      <c r="Q388" s="243"/>
      <c r="R388" s="14"/>
      <c r="S388" s="242"/>
      <c r="T388" s="15"/>
      <c r="U388" s="15"/>
      <c r="V388" s="15"/>
      <c r="W388" s="8"/>
      <c r="X388" s="8"/>
      <c r="Y388" s="56"/>
      <c r="Z388" s="56"/>
      <c r="AA388" s="15"/>
      <c r="AB388" s="15"/>
      <c r="AC388" s="15"/>
      <c r="AD388" s="15"/>
      <c r="AE388" s="57"/>
      <c r="AF388" s="57"/>
      <c r="AG388" s="15"/>
      <c r="AH388" s="25"/>
      <c r="AI388" s="26"/>
      <c r="AJ388" s="26"/>
      <c r="AK388" s="27"/>
      <c r="AL388" s="28"/>
      <c r="AM388" s="29"/>
    </row>
    <row r="389" ht="12.75" customHeight="1">
      <c r="A389" s="26"/>
      <c r="B389" s="12"/>
      <c r="C389" s="240"/>
      <c r="D389" s="241"/>
      <c r="E389" s="5"/>
      <c r="F389" s="5"/>
      <c r="G389" s="5"/>
      <c r="H389" s="5"/>
      <c r="I389" s="5"/>
      <c r="J389" s="5"/>
      <c r="K389" s="8"/>
      <c r="L389" s="9"/>
      <c r="M389" s="10"/>
      <c r="N389" s="12"/>
      <c r="O389" s="242"/>
      <c r="P389" s="243"/>
      <c r="Q389" s="243"/>
      <c r="R389" s="14"/>
      <c r="S389" s="242"/>
      <c r="T389" s="15"/>
      <c r="U389" s="15"/>
      <c r="V389" s="15"/>
      <c r="W389" s="8"/>
      <c r="X389" s="8"/>
      <c r="Y389" s="56"/>
      <c r="Z389" s="56"/>
      <c r="AA389" s="15"/>
      <c r="AB389" s="15"/>
      <c r="AC389" s="15"/>
      <c r="AD389" s="15"/>
      <c r="AE389" s="57"/>
      <c r="AF389" s="57"/>
      <c r="AG389" s="15"/>
      <c r="AH389" s="25"/>
      <c r="AI389" s="26"/>
      <c r="AJ389" s="26"/>
      <c r="AK389" s="27"/>
      <c r="AL389" s="28"/>
      <c r="AM389" s="29"/>
    </row>
    <row r="390" ht="12.75" customHeight="1">
      <c r="A390" s="26"/>
      <c r="B390" s="12"/>
      <c r="C390" s="240"/>
      <c r="D390" s="241"/>
      <c r="E390" s="5"/>
      <c r="F390" s="5"/>
      <c r="G390" s="5"/>
      <c r="H390" s="5"/>
      <c r="I390" s="5"/>
      <c r="J390" s="5"/>
      <c r="K390" s="8"/>
      <c r="L390" s="9"/>
      <c r="M390" s="10"/>
      <c r="N390" s="12"/>
      <c r="O390" s="242"/>
      <c r="P390" s="243"/>
      <c r="Q390" s="243"/>
      <c r="R390" s="14"/>
      <c r="S390" s="242"/>
      <c r="T390" s="15"/>
      <c r="U390" s="15"/>
      <c r="V390" s="15"/>
      <c r="W390" s="8"/>
      <c r="X390" s="8"/>
      <c r="Y390" s="56"/>
      <c r="Z390" s="56"/>
      <c r="AA390" s="15"/>
      <c r="AB390" s="15"/>
      <c r="AC390" s="15"/>
      <c r="AD390" s="15"/>
      <c r="AE390" s="57"/>
      <c r="AF390" s="57"/>
      <c r="AG390" s="15"/>
      <c r="AH390" s="25"/>
      <c r="AI390" s="26"/>
      <c r="AJ390" s="26"/>
      <c r="AK390" s="27"/>
      <c r="AL390" s="28"/>
      <c r="AM390" s="29"/>
    </row>
    <row r="391" ht="12.75" customHeight="1">
      <c r="A391" s="26"/>
      <c r="B391" s="12"/>
      <c r="C391" s="240"/>
      <c r="D391" s="241"/>
      <c r="E391" s="5"/>
      <c r="F391" s="5"/>
      <c r="G391" s="5"/>
      <c r="H391" s="5"/>
      <c r="I391" s="5"/>
      <c r="J391" s="5"/>
      <c r="K391" s="8"/>
      <c r="L391" s="9"/>
      <c r="M391" s="10"/>
      <c r="N391" s="12"/>
      <c r="O391" s="242"/>
      <c r="P391" s="243"/>
      <c r="Q391" s="243"/>
      <c r="R391" s="14"/>
      <c r="S391" s="242"/>
      <c r="T391" s="15"/>
      <c r="U391" s="15"/>
      <c r="V391" s="15"/>
      <c r="W391" s="8"/>
      <c r="X391" s="8"/>
      <c r="Y391" s="56"/>
      <c r="Z391" s="56"/>
      <c r="AA391" s="15"/>
      <c r="AB391" s="15"/>
      <c r="AC391" s="15"/>
      <c r="AD391" s="15"/>
      <c r="AE391" s="57"/>
      <c r="AF391" s="57"/>
      <c r="AG391" s="15"/>
      <c r="AH391" s="25"/>
      <c r="AI391" s="26"/>
      <c r="AJ391" s="26"/>
      <c r="AK391" s="27"/>
      <c r="AL391" s="28"/>
      <c r="AM391" s="29"/>
    </row>
    <row r="392" ht="12.75" customHeight="1">
      <c r="A392" s="26"/>
      <c r="B392" s="12"/>
      <c r="C392" s="240"/>
      <c r="D392" s="241"/>
      <c r="E392" s="5"/>
      <c r="F392" s="5"/>
      <c r="G392" s="5"/>
      <c r="H392" s="5"/>
      <c r="I392" s="5"/>
      <c r="J392" s="5"/>
      <c r="K392" s="8"/>
      <c r="L392" s="9"/>
      <c r="M392" s="10"/>
      <c r="N392" s="12"/>
      <c r="O392" s="242"/>
      <c r="P392" s="243"/>
      <c r="Q392" s="243"/>
      <c r="R392" s="14"/>
      <c r="S392" s="242"/>
      <c r="T392" s="15"/>
      <c r="U392" s="15"/>
      <c r="V392" s="15"/>
      <c r="W392" s="8"/>
      <c r="X392" s="8"/>
      <c r="Y392" s="56"/>
      <c r="Z392" s="56"/>
      <c r="AA392" s="15"/>
      <c r="AB392" s="15"/>
      <c r="AC392" s="15"/>
      <c r="AD392" s="15"/>
      <c r="AE392" s="57"/>
      <c r="AF392" s="57"/>
      <c r="AG392" s="15"/>
      <c r="AH392" s="25"/>
      <c r="AI392" s="26"/>
      <c r="AJ392" s="26"/>
      <c r="AK392" s="27"/>
      <c r="AL392" s="28"/>
      <c r="AM392" s="29"/>
    </row>
    <row r="393" ht="12.75" customHeight="1">
      <c r="A393" s="26"/>
      <c r="B393" s="12"/>
      <c r="C393" s="240"/>
      <c r="D393" s="241"/>
      <c r="E393" s="5"/>
      <c r="F393" s="5"/>
      <c r="G393" s="5"/>
      <c r="H393" s="5"/>
      <c r="I393" s="5"/>
      <c r="J393" s="5"/>
      <c r="K393" s="8"/>
      <c r="L393" s="9"/>
      <c r="M393" s="10"/>
      <c r="N393" s="12"/>
      <c r="O393" s="242"/>
      <c r="P393" s="243"/>
      <c r="Q393" s="243"/>
      <c r="R393" s="14"/>
      <c r="S393" s="242"/>
      <c r="T393" s="15"/>
      <c r="U393" s="15"/>
      <c r="V393" s="15"/>
      <c r="W393" s="8"/>
      <c r="X393" s="8"/>
      <c r="Y393" s="56"/>
      <c r="Z393" s="56"/>
      <c r="AA393" s="15"/>
      <c r="AB393" s="15"/>
      <c r="AC393" s="15"/>
      <c r="AD393" s="15"/>
      <c r="AE393" s="57"/>
      <c r="AF393" s="57"/>
      <c r="AG393" s="15"/>
      <c r="AH393" s="25"/>
      <c r="AI393" s="26"/>
      <c r="AJ393" s="26"/>
      <c r="AK393" s="27"/>
      <c r="AL393" s="28"/>
      <c r="AM393" s="29"/>
    </row>
    <row r="394" ht="12.75" customHeight="1">
      <c r="A394" s="26"/>
      <c r="B394" s="12"/>
      <c r="C394" s="240"/>
      <c r="D394" s="241"/>
      <c r="E394" s="5"/>
      <c r="F394" s="5"/>
      <c r="G394" s="5"/>
      <c r="H394" s="5"/>
      <c r="I394" s="5"/>
      <c r="J394" s="5"/>
      <c r="K394" s="8"/>
      <c r="L394" s="9"/>
      <c r="M394" s="10"/>
      <c r="N394" s="12"/>
      <c r="O394" s="242"/>
      <c r="P394" s="243"/>
      <c r="Q394" s="243"/>
      <c r="R394" s="14"/>
      <c r="S394" s="242"/>
      <c r="T394" s="15"/>
      <c r="U394" s="15"/>
      <c r="V394" s="15"/>
      <c r="W394" s="8"/>
      <c r="X394" s="8"/>
      <c r="Y394" s="56"/>
      <c r="Z394" s="56"/>
      <c r="AA394" s="15"/>
      <c r="AB394" s="15"/>
      <c r="AC394" s="15"/>
      <c r="AD394" s="15"/>
      <c r="AE394" s="57"/>
      <c r="AF394" s="57"/>
      <c r="AG394" s="15"/>
      <c r="AH394" s="25"/>
      <c r="AI394" s="26"/>
      <c r="AJ394" s="26"/>
      <c r="AK394" s="27"/>
      <c r="AL394" s="28"/>
      <c r="AM394" s="29"/>
    </row>
    <row r="395" ht="12.75" customHeight="1">
      <c r="A395" s="26"/>
      <c r="B395" s="12"/>
      <c r="C395" s="240"/>
      <c r="D395" s="241"/>
      <c r="E395" s="5"/>
      <c r="F395" s="5"/>
      <c r="G395" s="5"/>
      <c r="H395" s="5"/>
      <c r="I395" s="5"/>
      <c r="J395" s="5"/>
      <c r="K395" s="8"/>
      <c r="L395" s="9"/>
      <c r="M395" s="10"/>
      <c r="N395" s="12"/>
      <c r="O395" s="242"/>
      <c r="P395" s="243"/>
      <c r="Q395" s="243"/>
      <c r="R395" s="14"/>
      <c r="S395" s="242"/>
      <c r="T395" s="15"/>
      <c r="U395" s="15"/>
      <c r="V395" s="15"/>
      <c r="W395" s="8"/>
      <c r="X395" s="8"/>
      <c r="Y395" s="56"/>
      <c r="Z395" s="56"/>
      <c r="AA395" s="15"/>
      <c r="AB395" s="15"/>
      <c r="AC395" s="15"/>
      <c r="AD395" s="15"/>
      <c r="AE395" s="57"/>
      <c r="AF395" s="57"/>
      <c r="AG395" s="15"/>
      <c r="AH395" s="25"/>
      <c r="AI395" s="26"/>
      <c r="AJ395" s="26"/>
      <c r="AK395" s="27"/>
      <c r="AL395" s="28"/>
      <c r="AM395" s="29"/>
    </row>
    <row r="396" ht="12.75" customHeight="1">
      <c r="A396" s="26"/>
      <c r="B396" s="12"/>
      <c r="C396" s="240"/>
      <c r="D396" s="241"/>
      <c r="E396" s="5"/>
      <c r="F396" s="5"/>
      <c r="G396" s="5"/>
      <c r="H396" s="5"/>
      <c r="I396" s="5"/>
      <c r="J396" s="5"/>
      <c r="K396" s="8"/>
      <c r="L396" s="9"/>
      <c r="M396" s="10"/>
      <c r="N396" s="12"/>
      <c r="O396" s="242"/>
      <c r="P396" s="243"/>
      <c r="Q396" s="243"/>
      <c r="R396" s="14"/>
      <c r="S396" s="242"/>
      <c r="T396" s="15"/>
      <c r="U396" s="15"/>
      <c r="V396" s="15"/>
      <c r="W396" s="8"/>
      <c r="X396" s="8"/>
      <c r="Y396" s="56"/>
      <c r="Z396" s="56"/>
      <c r="AA396" s="15"/>
      <c r="AB396" s="15"/>
      <c r="AC396" s="15"/>
      <c r="AD396" s="15"/>
      <c r="AE396" s="57"/>
      <c r="AF396" s="57"/>
      <c r="AG396" s="15"/>
      <c r="AH396" s="25"/>
      <c r="AI396" s="26"/>
      <c r="AJ396" s="26"/>
      <c r="AK396" s="27"/>
      <c r="AL396" s="28"/>
      <c r="AM396" s="29"/>
    </row>
    <row r="397" ht="12.75" customHeight="1">
      <c r="A397" s="26"/>
      <c r="B397" s="12"/>
      <c r="C397" s="240"/>
      <c r="D397" s="241"/>
      <c r="E397" s="5"/>
      <c r="F397" s="5"/>
      <c r="G397" s="5"/>
      <c r="H397" s="5"/>
      <c r="I397" s="5"/>
      <c r="J397" s="5"/>
      <c r="K397" s="8"/>
      <c r="L397" s="9"/>
      <c r="M397" s="10"/>
      <c r="N397" s="12"/>
      <c r="O397" s="242"/>
      <c r="P397" s="243"/>
      <c r="Q397" s="243"/>
      <c r="R397" s="14"/>
      <c r="S397" s="242"/>
      <c r="T397" s="15"/>
      <c r="U397" s="15"/>
      <c r="V397" s="15"/>
      <c r="W397" s="8"/>
      <c r="X397" s="8"/>
      <c r="Y397" s="56"/>
      <c r="Z397" s="56"/>
      <c r="AA397" s="15"/>
      <c r="AB397" s="15"/>
      <c r="AC397" s="15"/>
      <c r="AD397" s="15"/>
      <c r="AE397" s="57"/>
      <c r="AF397" s="57"/>
      <c r="AG397" s="15"/>
      <c r="AH397" s="25"/>
      <c r="AI397" s="26"/>
      <c r="AJ397" s="26"/>
      <c r="AK397" s="27"/>
      <c r="AL397" s="28"/>
      <c r="AM397" s="29"/>
    </row>
    <row r="398" ht="12.75" customHeight="1">
      <c r="A398" s="26"/>
      <c r="B398" s="12"/>
      <c r="C398" s="240"/>
      <c r="D398" s="241"/>
      <c r="E398" s="5"/>
      <c r="F398" s="5"/>
      <c r="G398" s="5"/>
      <c r="H398" s="5"/>
      <c r="I398" s="5"/>
      <c r="J398" s="5"/>
      <c r="K398" s="8"/>
      <c r="L398" s="9"/>
      <c r="M398" s="10"/>
      <c r="N398" s="12"/>
      <c r="O398" s="242"/>
      <c r="P398" s="243"/>
      <c r="Q398" s="243"/>
      <c r="R398" s="14"/>
      <c r="S398" s="242"/>
      <c r="T398" s="15"/>
      <c r="U398" s="15"/>
      <c r="V398" s="15"/>
      <c r="W398" s="8"/>
      <c r="X398" s="8"/>
      <c r="Y398" s="56"/>
      <c r="Z398" s="56"/>
      <c r="AA398" s="15"/>
      <c r="AB398" s="15"/>
      <c r="AC398" s="15"/>
      <c r="AD398" s="15"/>
      <c r="AE398" s="57"/>
      <c r="AF398" s="57"/>
      <c r="AG398" s="15"/>
      <c r="AH398" s="25"/>
      <c r="AI398" s="26"/>
      <c r="AJ398" s="26"/>
      <c r="AK398" s="27"/>
      <c r="AL398" s="28"/>
      <c r="AM398" s="29"/>
    </row>
    <row r="399" ht="12.75" customHeight="1">
      <c r="A399" s="26"/>
      <c r="B399" s="12"/>
      <c r="C399" s="240"/>
      <c r="D399" s="241"/>
      <c r="E399" s="5"/>
      <c r="F399" s="5"/>
      <c r="G399" s="5"/>
      <c r="H399" s="5"/>
      <c r="I399" s="5"/>
      <c r="J399" s="5"/>
      <c r="K399" s="8"/>
      <c r="L399" s="9"/>
      <c r="M399" s="10"/>
      <c r="N399" s="12"/>
      <c r="O399" s="242"/>
      <c r="P399" s="243"/>
      <c r="Q399" s="243"/>
      <c r="R399" s="14"/>
      <c r="S399" s="242"/>
      <c r="T399" s="15"/>
      <c r="U399" s="15"/>
      <c r="V399" s="15"/>
      <c r="W399" s="8"/>
      <c r="X399" s="8"/>
      <c r="Y399" s="56"/>
      <c r="Z399" s="56"/>
      <c r="AA399" s="15"/>
      <c r="AB399" s="15"/>
      <c r="AC399" s="15"/>
      <c r="AD399" s="15"/>
      <c r="AE399" s="57"/>
      <c r="AF399" s="57"/>
      <c r="AG399" s="15"/>
      <c r="AH399" s="25"/>
      <c r="AI399" s="26"/>
      <c r="AJ399" s="26"/>
      <c r="AK399" s="27"/>
      <c r="AL399" s="28"/>
      <c r="AM399" s="29"/>
    </row>
    <row r="400" ht="12.75" customHeight="1">
      <c r="A400" s="26"/>
      <c r="B400" s="12"/>
      <c r="C400" s="240"/>
      <c r="D400" s="241"/>
      <c r="E400" s="5"/>
      <c r="F400" s="5"/>
      <c r="G400" s="5"/>
      <c r="H400" s="5"/>
      <c r="I400" s="5"/>
      <c r="J400" s="5"/>
      <c r="K400" s="8"/>
      <c r="L400" s="9"/>
      <c r="M400" s="10"/>
      <c r="N400" s="12"/>
      <c r="O400" s="242"/>
      <c r="P400" s="243"/>
      <c r="Q400" s="243"/>
      <c r="R400" s="14"/>
      <c r="S400" s="242"/>
      <c r="T400" s="15"/>
      <c r="U400" s="15"/>
      <c r="V400" s="15"/>
      <c r="W400" s="8"/>
      <c r="X400" s="8"/>
      <c r="Y400" s="56"/>
      <c r="Z400" s="56"/>
      <c r="AA400" s="15"/>
      <c r="AB400" s="15"/>
      <c r="AC400" s="15"/>
      <c r="AD400" s="15"/>
      <c r="AE400" s="57"/>
      <c r="AF400" s="57"/>
      <c r="AG400" s="15"/>
      <c r="AH400" s="25"/>
      <c r="AI400" s="26"/>
      <c r="AJ400" s="26"/>
      <c r="AK400" s="27"/>
      <c r="AL400" s="28"/>
      <c r="AM400" s="29"/>
    </row>
    <row r="401" ht="12.75" customHeight="1">
      <c r="A401" s="26"/>
      <c r="B401" s="12"/>
      <c r="C401" s="240"/>
      <c r="D401" s="241"/>
      <c r="E401" s="5"/>
      <c r="F401" s="5"/>
      <c r="G401" s="5"/>
      <c r="H401" s="5"/>
      <c r="I401" s="5"/>
      <c r="J401" s="5"/>
      <c r="K401" s="8"/>
      <c r="L401" s="9"/>
      <c r="M401" s="10"/>
      <c r="N401" s="12"/>
      <c r="O401" s="242"/>
      <c r="P401" s="243"/>
      <c r="Q401" s="243"/>
      <c r="R401" s="14"/>
      <c r="S401" s="242"/>
      <c r="T401" s="15"/>
      <c r="U401" s="15"/>
      <c r="V401" s="15"/>
      <c r="W401" s="8"/>
      <c r="X401" s="8"/>
      <c r="Y401" s="56"/>
      <c r="Z401" s="56"/>
      <c r="AA401" s="15"/>
      <c r="AB401" s="15"/>
      <c r="AC401" s="15"/>
      <c r="AD401" s="15"/>
      <c r="AE401" s="57"/>
      <c r="AF401" s="57"/>
      <c r="AG401" s="15"/>
      <c r="AH401" s="25"/>
      <c r="AI401" s="26"/>
      <c r="AJ401" s="26"/>
      <c r="AK401" s="27"/>
      <c r="AL401" s="28"/>
      <c r="AM401" s="29"/>
    </row>
    <row r="402" ht="12.75" customHeight="1">
      <c r="A402" s="26"/>
      <c r="B402" s="12"/>
      <c r="C402" s="240"/>
      <c r="D402" s="241"/>
      <c r="E402" s="5"/>
      <c r="F402" s="5"/>
      <c r="G402" s="5"/>
      <c r="H402" s="5"/>
      <c r="I402" s="5"/>
      <c r="J402" s="5"/>
      <c r="K402" s="8"/>
      <c r="L402" s="9"/>
      <c r="M402" s="10"/>
      <c r="N402" s="12"/>
      <c r="O402" s="242"/>
      <c r="P402" s="243"/>
      <c r="Q402" s="243"/>
      <c r="R402" s="14"/>
      <c r="S402" s="242"/>
      <c r="T402" s="15"/>
      <c r="U402" s="15"/>
      <c r="V402" s="15"/>
      <c r="W402" s="8"/>
      <c r="X402" s="8"/>
      <c r="Y402" s="56"/>
      <c r="Z402" s="56"/>
      <c r="AA402" s="15"/>
      <c r="AB402" s="15"/>
      <c r="AC402" s="15"/>
      <c r="AD402" s="15"/>
      <c r="AE402" s="57"/>
      <c r="AF402" s="57"/>
      <c r="AG402" s="15"/>
      <c r="AH402" s="25"/>
      <c r="AI402" s="26"/>
      <c r="AJ402" s="26"/>
      <c r="AK402" s="27"/>
      <c r="AL402" s="28"/>
      <c r="AM402" s="29"/>
    </row>
    <row r="403" ht="12.75" customHeight="1">
      <c r="A403" s="26"/>
      <c r="B403" s="12"/>
      <c r="C403" s="240"/>
      <c r="D403" s="241"/>
      <c r="E403" s="5"/>
      <c r="F403" s="5"/>
      <c r="G403" s="5"/>
      <c r="H403" s="5"/>
      <c r="I403" s="5"/>
      <c r="J403" s="5"/>
      <c r="K403" s="8"/>
      <c r="L403" s="9"/>
      <c r="M403" s="10"/>
      <c r="N403" s="12"/>
      <c r="O403" s="242"/>
      <c r="P403" s="243"/>
      <c r="Q403" s="243"/>
      <c r="R403" s="14"/>
      <c r="S403" s="242"/>
      <c r="T403" s="15"/>
      <c r="U403" s="15"/>
      <c r="V403" s="15"/>
      <c r="W403" s="8"/>
      <c r="X403" s="8"/>
      <c r="Y403" s="56"/>
      <c r="Z403" s="56"/>
      <c r="AA403" s="15"/>
      <c r="AB403" s="15"/>
      <c r="AC403" s="15"/>
      <c r="AD403" s="15"/>
      <c r="AE403" s="57"/>
      <c r="AF403" s="57"/>
      <c r="AG403" s="15"/>
      <c r="AH403" s="25"/>
      <c r="AI403" s="26"/>
      <c r="AJ403" s="26"/>
      <c r="AK403" s="27"/>
      <c r="AL403" s="28"/>
      <c r="AM403" s="29"/>
    </row>
    <row r="404" ht="12.75" customHeight="1">
      <c r="A404" s="26"/>
      <c r="B404" s="12"/>
      <c r="C404" s="240"/>
      <c r="D404" s="241"/>
      <c r="E404" s="5"/>
      <c r="F404" s="5"/>
      <c r="G404" s="5"/>
      <c r="H404" s="5"/>
      <c r="I404" s="5"/>
      <c r="J404" s="5"/>
      <c r="K404" s="8"/>
      <c r="L404" s="9"/>
      <c r="M404" s="10"/>
      <c r="N404" s="12"/>
      <c r="O404" s="242"/>
      <c r="P404" s="243"/>
      <c r="Q404" s="243"/>
      <c r="R404" s="14"/>
      <c r="S404" s="242"/>
      <c r="T404" s="15"/>
      <c r="U404" s="15"/>
      <c r="V404" s="15"/>
      <c r="W404" s="8"/>
      <c r="X404" s="8"/>
      <c r="Y404" s="56"/>
      <c r="Z404" s="56"/>
      <c r="AA404" s="15"/>
      <c r="AB404" s="15"/>
      <c r="AC404" s="15"/>
      <c r="AD404" s="15"/>
      <c r="AE404" s="57"/>
      <c r="AF404" s="57"/>
      <c r="AG404" s="15"/>
      <c r="AH404" s="25"/>
      <c r="AI404" s="26"/>
      <c r="AJ404" s="26"/>
      <c r="AK404" s="27"/>
      <c r="AL404" s="28"/>
      <c r="AM404" s="29"/>
    </row>
    <row r="405" ht="12.75" customHeight="1">
      <c r="A405" s="26"/>
      <c r="B405" s="12"/>
      <c r="C405" s="240"/>
      <c r="D405" s="241"/>
      <c r="E405" s="5"/>
      <c r="F405" s="5"/>
      <c r="G405" s="5"/>
      <c r="H405" s="5"/>
      <c r="I405" s="5"/>
      <c r="J405" s="5"/>
      <c r="K405" s="8"/>
      <c r="L405" s="9"/>
      <c r="M405" s="10"/>
      <c r="N405" s="12"/>
      <c r="O405" s="242"/>
      <c r="P405" s="243"/>
      <c r="Q405" s="243"/>
      <c r="R405" s="14"/>
      <c r="S405" s="242"/>
      <c r="T405" s="15"/>
      <c r="U405" s="15"/>
      <c r="V405" s="15"/>
      <c r="W405" s="8"/>
      <c r="X405" s="8"/>
      <c r="Y405" s="56"/>
      <c r="Z405" s="56"/>
      <c r="AA405" s="15"/>
      <c r="AB405" s="15"/>
      <c r="AC405" s="15"/>
      <c r="AD405" s="15"/>
      <c r="AE405" s="57"/>
      <c r="AF405" s="57"/>
      <c r="AG405" s="15"/>
      <c r="AH405" s="25"/>
      <c r="AI405" s="26"/>
      <c r="AJ405" s="26"/>
      <c r="AK405" s="27"/>
      <c r="AL405" s="28"/>
      <c r="AM405" s="29"/>
    </row>
    <row r="406" ht="12.75" customHeight="1">
      <c r="A406" s="26"/>
      <c r="B406" s="12"/>
      <c r="C406" s="240"/>
      <c r="D406" s="241"/>
      <c r="E406" s="5"/>
      <c r="F406" s="5"/>
      <c r="G406" s="5"/>
      <c r="H406" s="5"/>
      <c r="I406" s="5"/>
      <c r="J406" s="5"/>
      <c r="K406" s="8"/>
      <c r="L406" s="9"/>
      <c r="M406" s="10"/>
      <c r="N406" s="12"/>
      <c r="O406" s="242"/>
      <c r="P406" s="243"/>
      <c r="Q406" s="243"/>
      <c r="R406" s="14"/>
      <c r="S406" s="242"/>
      <c r="T406" s="15"/>
      <c r="U406" s="15"/>
      <c r="V406" s="15"/>
      <c r="W406" s="8"/>
      <c r="X406" s="8"/>
      <c r="Y406" s="56"/>
      <c r="Z406" s="56"/>
      <c r="AA406" s="15"/>
      <c r="AB406" s="15"/>
      <c r="AC406" s="15"/>
      <c r="AD406" s="15"/>
      <c r="AE406" s="57"/>
      <c r="AF406" s="57"/>
      <c r="AG406" s="15"/>
      <c r="AH406" s="25"/>
      <c r="AI406" s="26"/>
      <c r="AJ406" s="26"/>
      <c r="AK406" s="27"/>
      <c r="AL406" s="28"/>
      <c r="AM406" s="29"/>
    </row>
    <row r="407" ht="12.75" customHeight="1">
      <c r="A407" s="26"/>
      <c r="B407" s="12"/>
      <c r="C407" s="240"/>
      <c r="D407" s="241"/>
      <c r="E407" s="5"/>
      <c r="F407" s="5"/>
      <c r="G407" s="5"/>
      <c r="H407" s="5"/>
      <c r="I407" s="5"/>
      <c r="J407" s="5"/>
      <c r="K407" s="8"/>
      <c r="L407" s="9"/>
      <c r="M407" s="10"/>
      <c r="N407" s="12"/>
      <c r="O407" s="242"/>
      <c r="P407" s="243"/>
      <c r="Q407" s="243"/>
      <c r="R407" s="14"/>
      <c r="S407" s="242"/>
      <c r="T407" s="15"/>
      <c r="U407" s="15"/>
      <c r="V407" s="15"/>
      <c r="W407" s="8"/>
      <c r="X407" s="8"/>
      <c r="Y407" s="56"/>
      <c r="Z407" s="56"/>
      <c r="AA407" s="15"/>
      <c r="AB407" s="15"/>
      <c r="AC407" s="15"/>
      <c r="AD407" s="15"/>
      <c r="AE407" s="57"/>
      <c r="AF407" s="57"/>
      <c r="AG407" s="15"/>
      <c r="AH407" s="25"/>
      <c r="AI407" s="26"/>
      <c r="AJ407" s="26"/>
      <c r="AK407" s="27"/>
      <c r="AL407" s="28"/>
      <c r="AM407" s="29"/>
    </row>
    <row r="408" ht="12.75" customHeight="1">
      <c r="A408" s="26"/>
      <c r="B408" s="12"/>
      <c r="C408" s="240"/>
      <c r="D408" s="241"/>
      <c r="E408" s="5"/>
      <c r="F408" s="5"/>
      <c r="G408" s="5"/>
      <c r="H408" s="5"/>
      <c r="I408" s="5"/>
      <c r="J408" s="5"/>
      <c r="K408" s="8"/>
      <c r="L408" s="9"/>
      <c r="M408" s="10"/>
      <c r="N408" s="12"/>
      <c r="O408" s="242"/>
      <c r="P408" s="243"/>
      <c r="Q408" s="243"/>
      <c r="R408" s="14"/>
      <c r="S408" s="242"/>
      <c r="T408" s="15"/>
      <c r="U408" s="15"/>
      <c r="V408" s="15"/>
      <c r="W408" s="8"/>
      <c r="X408" s="8"/>
      <c r="Y408" s="56"/>
      <c r="Z408" s="56"/>
      <c r="AA408" s="15"/>
      <c r="AB408" s="15"/>
      <c r="AC408" s="15"/>
      <c r="AD408" s="15"/>
      <c r="AE408" s="57"/>
      <c r="AF408" s="57"/>
      <c r="AG408" s="15"/>
      <c r="AH408" s="25"/>
      <c r="AI408" s="26"/>
      <c r="AJ408" s="26"/>
      <c r="AK408" s="27"/>
      <c r="AL408" s="28"/>
      <c r="AM408" s="29"/>
    </row>
    <row r="409" ht="12.75" customHeight="1">
      <c r="A409" s="26"/>
      <c r="B409" s="12"/>
      <c r="C409" s="240"/>
      <c r="D409" s="241"/>
      <c r="E409" s="5"/>
      <c r="F409" s="5"/>
      <c r="G409" s="5"/>
      <c r="H409" s="5"/>
      <c r="I409" s="5"/>
      <c r="J409" s="5"/>
      <c r="K409" s="8"/>
      <c r="L409" s="9"/>
      <c r="M409" s="10"/>
      <c r="N409" s="12"/>
      <c r="O409" s="242"/>
      <c r="P409" s="243"/>
      <c r="Q409" s="243"/>
      <c r="R409" s="14"/>
      <c r="S409" s="242"/>
      <c r="T409" s="15"/>
      <c r="U409" s="15"/>
      <c r="V409" s="15"/>
      <c r="W409" s="8"/>
      <c r="X409" s="8"/>
      <c r="Y409" s="56"/>
      <c r="Z409" s="56"/>
      <c r="AA409" s="15"/>
      <c r="AB409" s="15"/>
      <c r="AC409" s="15"/>
      <c r="AD409" s="15"/>
      <c r="AE409" s="57"/>
      <c r="AF409" s="57"/>
      <c r="AG409" s="15"/>
      <c r="AH409" s="25"/>
      <c r="AI409" s="26"/>
      <c r="AJ409" s="26"/>
      <c r="AK409" s="27"/>
      <c r="AL409" s="28"/>
      <c r="AM409" s="29"/>
    </row>
    <row r="410" ht="12.75" customHeight="1">
      <c r="A410" s="26"/>
      <c r="B410" s="12"/>
      <c r="C410" s="240"/>
      <c r="D410" s="241"/>
      <c r="E410" s="5"/>
      <c r="F410" s="5"/>
      <c r="G410" s="5"/>
      <c r="H410" s="5"/>
      <c r="I410" s="5"/>
      <c r="J410" s="5"/>
      <c r="K410" s="8"/>
      <c r="L410" s="9"/>
      <c r="M410" s="10"/>
      <c r="N410" s="12"/>
      <c r="O410" s="242"/>
      <c r="P410" s="243"/>
      <c r="Q410" s="243"/>
      <c r="R410" s="14"/>
      <c r="S410" s="242"/>
      <c r="T410" s="15"/>
      <c r="U410" s="15"/>
      <c r="V410" s="15"/>
      <c r="W410" s="8"/>
      <c r="X410" s="8"/>
      <c r="Y410" s="56"/>
      <c r="Z410" s="56"/>
      <c r="AA410" s="15"/>
      <c r="AB410" s="15"/>
      <c r="AC410" s="15"/>
      <c r="AD410" s="15"/>
      <c r="AE410" s="57"/>
      <c r="AF410" s="57"/>
      <c r="AG410" s="15"/>
      <c r="AH410" s="25"/>
      <c r="AI410" s="26"/>
      <c r="AJ410" s="26"/>
      <c r="AK410" s="27"/>
      <c r="AL410" s="28"/>
      <c r="AM410" s="29"/>
    </row>
    <row r="411" ht="12.75" customHeight="1">
      <c r="A411" s="26"/>
      <c r="B411" s="12"/>
      <c r="C411" s="240"/>
      <c r="D411" s="241"/>
      <c r="E411" s="5"/>
      <c r="F411" s="5"/>
      <c r="G411" s="5"/>
      <c r="H411" s="5"/>
      <c r="I411" s="5"/>
      <c r="J411" s="5"/>
      <c r="K411" s="8"/>
      <c r="L411" s="9"/>
      <c r="M411" s="10"/>
      <c r="N411" s="12"/>
      <c r="O411" s="242"/>
      <c r="P411" s="243"/>
      <c r="Q411" s="243"/>
      <c r="R411" s="14"/>
      <c r="S411" s="242"/>
      <c r="T411" s="15"/>
      <c r="U411" s="15"/>
      <c r="V411" s="15"/>
      <c r="W411" s="8"/>
      <c r="X411" s="8"/>
      <c r="Y411" s="56"/>
      <c r="Z411" s="56"/>
      <c r="AA411" s="15"/>
      <c r="AB411" s="15"/>
      <c r="AC411" s="15"/>
      <c r="AD411" s="15"/>
      <c r="AE411" s="57"/>
      <c r="AF411" s="57"/>
      <c r="AG411" s="15"/>
      <c r="AH411" s="25"/>
      <c r="AI411" s="26"/>
      <c r="AJ411" s="26"/>
      <c r="AK411" s="27"/>
      <c r="AL411" s="28"/>
      <c r="AM411" s="29"/>
    </row>
    <row r="412" ht="12.75" customHeight="1">
      <c r="A412" s="26"/>
      <c r="B412" s="12"/>
      <c r="C412" s="240"/>
      <c r="D412" s="241"/>
      <c r="E412" s="5"/>
      <c r="F412" s="5"/>
      <c r="G412" s="5"/>
      <c r="H412" s="5"/>
      <c r="I412" s="5"/>
      <c r="J412" s="5"/>
      <c r="K412" s="8"/>
      <c r="L412" s="9"/>
      <c r="M412" s="10"/>
      <c r="N412" s="12"/>
      <c r="O412" s="242"/>
      <c r="P412" s="243"/>
      <c r="Q412" s="243"/>
      <c r="R412" s="14"/>
      <c r="S412" s="242"/>
      <c r="T412" s="15"/>
      <c r="U412" s="15"/>
      <c r="V412" s="15"/>
      <c r="W412" s="8"/>
      <c r="X412" s="8"/>
      <c r="Y412" s="56"/>
      <c r="Z412" s="56"/>
      <c r="AA412" s="15"/>
      <c r="AB412" s="15"/>
      <c r="AC412" s="15"/>
      <c r="AD412" s="15"/>
      <c r="AE412" s="57"/>
      <c r="AF412" s="57"/>
      <c r="AG412" s="15"/>
      <c r="AH412" s="25"/>
      <c r="AI412" s="26"/>
      <c r="AJ412" s="26"/>
      <c r="AK412" s="27"/>
      <c r="AL412" s="28"/>
      <c r="AM412" s="29"/>
    </row>
    <row r="413" ht="12.75" customHeight="1">
      <c r="A413" s="26"/>
      <c r="B413" s="12"/>
      <c r="C413" s="240"/>
      <c r="D413" s="241"/>
      <c r="E413" s="5"/>
      <c r="F413" s="5"/>
      <c r="G413" s="5"/>
      <c r="H413" s="5"/>
      <c r="I413" s="5"/>
      <c r="J413" s="5"/>
      <c r="K413" s="8"/>
      <c r="L413" s="9"/>
      <c r="M413" s="10"/>
      <c r="N413" s="12"/>
      <c r="O413" s="242"/>
      <c r="P413" s="243"/>
      <c r="Q413" s="243"/>
      <c r="R413" s="14"/>
      <c r="S413" s="242"/>
      <c r="T413" s="15"/>
      <c r="U413" s="15"/>
      <c r="V413" s="15"/>
      <c r="W413" s="8"/>
      <c r="X413" s="8"/>
      <c r="Y413" s="56"/>
      <c r="Z413" s="56"/>
      <c r="AA413" s="15"/>
      <c r="AB413" s="15"/>
      <c r="AC413" s="15"/>
      <c r="AD413" s="15"/>
      <c r="AE413" s="57"/>
      <c r="AF413" s="57"/>
      <c r="AG413" s="15"/>
      <c r="AH413" s="25"/>
      <c r="AI413" s="26"/>
      <c r="AJ413" s="26"/>
      <c r="AK413" s="27"/>
      <c r="AL413" s="28"/>
      <c r="AM413" s="29"/>
    </row>
    <row r="414" ht="12.75" customHeight="1">
      <c r="A414" s="26"/>
      <c r="B414" s="12"/>
      <c r="C414" s="240"/>
      <c r="D414" s="241"/>
      <c r="E414" s="5"/>
      <c r="F414" s="5"/>
      <c r="G414" s="5"/>
      <c r="H414" s="5"/>
      <c r="I414" s="5"/>
      <c r="J414" s="5"/>
      <c r="K414" s="8"/>
      <c r="L414" s="9"/>
      <c r="M414" s="10"/>
      <c r="N414" s="12"/>
      <c r="O414" s="242"/>
      <c r="P414" s="243"/>
      <c r="Q414" s="243"/>
      <c r="R414" s="14"/>
      <c r="S414" s="242"/>
      <c r="T414" s="15"/>
      <c r="U414" s="15"/>
      <c r="V414" s="15"/>
      <c r="W414" s="8"/>
      <c r="X414" s="8"/>
      <c r="Y414" s="56"/>
      <c r="Z414" s="56"/>
      <c r="AA414" s="15"/>
      <c r="AB414" s="15"/>
      <c r="AC414" s="15"/>
      <c r="AD414" s="15"/>
      <c r="AE414" s="57"/>
      <c r="AF414" s="57"/>
      <c r="AG414" s="15"/>
      <c r="AH414" s="25"/>
      <c r="AI414" s="26"/>
      <c r="AJ414" s="26"/>
      <c r="AK414" s="27"/>
      <c r="AL414" s="28"/>
      <c r="AM414" s="29"/>
    </row>
    <row r="415" ht="12.75" customHeight="1">
      <c r="A415" s="26"/>
      <c r="B415" s="12"/>
      <c r="C415" s="240"/>
      <c r="D415" s="241"/>
      <c r="E415" s="5"/>
      <c r="F415" s="5"/>
      <c r="G415" s="5"/>
      <c r="H415" s="5"/>
      <c r="I415" s="5"/>
      <c r="J415" s="5"/>
      <c r="K415" s="8"/>
      <c r="L415" s="9"/>
      <c r="M415" s="10"/>
      <c r="N415" s="12"/>
      <c r="O415" s="242"/>
      <c r="P415" s="243"/>
      <c r="Q415" s="243"/>
      <c r="R415" s="14"/>
      <c r="S415" s="242"/>
      <c r="T415" s="15"/>
      <c r="U415" s="15"/>
      <c r="V415" s="15"/>
      <c r="W415" s="8"/>
      <c r="X415" s="8"/>
      <c r="Y415" s="56"/>
      <c r="Z415" s="56"/>
      <c r="AA415" s="15"/>
      <c r="AB415" s="15"/>
      <c r="AC415" s="15"/>
      <c r="AD415" s="15"/>
      <c r="AE415" s="57"/>
      <c r="AF415" s="57"/>
      <c r="AG415" s="15"/>
      <c r="AH415" s="25"/>
      <c r="AI415" s="26"/>
      <c r="AJ415" s="26"/>
      <c r="AK415" s="27"/>
      <c r="AL415" s="28"/>
      <c r="AM415" s="29"/>
    </row>
    <row r="416" ht="12.75" customHeight="1">
      <c r="A416" s="26"/>
      <c r="B416" s="12"/>
      <c r="C416" s="240"/>
      <c r="D416" s="241"/>
      <c r="E416" s="5"/>
      <c r="F416" s="5"/>
      <c r="G416" s="5"/>
      <c r="H416" s="5"/>
      <c r="I416" s="5"/>
      <c r="J416" s="5"/>
      <c r="K416" s="8"/>
      <c r="L416" s="9"/>
      <c r="M416" s="10"/>
      <c r="N416" s="12"/>
      <c r="O416" s="242"/>
      <c r="P416" s="243"/>
      <c r="Q416" s="243"/>
      <c r="R416" s="14"/>
      <c r="S416" s="242"/>
      <c r="T416" s="15"/>
      <c r="U416" s="15"/>
      <c r="V416" s="15"/>
      <c r="W416" s="8"/>
      <c r="X416" s="8"/>
      <c r="Y416" s="56"/>
      <c r="Z416" s="56"/>
      <c r="AA416" s="15"/>
      <c r="AB416" s="15"/>
      <c r="AC416" s="15"/>
      <c r="AD416" s="15"/>
      <c r="AE416" s="57"/>
      <c r="AF416" s="57"/>
      <c r="AG416" s="15"/>
      <c r="AH416" s="25"/>
      <c r="AI416" s="26"/>
      <c r="AJ416" s="26"/>
      <c r="AK416" s="27"/>
      <c r="AL416" s="28"/>
      <c r="AM416" s="29"/>
    </row>
    <row r="417" ht="12.75" customHeight="1">
      <c r="A417" s="26"/>
      <c r="B417" s="12"/>
      <c r="C417" s="240"/>
      <c r="D417" s="241"/>
      <c r="E417" s="5"/>
      <c r="F417" s="5"/>
      <c r="G417" s="5"/>
      <c r="H417" s="5"/>
      <c r="I417" s="5"/>
      <c r="J417" s="5"/>
      <c r="K417" s="8"/>
      <c r="L417" s="9"/>
      <c r="M417" s="10"/>
      <c r="N417" s="12"/>
      <c r="O417" s="242"/>
      <c r="P417" s="243"/>
      <c r="Q417" s="243"/>
      <c r="R417" s="14"/>
      <c r="S417" s="242"/>
      <c r="T417" s="15"/>
      <c r="U417" s="15"/>
      <c r="V417" s="15"/>
      <c r="W417" s="8"/>
      <c r="X417" s="8"/>
      <c r="Y417" s="56"/>
      <c r="Z417" s="56"/>
      <c r="AA417" s="15"/>
      <c r="AB417" s="15"/>
      <c r="AC417" s="15"/>
      <c r="AD417" s="15"/>
      <c r="AE417" s="57"/>
      <c r="AF417" s="57"/>
      <c r="AG417" s="15"/>
      <c r="AH417" s="25"/>
      <c r="AI417" s="26"/>
      <c r="AJ417" s="26"/>
      <c r="AK417" s="27"/>
      <c r="AL417" s="28"/>
      <c r="AM417" s="29"/>
    </row>
    <row r="418" ht="12.75" customHeight="1">
      <c r="A418" s="26"/>
      <c r="B418" s="12"/>
      <c r="C418" s="240"/>
      <c r="D418" s="241"/>
      <c r="E418" s="5"/>
      <c r="F418" s="5"/>
      <c r="G418" s="5"/>
      <c r="H418" s="5"/>
      <c r="I418" s="5"/>
      <c r="J418" s="5"/>
      <c r="K418" s="8"/>
      <c r="L418" s="9"/>
      <c r="M418" s="10"/>
      <c r="N418" s="12"/>
      <c r="O418" s="242"/>
      <c r="P418" s="243"/>
      <c r="Q418" s="243"/>
      <c r="R418" s="14"/>
      <c r="S418" s="242"/>
      <c r="T418" s="15"/>
      <c r="U418" s="15"/>
      <c r="V418" s="15"/>
      <c r="W418" s="8"/>
      <c r="X418" s="8"/>
      <c r="Y418" s="56"/>
      <c r="Z418" s="56"/>
      <c r="AA418" s="15"/>
      <c r="AB418" s="15"/>
      <c r="AC418" s="15"/>
      <c r="AD418" s="15"/>
      <c r="AE418" s="57"/>
      <c r="AF418" s="57"/>
      <c r="AG418" s="15"/>
      <c r="AH418" s="25"/>
      <c r="AI418" s="26"/>
      <c r="AJ418" s="26"/>
      <c r="AK418" s="27"/>
      <c r="AL418" s="28"/>
      <c r="AM418" s="29"/>
    </row>
    <row r="419" ht="12.75" customHeight="1">
      <c r="A419" s="26"/>
      <c r="B419" s="12"/>
      <c r="C419" s="240"/>
      <c r="D419" s="241"/>
      <c r="E419" s="5"/>
      <c r="F419" s="5"/>
      <c r="G419" s="5"/>
      <c r="H419" s="5"/>
      <c r="I419" s="5"/>
      <c r="J419" s="5"/>
      <c r="K419" s="8"/>
      <c r="L419" s="9"/>
      <c r="M419" s="10"/>
      <c r="N419" s="12"/>
      <c r="O419" s="242"/>
      <c r="P419" s="243"/>
      <c r="Q419" s="243"/>
      <c r="R419" s="14"/>
      <c r="S419" s="242"/>
      <c r="T419" s="15"/>
      <c r="U419" s="15"/>
      <c r="V419" s="15"/>
      <c r="W419" s="8"/>
      <c r="X419" s="8"/>
      <c r="Y419" s="56"/>
      <c r="Z419" s="56"/>
      <c r="AA419" s="15"/>
      <c r="AB419" s="15"/>
      <c r="AC419" s="15"/>
      <c r="AD419" s="15"/>
      <c r="AE419" s="57"/>
      <c r="AF419" s="57"/>
      <c r="AG419" s="15"/>
      <c r="AH419" s="25"/>
      <c r="AI419" s="26"/>
      <c r="AJ419" s="26"/>
      <c r="AK419" s="27"/>
      <c r="AL419" s="28"/>
      <c r="AM419" s="29"/>
    </row>
    <row r="420" ht="12.75" customHeight="1">
      <c r="A420" s="26"/>
      <c r="B420" s="12"/>
      <c r="C420" s="240"/>
      <c r="D420" s="241"/>
      <c r="E420" s="5"/>
      <c r="F420" s="5"/>
      <c r="G420" s="5"/>
      <c r="H420" s="5"/>
      <c r="I420" s="5"/>
      <c r="J420" s="5"/>
      <c r="K420" s="8"/>
      <c r="L420" s="9"/>
      <c r="M420" s="10"/>
      <c r="N420" s="12"/>
      <c r="O420" s="242"/>
      <c r="P420" s="243"/>
      <c r="Q420" s="243"/>
      <c r="R420" s="14"/>
      <c r="S420" s="242"/>
      <c r="T420" s="15"/>
      <c r="U420" s="15"/>
      <c r="V420" s="15"/>
      <c r="W420" s="8"/>
      <c r="X420" s="8"/>
      <c r="Y420" s="56"/>
      <c r="Z420" s="56"/>
      <c r="AA420" s="15"/>
      <c r="AB420" s="15"/>
      <c r="AC420" s="15"/>
      <c r="AD420" s="15"/>
      <c r="AE420" s="57"/>
      <c r="AF420" s="57"/>
      <c r="AG420" s="15"/>
      <c r="AH420" s="25"/>
      <c r="AI420" s="26"/>
      <c r="AJ420" s="26"/>
      <c r="AK420" s="27"/>
      <c r="AL420" s="28"/>
      <c r="AM420" s="29"/>
    </row>
    <row r="421" ht="12.75" customHeight="1">
      <c r="A421" s="26"/>
      <c r="B421" s="12"/>
      <c r="C421" s="240"/>
      <c r="D421" s="241"/>
      <c r="E421" s="5"/>
      <c r="F421" s="5"/>
      <c r="G421" s="5"/>
      <c r="H421" s="5"/>
      <c r="I421" s="5"/>
      <c r="J421" s="5"/>
      <c r="K421" s="8"/>
      <c r="L421" s="9"/>
      <c r="M421" s="10"/>
      <c r="N421" s="12"/>
      <c r="O421" s="242"/>
      <c r="P421" s="243"/>
      <c r="Q421" s="243"/>
      <c r="R421" s="14"/>
      <c r="S421" s="242"/>
      <c r="T421" s="15"/>
      <c r="U421" s="15"/>
      <c r="V421" s="15"/>
      <c r="W421" s="8"/>
      <c r="X421" s="8"/>
      <c r="Y421" s="56"/>
      <c r="Z421" s="56"/>
      <c r="AA421" s="15"/>
      <c r="AB421" s="15"/>
      <c r="AC421" s="15"/>
      <c r="AD421" s="15"/>
      <c r="AE421" s="57"/>
      <c r="AF421" s="57"/>
      <c r="AG421" s="15"/>
      <c r="AH421" s="25"/>
      <c r="AI421" s="26"/>
      <c r="AJ421" s="26"/>
      <c r="AK421" s="27"/>
      <c r="AL421" s="28"/>
      <c r="AM421" s="29"/>
    </row>
    <row r="422" ht="12.75" customHeight="1">
      <c r="A422" s="26"/>
      <c r="B422" s="12"/>
      <c r="C422" s="240"/>
      <c r="D422" s="241"/>
      <c r="E422" s="5"/>
      <c r="F422" s="5"/>
      <c r="G422" s="5"/>
      <c r="H422" s="5"/>
      <c r="I422" s="5"/>
      <c r="J422" s="5"/>
      <c r="K422" s="8"/>
      <c r="L422" s="9"/>
      <c r="M422" s="10"/>
      <c r="N422" s="12"/>
      <c r="O422" s="242"/>
      <c r="P422" s="243"/>
      <c r="Q422" s="243"/>
      <c r="R422" s="14"/>
      <c r="S422" s="242"/>
      <c r="T422" s="15"/>
      <c r="U422" s="15"/>
      <c r="V422" s="15"/>
      <c r="W422" s="8"/>
      <c r="X422" s="8"/>
      <c r="Y422" s="56"/>
      <c r="Z422" s="56"/>
      <c r="AA422" s="15"/>
      <c r="AB422" s="15"/>
      <c r="AC422" s="15"/>
      <c r="AD422" s="15"/>
      <c r="AE422" s="57"/>
      <c r="AF422" s="57"/>
      <c r="AG422" s="15"/>
      <c r="AH422" s="25"/>
      <c r="AI422" s="26"/>
      <c r="AJ422" s="26"/>
      <c r="AK422" s="27"/>
      <c r="AL422" s="28"/>
      <c r="AM422" s="29"/>
    </row>
    <row r="423" ht="12.75" customHeight="1">
      <c r="A423" s="26"/>
      <c r="B423" s="12"/>
      <c r="C423" s="240"/>
      <c r="D423" s="241"/>
      <c r="E423" s="5"/>
      <c r="F423" s="5"/>
      <c r="G423" s="5"/>
      <c r="H423" s="5"/>
      <c r="I423" s="5"/>
      <c r="J423" s="5"/>
      <c r="K423" s="8"/>
      <c r="L423" s="9"/>
      <c r="M423" s="10"/>
      <c r="N423" s="12"/>
      <c r="O423" s="242"/>
      <c r="P423" s="243"/>
      <c r="Q423" s="243"/>
      <c r="R423" s="14"/>
      <c r="S423" s="242"/>
      <c r="T423" s="15"/>
      <c r="U423" s="15"/>
      <c r="V423" s="15"/>
      <c r="W423" s="8"/>
      <c r="X423" s="8"/>
      <c r="Y423" s="56"/>
      <c r="Z423" s="56"/>
      <c r="AA423" s="15"/>
      <c r="AB423" s="15"/>
      <c r="AC423" s="15"/>
      <c r="AD423" s="15"/>
      <c r="AE423" s="57"/>
      <c r="AF423" s="57"/>
      <c r="AG423" s="15"/>
      <c r="AH423" s="25"/>
      <c r="AI423" s="26"/>
      <c r="AJ423" s="26"/>
      <c r="AK423" s="27"/>
      <c r="AL423" s="28"/>
      <c r="AM423" s="29"/>
    </row>
    <row r="424" ht="12.75" customHeight="1">
      <c r="A424" s="26"/>
      <c r="B424" s="12"/>
      <c r="C424" s="240"/>
      <c r="D424" s="241"/>
      <c r="E424" s="5"/>
      <c r="F424" s="5"/>
      <c r="G424" s="5"/>
      <c r="H424" s="5"/>
      <c r="I424" s="5"/>
      <c r="J424" s="5"/>
      <c r="K424" s="8"/>
      <c r="L424" s="9"/>
      <c r="M424" s="10"/>
      <c r="N424" s="12"/>
      <c r="O424" s="242"/>
      <c r="P424" s="243"/>
      <c r="Q424" s="243"/>
      <c r="R424" s="14"/>
      <c r="S424" s="242"/>
      <c r="T424" s="15"/>
      <c r="U424" s="15"/>
      <c r="V424" s="15"/>
      <c r="W424" s="8"/>
      <c r="X424" s="8"/>
      <c r="Y424" s="56"/>
      <c r="Z424" s="56"/>
      <c r="AA424" s="15"/>
      <c r="AB424" s="15"/>
      <c r="AC424" s="15"/>
      <c r="AD424" s="15"/>
      <c r="AE424" s="57"/>
      <c r="AF424" s="57"/>
      <c r="AG424" s="15"/>
      <c r="AH424" s="25"/>
      <c r="AI424" s="26"/>
      <c r="AJ424" s="26"/>
      <c r="AK424" s="27"/>
      <c r="AL424" s="28"/>
      <c r="AM424" s="29"/>
    </row>
    <row r="425" ht="12.75" customHeight="1">
      <c r="A425" s="26"/>
      <c r="B425" s="12"/>
      <c r="C425" s="240"/>
      <c r="D425" s="241"/>
      <c r="E425" s="5"/>
      <c r="F425" s="5"/>
      <c r="G425" s="5"/>
      <c r="H425" s="5"/>
      <c r="I425" s="5"/>
      <c r="J425" s="5"/>
      <c r="K425" s="8"/>
      <c r="L425" s="9"/>
      <c r="M425" s="10"/>
      <c r="N425" s="12"/>
      <c r="O425" s="242"/>
      <c r="P425" s="243"/>
      <c r="Q425" s="243"/>
      <c r="R425" s="14"/>
      <c r="S425" s="242"/>
      <c r="T425" s="15"/>
      <c r="U425" s="15"/>
      <c r="V425" s="15"/>
      <c r="W425" s="8"/>
      <c r="X425" s="8"/>
      <c r="Y425" s="56"/>
      <c r="Z425" s="56"/>
      <c r="AA425" s="15"/>
      <c r="AB425" s="15"/>
      <c r="AC425" s="15"/>
      <c r="AD425" s="15"/>
      <c r="AE425" s="57"/>
      <c r="AF425" s="57"/>
      <c r="AG425" s="15"/>
      <c r="AH425" s="25"/>
      <c r="AI425" s="26"/>
      <c r="AJ425" s="26"/>
      <c r="AK425" s="27"/>
      <c r="AL425" s="28"/>
      <c r="AM425" s="29"/>
    </row>
    <row r="426" ht="12.75" customHeight="1">
      <c r="A426" s="26"/>
      <c r="B426" s="12"/>
      <c r="C426" s="240"/>
      <c r="D426" s="241"/>
      <c r="E426" s="5"/>
      <c r="F426" s="5"/>
      <c r="G426" s="5"/>
      <c r="H426" s="5"/>
      <c r="I426" s="5"/>
      <c r="J426" s="5"/>
      <c r="K426" s="8"/>
      <c r="L426" s="9"/>
      <c r="M426" s="10"/>
      <c r="N426" s="12"/>
      <c r="O426" s="242"/>
      <c r="P426" s="243"/>
      <c r="Q426" s="243"/>
      <c r="R426" s="14"/>
      <c r="S426" s="242"/>
      <c r="T426" s="15"/>
      <c r="U426" s="15"/>
      <c r="V426" s="15"/>
      <c r="W426" s="8"/>
      <c r="X426" s="8"/>
      <c r="Y426" s="56"/>
      <c r="Z426" s="56"/>
      <c r="AA426" s="15"/>
      <c r="AB426" s="15"/>
      <c r="AC426" s="15"/>
      <c r="AD426" s="15"/>
      <c r="AE426" s="57"/>
      <c r="AF426" s="57"/>
      <c r="AG426" s="15"/>
      <c r="AH426" s="25"/>
      <c r="AI426" s="26"/>
      <c r="AJ426" s="26"/>
      <c r="AK426" s="27"/>
      <c r="AL426" s="28"/>
      <c r="AM426" s="29"/>
    </row>
    <row r="427" ht="12.75" customHeight="1">
      <c r="A427" s="26"/>
      <c r="B427" s="12"/>
      <c r="C427" s="240"/>
      <c r="D427" s="241"/>
      <c r="E427" s="5"/>
      <c r="F427" s="5"/>
      <c r="G427" s="5"/>
      <c r="H427" s="5"/>
      <c r="I427" s="5"/>
      <c r="J427" s="5"/>
      <c r="K427" s="8"/>
      <c r="L427" s="9"/>
      <c r="M427" s="10"/>
      <c r="N427" s="12"/>
      <c r="O427" s="242"/>
      <c r="P427" s="243"/>
      <c r="Q427" s="243"/>
      <c r="R427" s="14"/>
      <c r="S427" s="242"/>
      <c r="T427" s="15"/>
      <c r="U427" s="15"/>
      <c r="V427" s="15"/>
      <c r="W427" s="8"/>
      <c r="X427" s="8"/>
      <c r="Y427" s="56"/>
      <c r="Z427" s="56"/>
      <c r="AA427" s="15"/>
      <c r="AB427" s="15"/>
      <c r="AC427" s="15"/>
      <c r="AD427" s="15"/>
      <c r="AE427" s="57"/>
      <c r="AF427" s="57"/>
      <c r="AG427" s="15"/>
      <c r="AH427" s="25"/>
      <c r="AI427" s="26"/>
      <c r="AJ427" s="26"/>
      <c r="AK427" s="27"/>
      <c r="AL427" s="28"/>
      <c r="AM427" s="29"/>
    </row>
    <row r="428" ht="12.75" customHeight="1">
      <c r="A428" s="26"/>
      <c r="B428" s="12"/>
      <c r="C428" s="240"/>
      <c r="D428" s="241"/>
      <c r="E428" s="5"/>
      <c r="F428" s="5"/>
      <c r="G428" s="5"/>
      <c r="H428" s="5"/>
      <c r="I428" s="5"/>
      <c r="J428" s="5"/>
      <c r="K428" s="8"/>
      <c r="L428" s="9"/>
      <c r="M428" s="10"/>
      <c r="N428" s="12"/>
      <c r="O428" s="242"/>
      <c r="P428" s="243"/>
      <c r="Q428" s="243"/>
      <c r="R428" s="14"/>
      <c r="S428" s="242"/>
      <c r="T428" s="15"/>
      <c r="U428" s="15"/>
      <c r="V428" s="15"/>
      <c r="W428" s="8"/>
      <c r="X428" s="8"/>
      <c r="Y428" s="56"/>
      <c r="Z428" s="56"/>
      <c r="AA428" s="15"/>
      <c r="AB428" s="15"/>
      <c r="AC428" s="15"/>
      <c r="AD428" s="15"/>
      <c r="AE428" s="57"/>
      <c r="AF428" s="57"/>
      <c r="AG428" s="15"/>
      <c r="AH428" s="25"/>
      <c r="AI428" s="26"/>
      <c r="AJ428" s="26"/>
      <c r="AK428" s="27"/>
      <c r="AL428" s="28"/>
      <c r="AM428" s="29"/>
    </row>
    <row r="429" ht="12.75" customHeight="1">
      <c r="A429" s="26"/>
      <c r="B429" s="12"/>
      <c r="C429" s="240"/>
      <c r="D429" s="241"/>
      <c r="E429" s="5"/>
      <c r="F429" s="5"/>
      <c r="G429" s="5"/>
      <c r="H429" s="5"/>
      <c r="I429" s="5"/>
      <c r="J429" s="5"/>
      <c r="K429" s="8"/>
      <c r="L429" s="9"/>
      <c r="M429" s="10"/>
      <c r="N429" s="12"/>
      <c r="O429" s="242"/>
      <c r="P429" s="243"/>
      <c r="Q429" s="243"/>
      <c r="R429" s="14"/>
      <c r="S429" s="242"/>
      <c r="T429" s="15"/>
      <c r="U429" s="15"/>
      <c r="V429" s="15"/>
      <c r="W429" s="8"/>
      <c r="X429" s="8"/>
      <c r="Y429" s="56"/>
      <c r="Z429" s="56"/>
      <c r="AA429" s="15"/>
      <c r="AB429" s="15"/>
      <c r="AC429" s="15"/>
      <c r="AD429" s="15"/>
      <c r="AE429" s="57"/>
      <c r="AF429" s="57"/>
      <c r="AG429" s="15"/>
      <c r="AH429" s="25"/>
      <c r="AI429" s="26"/>
      <c r="AJ429" s="26"/>
      <c r="AK429" s="27"/>
      <c r="AL429" s="28"/>
      <c r="AM429" s="29"/>
    </row>
    <row r="430" ht="12.75" customHeight="1">
      <c r="A430" s="26"/>
      <c r="B430" s="12"/>
      <c r="C430" s="240"/>
      <c r="D430" s="241"/>
      <c r="E430" s="5"/>
      <c r="F430" s="5"/>
      <c r="G430" s="5"/>
      <c r="H430" s="5"/>
      <c r="I430" s="5"/>
      <c r="J430" s="5"/>
      <c r="K430" s="8"/>
      <c r="L430" s="9"/>
      <c r="M430" s="10"/>
      <c r="N430" s="12"/>
      <c r="O430" s="242"/>
      <c r="P430" s="243"/>
      <c r="Q430" s="243"/>
      <c r="R430" s="14"/>
      <c r="S430" s="242"/>
      <c r="T430" s="15"/>
      <c r="U430" s="15"/>
      <c r="V430" s="15"/>
      <c r="W430" s="8"/>
      <c r="X430" s="8"/>
      <c r="Y430" s="56"/>
      <c r="Z430" s="56"/>
      <c r="AA430" s="15"/>
      <c r="AB430" s="15"/>
      <c r="AC430" s="15"/>
      <c r="AD430" s="15"/>
      <c r="AE430" s="57"/>
      <c r="AF430" s="57"/>
      <c r="AG430" s="15"/>
      <c r="AH430" s="25"/>
      <c r="AI430" s="26"/>
      <c r="AJ430" s="26"/>
      <c r="AK430" s="27"/>
      <c r="AL430" s="28"/>
      <c r="AM430" s="29"/>
    </row>
    <row r="431" ht="12.75" customHeight="1">
      <c r="A431" s="26"/>
      <c r="B431" s="12"/>
      <c r="C431" s="240"/>
      <c r="D431" s="241"/>
      <c r="E431" s="5"/>
      <c r="F431" s="5"/>
      <c r="G431" s="5"/>
      <c r="H431" s="5"/>
      <c r="I431" s="5"/>
      <c r="J431" s="5"/>
      <c r="K431" s="8"/>
      <c r="L431" s="9"/>
      <c r="M431" s="10"/>
      <c r="N431" s="12"/>
      <c r="O431" s="242"/>
      <c r="P431" s="243"/>
      <c r="Q431" s="243"/>
      <c r="R431" s="14"/>
      <c r="S431" s="242"/>
      <c r="T431" s="15"/>
      <c r="U431" s="15"/>
      <c r="V431" s="15"/>
      <c r="W431" s="8"/>
      <c r="X431" s="8"/>
      <c r="Y431" s="56"/>
      <c r="Z431" s="56"/>
      <c r="AA431" s="15"/>
      <c r="AB431" s="15"/>
      <c r="AC431" s="15"/>
      <c r="AD431" s="15"/>
      <c r="AE431" s="57"/>
      <c r="AF431" s="57"/>
      <c r="AG431" s="15"/>
      <c r="AH431" s="25"/>
      <c r="AI431" s="26"/>
      <c r="AJ431" s="26"/>
      <c r="AK431" s="27"/>
      <c r="AL431" s="28"/>
      <c r="AM431" s="29"/>
    </row>
    <row r="432" ht="12.75" customHeight="1">
      <c r="A432" s="26"/>
      <c r="B432" s="12"/>
      <c r="C432" s="240"/>
      <c r="D432" s="241"/>
      <c r="E432" s="5"/>
      <c r="F432" s="5"/>
      <c r="G432" s="5"/>
      <c r="H432" s="5"/>
      <c r="I432" s="5"/>
      <c r="J432" s="5"/>
      <c r="K432" s="8"/>
      <c r="L432" s="9"/>
      <c r="M432" s="10"/>
      <c r="N432" s="12"/>
      <c r="O432" s="242"/>
      <c r="P432" s="243"/>
      <c r="Q432" s="243"/>
      <c r="R432" s="14"/>
      <c r="S432" s="242"/>
      <c r="T432" s="15"/>
      <c r="U432" s="15"/>
      <c r="V432" s="15"/>
      <c r="W432" s="8"/>
      <c r="X432" s="8"/>
      <c r="Y432" s="56"/>
      <c r="Z432" s="56"/>
      <c r="AA432" s="15"/>
      <c r="AB432" s="15"/>
      <c r="AC432" s="15"/>
      <c r="AD432" s="15"/>
      <c r="AE432" s="57"/>
      <c r="AF432" s="57"/>
      <c r="AG432" s="15"/>
      <c r="AH432" s="25"/>
      <c r="AI432" s="26"/>
      <c r="AJ432" s="26"/>
      <c r="AK432" s="27"/>
      <c r="AL432" s="28"/>
      <c r="AM432" s="29"/>
    </row>
    <row r="433" ht="12.75" customHeight="1">
      <c r="A433" s="26"/>
      <c r="B433" s="12"/>
      <c r="C433" s="240"/>
      <c r="D433" s="241"/>
      <c r="E433" s="5"/>
      <c r="F433" s="5"/>
      <c r="G433" s="5"/>
      <c r="H433" s="5"/>
      <c r="I433" s="5"/>
      <c r="J433" s="5"/>
      <c r="K433" s="8"/>
      <c r="L433" s="9"/>
      <c r="M433" s="10"/>
      <c r="N433" s="12"/>
      <c r="O433" s="242"/>
      <c r="P433" s="243"/>
      <c r="Q433" s="243"/>
      <c r="R433" s="14"/>
      <c r="S433" s="242"/>
      <c r="T433" s="15"/>
      <c r="U433" s="15"/>
      <c r="V433" s="15"/>
      <c r="W433" s="8"/>
      <c r="X433" s="8"/>
      <c r="Y433" s="56"/>
      <c r="Z433" s="56"/>
      <c r="AA433" s="15"/>
      <c r="AB433" s="15"/>
      <c r="AC433" s="15"/>
      <c r="AD433" s="15"/>
      <c r="AE433" s="57"/>
      <c r="AF433" s="57"/>
      <c r="AG433" s="15"/>
      <c r="AH433" s="25"/>
      <c r="AI433" s="26"/>
      <c r="AJ433" s="26"/>
      <c r="AK433" s="27"/>
      <c r="AL433" s="28"/>
      <c r="AM433" s="29"/>
    </row>
    <row r="434" ht="12.75" customHeight="1">
      <c r="A434" s="26"/>
      <c r="B434" s="12"/>
      <c r="C434" s="240"/>
      <c r="D434" s="241"/>
      <c r="E434" s="5"/>
      <c r="F434" s="5"/>
      <c r="G434" s="5"/>
      <c r="H434" s="5"/>
      <c r="I434" s="5"/>
      <c r="J434" s="5"/>
      <c r="K434" s="8"/>
      <c r="L434" s="9"/>
      <c r="M434" s="10"/>
      <c r="N434" s="12"/>
      <c r="O434" s="242"/>
      <c r="P434" s="243"/>
      <c r="Q434" s="243"/>
      <c r="R434" s="14"/>
      <c r="S434" s="242"/>
      <c r="T434" s="15"/>
      <c r="U434" s="15"/>
      <c r="V434" s="15"/>
      <c r="W434" s="8"/>
      <c r="X434" s="8"/>
      <c r="Y434" s="56"/>
      <c r="Z434" s="56"/>
      <c r="AA434" s="15"/>
      <c r="AB434" s="15"/>
      <c r="AC434" s="15"/>
      <c r="AD434" s="15"/>
      <c r="AE434" s="57"/>
      <c r="AF434" s="57"/>
      <c r="AG434" s="15"/>
      <c r="AH434" s="25"/>
      <c r="AI434" s="26"/>
      <c r="AJ434" s="26"/>
      <c r="AK434" s="27"/>
      <c r="AL434" s="28"/>
      <c r="AM434" s="29"/>
    </row>
    <row r="435" ht="12.75" customHeight="1">
      <c r="A435" s="26"/>
      <c r="B435" s="12"/>
      <c r="C435" s="240"/>
      <c r="D435" s="241"/>
      <c r="E435" s="5"/>
      <c r="F435" s="5"/>
      <c r="G435" s="5"/>
      <c r="H435" s="5"/>
      <c r="I435" s="5"/>
      <c r="J435" s="5"/>
      <c r="K435" s="8"/>
      <c r="L435" s="9"/>
      <c r="M435" s="10"/>
      <c r="N435" s="12"/>
      <c r="O435" s="242"/>
      <c r="P435" s="243"/>
      <c r="Q435" s="243"/>
      <c r="R435" s="14"/>
      <c r="S435" s="242"/>
      <c r="T435" s="15"/>
      <c r="U435" s="15"/>
      <c r="V435" s="15"/>
      <c r="W435" s="8"/>
      <c r="X435" s="8"/>
      <c r="Y435" s="56"/>
      <c r="Z435" s="56"/>
      <c r="AA435" s="15"/>
      <c r="AB435" s="15"/>
      <c r="AC435" s="15"/>
      <c r="AD435" s="15"/>
      <c r="AE435" s="57"/>
      <c r="AF435" s="57"/>
      <c r="AG435" s="15"/>
      <c r="AH435" s="25"/>
      <c r="AI435" s="26"/>
      <c r="AJ435" s="26"/>
      <c r="AK435" s="27"/>
      <c r="AL435" s="28"/>
      <c r="AM435" s="29"/>
    </row>
    <row r="436" ht="12.75" customHeight="1">
      <c r="A436" s="26"/>
      <c r="B436" s="12"/>
      <c r="C436" s="240"/>
      <c r="D436" s="241"/>
      <c r="E436" s="5"/>
      <c r="F436" s="5"/>
      <c r="G436" s="5"/>
      <c r="H436" s="5"/>
      <c r="I436" s="5"/>
      <c r="J436" s="5"/>
      <c r="K436" s="8"/>
      <c r="L436" s="9"/>
      <c r="M436" s="10"/>
      <c r="N436" s="12"/>
      <c r="O436" s="242"/>
      <c r="P436" s="243"/>
      <c r="Q436" s="243"/>
      <c r="R436" s="14"/>
      <c r="S436" s="242"/>
      <c r="T436" s="15"/>
      <c r="U436" s="15"/>
      <c r="V436" s="15"/>
      <c r="W436" s="8"/>
      <c r="X436" s="8"/>
      <c r="Y436" s="56"/>
      <c r="Z436" s="56"/>
      <c r="AA436" s="15"/>
      <c r="AB436" s="15"/>
      <c r="AC436" s="15"/>
      <c r="AD436" s="15"/>
      <c r="AE436" s="57"/>
      <c r="AF436" s="57"/>
      <c r="AG436" s="15"/>
      <c r="AH436" s="25"/>
      <c r="AI436" s="26"/>
      <c r="AJ436" s="26"/>
      <c r="AK436" s="27"/>
      <c r="AL436" s="28"/>
      <c r="AM436" s="29"/>
    </row>
    <row r="437" ht="12.75" customHeight="1">
      <c r="A437" s="26"/>
      <c r="B437" s="12"/>
      <c r="C437" s="240"/>
      <c r="D437" s="241"/>
      <c r="E437" s="5"/>
      <c r="F437" s="5"/>
      <c r="G437" s="5"/>
      <c r="H437" s="5"/>
      <c r="I437" s="5"/>
      <c r="J437" s="5"/>
      <c r="K437" s="8"/>
      <c r="L437" s="9"/>
      <c r="M437" s="10"/>
      <c r="N437" s="12"/>
      <c r="O437" s="242"/>
      <c r="P437" s="243"/>
      <c r="Q437" s="243"/>
      <c r="R437" s="14"/>
      <c r="S437" s="242"/>
      <c r="T437" s="15"/>
      <c r="U437" s="15"/>
      <c r="V437" s="15"/>
      <c r="W437" s="8"/>
      <c r="X437" s="8"/>
      <c r="Y437" s="56"/>
      <c r="Z437" s="56"/>
      <c r="AA437" s="15"/>
      <c r="AB437" s="15"/>
      <c r="AC437" s="15"/>
      <c r="AD437" s="15"/>
      <c r="AE437" s="57"/>
      <c r="AF437" s="57"/>
      <c r="AG437" s="15"/>
      <c r="AH437" s="25"/>
      <c r="AI437" s="26"/>
      <c r="AJ437" s="26"/>
      <c r="AK437" s="27"/>
      <c r="AL437" s="28"/>
      <c r="AM437" s="29"/>
    </row>
    <row r="438" ht="12.75" customHeight="1">
      <c r="A438" s="26"/>
      <c r="B438" s="12"/>
      <c r="C438" s="240"/>
      <c r="D438" s="241"/>
      <c r="E438" s="5"/>
      <c r="F438" s="5"/>
      <c r="G438" s="5"/>
      <c r="H438" s="5"/>
      <c r="I438" s="5"/>
      <c r="J438" s="5"/>
      <c r="K438" s="8"/>
      <c r="L438" s="9"/>
      <c r="M438" s="10"/>
      <c r="N438" s="12"/>
      <c r="O438" s="242"/>
      <c r="P438" s="243"/>
      <c r="Q438" s="243"/>
      <c r="R438" s="14"/>
      <c r="S438" s="242"/>
      <c r="T438" s="15"/>
      <c r="U438" s="15"/>
      <c r="V438" s="15"/>
      <c r="W438" s="8"/>
      <c r="X438" s="8"/>
      <c r="Y438" s="56"/>
      <c r="Z438" s="56"/>
      <c r="AA438" s="15"/>
      <c r="AB438" s="15"/>
      <c r="AC438" s="15"/>
      <c r="AD438" s="15"/>
      <c r="AE438" s="57"/>
      <c r="AF438" s="57"/>
      <c r="AG438" s="15"/>
      <c r="AH438" s="25"/>
      <c r="AI438" s="26"/>
      <c r="AJ438" s="26"/>
      <c r="AK438" s="27"/>
      <c r="AL438" s="28"/>
      <c r="AM438" s="29"/>
    </row>
    <row r="439" ht="12.75" customHeight="1">
      <c r="A439" s="26"/>
      <c r="B439" s="12"/>
      <c r="C439" s="240"/>
      <c r="D439" s="241"/>
      <c r="E439" s="5"/>
      <c r="F439" s="5"/>
      <c r="G439" s="5"/>
      <c r="H439" s="5"/>
      <c r="I439" s="5"/>
      <c r="J439" s="5"/>
      <c r="K439" s="8"/>
      <c r="L439" s="9"/>
      <c r="M439" s="10"/>
      <c r="N439" s="12"/>
      <c r="O439" s="242"/>
      <c r="P439" s="243"/>
      <c r="Q439" s="243"/>
      <c r="R439" s="14"/>
      <c r="S439" s="242"/>
      <c r="T439" s="15"/>
      <c r="U439" s="15"/>
      <c r="V439" s="15"/>
      <c r="W439" s="8"/>
      <c r="X439" s="8"/>
      <c r="Y439" s="56"/>
      <c r="Z439" s="56"/>
      <c r="AA439" s="15"/>
      <c r="AB439" s="15"/>
      <c r="AC439" s="15"/>
      <c r="AD439" s="15"/>
      <c r="AE439" s="57"/>
      <c r="AF439" s="57"/>
      <c r="AG439" s="15"/>
      <c r="AH439" s="25"/>
      <c r="AI439" s="26"/>
      <c r="AJ439" s="26"/>
      <c r="AK439" s="27"/>
      <c r="AL439" s="28"/>
      <c r="AM439" s="29"/>
    </row>
    <row r="440" ht="12.75" customHeight="1">
      <c r="A440" s="26"/>
      <c r="B440" s="12"/>
      <c r="C440" s="240"/>
      <c r="D440" s="241"/>
      <c r="E440" s="5"/>
      <c r="F440" s="5"/>
      <c r="G440" s="5"/>
      <c r="H440" s="5"/>
      <c r="I440" s="5"/>
      <c r="J440" s="5"/>
      <c r="K440" s="8"/>
      <c r="L440" s="9"/>
      <c r="M440" s="10"/>
      <c r="N440" s="12"/>
      <c r="O440" s="242"/>
      <c r="P440" s="243"/>
      <c r="Q440" s="243"/>
      <c r="R440" s="14"/>
      <c r="S440" s="242"/>
      <c r="T440" s="15"/>
      <c r="U440" s="15"/>
      <c r="V440" s="15"/>
      <c r="W440" s="8"/>
      <c r="X440" s="8"/>
      <c r="Y440" s="56"/>
      <c r="Z440" s="56"/>
      <c r="AA440" s="15"/>
      <c r="AB440" s="15"/>
      <c r="AC440" s="15"/>
      <c r="AD440" s="15"/>
      <c r="AE440" s="57"/>
      <c r="AF440" s="57"/>
      <c r="AG440" s="15"/>
      <c r="AH440" s="25"/>
      <c r="AI440" s="26"/>
      <c r="AJ440" s="26"/>
      <c r="AK440" s="27"/>
      <c r="AL440" s="28"/>
      <c r="AM440" s="29"/>
    </row>
    <row r="441" ht="12.75" customHeight="1">
      <c r="A441" s="26"/>
      <c r="B441" s="12"/>
      <c r="C441" s="240"/>
      <c r="D441" s="241"/>
      <c r="E441" s="5"/>
      <c r="F441" s="5"/>
      <c r="G441" s="5"/>
      <c r="H441" s="5"/>
      <c r="I441" s="5"/>
      <c r="J441" s="5"/>
      <c r="K441" s="8"/>
      <c r="L441" s="9"/>
      <c r="M441" s="10"/>
      <c r="N441" s="12"/>
      <c r="O441" s="242"/>
      <c r="P441" s="243"/>
      <c r="Q441" s="243"/>
      <c r="R441" s="14"/>
      <c r="S441" s="242"/>
      <c r="T441" s="15"/>
      <c r="U441" s="15"/>
      <c r="V441" s="15"/>
      <c r="W441" s="8"/>
      <c r="X441" s="8"/>
      <c r="Y441" s="56"/>
      <c r="Z441" s="56"/>
      <c r="AA441" s="15"/>
      <c r="AB441" s="15"/>
      <c r="AC441" s="15"/>
      <c r="AD441" s="15"/>
      <c r="AE441" s="57"/>
      <c r="AF441" s="57"/>
      <c r="AG441" s="15"/>
      <c r="AH441" s="25"/>
      <c r="AI441" s="26"/>
      <c r="AJ441" s="26"/>
      <c r="AK441" s="27"/>
      <c r="AL441" s="28"/>
      <c r="AM441" s="29"/>
    </row>
    <row r="442" ht="12.75" customHeight="1">
      <c r="A442" s="26"/>
      <c r="B442" s="12"/>
      <c r="C442" s="240"/>
      <c r="D442" s="241"/>
      <c r="E442" s="5"/>
      <c r="F442" s="5"/>
      <c r="G442" s="5"/>
      <c r="H442" s="5"/>
      <c r="I442" s="5"/>
      <c r="J442" s="5"/>
      <c r="K442" s="8"/>
      <c r="L442" s="9"/>
      <c r="M442" s="10"/>
      <c r="N442" s="12"/>
      <c r="O442" s="242"/>
      <c r="P442" s="243"/>
      <c r="Q442" s="243"/>
      <c r="R442" s="14"/>
      <c r="S442" s="242"/>
      <c r="T442" s="15"/>
      <c r="U442" s="15"/>
      <c r="V442" s="15"/>
      <c r="W442" s="8"/>
      <c r="X442" s="8"/>
      <c r="Y442" s="56"/>
      <c r="Z442" s="56"/>
      <c r="AA442" s="15"/>
      <c r="AB442" s="15"/>
      <c r="AC442" s="15"/>
      <c r="AD442" s="15"/>
      <c r="AE442" s="57"/>
      <c r="AF442" s="57"/>
      <c r="AG442" s="15"/>
      <c r="AH442" s="25"/>
      <c r="AI442" s="26"/>
      <c r="AJ442" s="26"/>
      <c r="AK442" s="27"/>
      <c r="AL442" s="28"/>
      <c r="AM442" s="29"/>
    </row>
    <row r="443" ht="12.75" customHeight="1">
      <c r="A443" s="26"/>
      <c r="B443" s="12"/>
      <c r="C443" s="240"/>
      <c r="D443" s="241"/>
      <c r="E443" s="5"/>
      <c r="F443" s="5"/>
      <c r="G443" s="5"/>
      <c r="H443" s="5"/>
      <c r="I443" s="5"/>
      <c r="J443" s="5"/>
      <c r="K443" s="8"/>
      <c r="L443" s="9"/>
      <c r="M443" s="10"/>
      <c r="N443" s="12"/>
      <c r="O443" s="242"/>
      <c r="P443" s="243"/>
      <c r="Q443" s="243"/>
      <c r="R443" s="14"/>
      <c r="S443" s="242"/>
      <c r="T443" s="15"/>
      <c r="U443" s="15"/>
      <c r="V443" s="15"/>
      <c r="W443" s="8"/>
      <c r="X443" s="8"/>
      <c r="Y443" s="56"/>
      <c r="Z443" s="56"/>
      <c r="AA443" s="15"/>
      <c r="AB443" s="15"/>
      <c r="AC443" s="15"/>
      <c r="AD443" s="15"/>
      <c r="AE443" s="57"/>
      <c r="AF443" s="57"/>
      <c r="AG443" s="15"/>
      <c r="AH443" s="25"/>
      <c r="AI443" s="26"/>
      <c r="AJ443" s="26"/>
      <c r="AK443" s="27"/>
      <c r="AL443" s="28"/>
      <c r="AM443" s="29"/>
    </row>
    <row r="444" ht="12.75" customHeight="1">
      <c r="A444" s="26"/>
      <c r="B444" s="12"/>
      <c r="C444" s="240"/>
      <c r="D444" s="241"/>
      <c r="E444" s="5"/>
      <c r="F444" s="5"/>
      <c r="G444" s="5"/>
      <c r="H444" s="5"/>
      <c r="I444" s="5"/>
      <c r="J444" s="5"/>
      <c r="K444" s="8"/>
      <c r="L444" s="9"/>
      <c r="M444" s="10"/>
      <c r="N444" s="12"/>
      <c r="O444" s="242"/>
      <c r="P444" s="243"/>
      <c r="Q444" s="243"/>
      <c r="R444" s="14"/>
      <c r="S444" s="242"/>
      <c r="T444" s="15"/>
      <c r="U444" s="15"/>
      <c r="V444" s="15"/>
      <c r="W444" s="8"/>
      <c r="X444" s="8"/>
      <c r="Y444" s="56"/>
      <c r="Z444" s="56"/>
      <c r="AA444" s="15"/>
      <c r="AB444" s="15"/>
      <c r="AC444" s="15"/>
      <c r="AD444" s="15"/>
      <c r="AE444" s="57"/>
      <c r="AF444" s="57"/>
      <c r="AG444" s="15"/>
      <c r="AH444" s="25"/>
      <c r="AI444" s="26"/>
      <c r="AJ444" s="26"/>
      <c r="AK444" s="27"/>
      <c r="AL444" s="28"/>
      <c r="AM444" s="29"/>
    </row>
    <row r="445" ht="12.75" customHeight="1">
      <c r="A445" s="26"/>
      <c r="B445" s="12"/>
      <c r="C445" s="240"/>
      <c r="D445" s="241"/>
      <c r="E445" s="5"/>
      <c r="F445" s="5"/>
      <c r="G445" s="5"/>
      <c r="H445" s="5"/>
      <c r="I445" s="5"/>
      <c r="J445" s="5"/>
      <c r="K445" s="8"/>
      <c r="L445" s="9"/>
      <c r="M445" s="10"/>
      <c r="N445" s="12"/>
      <c r="O445" s="242"/>
      <c r="P445" s="243"/>
      <c r="Q445" s="243"/>
      <c r="R445" s="14"/>
      <c r="S445" s="242"/>
      <c r="T445" s="15"/>
      <c r="U445" s="15"/>
      <c r="V445" s="15"/>
      <c r="W445" s="8"/>
      <c r="X445" s="8"/>
      <c r="Y445" s="56"/>
      <c r="Z445" s="56"/>
      <c r="AA445" s="15"/>
      <c r="AB445" s="15"/>
      <c r="AC445" s="15"/>
      <c r="AD445" s="15"/>
      <c r="AE445" s="57"/>
      <c r="AF445" s="57"/>
      <c r="AG445" s="15"/>
      <c r="AH445" s="25"/>
      <c r="AI445" s="26"/>
      <c r="AJ445" s="26"/>
      <c r="AK445" s="27"/>
      <c r="AL445" s="28"/>
      <c r="AM445" s="29"/>
    </row>
    <row r="446" ht="12.75" customHeight="1">
      <c r="A446" s="26"/>
      <c r="B446" s="12"/>
      <c r="C446" s="240"/>
      <c r="D446" s="241"/>
      <c r="E446" s="5"/>
      <c r="F446" s="5"/>
      <c r="G446" s="5"/>
      <c r="H446" s="5"/>
      <c r="I446" s="5"/>
      <c r="J446" s="5"/>
      <c r="K446" s="8"/>
      <c r="L446" s="9"/>
      <c r="M446" s="10"/>
      <c r="N446" s="12"/>
      <c r="O446" s="242"/>
      <c r="P446" s="243"/>
      <c r="Q446" s="243"/>
      <c r="R446" s="14"/>
      <c r="S446" s="242"/>
      <c r="T446" s="15"/>
      <c r="U446" s="15"/>
      <c r="V446" s="15"/>
      <c r="W446" s="8"/>
      <c r="X446" s="8"/>
      <c r="Y446" s="56"/>
      <c r="Z446" s="56"/>
      <c r="AA446" s="15"/>
      <c r="AB446" s="15"/>
      <c r="AC446" s="15"/>
      <c r="AD446" s="15"/>
      <c r="AE446" s="57"/>
      <c r="AF446" s="57"/>
      <c r="AG446" s="15"/>
      <c r="AH446" s="25"/>
      <c r="AI446" s="26"/>
      <c r="AJ446" s="26"/>
      <c r="AK446" s="27"/>
      <c r="AL446" s="28"/>
      <c r="AM446" s="29"/>
    </row>
    <row r="447" ht="12.75" customHeight="1">
      <c r="A447" s="26"/>
      <c r="B447" s="12"/>
      <c r="C447" s="240"/>
      <c r="D447" s="241"/>
      <c r="E447" s="5"/>
      <c r="F447" s="5"/>
      <c r="G447" s="5"/>
      <c r="H447" s="5"/>
      <c r="I447" s="5"/>
      <c r="J447" s="5"/>
      <c r="K447" s="8"/>
      <c r="L447" s="9"/>
      <c r="M447" s="10"/>
      <c r="N447" s="12"/>
      <c r="O447" s="242"/>
      <c r="P447" s="243"/>
      <c r="Q447" s="243"/>
      <c r="R447" s="14"/>
      <c r="S447" s="242"/>
      <c r="T447" s="15"/>
      <c r="U447" s="15"/>
      <c r="V447" s="15"/>
      <c r="W447" s="8"/>
      <c r="X447" s="8"/>
      <c r="Y447" s="56"/>
      <c r="Z447" s="56"/>
      <c r="AA447" s="15"/>
      <c r="AB447" s="15"/>
      <c r="AC447" s="15"/>
      <c r="AD447" s="15"/>
      <c r="AE447" s="57"/>
      <c r="AF447" s="57"/>
      <c r="AG447" s="15"/>
      <c r="AH447" s="25"/>
      <c r="AI447" s="26"/>
      <c r="AJ447" s="26"/>
      <c r="AK447" s="27"/>
      <c r="AL447" s="28"/>
      <c r="AM447" s="29"/>
    </row>
    <row r="448" ht="12.75" customHeight="1">
      <c r="A448" s="26"/>
      <c r="B448" s="12"/>
      <c r="C448" s="240"/>
      <c r="D448" s="241"/>
      <c r="E448" s="5"/>
      <c r="F448" s="5"/>
      <c r="G448" s="5"/>
      <c r="H448" s="5"/>
      <c r="I448" s="5"/>
      <c r="J448" s="5"/>
      <c r="K448" s="8"/>
      <c r="L448" s="9"/>
      <c r="M448" s="10"/>
      <c r="N448" s="12"/>
      <c r="O448" s="242"/>
      <c r="P448" s="243"/>
      <c r="Q448" s="243"/>
      <c r="R448" s="14"/>
      <c r="S448" s="242"/>
      <c r="T448" s="15"/>
      <c r="U448" s="15"/>
      <c r="V448" s="15"/>
      <c r="W448" s="8"/>
      <c r="X448" s="8"/>
      <c r="Y448" s="56"/>
      <c r="Z448" s="56"/>
      <c r="AA448" s="15"/>
      <c r="AB448" s="15"/>
      <c r="AC448" s="15"/>
      <c r="AD448" s="15"/>
      <c r="AE448" s="57"/>
      <c r="AF448" s="57"/>
      <c r="AG448" s="15"/>
      <c r="AH448" s="25"/>
      <c r="AI448" s="26"/>
      <c r="AJ448" s="26"/>
      <c r="AK448" s="27"/>
      <c r="AL448" s="28"/>
      <c r="AM448" s="29"/>
    </row>
    <row r="449" ht="12.75" customHeight="1">
      <c r="A449" s="26"/>
      <c r="B449" s="12"/>
      <c r="C449" s="240"/>
      <c r="D449" s="241"/>
      <c r="E449" s="5"/>
      <c r="F449" s="5"/>
      <c r="G449" s="5"/>
      <c r="H449" s="5"/>
      <c r="I449" s="5"/>
      <c r="J449" s="5"/>
      <c r="K449" s="8"/>
      <c r="L449" s="9"/>
      <c r="M449" s="10"/>
      <c r="N449" s="12"/>
      <c r="O449" s="242"/>
      <c r="P449" s="243"/>
      <c r="Q449" s="243"/>
      <c r="R449" s="14"/>
      <c r="S449" s="242"/>
      <c r="T449" s="15"/>
      <c r="U449" s="15"/>
      <c r="V449" s="15"/>
      <c r="W449" s="8"/>
      <c r="X449" s="8"/>
      <c r="Y449" s="56"/>
      <c r="Z449" s="56"/>
      <c r="AA449" s="15"/>
      <c r="AB449" s="15"/>
      <c r="AC449" s="15"/>
      <c r="AD449" s="15"/>
      <c r="AE449" s="57"/>
      <c r="AF449" s="57"/>
      <c r="AG449" s="15"/>
      <c r="AH449" s="25"/>
      <c r="AI449" s="26"/>
      <c r="AJ449" s="26"/>
      <c r="AK449" s="27"/>
      <c r="AL449" s="28"/>
      <c r="AM449" s="29"/>
    </row>
    <row r="450" ht="12.75" customHeight="1">
      <c r="A450" s="26"/>
      <c r="B450" s="12"/>
      <c r="C450" s="240"/>
      <c r="D450" s="241"/>
      <c r="E450" s="5"/>
      <c r="F450" s="5"/>
      <c r="G450" s="5"/>
      <c r="H450" s="5"/>
      <c r="I450" s="5"/>
      <c r="J450" s="5"/>
      <c r="K450" s="8"/>
      <c r="L450" s="9"/>
      <c r="M450" s="10"/>
      <c r="N450" s="12"/>
      <c r="O450" s="242"/>
      <c r="P450" s="243"/>
      <c r="Q450" s="243"/>
      <c r="R450" s="14"/>
      <c r="S450" s="242"/>
      <c r="T450" s="15"/>
      <c r="U450" s="15"/>
      <c r="V450" s="15"/>
      <c r="W450" s="8"/>
      <c r="X450" s="8"/>
      <c r="Y450" s="56"/>
      <c r="Z450" s="56"/>
      <c r="AA450" s="15"/>
      <c r="AB450" s="15"/>
      <c r="AC450" s="15"/>
      <c r="AD450" s="15"/>
      <c r="AE450" s="57"/>
      <c r="AF450" s="57"/>
      <c r="AG450" s="15"/>
      <c r="AH450" s="25"/>
      <c r="AI450" s="26"/>
      <c r="AJ450" s="26"/>
      <c r="AK450" s="27"/>
      <c r="AL450" s="28"/>
      <c r="AM450" s="29"/>
    </row>
    <row r="451" ht="12.75" customHeight="1">
      <c r="A451" s="26"/>
      <c r="B451" s="12"/>
      <c r="C451" s="240"/>
      <c r="D451" s="241"/>
      <c r="E451" s="5"/>
      <c r="F451" s="5"/>
      <c r="G451" s="5"/>
      <c r="H451" s="5"/>
      <c r="I451" s="5"/>
      <c r="J451" s="5"/>
      <c r="K451" s="8"/>
      <c r="L451" s="9"/>
      <c r="M451" s="10"/>
      <c r="N451" s="12"/>
      <c r="O451" s="242"/>
      <c r="P451" s="243"/>
      <c r="Q451" s="243"/>
      <c r="R451" s="14"/>
      <c r="S451" s="242"/>
      <c r="T451" s="15"/>
      <c r="U451" s="15"/>
      <c r="V451" s="15"/>
      <c r="W451" s="8"/>
      <c r="X451" s="8"/>
      <c r="Y451" s="56"/>
      <c r="Z451" s="56"/>
      <c r="AA451" s="15"/>
      <c r="AB451" s="15"/>
      <c r="AC451" s="15"/>
      <c r="AD451" s="15"/>
      <c r="AE451" s="57"/>
      <c r="AF451" s="57"/>
      <c r="AG451" s="15"/>
      <c r="AH451" s="25"/>
      <c r="AI451" s="26"/>
      <c r="AJ451" s="26"/>
      <c r="AK451" s="27"/>
      <c r="AL451" s="28"/>
      <c r="AM451" s="29"/>
    </row>
    <row r="452" ht="12.75" customHeight="1">
      <c r="A452" s="26"/>
      <c r="B452" s="12"/>
      <c r="C452" s="240"/>
      <c r="D452" s="241"/>
      <c r="E452" s="5"/>
      <c r="F452" s="5"/>
      <c r="G452" s="5"/>
      <c r="H452" s="5"/>
      <c r="I452" s="5"/>
      <c r="J452" s="5"/>
      <c r="K452" s="8"/>
      <c r="L452" s="9"/>
      <c r="M452" s="10"/>
      <c r="N452" s="12"/>
      <c r="O452" s="242"/>
      <c r="P452" s="243"/>
      <c r="Q452" s="243"/>
      <c r="R452" s="14"/>
      <c r="S452" s="242"/>
      <c r="T452" s="15"/>
      <c r="U452" s="15"/>
      <c r="V452" s="15"/>
      <c r="W452" s="8"/>
      <c r="X452" s="8"/>
      <c r="Y452" s="56"/>
      <c r="Z452" s="56"/>
      <c r="AA452" s="15"/>
      <c r="AB452" s="15"/>
      <c r="AC452" s="15"/>
      <c r="AD452" s="15"/>
      <c r="AE452" s="57"/>
      <c r="AF452" s="57"/>
      <c r="AG452" s="15"/>
      <c r="AH452" s="25"/>
      <c r="AI452" s="26"/>
      <c r="AJ452" s="26"/>
      <c r="AK452" s="27"/>
      <c r="AL452" s="28"/>
      <c r="AM452" s="29"/>
    </row>
    <row r="453" ht="12.75" customHeight="1">
      <c r="A453" s="26"/>
      <c r="B453" s="12"/>
      <c r="C453" s="240"/>
      <c r="D453" s="241"/>
      <c r="E453" s="5"/>
      <c r="F453" s="5"/>
      <c r="G453" s="5"/>
      <c r="H453" s="5"/>
      <c r="I453" s="5"/>
      <c r="J453" s="5"/>
      <c r="K453" s="8"/>
      <c r="L453" s="9"/>
      <c r="M453" s="10"/>
      <c r="N453" s="12"/>
      <c r="O453" s="242"/>
      <c r="P453" s="243"/>
      <c r="Q453" s="243"/>
      <c r="R453" s="14"/>
      <c r="S453" s="242"/>
      <c r="T453" s="15"/>
      <c r="U453" s="15"/>
      <c r="V453" s="15"/>
      <c r="W453" s="8"/>
      <c r="X453" s="8"/>
      <c r="Y453" s="56"/>
      <c r="Z453" s="56"/>
      <c r="AA453" s="15"/>
      <c r="AB453" s="15"/>
      <c r="AC453" s="15"/>
      <c r="AD453" s="15"/>
      <c r="AE453" s="57"/>
      <c r="AF453" s="57"/>
      <c r="AG453" s="15"/>
      <c r="AH453" s="25"/>
      <c r="AI453" s="26"/>
      <c r="AJ453" s="26"/>
      <c r="AK453" s="27"/>
      <c r="AL453" s="28"/>
      <c r="AM453" s="29"/>
    </row>
    <row r="454" ht="12.75" customHeight="1">
      <c r="A454" s="26"/>
      <c r="B454" s="12"/>
      <c r="C454" s="240"/>
      <c r="D454" s="241"/>
      <c r="E454" s="5"/>
      <c r="F454" s="5"/>
      <c r="G454" s="5"/>
      <c r="H454" s="5"/>
      <c r="I454" s="5"/>
      <c r="J454" s="5"/>
      <c r="K454" s="8"/>
      <c r="L454" s="9"/>
      <c r="M454" s="10"/>
      <c r="N454" s="12"/>
      <c r="O454" s="242"/>
      <c r="P454" s="243"/>
      <c r="Q454" s="243"/>
      <c r="R454" s="14"/>
      <c r="S454" s="242"/>
      <c r="T454" s="15"/>
      <c r="U454" s="15"/>
      <c r="V454" s="15"/>
      <c r="W454" s="8"/>
      <c r="X454" s="8"/>
      <c r="Y454" s="56"/>
      <c r="Z454" s="56"/>
      <c r="AA454" s="15"/>
      <c r="AB454" s="15"/>
      <c r="AC454" s="15"/>
      <c r="AD454" s="15"/>
      <c r="AE454" s="57"/>
      <c r="AF454" s="57"/>
      <c r="AG454" s="15"/>
      <c r="AH454" s="25"/>
      <c r="AI454" s="26"/>
      <c r="AJ454" s="26"/>
      <c r="AK454" s="27"/>
      <c r="AL454" s="28"/>
      <c r="AM454" s="29"/>
    </row>
    <row r="455" ht="12.75" customHeight="1">
      <c r="A455" s="26"/>
      <c r="B455" s="12"/>
      <c r="C455" s="240"/>
      <c r="D455" s="241"/>
      <c r="E455" s="5"/>
      <c r="F455" s="5"/>
      <c r="G455" s="5"/>
      <c r="H455" s="5"/>
      <c r="I455" s="5"/>
      <c r="J455" s="5"/>
      <c r="K455" s="8"/>
      <c r="L455" s="9"/>
      <c r="M455" s="10"/>
      <c r="N455" s="12"/>
      <c r="O455" s="242"/>
      <c r="P455" s="243"/>
      <c r="Q455" s="243"/>
      <c r="R455" s="14"/>
      <c r="S455" s="242"/>
      <c r="T455" s="15"/>
      <c r="U455" s="15"/>
      <c r="V455" s="15"/>
      <c r="W455" s="8"/>
      <c r="X455" s="8"/>
      <c r="Y455" s="56"/>
      <c r="Z455" s="56"/>
      <c r="AA455" s="15"/>
      <c r="AB455" s="15"/>
      <c r="AC455" s="15"/>
      <c r="AD455" s="15"/>
      <c r="AE455" s="57"/>
      <c r="AF455" s="57"/>
      <c r="AG455" s="15"/>
      <c r="AH455" s="25"/>
      <c r="AI455" s="26"/>
      <c r="AJ455" s="26"/>
      <c r="AK455" s="27"/>
      <c r="AL455" s="28"/>
      <c r="AM455" s="29"/>
    </row>
    <row r="456" ht="12.75" customHeight="1">
      <c r="A456" s="26"/>
      <c r="B456" s="12"/>
      <c r="C456" s="240"/>
      <c r="D456" s="241"/>
      <c r="E456" s="5"/>
      <c r="F456" s="5"/>
      <c r="G456" s="5"/>
      <c r="H456" s="5"/>
      <c r="I456" s="5"/>
      <c r="J456" s="5"/>
      <c r="K456" s="8"/>
      <c r="L456" s="9"/>
      <c r="M456" s="10"/>
      <c r="N456" s="12"/>
      <c r="O456" s="242"/>
      <c r="P456" s="243"/>
      <c r="Q456" s="243"/>
      <c r="R456" s="14"/>
      <c r="S456" s="242"/>
      <c r="T456" s="15"/>
      <c r="U456" s="15"/>
      <c r="V456" s="15"/>
      <c r="W456" s="8"/>
      <c r="X456" s="8"/>
      <c r="Y456" s="56"/>
      <c r="Z456" s="56"/>
      <c r="AA456" s="15"/>
      <c r="AB456" s="15"/>
      <c r="AC456" s="15"/>
      <c r="AD456" s="15"/>
      <c r="AE456" s="57"/>
      <c r="AF456" s="57"/>
      <c r="AG456" s="15"/>
      <c r="AH456" s="25"/>
      <c r="AI456" s="26"/>
      <c r="AJ456" s="26"/>
      <c r="AK456" s="27"/>
      <c r="AL456" s="28"/>
      <c r="AM456" s="29"/>
    </row>
    <row r="457" ht="12.75" customHeight="1">
      <c r="A457" s="26"/>
      <c r="B457" s="12"/>
      <c r="C457" s="240"/>
      <c r="D457" s="241"/>
      <c r="E457" s="5"/>
      <c r="F457" s="5"/>
      <c r="G457" s="5"/>
      <c r="H457" s="5"/>
      <c r="I457" s="5"/>
      <c r="J457" s="5"/>
      <c r="K457" s="8"/>
      <c r="L457" s="9"/>
      <c r="M457" s="10"/>
      <c r="N457" s="12"/>
      <c r="O457" s="242"/>
      <c r="P457" s="243"/>
      <c r="Q457" s="243"/>
      <c r="R457" s="14"/>
      <c r="S457" s="242"/>
      <c r="T457" s="15"/>
      <c r="U457" s="15"/>
      <c r="V457" s="15"/>
      <c r="W457" s="8"/>
      <c r="X457" s="8"/>
      <c r="Y457" s="56"/>
      <c r="Z457" s="56"/>
      <c r="AA457" s="15"/>
      <c r="AB457" s="15"/>
      <c r="AC457" s="15"/>
      <c r="AD457" s="15"/>
      <c r="AE457" s="57"/>
      <c r="AF457" s="57"/>
      <c r="AG457" s="15"/>
      <c r="AH457" s="25"/>
      <c r="AI457" s="26"/>
      <c r="AJ457" s="26"/>
      <c r="AK457" s="27"/>
      <c r="AL457" s="28"/>
      <c r="AM457" s="29"/>
    </row>
    <row r="458" ht="12.75" customHeight="1">
      <c r="A458" s="26"/>
      <c r="B458" s="12"/>
      <c r="C458" s="240"/>
      <c r="D458" s="241"/>
      <c r="E458" s="5"/>
      <c r="F458" s="5"/>
      <c r="G458" s="5"/>
      <c r="H458" s="5"/>
      <c r="I458" s="5"/>
      <c r="J458" s="5"/>
      <c r="K458" s="8"/>
      <c r="L458" s="9"/>
      <c r="M458" s="10"/>
      <c r="N458" s="12"/>
      <c r="O458" s="242"/>
      <c r="P458" s="243"/>
      <c r="Q458" s="243"/>
      <c r="R458" s="14"/>
      <c r="S458" s="242"/>
      <c r="T458" s="15"/>
      <c r="U458" s="15"/>
      <c r="V458" s="15"/>
      <c r="W458" s="8"/>
      <c r="X458" s="8"/>
      <c r="Y458" s="56"/>
      <c r="Z458" s="56"/>
      <c r="AA458" s="15"/>
      <c r="AB458" s="15"/>
      <c r="AC458" s="15"/>
      <c r="AD458" s="15"/>
      <c r="AE458" s="57"/>
      <c r="AF458" s="57"/>
      <c r="AG458" s="15"/>
      <c r="AH458" s="25"/>
      <c r="AI458" s="26"/>
      <c r="AJ458" s="26"/>
      <c r="AK458" s="27"/>
      <c r="AL458" s="28"/>
      <c r="AM458" s="29"/>
    </row>
    <row r="459" ht="12.75" customHeight="1">
      <c r="A459" s="26"/>
      <c r="B459" s="12"/>
      <c r="C459" s="240"/>
      <c r="D459" s="241"/>
      <c r="E459" s="5"/>
      <c r="F459" s="5"/>
      <c r="G459" s="5"/>
      <c r="H459" s="5"/>
      <c r="I459" s="5"/>
      <c r="J459" s="5"/>
      <c r="K459" s="8"/>
      <c r="L459" s="9"/>
      <c r="M459" s="10"/>
      <c r="N459" s="12"/>
      <c r="O459" s="242"/>
      <c r="P459" s="243"/>
      <c r="Q459" s="243"/>
      <c r="R459" s="14"/>
      <c r="S459" s="242"/>
      <c r="T459" s="15"/>
      <c r="U459" s="15"/>
      <c r="V459" s="15"/>
      <c r="W459" s="8"/>
      <c r="X459" s="8"/>
      <c r="Y459" s="56"/>
      <c r="Z459" s="56"/>
      <c r="AA459" s="15"/>
      <c r="AB459" s="15"/>
      <c r="AC459" s="15"/>
      <c r="AD459" s="15"/>
      <c r="AE459" s="57"/>
      <c r="AF459" s="57"/>
      <c r="AG459" s="15"/>
      <c r="AH459" s="25"/>
      <c r="AI459" s="26"/>
      <c r="AJ459" s="26"/>
      <c r="AK459" s="27"/>
      <c r="AL459" s="28"/>
      <c r="AM459" s="29"/>
    </row>
    <row r="460" ht="12.75" customHeight="1">
      <c r="A460" s="26"/>
      <c r="B460" s="12"/>
      <c r="C460" s="240"/>
      <c r="D460" s="241"/>
      <c r="E460" s="5"/>
      <c r="F460" s="5"/>
      <c r="G460" s="5"/>
      <c r="H460" s="5"/>
      <c r="I460" s="5"/>
      <c r="J460" s="5"/>
      <c r="K460" s="8"/>
      <c r="L460" s="9"/>
      <c r="M460" s="10"/>
      <c r="N460" s="12"/>
      <c r="O460" s="242"/>
      <c r="P460" s="243"/>
      <c r="Q460" s="243"/>
      <c r="R460" s="14"/>
      <c r="S460" s="242"/>
      <c r="T460" s="15"/>
      <c r="U460" s="15"/>
      <c r="V460" s="15"/>
      <c r="W460" s="8"/>
      <c r="X460" s="8"/>
      <c r="Y460" s="56"/>
      <c r="Z460" s="56"/>
      <c r="AA460" s="15"/>
      <c r="AB460" s="15"/>
      <c r="AC460" s="15"/>
      <c r="AD460" s="15"/>
      <c r="AE460" s="57"/>
      <c r="AF460" s="57"/>
      <c r="AG460" s="15"/>
      <c r="AH460" s="25"/>
      <c r="AI460" s="26"/>
      <c r="AJ460" s="26"/>
      <c r="AK460" s="27"/>
      <c r="AL460" s="28"/>
      <c r="AM460" s="29"/>
    </row>
    <row r="461" ht="12.75" customHeight="1">
      <c r="A461" s="26"/>
      <c r="B461" s="12"/>
      <c r="C461" s="240"/>
      <c r="D461" s="241"/>
      <c r="E461" s="5"/>
      <c r="F461" s="5"/>
      <c r="G461" s="5"/>
      <c r="H461" s="5"/>
      <c r="I461" s="5"/>
      <c r="J461" s="5"/>
      <c r="K461" s="8"/>
      <c r="L461" s="9"/>
      <c r="M461" s="10"/>
      <c r="N461" s="12"/>
      <c r="O461" s="242"/>
      <c r="P461" s="243"/>
      <c r="Q461" s="243"/>
      <c r="R461" s="14"/>
      <c r="S461" s="242"/>
      <c r="T461" s="15"/>
      <c r="U461" s="15"/>
      <c r="V461" s="15"/>
      <c r="W461" s="8"/>
      <c r="X461" s="8"/>
      <c r="Y461" s="56"/>
      <c r="Z461" s="56"/>
      <c r="AA461" s="15"/>
      <c r="AB461" s="15"/>
      <c r="AC461" s="15"/>
      <c r="AD461" s="15"/>
      <c r="AE461" s="57"/>
      <c r="AF461" s="57"/>
      <c r="AG461" s="15"/>
      <c r="AH461" s="25"/>
      <c r="AI461" s="26"/>
      <c r="AJ461" s="26"/>
      <c r="AK461" s="27"/>
      <c r="AL461" s="28"/>
      <c r="AM461" s="29"/>
    </row>
    <row r="462" ht="12.75" customHeight="1">
      <c r="A462" s="26"/>
      <c r="B462" s="12"/>
      <c r="C462" s="240"/>
      <c r="D462" s="241"/>
      <c r="E462" s="5"/>
      <c r="F462" s="5"/>
      <c r="G462" s="5"/>
      <c r="H462" s="5"/>
      <c r="I462" s="5"/>
      <c r="J462" s="5"/>
      <c r="K462" s="8"/>
      <c r="L462" s="9"/>
      <c r="M462" s="10"/>
      <c r="N462" s="12"/>
      <c r="O462" s="242"/>
      <c r="P462" s="243"/>
      <c r="Q462" s="243"/>
      <c r="R462" s="14"/>
      <c r="S462" s="242"/>
      <c r="T462" s="15"/>
      <c r="U462" s="15"/>
      <c r="V462" s="15"/>
      <c r="W462" s="8"/>
      <c r="X462" s="8"/>
      <c r="Y462" s="56"/>
      <c r="Z462" s="56"/>
      <c r="AA462" s="15"/>
      <c r="AB462" s="15"/>
      <c r="AC462" s="15"/>
      <c r="AD462" s="15"/>
      <c r="AE462" s="57"/>
      <c r="AF462" s="57"/>
      <c r="AG462" s="15"/>
      <c r="AH462" s="25"/>
      <c r="AI462" s="26"/>
      <c r="AJ462" s="26"/>
      <c r="AK462" s="27"/>
      <c r="AL462" s="28"/>
      <c r="AM462" s="29"/>
    </row>
    <row r="463" ht="12.75" customHeight="1">
      <c r="A463" s="26"/>
      <c r="B463" s="12"/>
      <c r="C463" s="240"/>
      <c r="D463" s="241"/>
      <c r="E463" s="5"/>
      <c r="F463" s="5"/>
      <c r="G463" s="5"/>
      <c r="H463" s="5"/>
      <c r="I463" s="5"/>
      <c r="J463" s="5"/>
      <c r="K463" s="8"/>
      <c r="L463" s="9"/>
      <c r="M463" s="10"/>
      <c r="N463" s="12"/>
      <c r="O463" s="242"/>
      <c r="P463" s="243"/>
      <c r="Q463" s="243"/>
      <c r="R463" s="14"/>
      <c r="S463" s="242"/>
      <c r="T463" s="15"/>
      <c r="U463" s="15"/>
      <c r="V463" s="15"/>
      <c r="W463" s="8"/>
      <c r="X463" s="8"/>
      <c r="Y463" s="56"/>
      <c r="Z463" s="56"/>
      <c r="AA463" s="15"/>
      <c r="AB463" s="15"/>
      <c r="AC463" s="15"/>
      <c r="AD463" s="15"/>
      <c r="AE463" s="57"/>
      <c r="AF463" s="57"/>
      <c r="AG463" s="15"/>
      <c r="AH463" s="25"/>
      <c r="AI463" s="26"/>
      <c r="AJ463" s="26"/>
      <c r="AK463" s="27"/>
      <c r="AL463" s="28"/>
      <c r="AM463" s="29"/>
    </row>
    <row r="464" ht="12.75" customHeight="1">
      <c r="A464" s="26"/>
      <c r="B464" s="12"/>
      <c r="C464" s="240"/>
      <c r="D464" s="241"/>
      <c r="E464" s="5"/>
      <c r="F464" s="5"/>
      <c r="G464" s="5"/>
      <c r="H464" s="5"/>
      <c r="I464" s="5"/>
      <c r="J464" s="5"/>
      <c r="K464" s="8"/>
      <c r="L464" s="9"/>
      <c r="M464" s="10"/>
      <c r="N464" s="12"/>
      <c r="O464" s="242"/>
      <c r="P464" s="243"/>
      <c r="Q464" s="243"/>
      <c r="R464" s="14"/>
      <c r="S464" s="242"/>
      <c r="T464" s="15"/>
      <c r="U464" s="15"/>
      <c r="V464" s="15"/>
      <c r="W464" s="8"/>
      <c r="X464" s="8"/>
      <c r="Y464" s="56"/>
      <c r="Z464" s="56"/>
      <c r="AA464" s="15"/>
      <c r="AB464" s="15"/>
      <c r="AC464" s="15"/>
      <c r="AD464" s="15"/>
      <c r="AE464" s="57"/>
      <c r="AF464" s="57"/>
      <c r="AG464" s="15"/>
      <c r="AH464" s="25"/>
      <c r="AI464" s="26"/>
      <c r="AJ464" s="26"/>
      <c r="AK464" s="27"/>
      <c r="AL464" s="28"/>
      <c r="AM464" s="29"/>
    </row>
    <row r="465" ht="12.75" customHeight="1">
      <c r="A465" s="26"/>
      <c r="B465" s="12"/>
      <c r="C465" s="240"/>
      <c r="D465" s="241"/>
      <c r="E465" s="5"/>
      <c r="F465" s="5"/>
      <c r="G465" s="5"/>
      <c r="H465" s="5"/>
      <c r="I465" s="5"/>
      <c r="J465" s="5"/>
      <c r="K465" s="8"/>
      <c r="L465" s="9"/>
      <c r="M465" s="10"/>
      <c r="N465" s="12"/>
      <c r="O465" s="242"/>
      <c r="P465" s="243"/>
      <c r="Q465" s="243"/>
      <c r="R465" s="14"/>
      <c r="S465" s="242"/>
      <c r="T465" s="15"/>
      <c r="U465" s="15"/>
      <c r="V465" s="15"/>
      <c r="W465" s="8"/>
      <c r="X465" s="8"/>
      <c r="Y465" s="56"/>
      <c r="Z465" s="56"/>
      <c r="AA465" s="15"/>
      <c r="AB465" s="15"/>
      <c r="AC465" s="15"/>
      <c r="AD465" s="15"/>
      <c r="AE465" s="57"/>
      <c r="AF465" s="57"/>
      <c r="AG465" s="15"/>
      <c r="AH465" s="25"/>
      <c r="AI465" s="26"/>
      <c r="AJ465" s="26"/>
      <c r="AK465" s="27"/>
      <c r="AL465" s="28"/>
      <c r="AM465" s="29"/>
    </row>
    <row r="466" ht="12.75" customHeight="1">
      <c r="A466" s="26"/>
      <c r="B466" s="12"/>
      <c r="C466" s="240"/>
      <c r="D466" s="241"/>
      <c r="E466" s="5"/>
      <c r="F466" s="5"/>
      <c r="G466" s="5"/>
      <c r="H466" s="5"/>
      <c r="I466" s="5"/>
      <c r="J466" s="5"/>
      <c r="K466" s="8"/>
      <c r="L466" s="9"/>
      <c r="M466" s="10"/>
      <c r="N466" s="12"/>
      <c r="O466" s="242"/>
      <c r="P466" s="243"/>
      <c r="Q466" s="243"/>
      <c r="R466" s="14"/>
      <c r="S466" s="242"/>
      <c r="T466" s="15"/>
      <c r="U466" s="15"/>
      <c r="V466" s="15"/>
      <c r="W466" s="8"/>
      <c r="X466" s="8"/>
      <c r="Y466" s="56"/>
      <c r="Z466" s="56"/>
      <c r="AA466" s="15"/>
      <c r="AB466" s="15"/>
      <c r="AC466" s="15"/>
      <c r="AD466" s="15"/>
      <c r="AE466" s="57"/>
      <c r="AF466" s="57"/>
      <c r="AG466" s="15"/>
      <c r="AH466" s="25"/>
      <c r="AI466" s="26"/>
      <c r="AJ466" s="26"/>
      <c r="AK466" s="27"/>
      <c r="AL466" s="28"/>
      <c r="AM466" s="29"/>
    </row>
    <row r="467" ht="12.75" customHeight="1">
      <c r="A467" s="26"/>
      <c r="B467" s="12"/>
      <c r="C467" s="240"/>
      <c r="D467" s="241"/>
      <c r="E467" s="5"/>
      <c r="F467" s="5"/>
      <c r="G467" s="5"/>
      <c r="H467" s="5"/>
      <c r="I467" s="5"/>
      <c r="J467" s="5"/>
      <c r="K467" s="8"/>
      <c r="L467" s="9"/>
      <c r="M467" s="10"/>
      <c r="N467" s="12"/>
      <c r="O467" s="242"/>
      <c r="P467" s="243"/>
      <c r="Q467" s="243"/>
      <c r="R467" s="14"/>
      <c r="S467" s="242"/>
      <c r="T467" s="15"/>
      <c r="U467" s="15"/>
      <c r="V467" s="15"/>
      <c r="W467" s="8"/>
      <c r="X467" s="8"/>
      <c r="Y467" s="56"/>
      <c r="Z467" s="56"/>
      <c r="AA467" s="15"/>
      <c r="AB467" s="15"/>
      <c r="AC467" s="15"/>
      <c r="AD467" s="15"/>
      <c r="AE467" s="57"/>
      <c r="AF467" s="57"/>
      <c r="AG467" s="15"/>
      <c r="AH467" s="25"/>
      <c r="AI467" s="26"/>
      <c r="AJ467" s="26"/>
      <c r="AK467" s="27"/>
      <c r="AL467" s="28"/>
      <c r="AM467" s="29"/>
    </row>
    <row r="468" ht="12.75" customHeight="1">
      <c r="A468" s="26"/>
      <c r="B468" s="12"/>
      <c r="C468" s="240"/>
      <c r="D468" s="241"/>
      <c r="E468" s="5"/>
      <c r="F468" s="5"/>
      <c r="G468" s="5"/>
      <c r="H468" s="5"/>
      <c r="I468" s="5"/>
      <c r="J468" s="5"/>
      <c r="K468" s="8"/>
      <c r="L468" s="9"/>
      <c r="M468" s="10"/>
      <c r="N468" s="12"/>
      <c r="O468" s="242"/>
      <c r="P468" s="243"/>
      <c r="Q468" s="243"/>
      <c r="R468" s="14"/>
      <c r="S468" s="242"/>
      <c r="T468" s="15"/>
      <c r="U468" s="15"/>
      <c r="V468" s="15"/>
      <c r="W468" s="8"/>
      <c r="X468" s="8"/>
      <c r="Y468" s="56"/>
      <c r="Z468" s="56"/>
      <c r="AA468" s="15"/>
      <c r="AB468" s="15"/>
      <c r="AC468" s="15"/>
      <c r="AD468" s="15"/>
      <c r="AE468" s="57"/>
      <c r="AF468" s="57"/>
      <c r="AG468" s="15"/>
      <c r="AH468" s="25"/>
      <c r="AI468" s="26"/>
      <c r="AJ468" s="26"/>
      <c r="AK468" s="27"/>
      <c r="AL468" s="28"/>
      <c r="AM468" s="29"/>
    </row>
    <row r="469" ht="12.75" customHeight="1">
      <c r="A469" s="26"/>
      <c r="B469" s="12"/>
      <c r="C469" s="240"/>
      <c r="D469" s="241"/>
      <c r="E469" s="5"/>
      <c r="F469" s="5"/>
      <c r="G469" s="5"/>
      <c r="H469" s="5"/>
      <c r="I469" s="5"/>
      <c r="J469" s="5"/>
      <c r="K469" s="8"/>
      <c r="L469" s="9"/>
      <c r="M469" s="10"/>
      <c r="N469" s="12"/>
      <c r="O469" s="242"/>
      <c r="P469" s="243"/>
      <c r="Q469" s="243"/>
      <c r="R469" s="14"/>
      <c r="S469" s="242"/>
      <c r="T469" s="15"/>
      <c r="U469" s="15"/>
      <c r="V469" s="15"/>
      <c r="W469" s="8"/>
      <c r="X469" s="8"/>
      <c r="Y469" s="56"/>
      <c r="Z469" s="56"/>
      <c r="AA469" s="15"/>
      <c r="AB469" s="15"/>
      <c r="AC469" s="15"/>
      <c r="AD469" s="15"/>
      <c r="AE469" s="57"/>
      <c r="AF469" s="57"/>
      <c r="AG469" s="15"/>
      <c r="AH469" s="25"/>
      <c r="AI469" s="26"/>
      <c r="AJ469" s="26"/>
      <c r="AK469" s="27"/>
      <c r="AL469" s="28"/>
      <c r="AM469" s="29"/>
    </row>
    <row r="470" ht="12.75" customHeight="1">
      <c r="A470" s="26"/>
      <c r="B470" s="12"/>
      <c r="C470" s="240"/>
      <c r="D470" s="241"/>
      <c r="E470" s="5"/>
      <c r="F470" s="5"/>
      <c r="G470" s="5"/>
      <c r="H470" s="5"/>
      <c r="I470" s="5"/>
      <c r="J470" s="5"/>
      <c r="K470" s="8"/>
      <c r="L470" s="9"/>
      <c r="M470" s="10"/>
      <c r="N470" s="12"/>
      <c r="O470" s="242"/>
      <c r="P470" s="243"/>
      <c r="Q470" s="243"/>
      <c r="R470" s="14"/>
      <c r="S470" s="242"/>
      <c r="T470" s="15"/>
      <c r="U470" s="15"/>
      <c r="V470" s="15"/>
      <c r="W470" s="8"/>
      <c r="X470" s="8"/>
      <c r="Y470" s="56"/>
      <c r="Z470" s="56"/>
      <c r="AA470" s="15"/>
      <c r="AB470" s="15"/>
      <c r="AC470" s="15"/>
      <c r="AD470" s="15"/>
      <c r="AE470" s="57"/>
      <c r="AF470" s="57"/>
      <c r="AG470" s="15"/>
      <c r="AH470" s="25"/>
      <c r="AI470" s="26"/>
      <c r="AJ470" s="26"/>
      <c r="AK470" s="27"/>
      <c r="AL470" s="28"/>
      <c r="AM470" s="29"/>
    </row>
    <row r="471" ht="12.75" customHeight="1">
      <c r="A471" s="26"/>
      <c r="B471" s="12"/>
      <c r="C471" s="240"/>
      <c r="D471" s="241"/>
      <c r="E471" s="5"/>
      <c r="F471" s="5"/>
      <c r="G471" s="5"/>
      <c r="H471" s="5"/>
      <c r="I471" s="5"/>
      <c r="J471" s="5"/>
      <c r="K471" s="8"/>
      <c r="L471" s="9"/>
      <c r="M471" s="10"/>
      <c r="N471" s="12"/>
      <c r="O471" s="242"/>
      <c r="P471" s="243"/>
      <c r="Q471" s="243"/>
      <c r="R471" s="14"/>
      <c r="S471" s="242"/>
      <c r="T471" s="15"/>
      <c r="U471" s="15"/>
      <c r="V471" s="15"/>
      <c r="W471" s="8"/>
      <c r="X471" s="8"/>
      <c r="Y471" s="56"/>
      <c r="Z471" s="56"/>
      <c r="AA471" s="15"/>
      <c r="AB471" s="15"/>
      <c r="AC471" s="15"/>
      <c r="AD471" s="15"/>
      <c r="AE471" s="57"/>
      <c r="AF471" s="57"/>
      <c r="AG471" s="15"/>
      <c r="AH471" s="25"/>
      <c r="AI471" s="26"/>
      <c r="AJ471" s="26"/>
      <c r="AK471" s="27"/>
      <c r="AL471" s="28"/>
      <c r="AM471" s="29"/>
    </row>
    <row r="472" ht="12.75" customHeight="1">
      <c r="A472" s="26"/>
      <c r="B472" s="12"/>
      <c r="C472" s="240"/>
      <c r="D472" s="241"/>
      <c r="E472" s="5"/>
      <c r="F472" s="5"/>
      <c r="G472" s="5"/>
      <c r="H472" s="5"/>
      <c r="I472" s="5"/>
      <c r="J472" s="5"/>
      <c r="K472" s="8"/>
      <c r="L472" s="9"/>
      <c r="M472" s="10"/>
      <c r="N472" s="12"/>
      <c r="O472" s="242"/>
      <c r="P472" s="243"/>
      <c r="Q472" s="243"/>
      <c r="R472" s="14"/>
      <c r="S472" s="242"/>
      <c r="T472" s="15"/>
      <c r="U472" s="15"/>
      <c r="V472" s="15"/>
      <c r="W472" s="8"/>
      <c r="X472" s="8"/>
      <c r="Y472" s="56"/>
      <c r="Z472" s="56"/>
      <c r="AA472" s="15"/>
      <c r="AB472" s="15"/>
      <c r="AC472" s="15"/>
      <c r="AD472" s="15"/>
      <c r="AE472" s="57"/>
      <c r="AF472" s="57"/>
      <c r="AG472" s="15"/>
      <c r="AH472" s="25"/>
      <c r="AI472" s="26"/>
      <c r="AJ472" s="26"/>
      <c r="AK472" s="27"/>
      <c r="AL472" s="28"/>
      <c r="AM472" s="29"/>
    </row>
    <row r="473" ht="12.75" customHeight="1">
      <c r="A473" s="26"/>
      <c r="B473" s="12"/>
      <c r="C473" s="240"/>
      <c r="D473" s="241"/>
      <c r="E473" s="5"/>
      <c r="F473" s="5"/>
      <c r="G473" s="5"/>
      <c r="H473" s="5"/>
      <c r="I473" s="5"/>
      <c r="J473" s="5"/>
      <c r="K473" s="8"/>
      <c r="L473" s="9"/>
      <c r="M473" s="10"/>
      <c r="N473" s="12"/>
      <c r="O473" s="242"/>
      <c r="P473" s="243"/>
      <c r="Q473" s="243"/>
      <c r="R473" s="14"/>
      <c r="S473" s="242"/>
      <c r="T473" s="15"/>
      <c r="U473" s="15"/>
      <c r="V473" s="15"/>
      <c r="W473" s="8"/>
      <c r="X473" s="8"/>
      <c r="Y473" s="56"/>
      <c r="Z473" s="56"/>
      <c r="AA473" s="15"/>
      <c r="AB473" s="15"/>
      <c r="AC473" s="15"/>
      <c r="AD473" s="15"/>
      <c r="AE473" s="57"/>
      <c r="AF473" s="57"/>
      <c r="AG473" s="15"/>
      <c r="AH473" s="25"/>
      <c r="AI473" s="26"/>
      <c r="AJ473" s="26"/>
      <c r="AK473" s="27"/>
      <c r="AL473" s="28"/>
      <c r="AM473" s="29"/>
    </row>
    <row r="474" ht="12.75" customHeight="1">
      <c r="A474" s="26"/>
      <c r="B474" s="12"/>
      <c r="C474" s="240"/>
      <c r="D474" s="241"/>
      <c r="E474" s="5"/>
      <c r="F474" s="5"/>
      <c r="G474" s="5"/>
      <c r="H474" s="5"/>
      <c r="I474" s="5"/>
      <c r="J474" s="5"/>
      <c r="K474" s="8"/>
      <c r="L474" s="9"/>
      <c r="M474" s="10"/>
      <c r="N474" s="12"/>
      <c r="O474" s="242"/>
      <c r="P474" s="243"/>
      <c r="Q474" s="243"/>
      <c r="R474" s="14"/>
      <c r="S474" s="242"/>
      <c r="T474" s="15"/>
      <c r="U474" s="15"/>
      <c r="V474" s="15"/>
      <c r="W474" s="8"/>
      <c r="X474" s="8"/>
      <c r="Y474" s="56"/>
      <c r="Z474" s="56"/>
      <c r="AA474" s="15"/>
      <c r="AB474" s="15"/>
      <c r="AC474" s="15"/>
      <c r="AD474" s="15"/>
      <c r="AE474" s="57"/>
      <c r="AF474" s="57"/>
      <c r="AG474" s="15"/>
      <c r="AH474" s="25"/>
      <c r="AI474" s="26"/>
      <c r="AJ474" s="26"/>
      <c r="AK474" s="27"/>
      <c r="AL474" s="28"/>
      <c r="AM474" s="29"/>
    </row>
    <row r="475" ht="12.75" customHeight="1">
      <c r="A475" s="26"/>
      <c r="B475" s="12"/>
      <c r="C475" s="240"/>
      <c r="D475" s="241"/>
      <c r="E475" s="5"/>
      <c r="F475" s="5"/>
      <c r="G475" s="5"/>
      <c r="H475" s="5"/>
      <c r="I475" s="5"/>
      <c r="J475" s="5"/>
      <c r="K475" s="8"/>
      <c r="L475" s="9"/>
      <c r="M475" s="10"/>
      <c r="N475" s="12"/>
      <c r="O475" s="242"/>
      <c r="P475" s="243"/>
      <c r="Q475" s="243"/>
      <c r="R475" s="14"/>
      <c r="S475" s="242"/>
      <c r="T475" s="15"/>
      <c r="U475" s="15"/>
      <c r="V475" s="15"/>
      <c r="W475" s="8"/>
      <c r="X475" s="8"/>
      <c r="Y475" s="56"/>
      <c r="Z475" s="56"/>
      <c r="AA475" s="15"/>
      <c r="AB475" s="15"/>
      <c r="AC475" s="15"/>
      <c r="AD475" s="15"/>
      <c r="AE475" s="57"/>
      <c r="AF475" s="57"/>
      <c r="AG475" s="15"/>
      <c r="AH475" s="25"/>
      <c r="AI475" s="26"/>
      <c r="AJ475" s="26"/>
      <c r="AK475" s="27"/>
      <c r="AL475" s="28"/>
      <c r="AM475" s="29"/>
    </row>
    <row r="476" ht="12.75" customHeight="1">
      <c r="A476" s="26"/>
      <c r="B476" s="12"/>
      <c r="C476" s="240"/>
      <c r="D476" s="241"/>
      <c r="E476" s="5"/>
      <c r="F476" s="5"/>
      <c r="G476" s="5"/>
      <c r="H476" s="5"/>
      <c r="I476" s="5"/>
      <c r="J476" s="5"/>
      <c r="K476" s="8"/>
      <c r="L476" s="9"/>
      <c r="M476" s="10"/>
      <c r="N476" s="12"/>
      <c r="O476" s="242"/>
      <c r="P476" s="243"/>
      <c r="Q476" s="243"/>
      <c r="R476" s="14"/>
      <c r="S476" s="242"/>
      <c r="T476" s="15"/>
      <c r="U476" s="15"/>
      <c r="V476" s="15"/>
      <c r="W476" s="8"/>
      <c r="X476" s="8"/>
      <c r="Y476" s="56"/>
      <c r="Z476" s="56"/>
      <c r="AA476" s="15"/>
      <c r="AB476" s="15"/>
      <c r="AC476" s="15"/>
      <c r="AD476" s="15"/>
      <c r="AE476" s="57"/>
      <c r="AF476" s="57"/>
      <c r="AG476" s="15"/>
      <c r="AH476" s="25"/>
      <c r="AI476" s="26"/>
      <c r="AJ476" s="26"/>
      <c r="AK476" s="27"/>
      <c r="AL476" s="28"/>
      <c r="AM476" s="29"/>
    </row>
    <row r="477" ht="12.75" customHeight="1">
      <c r="A477" s="26"/>
      <c r="B477" s="12"/>
      <c r="C477" s="240"/>
      <c r="D477" s="241"/>
      <c r="E477" s="5"/>
      <c r="F477" s="5"/>
      <c r="G477" s="5"/>
      <c r="H477" s="5"/>
      <c r="I477" s="5"/>
      <c r="J477" s="5"/>
      <c r="K477" s="8"/>
      <c r="L477" s="9"/>
      <c r="M477" s="10"/>
      <c r="N477" s="12"/>
      <c r="O477" s="242"/>
      <c r="P477" s="243"/>
      <c r="Q477" s="243"/>
      <c r="R477" s="14"/>
      <c r="S477" s="242"/>
      <c r="T477" s="15"/>
      <c r="U477" s="15"/>
      <c r="V477" s="15"/>
      <c r="W477" s="8"/>
      <c r="X477" s="8"/>
      <c r="Y477" s="56"/>
      <c r="Z477" s="56"/>
      <c r="AA477" s="15"/>
      <c r="AB477" s="15"/>
      <c r="AC477" s="15"/>
      <c r="AD477" s="15"/>
      <c r="AE477" s="57"/>
      <c r="AF477" s="57"/>
      <c r="AG477" s="15"/>
      <c r="AH477" s="25"/>
      <c r="AI477" s="26"/>
      <c r="AJ477" s="26"/>
      <c r="AK477" s="27"/>
      <c r="AL477" s="28"/>
      <c r="AM477" s="29"/>
    </row>
    <row r="478" ht="12.75" customHeight="1">
      <c r="A478" s="26"/>
      <c r="B478" s="12"/>
      <c r="C478" s="240"/>
      <c r="D478" s="241"/>
      <c r="E478" s="5"/>
      <c r="F478" s="5"/>
      <c r="G478" s="5"/>
      <c r="H478" s="5"/>
      <c r="I478" s="5"/>
      <c r="J478" s="5"/>
      <c r="K478" s="8"/>
      <c r="L478" s="9"/>
      <c r="M478" s="10"/>
      <c r="N478" s="12"/>
      <c r="O478" s="242"/>
      <c r="P478" s="243"/>
      <c r="Q478" s="243"/>
      <c r="R478" s="14"/>
      <c r="S478" s="242"/>
      <c r="T478" s="15"/>
      <c r="U478" s="15"/>
      <c r="V478" s="15"/>
      <c r="W478" s="8"/>
      <c r="X478" s="8"/>
      <c r="Y478" s="56"/>
      <c r="Z478" s="56"/>
      <c r="AA478" s="15"/>
      <c r="AB478" s="15"/>
      <c r="AC478" s="15"/>
      <c r="AD478" s="15"/>
      <c r="AE478" s="57"/>
      <c r="AF478" s="57"/>
      <c r="AG478" s="15"/>
      <c r="AH478" s="25"/>
      <c r="AI478" s="26"/>
      <c r="AJ478" s="26"/>
      <c r="AK478" s="27"/>
      <c r="AL478" s="28"/>
      <c r="AM478" s="29"/>
    </row>
    <row r="479" ht="12.75" customHeight="1">
      <c r="A479" s="26"/>
      <c r="B479" s="12"/>
      <c r="C479" s="240"/>
      <c r="D479" s="241"/>
      <c r="E479" s="5"/>
      <c r="F479" s="5"/>
      <c r="G479" s="5"/>
      <c r="H479" s="5"/>
      <c r="I479" s="5"/>
      <c r="J479" s="5"/>
      <c r="K479" s="8"/>
      <c r="L479" s="9"/>
      <c r="M479" s="10"/>
      <c r="N479" s="12"/>
      <c r="O479" s="242"/>
      <c r="P479" s="243"/>
      <c r="Q479" s="243"/>
      <c r="R479" s="14"/>
      <c r="S479" s="242"/>
      <c r="T479" s="15"/>
      <c r="U479" s="15"/>
      <c r="V479" s="15"/>
      <c r="W479" s="8"/>
      <c r="X479" s="8"/>
      <c r="Y479" s="56"/>
      <c r="Z479" s="56"/>
      <c r="AA479" s="15"/>
      <c r="AB479" s="15"/>
      <c r="AC479" s="15"/>
      <c r="AD479" s="15"/>
      <c r="AE479" s="57"/>
      <c r="AF479" s="57"/>
      <c r="AG479" s="15"/>
      <c r="AH479" s="25"/>
      <c r="AI479" s="26"/>
      <c r="AJ479" s="26"/>
      <c r="AK479" s="27"/>
      <c r="AL479" s="28"/>
      <c r="AM479" s="29"/>
    </row>
    <row r="480" ht="12.75" customHeight="1">
      <c r="A480" s="26"/>
      <c r="B480" s="12"/>
      <c r="C480" s="240"/>
      <c r="D480" s="241"/>
      <c r="E480" s="5"/>
      <c r="F480" s="5"/>
      <c r="G480" s="5"/>
      <c r="H480" s="5"/>
      <c r="I480" s="5"/>
      <c r="J480" s="5"/>
      <c r="K480" s="8"/>
      <c r="L480" s="9"/>
      <c r="M480" s="10"/>
      <c r="N480" s="12"/>
      <c r="O480" s="242"/>
      <c r="P480" s="243"/>
      <c r="Q480" s="243"/>
      <c r="R480" s="14"/>
      <c r="S480" s="242"/>
      <c r="T480" s="15"/>
      <c r="U480" s="15"/>
      <c r="V480" s="15"/>
      <c r="W480" s="8"/>
      <c r="X480" s="8"/>
      <c r="Y480" s="56"/>
      <c r="Z480" s="56"/>
      <c r="AA480" s="15"/>
      <c r="AB480" s="15"/>
      <c r="AC480" s="15"/>
      <c r="AD480" s="15"/>
      <c r="AE480" s="57"/>
      <c r="AF480" s="57"/>
      <c r="AG480" s="15"/>
      <c r="AH480" s="25"/>
      <c r="AI480" s="26"/>
      <c r="AJ480" s="26"/>
      <c r="AK480" s="27"/>
      <c r="AL480" s="28"/>
      <c r="AM480" s="29"/>
    </row>
    <row r="481" ht="12.75" customHeight="1">
      <c r="A481" s="26"/>
      <c r="B481" s="12"/>
      <c r="C481" s="240"/>
      <c r="D481" s="241"/>
      <c r="E481" s="5"/>
      <c r="F481" s="5"/>
      <c r="G481" s="5"/>
      <c r="H481" s="5"/>
      <c r="I481" s="5"/>
      <c r="J481" s="5"/>
      <c r="K481" s="8"/>
      <c r="L481" s="9"/>
      <c r="M481" s="10"/>
      <c r="N481" s="12"/>
      <c r="O481" s="242"/>
      <c r="P481" s="243"/>
      <c r="Q481" s="243"/>
      <c r="R481" s="14"/>
      <c r="S481" s="242"/>
      <c r="T481" s="15"/>
      <c r="U481" s="15"/>
      <c r="V481" s="15"/>
      <c r="W481" s="8"/>
      <c r="X481" s="8"/>
      <c r="Y481" s="56"/>
      <c r="Z481" s="56"/>
      <c r="AA481" s="15"/>
      <c r="AB481" s="15"/>
      <c r="AC481" s="15"/>
      <c r="AD481" s="15"/>
      <c r="AE481" s="57"/>
      <c r="AF481" s="57"/>
      <c r="AG481" s="15"/>
      <c r="AH481" s="25"/>
      <c r="AI481" s="26"/>
      <c r="AJ481" s="26"/>
      <c r="AK481" s="27"/>
      <c r="AL481" s="28"/>
      <c r="AM481" s="29"/>
    </row>
    <row r="482" ht="12.75" customHeight="1">
      <c r="A482" s="26"/>
      <c r="B482" s="12"/>
      <c r="C482" s="240"/>
      <c r="D482" s="241"/>
      <c r="E482" s="5"/>
      <c r="F482" s="5"/>
      <c r="G482" s="5"/>
      <c r="H482" s="5"/>
      <c r="I482" s="5"/>
      <c r="J482" s="5"/>
      <c r="K482" s="8"/>
      <c r="L482" s="9"/>
      <c r="M482" s="10"/>
      <c r="N482" s="12"/>
      <c r="O482" s="242"/>
      <c r="P482" s="243"/>
      <c r="Q482" s="243"/>
      <c r="R482" s="14"/>
      <c r="S482" s="242"/>
      <c r="T482" s="15"/>
      <c r="U482" s="15"/>
      <c r="V482" s="15"/>
      <c r="W482" s="8"/>
      <c r="X482" s="8"/>
      <c r="Y482" s="56"/>
      <c r="Z482" s="56"/>
      <c r="AA482" s="15"/>
      <c r="AB482" s="15"/>
      <c r="AC482" s="15"/>
      <c r="AD482" s="15"/>
      <c r="AE482" s="57"/>
      <c r="AF482" s="57"/>
      <c r="AG482" s="15"/>
      <c r="AH482" s="25"/>
      <c r="AI482" s="26"/>
      <c r="AJ482" s="26"/>
      <c r="AK482" s="27"/>
      <c r="AL482" s="28"/>
      <c r="AM482" s="29"/>
    </row>
    <row r="483" ht="12.75" customHeight="1">
      <c r="A483" s="26"/>
      <c r="B483" s="12"/>
      <c r="C483" s="240"/>
      <c r="D483" s="241"/>
      <c r="E483" s="5"/>
      <c r="F483" s="5"/>
      <c r="G483" s="5"/>
      <c r="H483" s="5"/>
      <c r="I483" s="5"/>
      <c r="J483" s="5"/>
      <c r="K483" s="8"/>
      <c r="L483" s="9"/>
      <c r="M483" s="10"/>
      <c r="N483" s="12"/>
      <c r="O483" s="242"/>
      <c r="P483" s="243"/>
      <c r="Q483" s="243"/>
      <c r="R483" s="14"/>
      <c r="S483" s="242"/>
      <c r="T483" s="15"/>
      <c r="U483" s="15"/>
      <c r="V483" s="15"/>
      <c r="W483" s="8"/>
      <c r="X483" s="8"/>
      <c r="Y483" s="56"/>
      <c r="Z483" s="56"/>
      <c r="AA483" s="15"/>
      <c r="AB483" s="15"/>
      <c r="AC483" s="15"/>
      <c r="AD483" s="15"/>
      <c r="AE483" s="57"/>
      <c r="AF483" s="57"/>
      <c r="AG483" s="15"/>
      <c r="AH483" s="25"/>
      <c r="AI483" s="26"/>
      <c r="AJ483" s="26"/>
      <c r="AK483" s="27"/>
      <c r="AL483" s="28"/>
      <c r="AM483" s="29"/>
    </row>
    <row r="484" ht="12.75" customHeight="1">
      <c r="A484" s="26"/>
      <c r="B484" s="12"/>
      <c r="C484" s="240"/>
      <c r="D484" s="241"/>
      <c r="E484" s="5"/>
      <c r="F484" s="5"/>
      <c r="G484" s="5"/>
      <c r="H484" s="5"/>
      <c r="I484" s="5"/>
      <c r="J484" s="5"/>
      <c r="K484" s="8"/>
      <c r="L484" s="9"/>
      <c r="M484" s="10"/>
      <c r="N484" s="12"/>
      <c r="O484" s="242"/>
      <c r="P484" s="243"/>
      <c r="Q484" s="243"/>
      <c r="R484" s="14"/>
      <c r="S484" s="242"/>
      <c r="T484" s="15"/>
      <c r="U484" s="15"/>
      <c r="V484" s="15"/>
      <c r="W484" s="8"/>
      <c r="X484" s="8"/>
      <c r="Y484" s="56"/>
      <c r="Z484" s="56"/>
      <c r="AA484" s="15"/>
      <c r="AB484" s="15"/>
      <c r="AC484" s="15"/>
      <c r="AD484" s="15"/>
      <c r="AE484" s="57"/>
      <c r="AF484" s="57"/>
      <c r="AG484" s="15"/>
      <c r="AH484" s="25"/>
      <c r="AI484" s="26"/>
      <c r="AJ484" s="26"/>
      <c r="AK484" s="27"/>
      <c r="AL484" s="28"/>
      <c r="AM484" s="29"/>
    </row>
    <row r="485" ht="12.75" customHeight="1">
      <c r="A485" s="26"/>
      <c r="B485" s="12"/>
      <c r="C485" s="240"/>
      <c r="D485" s="241"/>
      <c r="E485" s="5"/>
      <c r="F485" s="5"/>
      <c r="G485" s="5"/>
      <c r="H485" s="5"/>
      <c r="I485" s="5"/>
      <c r="J485" s="5"/>
      <c r="K485" s="8"/>
      <c r="L485" s="9"/>
      <c r="M485" s="10"/>
      <c r="N485" s="12"/>
      <c r="O485" s="242"/>
      <c r="P485" s="243"/>
      <c r="Q485" s="243"/>
      <c r="R485" s="14"/>
      <c r="S485" s="242"/>
      <c r="T485" s="15"/>
      <c r="U485" s="15"/>
      <c r="V485" s="15"/>
      <c r="W485" s="8"/>
      <c r="X485" s="8"/>
      <c r="Y485" s="56"/>
      <c r="Z485" s="56"/>
      <c r="AA485" s="15"/>
      <c r="AB485" s="15"/>
      <c r="AC485" s="15"/>
      <c r="AD485" s="15"/>
      <c r="AE485" s="57"/>
      <c r="AF485" s="57"/>
      <c r="AG485" s="15"/>
      <c r="AH485" s="25"/>
      <c r="AI485" s="26"/>
      <c r="AJ485" s="26"/>
      <c r="AK485" s="27"/>
      <c r="AL485" s="28"/>
      <c r="AM485" s="29"/>
    </row>
    <row r="486" ht="12.75" customHeight="1">
      <c r="A486" s="26"/>
      <c r="B486" s="12"/>
      <c r="C486" s="240"/>
      <c r="D486" s="241"/>
      <c r="E486" s="5"/>
      <c r="F486" s="5"/>
      <c r="G486" s="5"/>
      <c r="H486" s="5"/>
      <c r="I486" s="5"/>
      <c r="J486" s="5"/>
      <c r="K486" s="8"/>
      <c r="L486" s="9"/>
      <c r="M486" s="10"/>
      <c r="N486" s="12"/>
      <c r="O486" s="242"/>
      <c r="P486" s="243"/>
      <c r="Q486" s="243"/>
      <c r="R486" s="14"/>
      <c r="S486" s="242"/>
      <c r="T486" s="15"/>
      <c r="U486" s="15"/>
      <c r="V486" s="15"/>
      <c r="W486" s="8"/>
      <c r="X486" s="8"/>
      <c r="Y486" s="56"/>
      <c r="Z486" s="56"/>
      <c r="AA486" s="15"/>
      <c r="AB486" s="15"/>
      <c r="AC486" s="15"/>
      <c r="AD486" s="15"/>
      <c r="AE486" s="57"/>
      <c r="AF486" s="57"/>
      <c r="AG486" s="15"/>
      <c r="AH486" s="25"/>
      <c r="AI486" s="26"/>
      <c r="AJ486" s="26"/>
      <c r="AK486" s="27"/>
      <c r="AL486" s="28"/>
      <c r="AM486" s="29"/>
    </row>
    <row r="487" ht="12.75" customHeight="1">
      <c r="A487" s="26"/>
      <c r="B487" s="12"/>
      <c r="C487" s="240"/>
      <c r="D487" s="241"/>
      <c r="E487" s="5"/>
      <c r="F487" s="5"/>
      <c r="G487" s="5"/>
      <c r="H487" s="5"/>
      <c r="I487" s="5"/>
      <c r="J487" s="5"/>
      <c r="K487" s="8"/>
      <c r="L487" s="9"/>
      <c r="M487" s="10"/>
      <c r="N487" s="12"/>
      <c r="O487" s="242"/>
      <c r="P487" s="243"/>
      <c r="Q487" s="243"/>
      <c r="R487" s="14"/>
      <c r="S487" s="242"/>
      <c r="T487" s="15"/>
      <c r="U487" s="15"/>
      <c r="V487" s="15"/>
      <c r="W487" s="8"/>
      <c r="X487" s="8"/>
      <c r="Y487" s="56"/>
      <c r="Z487" s="56"/>
      <c r="AA487" s="15"/>
      <c r="AB487" s="15"/>
      <c r="AC487" s="15"/>
      <c r="AD487" s="15"/>
      <c r="AE487" s="57"/>
      <c r="AF487" s="57"/>
      <c r="AG487" s="15"/>
      <c r="AH487" s="25"/>
      <c r="AI487" s="26"/>
      <c r="AJ487" s="26"/>
      <c r="AK487" s="27"/>
      <c r="AL487" s="28"/>
      <c r="AM487" s="29"/>
    </row>
    <row r="488" ht="12.75" customHeight="1">
      <c r="A488" s="26"/>
      <c r="B488" s="12"/>
      <c r="C488" s="240"/>
      <c r="D488" s="241"/>
      <c r="E488" s="5"/>
      <c r="F488" s="5"/>
      <c r="G488" s="5"/>
      <c r="H488" s="5"/>
      <c r="I488" s="5"/>
      <c r="J488" s="5"/>
      <c r="K488" s="8"/>
      <c r="L488" s="9"/>
      <c r="M488" s="10"/>
      <c r="N488" s="12"/>
      <c r="O488" s="242"/>
      <c r="P488" s="243"/>
      <c r="Q488" s="243"/>
      <c r="R488" s="14"/>
      <c r="S488" s="242"/>
      <c r="T488" s="15"/>
      <c r="U488" s="15"/>
      <c r="V488" s="15"/>
      <c r="W488" s="8"/>
      <c r="X488" s="8"/>
      <c r="Y488" s="56"/>
      <c r="Z488" s="56"/>
      <c r="AA488" s="15"/>
      <c r="AB488" s="15"/>
      <c r="AC488" s="15"/>
      <c r="AD488" s="15"/>
      <c r="AE488" s="57"/>
      <c r="AF488" s="57"/>
      <c r="AG488" s="15"/>
      <c r="AH488" s="25"/>
      <c r="AI488" s="26"/>
      <c r="AJ488" s="26"/>
      <c r="AK488" s="27"/>
      <c r="AL488" s="28"/>
      <c r="AM488" s="29"/>
    </row>
    <row r="489" ht="12.75" customHeight="1">
      <c r="A489" s="26"/>
      <c r="B489" s="12"/>
      <c r="C489" s="240"/>
      <c r="D489" s="241"/>
      <c r="E489" s="5"/>
      <c r="F489" s="5"/>
      <c r="G489" s="5"/>
      <c r="H489" s="5"/>
      <c r="I489" s="5"/>
      <c r="J489" s="5"/>
      <c r="K489" s="8"/>
      <c r="L489" s="9"/>
      <c r="M489" s="10"/>
      <c r="N489" s="12"/>
      <c r="O489" s="242"/>
      <c r="P489" s="243"/>
      <c r="Q489" s="243"/>
      <c r="R489" s="14"/>
      <c r="S489" s="242"/>
      <c r="T489" s="15"/>
      <c r="U489" s="15"/>
      <c r="V489" s="15"/>
      <c r="W489" s="8"/>
      <c r="X489" s="8"/>
      <c r="Y489" s="56"/>
      <c r="Z489" s="56"/>
      <c r="AA489" s="15"/>
      <c r="AB489" s="15"/>
      <c r="AC489" s="15"/>
      <c r="AD489" s="15"/>
      <c r="AE489" s="57"/>
      <c r="AF489" s="57"/>
      <c r="AG489" s="15"/>
      <c r="AH489" s="25"/>
      <c r="AI489" s="26"/>
      <c r="AJ489" s="26"/>
      <c r="AK489" s="27"/>
      <c r="AL489" s="28"/>
      <c r="AM489" s="29"/>
    </row>
    <row r="490" ht="12.75" customHeight="1">
      <c r="A490" s="26"/>
      <c r="B490" s="12"/>
      <c r="C490" s="240"/>
      <c r="D490" s="241"/>
      <c r="E490" s="5"/>
      <c r="F490" s="5"/>
      <c r="G490" s="5"/>
      <c r="H490" s="5"/>
      <c r="I490" s="5"/>
      <c r="J490" s="5"/>
      <c r="K490" s="8"/>
      <c r="L490" s="9"/>
      <c r="M490" s="10"/>
      <c r="N490" s="12"/>
      <c r="O490" s="242"/>
      <c r="P490" s="243"/>
      <c r="Q490" s="243"/>
      <c r="R490" s="14"/>
      <c r="S490" s="242"/>
      <c r="T490" s="15"/>
      <c r="U490" s="15"/>
      <c r="V490" s="15"/>
      <c r="W490" s="8"/>
      <c r="X490" s="8"/>
      <c r="Y490" s="56"/>
      <c r="Z490" s="56"/>
      <c r="AA490" s="15"/>
      <c r="AB490" s="15"/>
      <c r="AC490" s="15"/>
      <c r="AD490" s="15"/>
      <c r="AE490" s="57"/>
      <c r="AF490" s="57"/>
      <c r="AG490" s="15"/>
      <c r="AH490" s="25"/>
      <c r="AI490" s="26"/>
      <c r="AJ490" s="26"/>
      <c r="AK490" s="27"/>
      <c r="AL490" s="28"/>
      <c r="AM490" s="29"/>
    </row>
    <row r="491" ht="12.75" customHeight="1">
      <c r="A491" s="26"/>
      <c r="B491" s="12"/>
      <c r="C491" s="240"/>
      <c r="D491" s="241"/>
      <c r="E491" s="5"/>
      <c r="F491" s="5"/>
      <c r="G491" s="5"/>
      <c r="H491" s="5"/>
      <c r="I491" s="5"/>
      <c r="J491" s="5"/>
      <c r="K491" s="8"/>
      <c r="L491" s="9"/>
      <c r="M491" s="10"/>
      <c r="N491" s="12"/>
      <c r="O491" s="242"/>
      <c r="P491" s="243"/>
      <c r="Q491" s="243"/>
      <c r="R491" s="14"/>
      <c r="S491" s="242"/>
      <c r="T491" s="15"/>
      <c r="U491" s="15"/>
      <c r="V491" s="15"/>
      <c r="W491" s="8"/>
      <c r="X491" s="8"/>
      <c r="Y491" s="56"/>
      <c r="Z491" s="56"/>
      <c r="AA491" s="15"/>
      <c r="AB491" s="15"/>
      <c r="AC491" s="15"/>
      <c r="AD491" s="15"/>
      <c r="AE491" s="57"/>
      <c r="AF491" s="57"/>
      <c r="AG491" s="15"/>
      <c r="AH491" s="25"/>
      <c r="AI491" s="26"/>
      <c r="AJ491" s="26"/>
      <c r="AK491" s="27"/>
      <c r="AL491" s="28"/>
      <c r="AM491" s="29"/>
    </row>
    <row r="492" ht="12.75" customHeight="1">
      <c r="A492" s="26"/>
      <c r="B492" s="12"/>
      <c r="C492" s="240"/>
      <c r="D492" s="241"/>
      <c r="E492" s="5"/>
      <c r="F492" s="5"/>
      <c r="G492" s="5"/>
      <c r="H492" s="5"/>
      <c r="I492" s="5"/>
      <c r="J492" s="5"/>
      <c r="K492" s="8"/>
      <c r="L492" s="9"/>
      <c r="M492" s="10"/>
      <c r="N492" s="12"/>
      <c r="O492" s="242"/>
      <c r="P492" s="243"/>
      <c r="Q492" s="243"/>
      <c r="R492" s="14"/>
      <c r="S492" s="242"/>
      <c r="T492" s="15"/>
      <c r="U492" s="15"/>
      <c r="V492" s="15"/>
      <c r="W492" s="8"/>
      <c r="X492" s="8"/>
      <c r="Y492" s="56"/>
      <c r="Z492" s="56"/>
      <c r="AA492" s="15"/>
      <c r="AB492" s="15"/>
      <c r="AC492" s="15"/>
      <c r="AD492" s="15"/>
      <c r="AE492" s="57"/>
      <c r="AF492" s="57"/>
      <c r="AG492" s="15"/>
      <c r="AH492" s="25"/>
      <c r="AI492" s="26"/>
      <c r="AJ492" s="26"/>
      <c r="AK492" s="27"/>
      <c r="AL492" s="28"/>
      <c r="AM492" s="29"/>
    </row>
    <row r="493" ht="12.75" customHeight="1">
      <c r="A493" s="26"/>
      <c r="B493" s="12"/>
      <c r="C493" s="240"/>
      <c r="D493" s="241"/>
      <c r="E493" s="5"/>
      <c r="F493" s="5"/>
      <c r="G493" s="5"/>
      <c r="H493" s="5"/>
      <c r="I493" s="5"/>
      <c r="J493" s="5"/>
      <c r="K493" s="8"/>
      <c r="L493" s="9"/>
      <c r="M493" s="10"/>
      <c r="N493" s="12"/>
      <c r="O493" s="242"/>
      <c r="P493" s="243"/>
      <c r="Q493" s="243"/>
      <c r="R493" s="14"/>
      <c r="S493" s="242"/>
      <c r="T493" s="15"/>
      <c r="U493" s="15"/>
      <c r="V493" s="15"/>
      <c r="W493" s="8"/>
      <c r="X493" s="8"/>
      <c r="Y493" s="56"/>
      <c r="Z493" s="56"/>
      <c r="AA493" s="15"/>
      <c r="AB493" s="15"/>
      <c r="AC493" s="15"/>
      <c r="AD493" s="15"/>
      <c r="AE493" s="57"/>
      <c r="AF493" s="57"/>
      <c r="AG493" s="15"/>
      <c r="AH493" s="25"/>
      <c r="AI493" s="26"/>
      <c r="AJ493" s="26"/>
      <c r="AK493" s="27"/>
      <c r="AL493" s="28"/>
      <c r="AM493" s="29"/>
    </row>
    <row r="494" ht="12.75" customHeight="1">
      <c r="A494" s="26"/>
      <c r="B494" s="12"/>
      <c r="C494" s="240"/>
      <c r="D494" s="241"/>
      <c r="E494" s="5"/>
      <c r="F494" s="5"/>
      <c r="G494" s="5"/>
      <c r="H494" s="5"/>
      <c r="I494" s="5"/>
      <c r="J494" s="5"/>
      <c r="K494" s="8"/>
      <c r="L494" s="9"/>
      <c r="M494" s="10"/>
      <c r="N494" s="12"/>
      <c r="O494" s="242"/>
      <c r="P494" s="243"/>
      <c r="Q494" s="243"/>
      <c r="R494" s="14"/>
      <c r="S494" s="242"/>
      <c r="T494" s="15"/>
      <c r="U494" s="15"/>
      <c r="V494" s="15"/>
      <c r="W494" s="8"/>
      <c r="X494" s="8"/>
      <c r="Y494" s="56"/>
      <c r="Z494" s="56"/>
      <c r="AA494" s="15"/>
      <c r="AB494" s="15"/>
      <c r="AC494" s="15"/>
      <c r="AD494" s="15"/>
      <c r="AE494" s="57"/>
      <c r="AF494" s="57"/>
      <c r="AG494" s="15"/>
      <c r="AH494" s="25"/>
      <c r="AI494" s="26"/>
      <c r="AJ494" s="26"/>
      <c r="AK494" s="27"/>
      <c r="AL494" s="28"/>
      <c r="AM494" s="29"/>
    </row>
    <row r="495" ht="12.75" customHeight="1">
      <c r="A495" s="26"/>
      <c r="B495" s="12"/>
      <c r="C495" s="240"/>
      <c r="D495" s="241"/>
      <c r="E495" s="5"/>
      <c r="F495" s="5"/>
      <c r="G495" s="5"/>
      <c r="H495" s="5"/>
      <c r="I495" s="5"/>
      <c r="J495" s="5"/>
      <c r="K495" s="8"/>
      <c r="L495" s="9"/>
      <c r="M495" s="10"/>
      <c r="N495" s="12"/>
      <c r="O495" s="242"/>
      <c r="P495" s="243"/>
      <c r="Q495" s="243"/>
      <c r="R495" s="14"/>
      <c r="S495" s="242"/>
      <c r="T495" s="15"/>
      <c r="U495" s="15"/>
      <c r="V495" s="15"/>
      <c r="W495" s="8"/>
      <c r="X495" s="8"/>
      <c r="Y495" s="56"/>
      <c r="Z495" s="56"/>
      <c r="AA495" s="15"/>
      <c r="AB495" s="15"/>
      <c r="AC495" s="15"/>
      <c r="AD495" s="15"/>
      <c r="AE495" s="57"/>
      <c r="AF495" s="57"/>
      <c r="AG495" s="15"/>
      <c r="AH495" s="25"/>
      <c r="AI495" s="26"/>
      <c r="AJ495" s="26"/>
      <c r="AK495" s="27"/>
      <c r="AL495" s="28"/>
      <c r="AM495" s="29"/>
    </row>
    <row r="496" ht="12.75" customHeight="1">
      <c r="A496" s="26"/>
      <c r="B496" s="12"/>
      <c r="C496" s="240"/>
      <c r="D496" s="241"/>
      <c r="E496" s="5"/>
      <c r="F496" s="5"/>
      <c r="G496" s="5"/>
      <c r="H496" s="5"/>
      <c r="I496" s="5"/>
      <c r="J496" s="5"/>
      <c r="K496" s="8"/>
      <c r="L496" s="9"/>
      <c r="M496" s="10"/>
      <c r="N496" s="12"/>
      <c r="O496" s="242"/>
      <c r="P496" s="243"/>
      <c r="Q496" s="243"/>
      <c r="R496" s="14"/>
      <c r="S496" s="242"/>
      <c r="T496" s="15"/>
      <c r="U496" s="15"/>
      <c r="V496" s="15"/>
      <c r="W496" s="8"/>
      <c r="X496" s="8"/>
      <c r="Y496" s="56"/>
      <c r="Z496" s="56"/>
      <c r="AA496" s="15"/>
      <c r="AB496" s="15"/>
      <c r="AC496" s="15"/>
      <c r="AD496" s="15"/>
      <c r="AE496" s="57"/>
      <c r="AF496" s="57"/>
      <c r="AG496" s="15"/>
      <c r="AH496" s="25"/>
      <c r="AI496" s="26"/>
      <c r="AJ496" s="26"/>
      <c r="AK496" s="27"/>
      <c r="AL496" s="28"/>
      <c r="AM496" s="29"/>
    </row>
    <row r="497" ht="12.75" customHeight="1">
      <c r="A497" s="26"/>
      <c r="B497" s="12"/>
      <c r="C497" s="240"/>
      <c r="D497" s="241"/>
      <c r="E497" s="5"/>
      <c r="F497" s="5"/>
      <c r="G497" s="5"/>
      <c r="H497" s="5"/>
      <c r="I497" s="5"/>
      <c r="J497" s="5"/>
      <c r="K497" s="8"/>
      <c r="L497" s="9"/>
      <c r="M497" s="10"/>
      <c r="N497" s="12"/>
      <c r="O497" s="242"/>
      <c r="P497" s="243"/>
      <c r="Q497" s="243"/>
      <c r="R497" s="14"/>
      <c r="S497" s="242"/>
      <c r="T497" s="15"/>
      <c r="U497" s="15"/>
      <c r="V497" s="15"/>
      <c r="W497" s="8"/>
      <c r="X497" s="8"/>
      <c r="Y497" s="56"/>
      <c r="Z497" s="56"/>
      <c r="AA497" s="15"/>
      <c r="AB497" s="15"/>
      <c r="AC497" s="15"/>
      <c r="AD497" s="15"/>
      <c r="AE497" s="57"/>
      <c r="AF497" s="57"/>
      <c r="AG497" s="15"/>
      <c r="AH497" s="25"/>
      <c r="AI497" s="26"/>
      <c r="AJ497" s="26"/>
      <c r="AK497" s="27"/>
      <c r="AL497" s="28"/>
      <c r="AM497" s="29"/>
    </row>
    <row r="498" ht="12.75" customHeight="1">
      <c r="A498" s="26"/>
      <c r="B498" s="12"/>
      <c r="C498" s="240"/>
      <c r="D498" s="241"/>
      <c r="E498" s="5"/>
      <c r="F498" s="5"/>
      <c r="G498" s="5"/>
      <c r="H498" s="5"/>
      <c r="I498" s="5"/>
      <c r="J498" s="5"/>
      <c r="K498" s="8"/>
      <c r="L498" s="9"/>
      <c r="M498" s="10"/>
      <c r="N498" s="12"/>
      <c r="O498" s="242"/>
      <c r="P498" s="243"/>
      <c r="Q498" s="243"/>
      <c r="R498" s="14"/>
      <c r="S498" s="242"/>
      <c r="T498" s="15"/>
      <c r="U498" s="15"/>
      <c r="V498" s="15"/>
      <c r="W498" s="8"/>
      <c r="X498" s="8"/>
      <c r="Y498" s="56"/>
      <c r="Z498" s="56"/>
      <c r="AA498" s="15"/>
      <c r="AB498" s="15"/>
      <c r="AC498" s="15"/>
      <c r="AD498" s="15"/>
      <c r="AE498" s="57"/>
      <c r="AF498" s="57"/>
      <c r="AG498" s="15"/>
      <c r="AH498" s="25"/>
      <c r="AI498" s="26"/>
      <c r="AJ498" s="26"/>
      <c r="AK498" s="27"/>
      <c r="AL498" s="28"/>
      <c r="AM498" s="29"/>
    </row>
    <row r="499" ht="12.75" customHeight="1">
      <c r="A499" s="26"/>
      <c r="B499" s="12"/>
      <c r="C499" s="240"/>
      <c r="D499" s="241"/>
      <c r="E499" s="5"/>
      <c r="F499" s="5"/>
      <c r="G499" s="5"/>
      <c r="H499" s="5"/>
      <c r="I499" s="5"/>
      <c r="J499" s="5"/>
      <c r="K499" s="8"/>
      <c r="L499" s="9"/>
      <c r="M499" s="10"/>
      <c r="N499" s="12"/>
      <c r="O499" s="242"/>
      <c r="P499" s="243"/>
      <c r="Q499" s="243"/>
      <c r="R499" s="14"/>
      <c r="S499" s="242"/>
      <c r="T499" s="15"/>
      <c r="U499" s="15"/>
      <c r="V499" s="15"/>
      <c r="W499" s="8"/>
      <c r="X499" s="8"/>
      <c r="Y499" s="56"/>
      <c r="Z499" s="56"/>
      <c r="AA499" s="15"/>
      <c r="AB499" s="15"/>
      <c r="AC499" s="15"/>
      <c r="AD499" s="15"/>
      <c r="AE499" s="57"/>
      <c r="AF499" s="57"/>
      <c r="AG499" s="15"/>
      <c r="AH499" s="25"/>
      <c r="AI499" s="26"/>
      <c r="AJ499" s="26"/>
      <c r="AK499" s="27"/>
      <c r="AL499" s="28"/>
      <c r="AM499" s="29"/>
    </row>
    <row r="500" ht="12.75" customHeight="1">
      <c r="A500" s="26"/>
      <c r="B500" s="12"/>
      <c r="C500" s="240"/>
      <c r="D500" s="241"/>
      <c r="E500" s="5"/>
      <c r="F500" s="5"/>
      <c r="G500" s="5"/>
      <c r="H500" s="5"/>
      <c r="I500" s="5"/>
      <c r="J500" s="5"/>
      <c r="K500" s="8"/>
      <c r="L500" s="9"/>
      <c r="M500" s="10"/>
      <c r="N500" s="12"/>
      <c r="O500" s="242"/>
      <c r="P500" s="243"/>
      <c r="Q500" s="243"/>
      <c r="R500" s="14"/>
      <c r="S500" s="242"/>
      <c r="T500" s="15"/>
      <c r="U500" s="15"/>
      <c r="V500" s="15"/>
      <c r="W500" s="8"/>
      <c r="X500" s="8"/>
      <c r="Y500" s="56"/>
      <c r="Z500" s="56"/>
      <c r="AA500" s="15"/>
      <c r="AB500" s="15"/>
      <c r="AC500" s="15"/>
      <c r="AD500" s="15"/>
      <c r="AE500" s="57"/>
      <c r="AF500" s="57"/>
      <c r="AG500" s="15"/>
      <c r="AH500" s="25"/>
      <c r="AI500" s="26"/>
      <c r="AJ500" s="26"/>
      <c r="AK500" s="27"/>
      <c r="AL500" s="28"/>
      <c r="AM500" s="29"/>
    </row>
    <row r="501" ht="12.75" customHeight="1">
      <c r="A501" s="26"/>
      <c r="B501" s="12"/>
      <c r="C501" s="240"/>
      <c r="D501" s="241"/>
      <c r="E501" s="5"/>
      <c r="F501" s="5"/>
      <c r="G501" s="5"/>
      <c r="H501" s="5"/>
      <c r="I501" s="5"/>
      <c r="J501" s="5"/>
      <c r="K501" s="8"/>
      <c r="L501" s="9"/>
      <c r="M501" s="10"/>
      <c r="N501" s="12"/>
      <c r="O501" s="242"/>
      <c r="P501" s="243"/>
      <c r="Q501" s="243"/>
      <c r="R501" s="14"/>
      <c r="S501" s="242"/>
      <c r="T501" s="15"/>
      <c r="U501" s="15"/>
      <c r="V501" s="15"/>
      <c r="W501" s="8"/>
      <c r="X501" s="8"/>
      <c r="Y501" s="56"/>
      <c r="Z501" s="56"/>
      <c r="AA501" s="15"/>
      <c r="AB501" s="15"/>
      <c r="AC501" s="15"/>
      <c r="AD501" s="15"/>
      <c r="AE501" s="57"/>
      <c r="AF501" s="57"/>
      <c r="AG501" s="15"/>
      <c r="AH501" s="25"/>
      <c r="AI501" s="26"/>
      <c r="AJ501" s="26"/>
      <c r="AK501" s="27"/>
      <c r="AL501" s="28"/>
      <c r="AM501" s="29"/>
    </row>
    <row r="502" ht="12.75" customHeight="1">
      <c r="A502" s="26"/>
      <c r="B502" s="12"/>
      <c r="C502" s="240"/>
      <c r="D502" s="241"/>
      <c r="E502" s="5"/>
      <c r="F502" s="5"/>
      <c r="G502" s="5"/>
      <c r="H502" s="5"/>
      <c r="I502" s="5"/>
      <c r="J502" s="5"/>
      <c r="K502" s="8"/>
      <c r="L502" s="9"/>
      <c r="M502" s="10"/>
      <c r="N502" s="12"/>
      <c r="O502" s="242"/>
      <c r="P502" s="243"/>
      <c r="Q502" s="243"/>
      <c r="R502" s="14"/>
      <c r="S502" s="242"/>
      <c r="T502" s="15"/>
      <c r="U502" s="15"/>
      <c r="V502" s="15"/>
      <c r="W502" s="8"/>
      <c r="X502" s="8"/>
      <c r="Y502" s="56"/>
      <c r="Z502" s="56"/>
      <c r="AA502" s="15"/>
      <c r="AB502" s="15"/>
      <c r="AC502" s="15"/>
      <c r="AD502" s="15"/>
      <c r="AE502" s="57"/>
      <c r="AF502" s="57"/>
      <c r="AG502" s="15"/>
      <c r="AH502" s="25"/>
      <c r="AI502" s="26"/>
      <c r="AJ502" s="26"/>
      <c r="AK502" s="27"/>
      <c r="AL502" s="28"/>
      <c r="AM502" s="29"/>
    </row>
    <row r="503" ht="12.75" customHeight="1">
      <c r="A503" s="26"/>
      <c r="B503" s="12"/>
      <c r="C503" s="240"/>
      <c r="D503" s="241"/>
      <c r="E503" s="5"/>
      <c r="F503" s="5"/>
      <c r="G503" s="5"/>
      <c r="H503" s="5"/>
      <c r="I503" s="5"/>
      <c r="J503" s="5"/>
      <c r="K503" s="8"/>
      <c r="L503" s="9"/>
      <c r="M503" s="10"/>
      <c r="N503" s="12"/>
      <c r="O503" s="242"/>
      <c r="P503" s="243"/>
      <c r="Q503" s="243"/>
      <c r="R503" s="14"/>
      <c r="S503" s="242"/>
      <c r="T503" s="15"/>
      <c r="U503" s="15"/>
      <c r="V503" s="15"/>
      <c r="W503" s="8"/>
      <c r="X503" s="8"/>
      <c r="Y503" s="56"/>
      <c r="Z503" s="56"/>
      <c r="AA503" s="15"/>
      <c r="AB503" s="15"/>
      <c r="AC503" s="15"/>
      <c r="AD503" s="15"/>
      <c r="AE503" s="57"/>
      <c r="AF503" s="57"/>
      <c r="AG503" s="15"/>
      <c r="AH503" s="25"/>
      <c r="AI503" s="26"/>
      <c r="AJ503" s="26"/>
      <c r="AK503" s="27"/>
      <c r="AL503" s="28"/>
      <c r="AM503" s="29"/>
    </row>
    <row r="504" ht="12.75" customHeight="1">
      <c r="A504" s="26"/>
      <c r="B504" s="12"/>
      <c r="C504" s="240"/>
      <c r="D504" s="241"/>
      <c r="E504" s="5"/>
      <c r="F504" s="5"/>
      <c r="G504" s="5"/>
      <c r="H504" s="5"/>
      <c r="I504" s="5"/>
      <c r="J504" s="5"/>
      <c r="K504" s="8"/>
      <c r="L504" s="9"/>
      <c r="M504" s="10"/>
      <c r="N504" s="12"/>
      <c r="O504" s="242"/>
      <c r="P504" s="243"/>
      <c r="Q504" s="243"/>
      <c r="R504" s="14"/>
      <c r="S504" s="242"/>
      <c r="T504" s="15"/>
      <c r="U504" s="15"/>
      <c r="V504" s="15"/>
      <c r="W504" s="8"/>
      <c r="X504" s="8"/>
      <c r="Y504" s="56"/>
      <c r="Z504" s="56"/>
      <c r="AA504" s="15"/>
      <c r="AB504" s="15"/>
      <c r="AC504" s="15"/>
      <c r="AD504" s="15"/>
      <c r="AE504" s="57"/>
      <c r="AF504" s="57"/>
      <c r="AG504" s="15"/>
      <c r="AH504" s="25"/>
      <c r="AI504" s="26"/>
      <c r="AJ504" s="26"/>
      <c r="AK504" s="27"/>
      <c r="AL504" s="28"/>
      <c r="AM504" s="29"/>
    </row>
    <row r="505" ht="12.75" customHeight="1">
      <c r="A505" s="26"/>
      <c r="B505" s="12"/>
      <c r="C505" s="240"/>
      <c r="D505" s="241"/>
      <c r="E505" s="5"/>
      <c r="F505" s="5"/>
      <c r="G505" s="5"/>
      <c r="H505" s="5"/>
      <c r="I505" s="5"/>
      <c r="J505" s="5"/>
      <c r="K505" s="8"/>
      <c r="L505" s="9"/>
      <c r="M505" s="10"/>
      <c r="N505" s="12"/>
      <c r="O505" s="242"/>
      <c r="P505" s="243"/>
      <c r="Q505" s="243"/>
      <c r="R505" s="14"/>
      <c r="S505" s="242"/>
      <c r="T505" s="15"/>
      <c r="U505" s="15"/>
      <c r="V505" s="15"/>
      <c r="W505" s="8"/>
      <c r="X505" s="8"/>
      <c r="Y505" s="56"/>
      <c r="Z505" s="56"/>
      <c r="AA505" s="15"/>
      <c r="AB505" s="15"/>
      <c r="AC505" s="15"/>
      <c r="AD505" s="15"/>
      <c r="AE505" s="57"/>
      <c r="AF505" s="57"/>
      <c r="AG505" s="15"/>
      <c r="AH505" s="25"/>
      <c r="AI505" s="26"/>
      <c r="AJ505" s="26"/>
      <c r="AK505" s="27"/>
      <c r="AL505" s="28"/>
      <c r="AM505" s="29"/>
    </row>
    <row r="506" ht="12.75" customHeight="1">
      <c r="A506" s="26"/>
      <c r="B506" s="12"/>
      <c r="C506" s="240"/>
      <c r="D506" s="241"/>
      <c r="E506" s="5"/>
      <c r="F506" s="5"/>
      <c r="G506" s="5"/>
      <c r="H506" s="5"/>
      <c r="I506" s="5"/>
      <c r="J506" s="5"/>
      <c r="K506" s="8"/>
      <c r="L506" s="9"/>
      <c r="M506" s="10"/>
      <c r="N506" s="12"/>
      <c r="O506" s="242"/>
      <c r="P506" s="243"/>
      <c r="Q506" s="243"/>
      <c r="R506" s="14"/>
      <c r="S506" s="242"/>
      <c r="T506" s="15"/>
      <c r="U506" s="15"/>
      <c r="V506" s="15"/>
      <c r="W506" s="8"/>
      <c r="X506" s="8"/>
      <c r="Y506" s="56"/>
      <c r="Z506" s="56"/>
      <c r="AA506" s="15"/>
      <c r="AB506" s="15"/>
      <c r="AC506" s="15"/>
      <c r="AD506" s="15"/>
      <c r="AE506" s="57"/>
      <c r="AF506" s="57"/>
      <c r="AG506" s="15"/>
      <c r="AH506" s="25"/>
      <c r="AI506" s="26"/>
      <c r="AJ506" s="26"/>
      <c r="AK506" s="27"/>
      <c r="AL506" s="28"/>
      <c r="AM506" s="29"/>
    </row>
    <row r="507" ht="12.75" customHeight="1">
      <c r="A507" s="26"/>
      <c r="B507" s="12"/>
      <c r="C507" s="240"/>
      <c r="D507" s="241"/>
      <c r="E507" s="5"/>
      <c r="F507" s="5"/>
      <c r="G507" s="5"/>
      <c r="H507" s="5"/>
      <c r="I507" s="5"/>
      <c r="J507" s="5"/>
      <c r="K507" s="8"/>
      <c r="L507" s="9"/>
      <c r="M507" s="10"/>
      <c r="N507" s="12"/>
      <c r="O507" s="242"/>
      <c r="P507" s="243"/>
      <c r="Q507" s="243"/>
      <c r="R507" s="14"/>
      <c r="S507" s="242"/>
      <c r="T507" s="15"/>
      <c r="U507" s="15"/>
      <c r="V507" s="15"/>
      <c r="W507" s="8"/>
      <c r="X507" s="8"/>
      <c r="Y507" s="56"/>
      <c r="Z507" s="56"/>
      <c r="AA507" s="15"/>
      <c r="AB507" s="15"/>
      <c r="AC507" s="15"/>
      <c r="AD507" s="15"/>
      <c r="AE507" s="57"/>
      <c r="AF507" s="57"/>
      <c r="AG507" s="15"/>
      <c r="AH507" s="25"/>
      <c r="AI507" s="26"/>
      <c r="AJ507" s="26"/>
      <c r="AK507" s="27"/>
      <c r="AL507" s="28"/>
      <c r="AM507" s="29"/>
    </row>
    <row r="508" ht="12.75" customHeight="1">
      <c r="A508" s="26"/>
      <c r="B508" s="12"/>
      <c r="C508" s="240"/>
      <c r="D508" s="241"/>
      <c r="E508" s="5"/>
      <c r="F508" s="5"/>
      <c r="G508" s="5"/>
      <c r="H508" s="5"/>
      <c r="I508" s="5"/>
      <c r="J508" s="5"/>
      <c r="K508" s="8"/>
      <c r="L508" s="9"/>
      <c r="M508" s="10"/>
      <c r="N508" s="12"/>
      <c r="O508" s="242"/>
      <c r="P508" s="243"/>
      <c r="Q508" s="243"/>
      <c r="R508" s="14"/>
      <c r="S508" s="242"/>
      <c r="T508" s="15"/>
      <c r="U508" s="15"/>
      <c r="V508" s="15"/>
      <c r="W508" s="8"/>
      <c r="X508" s="8"/>
      <c r="Y508" s="56"/>
      <c r="Z508" s="56"/>
      <c r="AA508" s="15"/>
      <c r="AB508" s="15"/>
      <c r="AC508" s="15"/>
      <c r="AD508" s="15"/>
      <c r="AE508" s="57"/>
      <c r="AF508" s="57"/>
      <c r="AG508" s="15"/>
      <c r="AH508" s="25"/>
      <c r="AI508" s="26"/>
      <c r="AJ508" s="26"/>
      <c r="AK508" s="27"/>
      <c r="AL508" s="28"/>
      <c r="AM508" s="29"/>
    </row>
    <row r="509" ht="12.75" customHeight="1">
      <c r="A509" s="26"/>
      <c r="B509" s="12"/>
      <c r="C509" s="240"/>
      <c r="D509" s="241"/>
      <c r="E509" s="5"/>
      <c r="F509" s="5"/>
      <c r="G509" s="5"/>
      <c r="H509" s="5"/>
      <c r="I509" s="5"/>
      <c r="J509" s="5"/>
      <c r="K509" s="8"/>
      <c r="L509" s="9"/>
      <c r="M509" s="10"/>
      <c r="N509" s="12"/>
      <c r="O509" s="242"/>
      <c r="P509" s="243"/>
      <c r="Q509" s="243"/>
      <c r="R509" s="14"/>
      <c r="S509" s="242"/>
      <c r="T509" s="15"/>
      <c r="U509" s="15"/>
      <c r="V509" s="15"/>
      <c r="W509" s="8"/>
      <c r="X509" s="8"/>
      <c r="Y509" s="56"/>
      <c r="Z509" s="56"/>
      <c r="AA509" s="15"/>
      <c r="AB509" s="15"/>
      <c r="AC509" s="15"/>
      <c r="AD509" s="15"/>
      <c r="AE509" s="57"/>
      <c r="AF509" s="57"/>
      <c r="AG509" s="15"/>
      <c r="AH509" s="25"/>
      <c r="AI509" s="26"/>
      <c r="AJ509" s="26"/>
      <c r="AK509" s="27"/>
      <c r="AL509" s="28"/>
      <c r="AM509" s="29"/>
    </row>
    <row r="510" ht="12.75" customHeight="1">
      <c r="A510" s="26"/>
      <c r="B510" s="12"/>
      <c r="C510" s="240"/>
      <c r="D510" s="241"/>
      <c r="E510" s="5"/>
      <c r="F510" s="5"/>
      <c r="G510" s="5"/>
      <c r="H510" s="5"/>
      <c r="I510" s="5"/>
      <c r="J510" s="5"/>
      <c r="K510" s="8"/>
      <c r="L510" s="9"/>
      <c r="M510" s="10"/>
      <c r="N510" s="12"/>
      <c r="O510" s="242"/>
      <c r="P510" s="243"/>
      <c r="Q510" s="243"/>
      <c r="R510" s="14"/>
      <c r="S510" s="242"/>
      <c r="T510" s="15"/>
      <c r="U510" s="15"/>
      <c r="V510" s="15"/>
      <c r="W510" s="8"/>
      <c r="X510" s="8"/>
      <c r="Y510" s="56"/>
      <c r="Z510" s="56"/>
      <c r="AA510" s="15"/>
      <c r="AB510" s="15"/>
      <c r="AC510" s="15"/>
      <c r="AD510" s="15"/>
      <c r="AE510" s="57"/>
      <c r="AF510" s="57"/>
      <c r="AG510" s="15"/>
      <c r="AH510" s="25"/>
      <c r="AI510" s="26"/>
      <c r="AJ510" s="26"/>
      <c r="AK510" s="27"/>
      <c r="AL510" s="28"/>
      <c r="AM510" s="29"/>
    </row>
    <row r="511" ht="12.75" customHeight="1">
      <c r="A511" s="26"/>
      <c r="B511" s="12"/>
      <c r="C511" s="240"/>
      <c r="D511" s="241"/>
      <c r="E511" s="5"/>
      <c r="F511" s="5"/>
      <c r="G511" s="5"/>
      <c r="H511" s="5"/>
      <c r="I511" s="5"/>
      <c r="J511" s="5"/>
      <c r="K511" s="8"/>
      <c r="L511" s="9"/>
      <c r="M511" s="10"/>
      <c r="N511" s="12"/>
      <c r="O511" s="242"/>
      <c r="P511" s="243"/>
      <c r="Q511" s="243"/>
      <c r="R511" s="14"/>
      <c r="S511" s="242"/>
      <c r="T511" s="15"/>
      <c r="U511" s="15"/>
      <c r="V511" s="15"/>
      <c r="W511" s="8"/>
      <c r="X511" s="8"/>
      <c r="Y511" s="56"/>
      <c r="Z511" s="56"/>
      <c r="AA511" s="15"/>
      <c r="AB511" s="15"/>
      <c r="AC511" s="15"/>
      <c r="AD511" s="15"/>
      <c r="AE511" s="57"/>
      <c r="AF511" s="57"/>
      <c r="AG511" s="15"/>
      <c r="AH511" s="25"/>
      <c r="AI511" s="26"/>
      <c r="AJ511" s="26"/>
      <c r="AK511" s="27"/>
      <c r="AL511" s="28"/>
      <c r="AM511" s="29"/>
    </row>
    <row r="512" ht="12.75" customHeight="1">
      <c r="A512" s="26"/>
      <c r="B512" s="12"/>
      <c r="C512" s="240"/>
      <c r="D512" s="241"/>
      <c r="E512" s="5"/>
      <c r="F512" s="5"/>
      <c r="G512" s="5"/>
      <c r="H512" s="5"/>
      <c r="I512" s="5"/>
      <c r="J512" s="5"/>
      <c r="K512" s="8"/>
      <c r="L512" s="9"/>
      <c r="M512" s="10"/>
      <c r="N512" s="12"/>
      <c r="O512" s="242"/>
      <c r="P512" s="243"/>
      <c r="Q512" s="243"/>
      <c r="R512" s="14"/>
      <c r="S512" s="242"/>
      <c r="T512" s="15"/>
      <c r="U512" s="15"/>
      <c r="V512" s="15"/>
      <c r="W512" s="8"/>
      <c r="X512" s="8"/>
      <c r="Y512" s="56"/>
      <c r="Z512" s="56"/>
      <c r="AA512" s="15"/>
      <c r="AB512" s="15"/>
      <c r="AC512" s="15"/>
      <c r="AD512" s="15"/>
      <c r="AE512" s="57"/>
      <c r="AF512" s="57"/>
      <c r="AG512" s="15"/>
      <c r="AH512" s="25"/>
      <c r="AI512" s="26"/>
      <c r="AJ512" s="26"/>
      <c r="AK512" s="27"/>
      <c r="AL512" s="28"/>
      <c r="AM512" s="29"/>
    </row>
    <row r="513" ht="12.75" customHeight="1">
      <c r="A513" s="26"/>
      <c r="B513" s="12"/>
      <c r="C513" s="240"/>
      <c r="D513" s="241"/>
      <c r="E513" s="5"/>
      <c r="F513" s="5"/>
      <c r="G513" s="5"/>
      <c r="H513" s="5"/>
      <c r="I513" s="5"/>
      <c r="J513" s="5"/>
      <c r="K513" s="8"/>
      <c r="L513" s="9"/>
      <c r="M513" s="10"/>
      <c r="N513" s="12"/>
      <c r="O513" s="242"/>
      <c r="P513" s="243"/>
      <c r="Q513" s="243"/>
      <c r="R513" s="14"/>
      <c r="S513" s="242"/>
      <c r="T513" s="15"/>
      <c r="U513" s="15"/>
      <c r="V513" s="15"/>
      <c r="W513" s="8"/>
      <c r="X513" s="8"/>
      <c r="Y513" s="56"/>
      <c r="Z513" s="56"/>
      <c r="AA513" s="15"/>
      <c r="AB513" s="15"/>
      <c r="AC513" s="15"/>
      <c r="AD513" s="15"/>
      <c r="AE513" s="57"/>
      <c r="AF513" s="57"/>
      <c r="AG513" s="15"/>
      <c r="AH513" s="25"/>
      <c r="AI513" s="26"/>
      <c r="AJ513" s="26"/>
      <c r="AK513" s="27"/>
      <c r="AL513" s="28"/>
      <c r="AM513" s="29"/>
    </row>
    <row r="514" ht="12.75" customHeight="1">
      <c r="A514" s="26"/>
      <c r="B514" s="12"/>
      <c r="C514" s="240"/>
      <c r="D514" s="241"/>
      <c r="E514" s="5"/>
      <c r="F514" s="5"/>
      <c r="G514" s="5"/>
      <c r="H514" s="5"/>
      <c r="I514" s="5"/>
      <c r="J514" s="5"/>
      <c r="K514" s="8"/>
      <c r="L514" s="9"/>
      <c r="M514" s="10"/>
      <c r="N514" s="12"/>
      <c r="O514" s="242"/>
      <c r="P514" s="243"/>
      <c r="Q514" s="243"/>
      <c r="R514" s="14"/>
      <c r="S514" s="242"/>
      <c r="T514" s="15"/>
      <c r="U514" s="15"/>
      <c r="V514" s="15"/>
      <c r="W514" s="8"/>
      <c r="X514" s="8"/>
      <c r="Y514" s="56"/>
      <c r="Z514" s="56"/>
      <c r="AA514" s="15"/>
      <c r="AB514" s="15"/>
      <c r="AC514" s="15"/>
      <c r="AD514" s="15"/>
      <c r="AE514" s="57"/>
      <c r="AF514" s="57"/>
      <c r="AG514" s="15"/>
      <c r="AH514" s="25"/>
      <c r="AI514" s="26"/>
      <c r="AJ514" s="26"/>
      <c r="AK514" s="27"/>
      <c r="AL514" s="28"/>
      <c r="AM514" s="29"/>
    </row>
    <row r="515" ht="12.75" customHeight="1">
      <c r="A515" s="26"/>
      <c r="B515" s="12"/>
      <c r="C515" s="240"/>
      <c r="D515" s="241"/>
      <c r="E515" s="5"/>
      <c r="F515" s="5"/>
      <c r="G515" s="5"/>
      <c r="H515" s="5"/>
      <c r="I515" s="5"/>
      <c r="J515" s="5"/>
      <c r="K515" s="8"/>
      <c r="L515" s="9"/>
      <c r="M515" s="10"/>
      <c r="N515" s="12"/>
      <c r="O515" s="242"/>
      <c r="P515" s="243"/>
      <c r="Q515" s="243"/>
      <c r="R515" s="14"/>
      <c r="S515" s="242"/>
      <c r="T515" s="15"/>
      <c r="U515" s="15"/>
      <c r="V515" s="15"/>
      <c r="W515" s="8"/>
      <c r="X515" s="8"/>
      <c r="Y515" s="56"/>
      <c r="Z515" s="56"/>
      <c r="AA515" s="15"/>
      <c r="AB515" s="15"/>
      <c r="AC515" s="15"/>
      <c r="AD515" s="15"/>
      <c r="AE515" s="57"/>
      <c r="AF515" s="57"/>
      <c r="AG515" s="15"/>
      <c r="AH515" s="25"/>
      <c r="AI515" s="26"/>
      <c r="AJ515" s="26"/>
      <c r="AK515" s="27"/>
      <c r="AL515" s="28"/>
      <c r="AM515" s="29"/>
    </row>
    <row r="516" ht="12.75" customHeight="1">
      <c r="A516" s="26"/>
      <c r="B516" s="12"/>
      <c r="C516" s="240"/>
      <c r="D516" s="241"/>
      <c r="E516" s="5"/>
      <c r="F516" s="5"/>
      <c r="G516" s="5"/>
      <c r="H516" s="5"/>
      <c r="I516" s="5"/>
      <c r="J516" s="5"/>
      <c r="K516" s="8"/>
      <c r="L516" s="9"/>
      <c r="M516" s="10"/>
      <c r="N516" s="12"/>
      <c r="O516" s="242"/>
      <c r="P516" s="243"/>
      <c r="Q516" s="243"/>
      <c r="R516" s="14"/>
      <c r="S516" s="242"/>
      <c r="T516" s="15"/>
      <c r="U516" s="15"/>
      <c r="V516" s="15"/>
      <c r="W516" s="8"/>
      <c r="X516" s="8"/>
      <c r="Y516" s="56"/>
      <c r="Z516" s="56"/>
      <c r="AA516" s="15"/>
      <c r="AB516" s="15"/>
      <c r="AC516" s="15"/>
      <c r="AD516" s="15"/>
      <c r="AE516" s="57"/>
      <c r="AF516" s="57"/>
      <c r="AG516" s="15"/>
      <c r="AH516" s="25"/>
      <c r="AI516" s="26"/>
      <c r="AJ516" s="26"/>
      <c r="AK516" s="27"/>
      <c r="AL516" s="28"/>
      <c r="AM516" s="29"/>
    </row>
    <row r="517" ht="12.75" customHeight="1">
      <c r="A517" s="26"/>
      <c r="B517" s="12"/>
      <c r="C517" s="240"/>
      <c r="D517" s="241"/>
      <c r="E517" s="5"/>
      <c r="F517" s="5"/>
      <c r="G517" s="5"/>
      <c r="H517" s="5"/>
      <c r="I517" s="5"/>
      <c r="J517" s="5"/>
      <c r="K517" s="8"/>
      <c r="L517" s="9"/>
      <c r="M517" s="10"/>
      <c r="N517" s="12"/>
      <c r="O517" s="242"/>
      <c r="P517" s="243"/>
      <c r="Q517" s="243"/>
      <c r="R517" s="14"/>
      <c r="S517" s="242"/>
      <c r="T517" s="15"/>
      <c r="U517" s="15"/>
      <c r="V517" s="15"/>
      <c r="W517" s="8"/>
      <c r="X517" s="8"/>
      <c r="Y517" s="56"/>
      <c r="Z517" s="56"/>
      <c r="AA517" s="15"/>
      <c r="AB517" s="15"/>
      <c r="AC517" s="15"/>
      <c r="AD517" s="15"/>
      <c r="AE517" s="57"/>
      <c r="AF517" s="57"/>
      <c r="AG517" s="15"/>
      <c r="AH517" s="25"/>
      <c r="AI517" s="26"/>
      <c r="AJ517" s="26"/>
      <c r="AK517" s="27"/>
      <c r="AL517" s="28"/>
      <c r="AM517" s="29"/>
    </row>
    <row r="518" ht="12.75" customHeight="1">
      <c r="A518" s="26"/>
      <c r="B518" s="12"/>
      <c r="C518" s="240"/>
      <c r="D518" s="241"/>
      <c r="E518" s="5"/>
      <c r="F518" s="5"/>
      <c r="G518" s="5"/>
      <c r="H518" s="5"/>
      <c r="I518" s="5"/>
      <c r="J518" s="5"/>
      <c r="K518" s="8"/>
      <c r="L518" s="9"/>
      <c r="M518" s="10"/>
      <c r="N518" s="12"/>
      <c r="O518" s="242"/>
      <c r="P518" s="243"/>
      <c r="Q518" s="243"/>
      <c r="R518" s="14"/>
      <c r="S518" s="242"/>
      <c r="T518" s="15"/>
      <c r="U518" s="15"/>
      <c r="V518" s="15"/>
      <c r="W518" s="8"/>
      <c r="X518" s="8"/>
      <c r="Y518" s="56"/>
      <c r="Z518" s="56"/>
      <c r="AA518" s="15"/>
      <c r="AB518" s="15"/>
      <c r="AC518" s="15"/>
      <c r="AD518" s="15"/>
      <c r="AE518" s="57"/>
      <c r="AF518" s="57"/>
      <c r="AG518" s="15"/>
      <c r="AH518" s="25"/>
      <c r="AI518" s="26"/>
      <c r="AJ518" s="26"/>
      <c r="AK518" s="27"/>
      <c r="AL518" s="28"/>
      <c r="AM518" s="29"/>
    </row>
    <row r="519" ht="12.75" customHeight="1">
      <c r="A519" s="26"/>
      <c r="B519" s="12"/>
      <c r="C519" s="240"/>
      <c r="D519" s="241"/>
      <c r="E519" s="5"/>
      <c r="F519" s="5"/>
      <c r="G519" s="5"/>
      <c r="H519" s="5"/>
      <c r="I519" s="5"/>
      <c r="J519" s="5"/>
      <c r="K519" s="8"/>
      <c r="L519" s="9"/>
      <c r="M519" s="10"/>
      <c r="N519" s="12"/>
      <c r="O519" s="242"/>
      <c r="P519" s="243"/>
      <c r="Q519" s="243"/>
      <c r="R519" s="14"/>
      <c r="S519" s="242"/>
      <c r="T519" s="15"/>
      <c r="U519" s="15"/>
      <c r="V519" s="15"/>
      <c r="W519" s="8"/>
      <c r="X519" s="8"/>
      <c r="Y519" s="56"/>
      <c r="Z519" s="56"/>
      <c r="AA519" s="15"/>
      <c r="AB519" s="15"/>
      <c r="AC519" s="15"/>
      <c r="AD519" s="15"/>
      <c r="AE519" s="57"/>
      <c r="AF519" s="57"/>
      <c r="AG519" s="15"/>
      <c r="AH519" s="25"/>
      <c r="AI519" s="26"/>
      <c r="AJ519" s="26"/>
      <c r="AK519" s="27"/>
      <c r="AL519" s="28"/>
      <c r="AM519" s="29"/>
    </row>
    <row r="520" ht="12.75" customHeight="1">
      <c r="A520" s="26"/>
      <c r="B520" s="12"/>
      <c r="C520" s="240"/>
      <c r="D520" s="241"/>
      <c r="E520" s="5"/>
      <c r="F520" s="5"/>
      <c r="G520" s="5"/>
      <c r="H520" s="5"/>
      <c r="I520" s="5"/>
      <c r="J520" s="5"/>
      <c r="K520" s="8"/>
      <c r="L520" s="9"/>
      <c r="M520" s="10"/>
      <c r="N520" s="12"/>
      <c r="O520" s="242"/>
      <c r="P520" s="243"/>
      <c r="Q520" s="243"/>
      <c r="R520" s="14"/>
      <c r="S520" s="242"/>
      <c r="T520" s="15"/>
      <c r="U520" s="15"/>
      <c r="V520" s="15"/>
      <c r="W520" s="8"/>
      <c r="X520" s="8"/>
      <c r="Y520" s="56"/>
      <c r="Z520" s="56"/>
      <c r="AA520" s="15"/>
      <c r="AB520" s="15"/>
      <c r="AC520" s="15"/>
      <c r="AD520" s="15"/>
      <c r="AE520" s="57"/>
      <c r="AF520" s="57"/>
      <c r="AG520" s="15"/>
      <c r="AH520" s="25"/>
      <c r="AI520" s="26"/>
      <c r="AJ520" s="26"/>
      <c r="AK520" s="27"/>
      <c r="AL520" s="28"/>
      <c r="AM520" s="29"/>
    </row>
    <row r="521" ht="12.75" customHeight="1">
      <c r="A521" s="26"/>
      <c r="B521" s="12"/>
      <c r="C521" s="240"/>
      <c r="D521" s="241"/>
      <c r="E521" s="5"/>
      <c r="F521" s="5"/>
      <c r="G521" s="5"/>
      <c r="H521" s="5"/>
      <c r="I521" s="5"/>
      <c r="J521" s="5"/>
      <c r="K521" s="8"/>
      <c r="L521" s="9"/>
      <c r="M521" s="10"/>
      <c r="N521" s="12"/>
      <c r="O521" s="242"/>
      <c r="P521" s="243"/>
      <c r="Q521" s="243"/>
      <c r="R521" s="14"/>
      <c r="S521" s="242"/>
      <c r="T521" s="15"/>
      <c r="U521" s="15"/>
      <c r="V521" s="15"/>
      <c r="W521" s="8"/>
      <c r="X521" s="8"/>
      <c r="Y521" s="56"/>
      <c r="Z521" s="56"/>
      <c r="AA521" s="15"/>
      <c r="AB521" s="15"/>
      <c r="AC521" s="15"/>
      <c r="AD521" s="15"/>
      <c r="AE521" s="57"/>
      <c r="AF521" s="57"/>
      <c r="AG521" s="15"/>
      <c r="AH521" s="25"/>
      <c r="AI521" s="26"/>
      <c r="AJ521" s="26"/>
      <c r="AK521" s="27"/>
      <c r="AL521" s="28"/>
      <c r="AM521" s="29"/>
    </row>
    <row r="522" ht="12.75" customHeight="1">
      <c r="A522" s="26"/>
      <c r="B522" s="12"/>
      <c r="C522" s="240"/>
      <c r="D522" s="241"/>
      <c r="E522" s="5"/>
      <c r="F522" s="5"/>
      <c r="G522" s="5"/>
      <c r="H522" s="5"/>
      <c r="I522" s="5"/>
      <c r="J522" s="5"/>
      <c r="K522" s="8"/>
      <c r="L522" s="9"/>
      <c r="M522" s="10"/>
      <c r="N522" s="12"/>
      <c r="O522" s="242"/>
      <c r="P522" s="243"/>
      <c r="Q522" s="243"/>
      <c r="R522" s="14"/>
      <c r="S522" s="242"/>
      <c r="T522" s="15"/>
      <c r="U522" s="15"/>
      <c r="V522" s="15"/>
      <c r="W522" s="8"/>
      <c r="X522" s="8"/>
      <c r="Y522" s="56"/>
      <c r="Z522" s="56"/>
      <c r="AA522" s="15"/>
      <c r="AB522" s="15"/>
      <c r="AC522" s="15"/>
      <c r="AD522" s="15"/>
      <c r="AE522" s="57"/>
      <c r="AF522" s="57"/>
      <c r="AG522" s="15"/>
      <c r="AH522" s="25"/>
      <c r="AI522" s="26"/>
      <c r="AJ522" s="26"/>
      <c r="AK522" s="27"/>
      <c r="AL522" s="28"/>
      <c r="AM522" s="29"/>
    </row>
    <row r="523" ht="12.75" customHeight="1">
      <c r="A523" s="26"/>
      <c r="B523" s="12"/>
      <c r="C523" s="240"/>
      <c r="D523" s="241"/>
      <c r="E523" s="5"/>
      <c r="F523" s="5"/>
      <c r="G523" s="5"/>
      <c r="H523" s="5"/>
      <c r="I523" s="5"/>
      <c r="J523" s="5"/>
      <c r="K523" s="8"/>
      <c r="L523" s="9"/>
      <c r="M523" s="10"/>
      <c r="N523" s="12"/>
      <c r="O523" s="242"/>
      <c r="P523" s="243"/>
      <c r="Q523" s="243"/>
      <c r="R523" s="14"/>
      <c r="S523" s="242"/>
      <c r="T523" s="15"/>
      <c r="U523" s="15"/>
      <c r="V523" s="15"/>
      <c r="W523" s="8"/>
      <c r="X523" s="8"/>
      <c r="Y523" s="56"/>
      <c r="Z523" s="56"/>
      <c r="AA523" s="15"/>
      <c r="AB523" s="15"/>
      <c r="AC523" s="15"/>
      <c r="AD523" s="15"/>
      <c r="AE523" s="57"/>
      <c r="AF523" s="57"/>
      <c r="AG523" s="15"/>
      <c r="AH523" s="25"/>
      <c r="AI523" s="26"/>
      <c r="AJ523" s="26"/>
      <c r="AK523" s="27"/>
      <c r="AL523" s="28"/>
      <c r="AM523" s="29"/>
    </row>
    <row r="524" ht="12.75" customHeight="1">
      <c r="A524" s="26"/>
      <c r="B524" s="12"/>
      <c r="C524" s="240"/>
      <c r="D524" s="241"/>
      <c r="E524" s="5"/>
      <c r="F524" s="5"/>
      <c r="G524" s="5"/>
      <c r="H524" s="5"/>
      <c r="I524" s="5"/>
      <c r="J524" s="5"/>
      <c r="K524" s="8"/>
      <c r="L524" s="9"/>
      <c r="M524" s="10"/>
      <c r="N524" s="12"/>
      <c r="O524" s="242"/>
      <c r="P524" s="243"/>
      <c r="Q524" s="243"/>
      <c r="R524" s="14"/>
      <c r="S524" s="242"/>
      <c r="T524" s="15"/>
      <c r="U524" s="15"/>
      <c r="V524" s="15"/>
      <c r="W524" s="8"/>
      <c r="X524" s="8"/>
      <c r="Y524" s="56"/>
      <c r="Z524" s="56"/>
      <c r="AA524" s="15"/>
      <c r="AB524" s="15"/>
      <c r="AC524" s="15"/>
      <c r="AD524" s="15"/>
      <c r="AE524" s="57"/>
      <c r="AF524" s="57"/>
      <c r="AG524" s="15"/>
      <c r="AH524" s="25"/>
      <c r="AI524" s="26"/>
      <c r="AJ524" s="26"/>
      <c r="AK524" s="27"/>
      <c r="AL524" s="28"/>
      <c r="AM524" s="29"/>
    </row>
    <row r="525" ht="12.75" customHeight="1">
      <c r="A525" s="26"/>
      <c r="B525" s="12"/>
      <c r="C525" s="240"/>
      <c r="D525" s="241"/>
      <c r="E525" s="5"/>
      <c r="F525" s="5"/>
      <c r="G525" s="5"/>
      <c r="H525" s="5"/>
      <c r="I525" s="5"/>
      <c r="J525" s="5"/>
      <c r="K525" s="8"/>
      <c r="L525" s="9"/>
      <c r="M525" s="10"/>
      <c r="N525" s="12"/>
      <c r="O525" s="242"/>
      <c r="P525" s="243"/>
      <c r="Q525" s="243"/>
      <c r="R525" s="14"/>
      <c r="S525" s="242"/>
      <c r="T525" s="15"/>
      <c r="U525" s="15"/>
      <c r="V525" s="15"/>
      <c r="W525" s="8"/>
      <c r="X525" s="8"/>
      <c r="Y525" s="56"/>
      <c r="Z525" s="56"/>
      <c r="AA525" s="15"/>
      <c r="AB525" s="15"/>
      <c r="AC525" s="15"/>
      <c r="AD525" s="15"/>
      <c r="AE525" s="57"/>
      <c r="AF525" s="57"/>
      <c r="AG525" s="15"/>
      <c r="AH525" s="25"/>
      <c r="AI525" s="26"/>
      <c r="AJ525" s="26"/>
      <c r="AK525" s="27"/>
      <c r="AL525" s="28"/>
      <c r="AM525" s="29"/>
    </row>
    <row r="526" ht="12.75" customHeight="1">
      <c r="A526" s="26"/>
      <c r="B526" s="12"/>
      <c r="C526" s="240"/>
      <c r="D526" s="241"/>
      <c r="E526" s="5"/>
      <c r="F526" s="5"/>
      <c r="G526" s="5"/>
      <c r="H526" s="5"/>
      <c r="I526" s="5"/>
      <c r="J526" s="5"/>
      <c r="K526" s="8"/>
      <c r="L526" s="9"/>
      <c r="M526" s="10"/>
      <c r="N526" s="12"/>
      <c r="O526" s="242"/>
      <c r="P526" s="243"/>
      <c r="Q526" s="243"/>
      <c r="R526" s="14"/>
      <c r="S526" s="242"/>
      <c r="T526" s="15"/>
      <c r="U526" s="15"/>
      <c r="V526" s="15"/>
      <c r="W526" s="8"/>
      <c r="X526" s="8"/>
      <c r="Y526" s="56"/>
      <c r="Z526" s="56"/>
      <c r="AA526" s="15"/>
      <c r="AB526" s="15"/>
      <c r="AC526" s="15"/>
      <c r="AD526" s="15"/>
      <c r="AE526" s="57"/>
      <c r="AF526" s="57"/>
      <c r="AG526" s="15"/>
      <c r="AH526" s="25"/>
      <c r="AI526" s="26"/>
      <c r="AJ526" s="26"/>
      <c r="AK526" s="27"/>
      <c r="AL526" s="28"/>
      <c r="AM526" s="29"/>
    </row>
    <row r="527" ht="12.75" customHeight="1">
      <c r="A527" s="26"/>
      <c r="B527" s="12"/>
      <c r="C527" s="240"/>
      <c r="D527" s="241"/>
      <c r="E527" s="5"/>
      <c r="F527" s="5"/>
      <c r="G527" s="5"/>
      <c r="H527" s="5"/>
      <c r="I527" s="5"/>
      <c r="J527" s="5"/>
      <c r="K527" s="8"/>
      <c r="L527" s="9"/>
      <c r="M527" s="10"/>
      <c r="N527" s="12"/>
      <c r="O527" s="242"/>
      <c r="P527" s="243"/>
      <c r="Q527" s="243"/>
      <c r="R527" s="14"/>
      <c r="S527" s="242"/>
      <c r="T527" s="15"/>
      <c r="U527" s="15"/>
      <c r="V527" s="15"/>
      <c r="W527" s="8"/>
      <c r="X527" s="8"/>
      <c r="Y527" s="56"/>
      <c r="Z527" s="56"/>
      <c r="AA527" s="15"/>
      <c r="AB527" s="15"/>
      <c r="AC527" s="15"/>
      <c r="AD527" s="15"/>
      <c r="AE527" s="57"/>
      <c r="AF527" s="57"/>
      <c r="AG527" s="15"/>
      <c r="AH527" s="25"/>
      <c r="AI527" s="26"/>
      <c r="AJ527" s="26"/>
      <c r="AK527" s="27"/>
      <c r="AL527" s="28"/>
      <c r="AM527" s="29"/>
    </row>
  </sheetData>
  <mergeCells count="8">
    <mergeCell ref="H1:I1"/>
    <mergeCell ref="J4:J5"/>
    <mergeCell ref="AJ7:AM8"/>
    <mergeCell ref="F8:K8"/>
    <mergeCell ref="O8:S8"/>
    <mergeCell ref="T8:V8"/>
    <mergeCell ref="X8:AD8"/>
    <mergeCell ref="AG8:AH8"/>
  </mergeCells>
  <conditionalFormatting sqref="AH1:AH7 AH9:AH527">
    <cfRule type="cellIs" dxfId="0" priority="1" operator="lessThan">
      <formula>0</formula>
    </cfRule>
  </conditionalFormatting>
  <conditionalFormatting sqref="AH1:AH7 AH9:AH527">
    <cfRule type="cellIs" dxfId="1" priority="2" operator="greaterThan">
      <formula>0.300001</formula>
    </cfRule>
  </conditionalFormatting>
  <conditionalFormatting sqref="AH1:AH7 AH9:AH527">
    <cfRule type="cellIs" dxfId="2" priority="3" operator="between">
      <formula>0.250001</formula>
      <formula>0.3</formula>
    </cfRule>
  </conditionalFormatting>
  <conditionalFormatting sqref="AH1:AH7 AH9:AH527">
    <cfRule type="cellIs" dxfId="3" priority="4" operator="between">
      <formula>0.200001</formula>
      <formula>0.25</formula>
    </cfRule>
  </conditionalFormatting>
  <conditionalFormatting sqref="AH1:AH7 AH9:AH527">
    <cfRule type="cellIs" dxfId="4" priority="5" operator="between">
      <formula>0.1500001</formula>
      <formula>0.2</formula>
    </cfRule>
  </conditionalFormatting>
  <conditionalFormatting sqref="AH1:AH7 AH9:AH527">
    <cfRule type="cellIs" dxfId="5" priority="6" operator="between">
      <formula>0.0000001</formula>
      <formula>0.15</formula>
    </cfRule>
  </conditionalFormatting>
  <printOptions/>
  <pageMargins bottom="0.7875" footer="0.0" header="0.0" left="0.7875" right="0.7875" top="0.78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4.43" defaultRowHeight="15.0"/>
  <cols>
    <col customWidth="1" min="1" max="1" width="1.43"/>
    <col customWidth="1" hidden="1" min="2" max="2" width="8.71"/>
    <col customWidth="1" min="3" max="3" width="12.14"/>
    <col customWidth="1" min="4" max="4" width="52.71"/>
    <col customWidth="1" min="5" max="5" width="5.71"/>
    <col customWidth="1" min="6" max="6" width="7.71"/>
    <col customWidth="1" min="7" max="7" width="8.29"/>
    <col customWidth="1" min="8" max="9" width="8.0"/>
    <col customWidth="1" min="10" max="10" width="8.14"/>
    <col customWidth="1" min="11" max="11" width="9.86"/>
    <col customWidth="1" min="12" max="13" width="8.14"/>
    <col customWidth="1" min="14" max="15" width="9.0"/>
    <col customWidth="1" min="16" max="17" width="10.14"/>
    <col customWidth="1" min="18" max="22" width="9.0"/>
    <col customWidth="1" min="23" max="23" width="7.14"/>
    <col customWidth="1" min="24" max="30" width="9.0"/>
    <col customWidth="1" min="31" max="31" width="7.43"/>
    <col customWidth="1" min="32" max="34" width="9.0"/>
    <col customWidth="1" min="35" max="35" width="2.0"/>
    <col customWidth="1" min="36" max="37" width="9.0"/>
    <col customWidth="1" min="38" max="38" width="10.14"/>
    <col customWidth="1" min="39" max="39" width="9.0"/>
  </cols>
  <sheetData>
    <row r="1" ht="12.75" customHeight="1">
      <c r="A1" s="1">
        <v>2.14312259E8</v>
      </c>
      <c r="B1" s="2"/>
      <c r="C1" s="3">
        <v>60.0</v>
      </c>
      <c r="D1" s="4" t="s">
        <v>0</v>
      </c>
      <c r="E1" s="5"/>
      <c r="F1" s="5"/>
      <c r="G1" s="5"/>
      <c r="H1" s="6">
        <v>45712.0</v>
      </c>
      <c r="I1" s="7"/>
      <c r="J1" s="5"/>
      <c r="K1" s="8"/>
      <c r="L1" s="9"/>
      <c r="M1" s="10"/>
      <c r="N1" s="10"/>
      <c r="O1" s="12" t="s">
        <v>1</v>
      </c>
      <c r="P1" s="13"/>
      <c r="Q1" s="13"/>
      <c r="R1" s="14"/>
      <c r="S1" s="15" t="s">
        <v>2</v>
      </c>
      <c r="T1" s="15"/>
      <c r="U1" s="15"/>
      <c r="V1" s="15"/>
      <c r="W1" s="8"/>
      <c r="X1" s="16" t="s">
        <v>3</v>
      </c>
      <c r="Y1" s="17">
        <v>1.7</v>
      </c>
      <c r="Z1" s="18" t="s">
        <v>4</v>
      </c>
      <c r="AA1" s="19"/>
      <c r="AB1" s="20"/>
      <c r="AC1" s="15"/>
      <c r="AD1" s="21">
        <v>0.29</v>
      </c>
      <c r="AE1" s="22" t="s">
        <v>5</v>
      </c>
      <c r="AF1" s="23"/>
      <c r="AG1" s="24"/>
      <c r="AH1" s="25"/>
      <c r="AI1" s="26"/>
      <c r="AJ1" s="26"/>
      <c r="AK1" s="27"/>
      <c r="AL1" s="28"/>
      <c r="AM1" s="29"/>
    </row>
    <row r="2" ht="12.75" customHeight="1">
      <c r="A2" s="26"/>
      <c r="B2" s="12"/>
      <c r="C2" s="30">
        <v>0.05</v>
      </c>
      <c r="D2" s="31" t="s">
        <v>6</v>
      </c>
      <c r="E2" s="5"/>
      <c r="F2" s="5"/>
      <c r="G2" s="5"/>
      <c r="H2" s="32" t="s">
        <v>7</v>
      </c>
      <c r="I2" s="32">
        <v>6.9E-4</v>
      </c>
      <c r="J2" s="5"/>
      <c r="K2" s="8"/>
      <c r="L2" s="9"/>
      <c r="M2" s="10"/>
      <c r="N2" s="10" t="s">
        <v>8</v>
      </c>
      <c r="O2" s="33">
        <v>170.0</v>
      </c>
      <c r="P2" s="34">
        <v>64.6</v>
      </c>
      <c r="Q2" s="34"/>
      <c r="R2" s="35">
        <v>16.15</v>
      </c>
      <c r="S2" s="36">
        <v>170.0</v>
      </c>
      <c r="T2" s="36">
        <v>0.14</v>
      </c>
      <c r="U2" s="36">
        <v>0.14</v>
      </c>
      <c r="V2" s="15"/>
      <c r="W2" s="8"/>
      <c r="X2" s="37" t="s">
        <v>9</v>
      </c>
      <c r="Y2" s="38">
        <v>1.7</v>
      </c>
      <c r="Z2" s="39" t="s">
        <v>10</v>
      </c>
      <c r="AA2" s="38"/>
      <c r="AB2" s="40"/>
      <c r="AC2" s="15"/>
      <c r="AD2" s="41">
        <v>0.0</v>
      </c>
      <c r="AE2" s="22" t="s">
        <v>11</v>
      </c>
      <c r="AF2" s="23"/>
      <c r="AG2" s="24"/>
      <c r="AH2" s="25"/>
      <c r="AI2" s="26"/>
      <c r="AJ2" s="26"/>
      <c r="AK2" s="27"/>
      <c r="AL2" s="28"/>
      <c r="AM2" s="29"/>
    </row>
    <row r="3" ht="12.75" customHeight="1">
      <c r="A3" s="26"/>
      <c r="B3" s="12"/>
      <c r="C3" s="42">
        <v>0.0</v>
      </c>
      <c r="D3" s="43" t="s">
        <v>12</v>
      </c>
      <c r="E3" s="5"/>
      <c r="F3" s="5"/>
      <c r="G3" s="5"/>
      <c r="H3" s="44" t="s">
        <v>13</v>
      </c>
      <c r="I3" s="44">
        <v>89.0</v>
      </c>
      <c r="J3" s="5"/>
      <c r="K3" s="8"/>
      <c r="L3" s="9"/>
      <c r="M3" s="10"/>
      <c r="N3" s="10" t="s">
        <v>14</v>
      </c>
      <c r="O3" s="33">
        <v>160.0</v>
      </c>
      <c r="P3" s="34">
        <v>60.8</v>
      </c>
      <c r="Q3" s="34"/>
      <c r="R3" s="35">
        <v>15.2</v>
      </c>
      <c r="S3" s="36">
        <v>160.0</v>
      </c>
      <c r="T3" s="36">
        <v>0.13</v>
      </c>
      <c r="U3" s="36">
        <v>0.13</v>
      </c>
      <c r="V3" s="15"/>
      <c r="W3" s="8"/>
      <c r="X3" s="8"/>
      <c r="Y3" s="45">
        <v>50.0</v>
      </c>
      <c r="Z3" s="46" t="s">
        <v>15</v>
      </c>
      <c r="AA3" s="38"/>
      <c r="AB3" s="40"/>
      <c r="AC3" s="15"/>
      <c r="AD3" s="47">
        <v>0.0</v>
      </c>
      <c r="AE3" s="48" t="s">
        <v>16</v>
      </c>
      <c r="AF3" s="49"/>
      <c r="AG3" s="50"/>
      <c r="AH3" s="25"/>
      <c r="AI3" s="26"/>
      <c r="AJ3" s="26"/>
      <c r="AK3" s="27"/>
      <c r="AL3" s="28"/>
      <c r="AM3" s="29"/>
    </row>
    <row r="4" ht="12.75" customHeight="1">
      <c r="A4" s="26"/>
      <c r="B4" s="12"/>
      <c r="C4" s="51">
        <v>76.0</v>
      </c>
      <c r="D4" s="52" t="s">
        <v>17</v>
      </c>
      <c r="E4" s="5"/>
      <c r="F4" s="5"/>
      <c r="G4" s="53"/>
      <c r="H4" s="54" t="s">
        <v>18</v>
      </c>
      <c r="I4" s="32"/>
      <c r="J4" s="55">
        <v>0.3</v>
      </c>
      <c r="K4" s="8"/>
      <c r="L4" s="9"/>
      <c r="M4" s="10"/>
      <c r="N4" s="10" t="s">
        <v>19</v>
      </c>
      <c r="O4" s="33">
        <v>115.0</v>
      </c>
      <c r="P4" s="34">
        <v>43.7</v>
      </c>
      <c r="Q4" s="34"/>
      <c r="R4" s="35">
        <v>10.93</v>
      </c>
      <c r="S4" s="36">
        <v>115.0</v>
      </c>
      <c r="T4" s="36">
        <v>0.09</v>
      </c>
      <c r="U4" s="36">
        <v>0.09</v>
      </c>
      <c r="V4" s="15"/>
      <c r="W4" s="8"/>
      <c r="X4" s="8"/>
      <c r="Y4" s="15">
        <v>38.0</v>
      </c>
      <c r="Z4" s="56" t="s">
        <v>20</v>
      </c>
      <c r="AA4" s="15"/>
      <c r="AB4" s="15"/>
      <c r="AC4" s="15"/>
      <c r="AD4" s="15"/>
      <c r="AE4" s="57"/>
      <c r="AF4" s="57"/>
      <c r="AG4" s="15"/>
      <c r="AH4" s="25"/>
      <c r="AI4" s="26"/>
      <c r="AJ4" s="26"/>
      <c r="AK4" s="27"/>
      <c r="AL4" s="28"/>
      <c r="AM4" s="29"/>
    </row>
    <row r="5" ht="12.75" customHeight="1">
      <c r="A5" s="26"/>
      <c r="B5" s="12"/>
      <c r="C5" s="58">
        <v>19.0</v>
      </c>
      <c r="D5" s="59" t="s">
        <v>21</v>
      </c>
      <c r="E5" s="5"/>
      <c r="F5" s="5"/>
      <c r="G5" s="53"/>
      <c r="H5" s="54" t="s">
        <v>22</v>
      </c>
      <c r="I5" s="32"/>
      <c r="J5" s="60"/>
      <c r="K5" s="8"/>
      <c r="L5" s="9"/>
      <c r="M5" s="10"/>
      <c r="N5" s="10" t="s">
        <v>23</v>
      </c>
      <c r="O5" s="61">
        <v>200.0</v>
      </c>
      <c r="P5" s="62">
        <v>76.0</v>
      </c>
      <c r="Q5" s="62"/>
      <c r="R5" s="63">
        <v>19.0</v>
      </c>
      <c r="S5" s="36">
        <v>200.0</v>
      </c>
      <c r="T5" s="64">
        <v>0.16</v>
      </c>
      <c r="U5" s="64">
        <v>0.16</v>
      </c>
      <c r="V5" s="15"/>
      <c r="W5" s="8"/>
      <c r="X5" s="8"/>
      <c r="Y5" s="15">
        <v>9.5</v>
      </c>
      <c r="Z5" s="56" t="s">
        <v>24</v>
      </c>
      <c r="AA5" s="15"/>
      <c r="AB5" s="15"/>
      <c r="AC5" s="15"/>
      <c r="AD5" s="15"/>
      <c r="AE5" s="57"/>
      <c r="AF5" s="57"/>
      <c r="AG5" s="15"/>
      <c r="AH5" s="25"/>
      <c r="AI5" s="26"/>
      <c r="AJ5" s="26"/>
      <c r="AK5" s="27"/>
      <c r="AL5" s="28"/>
      <c r="AM5" s="29"/>
    </row>
    <row r="6" ht="12.75" customHeight="1">
      <c r="A6" s="26"/>
      <c r="B6" s="12"/>
      <c r="C6" s="51">
        <v>0.16</v>
      </c>
      <c r="D6" s="52" t="s">
        <v>25</v>
      </c>
      <c r="E6" s="5"/>
      <c r="F6" s="5"/>
      <c r="G6" s="5"/>
      <c r="H6" s="5"/>
      <c r="I6" s="5"/>
      <c r="J6" s="5"/>
      <c r="K6" s="8"/>
      <c r="L6" s="9"/>
      <c r="M6" s="10"/>
      <c r="N6" s="10" t="s">
        <v>26</v>
      </c>
      <c r="O6" s="33">
        <v>165.0</v>
      </c>
      <c r="P6" s="34">
        <v>62.7</v>
      </c>
      <c r="Q6" s="34"/>
      <c r="R6" s="35">
        <v>15.68</v>
      </c>
      <c r="S6" s="36">
        <v>165.0</v>
      </c>
      <c r="T6" s="36">
        <v>0.13</v>
      </c>
      <c r="U6" s="36">
        <v>0.13</v>
      </c>
      <c r="V6" s="15"/>
      <c r="W6" s="8"/>
      <c r="X6" s="8"/>
      <c r="Y6" s="65">
        <v>0.325</v>
      </c>
      <c r="Z6" s="66" t="s">
        <v>27</v>
      </c>
      <c r="AA6" s="19"/>
      <c r="AB6" s="20"/>
      <c r="AC6" s="15"/>
      <c r="AD6" s="15"/>
      <c r="AE6" s="57"/>
      <c r="AF6" s="57"/>
      <c r="AG6" s="15"/>
      <c r="AH6" s="25"/>
      <c r="AI6" s="26"/>
      <c r="AJ6" s="26"/>
      <c r="AK6" s="27"/>
      <c r="AL6" s="28"/>
      <c r="AM6" s="29"/>
    </row>
    <row r="7" ht="12.75" customHeight="1">
      <c r="A7" s="26"/>
      <c r="B7" s="12"/>
      <c r="C7" s="67">
        <v>30.0</v>
      </c>
      <c r="D7" s="59" t="s">
        <v>28</v>
      </c>
      <c r="E7" s="5"/>
      <c r="F7" s="5"/>
      <c r="G7" s="5"/>
      <c r="H7" s="5"/>
      <c r="I7" s="5"/>
      <c r="J7" s="5"/>
      <c r="K7" s="8"/>
      <c r="L7" s="9"/>
      <c r="M7" s="10"/>
      <c r="N7" s="10" t="s">
        <v>29</v>
      </c>
      <c r="O7" s="33">
        <v>220.0</v>
      </c>
      <c r="P7" s="34">
        <v>83.6</v>
      </c>
      <c r="Q7" s="34"/>
      <c r="R7" s="68">
        <v>20.9</v>
      </c>
      <c r="S7" s="35">
        <v>220.0</v>
      </c>
      <c r="T7" s="36">
        <v>0.18</v>
      </c>
      <c r="U7" s="36">
        <v>0.18</v>
      </c>
      <c r="V7" s="15"/>
      <c r="W7" s="69"/>
      <c r="X7" s="8"/>
      <c r="Y7" s="70">
        <v>0.0217</v>
      </c>
      <c r="Z7" s="71" t="s">
        <v>30</v>
      </c>
      <c r="AA7" s="72"/>
      <c r="AB7" s="73"/>
      <c r="AC7" s="15"/>
      <c r="AD7" s="15"/>
      <c r="AE7" s="57"/>
      <c r="AF7" s="57"/>
      <c r="AG7" s="15"/>
      <c r="AH7" s="25"/>
      <c r="AI7" s="26"/>
      <c r="AJ7" s="74" t="s">
        <v>31</v>
      </c>
      <c r="AK7" s="75"/>
      <c r="AL7" s="75"/>
      <c r="AM7" s="76"/>
    </row>
    <row r="8" ht="12.75" customHeight="1">
      <c r="A8" s="26"/>
      <c r="B8" s="77"/>
      <c r="C8" s="78">
        <v>0.08</v>
      </c>
      <c r="D8" s="79" t="s">
        <v>32</v>
      </c>
      <c r="E8" s="80"/>
      <c r="F8" s="81" t="s">
        <v>33</v>
      </c>
      <c r="G8" s="82"/>
      <c r="H8" s="82"/>
      <c r="I8" s="82"/>
      <c r="J8" s="82"/>
      <c r="K8" s="83"/>
      <c r="L8" s="84"/>
      <c r="M8" s="85"/>
      <c r="N8" s="12"/>
      <c r="O8" s="87" t="s">
        <v>34</v>
      </c>
      <c r="P8" s="88"/>
      <c r="Q8" s="88"/>
      <c r="R8" s="88"/>
      <c r="S8" s="89"/>
      <c r="T8" s="90" t="s">
        <v>35</v>
      </c>
      <c r="U8" s="88"/>
      <c r="V8" s="89"/>
      <c r="W8" s="8"/>
      <c r="X8" s="91" t="s">
        <v>36</v>
      </c>
      <c r="Y8" s="75"/>
      <c r="Z8" s="75"/>
      <c r="AA8" s="75"/>
      <c r="AB8" s="75"/>
      <c r="AC8" s="75"/>
      <c r="AD8" s="76"/>
      <c r="AE8" s="57"/>
      <c r="AF8" s="57"/>
      <c r="AG8" s="92" t="s">
        <v>37</v>
      </c>
      <c r="AH8" s="83"/>
      <c r="AI8" s="26"/>
      <c r="AJ8" s="93"/>
      <c r="AK8" s="94"/>
      <c r="AL8" s="94"/>
      <c r="AM8" s="95"/>
    </row>
    <row r="9" ht="52.5" customHeight="1">
      <c r="A9" s="26"/>
      <c r="B9" s="96" t="s">
        <v>38</v>
      </c>
      <c r="C9" s="96" t="s">
        <v>39</v>
      </c>
      <c r="D9" s="97" t="s">
        <v>40</v>
      </c>
      <c r="E9" s="98" t="s">
        <v>41</v>
      </c>
      <c r="F9" s="99" t="s">
        <v>42</v>
      </c>
      <c r="G9" s="100" t="s">
        <v>43</v>
      </c>
      <c r="H9" s="101" t="s">
        <v>44</v>
      </c>
      <c r="I9" s="101" t="s">
        <v>45</v>
      </c>
      <c r="J9" s="101" t="s">
        <v>46</v>
      </c>
      <c r="K9" s="102" t="s">
        <v>47</v>
      </c>
      <c r="L9" s="103" t="s">
        <v>48</v>
      </c>
      <c r="M9" s="104" t="s">
        <v>49</v>
      </c>
      <c r="N9" s="259" t="s">
        <v>656</v>
      </c>
      <c r="O9" s="106" t="s">
        <v>51</v>
      </c>
      <c r="P9" s="107" t="s">
        <v>797</v>
      </c>
      <c r="Q9" s="108" t="s">
        <v>53</v>
      </c>
      <c r="R9" s="109" t="s">
        <v>54</v>
      </c>
      <c r="S9" s="110" t="s">
        <v>55</v>
      </c>
      <c r="T9" s="111" t="s">
        <v>56</v>
      </c>
      <c r="U9" s="379" t="s">
        <v>766</v>
      </c>
      <c r="V9" s="112" t="s">
        <v>58</v>
      </c>
      <c r="W9" s="113" t="s">
        <v>59</v>
      </c>
      <c r="X9" s="114" t="s">
        <v>60</v>
      </c>
      <c r="Y9" s="115" t="s">
        <v>798</v>
      </c>
      <c r="Z9" s="115" t="s">
        <v>799</v>
      </c>
      <c r="AA9" s="116" t="s">
        <v>63</v>
      </c>
      <c r="AB9" s="116" t="s">
        <v>64</v>
      </c>
      <c r="AC9" s="116" t="s">
        <v>65</v>
      </c>
      <c r="AD9" s="117" t="s">
        <v>800</v>
      </c>
      <c r="AE9" s="118" t="s">
        <v>67</v>
      </c>
      <c r="AF9" s="119" t="s">
        <v>68</v>
      </c>
      <c r="AG9" s="120" t="s">
        <v>69</v>
      </c>
      <c r="AH9" s="121" t="s">
        <v>70</v>
      </c>
      <c r="AI9" s="26"/>
      <c r="AJ9" s="122" t="s">
        <v>71</v>
      </c>
      <c r="AK9" s="123" t="s">
        <v>72</v>
      </c>
      <c r="AL9" s="107" t="s">
        <v>801</v>
      </c>
      <c r="AM9" s="124" t="s">
        <v>74</v>
      </c>
    </row>
    <row r="10" ht="12.75" customHeight="1">
      <c r="A10" s="26"/>
      <c r="B10" s="125" t="s">
        <v>75</v>
      </c>
      <c r="C10" s="126"/>
      <c r="D10" s="127"/>
      <c r="E10" s="128"/>
      <c r="F10" s="129"/>
      <c r="G10" s="128"/>
      <c r="H10" s="128"/>
      <c r="I10" s="128"/>
      <c r="J10" s="128"/>
      <c r="K10" s="130"/>
      <c r="L10" s="131"/>
      <c r="M10" s="132"/>
      <c r="N10" s="320"/>
      <c r="O10" s="134"/>
      <c r="P10" s="135"/>
      <c r="Q10" s="135"/>
      <c r="R10" s="136"/>
      <c r="S10" s="137"/>
      <c r="T10" s="138"/>
      <c r="U10" s="139"/>
      <c r="V10" s="140"/>
      <c r="W10" s="141"/>
      <c r="X10" s="142"/>
      <c r="Y10" s="143"/>
      <c r="Z10" s="143"/>
      <c r="AA10" s="139"/>
      <c r="AB10" s="139"/>
      <c r="AC10" s="139"/>
      <c r="AD10" s="140"/>
      <c r="AE10" s="144"/>
      <c r="AF10" s="145"/>
      <c r="AG10" s="138"/>
      <c r="AH10" s="146"/>
      <c r="AI10" s="26"/>
      <c r="AJ10" s="147"/>
      <c r="AK10" s="148"/>
      <c r="AL10" s="149"/>
      <c r="AM10" s="150"/>
    </row>
    <row r="11" ht="12.75" customHeight="1">
      <c r="A11" s="26"/>
      <c r="B11" s="190" t="s">
        <v>474</v>
      </c>
      <c r="C11" s="220">
        <v>1.65299669E8</v>
      </c>
      <c r="D11" s="221" t="s">
        <v>477</v>
      </c>
      <c r="E11" s="211" t="s">
        <v>77</v>
      </c>
      <c r="F11" s="154"/>
      <c r="G11" s="211"/>
      <c r="H11" s="53" t="str">
        <f t="shared" ref="H11:H13" si="1">$I$2</f>
        <v>0.00069</v>
      </c>
      <c r="I11" s="53" t="str">
        <f t="shared" ref="I11:I13" si="2">$I$3</f>
        <v>89</v>
      </c>
      <c r="J11" s="53" t="str">
        <f t="shared" ref="J11:J13" si="3">G11*H11*I11*F11</f>
        <v>0</v>
      </c>
      <c r="K11" s="155" t="str">
        <f t="shared" ref="K11:K13" si="4">J11*$J$4</f>
        <v>0.00</v>
      </c>
      <c r="L11" s="156" t="str">
        <f t="shared" ref="L11:L13" si="5">K11+J11</f>
        <v>0.00 </v>
      </c>
      <c r="M11" s="132">
        <v>90.0</v>
      </c>
      <c r="N11" s="157">
        <v>224.0</v>
      </c>
      <c r="O11" s="158">
        <v>631.0</v>
      </c>
      <c r="P11" s="159" t="str">
        <f t="shared" ref="P11:P40" si="6">O11</f>
        <v>631.00</v>
      </c>
      <c r="Q11" s="160">
        <v>460.0</v>
      </c>
      <c r="R11" s="161">
        <v>0.32</v>
      </c>
      <c r="S11" s="162" t="str">
        <f t="shared" ref="S11:S27" si="7">O11-(O11*R11)</f>
        <v>429.08</v>
      </c>
      <c r="T11" s="163">
        <v>60.0</v>
      </c>
      <c r="U11" s="164" t="str">
        <f t="shared" ref="U11:U27" si="8">S11*$C$8</f>
        <v>34.33</v>
      </c>
      <c r="V11" s="165" t="str">
        <f t="shared" ref="V11:V27" si="9">N11*$C$3*(M11/30)</f>
        <v>0.00</v>
      </c>
      <c r="W11" s="166">
        <v>0.77</v>
      </c>
      <c r="X11" s="167" t="str">
        <f t="shared" ref="X11:X27" si="10">((_xlfn.CEILING.MATH(W11)-1)*$C$5+$C$4)</f>
        <v>76</v>
      </c>
      <c r="Y11" s="168" t="str">
        <f t="shared" ref="Y11:Y27" si="11">O11*$Y$6</f>
        <v>205.075</v>
      </c>
      <c r="Z11" s="168" t="str">
        <f t="shared" ref="Z11:Z27" si="12">S11*$Y$7</f>
        <v>9.311</v>
      </c>
      <c r="AA11" s="164" t="str">
        <f t="shared" ref="AA11:AA27" si="13">$Y$3*((100-AB11)/100)</f>
        <v>7.15</v>
      </c>
      <c r="AB11" s="164">
        <v>85.71</v>
      </c>
      <c r="AC11" s="164" t="str">
        <f t="shared" ref="AC11:AC27" si="14">$C$6*$C$7*_xlfn.CEILING.MATH(W11)</f>
        <v>4.80</v>
      </c>
      <c r="AD11" s="165" t="str">
        <f t="shared" ref="AD11:AD27" si="15">O11*$C$2</f>
        <v>31.55</v>
      </c>
      <c r="AE11" s="23"/>
      <c r="AF11" s="169" t="str">
        <f t="shared" ref="AF11:AF27" si="16">(_xlfn.CEILING.MATH(W11))*$Y$1*$AD$2</f>
        <v>0</v>
      </c>
      <c r="AG11" s="163" t="str">
        <f>O11-T11-U11-V11-X11-Y11-Z11-AA11-AC11-AD11-N11</f>
        <v>-21.21</v>
      </c>
      <c r="AH11" s="170" t="str">
        <f t="shared" ref="AH11:AH42" si="17">AG11/N11</f>
        <v>-9.47%</v>
      </c>
      <c r="AI11" s="26"/>
      <c r="AJ11" s="171" t="str">
        <f t="shared" ref="AJ11:AJ13" si="18">$AD$3</f>
        <v>0.00%</v>
      </c>
      <c r="AK11" s="172" t="str">
        <f t="shared" ref="AK11:AK13" si="19">N11*AJ11</f>
        <v>0.00</v>
      </c>
      <c r="AL11" s="173" t="str">
        <f t="shared" ref="AL11:AL13" si="20">(N11+T11+V11+X11+AA11+AC11+AF11+AK11)/(100%-($C$2+$C$8+$Y$6+$Y$7))</f>
        <v>710.77</v>
      </c>
      <c r="AM11" s="174" t="str">
        <f t="shared" ref="AM11:AM13" si="21">AL11-(AL11*$AD$1)</f>
        <v>504.65</v>
      </c>
    </row>
    <row r="12" ht="12.75" customHeight="1">
      <c r="A12" s="26"/>
      <c r="B12" s="190" t="s">
        <v>451</v>
      </c>
      <c r="C12" s="191">
        <v>1.68956857E8</v>
      </c>
      <c r="D12" s="152" t="s">
        <v>452</v>
      </c>
      <c r="E12" s="53" t="s">
        <v>77</v>
      </c>
      <c r="F12" s="154"/>
      <c r="G12" s="53"/>
      <c r="H12" s="53" t="str">
        <f t="shared" si="1"/>
        <v>0.00069</v>
      </c>
      <c r="I12" s="53" t="str">
        <f t="shared" si="2"/>
        <v>89</v>
      </c>
      <c r="J12" s="53" t="str">
        <f t="shared" si="3"/>
        <v>0</v>
      </c>
      <c r="K12" s="155" t="str">
        <f t="shared" si="4"/>
        <v>0.00</v>
      </c>
      <c r="L12" s="156" t="str">
        <f t="shared" si="5"/>
        <v>0.00 </v>
      </c>
      <c r="M12" s="132">
        <v>90.0</v>
      </c>
      <c r="N12" s="157">
        <v>560.0</v>
      </c>
      <c r="O12" s="158">
        <v>1590.0</v>
      </c>
      <c r="P12" s="159" t="str">
        <f t="shared" si="6"/>
        <v>1,590.00</v>
      </c>
      <c r="Q12" s="160">
        <v>1348.0</v>
      </c>
      <c r="R12" s="161">
        <v>0.32</v>
      </c>
      <c r="S12" s="162" t="str">
        <f t="shared" si="7"/>
        <v>1,081.20</v>
      </c>
      <c r="T12" s="163" t="str">
        <f t="shared" ref="T12:T27" si="22">$C$1</f>
        <v>60.00</v>
      </c>
      <c r="U12" s="164" t="str">
        <f t="shared" si="8"/>
        <v>86.50</v>
      </c>
      <c r="V12" s="165" t="str">
        <f t="shared" si="9"/>
        <v>0.00</v>
      </c>
      <c r="W12" s="166">
        <v>1.46</v>
      </c>
      <c r="X12" s="167" t="str">
        <f t="shared" si="10"/>
        <v>95</v>
      </c>
      <c r="Y12" s="168" t="str">
        <f t="shared" si="11"/>
        <v>516.750</v>
      </c>
      <c r="Z12" s="168" t="str">
        <f t="shared" si="12"/>
        <v>23.462</v>
      </c>
      <c r="AA12" s="164" t="str">
        <f t="shared" si="13"/>
        <v>2.48</v>
      </c>
      <c r="AB12" s="164">
        <v>95.04</v>
      </c>
      <c r="AC12" s="164" t="str">
        <f t="shared" si="14"/>
        <v>9.60</v>
      </c>
      <c r="AD12" s="165" t="str">
        <f t="shared" si="15"/>
        <v>79.50</v>
      </c>
      <c r="AE12" s="23"/>
      <c r="AF12" s="169" t="str">
        <f t="shared" si="16"/>
        <v>0</v>
      </c>
      <c r="AG12" s="163" t="str">
        <f>O12-T12-U12-V12-X12-Y12-Z12-AA12-AC12-AD12-N12-AF12</f>
        <v>156.71</v>
      </c>
      <c r="AH12" s="170" t="str">
        <f t="shared" si="17"/>
        <v>27.98%</v>
      </c>
      <c r="AI12" s="26"/>
      <c r="AJ12" s="171" t="str">
        <f t="shared" si="18"/>
        <v>0.00%</v>
      </c>
      <c r="AK12" s="172" t="str">
        <f t="shared" si="19"/>
        <v>0.00</v>
      </c>
      <c r="AL12" s="173" t="str">
        <f t="shared" si="20"/>
        <v>1,389.41</v>
      </c>
      <c r="AM12" s="174" t="str">
        <f t="shared" si="21"/>
        <v>986.48</v>
      </c>
    </row>
    <row r="13" ht="12.75" customHeight="1">
      <c r="A13" s="26"/>
      <c r="B13" s="190" t="s">
        <v>495</v>
      </c>
      <c r="C13" s="191">
        <v>1.69074006E8</v>
      </c>
      <c r="D13" s="222" t="s">
        <v>496</v>
      </c>
      <c r="E13" s="53" t="s">
        <v>77</v>
      </c>
      <c r="F13" s="154"/>
      <c r="G13" s="53"/>
      <c r="H13" s="53" t="str">
        <f t="shared" si="1"/>
        <v>0.00069</v>
      </c>
      <c r="I13" s="53" t="str">
        <f t="shared" si="2"/>
        <v>89</v>
      </c>
      <c r="J13" s="53" t="str">
        <f t="shared" si="3"/>
        <v>0</v>
      </c>
      <c r="K13" s="155" t="str">
        <f t="shared" si="4"/>
        <v>0.00</v>
      </c>
      <c r="L13" s="156" t="str">
        <f t="shared" si="5"/>
        <v>0.00 </v>
      </c>
      <c r="M13" s="132">
        <v>90.0</v>
      </c>
      <c r="N13" s="157">
        <v>422.0</v>
      </c>
      <c r="O13" s="158">
        <v>1172.0</v>
      </c>
      <c r="P13" s="159" t="str">
        <f t="shared" si="6"/>
        <v>1,172.00</v>
      </c>
      <c r="Q13" s="160">
        <v>885.0</v>
      </c>
      <c r="R13" s="161">
        <v>0.32</v>
      </c>
      <c r="S13" s="162" t="str">
        <f t="shared" si="7"/>
        <v>796.96</v>
      </c>
      <c r="T13" s="163" t="str">
        <f t="shared" si="22"/>
        <v>60.00</v>
      </c>
      <c r="U13" s="164" t="str">
        <f t="shared" si="8"/>
        <v>63.76</v>
      </c>
      <c r="V13" s="165" t="str">
        <f t="shared" si="9"/>
        <v>0.00</v>
      </c>
      <c r="W13" s="166">
        <v>1.26</v>
      </c>
      <c r="X13" s="167" t="str">
        <f t="shared" si="10"/>
        <v>95</v>
      </c>
      <c r="Y13" s="168" t="str">
        <f t="shared" si="11"/>
        <v>380.900</v>
      </c>
      <c r="Z13" s="168" t="str">
        <f t="shared" si="12"/>
        <v>17.294</v>
      </c>
      <c r="AA13" s="164" t="str">
        <f t="shared" si="13"/>
        <v>34.09</v>
      </c>
      <c r="AB13" s="164">
        <v>31.82</v>
      </c>
      <c r="AC13" s="164" t="str">
        <f t="shared" si="14"/>
        <v>9.60</v>
      </c>
      <c r="AD13" s="165" t="str">
        <f t="shared" si="15"/>
        <v>58.60</v>
      </c>
      <c r="AE13" s="23"/>
      <c r="AF13" s="169" t="str">
        <f t="shared" si="16"/>
        <v>0</v>
      </c>
      <c r="AG13" s="163" t="str">
        <f t="shared" ref="AG13:AG27" si="23">O13-T13-U13-V13-X13-Y13-Z13-AA13-AC13-AD13-N13</f>
        <v>30.76</v>
      </c>
      <c r="AH13" s="170" t="str">
        <f t="shared" si="17"/>
        <v>7.29%</v>
      </c>
      <c r="AI13" s="26"/>
      <c r="AJ13" s="171" t="str">
        <f t="shared" si="18"/>
        <v>0.00%</v>
      </c>
      <c r="AK13" s="172" t="str">
        <f t="shared" si="19"/>
        <v>0.00</v>
      </c>
      <c r="AL13" s="173" t="str">
        <f t="shared" si="20"/>
        <v>1,186.11</v>
      </c>
      <c r="AM13" s="174" t="str">
        <f t="shared" si="21"/>
        <v>842.14</v>
      </c>
    </row>
    <row r="14" ht="12.75" customHeight="1">
      <c r="A14" s="26"/>
      <c r="B14" s="190"/>
      <c r="C14" s="382">
        <v>8.809744062129E12</v>
      </c>
      <c r="D14" s="222" t="s">
        <v>802</v>
      </c>
      <c r="E14" s="53" t="s">
        <v>77</v>
      </c>
      <c r="F14" s="154"/>
      <c r="G14" s="53"/>
      <c r="H14" s="53"/>
      <c r="I14" s="53"/>
      <c r="J14" s="53"/>
      <c r="K14" s="155"/>
      <c r="L14" s="156"/>
      <c r="M14" s="132"/>
      <c r="N14" s="157">
        <v>422.0</v>
      </c>
      <c r="O14" s="158">
        <v>1172.0</v>
      </c>
      <c r="P14" s="159" t="str">
        <f t="shared" si="6"/>
        <v>1,172.00</v>
      </c>
      <c r="Q14" s="160">
        <v>885.0</v>
      </c>
      <c r="R14" s="161">
        <v>0.32</v>
      </c>
      <c r="S14" s="162" t="str">
        <f t="shared" si="7"/>
        <v>796.96</v>
      </c>
      <c r="T14" s="163" t="str">
        <f t="shared" si="22"/>
        <v>60.00</v>
      </c>
      <c r="U14" s="164" t="str">
        <f t="shared" si="8"/>
        <v>63.76</v>
      </c>
      <c r="V14" s="165" t="str">
        <f t="shared" si="9"/>
        <v>0.00</v>
      </c>
      <c r="W14" s="166">
        <v>1.26</v>
      </c>
      <c r="X14" s="167" t="str">
        <f t="shared" si="10"/>
        <v>95</v>
      </c>
      <c r="Y14" s="168" t="str">
        <f t="shared" si="11"/>
        <v>380.900</v>
      </c>
      <c r="Z14" s="168" t="str">
        <f t="shared" si="12"/>
        <v>17.294</v>
      </c>
      <c r="AA14" s="164" t="str">
        <f t="shared" si="13"/>
        <v>34.09</v>
      </c>
      <c r="AB14" s="164">
        <v>31.82</v>
      </c>
      <c r="AC14" s="164" t="str">
        <f t="shared" si="14"/>
        <v>9.60</v>
      </c>
      <c r="AD14" s="165" t="str">
        <f t="shared" si="15"/>
        <v>58.60</v>
      </c>
      <c r="AE14" s="23"/>
      <c r="AF14" s="169" t="str">
        <f t="shared" si="16"/>
        <v>0</v>
      </c>
      <c r="AG14" s="163" t="str">
        <f t="shared" si="23"/>
        <v>30.76</v>
      </c>
      <c r="AH14" s="170" t="str">
        <f t="shared" si="17"/>
        <v>7.29%</v>
      </c>
      <c r="AI14" s="26"/>
      <c r="AJ14" s="171"/>
      <c r="AK14" s="172"/>
      <c r="AL14" s="173"/>
      <c r="AM14" s="174"/>
    </row>
    <row r="15" ht="12.75" customHeight="1">
      <c r="A15" s="26"/>
      <c r="B15" s="190" t="s">
        <v>479</v>
      </c>
      <c r="C15" s="191">
        <v>1.65308892E8</v>
      </c>
      <c r="D15" s="222" t="s">
        <v>480</v>
      </c>
      <c r="E15" s="53" t="s">
        <v>77</v>
      </c>
      <c r="F15" s="154"/>
      <c r="G15" s="53"/>
      <c r="H15" s="53" t="str">
        <f>$I$2</f>
        <v>0.00069</v>
      </c>
      <c r="I15" s="53" t="str">
        <f>$I$3</f>
        <v>89</v>
      </c>
      <c r="J15" s="53" t="str">
        <f>G15*H15*I15*F15</f>
        <v>0</v>
      </c>
      <c r="K15" s="155" t="str">
        <f>J15*$J$4</f>
        <v>0.00</v>
      </c>
      <c r="L15" s="156" t="str">
        <f>K15+J15</f>
        <v>0.00 </v>
      </c>
      <c r="M15" s="132">
        <v>90.0</v>
      </c>
      <c r="N15" s="157">
        <v>490.0</v>
      </c>
      <c r="O15" s="158">
        <v>1391.0</v>
      </c>
      <c r="P15" s="159" t="str">
        <f t="shared" si="6"/>
        <v>1,391.00</v>
      </c>
      <c r="Q15" s="160">
        <v>1117.0</v>
      </c>
      <c r="R15" s="161">
        <v>0.32</v>
      </c>
      <c r="S15" s="162" t="str">
        <f t="shared" si="7"/>
        <v>945.88</v>
      </c>
      <c r="T15" s="163" t="str">
        <f t="shared" si="22"/>
        <v>60.00</v>
      </c>
      <c r="U15" s="164" t="str">
        <f t="shared" si="8"/>
        <v>75.67</v>
      </c>
      <c r="V15" s="165" t="str">
        <f t="shared" si="9"/>
        <v>0.00</v>
      </c>
      <c r="W15" s="166">
        <v>0.43</v>
      </c>
      <c r="X15" s="167" t="str">
        <f t="shared" si="10"/>
        <v>76</v>
      </c>
      <c r="Y15" s="168" t="str">
        <f t="shared" si="11"/>
        <v>452.075</v>
      </c>
      <c r="Z15" s="168" t="str">
        <f t="shared" si="12"/>
        <v>20.526</v>
      </c>
      <c r="AA15" s="164" t="str">
        <f t="shared" si="13"/>
        <v>2.84</v>
      </c>
      <c r="AB15" s="164">
        <v>94.33</v>
      </c>
      <c r="AC15" s="164" t="str">
        <f t="shared" si="14"/>
        <v>4.80</v>
      </c>
      <c r="AD15" s="165" t="str">
        <f t="shared" si="15"/>
        <v>69.55</v>
      </c>
      <c r="AE15" s="23"/>
      <c r="AF15" s="169" t="str">
        <f t="shared" si="16"/>
        <v>0</v>
      </c>
      <c r="AG15" s="163" t="str">
        <f t="shared" si="23"/>
        <v>139.54</v>
      </c>
      <c r="AH15" s="170" t="str">
        <f t="shared" si="17"/>
        <v>28.48%</v>
      </c>
      <c r="AI15" s="26"/>
      <c r="AJ15" s="171" t="str">
        <f>$AD$3</f>
        <v>0.00%</v>
      </c>
      <c r="AK15" s="172" t="str">
        <f>N15*AJ15</f>
        <v>0.00</v>
      </c>
      <c r="AL15" s="173" t="str">
        <f>(N15+T15+V15+X15+AA15+AC15+AF15+AK15)/(100%-($C$2+$C$8+$Y$6+$Y$7))</f>
        <v>1,210.84</v>
      </c>
      <c r="AM15" s="174" t="str">
        <f>AL15-(AL15*$AD$1)</f>
        <v>859.70</v>
      </c>
    </row>
    <row r="16" ht="12.75" customHeight="1">
      <c r="A16" s="26"/>
      <c r="B16" s="190"/>
      <c r="C16" s="382">
        <v>8.809744060149E12</v>
      </c>
      <c r="D16" s="222" t="s">
        <v>803</v>
      </c>
      <c r="E16" s="53"/>
      <c r="F16" s="154"/>
      <c r="G16" s="53"/>
      <c r="H16" s="53"/>
      <c r="I16" s="53"/>
      <c r="J16" s="53"/>
      <c r="K16" s="155"/>
      <c r="L16" s="156"/>
      <c r="M16" s="132"/>
      <c r="N16" s="157">
        <v>272.0</v>
      </c>
      <c r="O16" s="158">
        <v>800.0</v>
      </c>
      <c r="P16" s="159" t="str">
        <f t="shared" si="6"/>
        <v>800.00</v>
      </c>
      <c r="Q16" s="160">
        <v>1117.0</v>
      </c>
      <c r="R16" s="161">
        <v>0.32</v>
      </c>
      <c r="S16" s="162" t="str">
        <f t="shared" si="7"/>
        <v>544.00</v>
      </c>
      <c r="T16" s="163" t="str">
        <f t="shared" si="22"/>
        <v>60.00</v>
      </c>
      <c r="U16" s="164" t="str">
        <f t="shared" si="8"/>
        <v>43.52</v>
      </c>
      <c r="V16" s="165" t="str">
        <f t="shared" si="9"/>
        <v>0.00</v>
      </c>
      <c r="W16" s="166">
        <v>0.43</v>
      </c>
      <c r="X16" s="167" t="str">
        <f t="shared" si="10"/>
        <v>76</v>
      </c>
      <c r="Y16" s="168" t="str">
        <f t="shared" si="11"/>
        <v>260.000</v>
      </c>
      <c r="Z16" s="168" t="str">
        <f t="shared" si="12"/>
        <v>11.805</v>
      </c>
      <c r="AA16" s="164" t="str">
        <f t="shared" si="13"/>
        <v>2.84</v>
      </c>
      <c r="AB16" s="164">
        <v>94.33</v>
      </c>
      <c r="AC16" s="164" t="str">
        <f t="shared" si="14"/>
        <v>4.80</v>
      </c>
      <c r="AD16" s="165" t="str">
        <f t="shared" si="15"/>
        <v>40.00</v>
      </c>
      <c r="AE16" s="23"/>
      <c r="AF16" s="169" t="str">
        <f t="shared" si="16"/>
        <v>0</v>
      </c>
      <c r="AG16" s="163" t="str">
        <f t="shared" si="23"/>
        <v>29.04</v>
      </c>
      <c r="AH16" s="170" t="str">
        <f t="shared" si="17"/>
        <v>10.68%</v>
      </c>
      <c r="AI16" s="26"/>
      <c r="AJ16" s="171"/>
      <c r="AK16" s="172"/>
      <c r="AL16" s="173"/>
      <c r="AM16" s="174"/>
    </row>
    <row r="17" ht="12.75" customHeight="1">
      <c r="A17" s="26"/>
      <c r="B17" s="190"/>
      <c r="C17" s="191">
        <v>8.809744062396E12</v>
      </c>
      <c r="D17" s="222" t="s">
        <v>804</v>
      </c>
      <c r="E17" s="53" t="s">
        <v>77</v>
      </c>
      <c r="F17" s="154"/>
      <c r="G17" s="53"/>
      <c r="H17" s="53"/>
      <c r="I17" s="53"/>
      <c r="J17" s="53"/>
      <c r="K17" s="155"/>
      <c r="L17" s="156"/>
      <c r="M17" s="132"/>
      <c r="N17" s="157">
        <v>322.0</v>
      </c>
      <c r="O17" s="158">
        <v>930.0</v>
      </c>
      <c r="P17" s="159" t="str">
        <f t="shared" si="6"/>
        <v>930.00</v>
      </c>
      <c r="Q17" s="160">
        <v>1117.0</v>
      </c>
      <c r="R17" s="161">
        <v>0.32</v>
      </c>
      <c r="S17" s="162" t="str">
        <f t="shared" si="7"/>
        <v>632.40</v>
      </c>
      <c r="T17" s="163" t="str">
        <f t="shared" si="22"/>
        <v>60.00</v>
      </c>
      <c r="U17" s="164" t="str">
        <f t="shared" si="8"/>
        <v>50.59</v>
      </c>
      <c r="V17" s="165" t="str">
        <f t="shared" si="9"/>
        <v>0.00</v>
      </c>
      <c r="W17" s="166">
        <v>0.43</v>
      </c>
      <c r="X17" s="167" t="str">
        <f t="shared" si="10"/>
        <v>76</v>
      </c>
      <c r="Y17" s="168" t="str">
        <f t="shared" si="11"/>
        <v>302.250</v>
      </c>
      <c r="Z17" s="168" t="str">
        <f t="shared" si="12"/>
        <v>13.723</v>
      </c>
      <c r="AA17" s="164" t="str">
        <f t="shared" si="13"/>
        <v>2.84</v>
      </c>
      <c r="AB17" s="164">
        <v>94.33</v>
      </c>
      <c r="AC17" s="164" t="str">
        <f t="shared" si="14"/>
        <v>4.80</v>
      </c>
      <c r="AD17" s="165" t="str">
        <f t="shared" si="15"/>
        <v>46.50</v>
      </c>
      <c r="AE17" s="23"/>
      <c r="AF17" s="169" t="str">
        <f t="shared" si="16"/>
        <v>0</v>
      </c>
      <c r="AG17" s="163" t="str">
        <f t="shared" si="23"/>
        <v>51.30</v>
      </c>
      <c r="AH17" s="170" t="str">
        <f t="shared" si="17"/>
        <v>15.93%</v>
      </c>
      <c r="AI17" s="26"/>
      <c r="AJ17" s="171"/>
      <c r="AK17" s="172"/>
      <c r="AL17" s="173"/>
      <c r="AM17" s="174"/>
    </row>
    <row r="18" ht="12.75" hidden="1" customHeight="1">
      <c r="A18" s="26"/>
      <c r="B18" s="190" t="s">
        <v>453</v>
      </c>
      <c r="C18" s="192">
        <v>1.88818E8</v>
      </c>
      <c r="D18" s="152" t="s">
        <v>454</v>
      </c>
      <c r="E18" s="53" t="s">
        <v>455</v>
      </c>
      <c r="F18" s="154"/>
      <c r="G18" s="53"/>
      <c r="H18" s="53" t="str">
        <f t="shared" ref="H18:H42" si="24">$I$2</f>
        <v>0.00069</v>
      </c>
      <c r="I18" s="53" t="str">
        <f t="shared" ref="I18:I42" si="25">$I$3</f>
        <v>89</v>
      </c>
      <c r="J18" s="53" t="str">
        <f t="shared" ref="J18:J42" si="26">G18*H18*I18*F18</f>
        <v>0</v>
      </c>
      <c r="K18" s="155" t="str">
        <f t="shared" ref="K18:K42" si="27">J18*$J$4</f>
        <v>0.00</v>
      </c>
      <c r="L18" s="156" t="str">
        <f t="shared" ref="L18:L42" si="28">K18+J18</f>
        <v>0.00 </v>
      </c>
      <c r="M18" s="132">
        <v>90.0</v>
      </c>
      <c r="N18" s="157" t="str">
        <f t="shared" ref="N18:N42" si="29">L18/F18</f>
        <v>#DIV/0!</v>
      </c>
      <c r="O18" s="158">
        <v>637.0</v>
      </c>
      <c r="P18" s="159" t="str">
        <f t="shared" si="6"/>
        <v>637.00</v>
      </c>
      <c r="Q18" s="160"/>
      <c r="R18" s="161">
        <v>0.25</v>
      </c>
      <c r="S18" s="162" t="str">
        <f t="shared" si="7"/>
        <v>477.75</v>
      </c>
      <c r="T18" s="163" t="str">
        <f t="shared" si="22"/>
        <v>60.00</v>
      </c>
      <c r="U18" s="164" t="str">
        <f t="shared" si="8"/>
        <v>38.22</v>
      </c>
      <c r="V18" s="165" t="str">
        <f t="shared" si="9"/>
        <v>#DIV/0!</v>
      </c>
      <c r="W18" s="166">
        <v>0.61</v>
      </c>
      <c r="X18" s="167" t="str">
        <f t="shared" si="10"/>
        <v>76</v>
      </c>
      <c r="Y18" s="168" t="str">
        <f t="shared" si="11"/>
        <v>207.025</v>
      </c>
      <c r="Z18" s="168" t="str">
        <f t="shared" si="12"/>
        <v>10.367</v>
      </c>
      <c r="AA18" s="164" t="str">
        <f t="shared" si="13"/>
        <v>6.09</v>
      </c>
      <c r="AB18" s="164">
        <v>87.83</v>
      </c>
      <c r="AC18" s="164" t="str">
        <f t="shared" si="14"/>
        <v>4.80</v>
      </c>
      <c r="AD18" s="165" t="str">
        <f t="shared" si="15"/>
        <v>31.85</v>
      </c>
      <c r="AE18" s="23"/>
      <c r="AF18" s="169" t="str">
        <f t="shared" si="16"/>
        <v>0</v>
      </c>
      <c r="AG18" s="163" t="str">
        <f t="shared" si="23"/>
        <v>#DIV/0!</v>
      </c>
      <c r="AH18" s="170" t="str">
        <f t="shared" si="17"/>
        <v>#DIV/0!</v>
      </c>
      <c r="AI18" s="26"/>
      <c r="AJ18" s="171" t="str">
        <f t="shared" ref="AJ18:AJ27" si="30">$AD$3</f>
        <v>0.00%</v>
      </c>
      <c r="AK18" s="172" t="str">
        <f t="shared" ref="AK18:AK27" si="31">N18*AJ18</f>
        <v>#DIV/0!</v>
      </c>
      <c r="AL18" s="173" t="str">
        <f t="shared" ref="AL18:AL27" si="32">(N18+T18+V18+X18+AA18+AC18+AF18+AK18)/(100%-($C$2+$C$8+$Y$6+$Y$7))</f>
        <v>#DIV/0!</v>
      </c>
      <c r="AM18" s="174" t="str">
        <f t="shared" ref="AM18:AM27" si="33">AL18-(AL18*$AD$1)</f>
        <v>#DIV/0!</v>
      </c>
    </row>
    <row r="19" ht="12.75" hidden="1" customHeight="1">
      <c r="A19" s="26"/>
      <c r="B19" s="190" t="s">
        <v>456</v>
      </c>
      <c r="C19" s="215">
        <v>1.88823064E8</v>
      </c>
      <c r="D19" s="152" t="s">
        <v>457</v>
      </c>
      <c r="E19" s="53" t="s">
        <v>77</v>
      </c>
      <c r="F19" s="154"/>
      <c r="G19" s="53"/>
      <c r="H19" s="53" t="str">
        <f t="shared" si="24"/>
        <v>0.00069</v>
      </c>
      <c r="I19" s="53" t="str">
        <f t="shared" si="25"/>
        <v>89</v>
      </c>
      <c r="J19" s="53" t="str">
        <f t="shared" si="26"/>
        <v>0</v>
      </c>
      <c r="K19" s="155" t="str">
        <f t="shared" si="27"/>
        <v>0.00</v>
      </c>
      <c r="L19" s="156" t="str">
        <f t="shared" si="28"/>
        <v>0.00 </v>
      </c>
      <c r="M19" s="132">
        <v>90.0</v>
      </c>
      <c r="N19" s="157" t="str">
        <f t="shared" si="29"/>
        <v>#DIV/0!</v>
      </c>
      <c r="O19" s="158">
        <v>729.9</v>
      </c>
      <c r="P19" s="159" t="str">
        <f t="shared" si="6"/>
        <v>729.90</v>
      </c>
      <c r="Q19" s="160"/>
      <c r="R19" s="161">
        <v>0.26</v>
      </c>
      <c r="S19" s="162" t="str">
        <f t="shared" si="7"/>
        <v>540.13</v>
      </c>
      <c r="T19" s="163" t="str">
        <f t="shared" si="22"/>
        <v>60.00</v>
      </c>
      <c r="U19" s="164" t="str">
        <f t="shared" si="8"/>
        <v>43.21</v>
      </c>
      <c r="V19" s="165" t="str">
        <f t="shared" si="9"/>
        <v>#DIV/0!</v>
      </c>
      <c r="W19" s="166">
        <v>1.08</v>
      </c>
      <c r="X19" s="167" t="str">
        <f t="shared" si="10"/>
        <v>95</v>
      </c>
      <c r="Y19" s="168" t="str">
        <f t="shared" si="11"/>
        <v>237.218</v>
      </c>
      <c r="Z19" s="168" t="str">
        <f t="shared" si="12"/>
        <v>11.721</v>
      </c>
      <c r="AA19" s="164" t="str">
        <f t="shared" si="13"/>
        <v>1.93</v>
      </c>
      <c r="AB19" s="164">
        <v>96.15</v>
      </c>
      <c r="AC19" s="164" t="str">
        <f t="shared" si="14"/>
        <v>9.60</v>
      </c>
      <c r="AD19" s="165" t="str">
        <f t="shared" si="15"/>
        <v>36.50</v>
      </c>
      <c r="AE19" s="23"/>
      <c r="AF19" s="169" t="str">
        <f t="shared" si="16"/>
        <v>0</v>
      </c>
      <c r="AG19" s="163" t="str">
        <f t="shared" si="23"/>
        <v>#DIV/0!</v>
      </c>
      <c r="AH19" s="170" t="str">
        <f t="shared" si="17"/>
        <v>#DIV/0!</v>
      </c>
      <c r="AI19" s="26"/>
      <c r="AJ19" s="171" t="str">
        <f t="shared" si="30"/>
        <v>0.00%</v>
      </c>
      <c r="AK19" s="172" t="str">
        <f t="shared" si="31"/>
        <v>#DIV/0!</v>
      </c>
      <c r="AL19" s="173" t="str">
        <f t="shared" si="32"/>
        <v>#DIV/0!</v>
      </c>
      <c r="AM19" s="174" t="str">
        <f t="shared" si="33"/>
        <v>#DIV/0!</v>
      </c>
    </row>
    <row r="20" ht="12.75" hidden="1" customHeight="1">
      <c r="A20" s="26"/>
      <c r="B20" s="190" t="s">
        <v>458</v>
      </c>
      <c r="C20" s="191">
        <v>1.99544883E8</v>
      </c>
      <c r="D20" s="152" t="s">
        <v>459</v>
      </c>
      <c r="E20" s="53" t="s">
        <v>77</v>
      </c>
      <c r="F20" s="154"/>
      <c r="G20" s="53"/>
      <c r="H20" s="53" t="str">
        <f t="shared" si="24"/>
        <v>0.00069</v>
      </c>
      <c r="I20" s="53" t="str">
        <f t="shared" si="25"/>
        <v>89</v>
      </c>
      <c r="J20" s="53" t="str">
        <f t="shared" si="26"/>
        <v>0</v>
      </c>
      <c r="K20" s="155" t="str">
        <f t="shared" si="27"/>
        <v>0.00</v>
      </c>
      <c r="L20" s="156" t="str">
        <f t="shared" si="28"/>
        <v>0.00 </v>
      </c>
      <c r="M20" s="132">
        <v>90.0</v>
      </c>
      <c r="N20" s="157" t="str">
        <f t="shared" si="29"/>
        <v>#DIV/0!</v>
      </c>
      <c r="O20" s="158">
        <v>1809.9</v>
      </c>
      <c r="P20" s="159" t="str">
        <f t="shared" si="6"/>
        <v>1,809.90</v>
      </c>
      <c r="Q20" s="160"/>
      <c r="R20" s="161">
        <v>0.26</v>
      </c>
      <c r="S20" s="162" t="str">
        <f t="shared" si="7"/>
        <v>1,339.33</v>
      </c>
      <c r="T20" s="163" t="str">
        <f t="shared" si="22"/>
        <v>60.00</v>
      </c>
      <c r="U20" s="164" t="str">
        <f t="shared" si="8"/>
        <v>107.15</v>
      </c>
      <c r="V20" s="165" t="str">
        <f t="shared" si="9"/>
        <v>#DIV/0!</v>
      </c>
      <c r="W20" s="166">
        <v>2.64</v>
      </c>
      <c r="X20" s="167" t="str">
        <f t="shared" si="10"/>
        <v>114</v>
      </c>
      <c r="Y20" s="168" t="str">
        <f t="shared" si="11"/>
        <v>588.218</v>
      </c>
      <c r="Z20" s="168" t="str">
        <f t="shared" si="12"/>
        <v>29.063</v>
      </c>
      <c r="AA20" s="164" t="str">
        <f t="shared" si="13"/>
        <v>1.90</v>
      </c>
      <c r="AB20" s="164">
        <v>96.21</v>
      </c>
      <c r="AC20" s="164" t="str">
        <f t="shared" si="14"/>
        <v>14.40</v>
      </c>
      <c r="AD20" s="165" t="str">
        <f t="shared" si="15"/>
        <v>90.50</v>
      </c>
      <c r="AE20" s="23"/>
      <c r="AF20" s="169" t="str">
        <f t="shared" si="16"/>
        <v>0</v>
      </c>
      <c r="AG20" s="163" t="str">
        <f t="shared" si="23"/>
        <v>#DIV/0!</v>
      </c>
      <c r="AH20" s="170" t="str">
        <f t="shared" si="17"/>
        <v>#DIV/0!</v>
      </c>
      <c r="AI20" s="26"/>
      <c r="AJ20" s="171" t="str">
        <f t="shared" si="30"/>
        <v>0.00%</v>
      </c>
      <c r="AK20" s="172" t="str">
        <f t="shared" si="31"/>
        <v>#DIV/0!</v>
      </c>
      <c r="AL20" s="173" t="str">
        <f t="shared" si="32"/>
        <v>#DIV/0!</v>
      </c>
      <c r="AM20" s="174" t="str">
        <f t="shared" si="33"/>
        <v>#DIV/0!</v>
      </c>
    </row>
    <row r="21" ht="12.75" hidden="1" customHeight="1">
      <c r="A21" s="26"/>
      <c r="B21" s="190" t="s">
        <v>460</v>
      </c>
      <c r="C21" s="192">
        <v>1.6895673E8</v>
      </c>
      <c r="D21" s="152" t="s">
        <v>461</v>
      </c>
      <c r="E21" s="53" t="s">
        <v>77</v>
      </c>
      <c r="F21" s="154"/>
      <c r="G21" s="53"/>
      <c r="H21" s="53" t="str">
        <f t="shared" si="24"/>
        <v>0.00069</v>
      </c>
      <c r="I21" s="53" t="str">
        <f t="shared" si="25"/>
        <v>89</v>
      </c>
      <c r="J21" s="53" t="str">
        <f t="shared" si="26"/>
        <v>0</v>
      </c>
      <c r="K21" s="155" t="str">
        <f t="shared" si="27"/>
        <v>0.00</v>
      </c>
      <c r="L21" s="156" t="str">
        <f t="shared" si="28"/>
        <v>0.00 </v>
      </c>
      <c r="M21" s="132">
        <v>90.0</v>
      </c>
      <c r="N21" s="157" t="str">
        <f t="shared" si="29"/>
        <v>#DIV/0!</v>
      </c>
      <c r="O21" s="158">
        <v>880.2</v>
      </c>
      <c r="P21" s="159" t="str">
        <f t="shared" si="6"/>
        <v>880.20</v>
      </c>
      <c r="Q21" s="160"/>
      <c r="R21" s="161">
        <v>0.26</v>
      </c>
      <c r="S21" s="162" t="str">
        <f t="shared" si="7"/>
        <v>651.35</v>
      </c>
      <c r="T21" s="163" t="str">
        <f t="shared" si="22"/>
        <v>60.00</v>
      </c>
      <c r="U21" s="164" t="str">
        <f t="shared" si="8"/>
        <v>52.11</v>
      </c>
      <c r="V21" s="165" t="str">
        <f t="shared" si="9"/>
        <v>#DIV/0!</v>
      </c>
      <c r="W21" s="166">
        <v>0.69</v>
      </c>
      <c r="X21" s="167" t="str">
        <f t="shared" si="10"/>
        <v>76</v>
      </c>
      <c r="Y21" s="168" t="str">
        <f t="shared" si="11"/>
        <v>286.065</v>
      </c>
      <c r="Z21" s="168" t="str">
        <f t="shared" si="12"/>
        <v>14.134</v>
      </c>
      <c r="AA21" s="164" t="str">
        <f t="shared" si="13"/>
        <v>1.01</v>
      </c>
      <c r="AB21" s="164">
        <v>97.99</v>
      </c>
      <c r="AC21" s="164" t="str">
        <f t="shared" si="14"/>
        <v>4.80</v>
      </c>
      <c r="AD21" s="165" t="str">
        <f t="shared" si="15"/>
        <v>44.01</v>
      </c>
      <c r="AE21" s="23"/>
      <c r="AF21" s="169" t="str">
        <f t="shared" si="16"/>
        <v>0</v>
      </c>
      <c r="AG21" s="163" t="str">
        <f t="shared" si="23"/>
        <v>#DIV/0!</v>
      </c>
      <c r="AH21" s="170" t="str">
        <f t="shared" si="17"/>
        <v>#DIV/0!</v>
      </c>
      <c r="AI21" s="26"/>
      <c r="AJ21" s="171" t="str">
        <f t="shared" si="30"/>
        <v>0.00%</v>
      </c>
      <c r="AK21" s="172" t="str">
        <f t="shared" si="31"/>
        <v>#DIV/0!</v>
      </c>
      <c r="AL21" s="173" t="str">
        <f t="shared" si="32"/>
        <v>#DIV/0!</v>
      </c>
      <c r="AM21" s="174" t="str">
        <f t="shared" si="33"/>
        <v>#DIV/0!</v>
      </c>
    </row>
    <row r="22" ht="12.75" hidden="1" customHeight="1">
      <c r="A22" s="26"/>
      <c r="B22" s="190" t="s">
        <v>462</v>
      </c>
      <c r="C22" s="192">
        <v>1.90158095E8</v>
      </c>
      <c r="D22" s="152" t="s">
        <v>463</v>
      </c>
      <c r="E22" s="53" t="s">
        <v>77</v>
      </c>
      <c r="F22" s="154"/>
      <c r="G22" s="53"/>
      <c r="H22" s="53" t="str">
        <f t="shared" si="24"/>
        <v>0.00069</v>
      </c>
      <c r="I22" s="53" t="str">
        <f t="shared" si="25"/>
        <v>89</v>
      </c>
      <c r="J22" s="53" t="str">
        <f t="shared" si="26"/>
        <v>0</v>
      </c>
      <c r="K22" s="155" t="str">
        <f t="shared" si="27"/>
        <v>0.00</v>
      </c>
      <c r="L22" s="156" t="str">
        <f t="shared" si="28"/>
        <v>0.00 </v>
      </c>
      <c r="M22" s="132">
        <v>90.0</v>
      </c>
      <c r="N22" s="157" t="str">
        <f t="shared" si="29"/>
        <v>#DIV/0!</v>
      </c>
      <c r="O22" s="158">
        <v>959.1</v>
      </c>
      <c r="P22" s="159" t="str">
        <f t="shared" si="6"/>
        <v>959.10</v>
      </c>
      <c r="Q22" s="160"/>
      <c r="R22" s="161">
        <v>0.26</v>
      </c>
      <c r="S22" s="162" t="str">
        <f t="shared" si="7"/>
        <v>709.73</v>
      </c>
      <c r="T22" s="163" t="str">
        <f t="shared" si="22"/>
        <v>60.00</v>
      </c>
      <c r="U22" s="164" t="str">
        <f t="shared" si="8"/>
        <v>56.78</v>
      </c>
      <c r="V22" s="165" t="str">
        <f t="shared" si="9"/>
        <v>#DIV/0!</v>
      </c>
      <c r="W22" s="166">
        <v>0.36</v>
      </c>
      <c r="X22" s="167" t="str">
        <f t="shared" si="10"/>
        <v>76</v>
      </c>
      <c r="Y22" s="168" t="str">
        <f t="shared" si="11"/>
        <v>311.708</v>
      </c>
      <c r="Z22" s="168" t="str">
        <f t="shared" si="12"/>
        <v>15.401</v>
      </c>
      <c r="AA22" s="164" t="str">
        <f t="shared" si="13"/>
        <v>0.00</v>
      </c>
      <c r="AB22" s="164">
        <v>100.0</v>
      </c>
      <c r="AC22" s="164" t="str">
        <f t="shared" si="14"/>
        <v>4.80</v>
      </c>
      <c r="AD22" s="165" t="str">
        <f t="shared" si="15"/>
        <v>47.96</v>
      </c>
      <c r="AE22" s="23"/>
      <c r="AF22" s="169" t="str">
        <f t="shared" si="16"/>
        <v>0</v>
      </c>
      <c r="AG22" s="163" t="str">
        <f t="shared" si="23"/>
        <v>#DIV/0!</v>
      </c>
      <c r="AH22" s="170" t="str">
        <f t="shared" si="17"/>
        <v>#DIV/0!</v>
      </c>
      <c r="AI22" s="26"/>
      <c r="AJ22" s="171" t="str">
        <f t="shared" si="30"/>
        <v>0.00%</v>
      </c>
      <c r="AK22" s="172" t="str">
        <f t="shared" si="31"/>
        <v>#DIV/0!</v>
      </c>
      <c r="AL22" s="173" t="str">
        <f t="shared" si="32"/>
        <v>#DIV/0!</v>
      </c>
      <c r="AM22" s="174" t="str">
        <f t="shared" si="33"/>
        <v>#DIV/0!</v>
      </c>
    </row>
    <row r="23" ht="12.75" hidden="1" customHeight="1">
      <c r="A23" s="26"/>
      <c r="B23" s="190" t="s">
        <v>464</v>
      </c>
      <c r="C23" s="191">
        <v>1.90158096E8</v>
      </c>
      <c r="D23" s="152" t="s">
        <v>465</v>
      </c>
      <c r="E23" s="53" t="s">
        <v>77</v>
      </c>
      <c r="F23" s="154"/>
      <c r="G23" s="53"/>
      <c r="H23" s="53" t="str">
        <f t="shared" si="24"/>
        <v>0.00069</v>
      </c>
      <c r="I23" s="53" t="str">
        <f t="shared" si="25"/>
        <v>89</v>
      </c>
      <c r="J23" s="53" t="str">
        <f t="shared" si="26"/>
        <v>0</v>
      </c>
      <c r="K23" s="155" t="str">
        <f t="shared" si="27"/>
        <v>0.00</v>
      </c>
      <c r="L23" s="156" t="str">
        <f t="shared" si="28"/>
        <v>0.00 </v>
      </c>
      <c r="M23" s="132">
        <v>90.0</v>
      </c>
      <c r="N23" s="157" t="str">
        <f t="shared" si="29"/>
        <v>#DIV/0!</v>
      </c>
      <c r="O23" s="158">
        <v>959.1</v>
      </c>
      <c r="P23" s="159" t="str">
        <f t="shared" si="6"/>
        <v>959.10</v>
      </c>
      <c r="Q23" s="160"/>
      <c r="R23" s="161">
        <v>0.26</v>
      </c>
      <c r="S23" s="162" t="str">
        <f t="shared" si="7"/>
        <v>709.73</v>
      </c>
      <c r="T23" s="163" t="str">
        <f t="shared" si="22"/>
        <v>60.00</v>
      </c>
      <c r="U23" s="164" t="str">
        <f t="shared" si="8"/>
        <v>56.78</v>
      </c>
      <c r="V23" s="165" t="str">
        <f t="shared" si="9"/>
        <v>#DIV/0!</v>
      </c>
      <c r="W23" s="166">
        <v>0.36</v>
      </c>
      <c r="X23" s="167" t="str">
        <f t="shared" si="10"/>
        <v>76</v>
      </c>
      <c r="Y23" s="168" t="str">
        <f t="shared" si="11"/>
        <v>311.708</v>
      </c>
      <c r="Z23" s="168" t="str">
        <f t="shared" si="12"/>
        <v>15.401</v>
      </c>
      <c r="AA23" s="164" t="str">
        <f t="shared" si="13"/>
        <v>1.79</v>
      </c>
      <c r="AB23" s="164">
        <v>96.43</v>
      </c>
      <c r="AC23" s="164" t="str">
        <f t="shared" si="14"/>
        <v>4.80</v>
      </c>
      <c r="AD23" s="165" t="str">
        <f t="shared" si="15"/>
        <v>47.96</v>
      </c>
      <c r="AE23" s="23"/>
      <c r="AF23" s="169" t="str">
        <f t="shared" si="16"/>
        <v>0</v>
      </c>
      <c r="AG23" s="163" t="str">
        <f t="shared" si="23"/>
        <v>#DIV/0!</v>
      </c>
      <c r="AH23" s="170" t="str">
        <f t="shared" si="17"/>
        <v>#DIV/0!</v>
      </c>
      <c r="AI23" s="26"/>
      <c r="AJ23" s="171" t="str">
        <f t="shared" si="30"/>
        <v>0.00%</v>
      </c>
      <c r="AK23" s="172" t="str">
        <f t="shared" si="31"/>
        <v>#DIV/0!</v>
      </c>
      <c r="AL23" s="173" t="str">
        <f t="shared" si="32"/>
        <v>#DIV/0!</v>
      </c>
      <c r="AM23" s="174" t="str">
        <f t="shared" si="33"/>
        <v>#DIV/0!</v>
      </c>
    </row>
    <row r="24" ht="12.75" hidden="1" customHeight="1">
      <c r="A24" s="26"/>
      <c r="B24" s="190" t="s">
        <v>466</v>
      </c>
      <c r="C24" s="191">
        <v>1.90158094E8</v>
      </c>
      <c r="D24" s="152" t="s">
        <v>467</v>
      </c>
      <c r="E24" s="53" t="s">
        <v>77</v>
      </c>
      <c r="F24" s="154"/>
      <c r="G24" s="53"/>
      <c r="H24" s="53" t="str">
        <f t="shared" si="24"/>
        <v>0.00069</v>
      </c>
      <c r="I24" s="53" t="str">
        <f t="shared" si="25"/>
        <v>89</v>
      </c>
      <c r="J24" s="53" t="str">
        <f t="shared" si="26"/>
        <v>0</v>
      </c>
      <c r="K24" s="155" t="str">
        <f t="shared" si="27"/>
        <v>0.00</v>
      </c>
      <c r="L24" s="156" t="str">
        <f t="shared" si="28"/>
        <v>0.00 </v>
      </c>
      <c r="M24" s="132">
        <v>90.0</v>
      </c>
      <c r="N24" s="157" t="str">
        <f t="shared" si="29"/>
        <v>#DIV/0!</v>
      </c>
      <c r="O24" s="158">
        <v>959.1</v>
      </c>
      <c r="P24" s="159" t="str">
        <f t="shared" si="6"/>
        <v>959.10</v>
      </c>
      <c r="Q24" s="160"/>
      <c r="R24" s="161">
        <v>0.26</v>
      </c>
      <c r="S24" s="162" t="str">
        <f t="shared" si="7"/>
        <v>709.73</v>
      </c>
      <c r="T24" s="163" t="str">
        <f t="shared" si="22"/>
        <v>60.00</v>
      </c>
      <c r="U24" s="164" t="str">
        <f t="shared" si="8"/>
        <v>56.78</v>
      </c>
      <c r="V24" s="165" t="str">
        <f t="shared" si="9"/>
        <v>#DIV/0!</v>
      </c>
      <c r="W24" s="166">
        <v>0.36</v>
      </c>
      <c r="X24" s="167" t="str">
        <f t="shared" si="10"/>
        <v>76</v>
      </c>
      <c r="Y24" s="168" t="str">
        <f t="shared" si="11"/>
        <v>311.708</v>
      </c>
      <c r="Z24" s="168" t="str">
        <f t="shared" si="12"/>
        <v>15.401</v>
      </c>
      <c r="AA24" s="164" t="str">
        <f t="shared" si="13"/>
        <v>3.32</v>
      </c>
      <c r="AB24" s="164">
        <v>93.37</v>
      </c>
      <c r="AC24" s="164" t="str">
        <f t="shared" si="14"/>
        <v>4.80</v>
      </c>
      <c r="AD24" s="165" t="str">
        <f t="shared" si="15"/>
        <v>47.96</v>
      </c>
      <c r="AE24" s="23"/>
      <c r="AF24" s="169" t="str">
        <f t="shared" si="16"/>
        <v>0</v>
      </c>
      <c r="AG24" s="163" t="str">
        <f t="shared" si="23"/>
        <v>#DIV/0!</v>
      </c>
      <c r="AH24" s="170" t="str">
        <f t="shared" si="17"/>
        <v>#DIV/0!</v>
      </c>
      <c r="AI24" s="26"/>
      <c r="AJ24" s="171" t="str">
        <f t="shared" si="30"/>
        <v>0.00%</v>
      </c>
      <c r="AK24" s="172" t="str">
        <f t="shared" si="31"/>
        <v>#DIV/0!</v>
      </c>
      <c r="AL24" s="173" t="str">
        <f t="shared" si="32"/>
        <v>#DIV/0!</v>
      </c>
      <c r="AM24" s="174" t="str">
        <f t="shared" si="33"/>
        <v>#DIV/0!</v>
      </c>
    </row>
    <row r="25" ht="12.75" hidden="1" customHeight="1">
      <c r="A25" s="26"/>
      <c r="B25" s="190" t="s">
        <v>468</v>
      </c>
      <c r="C25" s="191">
        <v>1.90158097E8</v>
      </c>
      <c r="D25" s="152" t="s">
        <v>469</v>
      </c>
      <c r="E25" s="53" t="s">
        <v>77</v>
      </c>
      <c r="F25" s="154"/>
      <c r="G25" s="53"/>
      <c r="H25" s="53" t="str">
        <f t="shared" si="24"/>
        <v>0.00069</v>
      </c>
      <c r="I25" s="53" t="str">
        <f t="shared" si="25"/>
        <v>89</v>
      </c>
      <c r="J25" s="53" t="str">
        <f t="shared" si="26"/>
        <v>0</v>
      </c>
      <c r="K25" s="155" t="str">
        <f t="shared" si="27"/>
        <v>0.00</v>
      </c>
      <c r="L25" s="156" t="str">
        <f t="shared" si="28"/>
        <v>0.00 </v>
      </c>
      <c r="M25" s="132">
        <v>90.0</v>
      </c>
      <c r="N25" s="157" t="str">
        <f t="shared" si="29"/>
        <v>#DIV/0!</v>
      </c>
      <c r="O25" s="158">
        <v>959.1</v>
      </c>
      <c r="P25" s="159" t="str">
        <f t="shared" si="6"/>
        <v>959.10</v>
      </c>
      <c r="Q25" s="160"/>
      <c r="R25" s="161">
        <v>0.26</v>
      </c>
      <c r="S25" s="162" t="str">
        <f t="shared" si="7"/>
        <v>709.73</v>
      </c>
      <c r="T25" s="163" t="str">
        <f t="shared" si="22"/>
        <v>60.00</v>
      </c>
      <c r="U25" s="164" t="str">
        <f t="shared" si="8"/>
        <v>56.78</v>
      </c>
      <c r="V25" s="165" t="str">
        <f t="shared" si="9"/>
        <v>#DIV/0!</v>
      </c>
      <c r="W25" s="166">
        <v>0.36</v>
      </c>
      <c r="X25" s="167" t="str">
        <f t="shared" si="10"/>
        <v>76</v>
      </c>
      <c r="Y25" s="168" t="str">
        <f t="shared" si="11"/>
        <v>311.708</v>
      </c>
      <c r="Z25" s="168" t="str">
        <f t="shared" si="12"/>
        <v>15.401</v>
      </c>
      <c r="AA25" s="164" t="str">
        <f t="shared" si="13"/>
        <v>0.73</v>
      </c>
      <c r="AB25" s="164">
        <v>98.54</v>
      </c>
      <c r="AC25" s="164" t="str">
        <f t="shared" si="14"/>
        <v>4.80</v>
      </c>
      <c r="AD25" s="165" t="str">
        <f t="shared" si="15"/>
        <v>47.96</v>
      </c>
      <c r="AE25" s="23"/>
      <c r="AF25" s="169" t="str">
        <f t="shared" si="16"/>
        <v>0</v>
      </c>
      <c r="AG25" s="163" t="str">
        <f t="shared" si="23"/>
        <v>#DIV/0!</v>
      </c>
      <c r="AH25" s="170" t="str">
        <f t="shared" si="17"/>
        <v>#DIV/0!</v>
      </c>
      <c r="AI25" s="26"/>
      <c r="AJ25" s="171" t="str">
        <f t="shared" si="30"/>
        <v>0.00%</v>
      </c>
      <c r="AK25" s="172" t="str">
        <f t="shared" si="31"/>
        <v>#DIV/0!</v>
      </c>
      <c r="AL25" s="173" t="str">
        <f t="shared" si="32"/>
        <v>#DIV/0!</v>
      </c>
      <c r="AM25" s="174" t="str">
        <f t="shared" si="33"/>
        <v>#DIV/0!</v>
      </c>
    </row>
    <row r="26" ht="12.75" hidden="1" customHeight="1">
      <c r="A26" s="26"/>
      <c r="B26" s="190" t="s">
        <v>470</v>
      </c>
      <c r="C26" s="191">
        <v>1.90158093E8</v>
      </c>
      <c r="D26" s="152" t="s">
        <v>471</v>
      </c>
      <c r="E26" s="53" t="s">
        <v>77</v>
      </c>
      <c r="F26" s="154"/>
      <c r="G26" s="53"/>
      <c r="H26" s="53" t="str">
        <f t="shared" si="24"/>
        <v>0.00069</v>
      </c>
      <c r="I26" s="53" t="str">
        <f t="shared" si="25"/>
        <v>89</v>
      </c>
      <c r="J26" s="53" t="str">
        <f t="shared" si="26"/>
        <v>0</v>
      </c>
      <c r="K26" s="155" t="str">
        <f t="shared" si="27"/>
        <v>0.00</v>
      </c>
      <c r="L26" s="156" t="str">
        <f t="shared" si="28"/>
        <v>0.00 </v>
      </c>
      <c r="M26" s="132">
        <v>90.0</v>
      </c>
      <c r="N26" s="157" t="str">
        <f t="shared" si="29"/>
        <v>#DIV/0!</v>
      </c>
      <c r="O26" s="158">
        <v>959.1</v>
      </c>
      <c r="P26" s="159" t="str">
        <f t="shared" si="6"/>
        <v>959.10</v>
      </c>
      <c r="Q26" s="160"/>
      <c r="R26" s="161">
        <v>0.26</v>
      </c>
      <c r="S26" s="162" t="str">
        <f t="shared" si="7"/>
        <v>709.73</v>
      </c>
      <c r="T26" s="163" t="str">
        <f t="shared" si="22"/>
        <v>60.00</v>
      </c>
      <c r="U26" s="164" t="str">
        <f t="shared" si="8"/>
        <v>56.78</v>
      </c>
      <c r="V26" s="165" t="str">
        <f t="shared" si="9"/>
        <v>#DIV/0!</v>
      </c>
      <c r="W26" s="166">
        <v>0.36</v>
      </c>
      <c r="X26" s="167" t="str">
        <f t="shared" si="10"/>
        <v>76</v>
      </c>
      <c r="Y26" s="168" t="str">
        <f t="shared" si="11"/>
        <v>311.708</v>
      </c>
      <c r="Z26" s="168" t="str">
        <f t="shared" si="12"/>
        <v>15.401</v>
      </c>
      <c r="AA26" s="164" t="str">
        <f t="shared" si="13"/>
        <v>2.88</v>
      </c>
      <c r="AB26" s="164">
        <v>94.25</v>
      </c>
      <c r="AC26" s="164" t="str">
        <f t="shared" si="14"/>
        <v>4.80</v>
      </c>
      <c r="AD26" s="165" t="str">
        <f t="shared" si="15"/>
        <v>47.96</v>
      </c>
      <c r="AE26" s="23"/>
      <c r="AF26" s="169" t="str">
        <f t="shared" si="16"/>
        <v>0</v>
      </c>
      <c r="AG26" s="163" t="str">
        <f t="shared" si="23"/>
        <v>#DIV/0!</v>
      </c>
      <c r="AH26" s="170" t="str">
        <f t="shared" si="17"/>
        <v>#DIV/0!</v>
      </c>
      <c r="AI26" s="26"/>
      <c r="AJ26" s="171" t="str">
        <f t="shared" si="30"/>
        <v>0.00%</v>
      </c>
      <c r="AK26" s="172" t="str">
        <f t="shared" si="31"/>
        <v>#DIV/0!</v>
      </c>
      <c r="AL26" s="173" t="str">
        <f t="shared" si="32"/>
        <v>#DIV/0!</v>
      </c>
      <c r="AM26" s="174" t="str">
        <f t="shared" si="33"/>
        <v>#DIV/0!</v>
      </c>
    </row>
    <row r="27" ht="12.75" hidden="1" customHeight="1">
      <c r="A27" s="26"/>
      <c r="B27" s="190" t="s">
        <v>472</v>
      </c>
      <c r="C27" s="191">
        <v>1.8302882E8</v>
      </c>
      <c r="D27" s="152" t="s">
        <v>473</v>
      </c>
      <c r="E27" s="53" t="s">
        <v>77</v>
      </c>
      <c r="F27" s="154"/>
      <c r="G27" s="53"/>
      <c r="H27" s="53" t="str">
        <f t="shared" si="24"/>
        <v>0.00069</v>
      </c>
      <c r="I27" s="53" t="str">
        <f t="shared" si="25"/>
        <v>89</v>
      </c>
      <c r="J27" s="53" t="str">
        <f t="shared" si="26"/>
        <v>0</v>
      </c>
      <c r="K27" s="155" t="str">
        <f t="shared" si="27"/>
        <v>0.00</v>
      </c>
      <c r="L27" s="156" t="str">
        <f t="shared" si="28"/>
        <v>0.00 </v>
      </c>
      <c r="M27" s="132">
        <v>90.0</v>
      </c>
      <c r="N27" s="157" t="str">
        <f t="shared" si="29"/>
        <v>#DIV/0!</v>
      </c>
      <c r="O27" s="158">
        <v>1173.0</v>
      </c>
      <c r="P27" s="159" t="str">
        <f t="shared" si="6"/>
        <v>1,173.00</v>
      </c>
      <c r="Q27" s="160"/>
      <c r="R27" s="161">
        <v>0.26</v>
      </c>
      <c r="S27" s="162" t="str">
        <f t="shared" si="7"/>
        <v>868.02</v>
      </c>
      <c r="T27" s="163" t="str">
        <f t="shared" si="22"/>
        <v>60.00</v>
      </c>
      <c r="U27" s="164" t="str">
        <f t="shared" si="8"/>
        <v>69.44</v>
      </c>
      <c r="V27" s="165" t="str">
        <f t="shared" si="9"/>
        <v>#DIV/0!</v>
      </c>
      <c r="W27" s="166">
        <v>0.68</v>
      </c>
      <c r="X27" s="167" t="str">
        <f t="shared" si="10"/>
        <v>76</v>
      </c>
      <c r="Y27" s="168" t="str">
        <f t="shared" si="11"/>
        <v>381.225</v>
      </c>
      <c r="Z27" s="168" t="str">
        <f t="shared" si="12"/>
        <v>18.836</v>
      </c>
      <c r="AA27" s="164" t="str">
        <f t="shared" si="13"/>
        <v>1.72</v>
      </c>
      <c r="AB27" s="164">
        <v>96.56</v>
      </c>
      <c r="AC27" s="164" t="str">
        <f t="shared" si="14"/>
        <v>4.80</v>
      </c>
      <c r="AD27" s="165" t="str">
        <f t="shared" si="15"/>
        <v>58.65</v>
      </c>
      <c r="AE27" s="23"/>
      <c r="AF27" s="169" t="str">
        <f t="shared" si="16"/>
        <v>0</v>
      </c>
      <c r="AG27" s="163" t="str">
        <f t="shared" si="23"/>
        <v>#DIV/0!</v>
      </c>
      <c r="AH27" s="170" t="str">
        <f t="shared" si="17"/>
        <v>#DIV/0!</v>
      </c>
      <c r="AI27" s="26"/>
      <c r="AJ27" s="171" t="str">
        <f t="shared" si="30"/>
        <v>0.00%</v>
      </c>
      <c r="AK27" s="172" t="str">
        <f t="shared" si="31"/>
        <v>#DIV/0!</v>
      </c>
      <c r="AL27" s="173" t="str">
        <f t="shared" si="32"/>
        <v>#DIV/0!</v>
      </c>
      <c r="AM27" s="174" t="str">
        <f t="shared" si="33"/>
        <v>#DIV/0!</v>
      </c>
    </row>
    <row r="28" ht="12.75" hidden="1" customHeight="1">
      <c r="A28" s="26"/>
      <c r="B28" s="190" t="s">
        <v>474</v>
      </c>
      <c r="C28" s="216"/>
      <c r="D28" s="217" t="s">
        <v>475</v>
      </c>
      <c r="E28" s="53" t="s">
        <v>77</v>
      </c>
      <c r="F28" s="154"/>
      <c r="G28" s="53"/>
      <c r="H28" s="53" t="str">
        <f t="shared" si="24"/>
        <v>0.00069</v>
      </c>
      <c r="I28" s="53" t="str">
        <f t="shared" si="25"/>
        <v>89</v>
      </c>
      <c r="J28" s="53" t="str">
        <f t="shared" si="26"/>
        <v>0</v>
      </c>
      <c r="K28" s="155" t="str">
        <f t="shared" si="27"/>
        <v>0.00</v>
      </c>
      <c r="L28" s="156" t="str">
        <f t="shared" si="28"/>
        <v>0.00 </v>
      </c>
      <c r="M28" s="132">
        <v>90.0</v>
      </c>
      <c r="N28" s="157" t="str">
        <f t="shared" si="29"/>
        <v>#DIV/0!</v>
      </c>
      <c r="O28" s="158"/>
      <c r="P28" s="159" t="str">
        <f t="shared" si="6"/>
        <v/>
      </c>
      <c r="Q28" s="160"/>
      <c r="R28" s="161"/>
      <c r="S28" s="162"/>
      <c r="T28" s="163"/>
      <c r="U28" s="164"/>
      <c r="V28" s="165"/>
      <c r="W28" s="166"/>
      <c r="X28" s="167"/>
      <c r="Y28" s="168"/>
      <c r="Z28" s="168"/>
      <c r="AA28" s="164"/>
      <c r="AB28" s="164"/>
      <c r="AC28" s="164"/>
      <c r="AD28" s="165"/>
      <c r="AE28" s="23"/>
      <c r="AF28" s="218"/>
      <c r="AG28" s="163"/>
      <c r="AH28" s="170" t="str">
        <f t="shared" si="17"/>
        <v>#DIV/0!</v>
      </c>
      <c r="AI28" s="26"/>
      <c r="AJ28" s="171"/>
      <c r="AK28" s="172"/>
      <c r="AL28" s="219"/>
      <c r="AM28" s="174"/>
    </row>
    <row r="29" ht="12.75" hidden="1" customHeight="1">
      <c r="A29" s="26"/>
      <c r="B29" s="190" t="s">
        <v>474</v>
      </c>
      <c r="C29" s="220"/>
      <c r="D29" s="221" t="s">
        <v>476</v>
      </c>
      <c r="E29" s="211" t="s">
        <v>77</v>
      </c>
      <c r="F29" s="154"/>
      <c r="G29" s="211"/>
      <c r="H29" s="53" t="str">
        <f t="shared" si="24"/>
        <v>0.00069</v>
      </c>
      <c r="I29" s="53" t="str">
        <f t="shared" si="25"/>
        <v>89</v>
      </c>
      <c r="J29" s="53" t="str">
        <f t="shared" si="26"/>
        <v>0</v>
      </c>
      <c r="K29" s="155" t="str">
        <f t="shared" si="27"/>
        <v>0.00</v>
      </c>
      <c r="L29" s="156" t="str">
        <f t="shared" si="28"/>
        <v>0.00 </v>
      </c>
      <c r="M29" s="132">
        <v>90.0</v>
      </c>
      <c r="N29" s="157" t="str">
        <f t="shared" si="29"/>
        <v>#DIV/0!</v>
      </c>
      <c r="O29" s="158">
        <v>481.8</v>
      </c>
      <c r="P29" s="159" t="str">
        <f t="shared" si="6"/>
        <v>481.80</v>
      </c>
      <c r="Q29" s="160"/>
      <c r="R29" s="161">
        <v>0.26</v>
      </c>
      <c r="S29" s="162" t="str">
        <f t="shared" ref="S29:S31" si="34">O29-(O29*R29)</f>
        <v>356.53</v>
      </c>
      <c r="T29" s="163" t="str">
        <f t="shared" ref="T29:T31" si="35">$C$1</f>
        <v>60.00</v>
      </c>
      <c r="U29" s="164" t="str">
        <f t="shared" ref="U29:U31" si="36">S29*$C$8</f>
        <v>28.52</v>
      </c>
      <c r="V29" s="165" t="str">
        <f t="shared" ref="V29:V31" si="37">N29*$C$3*(M29/30)</f>
        <v>#DIV/0!</v>
      </c>
      <c r="W29" s="166">
        <v>0.68</v>
      </c>
      <c r="X29" s="167" t="str">
        <f t="shared" ref="X29:X31" si="38">((_xlfn.CEILING.MATH(W29)-1)*$C$5+$C$4)</f>
        <v>76</v>
      </c>
      <c r="Y29" s="168" t="str">
        <f t="shared" ref="Y29:Y31" si="39">O29*$Y$6</f>
        <v>156.585</v>
      </c>
      <c r="Z29" s="168" t="str">
        <f t="shared" ref="Z29:Z31" si="40">S29*$Y$7</f>
        <v>7.737</v>
      </c>
      <c r="AA29" s="164" t="str">
        <f t="shared" ref="AA29:AA31" si="41">$Y$3*((100-AB29)/100)</f>
        <v>0.00</v>
      </c>
      <c r="AB29" s="164">
        <v>100.0</v>
      </c>
      <c r="AC29" s="164" t="str">
        <f t="shared" ref="AC29:AC31" si="42">$C$6*$C$7*_xlfn.CEILING.MATH(W29)</f>
        <v>4.80</v>
      </c>
      <c r="AD29" s="165" t="str">
        <f t="shared" ref="AD29:AD31" si="43">O29*$C$2</f>
        <v>24.09</v>
      </c>
      <c r="AE29" s="23"/>
      <c r="AF29" s="169" t="str">
        <f t="shared" ref="AF29:AF31" si="44">(_xlfn.CEILING.MATH(W29))*$Y$1*$AD$2</f>
        <v>0</v>
      </c>
      <c r="AG29" s="163" t="str">
        <f t="shared" ref="AG29:AG31" si="45">O29-T29-U29-V29-X29-Y29-Z29-AA29-AC29-AD29-N29</f>
        <v>#DIV/0!</v>
      </c>
      <c r="AH29" s="170" t="str">
        <f t="shared" si="17"/>
        <v>#DIV/0!</v>
      </c>
      <c r="AI29" s="26"/>
      <c r="AJ29" s="171" t="str">
        <f t="shared" ref="AJ29:AJ31" si="46">$AD$3</f>
        <v>0.00%</v>
      </c>
      <c r="AK29" s="172" t="str">
        <f t="shared" ref="AK29:AK31" si="47">N29*AJ29</f>
        <v>#DIV/0!</v>
      </c>
      <c r="AL29" s="173" t="str">
        <f t="shared" ref="AL29:AL31" si="48">(N29+T29+V29+X29+AA29+AC29+AF29+AK29)/(100%-($C$2+$C$8+$Y$6+$Y$7))</f>
        <v>#DIV/0!</v>
      </c>
      <c r="AM29" s="174" t="str">
        <f t="shared" ref="AM29:AM36" si="49">AL29-(AL29*$AD$1)</f>
        <v>#DIV/0!</v>
      </c>
    </row>
    <row r="30" ht="12.75" hidden="1" customHeight="1">
      <c r="A30" s="26"/>
      <c r="B30" s="190" t="s">
        <v>474</v>
      </c>
      <c r="C30" s="220"/>
      <c r="D30" s="221" t="s">
        <v>478</v>
      </c>
      <c r="E30" s="211" t="s">
        <v>77</v>
      </c>
      <c r="F30" s="154"/>
      <c r="G30" s="211"/>
      <c r="H30" s="53" t="str">
        <f t="shared" si="24"/>
        <v>0.00069</v>
      </c>
      <c r="I30" s="53" t="str">
        <f t="shared" si="25"/>
        <v>89</v>
      </c>
      <c r="J30" s="53" t="str">
        <f t="shared" si="26"/>
        <v>0</v>
      </c>
      <c r="K30" s="155" t="str">
        <f t="shared" si="27"/>
        <v>0.00</v>
      </c>
      <c r="L30" s="156" t="str">
        <f t="shared" si="28"/>
        <v>0.00 </v>
      </c>
      <c r="M30" s="132">
        <v>90.0</v>
      </c>
      <c r="N30" s="157" t="str">
        <f t="shared" si="29"/>
        <v>#DIV/0!</v>
      </c>
      <c r="O30" s="158">
        <v>900.0</v>
      </c>
      <c r="P30" s="159" t="str">
        <f t="shared" si="6"/>
        <v>900.00</v>
      </c>
      <c r="Q30" s="160"/>
      <c r="R30" s="161">
        <v>0.26</v>
      </c>
      <c r="S30" s="162" t="str">
        <f t="shared" si="34"/>
        <v>666.00</v>
      </c>
      <c r="T30" s="163" t="str">
        <f t="shared" si="35"/>
        <v>60.00</v>
      </c>
      <c r="U30" s="164" t="str">
        <f t="shared" si="36"/>
        <v>53.28</v>
      </c>
      <c r="V30" s="165" t="str">
        <f t="shared" si="37"/>
        <v>#DIV/0!</v>
      </c>
      <c r="W30" s="166">
        <v>0.68</v>
      </c>
      <c r="X30" s="167" t="str">
        <f t="shared" si="38"/>
        <v>76</v>
      </c>
      <c r="Y30" s="168" t="str">
        <f t="shared" si="39"/>
        <v>292.500</v>
      </c>
      <c r="Z30" s="168" t="str">
        <f t="shared" si="40"/>
        <v>14.452</v>
      </c>
      <c r="AA30" s="164" t="str">
        <f t="shared" si="41"/>
        <v>1.95</v>
      </c>
      <c r="AB30" s="164">
        <v>96.1</v>
      </c>
      <c r="AC30" s="164" t="str">
        <f t="shared" si="42"/>
        <v>4.80</v>
      </c>
      <c r="AD30" s="165" t="str">
        <f t="shared" si="43"/>
        <v>45.00</v>
      </c>
      <c r="AE30" s="23"/>
      <c r="AF30" s="169" t="str">
        <f t="shared" si="44"/>
        <v>0</v>
      </c>
      <c r="AG30" s="163" t="str">
        <f t="shared" si="45"/>
        <v>#DIV/0!</v>
      </c>
      <c r="AH30" s="170" t="str">
        <f t="shared" si="17"/>
        <v>#DIV/0!</v>
      </c>
      <c r="AI30" s="26"/>
      <c r="AJ30" s="171" t="str">
        <f t="shared" si="46"/>
        <v>0.00%</v>
      </c>
      <c r="AK30" s="172" t="str">
        <f t="shared" si="47"/>
        <v>#DIV/0!</v>
      </c>
      <c r="AL30" s="173" t="str">
        <f t="shared" si="48"/>
        <v>#DIV/0!</v>
      </c>
      <c r="AM30" s="174" t="str">
        <f t="shared" si="49"/>
        <v>#DIV/0!</v>
      </c>
    </row>
    <row r="31" ht="12.75" hidden="1" customHeight="1">
      <c r="A31" s="26"/>
      <c r="B31" s="190" t="s">
        <v>481</v>
      </c>
      <c r="C31" s="202">
        <v>1.8303083E8</v>
      </c>
      <c r="D31" s="152" t="s">
        <v>482</v>
      </c>
      <c r="E31" s="53" t="s">
        <v>77</v>
      </c>
      <c r="F31" s="154"/>
      <c r="G31" s="53"/>
      <c r="H31" s="53" t="str">
        <f t="shared" si="24"/>
        <v>0.00069</v>
      </c>
      <c r="I31" s="53" t="str">
        <f t="shared" si="25"/>
        <v>89</v>
      </c>
      <c r="J31" s="53" t="str">
        <f t="shared" si="26"/>
        <v>0</v>
      </c>
      <c r="K31" s="155" t="str">
        <f t="shared" si="27"/>
        <v>0.00</v>
      </c>
      <c r="L31" s="156" t="str">
        <f t="shared" si="28"/>
        <v>0.00 </v>
      </c>
      <c r="M31" s="132">
        <v>90.0</v>
      </c>
      <c r="N31" s="157" t="str">
        <f t="shared" si="29"/>
        <v>#DIV/0!</v>
      </c>
      <c r="O31" s="158">
        <v>1398.38</v>
      </c>
      <c r="P31" s="159" t="str">
        <f t="shared" si="6"/>
        <v>1,398.38</v>
      </c>
      <c r="Q31" s="160"/>
      <c r="R31" s="161">
        <v>0.26</v>
      </c>
      <c r="S31" s="162" t="str">
        <f t="shared" si="34"/>
        <v>1,034.80</v>
      </c>
      <c r="T31" s="163" t="str">
        <f t="shared" si="35"/>
        <v>60.00</v>
      </c>
      <c r="U31" s="164" t="str">
        <f t="shared" si="36"/>
        <v>82.78</v>
      </c>
      <c r="V31" s="165" t="str">
        <f t="shared" si="37"/>
        <v>#DIV/0!</v>
      </c>
      <c r="W31" s="166">
        <v>2.11</v>
      </c>
      <c r="X31" s="167" t="str">
        <f t="shared" si="38"/>
        <v>114</v>
      </c>
      <c r="Y31" s="168" t="str">
        <f t="shared" si="39"/>
        <v>454.474</v>
      </c>
      <c r="Z31" s="168" t="str">
        <f t="shared" si="40"/>
        <v>22.455</v>
      </c>
      <c r="AA31" s="164" t="str">
        <f t="shared" si="41"/>
        <v>4.17</v>
      </c>
      <c r="AB31" s="164">
        <v>91.67</v>
      </c>
      <c r="AC31" s="164" t="str">
        <f t="shared" si="42"/>
        <v>14.40</v>
      </c>
      <c r="AD31" s="165" t="str">
        <f t="shared" si="43"/>
        <v>69.92</v>
      </c>
      <c r="AE31" s="23"/>
      <c r="AF31" s="169" t="str">
        <f t="shared" si="44"/>
        <v>0</v>
      </c>
      <c r="AG31" s="163" t="str">
        <f t="shared" si="45"/>
        <v>#DIV/0!</v>
      </c>
      <c r="AH31" s="170" t="str">
        <f t="shared" si="17"/>
        <v>#DIV/0!</v>
      </c>
      <c r="AI31" s="26"/>
      <c r="AJ31" s="171" t="str">
        <f t="shared" si="46"/>
        <v>0.00%</v>
      </c>
      <c r="AK31" s="172" t="str">
        <f t="shared" si="47"/>
        <v>#DIV/0!</v>
      </c>
      <c r="AL31" s="173" t="str">
        <f t="shared" si="48"/>
        <v>#DIV/0!</v>
      </c>
      <c r="AM31" s="174" t="str">
        <f t="shared" si="49"/>
        <v>#DIV/0!</v>
      </c>
    </row>
    <row r="32" ht="12.75" hidden="1" customHeight="1">
      <c r="A32" s="26"/>
      <c r="B32" s="190" t="s">
        <v>483</v>
      </c>
      <c r="C32" s="216"/>
      <c r="D32" s="217" t="s">
        <v>484</v>
      </c>
      <c r="E32" s="53" t="s">
        <v>77</v>
      </c>
      <c r="F32" s="154"/>
      <c r="G32" s="53"/>
      <c r="H32" s="53" t="str">
        <f t="shared" si="24"/>
        <v>0.00069</v>
      </c>
      <c r="I32" s="53" t="str">
        <f t="shared" si="25"/>
        <v>89</v>
      </c>
      <c r="J32" s="53" t="str">
        <f t="shared" si="26"/>
        <v>0</v>
      </c>
      <c r="K32" s="155" t="str">
        <f t="shared" si="27"/>
        <v>0.00</v>
      </c>
      <c r="L32" s="156" t="str">
        <f t="shared" si="28"/>
        <v>0.00 </v>
      </c>
      <c r="M32" s="132">
        <v>90.0</v>
      </c>
      <c r="N32" s="157" t="str">
        <f t="shared" si="29"/>
        <v>#DIV/0!</v>
      </c>
      <c r="O32" s="158"/>
      <c r="P32" s="159" t="str">
        <f t="shared" si="6"/>
        <v/>
      </c>
      <c r="Q32" s="160"/>
      <c r="R32" s="161"/>
      <c r="S32" s="162"/>
      <c r="T32" s="163"/>
      <c r="U32" s="164"/>
      <c r="V32" s="165"/>
      <c r="W32" s="166"/>
      <c r="X32" s="167"/>
      <c r="Y32" s="168"/>
      <c r="Z32" s="168"/>
      <c r="AA32" s="164"/>
      <c r="AB32" s="164"/>
      <c r="AC32" s="164"/>
      <c r="AD32" s="165"/>
      <c r="AE32" s="23"/>
      <c r="AF32" s="218"/>
      <c r="AG32" s="163"/>
      <c r="AH32" s="170" t="str">
        <f t="shared" si="17"/>
        <v>#DIV/0!</v>
      </c>
      <c r="AI32" s="26"/>
      <c r="AJ32" s="171"/>
      <c r="AK32" s="172"/>
      <c r="AL32" s="219"/>
      <c r="AM32" s="174" t="str">
        <f t="shared" si="49"/>
        <v>0.00</v>
      </c>
    </row>
    <row r="33" ht="12.75" hidden="1" customHeight="1">
      <c r="A33" s="26"/>
      <c r="B33" s="190" t="s">
        <v>474</v>
      </c>
      <c r="C33" s="220"/>
      <c r="D33" s="223" t="s">
        <v>485</v>
      </c>
      <c r="E33" s="211" t="s">
        <v>77</v>
      </c>
      <c r="F33" s="154"/>
      <c r="G33" s="211"/>
      <c r="H33" s="53" t="str">
        <f t="shared" si="24"/>
        <v>0.00069</v>
      </c>
      <c r="I33" s="53" t="str">
        <f t="shared" si="25"/>
        <v>89</v>
      </c>
      <c r="J33" s="53" t="str">
        <f t="shared" si="26"/>
        <v>0</v>
      </c>
      <c r="K33" s="155" t="str">
        <f t="shared" si="27"/>
        <v>0.00</v>
      </c>
      <c r="L33" s="156" t="str">
        <f t="shared" si="28"/>
        <v>0.00 </v>
      </c>
      <c r="M33" s="132">
        <v>90.0</v>
      </c>
      <c r="N33" s="157" t="str">
        <f t="shared" si="29"/>
        <v>#DIV/0!</v>
      </c>
      <c r="O33" s="158">
        <v>403.0</v>
      </c>
      <c r="P33" s="159" t="str">
        <f t="shared" si="6"/>
        <v>403.00</v>
      </c>
      <c r="Q33" s="160"/>
      <c r="R33" s="161">
        <v>0.26</v>
      </c>
      <c r="S33" s="162" t="str">
        <f t="shared" ref="S33:S36" si="50">O33-(O33*R33)</f>
        <v>298.22</v>
      </c>
      <c r="T33" s="163" t="str">
        <f t="shared" ref="T33:T36" si="51">$C$1</f>
        <v>60.00</v>
      </c>
      <c r="U33" s="164" t="str">
        <f t="shared" ref="U33:U36" si="52">S33*$C$8</f>
        <v>23.86</v>
      </c>
      <c r="V33" s="165" t="str">
        <f t="shared" ref="V33:V36" si="53">N33*$C$3*(M33/30)</f>
        <v>#DIV/0!</v>
      </c>
      <c r="W33" s="166">
        <v>0.68</v>
      </c>
      <c r="X33" s="167" t="str">
        <f t="shared" ref="X33:X36" si="54">((_xlfn.CEILING.MATH(W33)-1)*$C$5+$C$4)</f>
        <v>76</v>
      </c>
      <c r="Y33" s="168" t="str">
        <f t="shared" ref="Y33:Y36" si="55">O33*$Y$6</f>
        <v>130.975</v>
      </c>
      <c r="Z33" s="168" t="str">
        <f t="shared" ref="Z33:Z36" si="56">S33*$Y$7</f>
        <v>6.471</v>
      </c>
      <c r="AA33" s="164" t="str">
        <f t="shared" ref="AA33:AA36" si="57">$Y$3*((100-AB33)/100)</f>
        <v>2.64</v>
      </c>
      <c r="AB33" s="164">
        <v>94.72</v>
      </c>
      <c r="AC33" s="164" t="str">
        <f t="shared" ref="AC33:AC36" si="58">$C$6*$C$7*_xlfn.CEILING.MATH(W33)</f>
        <v>4.80</v>
      </c>
      <c r="AD33" s="165" t="str">
        <f t="shared" ref="AD33:AD36" si="59">O33*$C$2</f>
        <v>20.15</v>
      </c>
      <c r="AE33" s="23"/>
      <c r="AF33" s="169" t="str">
        <f t="shared" ref="AF33:AF36" si="60">(_xlfn.CEILING.MATH(W33))*$Y$1*$AD$2</f>
        <v>0</v>
      </c>
      <c r="AG33" s="163" t="str">
        <f t="shared" ref="AG33:AG36" si="61">O33-T33-U33-V33-X33-Y33-Z33-AA33-AC33-AD33-N33</f>
        <v>#DIV/0!</v>
      </c>
      <c r="AH33" s="170" t="str">
        <f t="shared" si="17"/>
        <v>#DIV/0!</v>
      </c>
      <c r="AI33" s="26"/>
      <c r="AJ33" s="171" t="str">
        <f t="shared" ref="AJ33:AJ36" si="62">$AD$3</f>
        <v>0.00%</v>
      </c>
      <c r="AK33" s="172" t="str">
        <f t="shared" ref="AK33:AK36" si="63">N33*AJ33</f>
        <v>#DIV/0!</v>
      </c>
      <c r="AL33" s="173" t="str">
        <f t="shared" ref="AL33:AL36" si="64">(N33+T33+V33+X33+AA33+AC33+AF33+AK33)/(100%-($C$2+$C$8+$Y$6+$Y$7))</f>
        <v>#DIV/0!</v>
      </c>
      <c r="AM33" s="174" t="str">
        <f t="shared" si="49"/>
        <v>#DIV/0!</v>
      </c>
    </row>
    <row r="34" ht="12.75" hidden="1" customHeight="1">
      <c r="A34" s="26"/>
      <c r="B34" s="190" t="s">
        <v>474</v>
      </c>
      <c r="C34" s="220"/>
      <c r="D34" s="223" t="s">
        <v>486</v>
      </c>
      <c r="E34" s="211" t="s">
        <v>77</v>
      </c>
      <c r="F34" s="154"/>
      <c r="G34" s="211"/>
      <c r="H34" s="53" t="str">
        <f t="shared" si="24"/>
        <v>0.00069</v>
      </c>
      <c r="I34" s="53" t="str">
        <f t="shared" si="25"/>
        <v>89</v>
      </c>
      <c r="J34" s="53" t="str">
        <f t="shared" si="26"/>
        <v>0</v>
      </c>
      <c r="K34" s="155" t="str">
        <f t="shared" si="27"/>
        <v>0.00</v>
      </c>
      <c r="L34" s="156" t="str">
        <f t="shared" si="28"/>
        <v>0.00 </v>
      </c>
      <c r="M34" s="132">
        <v>90.0</v>
      </c>
      <c r="N34" s="157" t="str">
        <f t="shared" si="29"/>
        <v>#DIV/0!</v>
      </c>
      <c r="O34" s="158">
        <v>528.5</v>
      </c>
      <c r="P34" s="159" t="str">
        <f t="shared" si="6"/>
        <v>528.50</v>
      </c>
      <c r="Q34" s="160"/>
      <c r="R34" s="161">
        <v>0.26</v>
      </c>
      <c r="S34" s="162" t="str">
        <f t="shared" si="50"/>
        <v>391.09</v>
      </c>
      <c r="T34" s="163" t="str">
        <f t="shared" si="51"/>
        <v>60.00</v>
      </c>
      <c r="U34" s="164" t="str">
        <f t="shared" si="52"/>
        <v>31.29</v>
      </c>
      <c r="V34" s="165" t="str">
        <f t="shared" si="53"/>
        <v>#DIV/0!</v>
      </c>
      <c r="W34" s="166">
        <v>0.77</v>
      </c>
      <c r="X34" s="167" t="str">
        <f t="shared" si="54"/>
        <v>76</v>
      </c>
      <c r="Y34" s="168" t="str">
        <f t="shared" si="55"/>
        <v>171.763</v>
      </c>
      <c r="Z34" s="168" t="str">
        <f t="shared" si="56"/>
        <v>8.487</v>
      </c>
      <c r="AA34" s="164" t="str">
        <f t="shared" si="57"/>
        <v>3.07</v>
      </c>
      <c r="AB34" s="164">
        <v>93.86</v>
      </c>
      <c r="AC34" s="164" t="str">
        <f t="shared" si="58"/>
        <v>4.80</v>
      </c>
      <c r="AD34" s="165" t="str">
        <f t="shared" si="59"/>
        <v>26.43</v>
      </c>
      <c r="AE34" s="23"/>
      <c r="AF34" s="169" t="str">
        <f t="shared" si="60"/>
        <v>0</v>
      </c>
      <c r="AG34" s="163" t="str">
        <f t="shared" si="61"/>
        <v>#DIV/0!</v>
      </c>
      <c r="AH34" s="170" t="str">
        <f t="shared" si="17"/>
        <v>#DIV/0!</v>
      </c>
      <c r="AI34" s="26"/>
      <c r="AJ34" s="171" t="str">
        <f t="shared" si="62"/>
        <v>0.00%</v>
      </c>
      <c r="AK34" s="172" t="str">
        <f t="shared" si="63"/>
        <v>#DIV/0!</v>
      </c>
      <c r="AL34" s="173" t="str">
        <f t="shared" si="64"/>
        <v>#DIV/0!</v>
      </c>
      <c r="AM34" s="174" t="str">
        <f t="shared" si="49"/>
        <v>#DIV/0!</v>
      </c>
    </row>
    <row r="35" ht="12.75" hidden="1" customHeight="1">
      <c r="A35" s="26"/>
      <c r="B35" s="190" t="s">
        <v>474</v>
      </c>
      <c r="C35" s="220"/>
      <c r="D35" s="223" t="s">
        <v>487</v>
      </c>
      <c r="E35" s="211" t="s">
        <v>77</v>
      </c>
      <c r="F35" s="154"/>
      <c r="G35" s="211"/>
      <c r="H35" s="53" t="str">
        <f t="shared" si="24"/>
        <v>0.00069</v>
      </c>
      <c r="I35" s="53" t="str">
        <f t="shared" si="25"/>
        <v>89</v>
      </c>
      <c r="J35" s="53" t="str">
        <f t="shared" si="26"/>
        <v>0</v>
      </c>
      <c r="K35" s="155" t="str">
        <f t="shared" si="27"/>
        <v>0.00</v>
      </c>
      <c r="L35" s="156" t="str">
        <f t="shared" si="28"/>
        <v>0.00 </v>
      </c>
      <c r="M35" s="132">
        <v>90.0</v>
      </c>
      <c r="N35" s="157" t="str">
        <f t="shared" si="29"/>
        <v>#DIV/0!</v>
      </c>
      <c r="O35" s="158">
        <v>808.8</v>
      </c>
      <c r="P35" s="159" t="str">
        <f t="shared" si="6"/>
        <v>808.80</v>
      </c>
      <c r="Q35" s="160"/>
      <c r="R35" s="161">
        <v>0.26</v>
      </c>
      <c r="S35" s="162" t="str">
        <f t="shared" si="50"/>
        <v>598.51</v>
      </c>
      <c r="T35" s="163" t="str">
        <f t="shared" si="51"/>
        <v>60.00</v>
      </c>
      <c r="U35" s="164" t="str">
        <f t="shared" si="52"/>
        <v>47.88</v>
      </c>
      <c r="V35" s="165" t="str">
        <f t="shared" si="53"/>
        <v>#DIV/0!</v>
      </c>
      <c r="W35" s="166">
        <v>0.86</v>
      </c>
      <c r="X35" s="167" t="str">
        <f t="shared" si="54"/>
        <v>76</v>
      </c>
      <c r="Y35" s="168" t="str">
        <f t="shared" si="55"/>
        <v>262.860</v>
      </c>
      <c r="Z35" s="168" t="str">
        <f t="shared" si="56"/>
        <v>12.988</v>
      </c>
      <c r="AA35" s="164" t="str">
        <f t="shared" si="57"/>
        <v>3.05</v>
      </c>
      <c r="AB35" s="164">
        <v>93.9</v>
      </c>
      <c r="AC35" s="164" t="str">
        <f t="shared" si="58"/>
        <v>4.80</v>
      </c>
      <c r="AD35" s="165" t="str">
        <f t="shared" si="59"/>
        <v>40.44</v>
      </c>
      <c r="AE35" s="23"/>
      <c r="AF35" s="169" t="str">
        <f t="shared" si="60"/>
        <v>0</v>
      </c>
      <c r="AG35" s="163" t="str">
        <f t="shared" si="61"/>
        <v>#DIV/0!</v>
      </c>
      <c r="AH35" s="170" t="str">
        <f t="shared" si="17"/>
        <v>#DIV/0!</v>
      </c>
      <c r="AI35" s="26"/>
      <c r="AJ35" s="171" t="str">
        <f t="shared" si="62"/>
        <v>0.00%</v>
      </c>
      <c r="AK35" s="172" t="str">
        <f t="shared" si="63"/>
        <v>#DIV/0!</v>
      </c>
      <c r="AL35" s="173" t="str">
        <f t="shared" si="64"/>
        <v>#DIV/0!</v>
      </c>
      <c r="AM35" s="174" t="str">
        <f t="shared" si="49"/>
        <v>#DIV/0!</v>
      </c>
    </row>
    <row r="36" ht="12.75" hidden="1" customHeight="1">
      <c r="A36" s="26"/>
      <c r="B36" s="190" t="s">
        <v>488</v>
      </c>
      <c r="C36" s="191">
        <v>1.83127988E8</v>
      </c>
      <c r="D36" s="222" t="s">
        <v>489</v>
      </c>
      <c r="E36" s="53" t="s">
        <v>77</v>
      </c>
      <c r="F36" s="154"/>
      <c r="G36" s="53"/>
      <c r="H36" s="53" t="str">
        <f t="shared" si="24"/>
        <v>0.00069</v>
      </c>
      <c r="I36" s="53" t="str">
        <f t="shared" si="25"/>
        <v>89</v>
      </c>
      <c r="J36" s="53" t="str">
        <f t="shared" si="26"/>
        <v>0</v>
      </c>
      <c r="K36" s="155" t="str">
        <f t="shared" si="27"/>
        <v>0.00</v>
      </c>
      <c r="L36" s="156" t="str">
        <f t="shared" si="28"/>
        <v>0.00 </v>
      </c>
      <c r="M36" s="132">
        <v>90.0</v>
      </c>
      <c r="N36" s="157" t="str">
        <f t="shared" si="29"/>
        <v>#DIV/0!</v>
      </c>
      <c r="O36" s="158">
        <v>1241.4</v>
      </c>
      <c r="P36" s="159" t="str">
        <f t="shared" si="6"/>
        <v>1,241.40</v>
      </c>
      <c r="Q36" s="160"/>
      <c r="R36" s="161">
        <v>0.26</v>
      </c>
      <c r="S36" s="162" t="str">
        <f t="shared" si="50"/>
        <v>918.64</v>
      </c>
      <c r="T36" s="163" t="str">
        <f t="shared" si="51"/>
        <v>60.00</v>
      </c>
      <c r="U36" s="164" t="str">
        <f t="shared" si="52"/>
        <v>73.49</v>
      </c>
      <c r="V36" s="165" t="str">
        <f t="shared" si="53"/>
        <v>#DIV/0!</v>
      </c>
      <c r="W36" s="166">
        <v>0.43</v>
      </c>
      <c r="X36" s="167" t="str">
        <f t="shared" si="54"/>
        <v>76</v>
      </c>
      <c r="Y36" s="168" t="str">
        <f t="shared" si="55"/>
        <v>403.455</v>
      </c>
      <c r="Z36" s="168" t="str">
        <f t="shared" si="56"/>
        <v>19.934</v>
      </c>
      <c r="AA36" s="164" t="str">
        <f t="shared" si="57"/>
        <v>3.20</v>
      </c>
      <c r="AB36" s="164">
        <v>93.6</v>
      </c>
      <c r="AC36" s="164" t="str">
        <f t="shared" si="58"/>
        <v>4.80</v>
      </c>
      <c r="AD36" s="165" t="str">
        <f t="shared" si="59"/>
        <v>62.07</v>
      </c>
      <c r="AE36" s="23"/>
      <c r="AF36" s="169" t="str">
        <f t="shared" si="60"/>
        <v>0</v>
      </c>
      <c r="AG36" s="163" t="str">
        <f t="shared" si="61"/>
        <v>#DIV/0!</v>
      </c>
      <c r="AH36" s="170" t="str">
        <f t="shared" si="17"/>
        <v>#DIV/0!</v>
      </c>
      <c r="AI36" s="26"/>
      <c r="AJ36" s="171" t="str">
        <f t="shared" si="62"/>
        <v>0.00%</v>
      </c>
      <c r="AK36" s="172" t="str">
        <f t="shared" si="63"/>
        <v>#DIV/0!</v>
      </c>
      <c r="AL36" s="173" t="str">
        <f t="shared" si="64"/>
        <v>#DIV/0!</v>
      </c>
      <c r="AM36" s="174" t="str">
        <f t="shared" si="49"/>
        <v>#DIV/0!</v>
      </c>
    </row>
    <row r="37" ht="12.75" hidden="1" customHeight="1">
      <c r="A37" s="26"/>
      <c r="B37" s="190" t="s">
        <v>490</v>
      </c>
      <c r="C37" s="216"/>
      <c r="D37" s="217" t="s">
        <v>491</v>
      </c>
      <c r="E37" s="53" t="s">
        <v>77</v>
      </c>
      <c r="F37" s="154"/>
      <c r="G37" s="53"/>
      <c r="H37" s="53" t="str">
        <f t="shared" si="24"/>
        <v>0.00069</v>
      </c>
      <c r="I37" s="53" t="str">
        <f t="shared" si="25"/>
        <v>89</v>
      </c>
      <c r="J37" s="53" t="str">
        <f t="shared" si="26"/>
        <v>0</v>
      </c>
      <c r="K37" s="155" t="str">
        <f t="shared" si="27"/>
        <v>0.00</v>
      </c>
      <c r="L37" s="156" t="str">
        <f t="shared" si="28"/>
        <v>0.00 </v>
      </c>
      <c r="M37" s="132">
        <v>90.0</v>
      </c>
      <c r="N37" s="157" t="str">
        <f t="shared" si="29"/>
        <v>#DIV/0!</v>
      </c>
      <c r="O37" s="158"/>
      <c r="P37" s="159" t="str">
        <f t="shared" si="6"/>
        <v/>
      </c>
      <c r="Q37" s="160"/>
      <c r="R37" s="161"/>
      <c r="S37" s="162"/>
      <c r="T37" s="163"/>
      <c r="U37" s="164"/>
      <c r="V37" s="165"/>
      <c r="W37" s="166"/>
      <c r="X37" s="167"/>
      <c r="Y37" s="168"/>
      <c r="Z37" s="168"/>
      <c r="AA37" s="164"/>
      <c r="AB37" s="164"/>
      <c r="AC37" s="164"/>
      <c r="AD37" s="165"/>
      <c r="AE37" s="23"/>
      <c r="AF37" s="218"/>
      <c r="AG37" s="163"/>
      <c r="AH37" s="170" t="str">
        <f t="shared" si="17"/>
        <v>#DIV/0!</v>
      </c>
      <c r="AI37" s="26"/>
      <c r="AJ37" s="171"/>
      <c r="AK37" s="172"/>
      <c r="AL37" s="219"/>
      <c r="AM37" s="174"/>
    </row>
    <row r="38" ht="13.5" hidden="1" customHeight="1">
      <c r="A38" s="26"/>
      <c r="B38" s="190" t="s">
        <v>474</v>
      </c>
      <c r="C38" s="220"/>
      <c r="D38" s="221" t="s">
        <v>492</v>
      </c>
      <c r="E38" s="211" t="s">
        <v>77</v>
      </c>
      <c r="F38" s="154"/>
      <c r="G38" s="211"/>
      <c r="H38" s="53" t="str">
        <f t="shared" si="24"/>
        <v>0.00069</v>
      </c>
      <c r="I38" s="53" t="str">
        <f t="shared" si="25"/>
        <v>89</v>
      </c>
      <c r="J38" s="53" t="str">
        <f t="shared" si="26"/>
        <v>0</v>
      </c>
      <c r="K38" s="155" t="str">
        <f t="shared" si="27"/>
        <v>0.00</v>
      </c>
      <c r="L38" s="156" t="str">
        <f t="shared" si="28"/>
        <v>0.00 </v>
      </c>
      <c r="M38" s="132">
        <v>90.0</v>
      </c>
      <c r="N38" s="157" t="str">
        <f t="shared" si="29"/>
        <v>#DIV/0!</v>
      </c>
      <c r="O38" s="158">
        <v>398.16</v>
      </c>
      <c r="P38" s="159" t="str">
        <f t="shared" si="6"/>
        <v>398.16</v>
      </c>
      <c r="Q38" s="160"/>
      <c r="R38" s="161">
        <v>0.26</v>
      </c>
      <c r="S38" s="162" t="str">
        <f t="shared" ref="S38:S42" si="65">O38-(O38*R38)</f>
        <v>294.64</v>
      </c>
      <c r="T38" s="163" t="str">
        <f t="shared" ref="T38:T42" si="66">$C$1</f>
        <v>60.00</v>
      </c>
      <c r="U38" s="164" t="str">
        <f t="shared" ref="U38:U42" si="67">S38*$C$8</f>
        <v>23.57</v>
      </c>
      <c r="V38" s="165" t="str">
        <f t="shared" ref="V38:V42" si="68">N38*$C$3*(M38/30)</f>
        <v>#DIV/0!</v>
      </c>
      <c r="W38" s="166">
        <v>0.75</v>
      </c>
      <c r="X38" s="167" t="str">
        <f t="shared" ref="X38:X42" si="69">((_xlfn.CEILING.MATH(W38)-1)*$C$5+$C$4)</f>
        <v>76</v>
      </c>
      <c r="Y38" s="168" t="str">
        <f t="shared" ref="Y38:Y42" si="70">O38*$Y$6</f>
        <v>129.402</v>
      </c>
      <c r="Z38" s="168" t="str">
        <f t="shared" ref="Z38:Z42" si="71">S38*$Y$7</f>
        <v>6.394</v>
      </c>
      <c r="AA38" s="164" t="str">
        <f t="shared" ref="AA38:AA42" si="72">$Y$3*((100-AB38)/100)</f>
        <v>3.57</v>
      </c>
      <c r="AB38" s="164">
        <v>92.86</v>
      </c>
      <c r="AC38" s="164" t="str">
        <f t="shared" ref="AC38:AC42" si="73">$C$6*$C$7*_xlfn.CEILING.MATH(W38)</f>
        <v>4.80</v>
      </c>
      <c r="AD38" s="165" t="str">
        <f t="shared" ref="AD38:AD42" si="74">O38*$C$2</f>
        <v>19.91</v>
      </c>
      <c r="AE38" s="23"/>
      <c r="AF38" s="169" t="str">
        <f t="shared" ref="AF38:AF42" si="75">(_xlfn.CEILING.MATH(W38))*$Y$1*$AD$2</f>
        <v>0</v>
      </c>
      <c r="AG38" s="163" t="str">
        <f t="shared" ref="AG38:AG42" si="76">O38-T38-U38-V38-X38-Y38-Z38-AA38-AC38-AD38-N38</f>
        <v>#DIV/0!</v>
      </c>
      <c r="AH38" s="170" t="str">
        <f t="shared" si="17"/>
        <v>#DIV/0!</v>
      </c>
      <c r="AI38" s="26"/>
      <c r="AJ38" s="171" t="str">
        <f t="shared" ref="AJ38:AJ42" si="77">$AD$3</f>
        <v>0.00%</v>
      </c>
      <c r="AK38" s="172" t="str">
        <f t="shared" ref="AK38:AK42" si="78">N38*AJ38</f>
        <v>#DIV/0!</v>
      </c>
      <c r="AL38" s="173" t="str">
        <f t="shared" ref="AL38:AL42" si="79">(N38+T38+V38+X38+AA38+AC38+AF38+AK38)/(100%-($C$2+$C$8+$Y$6+$Y$7))</f>
        <v>#DIV/0!</v>
      </c>
      <c r="AM38" s="174" t="str">
        <f t="shared" ref="AM38:AM42" si="80">AL38-(AL38*$AD$1)</f>
        <v>#DIV/0!</v>
      </c>
    </row>
    <row r="39" ht="13.5" hidden="1" customHeight="1">
      <c r="A39" s="26"/>
      <c r="B39" s="190" t="s">
        <v>474</v>
      </c>
      <c r="C39" s="220"/>
      <c r="D39" s="221" t="s">
        <v>493</v>
      </c>
      <c r="E39" s="211" t="s">
        <v>77</v>
      </c>
      <c r="F39" s="154"/>
      <c r="G39" s="211"/>
      <c r="H39" s="53" t="str">
        <f t="shared" si="24"/>
        <v>0.00069</v>
      </c>
      <c r="I39" s="53" t="str">
        <f t="shared" si="25"/>
        <v>89</v>
      </c>
      <c r="J39" s="53" t="str">
        <f t="shared" si="26"/>
        <v>0</v>
      </c>
      <c r="K39" s="155" t="str">
        <f t="shared" si="27"/>
        <v>0.00</v>
      </c>
      <c r="L39" s="156" t="str">
        <f t="shared" si="28"/>
        <v>0.00 </v>
      </c>
      <c r="M39" s="132">
        <v>90.0</v>
      </c>
      <c r="N39" s="157" t="str">
        <f t="shared" si="29"/>
        <v>#DIV/0!</v>
      </c>
      <c r="O39" s="158">
        <v>722.1</v>
      </c>
      <c r="P39" s="159" t="str">
        <f t="shared" si="6"/>
        <v>722.10</v>
      </c>
      <c r="Q39" s="160"/>
      <c r="R39" s="161">
        <v>0.26</v>
      </c>
      <c r="S39" s="162" t="str">
        <f t="shared" si="65"/>
        <v>534.35</v>
      </c>
      <c r="T39" s="163" t="str">
        <f t="shared" si="66"/>
        <v>60.00</v>
      </c>
      <c r="U39" s="164" t="str">
        <f t="shared" si="67"/>
        <v>42.75</v>
      </c>
      <c r="V39" s="165" t="str">
        <f t="shared" si="68"/>
        <v>#DIV/0!</v>
      </c>
      <c r="W39" s="166">
        <v>0.68</v>
      </c>
      <c r="X39" s="167" t="str">
        <f t="shared" si="69"/>
        <v>76</v>
      </c>
      <c r="Y39" s="168" t="str">
        <f t="shared" si="70"/>
        <v>234.683</v>
      </c>
      <c r="Z39" s="168" t="str">
        <f t="shared" si="71"/>
        <v>11.595</v>
      </c>
      <c r="AA39" s="164" t="str">
        <f t="shared" si="72"/>
        <v>15.00</v>
      </c>
      <c r="AB39" s="164">
        <v>70.0</v>
      </c>
      <c r="AC39" s="164" t="str">
        <f t="shared" si="73"/>
        <v>4.80</v>
      </c>
      <c r="AD39" s="165" t="str">
        <f t="shared" si="74"/>
        <v>36.11</v>
      </c>
      <c r="AE39" s="23"/>
      <c r="AF39" s="169" t="str">
        <f t="shared" si="75"/>
        <v>0</v>
      </c>
      <c r="AG39" s="163" t="str">
        <f t="shared" si="76"/>
        <v>#DIV/0!</v>
      </c>
      <c r="AH39" s="170" t="str">
        <f t="shared" si="17"/>
        <v>#DIV/0!</v>
      </c>
      <c r="AI39" s="26"/>
      <c r="AJ39" s="171" t="str">
        <f t="shared" si="77"/>
        <v>0.00%</v>
      </c>
      <c r="AK39" s="172" t="str">
        <f t="shared" si="78"/>
        <v>#DIV/0!</v>
      </c>
      <c r="AL39" s="173" t="str">
        <f t="shared" si="79"/>
        <v>#DIV/0!</v>
      </c>
      <c r="AM39" s="174" t="str">
        <f t="shared" si="80"/>
        <v>#DIV/0!</v>
      </c>
    </row>
    <row r="40" ht="13.5" hidden="1" customHeight="1">
      <c r="A40" s="26"/>
      <c r="B40" s="190" t="s">
        <v>474</v>
      </c>
      <c r="C40" s="220"/>
      <c r="D40" s="221" t="s">
        <v>494</v>
      </c>
      <c r="E40" s="211" t="s">
        <v>77</v>
      </c>
      <c r="F40" s="154"/>
      <c r="G40" s="211"/>
      <c r="H40" s="53" t="str">
        <f t="shared" si="24"/>
        <v>0.00069</v>
      </c>
      <c r="I40" s="53" t="str">
        <f t="shared" si="25"/>
        <v>89</v>
      </c>
      <c r="J40" s="53" t="str">
        <f t="shared" si="26"/>
        <v>0</v>
      </c>
      <c r="K40" s="155" t="str">
        <f t="shared" si="27"/>
        <v>0.00</v>
      </c>
      <c r="L40" s="156" t="str">
        <f t="shared" si="28"/>
        <v>0.00 </v>
      </c>
      <c r="M40" s="132">
        <v>90.0</v>
      </c>
      <c r="N40" s="157" t="str">
        <f t="shared" si="29"/>
        <v>#DIV/0!</v>
      </c>
      <c r="O40" s="158">
        <v>1171.2</v>
      </c>
      <c r="P40" s="159" t="str">
        <f t="shared" si="6"/>
        <v>1,171.20</v>
      </c>
      <c r="Q40" s="160"/>
      <c r="R40" s="161">
        <v>0.26</v>
      </c>
      <c r="S40" s="162" t="str">
        <f t="shared" si="65"/>
        <v>866.69</v>
      </c>
      <c r="T40" s="163" t="str">
        <f t="shared" si="66"/>
        <v>60.00</v>
      </c>
      <c r="U40" s="164" t="str">
        <f t="shared" si="67"/>
        <v>69.34</v>
      </c>
      <c r="V40" s="165" t="str">
        <f t="shared" si="68"/>
        <v>#DIV/0!</v>
      </c>
      <c r="W40" s="166">
        <v>0.86</v>
      </c>
      <c r="X40" s="167" t="str">
        <f t="shared" si="69"/>
        <v>76</v>
      </c>
      <c r="Y40" s="168" t="str">
        <f t="shared" si="70"/>
        <v>380.640</v>
      </c>
      <c r="Z40" s="168" t="str">
        <f t="shared" si="71"/>
        <v>18.807</v>
      </c>
      <c r="AA40" s="164" t="str">
        <f t="shared" si="72"/>
        <v>4.17</v>
      </c>
      <c r="AB40" s="164">
        <v>91.67</v>
      </c>
      <c r="AC40" s="164" t="str">
        <f t="shared" si="73"/>
        <v>4.80</v>
      </c>
      <c r="AD40" s="165" t="str">
        <f t="shared" si="74"/>
        <v>58.56</v>
      </c>
      <c r="AE40" s="23"/>
      <c r="AF40" s="169" t="str">
        <f t="shared" si="75"/>
        <v>0</v>
      </c>
      <c r="AG40" s="163" t="str">
        <f t="shared" si="76"/>
        <v>#DIV/0!</v>
      </c>
      <c r="AH40" s="170" t="str">
        <f t="shared" si="17"/>
        <v>#DIV/0!</v>
      </c>
      <c r="AI40" s="26"/>
      <c r="AJ40" s="171" t="str">
        <f t="shared" si="77"/>
        <v>0.00%</v>
      </c>
      <c r="AK40" s="172" t="str">
        <f t="shared" si="78"/>
        <v>#DIV/0!</v>
      </c>
      <c r="AL40" s="173" t="str">
        <f t="shared" si="79"/>
        <v>#DIV/0!</v>
      </c>
      <c r="AM40" s="174" t="str">
        <f t="shared" si="80"/>
        <v>#DIV/0!</v>
      </c>
    </row>
    <row r="41" ht="12.75" hidden="1" customHeight="1">
      <c r="A41" s="26"/>
      <c r="B41" s="190" t="s">
        <v>497</v>
      </c>
      <c r="C41" s="192">
        <v>1.91033857E8</v>
      </c>
      <c r="D41" s="152" t="s">
        <v>498</v>
      </c>
      <c r="E41" s="53" t="s">
        <v>77</v>
      </c>
      <c r="F41" s="154"/>
      <c r="G41" s="53"/>
      <c r="H41" s="53" t="str">
        <f t="shared" si="24"/>
        <v>0.00069</v>
      </c>
      <c r="I41" s="53" t="str">
        <f t="shared" si="25"/>
        <v>89</v>
      </c>
      <c r="J41" s="53" t="str">
        <f t="shared" si="26"/>
        <v>0</v>
      </c>
      <c r="K41" s="155" t="str">
        <f t="shared" si="27"/>
        <v>0.00</v>
      </c>
      <c r="L41" s="156" t="str">
        <f t="shared" si="28"/>
        <v>0.00 </v>
      </c>
      <c r="M41" s="132">
        <v>90.0</v>
      </c>
      <c r="N41" s="325" t="str">
        <f t="shared" si="29"/>
        <v>#DIV/0!</v>
      </c>
      <c r="O41" s="158">
        <v>476.4</v>
      </c>
      <c r="P41" s="159" t="str">
        <f t="shared" ref="P41:P42" si="81">AL41</f>
        <v>#DIV/0!</v>
      </c>
      <c r="Q41" s="160"/>
      <c r="R41" s="161">
        <v>0.26</v>
      </c>
      <c r="S41" s="162" t="str">
        <f t="shared" si="65"/>
        <v>352.54</v>
      </c>
      <c r="T41" s="163" t="str">
        <f t="shared" si="66"/>
        <v>60.00</v>
      </c>
      <c r="U41" s="164" t="str">
        <f t="shared" si="67"/>
        <v>28.20</v>
      </c>
      <c r="V41" s="165" t="str">
        <f t="shared" si="68"/>
        <v>#DIV/0!</v>
      </c>
      <c r="W41" s="166">
        <v>0.09</v>
      </c>
      <c r="X41" s="167" t="str">
        <f t="shared" si="69"/>
        <v>76</v>
      </c>
      <c r="Y41" s="168" t="str">
        <f t="shared" si="70"/>
        <v>154.830</v>
      </c>
      <c r="Z41" s="168" t="str">
        <f t="shared" si="71"/>
        <v>7.650</v>
      </c>
      <c r="AA41" s="164" t="str">
        <f t="shared" si="72"/>
        <v>3.68</v>
      </c>
      <c r="AB41" s="164">
        <v>92.65</v>
      </c>
      <c r="AC41" s="164" t="str">
        <f t="shared" si="73"/>
        <v>4.80</v>
      </c>
      <c r="AD41" s="165" t="str">
        <f t="shared" si="74"/>
        <v>23.82</v>
      </c>
      <c r="AE41" s="23"/>
      <c r="AF41" s="169" t="str">
        <f t="shared" si="75"/>
        <v>0</v>
      </c>
      <c r="AG41" s="163" t="str">
        <f t="shared" si="76"/>
        <v>#DIV/0!</v>
      </c>
      <c r="AH41" s="170" t="str">
        <f t="shared" si="17"/>
        <v>#DIV/0!</v>
      </c>
      <c r="AI41" s="26"/>
      <c r="AJ41" s="171" t="str">
        <f t="shared" si="77"/>
        <v>0.00%</v>
      </c>
      <c r="AK41" s="172" t="str">
        <f t="shared" si="78"/>
        <v>#DIV/0!</v>
      </c>
      <c r="AL41" s="173" t="str">
        <f t="shared" si="79"/>
        <v>#DIV/0!</v>
      </c>
      <c r="AM41" s="174" t="str">
        <f t="shared" si="80"/>
        <v>#DIV/0!</v>
      </c>
    </row>
    <row r="42" ht="12.75" hidden="1" customHeight="1">
      <c r="A42" s="26"/>
      <c r="B42" s="190" t="s">
        <v>499</v>
      </c>
      <c r="C42" s="192">
        <v>1.95289584E8</v>
      </c>
      <c r="D42" s="152" t="s">
        <v>500</v>
      </c>
      <c r="E42" s="53" t="s">
        <v>77</v>
      </c>
      <c r="F42" s="154"/>
      <c r="G42" s="53"/>
      <c r="H42" s="53" t="str">
        <f t="shared" si="24"/>
        <v>0.00069</v>
      </c>
      <c r="I42" s="53" t="str">
        <f t="shared" si="25"/>
        <v>89</v>
      </c>
      <c r="J42" s="53" t="str">
        <f t="shared" si="26"/>
        <v>0</v>
      </c>
      <c r="K42" s="155" t="str">
        <f t="shared" si="27"/>
        <v>0.00</v>
      </c>
      <c r="L42" s="156" t="str">
        <f t="shared" si="28"/>
        <v>0.00 </v>
      </c>
      <c r="M42" s="132">
        <v>90.0</v>
      </c>
      <c r="N42" s="325" t="str">
        <f t="shared" si="29"/>
        <v>#DIV/0!</v>
      </c>
      <c r="O42" s="158">
        <v>492.3</v>
      </c>
      <c r="P42" s="159" t="str">
        <f t="shared" si="81"/>
        <v>#DIV/0!</v>
      </c>
      <c r="Q42" s="160"/>
      <c r="R42" s="161">
        <v>0.26</v>
      </c>
      <c r="S42" s="162" t="str">
        <f t="shared" si="65"/>
        <v>364.30</v>
      </c>
      <c r="T42" s="163" t="str">
        <f t="shared" si="66"/>
        <v>60.00</v>
      </c>
      <c r="U42" s="164" t="str">
        <f t="shared" si="67"/>
        <v>29.14</v>
      </c>
      <c r="V42" s="165" t="str">
        <f t="shared" si="68"/>
        <v>#DIV/0!</v>
      </c>
      <c r="W42" s="166">
        <v>0.09</v>
      </c>
      <c r="X42" s="167" t="str">
        <f t="shared" si="69"/>
        <v>76</v>
      </c>
      <c r="Y42" s="168" t="str">
        <f t="shared" si="70"/>
        <v>159.998</v>
      </c>
      <c r="Z42" s="168" t="str">
        <f t="shared" si="71"/>
        <v>7.905</v>
      </c>
      <c r="AA42" s="164" t="str">
        <f t="shared" si="72"/>
        <v>1.90</v>
      </c>
      <c r="AB42" s="164">
        <v>96.2</v>
      </c>
      <c r="AC42" s="164" t="str">
        <f t="shared" si="73"/>
        <v>4.80</v>
      </c>
      <c r="AD42" s="165" t="str">
        <f t="shared" si="74"/>
        <v>24.62</v>
      </c>
      <c r="AE42" s="23"/>
      <c r="AF42" s="169" t="str">
        <f t="shared" si="75"/>
        <v>0</v>
      </c>
      <c r="AG42" s="163" t="str">
        <f t="shared" si="76"/>
        <v>#DIV/0!</v>
      </c>
      <c r="AH42" s="170" t="str">
        <f t="shared" si="17"/>
        <v>#DIV/0!</v>
      </c>
      <c r="AI42" s="26"/>
      <c r="AJ42" s="171" t="str">
        <f t="shared" si="77"/>
        <v>0.00%</v>
      </c>
      <c r="AK42" s="172" t="str">
        <f t="shared" si="78"/>
        <v>#DIV/0!</v>
      </c>
      <c r="AL42" s="173" t="str">
        <f t="shared" si="79"/>
        <v>#DIV/0!</v>
      </c>
      <c r="AM42" s="174" t="str">
        <f t="shared" si="80"/>
        <v>#DIV/0!</v>
      </c>
    </row>
    <row r="43" ht="12.75" customHeight="1">
      <c r="A43" s="26"/>
      <c r="B43" s="125" t="s">
        <v>501</v>
      </c>
      <c r="C43" s="126"/>
      <c r="D43" s="127"/>
      <c r="E43" s="128"/>
      <c r="F43" s="129"/>
      <c r="G43" s="128"/>
      <c r="H43" s="197"/>
      <c r="I43" s="197"/>
      <c r="J43" s="128"/>
      <c r="K43" s="130"/>
      <c r="L43" s="131"/>
      <c r="M43" s="132"/>
      <c r="N43" s="320"/>
      <c r="O43" s="134"/>
      <c r="P43" s="135"/>
      <c r="Q43" s="135"/>
      <c r="R43" s="136"/>
      <c r="S43" s="137"/>
      <c r="T43" s="177"/>
      <c r="U43" s="178"/>
      <c r="V43" s="179"/>
      <c r="W43" s="180"/>
      <c r="X43" s="181"/>
      <c r="Y43" s="182"/>
      <c r="Z43" s="182"/>
      <c r="AA43" s="178"/>
      <c r="AB43" s="178"/>
      <c r="AC43" s="178"/>
      <c r="AD43" s="179"/>
      <c r="AE43" s="183"/>
      <c r="AF43" s="184"/>
      <c r="AG43" s="177"/>
      <c r="AH43" s="185"/>
      <c r="AI43" s="26"/>
      <c r="AJ43" s="186"/>
      <c r="AK43" s="187"/>
      <c r="AL43" s="188"/>
      <c r="AM43" s="189"/>
    </row>
    <row r="44" ht="12.75" customHeight="1">
      <c r="A44" s="26"/>
      <c r="B44" s="12"/>
      <c r="C44" s="240"/>
      <c r="D44" s="241"/>
      <c r="E44" s="5"/>
      <c r="F44" s="5"/>
      <c r="G44" s="5"/>
      <c r="H44" s="5"/>
      <c r="I44" s="5"/>
      <c r="J44" s="5"/>
      <c r="K44" s="8"/>
      <c r="L44" s="9"/>
      <c r="M44" s="10"/>
      <c r="N44" s="12"/>
      <c r="O44" s="242"/>
      <c r="P44" s="243"/>
      <c r="Q44" s="243"/>
      <c r="R44" s="14"/>
      <c r="S44" s="242"/>
      <c r="T44" s="15"/>
      <c r="U44" s="15"/>
      <c r="V44" s="15"/>
      <c r="W44" s="8"/>
      <c r="X44" s="8"/>
      <c r="Y44" s="56"/>
      <c r="Z44" s="56"/>
      <c r="AA44" s="15"/>
      <c r="AB44" s="15"/>
      <c r="AC44" s="15"/>
      <c r="AD44" s="15"/>
      <c r="AE44" s="57"/>
      <c r="AF44" s="57"/>
      <c r="AG44" s="15"/>
      <c r="AH44" s="25"/>
      <c r="AI44" s="26"/>
      <c r="AJ44" s="26"/>
      <c r="AK44" s="27"/>
      <c r="AL44" s="28"/>
      <c r="AM44" s="29"/>
    </row>
    <row r="45" ht="12.75" customHeight="1">
      <c r="A45" s="26"/>
      <c r="B45" s="12"/>
      <c r="C45" s="240"/>
      <c r="D45" s="241"/>
      <c r="E45" s="5"/>
      <c r="F45" s="5"/>
      <c r="G45" s="5"/>
      <c r="H45" s="5"/>
      <c r="I45" s="5"/>
      <c r="J45" s="5"/>
      <c r="K45" s="8"/>
      <c r="L45" s="9"/>
      <c r="M45" s="10"/>
      <c r="N45" s="12"/>
      <c r="O45" s="242"/>
      <c r="P45" s="243"/>
      <c r="Q45" s="243"/>
      <c r="R45" s="14"/>
      <c r="S45" s="242"/>
      <c r="T45" s="15"/>
      <c r="U45" s="15"/>
      <c r="V45" s="15"/>
      <c r="W45" s="8"/>
      <c r="X45" s="8"/>
      <c r="Y45" s="56"/>
      <c r="Z45" s="56"/>
      <c r="AA45" s="15"/>
      <c r="AB45" s="15"/>
      <c r="AC45" s="15"/>
      <c r="AD45" s="15"/>
      <c r="AE45" s="57"/>
      <c r="AF45" s="57"/>
      <c r="AG45" s="15"/>
      <c r="AH45" s="25"/>
      <c r="AI45" s="26"/>
      <c r="AJ45" s="26"/>
      <c r="AK45" s="27"/>
      <c r="AL45" s="28"/>
      <c r="AM45" s="29"/>
    </row>
    <row r="46" ht="12.75" customHeight="1">
      <c r="A46" s="26"/>
      <c r="B46" s="12"/>
      <c r="C46" s="240"/>
      <c r="D46" s="241"/>
      <c r="E46" s="5"/>
      <c r="F46" s="5"/>
      <c r="G46" s="5"/>
      <c r="H46" s="5"/>
      <c r="I46" s="5"/>
      <c r="J46" s="5"/>
      <c r="K46" s="8"/>
      <c r="L46" s="9"/>
      <c r="M46" s="10"/>
      <c r="N46" s="12"/>
      <c r="O46" s="242"/>
      <c r="P46" s="243"/>
      <c r="Q46" s="243"/>
      <c r="R46" s="14"/>
      <c r="S46" s="242"/>
      <c r="T46" s="15"/>
      <c r="U46" s="15"/>
      <c r="V46" s="15"/>
      <c r="W46" s="8"/>
      <c r="X46" s="8"/>
      <c r="Y46" s="56"/>
      <c r="Z46" s="56"/>
      <c r="AA46" s="15"/>
      <c r="AB46" s="15"/>
      <c r="AC46" s="15"/>
      <c r="AD46" s="15"/>
      <c r="AE46" s="57"/>
      <c r="AF46" s="57"/>
      <c r="AG46" s="15"/>
      <c r="AH46" s="25"/>
      <c r="AI46" s="26"/>
      <c r="AJ46" s="26"/>
      <c r="AK46" s="27"/>
      <c r="AL46" s="28"/>
      <c r="AM46" s="29"/>
    </row>
    <row r="47" ht="12.75" customHeight="1">
      <c r="A47" s="26"/>
      <c r="B47" s="12"/>
      <c r="C47" s="240"/>
      <c r="D47" s="241"/>
      <c r="E47" s="5"/>
      <c r="F47" s="5"/>
      <c r="G47" s="5"/>
      <c r="H47" s="5"/>
      <c r="I47" s="5"/>
      <c r="J47" s="5"/>
      <c r="K47" s="8"/>
      <c r="L47" s="9"/>
      <c r="M47" s="10"/>
      <c r="N47" s="12"/>
      <c r="O47" s="242"/>
      <c r="P47" s="243"/>
      <c r="Q47" s="243"/>
      <c r="R47" s="14"/>
      <c r="S47" s="242"/>
      <c r="T47" s="15"/>
      <c r="U47" s="15"/>
      <c r="V47" s="15"/>
      <c r="W47" s="8"/>
      <c r="X47" s="8"/>
      <c r="Y47" s="56"/>
      <c r="Z47" s="56"/>
      <c r="AA47" s="15"/>
      <c r="AB47" s="15"/>
      <c r="AC47" s="15"/>
      <c r="AD47" s="15"/>
      <c r="AE47" s="57"/>
      <c r="AF47" s="57"/>
      <c r="AG47" s="15"/>
      <c r="AH47" s="25"/>
      <c r="AI47" s="26"/>
      <c r="AJ47" s="26"/>
      <c r="AK47" s="27"/>
      <c r="AL47" s="28"/>
      <c r="AM47" s="29"/>
    </row>
    <row r="48" ht="12.75" customHeight="1">
      <c r="A48" s="26"/>
      <c r="B48" s="12"/>
      <c r="C48" s="240"/>
      <c r="D48" s="241"/>
      <c r="E48" s="5"/>
      <c r="F48" s="5"/>
      <c r="G48" s="5"/>
      <c r="H48" s="5"/>
      <c r="I48" s="5"/>
      <c r="J48" s="5"/>
      <c r="K48" s="8"/>
      <c r="L48" s="9"/>
      <c r="M48" s="10"/>
      <c r="N48" s="12"/>
      <c r="O48" s="242"/>
      <c r="P48" s="243"/>
      <c r="Q48" s="243"/>
      <c r="R48" s="14"/>
      <c r="S48" s="242"/>
      <c r="T48" s="15"/>
      <c r="U48" s="15"/>
      <c r="V48" s="15"/>
      <c r="W48" s="8"/>
      <c r="X48" s="8"/>
      <c r="Y48" s="56"/>
      <c r="Z48" s="56"/>
      <c r="AA48" s="15"/>
      <c r="AB48" s="15"/>
      <c r="AC48" s="15"/>
      <c r="AD48" s="15"/>
      <c r="AE48" s="57"/>
      <c r="AF48" s="57"/>
      <c r="AG48" s="15"/>
      <c r="AH48" s="25"/>
      <c r="AI48" s="26"/>
      <c r="AJ48" s="26"/>
      <c r="AK48" s="27"/>
      <c r="AL48" s="28"/>
      <c r="AM48" s="29"/>
    </row>
    <row r="49" ht="12.75" customHeight="1">
      <c r="A49" s="26"/>
      <c r="B49" s="12"/>
      <c r="C49" s="240"/>
      <c r="D49" s="241"/>
      <c r="E49" s="5"/>
      <c r="F49" s="5"/>
      <c r="G49" s="5"/>
      <c r="H49" s="5"/>
      <c r="I49" s="5"/>
      <c r="J49" s="5"/>
      <c r="K49" s="8"/>
      <c r="L49" s="9"/>
      <c r="M49" s="10"/>
      <c r="N49" s="12"/>
      <c r="O49" s="242"/>
      <c r="P49" s="243"/>
      <c r="Q49" s="243"/>
      <c r="R49" s="14"/>
      <c r="S49" s="242"/>
      <c r="T49" s="15"/>
      <c r="U49" s="15"/>
      <c r="V49" s="15"/>
      <c r="W49" s="8"/>
      <c r="X49" s="8"/>
      <c r="Y49" s="56"/>
      <c r="Z49" s="56"/>
      <c r="AA49" s="15"/>
      <c r="AB49" s="15"/>
      <c r="AC49" s="15"/>
      <c r="AD49" s="15"/>
      <c r="AE49" s="57"/>
      <c r="AF49" s="57"/>
      <c r="AG49" s="15"/>
      <c r="AH49" s="25"/>
      <c r="AI49" s="26"/>
      <c r="AJ49" s="26"/>
      <c r="AK49" s="27"/>
      <c r="AL49" s="28"/>
      <c r="AM49" s="29"/>
    </row>
    <row r="50" ht="12.75" customHeight="1">
      <c r="A50" s="26"/>
      <c r="B50" s="12"/>
      <c r="C50" s="240"/>
      <c r="D50" s="241"/>
      <c r="E50" s="5"/>
      <c r="F50" s="5"/>
      <c r="G50" s="5"/>
      <c r="H50" s="5"/>
      <c r="I50" s="5"/>
      <c r="J50" s="5"/>
      <c r="K50" s="8"/>
      <c r="L50" s="9"/>
      <c r="M50" s="10"/>
      <c r="N50" s="12"/>
      <c r="O50" s="242"/>
      <c r="P50" s="243"/>
      <c r="Q50" s="243"/>
      <c r="R50" s="14"/>
      <c r="S50" s="242"/>
      <c r="T50" s="15"/>
      <c r="U50" s="15"/>
      <c r="V50" s="15"/>
      <c r="W50" s="8"/>
      <c r="X50" s="8"/>
      <c r="Y50" s="56"/>
      <c r="Z50" s="56"/>
      <c r="AA50" s="15"/>
      <c r="AB50" s="15"/>
      <c r="AC50" s="15"/>
      <c r="AD50" s="15"/>
      <c r="AE50" s="57"/>
      <c r="AF50" s="57"/>
      <c r="AG50" s="15"/>
      <c r="AH50" s="25"/>
      <c r="AI50" s="26"/>
      <c r="AJ50" s="26"/>
      <c r="AK50" s="27"/>
      <c r="AL50" s="28"/>
      <c r="AM50" s="29"/>
    </row>
    <row r="51" ht="12.75" customHeight="1">
      <c r="A51" s="26"/>
      <c r="B51" s="12"/>
      <c r="C51" s="240"/>
      <c r="D51" s="241"/>
      <c r="E51" s="5"/>
      <c r="F51" s="5"/>
      <c r="G51" s="5"/>
      <c r="H51" s="5"/>
      <c r="I51" s="5"/>
      <c r="J51" s="5"/>
      <c r="K51" s="8"/>
      <c r="L51" s="9"/>
      <c r="M51" s="10"/>
      <c r="N51" s="12"/>
      <c r="O51" s="242"/>
      <c r="P51" s="243"/>
      <c r="Q51" s="243"/>
      <c r="R51" s="14"/>
      <c r="S51" s="242"/>
      <c r="T51" s="15"/>
      <c r="U51" s="15"/>
      <c r="V51" s="15"/>
      <c r="W51" s="8"/>
      <c r="X51" s="8"/>
      <c r="Y51" s="56"/>
      <c r="Z51" s="56"/>
      <c r="AA51" s="15"/>
      <c r="AB51" s="15"/>
      <c r="AC51" s="15"/>
      <c r="AD51" s="15"/>
      <c r="AE51" s="57"/>
      <c r="AF51" s="57"/>
      <c r="AG51" s="15"/>
      <c r="AH51" s="25"/>
      <c r="AI51" s="26"/>
      <c r="AJ51" s="26"/>
      <c r="AK51" s="27"/>
      <c r="AL51" s="28"/>
      <c r="AM51" s="29"/>
    </row>
    <row r="52" ht="12.75" customHeight="1">
      <c r="A52" s="26"/>
      <c r="B52" s="12"/>
      <c r="C52" s="240"/>
      <c r="D52" s="241"/>
      <c r="E52" s="5"/>
      <c r="F52" s="5"/>
      <c r="G52" s="5"/>
      <c r="H52" s="5"/>
      <c r="I52" s="5"/>
      <c r="J52" s="5"/>
      <c r="K52" s="8"/>
      <c r="L52" s="9"/>
      <c r="M52" s="10"/>
      <c r="N52" s="12"/>
      <c r="O52" s="242"/>
      <c r="P52" s="243"/>
      <c r="Q52" s="243"/>
      <c r="R52" s="14"/>
      <c r="S52" s="242"/>
      <c r="T52" s="15"/>
      <c r="U52" s="15"/>
      <c r="V52" s="15"/>
      <c r="W52" s="8"/>
      <c r="X52" s="8"/>
      <c r="Y52" s="56"/>
      <c r="Z52" s="56"/>
      <c r="AA52" s="15"/>
      <c r="AB52" s="15"/>
      <c r="AC52" s="15"/>
      <c r="AD52" s="15"/>
      <c r="AE52" s="57"/>
      <c r="AF52" s="57"/>
      <c r="AG52" s="15"/>
      <c r="AH52" s="25"/>
      <c r="AI52" s="26"/>
      <c r="AJ52" s="26"/>
      <c r="AK52" s="27"/>
      <c r="AL52" s="28"/>
      <c r="AM52" s="29"/>
    </row>
    <row r="53" ht="12.75" customHeight="1">
      <c r="A53" s="26"/>
      <c r="B53" s="12"/>
      <c r="C53" s="240"/>
      <c r="D53" s="241"/>
      <c r="E53" s="5"/>
      <c r="F53" s="5"/>
      <c r="G53" s="5"/>
      <c r="H53" s="5"/>
      <c r="I53" s="5"/>
      <c r="J53" s="5"/>
      <c r="K53" s="8"/>
      <c r="L53" s="9"/>
      <c r="M53" s="10"/>
      <c r="N53" s="12"/>
      <c r="O53" s="242"/>
      <c r="P53" s="243"/>
      <c r="Q53" s="243"/>
      <c r="R53" s="14"/>
      <c r="S53" s="242"/>
      <c r="T53" s="15"/>
      <c r="U53" s="15"/>
      <c r="V53" s="15"/>
      <c r="W53" s="8"/>
      <c r="X53" s="8"/>
      <c r="Y53" s="56"/>
      <c r="Z53" s="56"/>
      <c r="AA53" s="15"/>
      <c r="AB53" s="15"/>
      <c r="AC53" s="15"/>
      <c r="AD53" s="15"/>
      <c r="AE53" s="57"/>
      <c r="AF53" s="57"/>
      <c r="AG53" s="15"/>
      <c r="AH53" s="25"/>
      <c r="AI53" s="26"/>
      <c r="AJ53" s="26"/>
      <c r="AK53" s="27"/>
      <c r="AL53" s="28"/>
      <c r="AM53" s="29"/>
    </row>
    <row r="54" ht="12.75" customHeight="1">
      <c r="A54" s="26"/>
      <c r="B54" s="12"/>
      <c r="C54" s="240"/>
      <c r="D54" s="241"/>
      <c r="E54" s="5"/>
      <c r="F54" s="5"/>
      <c r="G54" s="5"/>
      <c r="H54" s="5"/>
      <c r="I54" s="5"/>
      <c r="J54" s="5"/>
      <c r="K54" s="8"/>
      <c r="L54" s="9"/>
      <c r="M54" s="10"/>
      <c r="N54" s="12"/>
      <c r="O54" s="242"/>
      <c r="P54" s="243"/>
      <c r="Q54" s="243"/>
      <c r="R54" s="14"/>
      <c r="S54" s="242"/>
      <c r="T54" s="15"/>
      <c r="U54" s="15"/>
      <c r="V54" s="15"/>
      <c r="W54" s="8"/>
      <c r="X54" s="8"/>
      <c r="Y54" s="56"/>
      <c r="Z54" s="56"/>
      <c r="AA54" s="15"/>
      <c r="AB54" s="15"/>
      <c r="AC54" s="15"/>
      <c r="AD54" s="15"/>
      <c r="AE54" s="57"/>
      <c r="AF54" s="57"/>
      <c r="AG54" s="15"/>
      <c r="AH54" s="25"/>
      <c r="AI54" s="26"/>
      <c r="AJ54" s="26"/>
      <c r="AK54" s="27"/>
      <c r="AL54" s="28"/>
      <c r="AM54" s="29"/>
    </row>
    <row r="55" ht="12.75" customHeight="1">
      <c r="A55" s="26"/>
      <c r="B55" s="12"/>
      <c r="C55" s="240"/>
      <c r="D55" s="241"/>
      <c r="E55" s="5"/>
      <c r="F55" s="5"/>
      <c r="G55" s="5"/>
      <c r="H55" s="5"/>
      <c r="I55" s="5"/>
      <c r="J55" s="5"/>
      <c r="K55" s="8"/>
      <c r="L55" s="9"/>
      <c r="M55" s="10"/>
      <c r="N55" s="12"/>
      <c r="O55" s="242"/>
      <c r="P55" s="243"/>
      <c r="Q55" s="243"/>
      <c r="R55" s="14"/>
      <c r="S55" s="242"/>
      <c r="T55" s="15"/>
      <c r="U55" s="15"/>
      <c r="V55" s="15"/>
      <c r="W55" s="8"/>
      <c r="X55" s="8"/>
      <c r="Y55" s="56"/>
      <c r="Z55" s="56"/>
      <c r="AA55" s="15"/>
      <c r="AB55" s="15"/>
      <c r="AC55" s="15"/>
      <c r="AD55" s="15"/>
      <c r="AE55" s="57"/>
      <c r="AF55" s="57"/>
      <c r="AG55" s="15"/>
      <c r="AH55" s="25"/>
      <c r="AI55" s="26"/>
      <c r="AJ55" s="26"/>
      <c r="AK55" s="27"/>
      <c r="AL55" s="28"/>
      <c r="AM55" s="29"/>
    </row>
    <row r="56" ht="12.75" customHeight="1">
      <c r="A56" s="26"/>
      <c r="B56" s="12"/>
      <c r="C56" s="240"/>
      <c r="D56" s="241"/>
      <c r="E56" s="5"/>
      <c r="F56" s="5"/>
      <c r="G56" s="5"/>
      <c r="H56" s="5"/>
      <c r="I56" s="5"/>
      <c r="J56" s="5"/>
      <c r="K56" s="8"/>
      <c r="L56" s="9"/>
      <c r="M56" s="10"/>
      <c r="N56" s="12"/>
      <c r="O56" s="242"/>
      <c r="P56" s="243"/>
      <c r="Q56" s="243"/>
      <c r="R56" s="14"/>
      <c r="S56" s="242"/>
      <c r="T56" s="15"/>
      <c r="U56" s="15"/>
      <c r="V56" s="15"/>
      <c r="W56" s="8"/>
      <c r="X56" s="8"/>
      <c r="Y56" s="56"/>
      <c r="Z56" s="56"/>
      <c r="AA56" s="15"/>
      <c r="AB56" s="15"/>
      <c r="AC56" s="15"/>
      <c r="AD56" s="15"/>
      <c r="AE56" s="57"/>
      <c r="AF56" s="57"/>
      <c r="AG56" s="15"/>
      <c r="AH56" s="25"/>
      <c r="AI56" s="26"/>
      <c r="AJ56" s="26"/>
      <c r="AK56" s="27"/>
      <c r="AL56" s="28"/>
      <c r="AM56" s="29"/>
    </row>
    <row r="57" ht="12.75" customHeight="1">
      <c r="A57" s="26"/>
      <c r="B57" s="12"/>
      <c r="C57" s="240"/>
      <c r="D57" s="241"/>
      <c r="E57" s="5"/>
      <c r="F57" s="5"/>
      <c r="G57" s="5"/>
      <c r="H57" s="5"/>
      <c r="I57" s="5"/>
      <c r="J57" s="5"/>
      <c r="K57" s="8"/>
      <c r="L57" s="9"/>
      <c r="M57" s="10"/>
      <c r="N57" s="12"/>
      <c r="O57" s="242"/>
      <c r="P57" s="243"/>
      <c r="Q57" s="243"/>
      <c r="R57" s="14"/>
      <c r="S57" s="242"/>
      <c r="T57" s="15"/>
      <c r="U57" s="15"/>
      <c r="V57" s="15"/>
      <c r="W57" s="8"/>
      <c r="X57" s="8"/>
      <c r="Y57" s="56"/>
      <c r="Z57" s="56"/>
      <c r="AA57" s="15"/>
      <c r="AB57" s="15"/>
      <c r="AC57" s="15"/>
      <c r="AD57" s="15"/>
      <c r="AE57" s="57"/>
      <c r="AF57" s="57"/>
      <c r="AG57" s="15"/>
      <c r="AH57" s="25"/>
      <c r="AI57" s="26"/>
      <c r="AJ57" s="26"/>
      <c r="AK57" s="27"/>
      <c r="AL57" s="28"/>
      <c r="AM57" s="29"/>
    </row>
    <row r="58" ht="12.75" customHeight="1">
      <c r="A58" s="26"/>
      <c r="B58" s="12"/>
      <c r="C58" s="240"/>
      <c r="D58" s="241"/>
      <c r="E58" s="5"/>
      <c r="F58" s="5"/>
      <c r="G58" s="5"/>
      <c r="H58" s="5"/>
      <c r="I58" s="5"/>
      <c r="J58" s="5"/>
      <c r="K58" s="8"/>
      <c r="L58" s="9"/>
      <c r="M58" s="10"/>
      <c r="N58" s="12"/>
      <c r="O58" s="242"/>
      <c r="P58" s="243"/>
      <c r="Q58" s="243"/>
      <c r="R58" s="14"/>
      <c r="S58" s="242"/>
      <c r="T58" s="15"/>
      <c r="U58" s="15"/>
      <c r="V58" s="15"/>
      <c r="W58" s="8"/>
      <c r="X58" s="8"/>
      <c r="Y58" s="56"/>
      <c r="Z58" s="56"/>
      <c r="AA58" s="15"/>
      <c r="AB58" s="15"/>
      <c r="AC58" s="15"/>
      <c r="AD58" s="15"/>
      <c r="AE58" s="57"/>
      <c r="AF58" s="57"/>
      <c r="AG58" s="15"/>
      <c r="AH58" s="25"/>
      <c r="AI58" s="26"/>
      <c r="AJ58" s="26"/>
      <c r="AK58" s="27"/>
      <c r="AL58" s="28"/>
      <c r="AM58" s="29"/>
    </row>
    <row r="59" ht="12.75" customHeight="1">
      <c r="A59" s="26"/>
      <c r="B59" s="12"/>
      <c r="C59" s="240"/>
      <c r="D59" s="241"/>
      <c r="E59" s="5"/>
      <c r="F59" s="5"/>
      <c r="G59" s="5"/>
      <c r="H59" s="5"/>
      <c r="I59" s="5"/>
      <c r="J59" s="5"/>
      <c r="K59" s="8"/>
      <c r="L59" s="9"/>
      <c r="M59" s="10"/>
      <c r="N59" s="12"/>
      <c r="O59" s="242"/>
      <c r="P59" s="243"/>
      <c r="Q59" s="243"/>
      <c r="R59" s="14"/>
      <c r="S59" s="242"/>
      <c r="T59" s="15"/>
      <c r="U59" s="15"/>
      <c r="V59" s="15"/>
      <c r="W59" s="8"/>
      <c r="X59" s="8"/>
      <c r="Y59" s="56"/>
      <c r="Z59" s="56"/>
      <c r="AA59" s="15"/>
      <c r="AB59" s="15"/>
      <c r="AC59" s="15"/>
      <c r="AD59" s="15"/>
      <c r="AE59" s="57"/>
      <c r="AF59" s="57"/>
      <c r="AG59" s="15"/>
      <c r="AH59" s="25"/>
      <c r="AI59" s="26"/>
      <c r="AJ59" s="26"/>
      <c r="AK59" s="27"/>
      <c r="AL59" s="28"/>
      <c r="AM59" s="29"/>
    </row>
    <row r="60" ht="12.75" customHeight="1">
      <c r="A60" s="26"/>
      <c r="B60" s="12"/>
      <c r="C60" s="240"/>
      <c r="D60" s="241"/>
      <c r="E60" s="5"/>
      <c r="F60" s="5"/>
      <c r="G60" s="5"/>
      <c r="H60" s="5"/>
      <c r="I60" s="5"/>
      <c r="J60" s="5"/>
      <c r="K60" s="8"/>
      <c r="L60" s="9"/>
      <c r="M60" s="10"/>
      <c r="N60" s="12"/>
      <c r="O60" s="242"/>
      <c r="P60" s="243"/>
      <c r="Q60" s="243"/>
      <c r="R60" s="14"/>
      <c r="S60" s="242"/>
      <c r="T60" s="15"/>
      <c r="U60" s="15"/>
      <c r="V60" s="15"/>
      <c r="W60" s="8"/>
      <c r="X60" s="8"/>
      <c r="Y60" s="56"/>
      <c r="Z60" s="56"/>
      <c r="AA60" s="15"/>
      <c r="AB60" s="15"/>
      <c r="AC60" s="15"/>
      <c r="AD60" s="15"/>
      <c r="AE60" s="57"/>
      <c r="AF60" s="57"/>
      <c r="AG60" s="15"/>
      <c r="AH60" s="25"/>
      <c r="AI60" s="26"/>
      <c r="AJ60" s="26"/>
      <c r="AK60" s="27"/>
      <c r="AL60" s="28"/>
      <c r="AM60" s="29"/>
    </row>
    <row r="61" ht="12.75" customHeight="1">
      <c r="A61" s="26"/>
      <c r="B61" s="12"/>
      <c r="C61" s="240"/>
      <c r="D61" s="241"/>
      <c r="E61" s="5"/>
      <c r="F61" s="5"/>
      <c r="G61" s="5"/>
      <c r="H61" s="5"/>
      <c r="I61" s="5"/>
      <c r="J61" s="5"/>
      <c r="K61" s="8"/>
      <c r="L61" s="9"/>
      <c r="M61" s="10"/>
      <c r="N61" s="12"/>
      <c r="O61" s="242"/>
      <c r="P61" s="243"/>
      <c r="Q61" s="243"/>
      <c r="R61" s="14"/>
      <c r="S61" s="242"/>
      <c r="T61" s="15"/>
      <c r="U61" s="15"/>
      <c r="V61" s="15"/>
      <c r="W61" s="8"/>
      <c r="X61" s="8"/>
      <c r="Y61" s="56"/>
      <c r="Z61" s="56"/>
      <c r="AA61" s="15"/>
      <c r="AB61" s="15"/>
      <c r="AC61" s="15"/>
      <c r="AD61" s="15"/>
      <c r="AE61" s="57"/>
      <c r="AF61" s="57"/>
      <c r="AG61" s="15"/>
      <c r="AH61" s="25"/>
      <c r="AI61" s="26"/>
      <c r="AJ61" s="26"/>
      <c r="AK61" s="27"/>
      <c r="AL61" s="28"/>
      <c r="AM61" s="29"/>
    </row>
    <row r="62" ht="12.75" customHeight="1">
      <c r="A62" s="26"/>
      <c r="B62" s="12"/>
      <c r="C62" s="240"/>
      <c r="D62" s="241"/>
      <c r="E62" s="5"/>
      <c r="F62" s="5"/>
      <c r="G62" s="5"/>
      <c r="H62" s="5"/>
      <c r="I62" s="5"/>
      <c r="J62" s="5"/>
      <c r="K62" s="8"/>
      <c r="L62" s="9"/>
      <c r="M62" s="10"/>
      <c r="N62" s="12"/>
      <c r="O62" s="242"/>
      <c r="P62" s="243"/>
      <c r="Q62" s="243"/>
      <c r="R62" s="14"/>
      <c r="S62" s="242"/>
      <c r="T62" s="15"/>
      <c r="U62" s="15"/>
      <c r="V62" s="15"/>
      <c r="W62" s="8"/>
      <c r="X62" s="8"/>
      <c r="Y62" s="56"/>
      <c r="Z62" s="56"/>
      <c r="AA62" s="15"/>
      <c r="AB62" s="15"/>
      <c r="AC62" s="15"/>
      <c r="AD62" s="15"/>
      <c r="AE62" s="57"/>
      <c r="AF62" s="57"/>
      <c r="AG62" s="15"/>
      <c r="AH62" s="25"/>
      <c r="AI62" s="26"/>
      <c r="AJ62" s="26"/>
      <c r="AK62" s="27"/>
      <c r="AL62" s="28"/>
      <c r="AM62" s="29"/>
    </row>
    <row r="63" ht="12.75" customHeight="1">
      <c r="A63" s="26"/>
      <c r="B63" s="12"/>
      <c r="C63" s="240"/>
      <c r="D63" s="241"/>
      <c r="E63" s="5"/>
      <c r="F63" s="5"/>
      <c r="G63" s="5"/>
      <c r="H63" s="5"/>
      <c r="I63" s="5"/>
      <c r="J63" s="5"/>
      <c r="K63" s="8"/>
      <c r="L63" s="9"/>
      <c r="M63" s="10"/>
      <c r="N63" s="12"/>
      <c r="O63" s="242"/>
      <c r="P63" s="243"/>
      <c r="Q63" s="243"/>
      <c r="R63" s="14"/>
      <c r="S63" s="242"/>
      <c r="T63" s="15"/>
      <c r="U63" s="15"/>
      <c r="V63" s="15"/>
      <c r="W63" s="8"/>
      <c r="X63" s="8"/>
      <c r="Y63" s="56"/>
      <c r="Z63" s="56"/>
      <c r="AA63" s="15"/>
      <c r="AB63" s="15"/>
      <c r="AC63" s="15"/>
      <c r="AD63" s="15"/>
      <c r="AE63" s="57"/>
      <c r="AF63" s="57"/>
      <c r="AG63" s="15"/>
      <c r="AH63" s="25"/>
      <c r="AI63" s="26"/>
      <c r="AJ63" s="26"/>
      <c r="AK63" s="27"/>
      <c r="AL63" s="28"/>
      <c r="AM63" s="29"/>
    </row>
    <row r="64" ht="12.75" customHeight="1">
      <c r="A64" s="26"/>
      <c r="B64" s="12"/>
      <c r="C64" s="240"/>
      <c r="D64" s="241"/>
      <c r="E64" s="5"/>
      <c r="F64" s="5"/>
      <c r="G64" s="5"/>
      <c r="H64" s="5"/>
      <c r="I64" s="5"/>
      <c r="J64" s="5"/>
      <c r="K64" s="8"/>
      <c r="L64" s="9"/>
      <c r="M64" s="10"/>
      <c r="N64" s="12"/>
      <c r="O64" s="242"/>
      <c r="P64" s="243"/>
      <c r="Q64" s="243"/>
      <c r="R64" s="14"/>
      <c r="S64" s="242"/>
      <c r="T64" s="15"/>
      <c r="U64" s="15"/>
      <c r="V64" s="15"/>
      <c r="W64" s="8"/>
      <c r="X64" s="8"/>
      <c r="Y64" s="56"/>
      <c r="Z64" s="56"/>
      <c r="AA64" s="15"/>
      <c r="AB64" s="15"/>
      <c r="AC64" s="15"/>
      <c r="AD64" s="15"/>
      <c r="AE64" s="57"/>
      <c r="AF64" s="57"/>
      <c r="AG64" s="15"/>
      <c r="AH64" s="25"/>
      <c r="AI64" s="26"/>
      <c r="AJ64" s="26"/>
      <c r="AK64" s="27"/>
      <c r="AL64" s="28"/>
      <c r="AM64" s="29"/>
    </row>
    <row r="65" ht="12.75" customHeight="1">
      <c r="A65" s="26"/>
      <c r="B65" s="12"/>
      <c r="C65" s="240"/>
      <c r="D65" s="241"/>
      <c r="E65" s="5"/>
      <c r="F65" s="5"/>
      <c r="G65" s="5"/>
      <c r="H65" s="5"/>
      <c r="I65" s="5"/>
      <c r="J65" s="5"/>
      <c r="K65" s="8"/>
      <c r="L65" s="9"/>
      <c r="M65" s="10"/>
      <c r="N65" s="12"/>
      <c r="O65" s="242"/>
      <c r="P65" s="243"/>
      <c r="Q65" s="243"/>
      <c r="R65" s="14"/>
      <c r="S65" s="242"/>
      <c r="T65" s="15"/>
      <c r="U65" s="15"/>
      <c r="V65" s="15"/>
      <c r="W65" s="8"/>
      <c r="X65" s="8"/>
      <c r="Y65" s="56"/>
      <c r="Z65" s="56"/>
      <c r="AA65" s="15"/>
      <c r="AB65" s="15"/>
      <c r="AC65" s="15"/>
      <c r="AD65" s="15"/>
      <c r="AE65" s="57"/>
      <c r="AF65" s="57"/>
      <c r="AG65" s="15"/>
      <c r="AH65" s="25"/>
      <c r="AI65" s="26"/>
      <c r="AJ65" s="26"/>
      <c r="AK65" s="27"/>
      <c r="AL65" s="28"/>
      <c r="AM65" s="29"/>
    </row>
    <row r="66" ht="12.75" customHeight="1">
      <c r="A66" s="26"/>
      <c r="B66" s="12"/>
      <c r="C66" s="240"/>
      <c r="D66" s="241"/>
      <c r="E66" s="5"/>
      <c r="F66" s="5"/>
      <c r="G66" s="5"/>
      <c r="H66" s="5"/>
      <c r="I66" s="5"/>
      <c r="J66" s="5"/>
      <c r="K66" s="8"/>
      <c r="L66" s="9"/>
      <c r="M66" s="10"/>
      <c r="N66" s="12"/>
      <c r="O66" s="242"/>
      <c r="P66" s="243"/>
      <c r="Q66" s="243"/>
      <c r="R66" s="14"/>
      <c r="S66" s="242"/>
      <c r="T66" s="15"/>
      <c r="U66" s="15"/>
      <c r="V66" s="15"/>
      <c r="W66" s="8"/>
      <c r="X66" s="8"/>
      <c r="Y66" s="56"/>
      <c r="Z66" s="56"/>
      <c r="AA66" s="15"/>
      <c r="AB66" s="15"/>
      <c r="AC66" s="15"/>
      <c r="AD66" s="15"/>
      <c r="AE66" s="57"/>
      <c r="AF66" s="57"/>
      <c r="AG66" s="15"/>
      <c r="AH66" s="25"/>
      <c r="AI66" s="26"/>
      <c r="AJ66" s="26"/>
      <c r="AK66" s="27"/>
      <c r="AL66" s="28"/>
      <c r="AM66" s="29"/>
    </row>
    <row r="67" ht="12.75" customHeight="1">
      <c r="A67" s="26"/>
      <c r="B67" s="12"/>
      <c r="C67" s="240"/>
      <c r="D67" s="241"/>
      <c r="E67" s="5"/>
      <c r="F67" s="5"/>
      <c r="G67" s="5"/>
      <c r="H67" s="5"/>
      <c r="I67" s="5"/>
      <c r="J67" s="5"/>
      <c r="K67" s="8"/>
      <c r="L67" s="9"/>
      <c r="M67" s="10"/>
      <c r="N67" s="12"/>
      <c r="O67" s="242"/>
      <c r="P67" s="243"/>
      <c r="Q67" s="243"/>
      <c r="R67" s="14"/>
      <c r="S67" s="242"/>
      <c r="T67" s="15"/>
      <c r="U67" s="15"/>
      <c r="V67" s="15"/>
      <c r="W67" s="8"/>
      <c r="X67" s="8"/>
      <c r="Y67" s="56"/>
      <c r="Z67" s="56"/>
      <c r="AA67" s="15"/>
      <c r="AB67" s="15"/>
      <c r="AC67" s="15"/>
      <c r="AD67" s="15"/>
      <c r="AE67" s="57"/>
      <c r="AF67" s="57"/>
      <c r="AG67" s="15"/>
      <c r="AH67" s="25"/>
      <c r="AI67" s="26"/>
      <c r="AJ67" s="26"/>
      <c r="AK67" s="27"/>
      <c r="AL67" s="28"/>
      <c r="AM67" s="29"/>
    </row>
    <row r="68" ht="12.75" customHeight="1">
      <c r="A68" s="26"/>
      <c r="B68" s="12"/>
      <c r="C68" s="240"/>
      <c r="D68" s="241"/>
      <c r="E68" s="5"/>
      <c r="F68" s="5"/>
      <c r="G68" s="5"/>
      <c r="H68" s="5"/>
      <c r="I68" s="5"/>
      <c r="J68" s="5"/>
      <c r="K68" s="8"/>
      <c r="L68" s="9"/>
      <c r="M68" s="10"/>
      <c r="N68" s="12"/>
      <c r="O68" s="242"/>
      <c r="P68" s="243"/>
      <c r="Q68" s="243"/>
      <c r="R68" s="14"/>
      <c r="S68" s="242"/>
      <c r="T68" s="15"/>
      <c r="U68" s="15"/>
      <c r="V68" s="15"/>
      <c r="W68" s="8"/>
      <c r="X68" s="8"/>
      <c r="Y68" s="56"/>
      <c r="Z68" s="56"/>
      <c r="AA68" s="15"/>
      <c r="AB68" s="15"/>
      <c r="AC68" s="15"/>
      <c r="AD68" s="15"/>
      <c r="AE68" s="57"/>
      <c r="AF68" s="57"/>
      <c r="AG68" s="15"/>
      <c r="AH68" s="25"/>
      <c r="AI68" s="26"/>
      <c r="AJ68" s="26"/>
      <c r="AK68" s="27"/>
      <c r="AL68" s="28"/>
      <c r="AM68" s="29"/>
    </row>
    <row r="69" ht="12.75" customHeight="1">
      <c r="A69" s="26"/>
      <c r="B69" s="12"/>
      <c r="C69" s="240"/>
      <c r="D69" s="241"/>
      <c r="E69" s="5"/>
      <c r="F69" s="5"/>
      <c r="G69" s="5"/>
      <c r="H69" s="5"/>
      <c r="I69" s="5"/>
      <c r="J69" s="5"/>
      <c r="K69" s="8"/>
      <c r="L69" s="9"/>
      <c r="M69" s="10"/>
      <c r="N69" s="12"/>
      <c r="O69" s="242"/>
      <c r="P69" s="243"/>
      <c r="Q69" s="243"/>
      <c r="R69" s="14"/>
      <c r="S69" s="242"/>
      <c r="T69" s="15"/>
      <c r="U69" s="15"/>
      <c r="V69" s="15"/>
      <c r="W69" s="8"/>
      <c r="X69" s="8"/>
      <c r="Y69" s="56"/>
      <c r="Z69" s="56"/>
      <c r="AA69" s="15"/>
      <c r="AB69" s="15"/>
      <c r="AC69" s="15"/>
      <c r="AD69" s="15"/>
      <c r="AE69" s="57"/>
      <c r="AF69" s="57"/>
      <c r="AG69" s="15"/>
      <c r="AH69" s="25"/>
      <c r="AI69" s="26"/>
      <c r="AJ69" s="26"/>
      <c r="AK69" s="27"/>
      <c r="AL69" s="28"/>
      <c r="AM69" s="29"/>
    </row>
    <row r="70" ht="12.75" customHeight="1">
      <c r="A70" s="26"/>
      <c r="B70" s="12"/>
      <c r="C70" s="240"/>
      <c r="D70" s="241"/>
      <c r="E70" s="5"/>
      <c r="F70" s="5"/>
      <c r="G70" s="5"/>
      <c r="H70" s="5"/>
      <c r="I70" s="5"/>
      <c r="J70" s="5"/>
      <c r="K70" s="8"/>
      <c r="L70" s="9"/>
      <c r="M70" s="10"/>
      <c r="N70" s="12"/>
      <c r="O70" s="242"/>
      <c r="P70" s="243"/>
      <c r="Q70" s="243"/>
      <c r="R70" s="14"/>
      <c r="S70" s="242"/>
      <c r="T70" s="15"/>
      <c r="U70" s="15"/>
      <c r="V70" s="15"/>
      <c r="W70" s="8"/>
      <c r="X70" s="8"/>
      <c r="Y70" s="56"/>
      <c r="Z70" s="56"/>
      <c r="AA70" s="15"/>
      <c r="AB70" s="15"/>
      <c r="AC70" s="15"/>
      <c r="AD70" s="15"/>
      <c r="AE70" s="57"/>
      <c r="AF70" s="57"/>
      <c r="AG70" s="15"/>
      <c r="AH70" s="25"/>
      <c r="AI70" s="26"/>
      <c r="AJ70" s="26"/>
      <c r="AK70" s="27"/>
      <c r="AL70" s="28"/>
      <c r="AM70" s="29"/>
    </row>
    <row r="71" ht="12.75" customHeight="1">
      <c r="A71" s="26"/>
      <c r="B71" s="12"/>
      <c r="C71" s="240"/>
      <c r="D71" s="241"/>
      <c r="E71" s="5"/>
      <c r="F71" s="5"/>
      <c r="G71" s="5"/>
      <c r="H71" s="5"/>
      <c r="I71" s="5"/>
      <c r="J71" s="5"/>
      <c r="K71" s="8"/>
      <c r="L71" s="9"/>
      <c r="M71" s="10"/>
      <c r="N71" s="12"/>
      <c r="O71" s="242"/>
      <c r="P71" s="243"/>
      <c r="Q71" s="243"/>
      <c r="R71" s="14"/>
      <c r="S71" s="242"/>
      <c r="T71" s="15"/>
      <c r="U71" s="15"/>
      <c r="V71" s="15"/>
      <c r="W71" s="8"/>
      <c r="X71" s="8"/>
      <c r="Y71" s="56"/>
      <c r="Z71" s="56"/>
      <c r="AA71" s="15"/>
      <c r="AB71" s="15"/>
      <c r="AC71" s="15"/>
      <c r="AD71" s="15"/>
      <c r="AE71" s="57"/>
      <c r="AF71" s="57"/>
      <c r="AG71" s="15"/>
      <c r="AH71" s="25"/>
      <c r="AI71" s="26"/>
      <c r="AJ71" s="26"/>
      <c r="AK71" s="27"/>
      <c r="AL71" s="28"/>
      <c r="AM71" s="29"/>
    </row>
    <row r="72" ht="12.75" customHeight="1">
      <c r="A72" s="26"/>
      <c r="B72" s="12"/>
      <c r="C72" s="240"/>
      <c r="D72" s="241"/>
      <c r="E72" s="5"/>
      <c r="F72" s="5"/>
      <c r="G72" s="5"/>
      <c r="H72" s="5"/>
      <c r="I72" s="5"/>
      <c r="J72" s="5"/>
      <c r="K72" s="8"/>
      <c r="L72" s="9"/>
      <c r="M72" s="10"/>
      <c r="N72" s="12"/>
      <c r="O72" s="242"/>
      <c r="P72" s="243"/>
      <c r="Q72" s="243"/>
      <c r="R72" s="14"/>
      <c r="S72" s="242"/>
      <c r="T72" s="15"/>
      <c r="U72" s="15"/>
      <c r="V72" s="15"/>
      <c r="W72" s="8"/>
      <c r="X72" s="8"/>
      <c r="Y72" s="56"/>
      <c r="Z72" s="56"/>
      <c r="AA72" s="15"/>
      <c r="AB72" s="15"/>
      <c r="AC72" s="15"/>
      <c r="AD72" s="15"/>
      <c r="AE72" s="57"/>
      <c r="AF72" s="57"/>
      <c r="AG72" s="15"/>
      <c r="AH72" s="25"/>
      <c r="AI72" s="26"/>
      <c r="AJ72" s="26"/>
      <c r="AK72" s="27"/>
      <c r="AL72" s="28"/>
      <c r="AM72" s="29"/>
    </row>
    <row r="73" ht="12.75" customHeight="1">
      <c r="A73" s="26"/>
      <c r="B73" s="12"/>
      <c r="C73" s="240"/>
      <c r="D73" s="241"/>
      <c r="E73" s="5"/>
      <c r="F73" s="5"/>
      <c r="G73" s="5"/>
      <c r="H73" s="5"/>
      <c r="I73" s="5"/>
      <c r="J73" s="5"/>
      <c r="K73" s="8"/>
      <c r="L73" s="9"/>
      <c r="M73" s="10"/>
      <c r="N73" s="12"/>
      <c r="O73" s="242"/>
      <c r="P73" s="243"/>
      <c r="Q73" s="243"/>
      <c r="R73" s="14"/>
      <c r="S73" s="242"/>
      <c r="T73" s="15"/>
      <c r="U73" s="15"/>
      <c r="V73" s="15"/>
      <c r="W73" s="8"/>
      <c r="X73" s="8"/>
      <c r="Y73" s="56"/>
      <c r="Z73" s="56"/>
      <c r="AA73" s="15"/>
      <c r="AB73" s="15"/>
      <c r="AC73" s="15"/>
      <c r="AD73" s="15"/>
      <c r="AE73" s="57"/>
      <c r="AF73" s="57"/>
      <c r="AG73" s="15"/>
      <c r="AH73" s="25"/>
      <c r="AI73" s="26"/>
      <c r="AJ73" s="26"/>
      <c r="AK73" s="27"/>
      <c r="AL73" s="28"/>
      <c r="AM73" s="29"/>
    </row>
    <row r="74" ht="12.75" customHeight="1">
      <c r="A74" s="26"/>
      <c r="B74" s="12"/>
      <c r="C74" s="240"/>
      <c r="D74" s="241"/>
      <c r="E74" s="5"/>
      <c r="F74" s="5"/>
      <c r="G74" s="5"/>
      <c r="H74" s="5"/>
      <c r="I74" s="5"/>
      <c r="J74" s="5"/>
      <c r="K74" s="8"/>
      <c r="L74" s="9"/>
      <c r="M74" s="10"/>
      <c r="N74" s="12"/>
      <c r="O74" s="242"/>
      <c r="P74" s="243"/>
      <c r="Q74" s="243"/>
      <c r="R74" s="14"/>
      <c r="S74" s="242"/>
      <c r="T74" s="15"/>
      <c r="U74" s="15"/>
      <c r="V74" s="15"/>
      <c r="W74" s="8"/>
      <c r="X74" s="8"/>
      <c r="Y74" s="56"/>
      <c r="Z74" s="56"/>
      <c r="AA74" s="15"/>
      <c r="AB74" s="15"/>
      <c r="AC74" s="15"/>
      <c r="AD74" s="15"/>
      <c r="AE74" s="57"/>
      <c r="AF74" s="57"/>
      <c r="AG74" s="15"/>
      <c r="AH74" s="25"/>
      <c r="AI74" s="26"/>
      <c r="AJ74" s="26"/>
      <c r="AK74" s="27"/>
      <c r="AL74" s="28"/>
      <c r="AM74" s="29"/>
    </row>
    <row r="75" ht="12.75" customHeight="1">
      <c r="A75" s="26"/>
      <c r="B75" s="12"/>
      <c r="C75" s="240"/>
      <c r="D75" s="241"/>
      <c r="E75" s="5"/>
      <c r="F75" s="5"/>
      <c r="G75" s="5"/>
      <c r="H75" s="5"/>
      <c r="I75" s="5"/>
      <c r="J75" s="5"/>
      <c r="K75" s="8"/>
      <c r="L75" s="9"/>
      <c r="M75" s="10"/>
      <c r="N75" s="12"/>
      <c r="O75" s="242"/>
      <c r="P75" s="243"/>
      <c r="Q75" s="243"/>
      <c r="R75" s="14"/>
      <c r="S75" s="242"/>
      <c r="T75" s="15"/>
      <c r="U75" s="15"/>
      <c r="V75" s="15"/>
      <c r="W75" s="8"/>
      <c r="X75" s="8"/>
      <c r="Y75" s="56"/>
      <c r="Z75" s="56"/>
      <c r="AA75" s="15"/>
      <c r="AB75" s="15"/>
      <c r="AC75" s="15"/>
      <c r="AD75" s="15"/>
      <c r="AE75" s="57"/>
      <c r="AF75" s="57"/>
      <c r="AG75" s="15"/>
      <c r="AH75" s="25"/>
      <c r="AI75" s="26"/>
      <c r="AJ75" s="26"/>
      <c r="AK75" s="27"/>
      <c r="AL75" s="28"/>
      <c r="AM75" s="29"/>
    </row>
    <row r="76" ht="12.75" customHeight="1">
      <c r="A76" s="26"/>
      <c r="B76" s="12"/>
      <c r="C76" s="240"/>
      <c r="D76" s="241"/>
      <c r="E76" s="5"/>
      <c r="F76" s="5"/>
      <c r="G76" s="5"/>
      <c r="H76" s="5"/>
      <c r="I76" s="5"/>
      <c r="J76" s="5"/>
      <c r="K76" s="8"/>
      <c r="L76" s="9"/>
      <c r="M76" s="10"/>
      <c r="N76" s="12"/>
      <c r="O76" s="242"/>
      <c r="P76" s="243"/>
      <c r="Q76" s="243"/>
      <c r="R76" s="14"/>
      <c r="S76" s="242"/>
      <c r="T76" s="15"/>
      <c r="U76" s="15"/>
      <c r="V76" s="15"/>
      <c r="W76" s="8"/>
      <c r="X76" s="8"/>
      <c r="Y76" s="56"/>
      <c r="Z76" s="56"/>
      <c r="AA76" s="15"/>
      <c r="AB76" s="15"/>
      <c r="AC76" s="15"/>
      <c r="AD76" s="15"/>
      <c r="AE76" s="57"/>
      <c r="AF76" s="57"/>
      <c r="AG76" s="15"/>
      <c r="AH76" s="25"/>
      <c r="AI76" s="26"/>
      <c r="AJ76" s="26"/>
      <c r="AK76" s="27"/>
      <c r="AL76" s="28"/>
      <c r="AM76" s="29"/>
    </row>
    <row r="77" ht="12.75" customHeight="1">
      <c r="A77" s="26"/>
      <c r="B77" s="12"/>
      <c r="C77" s="240"/>
      <c r="D77" s="241"/>
      <c r="E77" s="5"/>
      <c r="F77" s="5"/>
      <c r="G77" s="5"/>
      <c r="H77" s="5"/>
      <c r="I77" s="5"/>
      <c r="J77" s="5"/>
      <c r="K77" s="8"/>
      <c r="L77" s="9"/>
      <c r="M77" s="10"/>
      <c r="N77" s="12"/>
      <c r="O77" s="242"/>
      <c r="P77" s="243"/>
      <c r="Q77" s="243"/>
      <c r="R77" s="14"/>
      <c r="S77" s="242"/>
      <c r="T77" s="15"/>
      <c r="U77" s="15"/>
      <c r="V77" s="15"/>
      <c r="W77" s="8"/>
      <c r="X77" s="8"/>
      <c r="Y77" s="56"/>
      <c r="Z77" s="56"/>
      <c r="AA77" s="15"/>
      <c r="AB77" s="15"/>
      <c r="AC77" s="15"/>
      <c r="AD77" s="15"/>
      <c r="AE77" s="57"/>
      <c r="AF77" s="57"/>
      <c r="AG77" s="15"/>
      <c r="AH77" s="25"/>
      <c r="AI77" s="26"/>
      <c r="AJ77" s="26"/>
      <c r="AK77" s="27"/>
      <c r="AL77" s="28"/>
      <c r="AM77" s="29"/>
    </row>
    <row r="78" ht="12.75" customHeight="1">
      <c r="A78" s="26"/>
      <c r="B78" s="12"/>
      <c r="C78" s="240"/>
      <c r="D78" s="241"/>
      <c r="E78" s="5"/>
      <c r="F78" s="5"/>
      <c r="G78" s="5"/>
      <c r="H78" s="5"/>
      <c r="I78" s="5"/>
      <c r="J78" s="5"/>
      <c r="K78" s="8"/>
      <c r="L78" s="9"/>
      <c r="M78" s="10"/>
      <c r="N78" s="12"/>
      <c r="O78" s="242"/>
      <c r="P78" s="243"/>
      <c r="Q78" s="243"/>
      <c r="R78" s="14"/>
      <c r="S78" s="242"/>
      <c r="T78" s="15"/>
      <c r="U78" s="15"/>
      <c r="V78" s="15"/>
      <c r="W78" s="8"/>
      <c r="X78" s="8"/>
      <c r="Y78" s="56"/>
      <c r="Z78" s="56"/>
      <c r="AA78" s="15"/>
      <c r="AB78" s="15"/>
      <c r="AC78" s="15"/>
      <c r="AD78" s="15"/>
      <c r="AE78" s="57"/>
      <c r="AF78" s="57"/>
      <c r="AG78" s="15"/>
      <c r="AH78" s="25"/>
      <c r="AI78" s="26"/>
      <c r="AJ78" s="26"/>
      <c r="AK78" s="27"/>
      <c r="AL78" s="28"/>
      <c r="AM78" s="29"/>
    </row>
    <row r="79" ht="12.75" customHeight="1">
      <c r="A79" s="26"/>
      <c r="B79" s="12"/>
      <c r="C79" s="240"/>
      <c r="D79" s="241"/>
      <c r="E79" s="5"/>
      <c r="F79" s="5"/>
      <c r="G79" s="5"/>
      <c r="H79" s="5"/>
      <c r="I79" s="5"/>
      <c r="J79" s="5"/>
      <c r="K79" s="8"/>
      <c r="L79" s="9"/>
      <c r="M79" s="10"/>
      <c r="N79" s="12"/>
      <c r="O79" s="242"/>
      <c r="P79" s="243"/>
      <c r="Q79" s="243"/>
      <c r="R79" s="14"/>
      <c r="S79" s="242"/>
      <c r="T79" s="15"/>
      <c r="U79" s="15"/>
      <c r="V79" s="15"/>
      <c r="W79" s="8"/>
      <c r="X79" s="8"/>
      <c r="Y79" s="56"/>
      <c r="Z79" s="56"/>
      <c r="AA79" s="15"/>
      <c r="AB79" s="15"/>
      <c r="AC79" s="15"/>
      <c r="AD79" s="15"/>
      <c r="AE79" s="57"/>
      <c r="AF79" s="57"/>
      <c r="AG79" s="15"/>
      <c r="AH79" s="25"/>
      <c r="AI79" s="26"/>
      <c r="AJ79" s="26"/>
      <c r="AK79" s="27"/>
      <c r="AL79" s="28"/>
      <c r="AM79" s="29"/>
    </row>
    <row r="80" ht="12.75" customHeight="1">
      <c r="A80" s="26"/>
      <c r="B80" s="12"/>
      <c r="C80" s="240"/>
      <c r="D80" s="241"/>
      <c r="E80" s="5"/>
      <c r="F80" s="5"/>
      <c r="G80" s="5"/>
      <c r="H80" s="5"/>
      <c r="I80" s="5"/>
      <c r="J80" s="5"/>
      <c r="K80" s="8"/>
      <c r="L80" s="9"/>
      <c r="M80" s="10"/>
      <c r="N80" s="12"/>
      <c r="O80" s="242"/>
      <c r="P80" s="243"/>
      <c r="Q80" s="243"/>
      <c r="R80" s="14"/>
      <c r="S80" s="242"/>
      <c r="T80" s="15"/>
      <c r="U80" s="15"/>
      <c r="V80" s="15"/>
      <c r="W80" s="8"/>
      <c r="X80" s="8"/>
      <c r="Y80" s="56"/>
      <c r="Z80" s="56"/>
      <c r="AA80" s="15"/>
      <c r="AB80" s="15"/>
      <c r="AC80" s="15"/>
      <c r="AD80" s="15"/>
      <c r="AE80" s="57"/>
      <c r="AF80" s="57"/>
      <c r="AG80" s="15"/>
      <c r="AH80" s="25"/>
      <c r="AI80" s="26"/>
      <c r="AJ80" s="26"/>
      <c r="AK80" s="27"/>
      <c r="AL80" s="28"/>
      <c r="AM80" s="29"/>
    </row>
    <row r="81" ht="12.75" customHeight="1">
      <c r="A81" s="26"/>
      <c r="B81" s="12"/>
      <c r="C81" s="240"/>
      <c r="D81" s="241"/>
      <c r="E81" s="5"/>
      <c r="F81" s="5"/>
      <c r="G81" s="5"/>
      <c r="H81" s="5"/>
      <c r="I81" s="5"/>
      <c r="J81" s="5"/>
      <c r="K81" s="8"/>
      <c r="L81" s="9"/>
      <c r="M81" s="10"/>
      <c r="N81" s="12"/>
      <c r="O81" s="242"/>
      <c r="P81" s="243"/>
      <c r="Q81" s="243"/>
      <c r="R81" s="14"/>
      <c r="S81" s="242"/>
      <c r="T81" s="15"/>
      <c r="U81" s="15"/>
      <c r="V81" s="15"/>
      <c r="W81" s="8"/>
      <c r="X81" s="8"/>
      <c r="Y81" s="56"/>
      <c r="Z81" s="56"/>
      <c r="AA81" s="15"/>
      <c r="AB81" s="15"/>
      <c r="AC81" s="15"/>
      <c r="AD81" s="15"/>
      <c r="AE81" s="57"/>
      <c r="AF81" s="57"/>
      <c r="AG81" s="15"/>
      <c r="AH81" s="25"/>
      <c r="AI81" s="26"/>
      <c r="AJ81" s="26"/>
      <c r="AK81" s="27"/>
      <c r="AL81" s="28"/>
      <c r="AM81" s="29"/>
    </row>
    <row r="82" ht="12.75" customHeight="1">
      <c r="A82" s="26"/>
      <c r="B82" s="12"/>
      <c r="C82" s="240"/>
      <c r="D82" s="241"/>
      <c r="E82" s="5"/>
      <c r="F82" s="5"/>
      <c r="G82" s="5"/>
      <c r="H82" s="5"/>
      <c r="I82" s="5"/>
      <c r="J82" s="5"/>
      <c r="K82" s="8"/>
      <c r="L82" s="9"/>
      <c r="M82" s="10"/>
      <c r="N82" s="12"/>
      <c r="O82" s="242"/>
      <c r="P82" s="243"/>
      <c r="Q82" s="243"/>
      <c r="R82" s="14"/>
      <c r="S82" s="242"/>
      <c r="T82" s="15"/>
      <c r="U82" s="15"/>
      <c r="V82" s="15"/>
      <c r="W82" s="8"/>
      <c r="X82" s="8"/>
      <c r="Y82" s="56"/>
      <c r="Z82" s="56"/>
      <c r="AA82" s="15"/>
      <c r="AB82" s="15"/>
      <c r="AC82" s="15"/>
      <c r="AD82" s="15"/>
      <c r="AE82" s="57"/>
      <c r="AF82" s="57"/>
      <c r="AG82" s="15"/>
      <c r="AH82" s="25"/>
      <c r="AI82" s="26"/>
      <c r="AJ82" s="26"/>
      <c r="AK82" s="27"/>
      <c r="AL82" s="28"/>
      <c r="AM82" s="29"/>
    </row>
    <row r="83" ht="12.75" customHeight="1">
      <c r="A83" s="26"/>
      <c r="B83" s="12"/>
      <c r="C83" s="240"/>
      <c r="D83" s="241"/>
      <c r="E83" s="5"/>
      <c r="F83" s="5"/>
      <c r="G83" s="5"/>
      <c r="H83" s="5"/>
      <c r="I83" s="5"/>
      <c r="J83" s="5"/>
      <c r="K83" s="8"/>
      <c r="L83" s="9"/>
      <c r="M83" s="10"/>
      <c r="N83" s="12"/>
      <c r="O83" s="242"/>
      <c r="P83" s="243"/>
      <c r="Q83" s="243"/>
      <c r="R83" s="14"/>
      <c r="S83" s="242"/>
      <c r="T83" s="15"/>
      <c r="U83" s="15"/>
      <c r="V83" s="15"/>
      <c r="W83" s="8"/>
      <c r="X83" s="8"/>
      <c r="Y83" s="56"/>
      <c r="Z83" s="56"/>
      <c r="AA83" s="15"/>
      <c r="AB83" s="15"/>
      <c r="AC83" s="15"/>
      <c r="AD83" s="15"/>
      <c r="AE83" s="57"/>
      <c r="AF83" s="57"/>
      <c r="AG83" s="15"/>
      <c r="AH83" s="25"/>
      <c r="AI83" s="26"/>
      <c r="AJ83" s="26"/>
      <c r="AK83" s="27"/>
      <c r="AL83" s="28"/>
      <c r="AM83" s="29"/>
    </row>
    <row r="84" ht="12.75" customHeight="1">
      <c r="A84" s="26"/>
      <c r="B84" s="12"/>
      <c r="C84" s="240"/>
      <c r="D84" s="241"/>
      <c r="E84" s="5"/>
      <c r="F84" s="5"/>
      <c r="G84" s="5"/>
      <c r="H84" s="5"/>
      <c r="I84" s="5"/>
      <c r="J84" s="5"/>
      <c r="K84" s="8"/>
      <c r="L84" s="9"/>
      <c r="M84" s="10"/>
      <c r="N84" s="12"/>
      <c r="O84" s="242"/>
      <c r="P84" s="243"/>
      <c r="Q84" s="243"/>
      <c r="R84" s="14"/>
      <c r="S84" s="242"/>
      <c r="T84" s="15"/>
      <c r="U84" s="15"/>
      <c r="V84" s="15"/>
      <c r="W84" s="8"/>
      <c r="X84" s="8"/>
      <c r="Y84" s="56"/>
      <c r="Z84" s="56"/>
      <c r="AA84" s="15"/>
      <c r="AB84" s="15"/>
      <c r="AC84" s="15"/>
      <c r="AD84" s="15"/>
      <c r="AE84" s="57"/>
      <c r="AF84" s="57"/>
      <c r="AG84" s="15"/>
      <c r="AH84" s="25"/>
      <c r="AI84" s="26"/>
      <c r="AJ84" s="26"/>
      <c r="AK84" s="27"/>
      <c r="AL84" s="28"/>
      <c r="AM84" s="29"/>
    </row>
    <row r="85" ht="12.75" customHeight="1">
      <c r="A85" s="26"/>
      <c r="B85" s="12"/>
      <c r="C85" s="240"/>
      <c r="D85" s="241"/>
      <c r="E85" s="5"/>
      <c r="F85" s="5"/>
      <c r="G85" s="5"/>
      <c r="H85" s="5"/>
      <c r="I85" s="5"/>
      <c r="J85" s="5"/>
      <c r="K85" s="8"/>
      <c r="L85" s="9"/>
      <c r="M85" s="10"/>
      <c r="N85" s="12"/>
      <c r="O85" s="242"/>
      <c r="P85" s="243"/>
      <c r="Q85" s="243"/>
      <c r="R85" s="14"/>
      <c r="S85" s="242"/>
      <c r="T85" s="15"/>
      <c r="U85" s="15"/>
      <c r="V85" s="15"/>
      <c r="W85" s="8"/>
      <c r="X85" s="8"/>
      <c r="Y85" s="56"/>
      <c r="Z85" s="56"/>
      <c r="AA85" s="15"/>
      <c r="AB85" s="15"/>
      <c r="AC85" s="15"/>
      <c r="AD85" s="15"/>
      <c r="AE85" s="57"/>
      <c r="AF85" s="57"/>
      <c r="AG85" s="15"/>
      <c r="AH85" s="25"/>
      <c r="AI85" s="26"/>
      <c r="AJ85" s="26"/>
      <c r="AK85" s="27"/>
      <c r="AL85" s="28"/>
      <c r="AM85" s="29"/>
    </row>
    <row r="86" ht="12.75" customHeight="1">
      <c r="A86" s="26"/>
      <c r="B86" s="12"/>
      <c r="C86" s="240"/>
      <c r="D86" s="241"/>
      <c r="E86" s="5"/>
      <c r="F86" s="5"/>
      <c r="G86" s="5"/>
      <c r="H86" s="5"/>
      <c r="I86" s="5"/>
      <c r="J86" s="5"/>
      <c r="K86" s="8"/>
      <c r="L86" s="9"/>
      <c r="M86" s="10"/>
      <c r="N86" s="12"/>
      <c r="O86" s="242"/>
      <c r="P86" s="243"/>
      <c r="Q86" s="243"/>
      <c r="R86" s="14"/>
      <c r="S86" s="242"/>
      <c r="T86" s="15"/>
      <c r="U86" s="15"/>
      <c r="V86" s="15"/>
      <c r="W86" s="8"/>
      <c r="X86" s="8"/>
      <c r="Y86" s="56"/>
      <c r="Z86" s="56"/>
      <c r="AA86" s="15"/>
      <c r="AB86" s="15"/>
      <c r="AC86" s="15"/>
      <c r="AD86" s="15"/>
      <c r="AE86" s="57"/>
      <c r="AF86" s="57"/>
      <c r="AG86" s="15"/>
      <c r="AH86" s="25"/>
      <c r="AI86" s="26"/>
      <c r="AJ86" s="26"/>
      <c r="AK86" s="27"/>
      <c r="AL86" s="28"/>
      <c r="AM86" s="29"/>
    </row>
    <row r="87" ht="12.75" customHeight="1">
      <c r="A87" s="26"/>
      <c r="B87" s="12"/>
      <c r="C87" s="240"/>
      <c r="D87" s="241"/>
      <c r="E87" s="5"/>
      <c r="F87" s="5"/>
      <c r="G87" s="5"/>
      <c r="H87" s="5"/>
      <c r="I87" s="5"/>
      <c r="J87" s="5"/>
      <c r="K87" s="8"/>
      <c r="L87" s="9"/>
      <c r="M87" s="10"/>
      <c r="N87" s="12"/>
      <c r="O87" s="242"/>
      <c r="P87" s="243"/>
      <c r="Q87" s="243"/>
      <c r="R87" s="14"/>
      <c r="S87" s="242"/>
      <c r="T87" s="15"/>
      <c r="U87" s="15"/>
      <c r="V87" s="15"/>
      <c r="W87" s="8"/>
      <c r="X87" s="8"/>
      <c r="Y87" s="56"/>
      <c r="Z87" s="56"/>
      <c r="AA87" s="15"/>
      <c r="AB87" s="15"/>
      <c r="AC87" s="15"/>
      <c r="AD87" s="15"/>
      <c r="AE87" s="57"/>
      <c r="AF87" s="57"/>
      <c r="AG87" s="15"/>
      <c r="AH87" s="25"/>
      <c r="AI87" s="26"/>
      <c r="AJ87" s="26"/>
      <c r="AK87" s="27"/>
      <c r="AL87" s="28"/>
      <c r="AM87" s="29"/>
    </row>
    <row r="88" ht="12.75" customHeight="1">
      <c r="A88" s="26"/>
      <c r="B88" s="12"/>
      <c r="C88" s="240"/>
      <c r="D88" s="241"/>
      <c r="E88" s="5"/>
      <c r="F88" s="5"/>
      <c r="G88" s="5"/>
      <c r="H88" s="5"/>
      <c r="I88" s="5"/>
      <c r="J88" s="5"/>
      <c r="K88" s="8"/>
      <c r="L88" s="9"/>
      <c r="M88" s="10"/>
      <c r="N88" s="12"/>
      <c r="O88" s="242"/>
      <c r="P88" s="243"/>
      <c r="Q88" s="243"/>
      <c r="R88" s="14"/>
      <c r="S88" s="242"/>
      <c r="T88" s="15"/>
      <c r="U88" s="15"/>
      <c r="V88" s="15"/>
      <c r="W88" s="8"/>
      <c r="X88" s="8"/>
      <c r="Y88" s="56"/>
      <c r="Z88" s="56"/>
      <c r="AA88" s="15"/>
      <c r="AB88" s="15"/>
      <c r="AC88" s="15"/>
      <c r="AD88" s="15"/>
      <c r="AE88" s="57"/>
      <c r="AF88" s="57"/>
      <c r="AG88" s="15"/>
      <c r="AH88" s="25"/>
      <c r="AI88" s="26"/>
      <c r="AJ88" s="26"/>
      <c r="AK88" s="27"/>
      <c r="AL88" s="28"/>
      <c r="AM88" s="29"/>
    </row>
    <row r="89" ht="12.75" customHeight="1">
      <c r="A89" s="26"/>
      <c r="B89" s="12"/>
      <c r="C89" s="240"/>
      <c r="D89" s="241"/>
      <c r="E89" s="5"/>
      <c r="F89" s="5"/>
      <c r="G89" s="5"/>
      <c r="H89" s="5"/>
      <c r="I89" s="5"/>
      <c r="J89" s="5"/>
      <c r="K89" s="8"/>
      <c r="L89" s="9"/>
      <c r="M89" s="10"/>
      <c r="N89" s="12"/>
      <c r="O89" s="242"/>
      <c r="P89" s="243"/>
      <c r="Q89" s="243"/>
      <c r="R89" s="14"/>
      <c r="S89" s="242"/>
      <c r="T89" s="15"/>
      <c r="U89" s="15"/>
      <c r="V89" s="15"/>
      <c r="W89" s="8"/>
      <c r="X89" s="8"/>
      <c r="Y89" s="56"/>
      <c r="Z89" s="56"/>
      <c r="AA89" s="15"/>
      <c r="AB89" s="15"/>
      <c r="AC89" s="15"/>
      <c r="AD89" s="15"/>
      <c r="AE89" s="57"/>
      <c r="AF89" s="57"/>
      <c r="AG89" s="15"/>
      <c r="AH89" s="25"/>
      <c r="AI89" s="26"/>
      <c r="AJ89" s="26"/>
      <c r="AK89" s="27"/>
      <c r="AL89" s="28"/>
      <c r="AM89" s="29"/>
    </row>
    <row r="90" ht="12.75" customHeight="1">
      <c r="A90" s="26"/>
      <c r="B90" s="12"/>
      <c r="C90" s="240"/>
      <c r="D90" s="241"/>
      <c r="E90" s="5"/>
      <c r="F90" s="5"/>
      <c r="G90" s="5"/>
      <c r="H90" s="5"/>
      <c r="I90" s="5"/>
      <c r="J90" s="5"/>
      <c r="K90" s="8"/>
      <c r="L90" s="9"/>
      <c r="M90" s="10"/>
      <c r="N90" s="12"/>
      <c r="O90" s="242"/>
      <c r="P90" s="243"/>
      <c r="Q90" s="243"/>
      <c r="R90" s="14"/>
      <c r="S90" s="242"/>
      <c r="T90" s="15"/>
      <c r="U90" s="15"/>
      <c r="V90" s="15"/>
      <c r="W90" s="8"/>
      <c r="X90" s="8"/>
      <c r="Y90" s="56"/>
      <c r="Z90" s="56"/>
      <c r="AA90" s="15"/>
      <c r="AB90" s="15"/>
      <c r="AC90" s="15"/>
      <c r="AD90" s="15"/>
      <c r="AE90" s="57"/>
      <c r="AF90" s="57"/>
      <c r="AG90" s="15"/>
      <c r="AH90" s="25"/>
      <c r="AI90" s="26"/>
      <c r="AJ90" s="26"/>
      <c r="AK90" s="27"/>
      <c r="AL90" s="28"/>
      <c r="AM90" s="29"/>
    </row>
    <row r="91" ht="12.75" customHeight="1">
      <c r="A91" s="26"/>
      <c r="B91" s="12"/>
      <c r="C91" s="240"/>
      <c r="D91" s="241"/>
      <c r="E91" s="5"/>
      <c r="F91" s="5"/>
      <c r="G91" s="5"/>
      <c r="H91" s="5"/>
      <c r="I91" s="5"/>
      <c r="J91" s="5"/>
      <c r="K91" s="8"/>
      <c r="L91" s="9"/>
      <c r="M91" s="10"/>
      <c r="N91" s="12"/>
      <c r="O91" s="242"/>
      <c r="P91" s="243"/>
      <c r="Q91" s="243"/>
      <c r="R91" s="14"/>
      <c r="S91" s="242"/>
      <c r="T91" s="15"/>
      <c r="U91" s="15"/>
      <c r="V91" s="15"/>
      <c r="W91" s="8"/>
      <c r="X91" s="8"/>
      <c r="Y91" s="56"/>
      <c r="Z91" s="56"/>
      <c r="AA91" s="15"/>
      <c r="AB91" s="15"/>
      <c r="AC91" s="15"/>
      <c r="AD91" s="15"/>
      <c r="AE91" s="57"/>
      <c r="AF91" s="57"/>
      <c r="AG91" s="15"/>
      <c r="AH91" s="25"/>
      <c r="AI91" s="26"/>
      <c r="AJ91" s="26"/>
      <c r="AK91" s="27"/>
      <c r="AL91" s="28"/>
      <c r="AM91" s="29"/>
    </row>
    <row r="92" ht="12.75" customHeight="1">
      <c r="A92" s="26"/>
      <c r="B92" s="12"/>
      <c r="C92" s="240"/>
      <c r="D92" s="241"/>
      <c r="E92" s="5"/>
      <c r="F92" s="5"/>
      <c r="G92" s="5"/>
      <c r="H92" s="5"/>
      <c r="I92" s="5"/>
      <c r="J92" s="5"/>
      <c r="K92" s="8"/>
      <c r="L92" s="9"/>
      <c r="M92" s="10"/>
      <c r="N92" s="12"/>
      <c r="O92" s="242"/>
      <c r="P92" s="243"/>
      <c r="Q92" s="243"/>
      <c r="R92" s="14"/>
      <c r="S92" s="242"/>
      <c r="T92" s="15"/>
      <c r="U92" s="15"/>
      <c r="V92" s="15"/>
      <c r="W92" s="8"/>
      <c r="X92" s="8"/>
      <c r="Y92" s="56"/>
      <c r="Z92" s="56"/>
      <c r="AA92" s="15"/>
      <c r="AB92" s="15"/>
      <c r="AC92" s="15"/>
      <c r="AD92" s="15"/>
      <c r="AE92" s="57"/>
      <c r="AF92" s="57"/>
      <c r="AG92" s="15"/>
      <c r="AH92" s="25"/>
      <c r="AI92" s="26"/>
      <c r="AJ92" s="26"/>
      <c r="AK92" s="27"/>
      <c r="AL92" s="28"/>
      <c r="AM92" s="29"/>
    </row>
    <row r="93" ht="12.75" customHeight="1">
      <c r="A93" s="26"/>
      <c r="B93" s="12"/>
      <c r="C93" s="240"/>
      <c r="D93" s="241"/>
      <c r="E93" s="5"/>
      <c r="F93" s="5"/>
      <c r="G93" s="5"/>
      <c r="H93" s="5"/>
      <c r="I93" s="5"/>
      <c r="J93" s="5"/>
      <c r="K93" s="8"/>
      <c r="L93" s="9"/>
      <c r="M93" s="10"/>
      <c r="N93" s="12"/>
      <c r="O93" s="242"/>
      <c r="P93" s="243"/>
      <c r="Q93" s="243"/>
      <c r="R93" s="14"/>
      <c r="S93" s="242"/>
      <c r="T93" s="15"/>
      <c r="U93" s="15"/>
      <c r="V93" s="15"/>
      <c r="W93" s="8"/>
      <c r="X93" s="8"/>
      <c r="Y93" s="56"/>
      <c r="Z93" s="56"/>
      <c r="AA93" s="15"/>
      <c r="AB93" s="15"/>
      <c r="AC93" s="15"/>
      <c r="AD93" s="15"/>
      <c r="AE93" s="57"/>
      <c r="AF93" s="57"/>
      <c r="AG93" s="15"/>
      <c r="AH93" s="25"/>
      <c r="AI93" s="26"/>
      <c r="AJ93" s="26"/>
      <c r="AK93" s="27"/>
      <c r="AL93" s="28"/>
      <c r="AM93" s="29"/>
    </row>
    <row r="94" ht="12.75" customHeight="1">
      <c r="A94" s="26"/>
      <c r="B94" s="12"/>
      <c r="C94" s="240"/>
      <c r="D94" s="241"/>
      <c r="E94" s="5"/>
      <c r="F94" s="5"/>
      <c r="G94" s="5"/>
      <c r="H94" s="5"/>
      <c r="I94" s="5"/>
      <c r="J94" s="5"/>
      <c r="K94" s="8"/>
      <c r="L94" s="9"/>
      <c r="M94" s="10"/>
      <c r="N94" s="12"/>
      <c r="O94" s="242"/>
      <c r="P94" s="243"/>
      <c r="Q94" s="243"/>
      <c r="R94" s="14"/>
      <c r="S94" s="242"/>
      <c r="T94" s="15"/>
      <c r="U94" s="15"/>
      <c r="V94" s="15"/>
      <c r="W94" s="8"/>
      <c r="X94" s="8"/>
      <c r="Y94" s="56"/>
      <c r="Z94" s="56"/>
      <c r="AA94" s="15"/>
      <c r="AB94" s="15"/>
      <c r="AC94" s="15"/>
      <c r="AD94" s="15"/>
      <c r="AE94" s="57"/>
      <c r="AF94" s="57"/>
      <c r="AG94" s="15"/>
      <c r="AH94" s="25"/>
      <c r="AI94" s="26"/>
      <c r="AJ94" s="26"/>
      <c r="AK94" s="27"/>
      <c r="AL94" s="28"/>
      <c r="AM94" s="29"/>
    </row>
    <row r="95" ht="12.75" customHeight="1">
      <c r="A95" s="26"/>
      <c r="B95" s="12"/>
      <c r="C95" s="240"/>
      <c r="D95" s="241"/>
      <c r="E95" s="5"/>
      <c r="F95" s="5"/>
      <c r="G95" s="5"/>
      <c r="H95" s="5"/>
      <c r="I95" s="5"/>
      <c r="J95" s="5"/>
      <c r="K95" s="8"/>
      <c r="L95" s="9"/>
      <c r="M95" s="10"/>
      <c r="N95" s="12"/>
      <c r="O95" s="242"/>
      <c r="P95" s="243"/>
      <c r="Q95" s="243"/>
      <c r="R95" s="14"/>
      <c r="S95" s="242"/>
      <c r="T95" s="15"/>
      <c r="U95" s="15"/>
      <c r="V95" s="15"/>
      <c r="W95" s="8"/>
      <c r="X95" s="8"/>
      <c r="Y95" s="56"/>
      <c r="Z95" s="56"/>
      <c r="AA95" s="15"/>
      <c r="AB95" s="15"/>
      <c r="AC95" s="15"/>
      <c r="AD95" s="15"/>
      <c r="AE95" s="57"/>
      <c r="AF95" s="57"/>
      <c r="AG95" s="15"/>
      <c r="AH95" s="25"/>
      <c r="AI95" s="26"/>
      <c r="AJ95" s="26"/>
      <c r="AK95" s="27"/>
      <c r="AL95" s="28"/>
      <c r="AM95" s="29"/>
    </row>
    <row r="96" ht="12.75" customHeight="1">
      <c r="A96" s="26"/>
      <c r="B96" s="12"/>
      <c r="C96" s="240"/>
      <c r="D96" s="241"/>
      <c r="E96" s="5"/>
      <c r="F96" s="5"/>
      <c r="G96" s="5"/>
      <c r="H96" s="5"/>
      <c r="I96" s="5"/>
      <c r="J96" s="5"/>
      <c r="K96" s="8"/>
      <c r="L96" s="9"/>
      <c r="M96" s="10"/>
      <c r="N96" s="12"/>
      <c r="O96" s="242"/>
      <c r="P96" s="243"/>
      <c r="Q96" s="243"/>
      <c r="R96" s="14"/>
      <c r="S96" s="242"/>
      <c r="T96" s="15"/>
      <c r="U96" s="15"/>
      <c r="V96" s="15"/>
      <c r="W96" s="8"/>
      <c r="X96" s="8"/>
      <c r="Y96" s="56"/>
      <c r="Z96" s="56"/>
      <c r="AA96" s="15"/>
      <c r="AB96" s="15"/>
      <c r="AC96" s="15"/>
      <c r="AD96" s="15"/>
      <c r="AE96" s="57"/>
      <c r="AF96" s="57"/>
      <c r="AG96" s="15"/>
      <c r="AH96" s="25"/>
      <c r="AI96" s="26"/>
      <c r="AJ96" s="26"/>
      <c r="AK96" s="27"/>
      <c r="AL96" s="28"/>
      <c r="AM96" s="29"/>
    </row>
    <row r="97" ht="12.75" customHeight="1">
      <c r="A97" s="26"/>
      <c r="B97" s="12"/>
      <c r="C97" s="240"/>
      <c r="D97" s="241"/>
      <c r="E97" s="5"/>
      <c r="F97" s="5"/>
      <c r="G97" s="5"/>
      <c r="H97" s="5"/>
      <c r="I97" s="5"/>
      <c r="J97" s="5"/>
      <c r="K97" s="8"/>
      <c r="L97" s="9"/>
      <c r="M97" s="10"/>
      <c r="N97" s="12"/>
      <c r="O97" s="242"/>
      <c r="P97" s="243"/>
      <c r="Q97" s="243"/>
      <c r="R97" s="14"/>
      <c r="S97" s="242"/>
      <c r="T97" s="15"/>
      <c r="U97" s="15"/>
      <c r="V97" s="15"/>
      <c r="W97" s="8"/>
      <c r="X97" s="8"/>
      <c r="Y97" s="56"/>
      <c r="Z97" s="56"/>
      <c r="AA97" s="15"/>
      <c r="AB97" s="15"/>
      <c r="AC97" s="15"/>
      <c r="AD97" s="15"/>
      <c r="AE97" s="57"/>
      <c r="AF97" s="57"/>
      <c r="AG97" s="15"/>
      <c r="AH97" s="25"/>
      <c r="AI97" s="26"/>
      <c r="AJ97" s="26"/>
      <c r="AK97" s="27"/>
      <c r="AL97" s="28"/>
      <c r="AM97" s="29"/>
    </row>
    <row r="98" ht="12.75" customHeight="1">
      <c r="A98" s="26"/>
      <c r="B98" s="12"/>
      <c r="C98" s="240"/>
      <c r="D98" s="241"/>
      <c r="E98" s="5"/>
      <c r="F98" s="5"/>
      <c r="G98" s="5"/>
      <c r="H98" s="5"/>
      <c r="I98" s="5"/>
      <c r="J98" s="5"/>
      <c r="K98" s="8"/>
      <c r="L98" s="9"/>
      <c r="M98" s="10"/>
      <c r="N98" s="12"/>
      <c r="O98" s="242"/>
      <c r="P98" s="243"/>
      <c r="Q98" s="243"/>
      <c r="R98" s="14"/>
      <c r="S98" s="242"/>
      <c r="T98" s="15"/>
      <c r="U98" s="15"/>
      <c r="V98" s="15"/>
      <c r="W98" s="8"/>
      <c r="X98" s="8"/>
      <c r="Y98" s="56"/>
      <c r="Z98" s="56"/>
      <c r="AA98" s="15"/>
      <c r="AB98" s="15"/>
      <c r="AC98" s="15"/>
      <c r="AD98" s="15"/>
      <c r="AE98" s="57"/>
      <c r="AF98" s="57"/>
      <c r="AG98" s="15"/>
      <c r="AH98" s="25"/>
      <c r="AI98" s="26"/>
      <c r="AJ98" s="26"/>
      <c r="AK98" s="27"/>
      <c r="AL98" s="28"/>
      <c r="AM98" s="29"/>
    </row>
    <row r="99" ht="12.75" customHeight="1">
      <c r="A99" s="26"/>
      <c r="B99" s="12"/>
      <c r="C99" s="240"/>
      <c r="D99" s="241"/>
      <c r="E99" s="5"/>
      <c r="F99" s="5"/>
      <c r="G99" s="5"/>
      <c r="H99" s="5"/>
      <c r="I99" s="5"/>
      <c r="J99" s="5"/>
      <c r="K99" s="8"/>
      <c r="L99" s="9"/>
      <c r="M99" s="10"/>
      <c r="N99" s="12"/>
      <c r="O99" s="242"/>
      <c r="P99" s="243"/>
      <c r="Q99" s="243"/>
      <c r="R99" s="14"/>
      <c r="S99" s="242"/>
      <c r="T99" s="15"/>
      <c r="U99" s="15"/>
      <c r="V99" s="15"/>
      <c r="W99" s="8"/>
      <c r="X99" s="8"/>
      <c r="Y99" s="56"/>
      <c r="Z99" s="56"/>
      <c r="AA99" s="15"/>
      <c r="AB99" s="15"/>
      <c r="AC99" s="15"/>
      <c r="AD99" s="15"/>
      <c r="AE99" s="57"/>
      <c r="AF99" s="57"/>
      <c r="AG99" s="15"/>
      <c r="AH99" s="25"/>
      <c r="AI99" s="26"/>
      <c r="AJ99" s="26"/>
      <c r="AK99" s="27"/>
      <c r="AL99" s="28"/>
      <c r="AM99" s="29"/>
    </row>
    <row r="100" ht="12.75" customHeight="1">
      <c r="A100" s="26"/>
      <c r="B100" s="12"/>
      <c r="C100" s="240"/>
      <c r="D100" s="241"/>
      <c r="E100" s="5"/>
      <c r="F100" s="5"/>
      <c r="G100" s="5"/>
      <c r="H100" s="5"/>
      <c r="I100" s="5"/>
      <c r="J100" s="5"/>
      <c r="K100" s="8"/>
      <c r="L100" s="9"/>
      <c r="M100" s="10"/>
      <c r="N100" s="12"/>
      <c r="O100" s="242"/>
      <c r="P100" s="243"/>
      <c r="Q100" s="243"/>
      <c r="R100" s="14"/>
      <c r="S100" s="242"/>
      <c r="T100" s="15"/>
      <c r="U100" s="15"/>
      <c r="V100" s="15"/>
      <c r="W100" s="8"/>
      <c r="X100" s="8"/>
      <c r="Y100" s="56"/>
      <c r="Z100" s="56"/>
      <c r="AA100" s="15"/>
      <c r="AB100" s="15"/>
      <c r="AC100" s="15"/>
      <c r="AD100" s="15"/>
      <c r="AE100" s="57"/>
      <c r="AF100" s="57"/>
      <c r="AG100" s="15"/>
      <c r="AH100" s="25"/>
      <c r="AI100" s="26"/>
      <c r="AJ100" s="26"/>
      <c r="AK100" s="27"/>
      <c r="AL100" s="28"/>
      <c r="AM100" s="29"/>
    </row>
    <row r="101" ht="12.75" customHeight="1">
      <c r="A101" s="26"/>
      <c r="B101" s="12"/>
      <c r="C101" s="240"/>
      <c r="D101" s="241"/>
      <c r="E101" s="5"/>
      <c r="F101" s="5"/>
      <c r="G101" s="5"/>
      <c r="H101" s="5"/>
      <c r="I101" s="5"/>
      <c r="J101" s="5"/>
      <c r="K101" s="8"/>
      <c r="L101" s="9"/>
      <c r="M101" s="10"/>
      <c r="N101" s="12"/>
      <c r="O101" s="242"/>
      <c r="P101" s="243"/>
      <c r="Q101" s="243"/>
      <c r="R101" s="14"/>
      <c r="S101" s="242"/>
      <c r="T101" s="15"/>
      <c r="U101" s="15"/>
      <c r="V101" s="15"/>
      <c r="W101" s="8"/>
      <c r="X101" s="8"/>
      <c r="Y101" s="56"/>
      <c r="Z101" s="56"/>
      <c r="AA101" s="15"/>
      <c r="AB101" s="15"/>
      <c r="AC101" s="15"/>
      <c r="AD101" s="15"/>
      <c r="AE101" s="57"/>
      <c r="AF101" s="57"/>
      <c r="AG101" s="15"/>
      <c r="AH101" s="25"/>
      <c r="AI101" s="26"/>
      <c r="AJ101" s="26"/>
      <c r="AK101" s="27"/>
      <c r="AL101" s="28"/>
      <c r="AM101" s="29"/>
    </row>
    <row r="102" ht="12.75" customHeight="1">
      <c r="A102" s="26"/>
      <c r="B102" s="12"/>
      <c r="C102" s="240"/>
      <c r="D102" s="241"/>
      <c r="E102" s="5"/>
      <c r="F102" s="5"/>
      <c r="G102" s="5"/>
      <c r="H102" s="5"/>
      <c r="I102" s="5"/>
      <c r="J102" s="5"/>
      <c r="K102" s="8"/>
      <c r="L102" s="9"/>
      <c r="M102" s="10"/>
      <c r="N102" s="12"/>
      <c r="O102" s="242"/>
      <c r="P102" s="243"/>
      <c r="Q102" s="243"/>
      <c r="R102" s="14"/>
      <c r="S102" s="242"/>
      <c r="T102" s="15"/>
      <c r="U102" s="15"/>
      <c r="V102" s="15"/>
      <c r="W102" s="8"/>
      <c r="X102" s="8"/>
      <c r="Y102" s="56"/>
      <c r="Z102" s="56"/>
      <c r="AA102" s="15"/>
      <c r="AB102" s="15"/>
      <c r="AC102" s="15"/>
      <c r="AD102" s="15"/>
      <c r="AE102" s="57"/>
      <c r="AF102" s="57"/>
      <c r="AG102" s="15"/>
      <c r="AH102" s="25"/>
      <c r="AI102" s="26"/>
      <c r="AJ102" s="26"/>
      <c r="AK102" s="27"/>
      <c r="AL102" s="28"/>
      <c r="AM102" s="29"/>
    </row>
    <row r="103" ht="12.75" customHeight="1">
      <c r="A103" s="26"/>
      <c r="B103" s="12"/>
      <c r="C103" s="240"/>
      <c r="D103" s="241"/>
      <c r="E103" s="5"/>
      <c r="F103" s="5"/>
      <c r="G103" s="5"/>
      <c r="H103" s="5"/>
      <c r="I103" s="5"/>
      <c r="J103" s="5"/>
      <c r="K103" s="8"/>
      <c r="L103" s="9"/>
      <c r="M103" s="10"/>
      <c r="N103" s="12"/>
      <c r="O103" s="242"/>
      <c r="P103" s="243"/>
      <c r="Q103" s="243"/>
      <c r="R103" s="14"/>
      <c r="S103" s="242"/>
      <c r="T103" s="15"/>
      <c r="U103" s="15"/>
      <c r="V103" s="15"/>
      <c r="W103" s="8"/>
      <c r="X103" s="8"/>
      <c r="Y103" s="56"/>
      <c r="Z103" s="56"/>
      <c r="AA103" s="15"/>
      <c r="AB103" s="15"/>
      <c r="AC103" s="15"/>
      <c r="AD103" s="15"/>
      <c r="AE103" s="57"/>
      <c r="AF103" s="57"/>
      <c r="AG103" s="15"/>
      <c r="AH103" s="25"/>
      <c r="AI103" s="26"/>
      <c r="AJ103" s="26"/>
      <c r="AK103" s="27"/>
      <c r="AL103" s="28"/>
      <c r="AM103" s="29"/>
    </row>
    <row r="104" ht="12.75" customHeight="1">
      <c r="A104" s="26"/>
      <c r="B104" s="12"/>
      <c r="C104" s="240"/>
      <c r="D104" s="241"/>
      <c r="E104" s="5"/>
      <c r="F104" s="5"/>
      <c r="G104" s="5"/>
      <c r="H104" s="5"/>
      <c r="I104" s="5"/>
      <c r="J104" s="5"/>
      <c r="K104" s="8"/>
      <c r="L104" s="9"/>
      <c r="M104" s="10"/>
      <c r="N104" s="12"/>
      <c r="O104" s="242"/>
      <c r="P104" s="243"/>
      <c r="Q104" s="243"/>
      <c r="R104" s="14"/>
      <c r="S104" s="242"/>
      <c r="T104" s="15"/>
      <c r="U104" s="15"/>
      <c r="V104" s="15"/>
      <c r="W104" s="8"/>
      <c r="X104" s="8"/>
      <c r="Y104" s="56"/>
      <c r="Z104" s="56"/>
      <c r="AA104" s="15"/>
      <c r="AB104" s="15"/>
      <c r="AC104" s="15"/>
      <c r="AD104" s="15"/>
      <c r="AE104" s="57"/>
      <c r="AF104" s="57"/>
      <c r="AG104" s="15"/>
      <c r="AH104" s="25"/>
      <c r="AI104" s="26"/>
      <c r="AJ104" s="26"/>
      <c r="AK104" s="27"/>
      <c r="AL104" s="28"/>
      <c r="AM104" s="29"/>
    </row>
    <row r="105" ht="12.75" customHeight="1">
      <c r="A105" s="26"/>
      <c r="B105" s="12"/>
      <c r="C105" s="240"/>
      <c r="D105" s="241"/>
      <c r="E105" s="5"/>
      <c r="F105" s="5"/>
      <c r="G105" s="5"/>
      <c r="H105" s="5"/>
      <c r="I105" s="5"/>
      <c r="J105" s="5"/>
      <c r="K105" s="8"/>
      <c r="L105" s="9"/>
      <c r="M105" s="10"/>
      <c r="N105" s="12"/>
      <c r="O105" s="242"/>
      <c r="P105" s="243"/>
      <c r="Q105" s="243"/>
      <c r="R105" s="14"/>
      <c r="S105" s="242"/>
      <c r="T105" s="15"/>
      <c r="U105" s="15"/>
      <c r="V105" s="15"/>
      <c r="W105" s="8"/>
      <c r="X105" s="8"/>
      <c r="Y105" s="56"/>
      <c r="Z105" s="56"/>
      <c r="AA105" s="15"/>
      <c r="AB105" s="15"/>
      <c r="AC105" s="15"/>
      <c r="AD105" s="15"/>
      <c r="AE105" s="57"/>
      <c r="AF105" s="57"/>
      <c r="AG105" s="15"/>
      <c r="AH105" s="25"/>
      <c r="AI105" s="26"/>
      <c r="AJ105" s="26"/>
      <c r="AK105" s="27"/>
      <c r="AL105" s="28"/>
      <c r="AM105" s="29"/>
    </row>
    <row r="106" ht="12.75" customHeight="1">
      <c r="A106" s="26"/>
      <c r="B106" s="12"/>
      <c r="C106" s="240"/>
      <c r="D106" s="241"/>
      <c r="E106" s="5"/>
      <c r="F106" s="5"/>
      <c r="G106" s="5"/>
      <c r="H106" s="5"/>
      <c r="I106" s="5"/>
      <c r="J106" s="5"/>
      <c r="K106" s="8"/>
      <c r="L106" s="9"/>
      <c r="M106" s="10"/>
      <c r="N106" s="12"/>
      <c r="O106" s="242"/>
      <c r="P106" s="243"/>
      <c r="Q106" s="243"/>
      <c r="R106" s="14"/>
      <c r="S106" s="242"/>
      <c r="T106" s="15"/>
      <c r="U106" s="15"/>
      <c r="V106" s="15"/>
      <c r="W106" s="8"/>
      <c r="X106" s="8"/>
      <c r="Y106" s="56"/>
      <c r="Z106" s="56"/>
      <c r="AA106" s="15"/>
      <c r="AB106" s="15"/>
      <c r="AC106" s="15"/>
      <c r="AD106" s="15"/>
      <c r="AE106" s="57"/>
      <c r="AF106" s="57"/>
      <c r="AG106" s="15"/>
      <c r="AH106" s="25"/>
      <c r="AI106" s="26"/>
      <c r="AJ106" s="26"/>
      <c r="AK106" s="27"/>
      <c r="AL106" s="28"/>
      <c r="AM106" s="29"/>
    </row>
    <row r="107" ht="12.75" customHeight="1">
      <c r="A107" s="26"/>
      <c r="B107" s="12"/>
      <c r="C107" s="240"/>
      <c r="D107" s="241"/>
      <c r="E107" s="5"/>
      <c r="F107" s="5"/>
      <c r="G107" s="5"/>
      <c r="H107" s="5"/>
      <c r="I107" s="5"/>
      <c r="J107" s="5"/>
      <c r="K107" s="8"/>
      <c r="L107" s="9"/>
      <c r="M107" s="10"/>
      <c r="N107" s="12"/>
      <c r="O107" s="242"/>
      <c r="P107" s="243"/>
      <c r="Q107" s="243"/>
      <c r="R107" s="14"/>
      <c r="S107" s="242"/>
      <c r="T107" s="15"/>
      <c r="U107" s="15"/>
      <c r="V107" s="15"/>
      <c r="W107" s="8"/>
      <c r="X107" s="8"/>
      <c r="Y107" s="56"/>
      <c r="Z107" s="56"/>
      <c r="AA107" s="15"/>
      <c r="AB107" s="15"/>
      <c r="AC107" s="15"/>
      <c r="AD107" s="15"/>
      <c r="AE107" s="57"/>
      <c r="AF107" s="57"/>
      <c r="AG107" s="15"/>
      <c r="AH107" s="25"/>
      <c r="AI107" s="26"/>
      <c r="AJ107" s="26"/>
      <c r="AK107" s="27"/>
      <c r="AL107" s="28"/>
      <c r="AM107" s="29"/>
    </row>
    <row r="108" ht="12.75" customHeight="1">
      <c r="A108" s="26"/>
      <c r="B108" s="12"/>
      <c r="C108" s="240"/>
      <c r="D108" s="241"/>
      <c r="E108" s="5"/>
      <c r="F108" s="5"/>
      <c r="G108" s="5"/>
      <c r="H108" s="5"/>
      <c r="I108" s="5"/>
      <c r="J108" s="5"/>
      <c r="K108" s="8"/>
      <c r="L108" s="9"/>
      <c r="M108" s="10"/>
      <c r="N108" s="12"/>
      <c r="O108" s="242"/>
      <c r="P108" s="243"/>
      <c r="Q108" s="243"/>
      <c r="R108" s="14"/>
      <c r="S108" s="242"/>
      <c r="T108" s="15"/>
      <c r="U108" s="15"/>
      <c r="V108" s="15"/>
      <c r="W108" s="8"/>
      <c r="X108" s="8"/>
      <c r="Y108" s="56"/>
      <c r="Z108" s="56"/>
      <c r="AA108" s="15"/>
      <c r="AB108" s="15"/>
      <c r="AC108" s="15"/>
      <c r="AD108" s="15"/>
      <c r="AE108" s="57"/>
      <c r="AF108" s="57"/>
      <c r="AG108" s="15"/>
      <c r="AH108" s="25"/>
      <c r="AI108" s="26"/>
      <c r="AJ108" s="26"/>
      <c r="AK108" s="27"/>
      <c r="AL108" s="28"/>
      <c r="AM108" s="29"/>
    </row>
    <row r="109" ht="12.75" customHeight="1">
      <c r="A109" s="26"/>
      <c r="B109" s="12"/>
      <c r="C109" s="240"/>
      <c r="D109" s="241"/>
      <c r="E109" s="5"/>
      <c r="F109" s="5"/>
      <c r="G109" s="5"/>
      <c r="H109" s="5"/>
      <c r="I109" s="5"/>
      <c r="J109" s="5"/>
      <c r="K109" s="8"/>
      <c r="L109" s="9"/>
      <c r="M109" s="10"/>
      <c r="N109" s="12"/>
      <c r="O109" s="242"/>
      <c r="P109" s="243"/>
      <c r="Q109" s="243"/>
      <c r="R109" s="14"/>
      <c r="S109" s="242"/>
      <c r="T109" s="15"/>
      <c r="U109" s="15"/>
      <c r="V109" s="15"/>
      <c r="W109" s="8"/>
      <c r="X109" s="8"/>
      <c r="Y109" s="56"/>
      <c r="Z109" s="56"/>
      <c r="AA109" s="15"/>
      <c r="AB109" s="15"/>
      <c r="AC109" s="15"/>
      <c r="AD109" s="15"/>
      <c r="AE109" s="57"/>
      <c r="AF109" s="57"/>
      <c r="AG109" s="15"/>
      <c r="AH109" s="25"/>
      <c r="AI109" s="26"/>
      <c r="AJ109" s="26"/>
      <c r="AK109" s="27"/>
      <c r="AL109" s="28"/>
      <c r="AM109" s="29"/>
    </row>
    <row r="110" ht="12.75" customHeight="1">
      <c r="A110" s="26"/>
      <c r="B110" s="12"/>
      <c r="C110" s="240"/>
      <c r="D110" s="241"/>
      <c r="E110" s="5"/>
      <c r="F110" s="5"/>
      <c r="G110" s="5"/>
      <c r="H110" s="5"/>
      <c r="I110" s="5"/>
      <c r="J110" s="5"/>
      <c r="K110" s="8"/>
      <c r="L110" s="9"/>
      <c r="M110" s="10"/>
      <c r="N110" s="12"/>
      <c r="O110" s="242"/>
      <c r="P110" s="243"/>
      <c r="Q110" s="243"/>
      <c r="R110" s="14"/>
      <c r="S110" s="242"/>
      <c r="T110" s="15"/>
      <c r="U110" s="15"/>
      <c r="V110" s="15"/>
      <c r="W110" s="8"/>
      <c r="X110" s="8"/>
      <c r="Y110" s="56"/>
      <c r="Z110" s="56"/>
      <c r="AA110" s="15"/>
      <c r="AB110" s="15"/>
      <c r="AC110" s="15"/>
      <c r="AD110" s="15"/>
      <c r="AE110" s="57"/>
      <c r="AF110" s="57"/>
      <c r="AG110" s="15"/>
      <c r="AH110" s="25"/>
      <c r="AI110" s="26"/>
      <c r="AJ110" s="26"/>
      <c r="AK110" s="27"/>
      <c r="AL110" s="28"/>
      <c r="AM110" s="29"/>
    </row>
    <row r="111" ht="12.75" customHeight="1">
      <c r="A111" s="26"/>
      <c r="B111" s="12"/>
      <c r="C111" s="240"/>
      <c r="D111" s="241"/>
      <c r="E111" s="5"/>
      <c r="F111" s="5"/>
      <c r="G111" s="5"/>
      <c r="H111" s="5"/>
      <c r="I111" s="5"/>
      <c r="J111" s="5"/>
      <c r="K111" s="8"/>
      <c r="L111" s="9"/>
      <c r="M111" s="10"/>
      <c r="N111" s="12"/>
      <c r="O111" s="242"/>
      <c r="P111" s="243"/>
      <c r="Q111" s="243"/>
      <c r="R111" s="14"/>
      <c r="S111" s="242"/>
      <c r="T111" s="15"/>
      <c r="U111" s="15"/>
      <c r="V111" s="15"/>
      <c r="W111" s="8"/>
      <c r="X111" s="8"/>
      <c r="Y111" s="56"/>
      <c r="Z111" s="56"/>
      <c r="AA111" s="15"/>
      <c r="AB111" s="15"/>
      <c r="AC111" s="15"/>
      <c r="AD111" s="15"/>
      <c r="AE111" s="57"/>
      <c r="AF111" s="57"/>
      <c r="AG111" s="15"/>
      <c r="AH111" s="25"/>
      <c r="AI111" s="26"/>
      <c r="AJ111" s="26"/>
      <c r="AK111" s="27"/>
      <c r="AL111" s="28"/>
      <c r="AM111" s="29"/>
    </row>
    <row r="112" ht="12.75" customHeight="1">
      <c r="A112" s="26"/>
      <c r="B112" s="12"/>
      <c r="C112" s="240"/>
      <c r="D112" s="241"/>
      <c r="E112" s="5"/>
      <c r="F112" s="5"/>
      <c r="G112" s="5"/>
      <c r="H112" s="5"/>
      <c r="I112" s="5"/>
      <c r="J112" s="5"/>
      <c r="K112" s="8"/>
      <c r="L112" s="9"/>
      <c r="M112" s="10"/>
      <c r="N112" s="12"/>
      <c r="O112" s="242"/>
      <c r="P112" s="243"/>
      <c r="Q112" s="243"/>
      <c r="R112" s="14"/>
      <c r="S112" s="242"/>
      <c r="T112" s="15"/>
      <c r="U112" s="15"/>
      <c r="V112" s="15"/>
      <c r="W112" s="8"/>
      <c r="X112" s="8"/>
      <c r="Y112" s="56"/>
      <c r="Z112" s="56"/>
      <c r="AA112" s="15"/>
      <c r="AB112" s="15"/>
      <c r="AC112" s="15"/>
      <c r="AD112" s="15"/>
      <c r="AE112" s="57"/>
      <c r="AF112" s="57"/>
      <c r="AG112" s="15"/>
      <c r="AH112" s="25"/>
      <c r="AI112" s="26"/>
      <c r="AJ112" s="26"/>
      <c r="AK112" s="27"/>
      <c r="AL112" s="28"/>
      <c r="AM112" s="29"/>
    </row>
    <row r="113" ht="12.75" customHeight="1">
      <c r="A113" s="26"/>
      <c r="B113" s="12"/>
      <c r="C113" s="240"/>
      <c r="D113" s="241"/>
      <c r="E113" s="5"/>
      <c r="F113" s="5"/>
      <c r="G113" s="5"/>
      <c r="H113" s="5"/>
      <c r="I113" s="5"/>
      <c r="J113" s="5"/>
      <c r="K113" s="8"/>
      <c r="L113" s="9"/>
      <c r="M113" s="10"/>
      <c r="N113" s="12"/>
      <c r="O113" s="242"/>
      <c r="P113" s="243"/>
      <c r="Q113" s="243"/>
      <c r="R113" s="14"/>
      <c r="S113" s="242"/>
      <c r="T113" s="15"/>
      <c r="U113" s="15"/>
      <c r="V113" s="15"/>
      <c r="W113" s="8"/>
      <c r="X113" s="8"/>
      <c r="Y113" s="56"/>
      <c r="Z113" s="56"/>
      <c r="AA113" s="15"/>
      <c r="AB113" s="15"/>
      <c r="AC113" s="15"/>
      <c r="AD113" s="15"/>
      <c r="AE113" s="57"/>
      <c r="AF113" s="57"/>
      <c r="AG113" s="15"/>
      <c r="AH113" s="25"/>
      <c r="AI113" s="26"/>
      <c r="AJ113" s="26"/>
      <c r="AK113" s="27"/>
      <c r="AL113" s="28"/>
      <c r="AM113" s="29"/>
    </row>
    <row r="114" ht="12.75" customHeight="1">
      <c r="A114" s="26"/>
      <c r="B114" s="12"/>
      <c r="C114" s="240"/>
      <c r="D114" s="241"/>
      <c r="E114" s="5"/>
      <c r="F114" s="5"/>
      <c r="G114" s="5"/>
      <c r="H114" s="5"/>
      <c r="I114" s="5"/>
      <c r="J114" s="5"/>
      <c r="K114" s="8"/>
      <c r="L114" s="9"/>
      <c r="M114" s="10"/>
      <c r="N114" s="12"/>
      <c r="O114" s="242"/>
      <c r="P114" s="243"/>
      <c r="Q114" s="243"/>
      <c r="R114" s="14"/>
      <c r="S114" s="242"/>
      <c r="T114" s="15"/>
      <c r="U114" s="15"/>
      <c r="V114" s="15"/>
      <c r="W114" s="8"/>
      <c r="X114" s="8"/>
      <c r="Y114" s="56"/>
      <c r="Z114" s="56"/>
      <c r="AA114" s="15"/>
      <c r="AB114" s="15"/>
      <c r="AC114" s="15"/>
      <c r="AD114" s="15"/>
      <c r="AE114" s="57"/>
      <c r="AF114" s="57"/>
      <c r="AG114" s="15"/>
      <c r="AH114" s="25"/>
      <c r="AI114" s="26"/>
      <c r="AJ114" s="26"/>
      <c r="AK114" s="27"/>
      <c r="AL114" s="28"/>
      <c r="AM114" s="29"/>
    </row>
    <row r="115" ht="12.75" customHeight="1">
      <c r="A115" s="26"/>
      <c r="B115" s="12"/>
      <c r="C115" s="240"/>
      <c r="D115" s="241"/>
      <c r="E115" s="5"/>
      <c r="F115" s="5"/>
      <c r="G115" s="5"/>
      <c r="H115" s="5"/>
      <c r="I115" s="5"/>
      <c r="J115" s="5"/>
      <c r="K115" s="8"/>
      <c r="L115" s="9"/>
      <c r="M115" s="10"/>
      <c r="N115" s="12"/>
      <c r="O115" s="242"/>
      <c r="P115" s="243"/>
      <c r="Q115" s="243"/>
      <c r="R115" s="14"/>
      <c r="S115" s="242"/>
      <c r="T115" s="15"/>
      <c r="U115" s="15"/>
      <c r="V115" s="15"/>
      <c r="W115" s="8"/>
      <c r="X115" s="8"/>
      <c r="Y115" s="56"/>
      <c r="Z115" s="56"/>
      <c r="AA115" s="15"/>
      <c r="AB115" s="15"/>
      <c r="AC115" s="15"/>
      <c r="AD115" s="15"/>
      <c r="AE115" s="57"/>
      <c r="AF115" s="57"/>
      <c r="AG115" s="15"/>
      <c r="AH115" s="25"/>
      <c r="AI115" s="26"/>
      <c r="AJ115" s="26"/>
      <c r="AK115" s="27"/>
      <c r="AL115" s="28"/>
      <c r="AM115" s="29"/>
    </row>
    <row r="116" ht="12.75" customHeight="1">
      <c r="A116" s="26"/>
      <c r="B116" s="12"/>
      <c r="C116" s="240"/>
      <c r="D116" s="241"/>
      <c r="E116" s="5"/>
      <c r="F116" s="5"/>
      <c r="G116" s="5"/>
      <c r="H116" s="5"/>
      <c r="I116" s="5"/>
      <c r="J116" s="5"/>
      <c r="K116" s="8"/>
      <c r="L116" s="9"/>
      <c r="M116" s="10"/>
      <c r="N116" s="12"/>
      <c r="O116" s="242"/>
      <c r="P116" s="243"/>
      <c r="Q116" s="243"/>
      <c r="R116" s="14"/>
      <c r="S116" s="242"/>
      <c r="T116" s="15"/>
      <c r="U116" s="15"/>
      <c r="V116" s="15"/>
      <c r="W116" s="8"/>
      <c r="X116" s="8"/>
      <c r="Y116" s="56"/>
      <c r="Z116" s="56"/>
      <c r="AA116" s="15"/>
      <c r="AB116" s="15"/>
      <c r="AC116" s="15"/>
      <c r="AD116" s="15"/>
      <c r="AE116" s="57"/>
      <c r="AF116" s="57"/>
      <c r="AG116" s="15"/>
      <c r="AH116" s="25"/>
      <c r="AI116" s="26"/>
      <c r="AJ116" s="26"/>
      <c r="AK116" s="27"/>
      <c r="AL116" s="28"/>
      <c r="AM116" s="29"/>
    </row>
    <row r="117" ht="12.75" customHeight="1">
      <c r="A117" s="26"/>
      <c r="B117" s="12"/>
      <c r="C117" s="240"/>
      <c r="D117" s="241"/>
      <c r="E117" s="5"/>
      <c r="F117" s="5"/>
      <c r="G117" s="5"/>
      <c r="H117" s="5"/>
      <c r="I117" s="5"/>
      <c r="J117" s="5"/>
      <c r="K117" s="8"/>
      <c r="L117" s="9"/>
      <c r="M117" s="10"/>
      <c r="N117" s="12"/>
      <c r="O117" s="242"/>
      <c r="P117" s="243"/>
      <c r="Q117" s="243"/>
      <c r="R117" s="14"/>
      <c r="S117" s="242"/>
      <c r="T117" s="15"/>
      <c r="U117" s="15"/>
      <c r="V117" s="15"/>
      <c r="W117" s="8"/>
      <c r="X117" s="8"/>
      <c r="Y117" s="56"/>
      <c r="Z117" s="56"/>
      <c r="AA117" s="15"/>
      <c r="AB117" s="15"/>
      <c r="AC117" s="15"/>
      <c r="AD117" s="15"/>
      <c r="AE117" s="57"/>
      <c r="AF117" s="57"/>
      <c r="AG117" s="15"/>
      <c r="AH117" s="25"/>
      <c r="AI117" s="26"/>
      <c r="AJ117" s="26"/>
      <c r="AK117" s="27"/>
      <c r="AL117" s="28"/>
      <c r="AM117" s="29"/>
    </row>
    <row r="118" ht="12.75" customHeight="1">
      <c r="A118" s="26"/>
      <c r="B118" s="12"/>
      <c r="C118" s="240"/>
      <c r="D118" s="241"/>
      <c r="E118" s="5"/>
      <c r="F118" s="5"/>
      <c r="G118" s="5"/>
      <c r="H118" s="5"/>
      <c r="I118" s="5"/>
      <c r="J118" s="5"/>
      <c r="K118" s="8"/>
      <c r="L118" s="9"/>
      <c r="M118" s="10"/>
      <c r="N118" s="12"/>
      <c r="O118" s="242"/>
      <c r="P118" s="243"/>
      <c r="Q118" s="243"/>
      <c r="R118" s="14"/>
      <c r="S118" s="242"/>
      <c r="T118" s="15"/>
      <c r="U118" s="15"/>
      <c r="V118" s="15"/>
      <c r="W118" s="8"/>
      <c r="X118" s="8"/>
      <c r="Y118" s="56"/>
      <c r="Z118" s="56"/>
      <c r="AA118" s="15"/>
      <c r="AB118" s="15"/>
      <c r="AC118" s="15"/>
      <c r="AD118" s="15"/>
      <c r="AE118" s="57"/>
      <c r="AF118" s="57"/>
      <c r="AG118" s="15"/>
      <c r="AH118" s="25"/>
      <c r="AI118" s="26"/>
      <c r="AJ118" s="26"/>
      <c r="AK118" s="27"/>
      <c r="AL118" s="28"/>
      <c r="AM118" s="29"/>
    </row>
    <row r="119" ht="12.75" customHeight="1">
      <c r="A119" s="26"/>
      <c r="B119" s="12"/>
      <c r="C119" s="240"/>
      <c r="D119" s="241"/>
      <c r="E119" s="5"/>
      <c r="F119" s="5"/>
      <c r="G119" s="5"/>
      <c r="H119" s="5"/>
      <c r="I119" s="5"/>
      <c r="J119" s="5"/>
      <c r="K119" s="8"/>
      <c r="L119" s="9"/>
      <c r="M119" s="10"/>
      <c r="N119" s="12"/>
      <c r="O119" s="242"/>
      <c r="P119" s="243"/>
      <c r="Q119" s="243"/>
      <c r="R119" s="14"/>
      <c r="S119" s="242"/>
      <c r="T119" s="15"/>
      <c r="U119" s="15"/>
      <c r="V119" s="15"/>
      <c r="W119" s="8"/>
      <c r="X119" s="8"/>
      <c r="Y119" s="56"/>
      <c r="Z119" s="56"/>
      <c r="AA119" s="15"/>
      <c r="AB119" s="15"/>
      <c r="AC119" s="15"/>
      <c r="AD119" s="15"/>
      <c r="AE119" s="57"/>
      <c r="AF119" s="57"/>
      <c r="AG119" s="15"/>
      <c r="AH119" s="25"/>
      <c r="AI119" s="26"/>
      <c r="AJ119" s="26"/>
      <c r="AK119" s="27"/>
      <c r="AL119" s="28"/>
      <c r="AM119" s="29"/>
    </row>
    <row r="120" ht="12.75" customHeight="1">
      <c r="A120" s="26"/>
      <c r="B120" s="12"/>
      <c r="C120" s="240"/>
      <c r="D120" s="241"/>
      <c r="E120" s="5"/>
      <c r="F120" s="5"/>
      <c r="G120" s="5"/>
      <c r="H120" s="5"/>
      <c r="I120" s="5"/>
      <c r="J120" s="5"/>
      <c r="K120" s="8"/>
      <c r="L120" s="9"/>
      <c r="M120" s="10"/>
      <c r="N120" s="12"/>
      <c r="O120" s="242"/>
      <c r="P120" s="243"/>
      <c r="Q120" s="243"/>
      <c r="R120" s="14"/>
      <c r="S120" s="242"/>
      <c r="T120" s="15"/>
      <c r="U120" s="15"/>
      <c r="V120" s="15"/>
      <c r="W120" s="8"/>
      <c r="X120" s="8"/>
      <c r="Y120" s="56"/>
      <c r="Z120" s="56"/>
      <c r="AA120" s="15"/>
      <c r="AB120" s="15"/>
      <c r="AC120" s="15"/>
      <c r="AD120" s="15"/>
      <c r="AE120" s="57"/>
      <c r="AF120" s="57"/>
      <c r="AG120" s="15"/>
      <c r="AH120" s="25"/>
      <c r="AI120" s="26"/>
      <c r="AJ120" s="26"/>
      <c r="AK120" s="27"/>
      <c r="AL120" s="28"/>
      <c r="AM120" s="29"/>
    </row>
    <row r="121" ht="12.75" customHeight="1">
      <c r="A121" s="26"/>
      <c r="B121" s="12"/>
      <c r="C121" s="240"/>
      <c r="D121" s="241"/>
      <c r="E121" s="5"/>
      <c r="F121" s="5"/>
      <c r="G121" s="5"/>
      <c r="H121" s="5"/>
      <c r="I121" s="5"/>
      <c r="J121" s="5"/>
      <c r="K121" s="8"/>
      <c r="L121" s="9"/>
      <c r="M121" s="10"/>
      <c r="N121" s="12"/>
      <c r="O121" s="242"/>
      <c r="P121" s="243"/>
      <c r="Q121" s="243"/>
      <c r="R121" s="14"/>
      <c r="S121" s="242"/>
      <c r="T121" s="15"/>
      <c r="U121" s="15"/>
      <c r="V121" s="15"/>
      <c r="W121" s="8"/>
      <c r="X121" s="8"/>
      <c r="Y121" s="56"/>
      <c r="Z121" s="56"/>
      <c r="AA121" s="15"/>
      <c r="AB121" s="15"/>
      <c r="AC121" s="15"/>
      <c r="AD121" s="15"/>
      <c r="AE121" s="57"/>
      <c r="AF121" s="57"/>
      <c r="AG121" s="15"/>
      <c r="AH121" s="25"/>
      <c r="AI121" s="26"/>
      <c r="AJ121" s="26"/>
      <c r="AK121" s="27"/>
      <c r="AL121" s="28"/>
      <c r="AM121" s="29"/>
    </row>
    <row r="122" ht="12.75" customHeight="1">
      <c r="A122" s="26"/>
      <c r="B122" s="12"/>
      <c r="C122" s="240"/>
      <c r="D122" s="241"/>
      <c r="E122" s="5"/>
      <c r="F122" s="5"/>
      <c r="G122" s="5"/>
      <c r="H122" s="5"/>
      <c r="I122" s="5"/>
      <c r="J122" s="5"/>
      <c r="K122" s="8"/>
      <c r="L122" s="9"/>
      <c r="M122" s="10"/>
      <c r="N122" s="12"/>
      <c r="O122" s="242"/>
      <c r="P122" s="243"/>
      <c r="Q122" s="243"/>
      <c r="R122" s="14"/>
      <c r="S122" s="242"/>
      <c r="T122" s="15"/>
      <c r="U122" s="15"/>
      <c r="V122" s="15"/>
      <c r="W122" s="8"/>
      <c r="X122" s="8"/>
      <c r="Y122" s="56"/>
      <c r="Z122" s="56"/>
      <c r="AA122" s="15"/>
      <c r="AB122" s="15"/>
      <c r="AC122" s="15"/>
      <c r="AD122" s="15"/>
      <c r="AE122" s="57"/>
      <c r="AF122" s="57"/>
      <c r="AG122" s="15"/>
      <c r="AH122" s="25"/>
      <c r="AI122" s="26"/>
      <c r="AJ122" s="26"/>
      <c r="AK122" s="27"/>
      <c r="AL122" s="28"/>
      <c r="AM122" s="29"/>
    </row>
    <row r="123" ht="12.75" customHeight="1">
      <c r="A123" s="26"/>
      <c r="B123" s="12"/>
      <c r="C123" s="240"/>
      <c r="D123" s="241"/>
      <c r="E123" s="5"/>
      <c r="F123" s="5"/>
      <c r="G123" s="5"/>
      <c r="H123" s="5"/>
      <c r="I123" s="5"/>
      <c r="J123" s="5"/>
      <c r="K123" s="8"/>
      <c r="L123" s="9"/>
      <c r="M123" s="10"/>
      <c r="N123" s="12"/>
      <c r="O123" s="242"/>
      <c r="P123" s="243"/>
      <c r="Q123" s="243"/>
      <c r="R123" s="14"/>
      <c r="S123" s="242"/>
      <c r="T123" s="15"/>
      <c r="U123" s="15"/>
      <c r="V123" s="15"/>
      <c r="W123" s="8"/>
      <c r="X123" s="8"/>
      <c r="Y123" s="56"/>
      <c r="Z123" s="56"/>
      <c r="AA123" s="15"/>
      <c r="AB123" s="15"/>
      <c r="AC123" s="15"/>
      <c r="AD123" s="15"/>
      <c r="AE123" s="57"/>
      <c r="AF123" s="57"/>
      <c r="AG123" s="15"/>
      <c r="AH123" s="25"/>
      <c r="AI123" s="26"/>
      <c r="AJ123" s="26"/>
      <c r="AK123" s="27"/>
      <c r="AL123" s="28"/>
      <c r="AM123" s="29"/>
    </row>
    <row r="124" ht="12.75" customHeight="1">
      <c r="A124" s="26"/>
      <c r="B124" s="12"/>
      <c r="C124" s="240"/>
      <c r="D124" s="241"/>
      <c r="E124" s="5"/>
      <c r="F124" s="5"/>
      <c r="G124" s="5"/>
      <c r="H124" s="5"/>
      <c r="I124" s="5"/>
      <c r="J124" s="5"/>
      <c r="K124" s="8"/>
      <c r="L124" s="9"/>
      <c r="M124" s="10"/>
      <c r="N124" s="12"/>
      <c r="O124" s="242"/>
      <c r="P124" s="243"/>
      <c r="Q124" s="243"/>
      <c r="R124" s="14"/>
      <c r="S124" s="242"/>
      <c r="T124" s="15"/>
      <c r="U124" s="15"/>
      <c r="V124" s="15"/>
      <c r="W124" s="8"/>
      <c r="X124" s="8"/>
      <c r="Y124" s="56"/>
      <c r="Z124" s="56"/>
      <c r="AA124" s="15"/>
      <c r="AB124" s="15"/>
      <c r="AC124" s="15"/>
      <c r="AD124" s="15"/>
      <c r="AE124" s="57"/>
      <c r="AF124" s="57"/>
      <c r="AG124" s="15"/>
      <c r="AH124" s="25"/>
      <c r="AI124" s="26"/>
      <c r="AJ124" s="26"/>
      <c r="AK124" s="27"/>
      <c r="AL124" s="28"/>
      <c r="AM124" s="29"/>
    </row>
    <row r="125" ht="12.75" customHeight="1">
      <c r="A125" s="26"/>
      <c r="B125" s="12"/>
      <c r="C125" s="240"/>
      <c r="D125" s="241"/>
      <c r="E125" s="5"/>
      <c r="F125" s="5"/>
      <c r="G125" s="5"/>
      <c r="H125" s="5"/>
      <c r="I125" s="5"/>
      <c r="J125" s="5"/>
      <c r="K125" s="8"/>
      <c r="L125" s="9"/>
      <c r="M125" s="10"/>
      <c r="N125" s="12"/>
      <c r="O125" s="242"/>
      <c r="P125" s="243"/>
      <c r="Q125" s="243"/>
      <c r="R125" s="14"/>
      <c r="S125" s="242"/>
      <c r="T125" s="15"/>
      <c r="U125" s="15"/>
      <c r="V125" s="15"/>
      <c r="W125" s="8"/>
      <c r="X125" s="8"/>
      <c r="Y125" s="56"/>
      <c r="Z125" s="56"/>
      <c r="AA125" s="15"/>
      <c r="AB125" s="15"/>
      <c r="AC125" s="15"/>
      <c r="AD125" s="15"/>
      <c r="AE125" s="57"/>
      <c r="AF125" s="57"/>
      <c r="AG125" s="15"/>
      <c r="AH125" s="25"/>
      <c r="AI125" s="26"/>
      <c r="AJ125" s="26"/>
      <c r="AK125" s="27"/>
      <c r="AL125" s="28"/>
      <c r="AM125" s="29"/>
    </row>
    <row r="126" ht="12.75" customHeight="1">
      <c r="A126" s="26"/>
      <c r="B126" s="12"/>
      <c r="C126" s="240"/>
      <c r="D126" s="241"/>
      <c r="E126" s="5"/>
      <c r="F126" s="5"/>
      <c r="G126" s="5"/>
      <c r="H126" s="5"/>
      <c r="I126" s="5"/>
      <c r="J126" s="5"/>
      <c r="K126" s="8"/>
      <c r="L126" s="9"/>
      <c r="M126" s="10"/>
      <c r="N126" s="12"/>
      <c r="O126" s="242"/>
      <c r="P126" s="243"/>
      <c r="Q126" s="243"/>
      <c r="R126" s="14"/>
      <c r="S126" s="242"/>
      <c r="T126" s="15"/>
      <c r="U126" s="15"/>
      <c r="V126" s="15"/>
      <c r="W126" s="8"/>
      <c r="X126" s="8"/>
      <c r="Y126" s="56"/>
      <c r="Z126" s="56"/>
      <c r="AA126" s="15"/>
      <c r="AB126" s="15"/>
      <c r="AC126" s="15"/>
      <c r="AD126" s="15"/>
      <c r="AE126" s="57"/>
      <c r="AF126" s="57"/>
      <c r="AG126" s="15"/>
      <c r="AH126" s="25"/>
      <c r="AI126" s="26"/>
      <c r="AJ126" s="26"/>
      <c r="AK126" s="27"/>
      <c r="AL126" s="28"/>
      <c r="AM126" s="29"/>
    </row>
    <row r="127" ht="12.75" customHeight="1">
      <c r="A127" s="26"/>
      <c r="B127" s="12"/>
      <c r="C127" s="240"/>
      <c r="D127" s="241"/>
      <c r="E127" s="5"/>
      <c r="F127" s="5"/>
      <c r="G127" s="5"/>
      <c r="H127" s="5"/>
      <c r="I127" s="5"/>
      <c r="J127" s="5"/>
      <c r="K127" s="8"/>
      <c r="L127" s="9"/>
      <c r="M127" s="10"/>
      <c r="N127" s="12"/>
      <c r="O127" s="242"/>
      <c r="P127" s="243"/>
      <c r="Q127" s="243"/>
      <c r="R127" s="14"/>
      <c r="S127" s="242"/>
      <c r="T127" s="15"/>
      <c r="U127" s="15"/>
      <c r="V127" s="15"/>
      <c r="W127" s="8"/>
      <c r="X127" s="8"/>
      <c r="Y127" s="56"/>
      <c r="Z127" s="56"/>
      <c r="AA127" s="15"/>
      <c r="AB127" s="15"/>
      <c r="AC127" s="15"/>
      <c r="AD127" s="15"/>
      <c r="AE127" s="57"/>
      <c r="AF127" s="57"/>
      <c r="AG127" s="15"/>
      <c r="AH127" s="25"/>
      <c r="AI127" s="26"/>
      <c r="AJ127" s="26"/>
      <c r="AK127" s="27"/>
      <c r="AL127" s="28"/>
      <c r="AM127" s="29"/>
    </row>
    <row r="128" ht="12.75" customHeight="1">
      <c r="A128" s="26"/>
      <c r="B128" s="12"/>
      <c r="C128" s="240"/>
      <c r="D128" s="241"/>
      <c r="E128" s="5"/>
      <c r="F128" s="5"/>
      <c r="G128" s="5"/>
      <c r="H128" s="5"/>
      <c r="I128" s="5"/>
      <c r="J128" s="5"/>
      <c r="K128" s="8"/>
      <c r="L128" s="9"/>
      <c r="M128" s="10"/>
      <c r="N128" s="12"/>
      <c r="O128" s="242"/>
      <c r="P128" s="243"/>
      <c r="Q128" s="243"/>
      <c r="R128" s="14"/>
      <c r="S128" s="242"/>
      <c r="T128" s="15"/>
      <c r="U128" s="15"/>
      <c r="V128" s="15"/>
      <c r="W128" s="8"/>
      <c r="X128" s="8"/>
      <c r="Y128" s="56"/>
      <c r="Z128" s="56"/>
      <c r="AA128" s="15"/>
      <c r="AB128" s="15"/>
      <c r="AC128" s="15"/>
      <c r="AD128" s="15"/>
      <c r="AE128" s="57"/>
      <c r="AF128" s="57"/>
      <c r="AG128" s="15"/>
      <c r="AH128" s="25"/>
      <c r="AI128" s="26"/>
      <c r="AJ128" s="26"/>
      <c r="AK128" s="27"/>
      <c r="AL128" s="28"/>
      <c r="AM128" s="29"/>
    </row>
    <row r="129" ht="12.75" customHeight="1">
      <c r="A129" s="26"/>
      <c r="B129" s="12"/>
      <c r="C129" s="240"/>
      <c r="D129" s="241"/>
      <c r="E129" s="5"/>
      <c r="F129" s="5"/>
      <c r="G129" s="5"/>
      <c r="H129" s="5"/>
      <c r="I129" s="5"/>
      <c r="J129" s="5"/>
      <c r="K129" s="8"/>
      <c r="L129" s="9"/>
      <c r="M129" s="10"/>
      <c r="N129" s="12"/>
      <c r="O129" s="242"/>
      <c r="P129" s="243"/>
      <c r="Q129" s="243"/>
      <c r="R129" s="14"/>
      <c r="S129" s="242"/>
      <c r="T129" s="15"/>
      <c r="U129" s="15"/>
      <c r="V129" s="15"/>
      <c r="W129" s="8"/>
      <c r="X129" s="8"/>
      <c r="Y129" s="56"/>
      <c r="Z129" s="56"/>
      <c r="AA129" s="15"/>
      <c r="AB129" s="15"/>
      <c r="AC129" s="15"/>
      <c r="AD129" s="15"/>
      <c r="AE129" s="57"/>
      <c r="AF129" s="57"/>
      <c r="AG129" s="15"/>
      <c r="AH129" s="25"/>
      <c r="AI129" s="26"/>
      <c r="AJ129" s="26"/>
      <c r="AK129" s="27"/>
      <c r="AL129" s="28"/>
      <c r="AM129" s="29"/>
    </row>
    <row r="130" ht="12.75" customHeight="1">
      <c r="A130" s="26"/>
      <c r="B130" s="12"/>
      <c r="C130" s="240"/>
      <c r="D130" s="241"/>
      <c r="E130" s="5"/>
      <c r="F130" s="5"/>
      <c r="G130" s="5"/>
      <c r="H130" s="5"/>
      <c r="I130" s="5"/>
      <c r="J130" s="5"/>
      <c r="K130" s="8"/>
      <c r="L130" s="9"/>
      <c r="M130" s="10"/>
      <c r="N130" s="12"/>
      <c r="O130" s="242"/>
      <c r="P130" s="243"/>
      <c r="Q130" s="243"/>
      <c r="R130" s="14"/>
      <c r="S130" s="242"/>
      <c r="T130" s="15"/>
      <c r="U130" s="15"/>
      <c r="V130" s="15"/>
      <c r="W130" s="8"/>
      <c r="X130" s="8"/>
      <c r="Y130" s="56"/>
      <c r="Z130" s="56"/>
      <c r="AA130" s="15"/>
      <c r="AB130" s="15"/>
      <c r="AC130" s="15"/>
      <c r="AD130" s="15"/>
      <c r="AE130" s="57"/>
      <c r="AF130" s="57"/>
      <c r="AG130" s="15"/>
      <c r="AH130" s="25"/>
      <c r="AI130" s="26"/>
      <c r="AJ130" s="26"/>
      <c r="AK130" s="27"/>
      <c r="AL130" s="28"/>
      <c r="AM130" s="29"/>
    </row>
    <row r="131" ht="12.75" customHeight="1">
      <c r="A131" s="26"/>
      <c r="B131" s="12"/>
      <c r="C131" s="240"/>
      <c r="D131" s="241"/>
      <c r="E131" s="5"/>
      <c r="F131" s="5"/>
      <c r="G131" s="5"/>
      <c r="H131" s="5"/>
      <c r="I131" s="5"/>
      <c r="J131" s="5"/>
      <c r="K131" s="8"/>
      <c r="L131" s="9"/>
      <c r="M131" s="10"/>
      <c r="N131" s="12"/>
      <c r="O131" s="242"/>
      <c r="P131" s="243"/>
      <c r="Q131" s="243"/>
      <c r="R131" s="14"/>
      <c r="S131" s="242"/>
      <c r="T131" s="15"/>
      <c r="U131" s="15"/>
      <c r="V131" s="15"/>
      <c r="W131" s="8"/>
      <c r="X131" s="8"/>
      <c r="Y131" s="56"/>
      <c r="Z131" s="56"/>
      <c r="AA131" s="15"/>
      <c r="AB131" s="15"/>
      <c r="AC131" s="15"/>
      <c r="AD131" s="15"/>
      <c r="AE131" s="57"/>
      <c r="AF131" s="57"/>
      <c r="AG131" s="15"/>
      <c r="AH131" s="25"/>
      <c r="AI131" s="26"/>
      <c r="AJ131" s="26"/>
      <c r="AK131" s="27"/>
      <c r="AL131" s="28"/>
      <c r="AM131" s="29"/>
    </row>
    <row r="132" ht="12.75" customHeight="1">
      <c r="A132" s="26"/>
      <c r="B132" s="12"/>
      <c r="C132" s="240"/>
      <c r="D132" s="241"/>
      <c r="E132" s="5"/>
      <c r="F132" s="5"/>
      <c r="G132" s="5"/>
      <c r="H132" s="5"/>
      <c r="I132" s="5"/>
      <c r="J132" s="5"/>
      <c r="K132" s="8"/>
      <c r="L132" s="9"/>
      <c r="M132" s="10"/>
      <c r="N132" s="12"/>
      <c r="O132" s="242"/>
      <c r="P132" s="243"/>
      <c r="Q132" s="243"/>
      <c r="R132" s="14"/>
      <c r="S132" s="242"/>
      <c r="T132" s="15"/>
      <c r="U132" s="15"/>
      <c r="V132" s="15"/>
      <c r="W132" s="8"/>
      <c r="X132" s="8"/>
      <c r="Y132" s="56"/>
      <c r="Z132" s="56"/>
      <c r="AA132" s="15"/>
      <c r="AB132" s="15"/>
      <c r="AC132" s="15"/>
      <c r="AD132" s="15"/>
      <c r="AE132" s="57"/>
      <c r="AF132" s="57"/>
      <c r="AG132" s="15"/>
      <c r="AH132" s="25"/>
      <c r="AI132" s="26"/>
      <c r="AJ132" s="26"/>
      <c r="AK132" s="27"/>
      <c r="AL132" s="28"/>
      <c r="AM132" s="29"/>
    </row>
    <row r="133" ht="12.75" customHeight="1">
      <c r="A133" s="26"/>
      <c r="B133" s="12"/>
      <c r="C133" s="240"/>
      <c r="D133" s="241"/>
      <c r="E133" s="5"/>
      <c r="F133" s="5"/>
      <c r="G133" s="5"/>
      <c r="H133" s="5"/>
      <c r="I133" s="5"/>
      <c r="J133" s="5"/>
      <c r="K133" s="8"/>
      <c r="L133" s="9"/>
      <c r="M133" s="10"/>
      <c r="N133" s="12"/>
      <c r="O133" s="242"/>
      <c r="P133" s="243"/>
      <c r="Q133" s="243"/>
      <c r="R133" s="14"/>
      <c r="S133" s="242"/>
      <c r="T133" s="15"/>
      <c r="U133" s="15"/>
      <c r="V133" s="15"/>
      <c r="W133" s="8"/>
      <c r="X133" s="8"/>
      <c r="Y133" s="56"/>
      <c r="Z133" s="56"/>
      <c r="AA133" s="15"/>
      <c r="AB133" s="15"/>
      <c r="AC133" s="15"/>
      <c r="AD133" s="15"/>
      <c r="AE133" s="57"/>
      <c r="AF133" s="57"/>
      <c r="AG133" s="15"/>
      <c r="AH133" s="25"/>
      <c r="AI133" s="26"/>
      <c r="AJ133" s="26"/>
      <c r="AK133" s="27"/>
      <c r="AL133" s="28"/>
      <c r="AM133" s="29"/>
    </row>
    <row r="134" ht="12.75" customHeight="1">
      <c r="A134" s="26"/>
      <c r="B134" s="12"/>
      <c r="C134" s="240"/>
      <c r="D134" s="241"/>
      <c r="E134" s="5"/>
      <c r="F134" s="5"/>
      <c r="G134" s="5"/>
      <c r="H134" s="5"/>
      <c r="I134" s="5"/>
      <c r="J134" s="5"/>
      <c r="K134" s="8"/>
      <c r="L134" s="9"/>
      <c r="M134" s="10"/>
      <c r="N134" s="12"/>
      <c r="O134" s="242"/>
      <c r="P134" s="243"/>
      <c r="Q134" s="243"/>
      <c r="R134" s="14"/>
      <c r="S134" s="242"/>
      <c r="T134" s="15"/>
      <c r="U134" s="15"/>
      <c r="V134" s="15"/>
      <c r="W134" s="8"/>
      <c r="X134" s="8"/>
      <c r="Y134" s="56"/>
      <c r="Z134" s="56"/>
      <c r="AA134" s="15"/>
      <c r="AB134" s="15"/>
      <c r="AC134" s="15"/>
      <c r="AD134" s="15"/>
      <c r="AE134" s="57"/>
      <c r="AF134" s="57"/>
      <c r="AG134" s="15"/>
      <c r="AH134" s="25"/>
      <c r="AI134" s="26"/>
      <c r="AJ134" s="26"/>
      <c r="AK134" s="27"/>
      <c r="AL134" s="28"/>
      <c r="AM134" s="29"/>
    </row>
    <row r="135" ht="12.75" customHeight="1">
      <c r="A135" s="26"/>
      <c r="B135" s="12"/>
      <c r="C135" s="240"/>
      <c r="D135" s="241"/>
      <c r="E135" s="5"/>
      <c r="F135" s="5"/>
      <c r="G135" s="5"/>
      <c r="H135" s="5"/>
      <c r="I135" s="5"/>
      <c r="J135" s="5"/>
      <c r="K135" s="8"/>
      <c r="L135" s="9"/>
      <c r="M135" s="10"/>
      <c r="N135" s="12"/>
      <c r="O135" s="242"/>
      <c r="P135" s="243"/>
      <c r="Q135" s="243"/>
      <c r="R135" s="14"/>
      <c r="S135" s="242"/>
      <c r="T135" s="15"/>
      <c r="U135" s="15"/>
      <c r="V135" s="15"/>
      <c r="W135" s="8"/>
      <c r="X135" s="8"/>
      <c r="Y135" s="56"/>
      <c r="Z135" s="56"/>
      <c r="AA135" s="15"/>
      <c r="AB135" s="15"/>
      <c r="AC135" s="15"/>
      <c r="AD135" s="15"/>
      <c r="AE135" s="57"/>
      <c r="AF135" s="57"/>
      <c r="AG135" s="15"/>
      <c r="AH135" s="25"/>
      <c r="AI135" s="26"/>
      <c r="AJ135" s="26"/>
      <c r="AK135" s="27"/>
      <c r="AL135" s="28"/>
      <c r="AM135" s="29"/>
    </row>
    <row r="136" ht="12.75" customHeight="1">
      <c r="A136" s="26"/>
      <c r="B136" s="12"/>
      <c r="C136" s="240"/>
      <c r="D136" s="241"/>
      <c r="E136" s="5"/>
      <c r="F136" s="5"/>
      <c r="G136" s="5"/>
      <c r="H136" s="5"/>
      <c r="I136" s="5"/>
      <c r="J136" s="5"/>
      <c r="K136" s="8"/>
      <c r="L136" s="9"/>
      <c r="M136" s="10"/>
      <c r="N136" s="12"/>
      <c r="O136" s="242"/>
      <c r="P136" s="243"/>
      <c r="Q136" s="243"/>
      <c r="R136" s="14"/>
      <c r="S136" s="242"/>
      <c r="T136" s="15"/>
      <c r="U136" s="15"/>
      <c r="V136" s="15"/>
      <c r="W136" s="8"/>
      <c r="X136" s="8"/>
      <c r="Y136" s="56"/>
      <c r="Z136" s="56"/>
      <c r="AA136" s="15"/>
      <c r="AB136" s="15"/>
      <c r="AC136" s="15"/>
      <c r="AD136" s="15"/>
      <c r="AE136" s="57"/>
      <c r="AF136" s="57"/>
      <c r="AG136" s="15"/>
      <c r="AH136" s="25"/>
      <c r="AI136" s="26"/>
      <c r="AJ136" s="26"/>
      <c r="AK136" s="27"/>
      <c r="AL136" s="28"/>
      <c r="AM136" s="29"/>
    </row>
    <row r="137" ht="12.75" customHeight="1">
      <c r="A137" s="26"/>
      <c r="B137" s="12"/>
      <c r="C137" s="240"/>
      <c r="D137" s="241"/>
      <c r="E137" s="5"/>
      <c r="F137" s="5"/>
      <c r="G137" s="5"/>
      <c r="H137" s="5"/>
      <c r="I137" s="5"/>
      <c r="J137" s="5"/>
      <c r="K137" s="8"/>
      <c r="L137" s="9"/>
      <c r="M137" s="10"/>
      <c r="N137" s="12"/>
      <c r="O137" s="242"/>
      <c r="P137" s="243"/>
      <c r="Q137" s="243"/>
      <c r="R137" s="14"/>
      <c r="S137" s="242"/>
      <c r="T137" s="15"/>
      <c r="U137" s="15"/>
      <c r="V137" s="15"/>
      <c r="W137" s="8"/>
      <c r="X137" s="8"/>
      <c r="Y137" s="56"/>
      <c r="Z137" s="56"/>
      <c r="AA137" s="15"/>
      <c r="AB137" s="15"/>
      <c r="AC137" s="15"/>
      <c r="AD137" s="15"/>
      <c r="AE137" s="57"/>
      <c r="AF137" s="57"/>
      <c r="AG137" s="15"/>
      <c r="AH137" s="25"/>
      <c r="AI137" s="26"/>
      <c r="AJ137" s="26"/>
      <c r="AK137" s="27"/>
      <c r="AL137" s="28"/>
      <c r="AM137" s="29"/>
    </row>
    <row r="138" ht="12.75" customHeight="1">
      <c r="A138" s="26"/>
      <c r="B138" s="12"/>
      <c r="C138" s="240"/>
      <c r="D138" s="241"/>
      <c r="E138" s="5"/>
      <c r="F138" s="5"/>
      <c r="G138" s="5"/>
      <c r="H138" s="5"/>
      <c r="I138" s="5"/>
      <c r="J138" s="5"/>
      <c r="K138" s="8"/>
      <c r="L138" s="9"/>
      <c r="M138" s="10"/>
      <c r="N138" s="12"/>
      <c r="O138" s="242"/>
      <c r="P138" s="243"/>
      <c r="Q138" s="243"/>
      <c r="R138" s="14"/>
      <c r="S138" s="242"/>
      <c r="T138" s="15"/>
      <c r="U138" s="15"/>
      <c r="V138" s="15"/>
      <c r="W138" s="8"/>
      <c r="X138" s="8"/>
      <c r="Y138" s="56"/>
      <c r="Z138" s="56"/>
      <c r="AA138" s="15"/>
      <c r="AB138" s="15"/>
      <c r="AC138" s="15"/>
      <c r="AD138" s="15"/>
      <c r="AE138" s="57"/>
      <c r="AF138" s="57"/>
      <c r="AG138" s="15"/>
      <c r="AH138" s="25"/>
      <c r="AI138" s="26"/>
      <c r="AJ138" s="26"/>
      <c r="AK138" s="27"/>
      <c r="AL138" s="28"/>
      <c r="AM138" s="29"/>
    </row>
    <row r="139" ht="12.75" customHeight="1">
      <c r="A139" s="26"/>
      <c r="B139" s="12"/>
      <c r="C139" s="240"/>
      <c r="D139" s="241"/>
      <c r="E139" s="5"/>
      <c r="F139" s="5"/>
      <c r="G139" s="5"/>
      <c r="H139" s="5"/>
      <c r="I139" s="5"/>
      <c r="J139" s="5"/>
      <c r="K139" s="8"/>
      <c r="L139" s="9"/>
      <c r="M139" s="10"/>
      <c r="N139" s="12"/>
      <c r="O139" s="242"/>
      <c r="P139" s="243"/>
      <c r="Q139" s="243"/>
      <c r="R139" s="14"/>
      <c r="S139" s="242"/>
      <c r="T139" s="15"/>
      <c r="U139" s="15"/>
      <c r="V139" s="15"/>
      <c r="W139" s="8"/>
      <c r="X139" s="8"/>
      <c r="Y139" s="56"/>
      <c r="Z139" s="56"/>
      <c r="AA139" s="15"/>
      <c r="AB139" s="15"/>
      <c r="AC139" s="15"/>
      <c r="AD139" s="15"/>
      <c r="AE139" s="57"/>
      <c r="AF139" s="57"/>
      <c r="AG139" s="15"/>
      <c r="AH139" s="25"/>
      <c r="AI139" s="26"/>
      <c r="AJ139" s="26"/>
      <c r="AK139" s="27"/>
      <c r="AL139" s="28"/>
      <c r="AM139" s="29"/>
    </row>
    <row r="140" ht="12.75" customHeight="1">
      <c r="A140" s="26"/>
      <c r="B140" s="12"/>
      <c r="C140" s="240"/>
      <c r="D140" s="241"/>
      <c r="E140" s="5"/>
      <c r="F140" s="5"/>
      <c r="G140" s="5"/>
      <c r="H140" s="5"/>
      <c r="I140" s="5"/>
      <c r="J140" s="5"/>
      <c r="K140" s="8"/>
      <c r="L140" s="9"/>
      <c r="M140" s="10"/>
      <c r="N140" s="12"/>
      <c r="O140" s="242"/>
      <c r="P140" s="243"/>
      <c r="Q140" s="243"/>
      <c r="R140" s="14"/>
      <c r="S140" s="242"/>
      <c r="T140" s="15"/>
      <c r="U140" s="15"/>
      <c r="V140" s="15"/>
      <c r="W140" s="8"/>
      <c r="X140" s="8"/>
      <c r="Y140" s="56"/>
      <c r="Z140" s="56"/>
      <c r="AA140" s="15"/>
      <c r="AB140" s="15"/>
      <c r="AC140" s="15"/>
      <c r="AD140" s="15"/>
      <c r="AE140" s="57"/>
      <c r="AF140" s="57"/>
      <c r="AG140" s="15"/>
      <c r="AH140" s="25"/>
      <c r="AI140" s="26"/>
      <c r="AJ140" s="26"/>
      <c r="AK140" s="27"/>
      <c r="AL140" s="28"/>
      <c r="AM140" s="29"/>
    </row>
    <row r="141" ht="12.75" customHeight="1">
      <c r="A141" s="26"/>
      <c r="B141" s="12"/>
      <c r="C141" s="240"/>
      <c r="D141" s="241"/>
      <c r="E141" s="5"/>
      <c r="F141" s="5"/>
      <c r="G141" s="5"/>
      <c r="H141" s="5"/>
      <c r="I141" s="5"/>
      <c r="J141" s="5"/>
      <c r="K141" s="8"/>
      <c r="L141" s="9"/>
      <c r="M141" s="10"/>
      <c r="N141" s="12"/>
      <c r="O141" s="242"/>
      <c r="P141" s="243"/>
      <c r="Q141" s="243"/>
      <c r="R141" s="14"/>
      <c r="S141" s="242"/>
      <c r="T141" s="15"/>
      <c r="U141" s="15"/>
      <c r="V141" s="15"/>
      <c r="W141" s="8"/>
      <c r="X141" s="8"/>
      <c r="Y141" s="56"/>
      <c r="Z141" s="56"/>
      <c r="AA141" s="15"/>
      <c r="AB141" s="15"/>
      <c r="AC141" s="15"/>
      <c r="AD141" s="15"/>
      <c r="AE141" s="57"/>
      <c r="AF141" s="57"/>
      <c r="AG141" s="15"/>
      <c r="AH141" s="25"/>
      <c r="AI141" s="26"/>
      <c r="AJ141" s="26"/>
      <c r="AK141" s="27"/>
      <c r="AL141" s="28"/>
      <c r="AM141" s="29"/>
    </row>
    <row r="142" ht="12.75" customHeight="1">
      <c r="A142" s="26"/>
      <c r="B142" s="12"/>
      <c r="C142" s="240"/>
      <c r="D142" s="241"/>
      <c r="E142" s="5"/>
      <c r="F142" s="5"/>
      <c r="G142" s="5"/>
      <c r="H142" s="5"/>
      <c r="I142" s="5"/>
      <c r="J142" s="5"/>
      <c r="K142" s="8"/>
      <c r="L142" s="9"/>
      <c r="M142" s="10"/>
      <c r="N142" s="12"/>
      <c r="O142" s="242"/>
      <c r="P142" s="243"/>
      <c r="Q142" s="243"/>
      <c r="R142" s="14"/>
      <c r="S142" s="242"/>
      <c r="T142" s="15"/>
      <c r="U142" s="15"/>
      <c r="V142" s="15"/>
      <c r="W142" s="8"/>
      <c r="X142" s="8"/>
      <c r="Y142" s="56"/>
      <c r="Z142" s="56"/>
      <c r="AA142" s="15"/>
      <c r="AB142" s="15"/>
      <c r="AC142" s="15"/>
      <c r="AD142" s="15"/>
      <c r="AE142" s="57"/>
      <c r="AF142" s="57"/>
      <c r="AG142" s="15"/>
      <c r="AH142" s="25"/>
      <c r="AI142" s="26"/>
      <c r="AJ142" s="26"/>
      <c r="AK142" s="27"/>
      <c r="AL142" s="28"/>
      <c r="AM142" s="29"/>
    </row>
    <row r="143" ht="12.75" customHeight="1">
      <c r="A143" s="26"/>
      <c r="B143" s="12"/>
      <c r="C143" s="240"/>
      <c r="D143" s="241"/>
      <c r="E143" s="5"/>
      <c r="F143" s="5"/>
      <c r="G143" s="5"/>
      <c r="H143" s="5"/>
      <c r="I143" s="5"/>
      <c r="J143" s="5"/>
      <c r="K143" s="8"/>
      <c r="L143" s="9"/>
      <c r="M143" s="10"/>
      <c r="N143" s="12"/>
      <c r="O143" s="242"/>
      <c r="P143" s="243"/>
      <c r="Q143" s="243"/>
      <c r="R143" s="14"/>
      <c r="S143" s="242"/>
      <c r="T143" s="15"/>
      <c r="U143" s="15"/>
      <c r="V143" s="15"/>
      <c r="W143" s="8"/>
      <c r="X143" s="8"/>
      <c r="Y143" s="56"/>
      <c r="Z143" s="56"/>
      <c r="AA143" s="15"/>
      <c r="AB143" s="15"/>
      <c r="AC143" s="15"/>
      <c r="AD143" s="15"/>
      <c r="AE143" s="57"/>
      <c r="AF143" s="57"/>
      <c r="AG143" s="15"/>
      <c r="AH143" s="25"/>
      <c r="AI143" s="26"/>
      <c r="AJ143" s="26"/>
      <c r="AK143" s="27"/>
      <c r="AL143" s="28"/>
      <c r="AM143" s="29"/>
    </row>
    <row r="144" ht="12.75" customHeight="1">
      <c r="A144" s="26"/>
      <c r="B144" s="12"/>
      <c r="C144" s="240"/>
      <c r="D144" s="241"/>
      <c r="E144" s="5"/>
      <c r="F144" s="5"/>
      <c r="G144" s="5"/>
      <c r="H144" s="5"/>
      <c r="I144" s="5"/>
      <c r="J144" s="5"/>
      <c r="K144" s="8"/>
      <c r="L144" s="9"/>
      <c r="M144" s="10"/>
      <c r="N144" s="12"/>
      <c r="O144" s="242"/>
      <c r="P144" s="243"/>
      <c r="Q144" s="243"/>
      <c r="R144" s="14"/>
      <c r="S144" s="242"/>
      <c r="T144" s="15"/>
      <c r="U144" s="15"/>
      <c r="V144" s="15"/>
      <c r="W144" s="8"/>
      <c r="X144" s="8"/>
      <c r="Y144" s="56"/>
      <c r="Z144" s="56"/>
      <c r="AA144" s="15"/>
      <c r="AB144" s="15"/>
      <c r="AC144" s="15"/>
      <c r="AD144" s="15"/>
      <c r="AE144" s="57"/>
      <c r="AF144" s="57"/>
      <c r="AG144" s="15"/>
      <c r="AH144" s="25"/>
      <c r="AI144" s="26"/>
      <c r="AJ144" s="26"/>
      <c r="AK144" s="27"/>
      <c r="AL144" s="28"/>
      <c r="AM144" s="29"/>
    </row>
    <row r="145" ht="12.75" customHeight="1">
      <c r="A145" s="26"/>
      <c r="B145" s="12"/>
      <c r="C145" s="240"/>
      <c r="D145" s="241"/>
      <c r="E145" s="5"/>
      <c r="F145" s="5"/>
      <c r="G145" s="5"/>
      <c r="H145" s="5"/>
      <c r="I145" s="5"/>
      <c r="J145" s="5"/>
      <c r="K145" s="8"/>
      <c r="L145" s="9"/>
      <c r="M145" s="10"/>
      <c r="N145" s="12"/>
      <c r="O145" s="242"/>
      <c r="P145" s="243"/>
      <c r="Q145" s="243"/>
      <c r="R145" s="14"/>
      <c r="S145" s="242"/>
      <c r="T145" s="15"/>
      <c r="U145" s="15"/>
      <c r="V145" s="15"/>
      <c r="W145" s="8"/>
      <c r="X145" s="8"/>
      <c r="Y145" s="56"/>
      <c r="Z145" s="56"/>
      <c r="AA145" s="15"/>
      <c r="AB145" s="15"/>
      <c r="AC145" s="15"/>
      <c r="AD145" s="15"/>
      <c r="AE145" s="57"/>
      <c r="AF145" s="57"/>
      <c r="AG145" s="15"/>
      <c r="AH145" s="25"/>
      <c r="AI145" s="26"/>
      <c r="AJ145" s="26"/>
      <c r="AK145" s="27"/>
      <c r="AL145" s="28"/>
      <c r="AM145" s="29"/>
    </row>
    <row r="146" ht="12.75" customHeight="1">
      <c r="A146" s="26"/>
      <c r="B146" s="12"/>
      <c r="C146" s="240"/>
      <c r="D146" s="241"/>
      <c r="E146" s="5"/>
      <c r="F146" s="5"/>
      <c r="G146" s="5"/>
      <c r="H146" s="5"/>
      <c r="I146" s="5"/>
      <c r="J146" s="5"/>
      <c r="K146" s="8"/>
      <c r="L146" s="9"/>
      <c r="M146" s="10"/>
      <c r="N146" s="12"/>
      <c r="O146" s="242"/>
      <c r="P146" s="243"/>
      <c r="Q146" s="243"/>
      <c r="R146" s="14"/>
      <c r="S146" s="242"/>
      <c r="T146" s="15"/>
      <c r="U146" s="15"/>
      <c r="V146" s="15"/>
      <c r="W146" s="8"/>
      <c r="X146" s="8"/>
      <c r="Y146" s="56"/>
      <c r="Z146" s="56"/>
      <c r="AA146" s="15"/>
      <c r="AB146" s="15"/>
      <c r="AC146" s="15"/>
      <c r="AD146" s="15"/>
      <c r="AE146" s="57"/>
      <c r="AF146" s="57"/>
      <c r="AG146" s="15"/>
      <c r="AH146" s="25"/>
      <c r="AI146" s="26"/>
      <c r="AJ146" s="26"/>
      <c r="AK146" s="27"/>
      <c r="AL146" s="28"/>
      <c r="AM146" s="29"/>
    </row>
    <row r="147" ht="12.75" customHeight="1">
      <c r="A147" s="26"/>
      <c r="B147" s="12"/>
      <c r="C147" s="240"/>
      <c r="D147" s="241"/>
      <c r="E147" s="5"/>
      <c r="F147" s="5"/>
      <c r="G147" s="5"/>
      <c r="H147" s="5"/>
      <c r="I147" s="5"/>
      <c r="J147" s="5"/>
      <c r="K147" s="8"/>
      <c r="L147" s="9"/>
      <c r="M147" s="10"/>
      <c r="N147" s="12"/>
      <c r="O147" s="242"/>
      <c r="P147" s="243"/>
      <c r="Q147" s="243"/>
      <c r="R147" s="14"/>
      <c r="S147" s="242"/>
      <c r="T147" s="15"/>
      <c r="U147" s="15"/>
      <c r="V147" s="15"/>
      <c r="W147" s="8"/>
      <c r="X147" s="8"/>
      <c r="Y147" s="56"/>
      <c r="Z147" s="56"/>
      <c r="AA147" s="15"/>
      <c r="AB147" s="15"/>
      <c r="AC147" s="15"/>
      <c r="AD147" s="15"/>
      <c r="AE147" s="57"/>
      <c r="AF147" s="57"/>
      <c r="AG147" s="15"/>
      <c r="AH147" s="25"/>
      <c r="AI147" s="26"/>
      <c r="AJ147" s="26"/>
      <c r="AK147" s="27"/>
      <c r="AL147" s="28"/>
      <c r="AM147" s="29"/>
    </row>
    <row r="148" ht="12.75" customHeight="1">
      <c r="A148" s="26"/>
      <c r="B148" s="12"/>
      <c r="C148" s="240"/>
      <c r="D148" s="241"/>
      <c r="E148" s="5"/>
      <c r="F148" s="5"/>
      <c r="G148" s="5"/>
      <c r="H148" s="5"/>
      <c r="I148" s="5"/>
      <c r="J148" s="5"/>
      <c r="K148" s="8"/>
      <c r="L148" s="9"/>
      <c r="M148" s="10"/>
      <c r="N148" s="12"/>
      <c r="O148" s="242"/>
      <c r="P148" s="243"/>
      <c r="Q148" s="243"/>
      <c r="R148" s="14"/>
      <c r="S148" s="242"/>
      <c r="T148" s="15"/>
      <c r="U148" s="15"/>
      <c r="V148" s="15"/>
      <c r="W148" s="8"/>
      <c r="X148" s="8"/>
      <c r="Y148" s="56"/>
      <c r="Z148" s="56"/>
      <c r="AA148" s="15"/>
      <c r="AB148" s="15"/>
      <c r="AC148" s="15"/>
      <c r="AD148" s="15"/>
      <c r="AE148" s="57"/>
      <c r="AF148" s="57"/>
      <c r="AG148" s="15"/>
      <c r="AH148" s="25"/>
      <c r="AI148" s="26"/>
      <c r="AJ148" s="26"/>
      <c r="AK148" s="27"/>
      <c r="AL148" s="28"/>
      <c r="AM148" s="29"/>
    </row>
    <row r="149" ht="12.75" customHeight="1">
      <c r="A149" s="26"/>
      <c r="B149" s="12"/>
      <c r="C149" s="240"/>
      <c r="D149" s="241"/>
      <c r="E149" s="5"/>
      <c r="F149" s="5"/>
      <c r="G149" s="5"/>
      <c r="H149" s="5"/>
      <c r="I149" s="5"/>
      <c r="J149" s="5"/>
      <c r="K149" s="8"/>
      <c r="L149" s="9"/>
      <c r="M149" s="10"/>
      <c r="N149" s="12"/>
      <c r="O149" s="242"/>
      <c r="P149" s="243"/>
      <c r="Q149" s="243"/>
      <c r="R149" s="14"/>
      <c r="S149" s="242"/>
      <c r="T149" s="15"/>
      <c r="U149" s="15"/>
      <c r="V149" s="15"/>
      <c r="W149" s="8"/>
      <c r="X149" s="8"/>
      <c r="Y149" s="56"/>
      <c r="Z149" s="56"/>
      <c r="AA149" s="15"/>
      <c r="AB149" s="15"/>
      <c r="AC149" s="15"/>
      <c r="AD149" s="15"/>
      <c r="AE149" s="57"/>
      <c r="AF149" s="57"/>
      <c r="AG149" s="15"/>
      <c r="AH149" s="25"/>
      <c r="AI149" s="26"/>
      <c r="AJ149" s="26"/>
      <c r="AK149" s="27"/>
      <c r="AL149" s="28"/>
      <c r="AM149" s="29"/>
    </row>
    <row r="150" ht="12.75" customHeight="1">
      <c r="A150" s="26"/>
      <c r="B150" s="12"/>
      <c r="C150" s="240"/>
      <c r="D150" s="241"/>
      <c r="E150" s="5"/>
      <c r="F150" s="5"/>
      <c r="G150" s="5"/>
      <c r="H150" s="5"/>
      <c r="I150" s="5"/>
      <c r="J150" s="5"/>
      <c r="K150" s="8"/>
      <c r="L150" s="9"/>
      <c r="M150" s="10"/>
      <c r="N150" s="12"/>
      <c r="O150" s="242"/>
      <c r="P150" s="243"/>
      <c r="Q150" s="243"/>
      <c r="R150" s="14"/>
      <c r="S150" s="242"/>
      <c r="T150" s="15"/>
      <c r="U150" s="15"/>
      <c r="V150" s="15"/>
      <c r="W150" s="8"/>
      <c r="X150" s="8"/>
      <c r="Y150" s="56"/>
      <c r="Z150" s="56"/>
      <c r="AA150" s="15"/>
      <c r="AB150" s="15"/>
      <c r="AC150" s="15"/>
      <c r="AD150" s="15"/>
      <c r="AE150" s="57"/>
      <c r="AF150" s="57"/>
      <c r="AG150" s="15"/>
      <c r="AH150" s="25"/>
      <c r="AI150" s="26"/>
      <c r="AJ150" s="26"/>
      <c r="AK150" s="27"/>
      <c r="AL150" s="28"/>
      <c r="AM150" s="29"/>
    </row>
    <row r="151" ht="12.75" customHeight="1">
      <c r="A151" s="26"/>
      <c r="B151" s="12"/>
      <c r="C151" s="240"/>
      <c r="D151" s="241"/>
      <c r="E151" s="5"/>
      <c r="F151" s="5"/>
      <c r="G151" s="5"/>
      <c r="H151" s="5"/>
      <c r="I151" s="5"/>
      <c r="J151" s="5"/>
      <c r="K151" s="8"/>
      <c r="L151" s="9"/>
      <c r="M151" s="10"/>
      <c r="N151" s="12"/>
      <c r="O151" s="242"/>
      <c r="P151" s="243"/>
      <c r="Q151" s="243"/>
      <c r="R151" s="14"/>
      <c r="S151" s="242"/>
      <c r="T151" s="15"/>
      <c r="U151" s="15"/>
      <c r="V151" s="15"/>
      <c r="W151" s="8"/>
      <c r="X151" s="8"/>
      <c r="Y151" s="56"/>
      <c r="Z151" s="56"/>
      <c r="AA151" s="15"/>
      <c r="AB151" s="15"/>
      <c r="AC151" s="15"/>
      <c r="AD151" s="15"/>
      <c r="AE151" s="57"/>
      <c r="AF151" s="57"/>
      <c r="AG151" s="15"/>
      <c r="AH151" s="25"/>
      <c r="AI151" s="26"/>
      <c r="AJ151" s="26"/>
      <c r="AK151" s="27"/>
      <c r="AL151" s="28"/>
      <c r="AM151" s="29"/>
    </row>
    <row r="152" ht="12.75" customHeight="1">
      <c r="A152" s="26"/>
      <c r="B152" s="12"/>
      <c r="C152" s="240"/>
      <c r="D152" s="241"/>
      <c r="E152" s="5"/>
      <c r="F152" s="5"/>
      <c r="G152" s="5"/>
      <c r="H152" s="5"/>
      <c r="I152" s="5"/>
      <c r="J152" s="5"/>
      <c r="K152" s="8"/>
      <c r="L152" s="9"/>
      <c r="M152" s="10"/>
      <c r="N152" s="12"/>
      <c r="O152" s="242"/>
      <c r="P152" s="243"/>
      <c r="Q152" s="243"/>
      <c r="R152" s="14"/>
      <c r="S152" s="242"/>
      <c r="T152" s="15"/>
      <c r="U152" s="15"/>
      <c r="V152" s="15"/>
      <c r="W152" s="8"/>
      <c r="X152" s="8"/>
      <c r="Y152" s="56"/>
      <c r="Z152" s="56"/>
      <c r="AA152" s="15"/>
      <c r="AB152" s="15"/>
      <c r="AC152" s="15"/>
      <c r="AD152" s="15"/>
      <c r="AE152" s="57"/>
      <c r="AF152" s="57"/>
      <c r="AG152" s="15"/>
      <c r="AH152" s="25"/>
      <c r="AI152" s="26"/>
      <c r="AJ152" s="26"/>
      <c r="AK152" s="27"/>
      <c r="AL152" s="28"/>
      <c r="AM152" s="29"/>
    </row>
    <row r="153" ht="12.75" customHeight="1">
      <c r="A153" s="26"/>
      <c r="B153" s="12"/>
      <c r="C153" s="240"/>
      <c r="D153" s="241"/>
      <c r="E153" s="5"/>
      <c r="F153" s="5"/>
      <c r="G153" s="5"/>
      <c r="H153" s="5"/>
      <c r="I153" s="5"/>
      <c r="J153" s="5"/>
      <c r="K153" s="8"/>
      <c r="L153" s="9"/>
      <c r="M153" s="10"/>
      <c r="N153" s="12"/>
      <c r="O153" s="242"/>
      <c r="P153" s="243"/>
      <c r="Q153" s="243"/>
      <c r="R153" s="14"/>
      <c r="S153" s="242"/>
      <c r="T153" s="15"/>
      <c r="U153" s="15"/>
      <c r="V153" s="15"/>
      <c r="W153" s="8"/>
      <c r="X153" s="8"/>
      <c r="Y153" s="56"/>
      <c r="Z153" s="56"/>
      <c r="AA153" s="15"/>
      <c r="AB153" s="15"/>
      <c r="AC153" s="15"/>
      <c r="AD153" s="15"/>
      <c r="AE153" s="57"/>
      <c r="AF153" s="57"/>
      <c r="AG153" s="15"/>
      <c r="AH153" s="25"/>
      <c r="AI153" s="26"/>
      <c r="AJ153" s="26"/>
      <c r="AK153" s="27"/>
      <c r="AL153" s="28"/>
      <c r="AM153" s="29"/>
    </row>
    <row r="154" ht="12.75" customHeight="1">
      <c r="A154" s="26"/>
      <c r="B154" s="12"/>
      <c r="C154" s="240"/>
      <c r="D154" s="241"/>
      <c r="E154" s="5"/>
      <c r="F154" s="5"/>
      <c r="G154" s="5"/>
      <c r="H154" s="5"/>
      <c r="I154" s="5"/>
      <c r="J154" s="5"/>
      <c r="K154" s="8"/>
      <c r="L154" s="9"/>
      <c r="M154" s="10"/>
      <c r="N154" s="12"/>
      <c r="O154" s="242"/>
      <c r="P154" s="243"/>
      <c r="Q154" s="243"/>
      <c r="R154" s="14"/>
      <c r="S154" s="242"/>
      <c r="T154" s="15"/>
      <c r="U154" s="15"/>
      <c r="V154" s="15"/>
      <c r="W154" s="8"/>
      <c r="X154" s="8"/>
      <c r="Y154" s="56"/>
      <c r="Z154" s="56"/>
      <c r="AA154" s="15"/>
      <c r="AB154" s="15"/>
      <c r="AC154" s="15"/>
      <c r="AD154" s="15"/>
      <c r="AE154" s="57"/>
      <c r="AF154" s="57"/>
      <c r="AG154" s="15"/>
      <c r="AH154" s="25"/>
      <c r="AI154" s="26"/>
      <c r="AJ154" s="26"/>
      <c r="AK154" s="27"/>
      <c r="AL154" s="28"/>
      <c r="AM154" s="29"/>
    </row>
    <row r="155" ht="12.75" customHeight="1">
      <c r="A155" s="26"/>
      <c r="B155" s="12"/>
      <c r="C155" s="240"/>
      <c r="D155" s="241"/>
      <c r="E155" s="5"/>
      <c r="F155" s="5"/>
      <c r="G155" s="5"/>
      <c r="H155" s="5"/>
      <c r="I155" s="5"/>
      <c r="J155" s="5"/>
      <c r="K155" s="8"/>
      <c r="L155" s="9"/>
      <c r="M155" s="10"/>
      <c r="N155" s="12"/>
      <c r="O155" s="242"/>
      <c r="P155" s="243"/>
      <c r="Q155" s="243"/>
      <c r="R155" s="14"/>
      <c r="S155" s="242"/>
      <c r="T155" s="15"/>
      <c r="U155" s="15"/>
      <c r="V155" s="15"/>
      <c r="W155" s="8"/>
      <c r="X155" s="8"/>
      <c r="Y155" s="56"/>
      <c r="Z155" s="56"/>
      <c r="AA155" s="15"/>
      <c r="AB155" s="15"/>
      <c r="AC155" s="15"/>
      <c r="AD155" s="15"/>
      <c r="AE155" s="57"/>
      <c r="AF155" s="57"/>
      <c r="AG155" s="15"/>
      <c r="AH155" s="25"/>
      <c r="AI155" s="26"/>
      <c r="AJ155" s="26"/>
      <c r="AK155" s="27"/>
      <c r="AL155" s="28"/>
      <c r="AM155" s="29"/>
    </row>
    <row r="156" ht="12.75" customHeight="1">
      <c r="A156" s="26"/>
      <c r="B156" s="12"/>
      <c r="C156" s="240"/>
      <c r="D156" s="241"/>
      <c r="E156" s="5"/>
      <c r="F156" s="5"/>
      <c r="G156" s="5"/>
      <c r="H156" s="5"/>
      <c r="I156" s="5"/>
      <c r="J156" s="5"/>
      <c r="K156" s="8"/>
      <c r="L156" s="9"/>
      <c r="M156" s="10"/>
      <c r="N156" s="12"/>
      <c r="O156" s="242"/>
      <c r="P156" s="243"/>
      <c r="Q156" s="243"/>
      <c r="R156" s="14"/>
      <c r="S156" s="242"/>
      <c r="T156" s="15"/>
      <c r="U156" s="15"/>
      <c r="V156" s="15"/>
      <c r="W156" s="8"/>
      <c r="X156" s="8"/>
      <c r="Y156" s="56"/>
      <c r="Z156" s="56"/>
      <c r="AA156" s="15"/>
      <c r="AB156" s="15"/>
      <c r="AC156" s="15"/>
      <c r="AD156" s="15"/>
      <c r="AE156" s="57"/>
      <c r="AF156" s="57"/>
      <c r="AG156" s="15"/>
      <c r="AH156" s="25"/>
      <c r="AI156" s="26"/>
      <c r="AJ156" s="26"/>
      <c r="AK156" s="27"/>
      <c r="AL156" s="28"/>
      <c r="AM156" s="29"/>
    </row>
    <row r="157" ht="12.75" customHeight="1">
      <c r="A157" s="26"/>
      <c r="B157" s="12"/>
      <c r="C157" s="240"/>
      <c r="D157" s="241"/>
      <c r="E157" s="5"/>
      <c r="F157" s="5"/>
      <c r="G157" s="5"/>
      <c r="H157" s="5"/>
      <c r="I157" s="5"/>
      <c r="J157" s="5"/>
      <c r="K157" s="8"/>
      <c r="L157" s="9"/>
      <c r="M157" s="10"/>
      <c r="N157" s="12"/>
      <c r="O157" s="242"/>
      <c r="P157" s="243"/>
      <c r="Q157" s="243"/>
      <c r="R157" s="14"/>
      <c r="S157" s="242"/>
      <c r="T157" s="15"/>
      <c r="U157" s="15"/>
      <c r="V157" s="15"/>
      <c r="W157" s="8"/>
      <c r="X157" s="8"/>
      <c r="Y157" s="56"/>
      <c r="Z157" s="56"/>
      <c r="AA157" s="15"/>
      <c r="AB157" s="15"/>
      <c r="AC157" s="15"/>
      <c r="AD157" s="15"/>
      <c r="AE157" s="57"/>
      <c r="AF157" s="57"/>
      <c r="AG157" s="15"/>
      <c r="AH157" s="25"/>
      <c r="AI157" s="26"/>
      <c r="AJ157" s="26"/>
      <c r="AK157" s="27"/>
      <c r="AL157" s="28"/>
      <c r="AM157" s="29"/>
    </row>
    <row r="158" ht="12.75" customHeight="1">
      <c r="A158" s="26"/>
      <c r="B158" s="12"/>
      <c r="C158" s="240"/>
      <c r="D158" s="241"/>
      <c r="E158" s="5"/>
      <c r="F158" s="5"/>
      <c r="G158" s="5"/>
      <c r="H158" s="5"/>
      <c r="I158" s="5"/>
      <c r="J158" s="5"/>
      <c r="K158" s="8"/>
      <c r="L158" s="9"/>
      <c r="M158" s="10"/>
      <c r="N158" s="12"/>
      <c r="O158" s="242"/>
      <c r="P158" s="243"/>
      <c r="Q158" s="243"/>
      <c r="R158" s="14"/>
      <c r="S158" s="242"/>
      <c r="T158" s="15"/>
      <c r="U158" s="15"/>
      <c r="V158" s="15"/>
      <c r="W158" s="8"/>
      <c r="X158" s="8"/>
      <c r="Y158" s="56"/>
      <c r="Z158" s="56"/>
      <c r="AA158" s="15"/>
      <c r="AB158" s="15"/>
      <c r="AC158" s="15"/>
      <c r="AD158" s="15"/>
      <c r="AE158" s="57"/>
      <c r="AF158" s="57"/>
      <c r="AG158" s="15"/>
      <c r="AH158" s="25"/>
      <c r="AI158" s="26"/>
      <c r="AJ158" s="26"/>
      <c r="AK158" s="27"/>
      <c r="AL158" s="28"/>
      <c r="AM158" s="29"/>
    </row>
    <row r="159" ht="12.75" customHeight="1">
      <c r="A159" s="26"/>
      <c r="B159" s="12"/>
      <c r="C159" s="240"/>
      <c r="D159" s="241"/>
      <c r="E159" s="5"/>
      <c r="F159" s="5"/>
      <c r="G159" s="5"/>
      <c r="H159" s="5"/>
      <c r="I159" s="5"/>
      <c r="J159" s="5"/>
      <c r="K159" s="8"/>
      <c r="L159" s="9"/>
      <c r="M159" s="10"/>
      <c r="N159" s="12"/>
      <c r="O159" s="242"/>
      <c r="P159" s="243"/>
      <c r="Q159" s="243"/>
      <c r="R159" s="14"/>
      <c r="S159" s="242"/>
      <c r="T159" s="15"/>
      <c r="U159" s="15"/>
      <c r="V159" s="15"/>
      <c r="W159" s="8"/>
      <c r="X159" s="8"/>
      <c r="Y159" s="56"/>
      <c r="Z159" s="56"/>
      <c r="AA159" s="15"/>
      <c r="AB159" s="15"/>
      <c r="AC159" s="15"/>
      <c r="AD159" s="15"/>
      <c r="AE159" s="57"/>
      <c r="AF159" s="57"/>
      <c r="AG159" s="15"/>
      <c r="AH159" s="25"/>
      <c r="AI159" s="26"/>
      <c r="AJ159" s="26"/>
      <c r="AK159" s="27"/>
      <c r="AL159" s="28"/>
      <c r="AM159" s="29"/>
    </row>
    <row r="160" ht="12.75" customHeight="1">
      <c r="A160" s="26"/>
      <c r="B160" s="12"/>
      <c r="C160" s="240"/>
      <c r="D160" s="241"/>
      <c r="E160" s="5"/>
      <c r="F160" s="5"/>
      <c r="G160" s="5"/>
      <c r="H160" s="5"/>
      <c r="I160" s="5"/>
      <c r="J160" s="5"/>
      <c r="K160" s="8"/>
      <c r="L160" s="9"/>
      <c r="M160" s="10"/>
      <c r="N160" s="12"/>
      <c r="O160" s="242"/>
      <c r="P160" s="243"/>
      <c r="Q160" s="243"/>
      <c r="R160" s="14"/>
      <c r="S160" s="242"/>
      <c r="T160" s="15"/>
      <c r="U160" s="15"/>
      <c r="V160" s="15"/>
      <c r="W160" s="8"/>
      <c r="X160" s="8"/>
      <c r="Y160" s="56"/>
      <c r="Z160" s="56"/>
      <c r="AA160" s="15"/>
      <c r="AB160" s="15"/>
      <c r="AC160" s="15"/>
      <c r="AD160" s="15"/>
      <c r="AE160" s="57"/>
      <c r="AF160" s="57"/>
      <c r="AG160" s="15"/>
      <c r="AH160" s="25"/>
      <c r="AI160" s="26"/>
      <c r="AJ160" s="26"/>
      <c r="AK160" s="27"/>
      <c r="AL160" s="28"/>
      <c r="AM160" s="29"/>
    </row>
    <row r="161" ht="12.75" customHeight="1">
      <c r="A161" s="26"/>
      <c r="B161" s="12"/>
      <c r="C161" s="240"/>
      <c r="D161" s="241"/>
      <c r="E161" s="5"/>
      <c r="F161" s="5"/>
      <c r="G161" s="5"/>
      <c r="H161" s="5"/>
      <c r="I161" s="5"/>
      <c r="J161" s="5"/>
      <c r="K161" s="8"/>
      <c r="L161" s="9"/>
      <c r="M161" s="10"/>
      <c r="N161" s="12"/>
      <c r="O161" s="242"/>
      <c r="P161" s="243"/>
      <c r="Q161" s="243"/>
      <c r="R161" s="14"/>
      <c r="S161" s="242"/>
      <c r="T161" s="15"/>
      <c r="U161" s="15"/>
      <c r="V161" s="15"/>
      <c r="W161" s="8"/>
      <c r="X161" s="8"/>
      <c r="Y161" s="56"/>
      <c r="Z161" s="56"/>
      <c r="AA161" s="15"/>
      <c r="AB161" s="15"/>
      <c r="AC161" s="15"/>
      <c r="AD161" s="15"/>
      <c r="AE161" s="57"/>
      <c r="AF161" s="57"/>
      <c r="AG161" s="15"/>
      <c r="AH161" s="25"/>
      <c r="AI161" s="26"/>
      <c r="AJ161" s="26"/>
      <c r="AK161" s="27"/>
      <c r="AL161" s="28"/>
      <c r="AM161" s="29"/>
    </row>
    <row r="162" ht="12.75" customHeight="1">
      <c r="A162" s="26"/>
      <c r="B162" s="12"/>
      <c r="C162" s="240"/>
      <c r="D162" s="241"/>
      <c r="E162" s="5"/>
      <c r="F162" s="5"/>
      <c r="G162" s="5"/>
      <c r="H162" s="5"/>
      <c r="I162" s="5"/>
      <c r="J162" s="5"/>
      <c r="K162" s="8"/>
      <c r="L162" s="9"/>
      <c r="M162" s="10"/>
      <c r="N162" s="12"/>
      <c r="O162" s="242"/>
      <c r="P162" s="243"/>
      <c r="Q162" s="243"/>
      <c r="R162" s="14"/>
      <c r="S162" s="242"/>
      <c r="T162" s="15"/>
      <c r="U162" s="15"/>
      <c r="V162" s="15"/>
      <c r="W162" s="8"/>
      <c r="X162" s="8"/>
      <c r="Y162" s="56"/>
      <c r="Z162" s="56"/>
      <c r="AA162" s="15"/>
      <c r="AB162" s="15"/>
      <c r="AC162" s="15"/>
      <c r="AD162" s="15"/>
      <c r="AE162" s="57"/>
      <c r="AF162" s="57"/>
      <c r="AG162" s="15"/>
      <c r="AH162" s="25"/>
      <c r="AI162" s="26"/>
      <c r="AJ162" s="26"/>
      <c r="AK162" s="27"/>
      <c r="AL162" s="28"/>
      <c r="AM162" s="29"/>
    </row>
    <row r="163" ht="12.75" customHeight="1">
      <c r="A163" s="26"/>
      <c r="B163" s="12"/>
      <c r="C163" s="240"/>
      <c r="D163" s="241"/>
      <c r="E163" s="5"/>
      <c r="F163" s="5"/>
      <c r="G163" s="5"/>
      <c r="H163" s="5"/>
      <c r="I163" s="5"/>
      <c r="J163" s="5"/>
      <c r="K163" s="8"/>
      <c r="L163" s="9"/>
      <c r="M163" s="10"/>
      <c r="N163" s="12"/>
      <c r="O163" s="242"/>
      <c r="P163" s="243"/>
      <c r="Q163" s="243"/>
      <c r="R163" s="14"/>
      <c r="S163" s="242"/>
      <c r="T163" s="15"/>
      <c r="U163" s="15"/>
      <c r="V163" s="15"/>
      <c r="W163" s="8"/>
      <c r="X163" s="8"/>
      <c r="Y163" s="56"/>
      <c r="Z163" s="56"/>
      <c r="AA163" s="15"/>
      <c r="AB163" s="15"/>
      <c r="AC163" s="15"/>
      <c r="AD163" s="15"/>
      <c r="AE163" s="57"/>
      <c r="AF163" s="57"/>
      <c r="AG163" s="15"/>
      <c r="AH163" s="25"/>
      <c r="AI163" s="26"/>
      <c r="AJ163" s="26"/>
      <c r="AK163" s="27"/>
      <c r="AL163" s="28"/>
      <c r="AM163" s="29"/>
    </row>
    <row r="164" ht="12.75" customHeight="1">
      <c r="A164" s="26"/>
      <c r="B164" s="12"/>
      <c r="C164" s="240"/>
      <c r="D164" s="241"/>
      <c r="E164" s="5"/>
      <c r="F164" s="5"/>
      <c r="G164" s="5"/>
      <c r="H164" s="5"/>
      <c r="I164" s="5"/>
      <c r="J164" s="5"/>
      <c r="K164" s="8"/>
      <c r="L164" s="9"/>
      <c r="M164" s="10"/>
      <c r="N164" s="12"/>
      <c r="O164" s="242"/>
      <c r="P164" s="243"/>
      <c r="Q164" s="243"/>
      <c r="R164" s="14"/>
      <c r="S164" s="242"/>
      <c r="T164" s="15"/>
      <c r="U164" s="15"/>
      <c r="V164" s="15"/>
      <c r="W164" s="8"/>
      <c r="X164" s="8"/>
      <c r="Y164" s="56"/>
      <c r="Z164" s="56"/>
      <c r="AA164" s="15"/>
      <c r="AB164" s="15"/>
      <c r="AC164" s="15"/>
      <c r="AD164" s="15"/>
      <c r="AE164" s="57"/>
      <c r="AF164" s="57"/>
      <c r="AG164" s="15"/>
      <c r="AH164" s="25"/>
      <c r="AI164" s="26"/>
      <c r="AJ164" s="26"/>
      <c r="AK164" s="27"/>
      <c r="AL164" s="28"/>
      <c r="AM164" s="29"/>
    </row>
    <row r="165" ht="12.75" customHeight="1">
      <c r="A165" s="26"/>
      <c r="B165" s="12"/>
      <c r="C165" s="240"/>
      <c r="D165" s="241"/>
      <c r="E165" s="5"/>
      <c r="F165" s="5"/>
      <c r="G165" s="5"/>
      <c r="H165" s="5"/>
      <c r="I165" s="5"/>
      <c r="J165" s="5"/>
      <c r="K165" s="8"/>
      <c r="L165" s="9"/>
      <c r="M165" s="10"/>
      <c r="N165" s="12"/>
      <c r="O165" s="242"/>
      <c r="P165" s="243"/>
      <c r="Q165" s="243"/>
      <c r="R165" s="14"/>
      <c r="S165" s="242"/>
      <c r="T165" s="15"/>
      <c r="U165" s="15"/>
      <c r="V165" s="15"/>
      <c r="W165" s="8"/>
      <c r="X165" s="8"/>
      <c r="Y165" s="56"/>
      <c r="Z165" s="56"/>
      <c r="AA165" s="15"/>
      <c r="AB165" s="15"/>
      <c r="AC165" s="15"/>
      <c r="AD165" s="15"/>
      <c r="AE165" s="57"/>
      <c r="AF165" s="57"/>
      <c r="AG165" s="15"/>
      <c r="AH165" s="25"/>
      <c r="AI165" s="26"/>
      <c r="AJ165" s="26"/>
      <c r="AK165" s="27"/>
      <c r="AL165" s="28"/>
      <c r="AM165" s="29"/>
    </row>
    <row r="166" ht="12.75" customHeight="1">
      <c r="A166" s="26"/>
      <c r="B166" s="12"/>
      <c r="C166" s="240"/>
      <c r="D166" s="241"/>
      <c r="E166" s="5"/>
      <c r="F166" s="5"/>
      <c r="G166" s="5"/>
      <c r="H166" s="5"/>
      <c r="I166" s="5"/>
      <c r="J166" s="5"/>
      <c r="K166" s="8"/>
      <c r="L166" s="9"/>
      <c r="M166" s="10"/>
      <c r="N166" s="12"/>
      <c r="O166" s="242"/>
      <c r="P166" s="243"/>
      <c r="Q166" s="243"/>
      <c r="R166" s="14"/>
      <c r="S166" s="242"/>
      <c r="T166" s="15"/>
      <c r="U166" s="15"/>
      <c r="V166" s="15"/>
      <c r="W166" s="8"/>
      <c r="X166" s="8"/>
      <c r="Y166" s="56"/>
      <c r="Z166" s="56"/>
      <c r="AA166" s="15"/>
      <c r="AB166" s="15"/>
      <c r="AC166" s="15"/>
      <c r="AD166" s="15"/>
      <c r="AE166" s="57"/>
      <c r="AF166" s="57"/>
      <c r="AG166" s="15"/>
      <c r="AH166" s="25"/>
      <c r="AI166" s="26"/>
      <c r="AJ166" s="26"/>
      <c r="AK166" s="27"/>
      <c r="AL166" s="28"/>
      <c r="AM166" s="29"/>
    </row>
    <row r="167" ht="12.75" customHeight="1">
      <c r="A167" s="26"/>
      <c r="B167" s="12"/>
      <c r="C167" s="240"/>
      <c r="D167" s="241"/>
      <c r="E167" s="5"/>
      <c r="F167" s="5"/>
      <c r="G167" s="5"/>
      <c r="H167" s="5"/>
      <c r="I167" s="5"/>
      <c r="J167" s="5"/>
      <c r="K167" s="8"/>
      <c r="L167" s="9"/>
      <c r="M167" s="10"/>
      <c r="N167" s="12"/>
      <c r="O167" s="242"/>
      <c r="P167" s="243"/>
      <c r="Q167" s="243"/>
      <c r="R167" s="14"/>
      <c r="S167" s="242"/>
      <c r="T167" s="15"/>
      <c r="U167" s="15"/>
      <c r="V167" s="15"/>
      <c r="W167" s="8"/>
      <c r="X167" s="8"/>
      <c r="Y167" s="56"/>
      <c r="Z167" s="56"/>
      <c r="AA167" s="15"/>
      <c r="AB167" s="15"/>
      <c r="AC167" s="15"/>
      <c r="AD167" s="15"/>
      <c r="AE167" s="57"/>
      <c r="AF167" s="57"/>
      <c r="AG167" s="15"/>
      <c r="AH167" s="25"/>
      <c r="AI167" s="26"/>
      <c r="AJ167" s="26"/>
      <c r="AK167" s="27"/>
      <c r="AL167" s="28"/>
      <c r="AM167" s="29"/>
    </row>
    <row r="168" ht="12.75" customHeight="1">
      <c r="A168" s="26"/>
      <c r="B168" s="12"/>
      <c r="C168" s="240"/>
      <c r="D168" s="241"/>
      <c r="E168" s="5"/>
      <c r="F168" s="5"/>
      <c r="G168" s="5"/>
      <c r="H168" s="5"/>
      <c r="I168" s="5"/>
      <c r="J168" s="5"/>
      <c r="K168" s="8"/>
      <c r="L168" s="9"/>
      <c r="M168" s="10"/>
      <c r="N168" s="12"/>
      <c r="O168" s="242"/>
      <c r="P168" s="243"/>
      <c r="Q168" s="243"/>
      <c r="R168" s="14"/>
      <c r="S168" s="242"/>
      <c r="T168" s="15"/>
      <c r="U168" s="15"/>
      <c r="V168" s="15"/>
      <c r="W168" s="8"/>
      <c r="X168" s="8"/>
      <c r="Y168" s="56"/>
      <c r="Z168" s="56"/>
      <c r="AA168" s="15"/>
      <c r="AB168" s="15"/>
      <c r="AC168" s="15"/>
      <c r="AD168" s="15"/>
      <c r="AE168" s="57"/>
      <c r="AF168" s="57"/>
      <c r="AG168" s="15"/>
      <c r="AH168" s="25"/>
      <c r="AI168" s="26"/>
      <c r="AJ168" s="26"/>
      <c r="AK168" s="27"/>
      <c r="AL168" s="28"/>
      <c r="AM168" s="29"/>
    </row>
    <row r="169" ht="12.75" customHeight="1">
      <c r="A169" s="26"/>
      <c r="B169" s="12"/>
      <c r="C169" s="240"/>
      <c r="D169" s="241"/>
      <c r="E169" s="5"/>
      <c r="F169" s="5"/>
      <c r="G169" s="5"/>
      <c r="H169" s="5"/>
      <c r="I169" s="5"/>
      <c r="J169" s="5"/>
      <c r="K169" s="8"/>
      <c r="L169" s="9"/>
      <c r="M169" s="10"/>
      <c r="N169" s="12"/>
      <c r="O169" s="242"/>
      <c r="P169" s="243"/>
      <c r="Q169" s="243"/>
      <c r="R169" s="14"/>
      <c r="S169" s="242"/>
      <c r="T169" s="15"/>
      <c r="U169" s="15"/>
      <c r="V169" s="15"/>
      <c r="W169" s="8"/>
      <c r="X169" s="8"/>
      <c r="Y169" s="56"/>
      <c r="Z169" s="56"/>
      <c r="AA169" s="15"/>
      <c r="AB169" s="15"/>
      <c r="AC169" s="15"/>
      <c r="AD169" s="15"/>
      <c r="AE169" s="57"/>
      <c r="AF169" s="57"/>
      <c r="AG169" s="15"/>
      <c r="AH169" s="25"/>
      <c r="AI169" s="26"/>
      <c r="AJ169" s="26"/>
      <c r="AK169" s="27"/>
      <c r="AL169" s="28"/>
      <c r="AM169" s="29"/>
    </row>
    <row r="170" ht="12.75" customHeight="1">
      <c r="A170" s="26"/>
      <c r="B170" s="12"/>
      <c r="C170" s="240"/>
      <c r="D170" s="241"/>
      <c r="E170" s="5"/>
      <c r="F170" s="5"/>
      <c r="G170" s="5"/>
      <c r="H170" s="5"/>
      <c r="I170" s="5"/>
      <c r="J170" s="5"/>
      <c r="K170" s="8"/>
      <c r="L170" s="9"/>
      <c r="M170" s="10"/>
      <c r="N170" s="12"/>
      <c r="O170" s="242"/>
      <c r="P170" s="243"/>
      <c r="Q170" s="243"/>
      <c r="R170" s="14"/>
      <c r="S170" s="242"/>
      <c r="T170" s="15"/>
      <c r="U170" s="15"/>
      <c r="V170" s="15"/>
      <c r="W170" s="8"/>
      <c r="X170" s="8"/>
      <c r="Y170" s="56"/>
      <c r="Z170" s="56"/>
      <c r="AA170" s="15"/>
      <c r="AB170" s="15"/>
      <c r="AC170" s="15"/>
      <c r="AD170" s="15"/>
      <c r="AE170" s="57"/>
      <c r="AF170" s="57"/>
      <c r="AG170" s="15"/>
      <c r="AH170" s="25"/>
      <c r="AI170" s="26"/>
      <c r="AJ170" s="26"/>
      <c r="AK170" s="27"/>
      <c r="AL170" s="28"/>
      <c r="AM170" s="29"/>
    </row>
    <row r="171" ht="12.75" customHeight="1">
      <c r="A171" s="26"/>
      <c r="B171" s="12"/>
      <c r="C171" s="240"/>
      <c r="D171" s="241"/>
      <c r="E171" s="5"/>
      <c r="F171" s="5"/>
      <c r="G171" s="5"/>
      <c r="H171" s="5"/>
      <c r="I171" s="5"/>
      <c r="J171" s="5"/>
      <c r="K171" s="8"/>
      <c r="L171" s="9"/>
      <c r="M171" s="10"/>
      <c r="N171" s="12"/>
      <c r="O171" s="242"/>
      <c r="P171" s="243"/>
      <c r="Q171" s="243"/>
      <c r="R171" s="14"/>
      <c r="S171" s="242"/>
      <c r="T171" s="15"/>
      <c r="U171" s="15"/>
      <c r="V171" s="15"/>
      <c r="W171" s="8"/>
      <c r="X171" s="8"/>
      <c r="Y171" s="56"/>
      <c r="Z171" s="56"/>
      <c r="AA171" s="15"/>
      <c r="AB171" s="15"/>
      <c r="AC171" s="15"/>
      <c r="AD171" s="15"/>
      <c r="AE171" s="57"/>
      <c r="AF171" s="57"/>
      <c r="AG171" s="15"/>
      <c r="AH171" s="25"/>
      <c r="AI171" s="26"/>
      <c r="AJ171" s="26"/>
      <c r="AK171" s="27"/>
      <c r="AL171" s="28"/>
      <c r="AM171" s="29"/>
    </row>
    <row r="172" ht="12.75" customHeight="1">
      <c r="A172" s="26"/>
      <c r="B172" s="12"/>
      <c r="C172" s="240"/>
      <c r="D172" s="241"/>
      <c r="E172" s="5"/>
      <c r="F172" s="5"/>
      <c r="G172" s="5"/>
      <c r="H172" s="5"/>
      <c r="I172" s="5"/>
      <c r="J172" s="5"/>
      <c r="K172" s="8"/>
      <c r="L172" s="9"/>
      <c r="M172" s="10"/>
      <c r="N172" s="12"/>
      <c r="O172" s="242"/>
      <c r="P172" s="243"/>
      <c r="Q172" s="243"/>
      <c r="R172" s="14"/>
      <c r="S172" s="242"/>
      <c r="T172" s="15"/>
      <c r="U172" s="15"/>
      <c r="V172" s="15"/>
      <c r="W172" s="8"/>
      <c r="X172" s="8"/>
      <c r="Y172" s="56"/>
      <c r="Z172" s="56"/>
      <c r="AA172" s="15"/>
      <c r="AB172" s="15"/>
      <c r="AC172" s="15"/>
      <c r="AD172" s="15"/>
      <c r="AE172" s="57"/>
      <c r="AF172" s="57"/>
      <c r="AG172" s="15"/>
      <c r="AH172" s="25"/>
      <c r="AI172" s="26"/>
      <c r="AJ172" s="26"/>
      <c r="AK172" s="27"/>
      <c r="AL172" s="28"/>
      <c r="AM172" s="29"/>
    </row>
    <row r="173" ht="12.75" customHeight="1">
      <c r="A173" s="26"/>
      <c r="B173" s="12"/>
      <c r="C173" s="240"/>
      <c r="D173" s="241"/>
      <c r="E173" s="5"/>
      <c r="F173" s="5"/>
      <c r="G173" s="5"/>
      <c r="H173" s="5"/>
      <c r="I173" s="5"/>
      <c r="J173" s="5"/>
      <c r="K173" s="8"/>
      <c r="L173" s="9"/>
      <c r="M173" s="10"/>
      <c r="N173" s="12"/>
      <c r="O173" s="242"/>
      <c r="P173" s="243"/>
      <c r="Q173" s="243"/>
      <c r="R173" s="14"/>
      <c r="S173" s="242"/>
      <c r="T173" s="15"/>
      <c r="U173" s="15"/>
      <c r="V173" s="15"/>
      <c r="W173" s="8"/>
      <c r="X173" s="8"/>
      <c r="Y173" s="56"/>
      <c r="Z173" s="56"/>
      <c r="AA173" s="15"/>
      <c r="AB173" s="15"/>
      <c r="AC173" s="15"/>
      <c r="AD173" s="15"/>
      <c r="AE173" s="57"/>
      <c r="AF173" s="57"/>
      <c r="AG173" s="15"/>
      <c r="AH173" s="25"/>
      <c r="AI173" s="26"/>
      <c r="AJ173" s="26"/>
      <c r="AK173" s="27"/>
      <c r="AL173" s="28"/>
      <c r="AM173" s="29"/>
    </row>
    <row r="174" ht="12.75" customHeight="1">
      <c r="A174" s="26"/>
      <c r="B174" s="12"/>
      <c r="C174" s="240"/>
      <c r="D174" s="241"/>
      <c r="E174" s="5"/>
      <c r="F174" s="5"/>
      <c r="G174" s="5"/>
      <c r="H174" s="5"/>
      <c r="I174" s="5"/>
      <c r="J174" s="5"/>
      <c r="K174" s="8"/>
      <c r="L174" s="9"/>
      <c r="M174" s="10"/>
      <c r="N174" s="12"/>
      <c r="O174" s="242"/>
      <c r="P174" s="243"/>
      <c r="Q174" s="243"/>
      <c r="R174" s="14"/>
      <c r="S174" s="242"/>
      <c r="T174" s="15"/>
      <c r="U174" s="15"/>
      <c r="V174" s="15"/>
      <c r="W174" s="8"/>
      <c r="X174" s="8"/>
      <c r="Y174" s="56"/>
      <c r="Z174" s="56"/>
      <c r="AA174" s="15"/>
      <c r="AB174" s="15"/>
      <c r="AC174" s="15"/>
      <c r="AD174" s="15"/>
      <c r="AE174" s="57"/>
      <c r="AF174" s="57"/>
      <c r="AG174" s="15"/>
      <c r="AH174" s="25"/>
      <c r="AI174" s="26"/>
      <c r="AJ174" s="26"/>
      <c r="AK174" s="27"/>
      <c r="AL174" s="28"/>
      <c r="AM174" s="29"/>
    </row>
    <row r="175" ht="12.75" customHeight="1">
      <c r="A175" s="26"/>
      <c r="B175" s="12"/>
      <c r="C175" s="240"/>
      <c r="D175" s="241"/>
      <c r="E175" s="5"/>
      <c r="F175" s="5"/>
      <c r="G175" s="5"/>
      <c r="H175" s="5"/>
      <c r="I175" s="5"/>
      <c r="J175" s="5"/>
      <c r="K175" s="8"/>
      <c r="L175" s="9"/>
      <c r="M175" s="10"/>
      <c r="N175" s="12"/>
      <c r="O175" s="242"/>
      <c r="P175" s="243"/>
      <c r="Q175" s="243"/>
      <c r="R175" s="14"/>
      <c r="S175" s="242"/>
      <c r="T175" s="15"/>
      <c r="U175" s="15"/>
      <c r="V175" s="15"/>
      <c r="W175" s="8"/>
      <c r="X175" s="8"/>
      <c r="Y175" s="56"/>
      <c r="Z175" s="56"/>
      <c r="AA175" s="15"/>
      <c r="AB175" s="15"/>
      <c r="AC175" s="15"/>
      <c r="AD175" s="15"/>
      <c r="AE175" s="57"/>
      <c r="AF175" s="57"/>
      <c r="AG175" s="15"/>
      <c r="AH175" s="25"/>
      <c r="AI175" s="26"/>
      <c r="AJ175" s="26"/>
      <c r="AK175" s="27"/>
      <c r="AL175" s="28"/>
      <c r="AM175" s="29"/>
    </row>
    <row r="176" ht="12.75" customHeight="1">
      <c r="A176" s="26"/>
      <c r="B176" s="12"/>
      <c r="C176" s="240"/>
      <c r="D176" s="241"/>
      <c r="E176" s="5"/>
      <c r="F176" s="5"/>
      <c r="G176" s="5"/>
      <c r="H176" s="5"/>
      <c r="I176" s="5"/>
      <c r="J176" s="5"/>
      <c r="K176" s="8"/>
      <c r="L176" s="9"/>
      <c r="M176" s="10"/>
      <c r="N176" s="12"/>
      <c r="O176" s="242"/>
      <c r="P176" s="243"/>
      <c r="Q176" s="243"/>
      <c r="R176" s="14"/>
      <c r="S176" s="242"/>
      <c r="T176" s="15"/>
      <c r="U176" s="15"/>
      <c r="V176" s="15"/>
      <c r="W176" s="8"/>
      <c r="X176" s="8"/>
      <c r="Y176" s="56"/>
      <c r="Z176" s="56"/>
      <c r="AA176" s="15"/>
      <c r="AB176" s="15"/>
      <c r="AC176" s="15"/>
      <c r="AD176" s="15"/>
      <c r="AE176" s="57"/>
      <c r="AF176" s="57"/>
      <c r="AG176" s="15"/>
      <c r="AH176" s="25"/>
      <c r="AI176" s="26"/>
      <c r="AJ176" s="26"/>
      <c r="AK176" s="27"/>
      <c r="AL176" s="28"/>
      <c r="AM176" s="29"/>
    </row>
    <row r="177" ht="12.75" customHeight="1">
      <c r="A177" s="26"/>
      <c r="B177" s="12"/>
      <c r="C177" s="240"/>
      <c r="D177" s="241"/>
      <c r="E177" s="5"/>
      <c r="F177" s="5"/>
      <c r="G177" s="5"/>
      <c r="H177" s="5"/>
      <c r="I177" s="5"/>
      <c r="J177" s="5"/>
      <c r="K177" s="8"/>
      <c r="L177" s="9"/>
      <c r="M177" s="10"/>
      <c r="N177" s="12"/>
      <c r="O177" s="242"/>
      <c r="P177" s="243"/>
      <c r="Q177" s="243"/>
      <c r="R177" s="14"/>
      <c r="S177" s="242"/>
      <c r="T177" s="15"/>
      <c r="U177" s="15"/>
      <c r="V177" s="15"/>
      <c r="W177" s="8"/>
      <c r="X177" s="8"/>
      <c r="Y177" s="56"/>
      <c r="Z177" s="56"/>
      <c r="AA177" s="15"/>
      <c r="AB177" s="15"/>
      <c r="AC177" s="15"/>
      <c r="AD177" s="15"/>
      <c r="AE177" s="57"/>
      <c r="AF177" s="57"/>
      <c r="AG177" s="15"/>
      <c r="AH177" s="25"/>
      <c r="AI177" s="26"/>
      <c r="AJ177" s="26"/>
      <c r="AK177" s="27"/>
      <c r="AL177" s="28"/>
      <c r="AM177" s="29"/>
    </row>
    <row r="178" ht="12.75" customHeight="1">
      <c r="A178" s="26"/>
      <c r="B178" s="12"/>
      <c r="C178" s="240"/>
      <c r="D178" s="241"/>
      <c r="E178" s="5"/>
      <c r="F178" s="5"/>
      <c r="G178" s="5"/>
      <c r="H178" s="5"/>
      <c r="I178" s="5"/>
      <c r="J178" s="5"/>
      <c r="K178" s="8"/>
      <c r="L178" s="9"/>
      <c r="M178" s="10"/>
      <c r="N178" s="12"/>
      <c r="O178" s="242"/>
      <c r="P178" s="243"/>
      <c r="Q178" s="243"/>
      <c r="R178" s="14"/>
      <c r="S178" s="242"/>
      <c r="T178" s="15"/>
      <c r="U178" s="15"/>
      <c r="V178" s="15"/>
      <c r="W178" s="8"/>
      <c r="X178" s="8"/>
      <c r="Y178" s="56"/>
      <c r="Z178" s="56"/>
      <c r="AA178" s="15"/>
      <c r="AB178" s="15"/>
      <c r="AC178" s="15"/>
      <c r="AD178" s="15"/>
      <c r="AE178" s="57"/>
      <c r="AF178" s="57"/>
      <c r="AG178" s="15"/>
      <c r="AH178" s="25"/>
      <c r="AI178" s="26"/>
      <c r="AJ178" s="26"/>
      <c r="AK178" s="27"/>
      <c r="AL178" s="28"/>
      <c r="AM178" s="29"/>
    </row>
    <row r="179" ht="12.75" customHeight="1">
      <c r="A179" s="26"/>
      <c r="B179" s="12"/>
      <c r="C179" s="240"/>
      <c r="D179" s="241"/>
      <c r="E179" s="5"/>
      <c r="F179" s="5"/>
      <c r="G179" s="5"/>
      <c r="H179" s="5"/>
      <c r="I179" s="5"/>
      <c r="J179" s="5"/>
      <c r="K179" s="8"/>
      <c r="L179" s="9"/>
      <c r="M179" s="10"/>
      <c r="N179" s="12"/>
      <c r="O179" s="242"/>
      <c r="P179" s="243"/>
      <c r="Q179" s="243"/>
      <c r="R179" s="14"/>
      <c r="S179" s="242"/>
      <c r="T179" s="15"/>
      <c r="U179" s="15"/>
      <c r="V179" s="15"/>
      <c r="W179" s="8"/>
      <c r="X179" s="8"/>
      <c r="Y179" s="56"/>
      <c r="Z179" s="56"/>
      <c r="AA179" s="15"/>
      <c r="AB179" s="15"/>
      <c r="AC179" s="15"/>
      <c r="AD179" s="15"/>
      <c r="AE179" s="57"/>
      <c r="AF179" s="57"/>
      <c r="AG179" s="15"/>
      <c r="AH179" s="25"/>
      <c r="AI179" s="26"/>
      <c r="AJ179" s="26"/>
      <c r="AK179" s="27"/>
      <c r="AL179" s="28"/>
      <c r="AM179" s="29"/>
    </row>
    <row r="180" ht="12.75" customHeight="1">
      <c r="A180" s="26"/>
      <c r="B180" s="12"/>
      <c r="C180" s="240"/>
      <c r="D180" s="241"/>
      <c r="E180" s="5"/>
      <c r="F180" s="5"/>
      <c r="G180" s="5"/>
      <c r="H180" s="5"/>
      <c r="I180" s="5"/>
      <c r="J180" s="5"/>
      <c r="K180" s="8"/>
      <c r="L180" s="9"/>
      <c r="M180" s="10"/>
      <c r="N180" s="12"/>
      <c r="O180" s="242"/>
      <c r="P180" s="243"/>
      <c r="Q180" s="243"/>
      <c r="R180" s="14"/>
      <c r="S180" s="242"/>
      <c r="T180" s="15"/>
      <c r="U180" s="15"/>
      <c r="V180" s="15"/>
      <c r="W180" s="8"/>
      <c r="X180" s="8"/>
      <c r="Y180" s="56"/>
      <c r="Z180" s="56"/>
      <c r="AA180" s="15"/>
      <c r="AB180" s="15"/>
      <c r="AC180" s="15"/>
      <c r="AD180" s="15"/>
      <c r="AE180" s="57"/>
      <c r="AF180" s="57"/>
      <c r="AG180" s="15"/>
      <c r="AH180" s="25"/>
      <c r="AI180" s="26"/>
      <c r="AJ180" s="26"/>
      <c r="AK180" s="27"/>
      <c r="AL180" s="28"/>
      <c r="AM180" s="29"/>
    </row>
    <row r="181" ht="12.75" customHeight="1">
      <c r="A181" s="26"/>
      <c r="B181" s="12"/>
      <c r="C181" s="240"/>
      <c r="D181" s="241"/>
      <c r="E181" s="5"/>
      <c r="F181" s="5"/>
      <c r="G181" s="5"/>
      <c r="H181" s="5"/>
      <c r="I181" s="5"/>
      <c r="J181" s="5"/>
      <c r="K181" s="8"/>
      <c r="L181" s="9"/>
      <c r="M181" s="10"/>
      <c r="N181" s="12"/>
      <c r="O181" s="242"/>
      <c r="P181" s="243"/>
      <c r="Q181" s="243"/>
      <c r="R181" s="14"/>
      <c r="S181" s="242"/>
      <c r="T181" s="15"/>
      <c r="U181" s="15"/>
      <c r="V181" s="15"/>
      <c r="W181" s="8"/>
      <c r="X181" s="8"/>
      <c r="Y181" s="56"/>
      <c r="Z181" s="56"/>
      <c r="AA181" s="15"/>
      <c r="AB181" s="15"/>
      <c r="AC181" s="15"/>
      <c r="AD181" s="15"/>
      <c r="AE181" s="57"/>
      <c r="AF181" s="57"/>
      <c r="AG181" s="15"/>
      <c r="AH181" s="25"/>
      <c r="AI181" s="26"/>
      <c r="AJ181" s="26"/>
      <c r="AK181" s="27"/>
      <c r="AL181" s="28"/>
      <c r="AM181" s="29"/>
    </row>
    <row r="182" ht="12.75" customHeight="1">
      <c r="A182" s="26"/>
      <c r="B182" s="12"/>
      <c r="C182" s="240"/>
      <c r="D182" s="241"/>
      <c r="E182" s="5"/>
      <c r="F182" s="5"/>
      <c r="G182" s="5"/>
      <c r="H182" s="5"/>
      <c r="I182" s="5"/>
      <c r="J182" s="5"/>
      <c r="K182" s="8"/>
      <c r="L182" s="9"/>
      <c r="M182" s="10"/>
      <c r="N182" s="12"/>
      <c r="O182" s="242"/>
      <c r="P182" s="243"/>
      <c r="Q182" s="243"/>
      <c r="R182" s="14"/>
      <c r="S182" s="242"/>
      <c r="T182" s="15"/>
      <c r="U182" s="15"/>
      <c r="V182" s="15"/>
      <c r="W182" s="8"/>
      <c r="X182" s="8"/>
      <c r="Y182" s="56"/>
      <c r="Z182" s="56"/>
      <c r="AA182" s="15"/>
      <c r="AB182" s="15"/>
      <c r="AC182" s="15"/>
      <c r="AD182" s="15"/>
      <c r="AE182" s="57"/>
      <c r="AF182" s="57"/>
      <c r="AG182" s="15"/>
      <c r="AH182" s="25"/>
      <c r="AI182" s="26"/>
      <c r="AJ182" s="26"/>
      <c r="AK182" s="27"/>
      <c r="AL182" s="28"/>
      <c r="AM182" s="29"/>
    </row>
    <row r="183" ht="12.75" customHeight="1">
      <c r="A183" s="26"/>
      <c r="B183" s="12"/>
      <c r="C183" s="240"/>
      <c r="D183" s="241"/>
      <c r="E183" s="5"/>
      <c r="F183" s="5"/>
      <c r="G183" s="5"/>
      <c r="H183" s="5"/>
      <c r="I183" s="5"/>
      <c r="J183" s="5"/>
      <c r="K183" s="8"/>
      <c r="L183" s="9"/>
      <c r="M183" s="10"/>
      <c r="N183" s="12"/>
      <c r="O183" s="242"/>
      <c r="P183" s="243"/>
      <c r="Q183" s="243"/>
      <c r="R183" s="14"/>
      <c r="S183" s="242"/>
      <c r="T183" s="15"/>
      <c r="U183" s="15"/>
      <c r="V183" s="15"/>
      <c r="W183" s="8"/>
      <c r="X183" s="8"/>
      <c r="Y183" s="56"/>
      <c r="Z183" s="56"/>
      <c r="AA183" s="15"/>
      <c r="AB183" s="15"/>
      <c r="AC183" s="15"/>
      <c r="AD183" s="15"/>
      <c r="AE183" s="57"/>
      <c r="AF183" s="57"/>
      <c r="AG183" s="15"/>
      <c r="AH183" s="25"/>
      <c r="AI183" s="26"/>
      <c r="AJ183" s="26"/>
      <c r="AK183" s="27"/>
      <c r="AL183" s="28"/>
      <c r="AM183" s="29"/>
    </row>
    <row r="184" ht="12.75" customHeight="1">
      <c r="A184" s="26"/>
      <c r="B184" s="12"/>
      <c r="C184" s="240"/>
      <c r="D184" s="241"/>
      <c r="E184" s="5"/>
      <c r="F184" s="5"/>
      <c r="G184" s="5"/>
      <c r="H184" s="5"/>
      <c r="I184" s="5"/>
      <c r="J184" s="5"/>
      <c r="K184" s="8"/>
      <c r="L184" s="9"/>
      <c r="M184" s="10"/>
      <c r="N184" s="12"/>
      <c r="O184" s="242"/>
      <c r="P184" s="243"/>
      <c r="Q184" s="243"/>
      <c r="R184" s="14"/>
      <c r="S184" s="242"/>
      <c r="T184" s="15"/>
      <c r="U184" s="15"/>
      <c r="V184" s="15"/>
      <c r="W184" s="8"/>
      <c r="X184" s="8"/>
      <c r="Y184" s="56"/>
      <c r="Z184" s="56"/>
      <c r="AA184" s="15"/>
      <c r="AB184" s="15"/>
      <c r="AC184" s="15"/>
      <c r="AD184" s="15"/>
      <c r="AE184" s="57"/>
      <c r="AF184" s="57"/>
      <c r="AG184" s="15"/>
      <c r="AH184" s="25"/>
      <c r="AI184" s="26"/>
      <c r="AJ184" s="26"/>
      <c r="AK184" s="27"/>
      <c r="AL184" s="28"/>
      <c r="AM184" s="29"/>
    </row>
    <row r="185" ht="12.75" customHeight="1">
      <c r="A185" s="26"/>
      <c r="B185" s="12"/>
      <c r="C185" s="240"/>
      <c r="D185" s="241"/>
      <c r="E185" s="5"/>
      <c r="F185" s="5"/>
      <c r="G185" s="5"/>
      <c r="H185" s="5"/>
      <c r="I185" s="5"/>
      <c r="J185" s="5"/>
      <c r="K185" s="8"/>
      <c r="L185" s="9"/>
      <c r="M185" s="10"/>
      <c r="N185" s="12"/>
      <c r="O185" s="242"/>
      <c r="P185" s="243"/>
      <c r="Q185" s="243"/>
      <c r="R185" s="14"/>
      <c r="S185" s="242"/>
      <c r="T185" s="15"/>
      <c r="U185" s="15"/>
      <c r="V185" s="15"/>
      <c r="W185" s="8"/>
      <c r="X185" s="8"/>
      <c r="Y185" s="56"/>
      <c r="Z185" s="56"/>
      <c r="AA185" s="15"/>
      <c r="AB185" s="15"/>
      <c r="AC185" s="15"/>
      <c r="AD185" s="15"/>
      <c r="AE185" s="57"/>
      <c r="AF185" s="57"/>
      <c r="AG185" s="15"/>
      <c r="AH185" s="25"/>
      <c r="AI185" s="26"/>
      <c r="AJ185" s="26"/>
      <c r="AK185" s="27"/>
      <c r="AL185" s="28"/>
      <c r="AM185" s="29"/>
    </row>
    <row r="186" ht="12.75" customHeight="1">
      <c r="A186" s="26"/>
      <c r="B186" s="12"/>
      <c r="C186" s="240"/>
      <c r="D186" s="241"/>
      <c r="E186" s="5"/>
      <c r="F186" s="5"/>
      <c r="G186" s="5"/>
      <c r="H186" s="5"/>
      <c r="I186" s="5"/>
      <c r="J186" s="5"/>
      <c r="K186" s="8"/>
      <c r="L186" s="9"/>
      <c r="M186" s="10"/>
      <c r="N186" s="12"/>
      <c r="O186" s="242"/>
      <c r="P186" s="243"/>
      <c r="Q186" s="243"/>
      <c r="R186" s="14"/>
      <c r="S186" s="242"/>
      <c r="T186" s="15"/>
      <c r="U186" s="15"/>
      <c r="V186" s="15"/>
      <c r="W186" s="8"/>
      <c r="X186" s="8"/>
      <c r="Y186" s="56"/>
      <c r="Z186" s="56"/>
      <c r="AA186" s="15"/>
      <c r="AB186" s="15"/>
      <c r="AC186" s="15"/>
      <c r="AD186" s="15"/>
      <c r="AE186" s="57"/>
      <c r="AF186" s="57"/>
      <c r="AG186" s="15"/>
      <c r="AH186" s="25"/>
      <c r="AI186" s="26"/>
      <c r="AJ186" s="26"/>
      <c r="AK186" s="27"/>
      <c r="AL186" s="28"/>
      <c r="AM186" s="29"/>
    </row>
    <row r="187" ht="12.75" customHeight="1">
      <c r="A187" s="26"/>
      <c r="B187" s="12"/>
      <c r="C187" s="240"/>
      <c r="D187" s="241"/>
      <c r="E187" s="5"/>
      <c r="F187" s="5"/>
      <c r="G187" s="5"/>
      <c r="H187" s="5"/>
      <c r="I187" s="5"/>
      <c r="J187" s="5"/>
      <c r="K187" s="8"/>
      <c r="L187" s="9"/>
      <c r="M187" s="10"/>
      <c r="N187" s="12"/>
      <c r="O187" s="242"/>
      <c r="P187" s="243"/>
      <c r="Q187" s="243"/>
      <c r="R187" s="14"/>
      <c r="S187" s="242"/>
      <c r="T187" s="15"/>
      <c r="U187" s="15"/>
      <c r="V187" s="15"/>
      <c r="W187" s="8"/>
      <c r="X187" s="8"/>
      <c r="Y187" s="56"/>
      <c r="Z187" s="56"/>
      <c r="AA187" s="15"/>
      <c r="AB187" s="15"/>
      <c r="AC187" s="15"/>
      <c r="AD187" s="15"/>
      <c r="AE187" s="57"/>
      <c r="AF187" s="57"/>
      <c r="AG187" s="15"/>
      <c r="AH187" s="25"/>
      <c r="AI187" s="26"/>
      <c r="AJ187" s="26"/>
      <c r="AK187" s="27"/>
      <c r="AL187" s="28"/>
      <c r="AM187" s="29"/>
    </row>
    <row r="188" ht="12.75" customHeight="1">
      <c r="A188" s="26"/>
      <c r="B188" s="12"/>
      <c r="C188" s="240"/>
      <c r="D188" s="241"/>
      <c r="E188" s="5"/>
      <c r="F188" s="5"/>
      <c r="G188" s="5"/>
      <c r="H188" s="5"/>
      <c r="I188" s="5"/>
      <c r="J188" s="5"/>
      <c r="K188" s="8"/>
      <c r="L188" s="9"/>
      <c r="M188" s="10"/>
      <c r="N188" s="12"/>
      <c r="O188" s="242"/>
      <c r="P188" s="243"/>
      <c r="Q188" s="243"/>
      <c r="R188" s="14"/>
      <c r="S188" s="242"/>
      <c r="T188" s="15"/>
      <c r="U188" s="15"/>
      <c r="V188" s="15"/>
      <c r="W188" s="8"/>
      <c r="X188" s="8"/>
      <c r="Y188" s="56"/>
      <c r="Z188" s="56"/>
      <c r="AA188" s="15"/>
      <c r="AB188" s="15"/>
      <c r="AC188" s="15"/>
      <c r="AD188" s="15"/>
      <c r="AE188" s="57"/>
      <c r="AF188" s="57"/>
      <c r="AG188" s="15"/>
      <c r="AH188" s="25"/>
      <c r="AI188" s="26"/>
      <c r="AJ188" s="26"/>
      <c r="AK188" s="27"/>
      <c r="AL188" s="28"/>
      <c r="AM188" s="29"/>
    </row>
    <row r="189" ht="12.75" customHeight="1">
      <c r="A189" s="26"/>
      <c r="B189" s="12"/>
      <c r="C189" s="240"/>
      <c r="D189" s="241"/>
      <c r="E189" s="5"/>
      <c r="F189" s="5"/>
      <c r="G189" s="5"/>
      <c r="H189" s="5"/>
      <c r="I189" s="5"/>
      <c r="J189" s="5"/>
      <c r="K189" s="8"/>
      <c r="L189" s="9"/>
      <c r="M189" s="10"/>
      <c r="N189" s="12"/>
      <c r="O189" s="242"/>
      <c r="P189" s="243"/>
      <c r="Q189" s="243"/>
      <c r="R189" s="14"/>
      <c r="S189" s="242"/>
      <c r="T189" s="15"/>
      <c r="U189" s="15"/>
      <c r="V189" s="15"/>
      <c r="W189" s="8"/>
      <c r="X189" s="8"/>
      <c r="Y189" s="56"/>
      <c r="Z189" s="56"/>
      <c r="AA189" s="15"/>
      <c r="AB189" s="15"/>
      <c r="AC189" s="15"/>
      <c r="AD189" s="15"/>
      <c r="AE189" s="57"/>
      <c r="AF189" s="57"/>
      <c r="AG189" s="15"/>
      <c r="AH189" s="25"/>
      <c r="AI189" s="26"/>
      <c r="AJ189" s="26"/>
      <c r="AK189" s="27"/>
      <c r="AL189" s="28"/>
      <c r="AM189" s="29"/>
    </row>
    <row r="190" ht="12.75" customHeight="1">
      <c r="A190" s="26"/>
      <c r="B190" s="12"/>
      <c r="C190" s="240"/>
      <c r="D190" s="241"/>
      <c r="E190" s="5"/>
      <c r="F190" s="5"/>
      <c r="G190" s="5"/>
      <c r="H190" s="5"/>
      <c r="I190" s="5"/>
      <c r="J190" s="5"/>
      <c r="K190" s="8"/>
      <c r="L190" s="9"/>
      <c r="M190" s="10"/>
      <c r="N190" s="12"/>
      <c r="O190" s="242"/>
      <c r="P190" s="243"/>
      <c r="Q190" s="243"/>
      <c r="R190" s="14"/>
      <c r="S190" s="242"/>
      <c r="T190" s="15"/>
      <c r="U190" s="15"/>
      <c r="V190" s="15"/>
      <c r="W190" s="8"/>
      <c r="X190" s="8"/>
      <c r="Y190" s="56"/>
      <c r="Z190" s="56"/>
      <c r="AA190" s="15"/>
      <c r="AB190" s="15"/>
      <c r="AC190" s="15"/>
      <c r="AD190" s="15"/>
      <c r="AE190" s="57"/>
      <c r="AF190" s="57"/>
      <c r="AG190" s="15"/>
      <c r="AH190" s="25"/>
      <c r="AI190" s="26"/>
      <c r="AJ190" s="26"/>
      <c r="AK190" s="27"/>
      <c r="AL190" s="28"/>
      <c r="AM190" s="29"/>
    </row>
    <row r="191" ht="12.75" customHeight="1">
      <c r="A191" s="26"/>
      <c r="B191" s="12"/>
      <c r="C191" s="240"/>
      <c r="D191" s="241"/>
      <c r="E191" s="5"/>
      <c r="F191" s="5"/>
      <c r="G191" s="5"/>
      <c r="H191" s="5"/>
      <c r="I191" s="5"/>
      <c r="J191" s="5"/>
      <c r="K191" s="8"/>
      <c r="L191" s="9"/>
      <c r="M191" s="10"/>
      <c r="N191" s="12"/>
      <c r="O191" s="242"/>
      <c r="P191" s="243"/>
      <c r="Q191" s="243"/>
      <c r="R191" s="14"/>
      <c r="S191" s="242"/>
      <c r="T191" s="15"/>
      <c r="U191" s="15"/>
      <c r="V191" s="15"/>
      <c r="W191" s="8"/>
      <c r="X191" s="8"/>
      <c r="Y191" s="56"/>
      <c r="Z191" s="56"/>
      <c r="AA191" s="15"/>
      <c r="AB191" s="15"/>
      <c r="AC191" s="15"/>
      <c r="AD191" s="15"/>
      <c r="AE191" s="57"/>
      <c r="AF191" s="57"/>
      <c r="AG191" s="15"/>
      <c r="AH191" s="25"/>
      <c r="AI191" s="26"/>
      <c r="AJ191" s="26"/>
      <c r="AK191" s="27"/>
      <c r="AL191" s="28"/>
      <c r="AM191" s="29"/>
    </row>
    <row r="192" ht="12.75" customHeight="1">
      <c r="A192" s="26"/>
      <c r="B192" s="12"/>
      <c r="C192" s="240"/>
      <c r="D192" s="241"/>
      <c r="E192" s="5"/>
      <c r="F192" s="5"/>
      <c r="G192" s="5"/>
      <c r="H192" s="5"/>
      <c r="I192" s="5"/>
      <c r="J192" s="5"/>
      <c r="K192" s="8"/>
      <c r="L192" s="9"/>
      <c r="M192" s="10"/>
      <c r="N192" s="12"/>
      <c r="O192" s="242"/>
      <c r="P192" s="243"/>
      <c r="Q192" s="243"/>
      <c r="R192" s="14"/>
      <c r="S192" s="242"/>
      <c r="T192" s="15"/>
      <c r="U192" s="15"/>
      <c r="V192" s="15"/>
      <c r="W192" s="8"/>
      <c r="X192" s="8"/>
      <c r="Y192" s="56"/>
      <c r="Z192" s="56"/>
      <c r="AA192" s="15"/>
      <c r="AB192" s="15"/>
      <c r="AC192" s="15"/>
      <c r="AD192" s="15"/>
      <c r="AE192" s="57"/>
      <c r="AF192" s="57"/>
      <c r="AG192" s="15"/>
      <c r="AH192" s="25"/>
      <c r="AI192" s="26"/>
      <c r="AJ192" s="26"/>
      <c r="AK192" s="27"/>
      <c r="AL192" s="28"/>
      <c r="AM192" s="29"/>
    </row>
    <row r="193" ht="12.75" customHeight="1">
      <c r="A193" s="26"/>
      <c r="B193" s="12"/>
      <c r="C193" s="240"/>
      <c r="D193" s="241"/>
      <c r="E193" s="5"/>
      <c r="F193" s="5"/>
      <c r="G193" s="5"/>
      <c r="H193" s="5"/>
      <c r="I193" s="5"/>
      <c r="J193" s="5"/>
      <c r="K193" s="8"/>
      <c r="L193" s="9"/>
      <c r="M193" s="10"/>
      <c r="N193" s="12"/>
      <c r="O193" s="242"/>
      <c r="P193" s="243"/>
      <c r="Q193" s="243"/>
      <c r="R193" s="14"/>
      <c r="S193" s="242"/>
      <c r="T193" s="15"/>
      <c r="U193" s="15"/>
      <c r="V193" s="15"/>
      <c r="W193" s="8"/>
      <c r="X193" s="8"/>
      <c r="Y193" s="56"/>
      <c r="Z193" s="56"/>
      <c r="AA193" s="15"/>
      <c r="AB193" s="15"/>
      <c r="AC193" s="15"/>
      <c r="AD193" s="15"/>
      <c r="AE193" s="57"/>
      <c r="AF193" s="57"/>
      <c r="AG193" s="15"/>
      <c r="AH193" s="25"/>
      <c r="AI193" s="26"/>
      <c r="AJ193" s="26"/>
      <c r="AK193" s="27"/>
      <c r="AL193" s="28"/>
      <c r="AM193" s="29"/>
    </row>
    <row r="194" ht="12.75" customHeight="1">
      <c r="A194" s="26"/>
      <c r="B194" s="12"/>
      <c r="C194" s="240"/>
      <c r="D194" s="241"/>
      <c r="E194" s="5"/>
      <c r="F194" s="5"/>
      <c r="G194" s="5"/>
      <c r="H194" s="5"/>
      <c r="I194" s="5"/>
      <c r="J194" s="5"/>
      <c r="K194" s="8"/>
      <c r="L194" s="9"/>
      <c r="M194" s="10"/>
      <c r="N194" s="12"/>
      <c r="O194" s="242"/>
      <c r="P194" s="243"/>
      <c r="Q194" s="243"/>
      <c r="R194" s="14"/>
      <c r="S194" s="242"/>
      <c r="T194" s="15"/>
      <c r="U194" s="15"/>
      <c r="V194" s="15"/>
      <c r="W194" s="8"/>
      <c r="X194" s="8"/>
      <c r="Y194" s="56"/>
      <c r="Z194" s="56"/>
      <c r="AA194" s="15"/>
      <c r="AB194" s="15"/>
      <c r="AC194" s="15"/>
      <c r="AD194" s="15"/>
      <c r="AE194" s="57"/>
      <c r="AF194" s="57"/>
      <c r="AG194" s="15"/>
      <c r="AH194" s="25"/>
      <c r="AI194" s="26"/>
      <c r="AJ194" s="26"/>
      <c r="AK194" s="27"/>
      <c r="AL194" s="28"/>
      <c r="AM194" s="29"/>
    </row>
    <row r="195" ht="12.75" customHeight="1">
      <c r="A195" s="26"/>
      <c r="B195" s="12"/>
      <c r="C195" s="240"/>
      <c r="D195" s="241"/>
      <c r="E195" s="5"/>
      <c r="F195" s="5"/>
      <c r="G195" s="5"/>
      <c r="H195" s="5"/>
      <c r="I195" s="5"/>
      <c r="J195" s="5"/>
      <c r="K195" s="8"/>
      <c r="L195" s="9"/>
      <c r="M195" s="10"/>
      <c r="N195" s="12"/>
      <c r="O195" s="242"/>
      <c r="P195" s="243"/>
      <c r="Q195" s="243"/>
      <c r="R195" s="14"/>
      <c r="S195" s="242"/>
      <c r="T195" s="15"/>
      <c r="U195" s="15"/>
      <c r="V195" s="15"/>
      <c r="W195" s="8"/>
      <c r="X195" s="8"/>
      <c r="Y195" s="56"/>
      <c r="Z195" s="56"/>
      <c r="AA195" s="15"/>
      <c r="AB195" s="15"/>
      <c r="AC195" s="15"/>
      <c r="AD195" s="15"/>
      <c r="AE195" s="57"/>
      <c r="AF195" s="57"/>
      <c r="AG195" s="15"/>
      <c r="AH195" s="25"/>
      <c r="AI195" s="26"/>
      <c r="AJ195" s="26"/>
      <c r="AK195" s="27"/>
      <c r="AL195" s="28"/>
      <c r="AM195" s="29"/>
    </row>
    <row r="196" ht="12.75" customHeight="1">
      <c r="A196" s="26"/>
      <c r="B196" s="12"/>
      <c r="C196" s="240"/>
      <c r="D196" s="241"/>
      <c r="E196" s="5"/>
      <c r="F196" s="5"/>
      <c r="G196" s="5"/>
      <c r="H196" s="5"/>
      <c r="I196" s="5"/>
      <c r="J196" s="5"/>
      <c r="K196" s="8"/>
      <c r="L196" s="9"/>
      <c r="M196" s="10"/>
      <c r="N196" s="12"/>
      <c r="O196" s="242"/>
      <c r="P196" s="243"/>
      <c r="Q196" s="243"/>
      <c r="R196" s="14"/>
      <c r="S196" s="242"/>
      <c r="T196" s="15"/>
      <c r="U196" s="15"/>
      <c r="V196" s="15"/>
      <c r="W196" s="8"/>
      <c r="X196" s="8"/>
      <c r="Y196" s="56"/>
      <c r="Z196" s="56"/>
      <c r="AA196" s="15"/>
      <c r="AB196" s="15"/>
      <c r="AC196" s="15"/>
      <c r="AD196" s="15"/>
      <c r="AE196" s="57"/>
      <c r="AF196" s="57"/>
      <c r="AG196" s="15"/>
      <c r="AH196" s="25"/>
      <c r="AI196" s="26"/>
      <c r="AJ196" s="26"/>
      <c r="AK196" s="27"/>
      <c r="AL196" s="28"/>
      <c r="AM196" s="29"/>
    </row>
    <row r="197" ht="12.75" customHeight="1">
      <c r="A197" s="26"/>
      <c r="B197" s="12"/>
      <c r="C197" s="240"/>
      <c r="D197" s="241"/>
      <c r="E197" s="5"/>
      <c r="F197" s="5"/>
      <c r="G197" s="5"/>
      <c r="H197" s="5"/>
      <c r="I197" s="5"/>
      <c r="J197" s="5"/>
      <c r="K197" s="8"/>
      <c r="L197" s="9"/>
      <c r="M197" s="10"/>
      <c r="N197" s="12"/>
      <c r="O197" s="242"/>
      <c r="P197" s="243"/>
      <c r="Q197" s="243"/>
      <c r="R197" s="14"/>
      <c r="S197" s="242"/>
      <c r="T197" s="15"/>
      <c r="U197" s="15"/>
      <c r="V197" s="15"/>
      <c r="W197" s="8"/>
      <c r="X197" s="8"/>
      <c r="Y197" s="56"/>
      <c r="Z197" s="56"/>
      <c r="AA197" s="15"/>
      <c r="AB197" s="15"/>
      <c r="AC197" s="15"/>
      <c r="AD197" s="15"/>
      <c r="AE197" s="57"/>
      <c r="AF197" s="57"/>
      <c r="AG197" s="15"/>
      <c r="AH197" s="25"/>
      <c r="AI197" s="26"/>
      <c r="AJ197" s="26"/>
      <c r="AK197" s="27"/>
      <c r="AL197" s="28"/>
      <c r="AM197" s="29"/>
    </row>
    <row r="198" ht="12.75" customHeight="1">
      <c r="A198" s="26"/>
      <c r="B198" s="12"/>
      <c r="C198" s="240"/>
      <c r="D198" s="241"/>
      <c r="E198" s="5"/>
      <c r="F198" s="5"/>
      <c r="G198" s="5"/>
      <c r="H198" s="5"/>
      <c r="I198" s="5"/>
      <c r="J198" s="5"/>
      <c r="K198" s="8"/>
      <c r="L198" s="9"/>
      <c r="M198" s="10"/>
      <c r="N198" s="12"/>
      <c r="O198" s="242"/>
      <c r="P198" s="243"/>
      <c r="Q198" s="243"/>
      <c r="R198" s="14"/>
      <c r="S198" s="242"/>
      <c r="T198" s="15"/>
      <c r="U198" s="15"/>
      <c r="V198" s="15"/>
      <c r="W198" s="8"/>
      <c r="X198" s="8"/>
      <c r="Y198" s="56"/>
      <c r="Z198" s="56"/>
      <c r="AA198" s="15"/>
      <c r="AB198" s="15"/>
      <c r="AC198" s="15"/>
      <c r="AD198" s="15"/>
      <c r="AE198" s="57"/>
      <c r="AF198" s="57"/>
      <c r="AG198" s="15"/>
      <c r="AH198" s="25"/>
      <c r="AI198" s="26"/>
      <c r="AJ198" s="26"/>
      <c r="AK198" s="27"/>
      <c r="AL198" s="28"/>
      <c r="AM198" s="29"/>
    </row>
    <row r="199" ht="12.75" customHeight="1">
      <c r="A199" s="26"/>
      <c r="B199" s="12"/>
      <c r="C199" s="240"/>
      <c r="D199" s="241"/>
      <c r="E199" s="5"/>
      <c r="F199" s="5"/>
      <c r="G199" s="5"/>
      <c r="H199" s="5"/>
      <c r="I199" s="5"/>
      <c r="J199" s="5"/>
      <c r="K199" s="8"/>
      <c r="L199" s="9"/>
      <c r="M199" s="10"/>
      <c r="N199" s="12"/>
      <c r="O199" s="242"/>
      <c r="P199" s="243"/>
      <c r="Q199" s="243"/>
      <c r="R199" s="14"/>
      <c r="S199" s="242"/>
      <c r="T199" s="15"/>
      <c r="U199" s="15"/>
      <c r="V199" s="15"/>
      <c r="W199" s="8"/>
      <c r="X199" s="8"/>
      <c r="Y199" s="56"/>
      <c r="Z199" s="56"/>
      <c r="AA199" s="15"/>
      <c r="AB199" s="15"/>
      <c r="AC199" s="15"/>
      <c r="AD199" s="15"/>
      <c r="AE199" s="57"/>
      <c r="AF199" s="57"/>
      <c r="AG199" s="15"/>
      <c r="AH199" s="25"/>
      <c r="AI199" s="26"/>
      <c r="AJ199" s="26"/>
      <c r="AK199" s="27"/>
      <c r="AL199" s="28"/>
      <c r="AM199" s="29"/>
    </row>
    <row r="200" ht="12.75" customHeight="1">
      <c r="A200" s="26"/>
      <c r="B200" s="12"/>
      <c r="C200" s="240"/>
      <c r="D200" s="241"/>
      <c r="E200" s="5"/>
      <c r="F200" s="5"/>
      <c r="G200" s="5"/>
      <c r="H200" s="5"/>
      <c r="I200" s="5"/>
      <c r="J200" s="5"/>
      <c r="K200" s="8"/>
      <c r="L200" s="9"/>
      <c r="M200" s="10"/>
      <c r="N200" s="12"/>
      <c r="O200" s="242"/>
      <c r="P200" s="243"/>
      <c r="Q200" s="243"/>
      <c r="R200" s="14"/>
      <c r="S200" s="242"/>
      <c r="T200" s="15"/>
      <c r="U200" s="15"/>
      <c r="V200" s="15"/>
      <c r="W200" s="8"/>
      <c r="X200" s="8"/>
      <c r="Y200" s="56"/>
      <c r="Z200" s="56"/>
      <c r="AA200" s="15"/>
      <c r="AB200" s="15"/>
      <c r="AC200" s="15"/>
      <c r="AD200" s="15"/>
      <c r="AE200" s="57"/>
      <c r="AF200" s="57"/>
      <c r="AG200" s="15"/>
      <c r="AH200" s="25"/>
      <c r="AI200" s="26"/>
      <c r="AJ200" s="26"/>
      <c r="AK200" s="27"/>
      <c r="AL200" s="28"/>
      <c r="AM200" s="29"/>
    </row>
    <row r="201" ht="12.75" customHeight="1">
      <c r="A201" s="26"/>
      <c r="B201" s="12"/>
      <c r="C201" s="240"/>
      <c r="D201" s="241"/>
      <c r="E201" s="5"/>
      <c r="F201" s="5"/>
      <c r="G201" s="5"/>
      <c r="H201" s="5"/>
      <c r="I201" s="5"/>
      <c r="J201" s="5"/>
      <c r="K201" s="8"/>
      <c r="L201" s="9"/>
      <c r="M201" s="10"/>
      <c r="N201" s="12"/>
      <c r="O201" s="242"/>
      <c r="P201" s="243"/>
      <c r="Q201" s="243"/>
      <c r="R201" s="14"/>
      <c r="S201" s="242"/>
      <c r="T201" s="15"/>
      <c r="U201" s="15"/>
      <c r="V201" s="15"/>
      <c r="W201" s="8"/>
      <c r="X201" s="8"/>
      <c r="Y201" s="56"/>
      <c r="Z201" s="56"/>
      <c r="AA201" s="15"/>
      <c r="AB201" s="15"/>
      <c r="AC201" s="15"/>
      <c r="AD201" s="15"/>
      <c r="AE201" s="57"/>
      <c r="AF201" s="57"/>
      <c r="AG201" s="15"/>
      <c r="AH201" s="25"/>
      <c r="AI201" s="26"/>
      <c r="AJ201" s="26"/>
      <c r="AK201" s="27"/>
      <c r="AL201" s="28"/>
      <c r="AM201" s="29"/>
    </row>
    <row r="202" ht="12.75" customHeight="1">
      <c r="A202" s="26"/>
      <c r="B202" s="12"/>
      <c r="C202" s="240"/>
      <c r="D202" s="241"/>
      <c r="E202" s="5"/>
      <c r="F202" s="5"/>
      <c r="G202" s="5"/>
      <c r="H202" s="5"/>
      <c r="I202" s="5"/>
      <c r="J202" s="5"/>
      <c r="K202" s="8"/>
      <c r="L202" s="9"/>
      <c r="M202" s="10"/>
      <c r="N202" s="12"/>
      <c r="O202" s="242"/>
      <c r="P202" s="243"/>
      <c r="Q202" s="243"/>
      <c r="R202" s="14"/>
      <c r="S202" s="242"/>
      <c r="T202" s="15"/>
      <c r="U202" s="15"/>
      <c r="V202" s="15"/>
      <c r="W202" s="8"/>
      <c r="X202" s="8"/>
      <c r="Y202" s="56"/>
      <c r="Z202" s="56"/>
      <c r="AA202" s="15"/>
      <c r="AB202" s="15"/>
      <c r="AC202" s="15"/>
      <c r="AD202" s="15"/>
      <c r="AE202" s="57"/>
      <c r="AF202" s="57"/>
      <c r="AG202" s="15"/>
      <c r="AH202" s="25"/>
      <c r="AI202" s="26"/>
      <c r="AJ202" s="26"/>
      <c r="AK202" s="27"/>
      <c r="AL202" s="28"/>
      <c r="AM202" s="29"/>
    </row>
    <row r="203" ht="12.75" customHeight="1">
      <c r="A203" s="26"/>
      <c r="B203" s="12"/>
      <c r="C203" s="240"/>
      <c r="D203" s="241"/>
      <c r="E203" s="5"/>
      <c r="F203" s="5"/>
      <c r="G203" s="5"/>
      <c r="H203" s="5"/>
      <c r="I203" s="5"/>
      <c r="J203" s="5"/>
      <c r="K203" s="8"/>
      <c r="L203" s="9"/>
      <c r="M203" s="10"/>
      <c r="N203" s="12"/>
      <c r="O203" s="242"/>
      <c r="P203" s="243"/>
      <c r="Q203" s="243"/>
      <c r="R203" s="14"/>
      <c r="S203" s="242"/>
      <c r="T203" s="15"/>
      <c r="U203" s="15"/>
      <c r="V203" s="15"/>
      <c r="W203" s="8"/>
      <c r="X203" s="8"/>
      <c r="Y203" s="56"/>
      <c r="Z203" s="56"/>
      <c r="AA203" s="15"/>
      <c r="AB203" s="15"/>
      <c r="AC203" s="15"/>
      <c r="AD203" s="15"/>
      <c r="AE203" s="57"/>
      <c r="AF203" s="57"/>
      <c r="AG203" s="15"/>
      <c r="AH203" s="25"/>
      <c r="AI203" s="26"/>
      <c r="AJ203" s="26"/>
      <c r="AK203" s="27"/>
      <c r="AL203" s="28"/>
      <c r="AM203" s="29"/>
    </row>
    <row r="204" ht="12.75" customHeight="1">
      <c r="A204" s="26"/>
      <c r="B204" s="12"/>
      <c r="C204" s="240"/>
      <c r="D204" s="241"/>
      <c r="E204" s="5"/>
      <c r="F204" s="5"/>
      <c r="G204" s="5"/>
      <c r="H204" s="5"/>
      <c r="I204" s="5"/>
      <c r="J204" s="5"/>
      <c r="K204" s="8"/>
      <c r="L204" s="9"/>
      <c r="M204" s="10"/>
      <c r="N204" s="12"/>
      <c r="O204" s="242"/>
      <c r="P204" s="243"/>
      <c r="Q204" s="243"/>
      <c r="R204" s="14"/>
      <c r="S204" s="242"/>
      <c r="T204" s="15"/>
      <c r="U204" s="15"/>
      <c r="V204" s="15"/>
      <c r="W204" s="8"/>
      <c r="X204" s="8"/>
      <c r="Y204" s="56"/>
      <c r="Z204" s="56"/>
      <c r="AA204" s="15"/>
      <c r="AB204" s="15"/>
      <c r="AC204" s="15"/>
      <c r="AD204" s="15"/>
      <c r="AE204" s="57"/>
      <c r="AF204" s="57"/>
      <c r="AG204" s="15"/>
      <c r="AH204" s="25"/>
      <c r="AI204" s="26"/>
      <c r="AJ204" s="26"/>
      <c r="AK204" s="27"/>
      <c r="AL204" s="28"/>
      <c r="AM204" s="29"/>
    </row>
    <row r="205" ht="12.75" customHeight="1">
      <c r="A205" s="26"/>
      <c r="B205" s="12"/>
      <c r="C205" s="240"/>
      <c r="D205" s="241"/>
      <c r="E205" s="5"/>
      <c r="F205" s="5"/>
      <c r="G205" s="5"/>
      <c r="H205" s="5"/>
      <c r="I205" s="5"/>
      <c r="J205" s="5"/>
      <c r="K205" s="8"/>
      <c r="L205" s="9"/>
      <c r="M205" s="10"/>
      <c r="N205" s="12"/>
      <c r="O205" s="242"/>
      <c r="P205" s="243"/>
      <c r="Q205" s="243"/>
      <c r="R205" s="14"/>
      <c r="S205" s="242"/>
      <c r="T205" s="15"/>
      <c r="U205" s="15"/>
      <c r="V205" s="15"/>
      <c r="W205" s="8"/>
      <c r="X205" s="8"/>
      <c r="Y205" s="56"/>
      <c r="Z205" s="56"/>
      <c r="AA205" s="15"/>
      <c r="AB205" s="15"/>
      <c r="AC205" s="15"/>
      <c r="AD205" s="15"/>
      <c r="AE205" s="57"/>
      <c r="AF205" s="57"/>
      <c r="AG205" s="15"/>
      <c r="AH205" s="25"/>
      <c r="AI205" s="26"/>
      <c r="AJ205" s="26"/>
      <c r="AK205" s="27"/>
      <c r="AL205" s="28"/>
      <c r="AM205" s="29"/>
    </row>
    <row r="206" ht="12.75" customHeight="1">
      <c r="A206" s="26"/>
      <c r="B206" s="12"/>
      <c r="C206" s="240"/>
      <c r="D206" s="241"/>
      <c r="E206" s="5"/>
      <c r="F206" s="5"/>
      <c r="G206" s="5"/>
      <c r="H206" s="5"/>
      <c r="I206" s="5"/>
      <c r="J206" s="5"/>
      <c r="K206" s="8"/>
      <c r="L206" s="9"/>
      <c r="M206" s="10"/>
      <c r="N206" s="12"/>
      <c r="O206" s="242"/>
      <c r="P206" s="243"/>
      <c r="Q206" s="243"/>
      <c r="R206" s="14"/>
      <c r="S206" s="242"/>
      <c r="T206" s="15"/>
      <c r="U206" s="15"/>
      <c r="V206" s="15"/>
      <c r="W206" s="8"/>
      <c r="X206" s="8"/>
      <c r="Y206" s="56"/>
      <c r="Z206" s="56"/>
      <c r="AA206" s="15"/>
      <c r="AB206" s="15"/>
      <c r="AC206" s="15"/>
      <c r="AD206" s="15"/>
      <c r="AE206" s="57"/>
      <c r="AF206" s="57"/>
      <c r="AG206" s="15"/>
      <c r="AH206" s="25"/>
      <c r="AI206" s="26"/>
      <c r="AJ206" s="26"/>
      <c r="AK206" s="27"/>
      <c r="AL206" s="28"/>
      <c r="AM206" s="29"/>
    </row>
    <row r="207" ht="12.75" customHeight="1">
      <c r="A207" s="26"/>
      <c r="B207" s="12"/>
      <c r="C207" s="240"/>
      <c r="D207" s="241"/>
      <c r="E207" s="5"/>
      <c r="F207" s="5"/>
      <c r="G207" s="5"/>
      <c r="H207" s="5"/>
      <c r="I207" s="5"/>
      <c r="J207" s="5"/>
      <c r="K207" s="8"/>
      <c r="L207" s="9"/>
      <c r="M207" s="10"/>
      <c r="N207" s="12"/>
      <c r="O207" s="242"/>
      <c r="P207" s="243"/>
      <c r="Q207" s="243"/>
      <c r="R207" s="14"/>
      <c r="S207" s="242"/>
      <c r="T207" s="15"/>
      <c r="U207" s="15"/>
      <c r="V207" s="15"/>
      <c r="W207" s="8"/>
      <c r="X207" s="8"/>
      <c r="Y207" s="56"/>
      <c r="Z207" s="56"/>
      <c r="AA207" s="15"/>
      <c r="AB207" s="15"/>
      <c r="AC207" s="15"/>
      <c r="AD207" s="15"/>
      <c r="AE207" s="57"/>
      <c r="AF207" s="57"/>
      <c r="AG207" s="15"/>
      <c r="AH207" s="25"/>
      <c r="AI207" s="26"/>
      <c r="AJ207" s="26"/>
      <c r="AK207" s="27"/>
      <c r="AL207" s="28"/>
      <c r="AM207" s="29"/>
    </row>
    <row r="208" ht="12.75" customHeight="1">
      <c r="A208" s="26"/>
      <c r="B208" s="12"/>
      <c r="C208" s="240"/>
      <c r="D208" s="241"/>
      <c r="E208" s="5"/>
      <c r="F208" s="5"/>
      <c r="G208" s="5"/>
      <c r="H208" s="5"/>
      <c r="I208" s="5"/>
      <c r="J208" s="5"/>
      <c r="K208" s="8"/>
      <c r="L208" s="9"/>
      <c r="M208" s="10"/>
      <c r="N208" s="12"/>
      <c r="O208" s="242"/>
      <c r="P208" s="243"/>
      <c r="Q208" s="243"/>
      <c r="R208" s="14"/>
      <c r="S208" s="242"/>
      <c r="T208" s="15"/>
      <c r="U208" s="15"/>
      <c r="V208" s="15"/>
      <c r="W208" s="8"/>
      <c r="X208" s="8"/>
      <c r="Y208" s="56"/>
      <c r="Z208" s="56"/>
      <c r="AA208" s="15"/>
      <c r="AB208" s="15"/>
      <c r="AC208" s="15"/>
      <c r="AD208" s="15"/>
      <c r="AE208" s="57"/>
      <c r="AF208" s="57"/>
      <c r="AG208" s="15"/>
      <c r="AH208" s="25"/>
      <c r="AI208" s="26"/>
      <c r="AJ208" s="26"/>
      <c r="AK208" s="27"/>
      <c r="AL208" s="28"/>
      <c r="AM208" s="29"/>
    </row>
    <row r="209" ht="12.75" customHeight="1">
      <c r="A209" s="26"/>
      <c r="B209" s="12"/>
      <c r="C209" s="240"/>
      <c r="D209" s="241"/>
      <c r="E209" s="5"/>
      <c r="F209" s="5"/>
      <c r="G209" s="5"/>
      <c r="H209" s="5"/>
      <c r="I209" s="5"/>
      <c r="J209" s="5"/>
      <c r="K209" s="8"/>
      <c r="L209" s="9"/>
      <c r="M209" s="10"/>
      <c r="N209" s="12"/>
      <c r="O209" s="242"/>
      <c r="P209" s="243"/>
      <c r="Q209" s="243"/>
      <c r="R209" s="14"/>
      <c r="S209" s="242"/>
      <c r="T209" s="15"/>
      <c r="U209" s="15"/>
      <c r="V209" s="15"/>
      <c r="W209" s="8"/>
      <c r="X209" s="8"/>
      <c r="Y209" s="56"/>
      <c r="Z209" s="56"/>
      <c r="AA209" s="15"/>
      <c r="AB209" s="15"/>
      <c r="AC209" s="15"/>
      <c r="AD209" s="15"/>
      <c r="AE209" s="57"/>
      <c r="AF209" s="57"/>
      <c r="AG209" s="15"/>
      <c r="AH209" s="25"/>
      <c r="AI209" s="26"/>
      <c r="AJ209" s="26"/>
      <c r="AK209" s="27"/>
      <c r="AL209" s="28"/>
      <c r="AM209" s="29"/>
    </row>
    <row r="210" ht="12.75" customHeight="1">
      <c r="A210" s="26"/>
      <c r="B210" s="12"/>
      <c r="C210" s="240"/>
      <c r="D210" s="241"/>
      <c r="E210" s="5"/>
      <c r="F210" s="5"/>
      <c r="G210" s="5"/>
      <c r="H210" s="5"/>
      <c r="I210" s="5"/>
      <c r="J210" s="5"/>
      <c r="K210" s="8"/>
      <c r="L210" s="9"/>
      <c r="M210" s="10"/>
      <c r="N210" s="12"/>
      <c r="O210" s="242"/>
      <c r="P210" s="243"/>
      <c r="Q210" s="243"/>
      <c r="R210" s="14"/>
      <c r="S210" s="242"/>
      <c r="T210" s="15"/>
      <c r="U210" s="15"/>
      <c r="V210" s="15"/>
      <c r="W210" s="8"/>
      <c r="X210" s="8"/>
      <c r="Y210" s="56"/>
      <c r="Z210" s="56"/>
      <c r="AA210" s="15"/>
      <c r="AB210" s="15"/>
      <c r="AC210" s="15"/>
      <c r="AD210" s="15"/>
      <c r="AE210" s="57"/>
      <c r="AF210" s="57"/>
      <c r="AG210" s="15"/>
      <c r="AH210" s="25"/>
      <c r="AI210" s="26"/>
      <c r="AJ210" s="26"/>
      <c r="AK210" s="27"/>
      <c r="AL210" s="28"/>
      <c r="AM210" s="29"/>
    </row>
    <row r="211" ht="12.75" customHeight="1">
      <c r="A211" s="26"/>
      <c r="B211" s="12"/>
      <c r="C211" s="240"/>
      <c r="D211" s="241"/>
      <c r="E211" s="5"/>
      <c r="F211" s="5"/>
      <c r="G211" s="5"/>
      <c r="H211" s="5"/>
      <c r="I211" s="5"/>
      <c r="J211" s="5"/>
      <c r="K211" s="8"/>
      <c r="L211" s="9"/>
      <c r="M211" s="10"/>
      <c r="N211" s="12"/>
      <c r="O211" s="242"/>
      <c r="P211" s="243"/>
      <c r="Q211" s="243"/>
      <c r="R211" s="14"/>
      <c r="S211" s="242"/>
      <c r="T211" s="15"/>
      <c r="U211" s="15"/>
      <c r="V211" s="15"/>
      <c r="W211" s="8"/>
      <c r="X211" s="8"/>
      <c r="Y211" s="56"/>
      <c r="Z211" s="56"/>
      <c r="AA211" s="15"/>
      <c r="AB211" s="15"/>
      <c r="AC211" s="15"/>
      <c r="AD211" s="15"/>
      <c r="AE211" s="57"/>
      <c r="AF211" s="57"/>
      <c r="AG211" s="15"/>
      <c r="AH211" s="25"/>
      <c r="AI211" s="26"/>
      <c r="AJ211" s="26"/>
      <c r="AK211" s="27"/>
      <c r="AL211" s="28"/>
      <c r="AM211" s="29"/>
    </row>
    <row r="212" ht="12.75" customHeight="1">
      <c r="A212" s="26"/>
      <c r="B212" s="12"/>
      <c r="C212" s="240"/>
      <c r="D212" s="241"/>
      <c r="E212" s="5"/>
      <c r="F212" s="5"/>
      <c r="G212" s="5"/>
      <c r="H212" s="5"/>
      <c r="I212" s="5"/>
      <c r="J212" s="5"/>
      <c r="K212" s="8"/>
      <c r="L212" s="9"/>
      <c r="M212" s="10"/>
      <c r="N212" s="12"/>
      <c r="O212" s="242"/>
      <c r="P212" s="243"/>
      <c r="Q212" s="243"/>
      <c r="R212" s="14"/>
      <c r="S212" s="242"/>
      <c r="T212" s="15"/>
      <c r="U212" s="15"/>
      <c r="V212" s="15"/>
      <c r="W212" s="8"/>
      <c r="X212" s="8"/>
      <c r="Y212" s="56"/>
      <c r="Z212" s="56"/>
      <c r="AA212" s="15"/>
      <c r="AB212" s="15"/>
      <c r="AC212" s="15"/>
      <c r="AD212" s="15"/>
      <c r="AE212" s="57"/>
      <c r="AF212" s="57"/>
      <c r="AG212" s="15"/>
      <c r="AH212" s="25"/>
      <c r="AI212" s="26"/>
      <c r="AJ212" s="26"/>
      <c r="AK212" s="27"/>
      <c r="AL212" s="28"/>
      <c r="AM212" s="29"/>
    </row>
    <row r="213" ht="12.75" customHeight="1">
      <c r="A213" s="26"/>
      <c r="B213" s="12"/>
      <c r="C213" s="240"/>
      <c r="D213" s="241"/>
      <c r="E213" s="5"/>
      <c r="F213" s="5"/>
      <c r="G213" s="5"/>
      <c r="H213" s="5"/>
      <c r="I213" s="5"/>
      <c r="J213" s="5"/>
      <c r="K213" s="8"/>
      <c r="L213" s="9"/>
      <c r="M213" s="10"/>
      <c r="N213" s="12"/>
      <c r="O213" s="242"/>
      <c r="P213" s="243"/>
      <c r="Q213" s="243"/>
      <c r="R213" s="14"/>
      <c r="S213" s="242"/>
      <c r="T213" s="15"/>
      <c r="U213" s="15"/>
      <c r="V213" s="15"/>
      <c r="W213" s="8"/>
      <c r="X213" s="8"/>
      <c r="Y213" s="56"/>
      <c r="Z213" s="56"/>
      <c r="AA213" s="15"/>
      <c r="AB213" s="15"/>
      <c r="AC213" s="15"/>
      <c r="AD213" s="15"/>
      <c r="AE213" s="57"/>
      <c r="AF213" s="57"/>
      <c r="AG213" s="15"/>
      <c r="AH213" s="25"/>
      <c r="AI213" s="26"/>
      <c r="AJ213" s="26"/>
      <c r="AK213" s="27"/>
      <c r="AL213" s="28"/>
      <c r="AM213" s="29"/>
    </row>
    <row r="214" ht="12.75" customHeight="1">
      <c r="A214" s="26"/>
      <c r="B214" s="12"/>
      <c r="C214" s="240"/>
      <c r="D214" s="241"/>
      <c r="E214" s="5"/>
      <c r="F214" s="5"/>
      <c r="G214" s="5"/>
      <c r="H214" s="5"/>
      <c r="I214" s="5"/>
      <c r="J214" s="5"/>
      <c r="K214" s="8"/>
      <c r="L214" s="9"/>
      <c r="M214" s="10"/>
      <c r="N214" s="12"/>
      <c r="O214" s="242"/>
      <c r="P214" s="243"/>
      <c r="Q214" s="243"/>
      <c r="R214" s="14"/>
      <c r="S214" s="242"/>
      <c r="T214" s="15"/>
      <c r="U214" s="15"/>
      <c r="V214" s="15"/>
      <c r="W214" s="8"/>
      <c r="X214" s="8"/>
      <c r="Y214" s="56"/>
      <c r="Z214" s="56"/>
      <c r="AA214" s="15"/>
      <c r="AB214" s="15"/>
      <c r="AC214" s="15"/>
      <c r="AD214" s="15"/>
      <c r="AE214" s="57"/>
      <c r="AF214" s="57"/>
      <c r="AG214" s="15"/>
      <c r="AH214" s="25"/>
      <c r="AI214" s="26"/>
      <c r="AJ214" s="26"/>
      <c r="AK214" s="27"/>
      <c r="AL214" s="28"/>
      <c r="AM214" s="29"/>
    </row>
    <row r="215" ht="12.75" customHeight="1">
      <c r="A215" s="26"/>
      <c r="B215" s="12"/>
      <c r="C215" s="240"/>
      <c r="D215" s="241"/>
      <c r="E215" s="5"/>
      <c r="F215" s="5"/>
      <c r="G215" s="5"/>
      <c r="H215" s="5"/>
      <c r="I215" s="5"/>
      <c r="J215" s="5"/>
      <c r="K215" s="8"/>
      <c r="L215" s="9"/>
      <c r="M215" s="10"/>
      <c r="N215" s="12"/>
      <c r="O215" s="242"/>
      <c r="P215" s="243"/>
      <c r="Q215" s="243"/>
      <c r="R215" s="14"/>
      <c r="S215" s="242"/>
      <c r="T215" s="15"/>
      <c r="U215" s="15"/>
      <c r="V215" s="15"/>
      <c r="W215" s="8"/>
      <c r="X215" s="8"/>
      <c r="Y215" s="56"/>
      <c r="Z215" s="56"/>
      <c r="AA215" s="15"/>
      <c r="AB215" s="15"/>
      <c r="AC215" s="15"/>
      <c r="AD215" s="15"/>
      <c r="AE215" s="57"/>
      <c r="AF215" s="57"/>
      <c r="AG215" s="15"/>
      <c r="AH215" s="25"/>
      <c r="AI215" s="26"/>
      <c r="AJ215" s="26"/>
      <c r="AK215" s="27"/>
      <c r="AL215" s="28"/>
      <c r="AM215" s="29"/>
    </row>
    <row r="216" ht="12.75" customHeight="1">
      <c r="A216" s="26"/>
      <c r="B216" s="12"/>
      <c r="C216" s="240"/>
      <c r="D216" s="241"/>
      <c r="E216" s="5"/>
      <c r="F216" s="5"/>
      <c r="G216" s="5"/>
      <c r="H216" s="5"/>
      <c r="I216" s="5"/>
      <c r="J216" s="5"/>
      <c r="K216" s="8"/>
      <c r="L216" s="9"/>
      <c r="M216" s="10"/>
      <c r="N216" s="12"/>
      <c r="O216" s="242"/>
      <c r="P216" s="243"/>
      <c r="Q216" s="243"/>
      <c r="R216" s="14"/>
      <c r="S216" s="242"/>
      <c r="T216" s="15"/>
      <c r="U216" s="15"/>
      <c r="V216" s="15"/>
      <c r="W216" s="8"/>
      <c r="X216" s="8"/>
      <c r="Y216" s="56"/>
      <c r="Z216" s="56"/>
      <c r="AA216" s="15"/>
      <c r="AB216" s="15"/>
      <c r="AC216" s="15"/>
      <c r="AD216" s="15"/>
      <c r="AE216" s="57"/>
      <c r="AF216" s="57"/>
      <c r="AG216" s="15"/>
      <c r="AH216" s="25"/>
      <c r="AI216" s="26"/>
      <c r="AJ216" s="26"/>
      <c r="AK216" s="27"/>
      <c r="AL216" s="28"/>
      <c r="AM216" s="29"/>
    </row>
    <row r="217" ht="12.75" customHeight="1">
      <c r="A217" s="26"/>
      <c r="B217" s="12"/>
      <c r="C217" s="240"/>
      <c r="D217" s="241"/>
      <c r="E217" s="5"/>
      <c r="F217" s="5"/>
      <c r="G217" s="5"/>
      <c r="H217" s="5"/>
      <c r="I217" s="5"/>
      <c r="J217" s="5"/>
      <c r="K217" s="8"/>
      <c r="L217" s="9"/>
      <c r="M217" s="10"/>
      <c r="N217" s="12"/>
      <c r="O217" s="242"/>
      <c r="P217" s="243"/>
      <c r="Q217" s="243"/>
      <c r="R217" s="14"/>
      <c r="S217" s="242"/>
      <c r="T217" s="15"/>
      <c r="U217" s="15"/>
      <c r="V217" s="15"/>
      <c r="W217" s="8"/>
      <c r="X217" s="8"/>
      <c r="Y217" s="56"/>
      <c r="Z217" s="56"/>
      <c r="AA217" s="15"/>
      <c r="AB217" s="15"/>
      <c r="AC217" s="15"/>
      <c r="AD217" s="15"/>
      <c r="AE217" s="57"/>
      <c r="AF217" s="57"/>
      <c r="AG217" s="15"/>
      <c r="AH217" s="25"/>
      <c r="AI217" s="26"/>
      <c r="AJ217" s="26"/>
      <c r="AK217" s="27"/>
      <c r="AL217" s="28"/>
      <c r="AM217" s="29"/>
    </row>
    <row r="218" ht="12.75" customHeight="1">
      <c r="A218" s="26"/>
      <c r="B218" s="12"/>
      <c r="C218" s="240"/>
      <c r="D218" s="241"/>
      <c r="E218" s="5"/>
      <c r="F218" s="5"/>
      <c r="G218" s="5"/>
      <c r="H218" s="5"/>
      <c r="I218" s="5"/>
      <c r="J218" s="5"/>
      <c r="K218" s="8"/>
      <c r="L218" s="9"/>
      <c r="M218" s="10"/>
      <c r="N218" s="12"/>
      <c r="O218" s="242"/>
      <c r="P218" s="243"/>
      <c r="Q218" s="243"/>
      <c r="R218" s="14"/>
      <c r="S218" s="242"/>
      <c r="T218" s="15"/>
      <c r="U218" s="15"/>
      <c r="V218" s="15"/>
      <c r="W218" s="8"/>
      <c r="X218" s="8"/>
      <c r="Y218" s="56"/>
      <c r="Z218" s="56"/>
      <c r="AA218" s="15"/>
      <c r="AB218" s="15"/>
      <c r="AC218" s="15"/>
      <c r="AD218" s="15"/>
      <c r="AE218" s="57"/>
      <c r="AF218" s="57"/>
      <c r="AG218" s="15"/>
      <c r="AH218" s="25"/>
      <c r="AI218" s="26"/>
      <c r="AJ218" s="26"/>
      <c r="AK218" s="27"/>
      <c r="AL218" s="28"/>
      <c r="AM218" s="29"/>
    </row>
    <row r="219" ht="12.75" customHeight="1">
      <c r="A219" s="26"/>
      <c r="B219" s="12"/>
      <c r="C219" s="240"/>
      <c r="D219" s="241"/>
      <c r="E219" s="5"/>
      <c r="F219" s="5"/>
      <c r="G219" s="5"/>
      <c r="H219" s="5"/>
      <c r="I219" s="5"/>
      <c r="J219" s="5"/>
      <c r="K219" s="8"/>
      <c r="L219" s="9"/>
      <c r="M219" s="10"/>
      <c r="N219" s="12"/>
      <c r="O219" s="242"/>
      <c r="P219" s="243"/>
      <c r="Q219" s="243"/>
      <c r="R219" s="14"/>
      <c r="S219" s="242"/>
      <c r="T219" s="15"/>
      <c r="U219" s="15"/>
      <c r="V219" s="15"/>
      <c r="W219" s="8"/>
      <c r="X219" s="8"/>
      <c r="Y219" s="56"/>
      <c r="Z219" s="56"/>
      <c r="AA219" s="15"/>
      <c r="AB219" s="15"/>
      <c r="AC219" s="15"/>
      <c r="AD219" s="15"/>
      <c r="AE219" s="57"/>
      <c r="AF219" s="57"/>
      <c r="AG219" s="15"/>
      <c r="AH219" s="25"/>
      <c r="AI219" s="26"/>
      <c r="AJ219" s="26"/>
      <c r="AK219" s="27"/>
      <c r="AL219" s="28"/>
      <c r="AM219" s="29"/>
    </row>
    <row r="220" ht="12.75" customHeight="1">
      <c r="A220" s="26"/>
      <c r="B220" s="12"/>
      <c r="C220" s="240"/>
      <c r="D220" s="241"/>
      <c r="E220" s="5"/>
      <c r="F220" s="5"/>
      <c r="G220" s="5"/>
      <c r="H220" s="5"/>
      <c r="I220" s="5"/>
      <c r="J220" s="5"/>
      <c r="K220" s="8"/>
      <c r="L220" s="9"/>
      <c r="M220" s="10"/>
      <c r="N220" s="12"/>
      <c r="O220" s="242"/>
      <c r="P220" s="243"/>
      <c r="Q220" s="243"/>
      <c r="R220" s="14"/>
      <c r="S220" s="242"/>
      <c r="T220" s="15"/>
      <c r="U220" s="15"/>
      <c r="V220" s="15"/>
      <c r="W220" s="8"/>
      <c r="X220" s="8"/>
      <c r="Y220" s="56"/>
      <c r="Z220" s="56"/>
      <c r="AA220" s="15"/>
      <c r="AB220" s="15"/>
      <c r="AC220" s="15"/>
      <c r="AD220" s="15"/>
      <c r="AE220" s="57"/>
      <c r="AF220" s="57"/>
      <c r="AG220" s="15"/>
      <c r="AH220" s="25"/>
      <c r="AI220" s="26"/>
      <c r="AJ220" s="26"/>
      <c r="AK220" s="27"/>
      <c r="AL220" s="28"/>
      <c r="AM220" s="29"/>
    </row>
    <row r="221" ht="12.75" customHeight="1">
      <c r="A221" s="26"/>
      <c r="B221" s="12"/>
      <c r="C221" s="240"/>
      <c r="D221" s="241"/>
      <c r="E221" s="5"/>
      <c r="F221" s="5"/>
      <c r="G221" s="5"/>
      <c r="H221" s="5"/>
      <c r="I221" s="5"/>
      <c r="J221" s="5"/>
      <c r="K221" s="8"/>
      <c r="L221" s="9"/>
      <c r="M221" s="10"/>
      <c r="N221" s="12"/>
      <c r="O221" s="242"/>
      <c r="P221" s="243"/>
      <c r="Q221" s="243"/>
      <c r="R221" s="14"/>
      <c r="S221" s="242"/>
      <c r="T221" s="15"/>
      <c r="U221" s="15"/>
      <c r="V221" s="15"/>
      <c r="W221" s="8"/>
      <c r="X221" s="8"/>
      <c r="Y221" s="56"/>
      <c r="Z221" s="56"/>
      <c r="AA221" s="15"/>
      <c r="AB221" s="15"/>
      <c r="AC221" s="15"/>
      <c r="AD221" s="15"/>
      <c r="AE221" s="57"/>
      <c r="AF221" s="57"/>
      <c r="AG221" s="15"/>
      <c r="AH221" s="25"/>
      <c r="AI221" s="26"/>
      <c r="AJ221" s="26"/>
      <c r="AK221" s="27"/>
      <c r="AL221" s="28"/>
      <c r="AM221" s="29"/>
    </row>
    <row r="222" ht="12.75" customHeight="1">
      <c r="A222" s="26"/>
      <c r="B222" s="12"/>
      <c r="C222" s="240"/>
      <c r="D222" s="241"/>
      <c r="E222" s="5"/>
      <c r="F222" s="5"/>
      <c r="G222" s="5"/>
      <c r="H222" s="5"/>
      <c r="I222" s="5"/>
      <c r="J222" s="5"/>
      <c r="K222" s="8"/>
      <c r="L222" s="9"/>
      <c r="M222" s="10"/>
      <c r="N222" s="12"/>
      <c r="O222" s="242"/>
      <c r="P222" s="243"/>
      <c r="Q222" s="243"/>
      <c r="R222" s="14"/>
      <c r="S222" s="242"/>
      <c r="T222" s="15"/>
      <c r="U222" s="15"/>
      <c r="V222" s="15"/>
      <c r="W222" s="8"/>
      <c r="X222" s="8"/>
      <c r="Y222" s="56"/>
      <c r="Z222" s="56"/>
      <c r="AA222" s="15"/>
      <c r="AB222" s="15"/>
      <c r="AC222" s="15"/>
      <c r="AD222" s="15"/>
      <c r="AE222" s="57"/>
      <c r="AF222" s="57"/>
      <c r="AG222" s="15"/>
      <c r="AH222" s="25"/>
      <c r="AI222" s="26"/>
      <c r="AJ222" s="26"/>
      <c r="AK222" s="27"/>
      <c r="AL222" s="28"/>
      <c r="AM222" s="29"/>
    </row>
    <row r="223" ht="12.75" customHeight="1">
      <c r="A223" s="26"/>
      <c r="B223" s="12"/>
      <c r="C223" s="240"/>
      <c r="D223" s="241"/>
      <c r="E223" s="5"/>
      <c r="F223" s="5"/>
      <c r="G223" s="5"/>
      <c r="H223" s="5"/>
      <c r="I223" s="5"/>
      <c r="J223" s="5"/>
      <c r="K223" s="8"/>
      <c r="L223" s="9"/>
      <c r="M223" s="10"/>
      <c r="N223" s="12"/>
      <c r="O223" s="242"/>
      <c r="P223" s="243"/>
      <c r="Q223" s="243"/>
      <c r="R223" s="14"/>
      <c r="S223" s="242"/>
      <c r="T223" s="15"/>
      <c r="U223" s="15"/>
      <c r="V223" s="15"/>
      <c r="W223" s="8"/>
      <c r="X223" s="8"/>
      <c r="Y223" s="56"/>
      <c r="Z223" s="56"/>
      <c r="AA223" s="15"/>
      <c r="AB223" s="15"/>
      <c r="AC223" s="15"/>
      <c r="AD223" s="15"/>
      <c r="AE223" s="57"/>
      <c r="AF223" s="57"/>
      <c r="AG223" s="15"/>
      <c r="AH223" s="25"/>
      <c r="AI223" s="26"/>
      <c r="AJ223" s="26"/>
      <c r="AK223" s="27"/>
      <c r="AL223" s="28"/>
      <c r="AM223" s="29"/>
    </row>
    <row r="224" ht="12.75" customHeight="1">
      <c r="A224" s="26"/>
      <c r="B224" s="12"/>
      <c r="C224" s="240"/>
      <c r="D224" s="241"/>
      <c r="E224" s="5"/>
      <c r="F224" s="5"/>
      <c r="G224" s="5"/>
      <c r="H224" s="5"/>
      <c r="I224" s="5"/>
      <c r="J224" s="5"/>
      <c r="K224" s="8"/>
      <c r="L224" s="9"/>
      <c r="M224" s="10"/>
      <c r="N224" s="12"/>
      <c r="O224" s="242"/>
      <c r="P224" s="243"/>
      <c r="Q224" s="243"/>
      <c r="R224" s="14"/>
      <c r="S224" s="242"/>
      <c r="T224" s="15"/>
      <c r="U224" s="15"/>
      <c r="V224" s="15"/>
      <c r="W224" s="8"/>
      <c r="X224" s="8"/>
      <c r="Y224" s="56"/>
      <c r="Z224" s="56"/>
      <c r="AA224" s="15"/>
      <c r="AB224" s="15"/>
      <c r="AC224" s="15"/>
      <c r="AD224" s="15"/>
      <c r="AE224" s="57"/>
      <c r="AF224" s="57"/>
      <c r="AG224" s="15"/>
      <c r="AH224" s="25"/>
      <c r="AI224" s="26"/>
      <c r="AJ224" s="26"/>
      <c r="AK224" s="27"/>
      <c r="AL224" s="28"/>
      <c r="AM224" s="29"/>
    </row>
    <row r="225" ht="12.75" customHeight="1">
      <c r="A225" s="26"/>
      <c r="B225" s="12"/>
      <c r="C225" s="240"/>
      <c r="D225" s="241"/>
      <c r="E225" s="5"/>
      <c r="F225" s="5"/>
      <c r="G225" s="5"/>
      <c r="H225" s="5"/>
      <c r="I225" s="5"/>
      <c r="J225" s="5"/>
      <c r="K225" s="8"/>
      <c r="L225" s="9"/>
      <c r="M225" s="10"/>
      <c r="N225" s="12"/>
      <c r="O225" s="242"/>
      <c r="P225" s="243"/>
      <c r="Q225" s="243"/>
      <c r="R225" s="14"/>
      <c r="S225" s="242"/>
      <c r="T225" s="15"/>
      <c r="U225" s="15"/>
      <c r="V225" s="15"/>
      <c r="W225" s="8"/>
      <c r="X225" s="8"/>
      <c r="Y225" s="56"/>
      <c r="Z225" s="56"/>
      <c r="AA225" s="15"/>
      <c r="AB225" s="15"/>
      <c r="AC225" s="15"/>
      <c r="AD225" s="15"/>
      <c r="AE225" s="57"/>
      <c r="AF225" s="57"/>
      <c r="AG225" s="15"/>
      <c r="AH225" s="25"/>
      <c r="AI225" s="26"/>
      <c r="AJ225" s="26"/>
      <c r="AK225" s="27"/>
      <c r="AL225" s="28"/>
      <c r="AM225" s="29"/>
    </row>
    <row r="226" ht="12.75" customHeight="1">
      <c r="A226" s="26"/>
      <c r="B226" s="12"/>
      <c r="C226" s="240"/>
      <c r="D226" s="241"/>
      <c r="E226" s="5"/>
      <c r="F226" s="5"/>
      <c r="G226" s="5"/>
      <c r="H226" s="5"/>
      <c r="I226" s="5"/>
      <c r="J226" s="5"/>
      <c r="K226" s="8"/>
      <c r="L226" s="9"/>
      <c r="M226" s="10"/>
      <c r="N226" s="12"/>
      <c r="O226" s="242"/>
      <c r="P226" s="243"/>
      <c r="Q226" s="243"/>
      <c r="R226" s="14"/>
      <c r="S226" s="242"/>
      <c r="T226" s="15"/>
      <c r="U226" s="15"/>
      <c r="V226" s="15"/>
      <c r="W226" s="8"/>
      <c r="X226" s="8"/>
      <c r="Y226" s="56"/>
      <c r="Z226" s="56"/>
      <c r="AA226" s="15"/>
      <c r="AB226" s="15"/>
      <c r="AC226" s="15"/>
      <c r="AD226" s="15"/>
      <c r="AE226" s="57"/>
      <c r="AF226" s="57"/>
      <c r="AG226" s="15"/>
      <c r="AH226" s="25"/>
      <c r="AI226" s="26"/>
      <c r="AJ226" s="26"/>
      <c r="AK226" s="27"/>
      <c r="AL226" s="28"/>
      <c r="AM226" s="29"/>
    </row>
    <row r="227" ht="12.75" customHeight="1">
      <c r="A227" s="26"/>
      <c r="B227" s="12"/>
      <c r="C227" s="240"/>
      <c r="D227" s="241"/>
      <c r="E227" s="5"/>
      <c r="F227" s="5"/>
      <c r="G227" s="5"/>
      <c r="H227" s="5"/>
      <c r="I227" s="5"/>
      <c r="J227" s="5"/>
      <c r="K227" s="8"/>
      <c r="L227" s="9"/>
      <c r="M227" s="10"/>
      <c r="N227" s="12"/>
      <c r="O227" s="242"/>
      <c r="P227" s="243"/>
      <c r="Q227" s="243"/>
      <c r="R227" s="14"/>
      <c r="S227" s="242"/>
      <c r="T227" s="15"/>
      <c r="U227" s="15"/>
      <c r="V227" s="15"/>
      <c r="W227" s="8"/>
      <c r="X227" s="8"/>
      <c r="Y227" s="56"/>
      <c r="Z227" s="56"/>
      <c r="AA227" s="15"/>
      <c r="AB227" s="15"/>
      <c r="AC227" s="15"/>
      <c r="AD227" s="15"/>
      <c r="AE227" s="57"/>
      <c r="AF227" s="57"/>
      <c r="AG227" s="15"/>
      <c r="AH227" s="25"/>
      <c r="AI227" s="26"/>
      <c r="AJ227" s="26"/>
      <c r="AK227" s="27"/>
      <c r="AL227" s="28"/>
      <c r="AM227" s="29"/>
    </row>
    <row r="228" ht="12.75" customHeight="1">
      <c r="A228" s="26"/>
      <c r="B228" s="12"/>
      <c r="C228" s="240"/>
      <c r="D228" s="241"/>
      <c r="E228" s="5"/>
      <c r="F228" s="5"/>
      <c r="G228" s="5"/>
      <c r="H228" s="5"/>
      <c r="I228" s="5"/>
      <c r="J228" s="5"/>
      <c r="K228" s="8"/>
      <c r="L228" s="9"/>
      <c r="M228" s="10"/>
      <c r="N228" s="12"/>
      <c r="O228" s="242"/>
      <c r="P228" s="243"/>
      <c r="Q228" s="243"/>
      <c r="R228" s="14"/>
      <c r="S228" s="242"/>
      <c r="T228" s="15"/>
      <c r="U228" s="15"/>
      <c r="V228" s="15"/>
      <c r="W228" s="8"/>
      <c r="X228" s="8"/>
      <c r="Y228" s="56"/>
      <c r="Z228" s="56"/>
      <c r="AA228" s="15"/>
      <c r="AB228" s="15"/>
      <c r="AC228" s="15"/>
      <c r="AD228" s="15"/>
      <c r="AE228" s="57"/>
      <c r="AF228" s="57"/>
      <c r="AG228" s="15"/>
      <c r="AH228" s="25"/>
      <c r="AI228" s="26"/>
      <c r="AJ228" s="26"/>
      <c r="AK228" s="27"/>
      <c r="AL228" s="28"/>
      <c r="AM228" s="29"/>
    </row>
    <row r="229" ht="12.75" customHeight="1">
      <c r="A229" s="26"/>
      <c r="B229" s="12"/>
      <c r="C229" s="240"/>
      <c r="D229" s="241"/>
      <c r="E229" s="5"/>
      <c r="F229" s="5"/>
      <c r="G229" s="5"/>
      <c r="H229" s="5"/>
      <c r="I229" s="5"/>
      <c r="J229" s="5"/>
      <c r="K229" s="8"/>
      <c r="L229" s="9"/>
      <c r="M229" s="10"/>
      <c r="N229" s="12"/>
      <c r="O229" s="242"/>
      <c r="P229" s="243"/>
      <c r="Q229" s="243"/>
      <c r="R229" s="14"/>
      <c r="S229" s="242"/>
      <c r="T229" s="15"/>
      <c r="U229" s="15"/>
      <c r="V229" s="15"/>
      <c r="W229" s="8"/>
      <c r="X229" s="8"/>
      <c r="Y229" s="56"/>
      <c r="Z229" s="56"/>
      <c r="AA229" s="15"/>
      <c r="AB229" s="15"/>
      <c r="AC229" s="15"/>
      <c r="AD229" s="15"/>
      <c r="AE229" s="57"/>
      <c r="AF229" s="57"/>
      <c r="AG229" s="15"/>
      <c r="AH229" s="25"/>
      <c r="AI229" s="26"/>
      <c r="AJ229" s="26"/>
      <c r="AK229" s="27"/>
      <c r="AL229" s="28"/>
      <c r="AM229" s="29"/>
    </row>
    <row r="230" ht="12.75" customHeight="1">
      <c r="A230" s="26"/>
      <c r="B230" s="12"/>
      <c r="C230" s="240"/>
      <c r="D230" s="241"/>
      <c r="E230" s="5"/>
      <c r="F230" s="5"/>
      <c r="G230" s="5"/>
      <c r="H230" s="5"/>
      <c r="I230" s="5"/>
      <c r="J230" s="5"/>
      <c r="K230" s="8"/>
      <c r="L230" s="9"/>
      <c r="M230" s="10"/>
      <c r="N230" s="12"/>
      <c r="O230" s="242"/>
      <c r="P230" s="243"/>
      <c r="Q230" s="243"/>
      <c r="R230" s="14"/>
      <c r="S230" s="242"/>
      <c r="T230" s="15"/>
      <c r="U230" s="15"/>
      <c r="V230" s="15"/>
      <c r="W230" s="8"/>
      <c r="X230" s="8"/>
      <c r="Y230" s="56"/>
      <c r="Z230" s="56"/>
      <c r="AA230" s="15"/>
      <c r="AB230" s="15"/>
      <c r="AC230" s="15"/>
      <c r="AD230" s="15"/>
      <c r="AE230" s="57"/>
      <c r="AF230" s="57"/>
      <c r="AG230" s="15"/>
      <c r="AH230" s="25"/>
      <c r="AI230" s="26"/>
      <c r="AJ230" s="26"/>
      <c r="AK230" s="27"/>
      <c r="AL230" s="28"/>
      <c r="AM230" s="29"/>
    </row>
    <row r="231" ht="12.75" customHeight="1">
      <c r="A231" s="26"/>
      <c r="B231" s="12"/>
      <c r="C231" s="240"/>
      <c r="D231" s="241"/>
      <c r="E231" s="5"/>
      <c r="F231" s="5"/>
      <c r="G231" s="5"/>
      <c r="H231" s="5"/>
      <c r="I231" s="5"/>
      <c r="J231" s="5"/>
      <c r="K231" s="8"/>
      <c r="L231" s="9"/>
      <c r="M231" s="10"/>
      <c r="N231" s="12"/>
      <c r="O231" s="242"/>
      <c r="P231" s="243"/>
      <c r="Q231" s="243"/>
      <c r="R231" s="14"/>
      <c r="S231" s="242"/>
      <c r="T231" s="15"/>
      <c r="U231" s="15"/>
      <c r="V231" s="15"/>
      <c r="W231" s="8"/>
      <c r="X231" s="8"/>
      <c r="Y231" s="56"/>
      <c r="Z231" s="56"/>
      <c r="AA231" s="15"/>
      <c r="AB231" s="15"/>
      <c r="AC231" s="15"/>
      <c r="AD231" s="15"/>
      <c r="AE231" s="57"/>
      <c r="AF231" s="57"/>
      <c r="AG231" s="15"/>
      <c r="AH231" s="25"/>
      <c r="AI231" s="26"/>
      <c r="AJ231" s="26"/>
      <c r="AK231" s="27"/>
      <c r="AL231" s="28"/>
      <c r="AM231" s="29"/>
    </row>
    <row r="232" ht="12.75" customHeight="1">
      <c r="A232" s="26"/>
      <c r="B232" s="12"/>
      <c r="C232" s="240"/>
      <c r="D232" s="241"/>
      <c r="E232" s="5"/>
      <c r="F232" s="5"/>
      <c r="G232" s="5"/>
      <c r="H232" s="5"/>
      <c r="I232" s="5"/>
      <c r="J232" s="5"/>
      <c r="K232" s="8"/>
      <c r="L232" s="9"/>
      <c r="M232" s="10"/>
      <c r="N232" s="12"/>
      <c r="O232" s="242"/>
      <c r="P232" s="243"/>
      <c r="Q232" s="243"/>
      <c r="R232" s="14"/>
      <c r="S232" s="242"/>
      <c r="T232" s="15"/>
      <c r="U232" s="15"/>
      <c r="V232" s="15"/>
      <c r="W232" s="8"/>
      <c r="X232" s="8"/>
      <c r="Y232" s="56"/>
      <c r="Z232" s="56"/>
      <c r="AA232" s="15"/>
      <c r="AB232" s="15"/>
      <c r="AC232" s="15"/>
      <c r="AD232" s="15"/>
      <c r="AE232" s="57"/>
      <c r="AF232" s="57"/>
      <c r="AG232" s="15"/>
      <c r="AH232" s="25"/>
      <c r="AI232" s="26"/>
      <c r="AJ232" s="26"/>
      <c r="AK232" s="27"/>
      <c r="AL232" s="28"/>
      <c r="AM232" s="29"/>
    </row>
    <row r="233" ht="12.75" customHeight="1">
      <c r="A233" s="26"/>
      <c r="B233" s="12"/>
      <c r="C233" s="240"/>
      <c r="D233" s="241"/>
      <c r="E233" s="5"/>
      <c r="F233" s="5"/>
      <c r="G233" s="5"/>
      <c r="H233" s="5"/>
      <c r="I233" s="5"/>
      <c r="J233" s="5"/>
      <c r="K233" s="8"/>
      <c r="L233" s="9"/>
      <c r="M233" s="10"/>
      <c r="N233" s="12"/>
      <c r="O233" s="242"/>
      <c r="P233" s="243"/>
      <c r="Q233" s="243"/>
      <c r="R233" s="14"/>
      <c r="S233" s="242"/>
      <c r="T233" s="15"/>
      <c r="U233" s="15"/>
      <c r="V233" s="15"/>
      <c r="W233" s="8"/>
      <c r="X233" s="8"/>
      <c r="Y233" s="56"/>
      <c r="Z233" s="56"/>
      <c r="AA233" s="15"/>
      <c r="AB233" s="15"/>
      <c r="AC233" s="15"/>
      <c r="AD233" s="15"/>
      <c r="AE233" s="57"/>
      <c r="AF233" s="57"/>
      <c r="AG233" s="15"/>
      <c r="AH233" s="25"/>
      <c r="AI233" s="26"/>
      <c r="AJ233" s="26"/>
      <c r="AK233" s="27"/>
      <c r="AL233" s="28"/>
      <c r="AM233" s="29"/>
    </row>
    <row r="234" ht="12.75" customHeight="1">
      <c r="A234" s="26"/>
      <c r="B234" s="12"/>
      <c r="C234" s="240"/>
      <c r="D234" s="241"/>
      <c r="E234" s="5"/>
      <c r="F234" s="5"/>
      <c r="G234" s="5"/>
      <c r="H234" s="5"/>
      <c r="I234" s="5"/>
      <c r="J234" s="5"/>
      <c r="K234" s="8"/>
      <c r="L234" s="9"/>
      <c r="M234" s="10"/>
      <c r="N234" s="12"/>
      <c r="O234" s="242"/>
      <c r="P234" s="243"/>
      <c r="Q234" s="243"/>
      <c r="R234" s="14"/>
      <c r="S234" s="242"/>
      <c r="T234" s="15"/>
      <c r="U234" s="15"/>
      <c r="V234" s="15"/>
      <c r="W234" s="8"/>
      <c r="X234" s="8"/>
      <c r="Y234" s="56"/>
      <c r="Z234" s="56"/>
      <c r="AA234" s="15"/>
      <c r="AB234" s="15"/>
      <c r="AC234" s="15"/>
      <c r="AD234" s="15"/>
      <c r="AE234" s="57"/>
      <c r="AF234" s="57"/>
      <c r="AG234" s="15"/>
      <c r="AH234" s="25"/>
      <c r="AI234" s="26"/>
      <c r="AJ234" s="26"/>
      <c r="AK234" s="27"/>
      <c r="AL234" s="28"/>
      <c r="AM234" s="29"/>
    </row>
    <row r="235" ht="12.75" customHeight="1">
      <c r="A235" s="26"/>
      <c r="B235" s="12"/>
      <c r="C235" s="240"/>
      <c r="D235" s="241"/>
      <c r="E235" s="5"/>
      <c r="F235" s="5"/>
      <c r="G235" s="5"/>
      <c r="H235" s="5"/>
      <c r="I235" s="5"/>
      <c r="J235" s="5"/>
      <c r="K235" s="8"/>
      <c r="L235" s="9"/>
      <c r="M235" s="10"/>
      <c r="N235" s="12"/>
      <c r="O235" s="242"/>
      <c r="P235" s="243"/>
      <c r="Q235" s="243"/>
      <c r="R235" s="14"/>
      <c r="S235" s="242"/>
      <c r="T235" s="15"/>
      <c r="U235" s="15"/>
      <c r="V235" s="15"/>
      <c r="W235" s="8"/>
      <c r="X235" s="8"/>
      <c r="Y235" s="56"/>
      <c r="Z235" s="56"/>
      <c r="AA235" s="15"/>
      <c r="AB235" s="15"/>
      <c r="AC235" s="15"/>
      <c r="AD235" s="15"/>
      <c r="AE235" s="57"/>
      <c r="AF235" s="57"/>
      <c r="AG235" s="15"/>
      <c r="AH235" s="25"/>
      <c r="AI235" s="26"/>
      <c r="AJ235" s="26"/>
      <c r="AK235" s="27"/>
      <c r="AL235" s="28"/>
      <c r="AM235" s="29"/>
    </row>
    <row r="236" ht="12.75" customHeight="1">
      <c r="A236" s="26"/>
      <c r="B236" s="12"/>
      <c r="C236" s="240"/>
      <c r="D236" s="241"/>
      <c r="E236" s="5"/>
      <c r="F236" s="5"/>
      <c r="G236" s="5"/>
      <c r="H236" s="5"/>
      <c r="I236" s="5"/>
      <c r="J236" s="5"/>
      <c r="K236" s="8"/>
      <c r="L236" s="9"/>
      <c r="M236" s="10"/>
      <c r="N236" s="12"/>
      <c r="O236" s="242"/>
      <c r="P236" s="243"/>
      <c r="Q236" s="243"/>
      <c r="R236" s="14"/>
      <c r="S236" s="242"/>
      <c r="T236" s="15"/>
      <c r="U236" s="15"/>
      <c r="V236" s="15"/>
      <c r="W236" s="8"/>
      <c r="X236" s="8"/>
      <c r="Y236" s="56"/>
      <c r="Z236" s="56"/>
      <c r="AA236" s="15"/>
      <c r="AB236" s="15"/>
      <c r="AC236" s="15"/>
      <c r="AD236" s="15"/>
      <c r="AE236" s="57"/>
      <c r="AF236" s="57"/>
      <c r="AG236" s="15"/>
      <c r="AH236" s="25"/>
      <c r="AI236" s="26"/>
      <c r="AJ236" s="26"/>
      <c r="AK236" s="27"/>
      <c r="AL236" s="28"/>
      <c r="AM236" s="29"/>
    </row>
    <row r="237" ht="12.75" customHeight="1">
      <c r="A237" s="26"/>
      <c r="B237" s="12"/>
      <c r="C237" s="240"/>
      <c r="D237" s="241"/>
      <c r="E237" s="5"/>
      <c r="F237" s="5"/>
      <c r="G237" s="5"/>
      <c r="H237" s="5"/>
      <c r="I237" s="5"/>
      <c r="J237" s="5"/>
      <c r="K237" s="8"/>
      <c r="L237" s="9"/>
      <c r="M237" s="10"/>
      <c r="N237" s="12"/>
      <c r="O237" s="242"/>
      <c r="P237" s="243"/>
      <c r="Q237" s="243"/>
      <c r="R237" s="14"/>
      <c r="S237" s="242"/>
      <c r="T237" s="15"/>
      <c r="U237" s="15"/>
      <c r="V237" s="15"/>
      <c r="W237" s="8"/>
      <c r="X237" s="8"/>
      <c r="Y237" s="56"/>
      <c r="Z237" s="56"/>
      <c r="AA237" s="15"/>
      <c r="AB237" s="15"/>
      <c r="AC237" s="15"/>
      <c r="AD237" s="15"/>
      <c r="AE237" s="57"/>
      <c r="AF237" s="57"/>
      <c r="AG237" s="15"/>
      <c r="AH237" s="25"/>
      <c r="AI237" s="26"/>
      <c r="AJ237" s="26"/>
      <c r="AK237" s="27"/>
      <c r="AL237" s="28"/>
      <c r="AM237" s="29"/>
    </row>
    <row r="238" ht="12.75" customHeight="1">
      <c r="A238" s="26"/>
      <c r="B238" s="12"/>
      <c r="C238" s="240"/>
      <c r="D238" s="241"/>
      <c r="E238" s="5"/>
      <c r="F238" s="5"/>
      <c r="G238" s="5"/>
      <c r="H238" s="5"/>
      <c r="I238" s="5"/>
      <c r="J238" s="5"/>
      <c r="K238" s="8"/>
      <c r="L238" s="9"/>
      <c r="M238" s="10"/>
      <c r="N238" s="12"/>
      <c r="O238" s="242"/>
      <c r="P238" s="243"/>
      <c r="Q238" s="243"/>
      <c r="R238" s="14"/>
      <c r="S238" s="242"/>
      <c r="T238" s="15"/>
      <c r="U238" s="15"/>
      <c r="V238" s="15"/>
      <c r="W238" s="8"/>
      <c r="X238" s="8"/>
      <c r="Y238" s="56"/>
      <c r="Z238" s="56"/>
      <c r="AA238" s="15"/>
      <c r="AB238" s="15"/>
      <c r="AC238" s="15"/>
      <c r="AD238" s="15"/>
      <c r="AE238" s="57"/>
      <c r="AF238" s="57"/>
      <c r="AG238" s="15"/>
      <c r="AH238" s="25"/>
      <c r="AI238" s="26"/>
      <c r="AJ238" s="26"/>
      <c r="AK238" s="27"/>
      <c r="AL238" s="28"/>
      <c r="AM238" s="29"/>
    </row>
    <row r="239" ht="12.75" customHeight="1">
      <c r="A239" s="26"/>
      <c r="B239" s="12"/>
      <c r="C239" s="240"/>
      <c r="D239" s="241"/>
      <c r="E239" s="5"/>
      <c r="F239" s="5"/>
      <c r="G239" s="5"/>
      <c r="H239" s="5"/>
      <c r="I239" s="5"/>
      <c r="J239" s="5"/>
      <c r="K239" s="8"/>
      <c r="L239" s="9"/>
      <c r="M239" s="10"/>
      <c r="N239" s="12"/>
      <c r="O239" s="242"/>
      <c r="P239" s="243"/>
      <c r="Q239" s="243"/>
      <c r="R239" s="14"/>
      <c r="S239" s="242"/>
      <c r="T239" s="15"/>
      <c r="U239" s="15"/>
      <c r="V239" s="15"/>
      <c r="W239" s="8"/>
      <c r="X239" s="8"/>
      <c r="Y239" s="56"/>
      <c r="Z239" s="56"/>
      <c r="AA239" s="15"/>
      <c r="AB239" s="15"/>
      <c r="AC239" s="15"/>
      <c r="AD239" s="15"/>
      <c r="AE239" s="57"/>
      <c r="AF239" s="57"/>
      <c r="AG239" s="15"/>
      <c r="AH239" s="25"/>
      <c r="AI239" s="26"/>
      <c r="AJ239" s="26"/>
      <c r="AK239" s="27"/>
      <c r="AL239" s="28"/>
      <c r="AM239" s="29"/>
    </row>
    <row r="240" ht="12.75" customHeight="1">
      <c r="A240" s="26"/>
      <c r="B240" s="12"/>
      <c r="C240" s="240"/>
      <c r="D240" s="241"/>
      <c r="E240" s="5"/>
      <c r="F240" s="5"/>
      <c r="G240" s="5"/>
      <c r="H240" s="5"/>
      <c r="I240" s="5"/>
      <c r="J240" s="5"/>
      <c r="K240" s="8"/>
      <c r="L240" s="9"/>
      <c r="M240" s="10"/>
      <c r="N240" s="12"/>
      <c r="O240" s="242"/>
      <c r="P240" s="243"/>
      <c r="Q240" s="243"/>
      <c r="R240" s="14"/>
      <c r="S240" s="242"/>
      <c r="T240" s="15"/>
      <c r="U240" s="15"/>
      <c r="V240" s="15"/>
      <c r="W240" s="8"/>
      <c r="X240" s="8"/>
      <c r="Y240" s="56"/>
      <c r="Z240" s="56"/>
      <c r="AA240" s="15"/>
      <c r="AB240" s="15"/>
      <c r="AC240" s="15"/>
      <c r="AD240" s="15"/>
      <c r="AE240" s="57"/>
      <c r="AF240" s="57"/>
      <c r="AG240" s="15"/>
      <c r="AH240" s="25"/>
      <c r="AI240" s="26"/>
      <c r="AJ240" s="26"/>
      <c r="AK240" s="27"/>
      <c r="AL240" s="28"/>
      <c r="AM240" s="29"/>
    </row>
    <row r="241" ht="12.75" customHeight="1">
      <c r="A241" s="26"/>
      <c r="B241" s="12"/>
      <c r="C241" s="240"/>
      <c r="D241" s="241"/>
      <c r="E241" s="5"/>
      <c r="F241" s="5"/>
      <c r="G241" s="5"/>
      <c r="H241" s="5"/>
      <c r="I241" s="5"/>
      <c r="J241" s="5"/>
      <c r="K241" s="8"/>
      <c r="L241" s="9"/>
      <c r="M241" s="10"/>
      <c r="N241" s="12"/>
      <c r="O241" s="242"/>
      <c r="P241" s="243"/>
      <c r="Q241" s="243"/>
      <c r="R241" s="14"/>
      <c r="S241" s="242"/>
      <c r="T241" s="15"/>
      <c r="U241" s="15"/>
      <c r="V241" s="15"/>
      <c r="W241" s="8"/>
      <c r="X241" s="8"/>
      <c r="Y241" s="56"/>
      <c r="Z241" s="56"/>
      <c r="AA241" s="15"/>
      <c r="AB241" s="15"/>
      <c r="AC241" s="15"/>
      <c r="AD241" s="15"/>
      <c r="AE241" s="57"/>
      <c r="AF241" s="57"/>
      <c r="AG241" s="15"/>
      <c r="AH241" s="25"/>
      <c r="AI241" s="26"/>
      <c r="AJ241" s="26"/>
      <c r="AK241" s="27"/>
      <c r="AL241" s="28"/>
      <c r="AM241" s="29"/>
    </row>
    <row r="242" ht="12.75" customHeight="1">
      <c r="A242" s="26"/>
      <c r="B242" s="12"/>
      <c r="C242" s="240"/>
      <c r="D242" s="241"/>
      <c r="E242" s="5"/>
      <c r="F242" s="5"/>
      <c r="G242" s="5"/>
      <c r="H242" s="5"/>
      <c r="I242" s="5"/>
      <c r="J242" s="5"/>
      <c r="K242" s="8"/>
      <c r="L242" s="9"/>
      <c r="M242" s="10"/>
      <c r="N242" s="12"/>
      <c r="O242" s="242"/>
      <c r="P242" s="243"/>
      <c r="Q242" s="243"/>
      <c r="R242" s="14"/>
      <c r="S242" s="242"/>
      <c r="T242" s="15"/>
      <c r="U242" s="15"/>
      <c r="V242" s="15"/>
      <c r="W242" s="8"/>
      <c r="X242" s="8"/>
      <c r="Y242" s="56"/>
      <c r="Z242" s="56"/>
      <c r="AA242" s="15"/>
      <c r="AB242" s="15"/>
      <c r="AC242" s="15"/>
      <c r="AD242" s="15"/>
      <c r="AE242" s="57"/>
      <c r="AF242" s="57"/>
      <c r="AG242" s="15"/>
      <c r="AH242" s="25"/>
      <c r="AI242" s="26"/>
      <c r="AJ242" s="26"/>
      <c r="AK242" s="27"/>
      <c r="AL242" s="28"/>
      <c r="AM242" s="29"/>
    </row>
    <row r="243" ht="12.75" customHeight="1">
      <c r="A243" s="26"/>
      <c r="B243" s="12"/>
      <c r="C243" s="240"/>
      <c r="D243" s="241"/>
      <c r="E243" s="5"/>
      <c r="F243" s="5"/>
      <c r="G243" s="5"/>
      <c r="H243" s="5"/>
      <c r="I243" s="5"/>
      <c r="J243" s="5"/>
      <c r="K243" s="8"/>
      <c r="L243" s="9"/>
      <c r="M243" s="10"/>
      <c r="N243" s="12"/>
      <c r="O243" s="242"/>
      <c r="P243" s="243"/>
      <c r="Q243" s="243"/>
      <c r="R243" s="14"/>
      <c r="S243" s="242"/>
      <c r="T243" s="15"/>
      <c r="U243" s="15"/>
      <c r="V243" s="15"/>
      <c r="W243" s="8"/>
      <c r="X243" s="8"/>
      <c r="Y243" s="56"/>
      <c r="Z243" s="56"/>
      <c r="AA243" s="15"/>
      <c r="AB243" s="15"/>
      <c r="AC243" s="15"/>
      <c r="AD243" s="15"/>
      <c r="AE243" s="57"/>
      <c r="AF243" s="57"/>
      <c r="AG243" s="15"/>
      <c r="AH243" s="25"/>
      <c r="AI243" s="26"/>
      <c r="AJ243" s="26"/>
      <c r="AK243" s="27"/>
      <c r="AL243" s="28"/>
      <c r="AM243" s="29"/>
    </row>
  </sheetData>
  <mergeCells count="8">
    <mergeCell ref="H1:I1"/>
    <mergeCell ref="J4:J5"/>
    <mergeCell ref="AJ7:AM8"/>
    <mergeCell ref="F8:K8"/>
    <mergeCell ref="O8:S8"/>
    <mergeCell ref="T8:V8"/>
    <mergeCell ref="X8:AD8"/>
    <mergeCell ref="AG8:AH8"/>
  </mergeCells>
  <conditionalFormatting sqref="AH1:AH7 AH9:AH243">
    <cfRule type="cellIs" dxfId="0" priority="1" operator="lessThan">
      <formula>0</formula>
    </cfRule>
  </conditionalFormatting>
  <conditionalFormatting sqref="AH1:AH7 AH9:AH243">
    <cfRule type="cellIs" dxfId="1" priority="2" operator="greaterThan">
      <formula>0.300001</formula>
    </cfRule>
  </conditionalFormatting>
  <conditionalFormatting sqref="AH1:AH7 AH9:AH243">
    <cfRule type="cellIs" dxfId="2" priority="3" operator="between">
      <formula>0.250001</formula>
      <formula>0.3</formula>
    </cfRule>
  </conditionalFormatting>
  <conditionalFormatting sqref="AH1:AH7 AH9:AH243">
    <cfRule type="cellIs" dxfId="3" priority="4" operator="between">
      <formula>0.200001</formula>
      <formula>0.25</formula>
    </cfRule>
  </conditionalFormatting>
  <conditionalFormatting sqref="AH1:AH7 AH9:AH243">
    <cfRule type="cellIs" dxfId="4" priority="5" operator="between">
      <formula>0.1500001</formula>
      <formula>0.2</formula>
    </cfRule>
  </conditionalFormatting>
  <conditionalFormatting sqref="AH1:AH7 AH9:AH243">
    <cfRule type="cellIs" dxfId="5" priority="6" operator="between">
      <formula>0.0000001</formula>
      <formula>0.15</formula>
    </cfRule>
  </conditionalFormatting>
  <printOptions/>
  <pageMargins bottom="0.7875" footer="0.0" header="0.0" left="0.7875" right="0.7875" top="0.78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4.43" defaultRowHeight="15.0"/>
  <cols>
    <col customWidth="1" min="1" max="1" width="1.43"/>
    <col customWidth="1" hidden="1" min="2" max="2" width="8.71"/>
    <col customWidth="1" min="3" max="3" width="12.14"/>
    <col customWidth="1" min="4" max="4" width="52.71"/>
    <col customWidth="1" min="5" max="5" width="5.71"/>
    <col customWidth="1" min="6" max="6" width="7.71"/>
    <col customWidth="1" min="7" max="7" width="8.29"/>
    <col customWidth="1" min="8" max="9" width="8.0"/>
    <col customWidth="1" min="10" max="10" width="8.14"/>
    <col customWidth="1" min="11" max="11" width="9.86"/>
    <col customWidth="1" min="12" max="13" width="8.14"/>
    <col customWidth="1" min="14" max="15" width="9.0"/>
    <col customWidth="1" min="16" max="17" width="10.14"/>
    <col customWidth="1" min="18" max="22" width="9.0"/>
    <col customWidth="1" min="23" max="23" width="7.14"/>
    <col customWidth="1" min="24" max="30" width="9.0"/>
    <col customWidth="1" min="31" max="31" width="7.43"/>
    <col customWidth="1" min="32" max="34" width="9.0"/>
    <col customWidth="1" min="35" max="35" width="2.0"/>
    <col customWidth="1" min="36" max="37" width="9.0"/>
    <col customWidth="1" min="38" max="38" width="10.14"/>
    <col customWidth="1" min="39" max="39" width="9.0"/>
  </cols>
  <sheetData>
    <row r="1" ht="12.75" customHeight="1">
      <c r="A1" s="1">
        <v>2.14312259E8</v>
      </c>
      <c r="B1" s="2"/>
      <c r="C1" s="3">
        <v>60.0</v>
      </c>
      <c r="D1" s="4" t="s">
        <v>0</v>
      </c>
      <c r="E1" s="5"/>
      <c r="F1" s="5"/>
      <c r="G1" s="5"/>
      <c r="H1" s="6">
        <v>45712.0</v>
      </c>
      <c r="I1" s="7"/>
      <c r="J1" s="5"/>
      <c r="K1" s="8"/>
      <c r="L1" s="9"/>
      <c r="M1" s="10"/>
      <c r="N1" s="10"/>
      <c r="O1" s="12" t="s">
        <v>1</v>
      </c>
      <c r="P1" s="13"/>
      <c r="Q1" s="13"/>
      <c r="R1" s="14"/>
      <c r="S1" s="15" t="s">
        <v>2</v>
      </c>
      <c r="T1" s="15"/>
      <c r="U1" s="15"/>
      <c r="V1" s="15"/>
      <c r="W1" s="8"/>
      <c r="X1" s="16" t="s">
        <v>3</v>
      </c>
      <c r="Y1" s="17">
        <v>1.7</v>
      </c>
      <c r="Z1" s="18" t="s">
        <v>4</v>
      </c>
      <c r="AA1" s="19"/>
      <c r="AB1" s="20"/>
      <c r="AC1" s="15"/>
      <c r="AD1" s="21">
        <v>0.29</v>
      </c>
      <c r="AE1" s="22" t="s">
        <v>5</v>
      </c>
      <c r="AF1" s="23"/>
      <c r="AG1" s="24"/>
      <c r="AH1" s="25"/>
      <c r="AI1" s="26"/>
      <c r="AJ1" s="26"/>
      <c r="AK1" s="27"/>
      <c r="AL1" s="28"/>
      <c r="AM1" s="29"/>
    </row>
    <row r="2" ht="12.75" customHeight="1">
      <c r="A2" s="26"/>
      <c r="B2" s="12"/>
      <c r="C2" s="30">
        <v>0.1</v>
      </c>
      <c r="D2" s="31" t="s">
        <v>6</v>
      </c>
      <c r="E2" s="5"/>
      <c r="F2" s="5"/>
      <c r="G2" s="5"/>
      <c r="H2" s="32" t="s">
        <v>7</v>
      </c>
      <c r="I2" s="32">
        <v>6.9E-4</v>
      </c>
      <c r="J2" s="5"/>
      <c r="K2" s="8"/>
      <c r="L2" s="9"/>
      <c r="M2" s="10"/>
      <c r="N2" s="10" t="s">
        <v>8</v>
      </c>
      <c r="O2" s="33">
        <v>170.0</v>
      </c>
      <c r="P2" s="34">
        <v>64.6</v>
      </c>
      <c r="Q2" s="34"/>
      <c r="R2" s="35">
        <v>16.15</v>
      </c>
      <c r="S2" s="36">
        <v>170.0</v>
      </c>
      <c r="T2" s="36">
        <v>0.14</v>
      </c>
      <c r="U2" s="36">
        <v>0.14</v>
      </c>
      <c r="V2" s="15"/>
      <c r="W2" s="8"/>
      <c r="X2" s="37" t="s">
        <v>9</v>
      </c>
      <c r="Y2" s="38">
        <v>1.7</v>
      </c>
      <c r="Z2" s="39" t="s">
        <v>10</v>
      </c>
      <c r="AA2" s="38"/>
      <c r="AB2" s="40"/>
      <c r="AC2" s="15"/>
      <c r="AD2" s="41">
        <v>0.0</v>
      </c>
      <c r="AE2" s="22" t="s">
        <v>11</v>
      </c>
      <c r="AF2" s="23"/>
      <c r="AG2" s="24"/>
      <c r="AH2" s="25"/>
      <c r="AI2" s="26"/>
      <c r="AJ2" s="26"/>
      <c r="AK2" s="27"/>
      <c r="AL2" s="28"/>
      <c r="AM2" s="29"/>
    </row>
    <row r="3" ht="12.75" customHeight="1">
      <c r="A3" s="26"/>
      <c r="B3" s="12"/>
      <c r="C3" s="42">
        <v>0.0</v>
      </c>
      <c r="D3" s="43" t="s">
        <v>12</v>
      </c>
      <c r="E3" s="5"/>
      <c r="F3" s="5"/>
      <c r="G3" s="5"/>
      <c r="H3" s="44" t="s">
        <v>13</v>
      </c>
      <c r="I3" s="44">
        <v>89.0</v>
      </c>
      <c r="J3" s="5"/>
      <c r="K3" s="8"/>
      <c r="L3" s="9"/>
      <c r="M3" s="10"/>
      <c r="N3" s="10" t="s">
        <v>14</v>
      </c>
      <c r="O3" s="33">
        <v>160.0</v>
      </c>
      <c r="P3" s="34">
        <v>60.8</v>
      </c>
      <c r="Q3" s="34"/>
      <c r="R3" s="35">
        <v>15.2</v>
      </c>
      <c r="S3" s="36">
        <v>160.0</v>
      </c>
      <c r="T3" s="36">
        <v>0.13</v>
      </c>
      <c r="U3" s="36">
        <v>0.13</v>
      </c>
      <c r="V3" s="15"/>
      <c r="W3" s="8"/>
      <c r="X3" s="8"/>
      <c r="Y3" s="45">
        <v>50.0</v>
      </c>
      <c r="Z3" s="46" t="s">
        <v>15</v>
      </c>
      <c r="AA3" s="38"/>
      <c r="AB3" s="40"/>
      <c r="AC3" s="15"/>
      <c r="AD3" s="47">
        <v>0.0</v>
      </c>
      <c r="AE3" s="48" t="s">
        <v>16</v>
      </c>
      <c r="AF3" s="49"/>
      <c r="AG3" s="50"/>
      <c r="AH3" s="25"/>
      <c r="AI3" s="26"/>
      <c r="AJ3" s="26"/>
      <c r="AK3" s="27"/>
      <c r="AL3" s="28"/>
      <c r="AM3" s="29"/>
    </row>
    <row r="4" ht="12.75" customHeight="1">
      <c r="A4" s="26"/>
      <c r="B4" s="12"/>
      <c r="C4" s="51">
        <v>76.0</v>
      </c>
      <c r="D4" s="52" t="s">
        <v>17</v>
      </c>
      <c r="E4" s="5"/>
      <c r="F4" s="5"/>
      <c r="G4" s="53"/>
      <c r="H4" s="54" t="s">
        <v>18</v>
      </c>
      <c r="I4" s="32"/>
      <c r="J4" s="55">
        <v>0.3</v>
      </c>
      <c r="K4" s="8"/>
      <c r="L4" s="9"/>
      <c r="M4" s="10"/>
      <c r="N4" s="10" t="s">
        <v>19</v>
      </c>
      <c r="O4" s="33">
        <v>115.0</v>
      </c>
      <c r="P4" s="34">
        <v>43.7</v>
      </c>
      <c r="Q4" s="34"/>
      <c r="R4" s="35">
        <v>10.93</v>
      </c>
      <c r="S4" s="36">
        <v>115.0</v>
      </c>
      <c r="T4" s="36">
        <v>0.09</v>
      </c>
      <c r="U4" s="36">
        <v>0.09</v>
      </c>
      <c r="V4" s="15"/>
      <c r="W4" s="8"/>
      <c r="X4" s="8"/>
      <c r="Y4" s="15">
        <v>38.0</v>
      </c>
      <c r="Z4" s="56" t="s">
        <v>20</v>
      </c>
      <c r="AA4" s="15"/>
      <c r="AB4" s="15"/>
      <c r="AC4" s="15"/>
      <c r="AD4" s="15"/>
      <c r="AE4" s="57"/>
      <c r="AF4" s="57"/>
      <c r="AG4" s="15"/>
      <c r="AH4" s="25"/>
      <c r="AI4" s="26"/>
      <c r="AJ4" s="26"/>
      <c r="AK4" s="27"/>
      <c r="AL4" s="28"/>
      <c r="AM4" s="29"/>
    </row>
    <row r="5" ht="12.75" customHeight="1">
      <c r="A5" s="26"/>
      <c r="B5" s="12"/>
      <c r="C5" s="58">
        <v>19.0</v>
      </c>
      <c r="D5" s="59" t="s">
        <v>21</v>
      </c>
      <c r="E5" s="5"/>
      <c r="F5" s="5"/>
      <c r="G5" s="53"/>
      <c r="H5" s="54" t="s">
        <v>22</v>
      </c>
      <c r="I5" s="32"/>
      <c r="J5" s="60"/>
      <c r="K5" s="8"/>
      <c r="L5" s="9"/>
      <c r="M5" s="10"/>
      <c r="N5" s="10" t="s">
        <v>23</v>
      </c>
      <c r="O5" s="61">
        <v>200.0</v>
      </c>
      <c r="P5" s="62">
        <v>76.0</v>
      </c>
      <c r="Q5" s="62"/>
      <c r="R5" s="63">
        <v>19.0</v>
      </c>
      <c r="S5" s="36">
        <v>200.0</v>
      </c>
      <c r="T5" s="64">
        <v>0.16</v>
      </c>
      <c r="U5" s="64">
        <v>0.16</v>
      </c>
      <c r="V5" s="15"/>
      <c r="W5" s="8"/>
      <c r="X5" s="8"/>
      <c r="Y5" s="15">
        <v>9.5</v>
      </c>
      <c r="Z5" s="56" t="s">
        <v>24</v>
      </c>
      <c r="AA5" s="15"/>
      <c r="AB5" s="15"/>
      <c r="AC5" s="15"/>
      <c r="AD5" s="15"/>
      <c r="AE5" s="57"/>
      <c r="AF5" s="57"/>
      <c r="AG5" s="15"/>
      <c r="AH5" s="25"/>
      <c r="AI5" s="26"/>
      <c r="AJ5" s="26"/>
      <c r="AK5" s="27"/>
      <c r="AL5" s="28"/>
      <c r="AM5" s="29"/>
    </row>
    <row r="6" ht="12.75" customHeight="1">
      <c r="A6" s="26"/>
      <c r="B6" s="12"/>
      <c r="C6" s="51">
        <v>0.16</v>
      </c>
      <c r="D6" s="52" t="s">
        <v>25</v>
      </c>
      <c r="E6" s="5"/>
      <c r="F6" s="5"/>
      <c r="G6" s="5"/>
      <c r="H6" s="5"/>
      <c r="I6" s="5"/>
      <c r="J6" s="5"/>
      <c r="K6" s="8"/>
      <c r="L6" s="9"/>
      <c r="M6" s="10"/>
      <c r="N6" s="10" t="s">
        <v>26</v>
      </c>
      <c r="O6" s="33">
        <v>165.0</v>
      </c>
      <c r="P6" s="34">
        <v>62.7</v>
      </c>
      <c r="Q6" s="34"/>
      <c r="R6" s="35">
        <v>15.68</v>
      </c>
      <c r="S6" s="36">
        <v>165.0</v>
      </c>
      <c r="T6" s="36">
        <v>0.13</v>
      </c>
      <c r="U6" s="36">
        <v>0.13</v>
      </c>
      <c r="V6" s="15"/>
      <c r="W6" s="8"/>
      <c r="X6" s="8"/>
      <c r="Y6" s="65">
        <v>0.325</v>
      </c>
      <c r="Z6" s="66" t="s">
        <v>27</v>
      </c>
      <c r="AA6" s="19"/>
      <c r="AB6" s="20"/>
      <c r="AC6" s="15"/>
      <c r="AD6" s="15"/>
      <c r="AE6" s="57"/>
      <c r="AF6" s="57"/>
      <c r="AG6" s="15"/>
      <c r="AH6" s="25"/>
      <c r="AI6" s="26"/>
      <c r="AJ6" s="26"/>
      <c r="AK6" s="27"/>
      <c r="AL6" s="28"/>
      <c r="AM6" s="29"/>
    </row>
    <row r="7" ht="12.75" customHeight="1">
      <c r="A7" s="26"/>
      <c r="B7" s="12"/>
      <c r="C7" s="67">
        <v>30.0</v>
      </c>
      <c r="D7" s="59" t="s">
        <v>28</v>
      </c>
      <c r="E7" s="5"/>
      <c r="F7" s="5"/>
      <c r="G7" s="5"/>
      <c r="H7" s="5"/>
      <c r="I7" s="5"/>
      <c r="J7" s="5"/>
      <c r="K7" s="8"/>
      <c r="L7" s="9"/>
      <c r="M7" s="10"/>
      <c r="N7" s="10" t="s">
        <v>29</v>
      </c>
      <c r="O7" s="33">
        <v>220.0</v>
      </c>
      <c r="P7" s="34">
        <v>83.6</v>
      </c>
      <c r="Q7" s="34"/>
      <c r="R7" s="68">
        <v>20.9</v>
      </c>
      <c r="S7" s="35">
        <v>220.0</v>
      </c>
      <c r="T7" s="36">
        <v>0.18</v>
      </c>
      <c r="U7" s="36">
        <v>0.18</v>
      </c>
      <c r="V7" s="15"/>
      <c r="W7" s="69"/>
      <c r="X7" s="8"/>
      <c r="Y7" s="70">
        <v>0.0217</v>
      </c>
      <c r="Z7" s="71" t="s">
        <v>30</v>
      </c>
      <c r="AA7" s="72"/>
      <c r="AB7" s="73"/>
      <c r="AC7" s="15"/>
      <c r="AD7" s="15"/>
      <c r="AE7" s="57"/>
      <c r="AF7" s="57"/>
      <c r="AG7" s="15"/>
      <c r="AH7" s="25"/>
      <c r="AI7" s="26"/>
      <c r="AJ7" s="74" t="s">
        <v>31</v>
      </c>
      <c r="AK7" s="75"/>
      <c r="AL7" s="75"/>
      <c r="AM7" s="76"/>
    </row>
    <row r="8" ht="12.75" customHeight="1">
      <c r="A8" s="26"/>
      <c r="B8" s="77"/>
      <c r="C8" s="78">
        <v>0.08</v>
      </c>
      <c r="D8" s="79" t="s">
        <v>32</v>
      </c>
      <c r="E8" s="80"/>
      <c r="F8" s="81" t="s">
        <v>33</v>
      </c>
      <c r="G8" s="82"/>
      <c r="H8" s="82"/>
      <c r="I8" s="82"/>
      <c r="J8" s="82"/>
      <c r="K8" s="83"/>
      <c r="L8" s="84"/>
      <c r="M8" s="85"/>
      <c r="N8" s="12"/>
      <c r="O8" s="87" t="s">
        <v>34</v>
      </c>
      <c r="P8" s="88"/>
      <c r="Q8" s="88"/>
      <c r="R8" s="88"/>
      <c r="S8" s="89"/>
      <c r="T8" s="90" t="s">
        <v>35</v>
      </c>
      <c r="U8" s="88"/>
      <c r="V8" s="89"/>
      <c r="W8" s="8"/>
      <c r="X8" s="91" t="s">
        <v>36</v>
      </c>
      <c r="Y8" s="75"/>
      <c r="Z8" s="75"/>
      <c r="AA8" s="75"/>
      <c r="AB8" s="75"/>
      <c r="AC8" s="75"/>
      <c r="AD8" s="76"/>
      <c r="AE8" s="57"/>
      <c r="AF8" s="57"/>
      <c r="AG8" s="92" t="s">
        <v>37</v>
      </c>
      <c r="AH8" s="83"/>
      <c r="AI8" s="26"/>
      <c r="AJ8" s="93"/>
      <c r="AK8" s="94"/>
      <c r="AL8" s="94"/>
      <c r="AM8" s="95"/>
    </row>
    <row r="9" ht="52.5" customHeight="1">
      <c r="A9" s="26"/>
      <c r="B9" s="96" t="s">
        <v>38</v>
      </c>
      <c r="C9" s="96" t="s">
        <v>39</v>
      </c>
      <c r="D9" s="97" t="s">
        <v>40</v>
      </c>
      <c r="E9" s="98" t="s">
        <v>41</v>
      </c>
      <c r="F9" s="99" t="s">
        <v>42</v>
      </c>
      <c r="G9" s="100" t="s">
        <v>43</v>
      </c>
      <c r="H9" s="101" t="s">
        <v>44</v>
      </c>
      <c r="I9" s="101" t="s">
        <v>45</v>
      </c>
      <c r="J9" s="101" t="s">
        <v>46</v>
      </c>
      <c r="K9" s="102" t="s">
        <v>47</v>
      </c>
      <c r="L9" s="103" t="s">
        <v>48</v>
      </c>
      <c r="M9" s="104" t="s">
        <v>49</v>
      </c>
      <c r="N9" s="259" t="s">
        <v>656</v>
      </c>
      <c r="O9" s="106" t="s">
        <v>51</v>
      </c>
      <c r="P9" s="107" t="s">
        <v>805</v>
      </c>
      <c r="Q9" s="108" t="s">
        <v>53</v>
      </c>
      <c r="R9" s="109" t="s">
        <v>54</v>
      </c>
      <c r="S9" s="110" t="s">
        <v>55</v>
      </c>
      <c r="T9" s="111" t="s">
        <v>56</v>
      </c>
      <c r="U9" s="379" t="s">
        <v>766</v>
      </c>
      <c r="V9" s="112" t="s">
        <v>58</v>
      </c>
      <c r="W9" s="113" t="s">
        <v>59</v>
      </c>
      <c r="X9" s="114" t="s">
        <v>60</v>
      </c>
      <c r="Y9" s="115" t="s">
        <v>806</v>
      </c>
      <c r="Z9" s="115" t="s">
        <v>807</v>
      </c>
      <c r="AA9" s="116" t="s">
        <v>63</v>
      </c>
      <c r="AB9" s="116" t="s">
        <v>64</v>
      </c>
      <c r="AC9" s="116" t="s">
        <v>65</v>
      </c>
      <c r="AD9" s="117" t="s">
        <v>808</v>
      </c>
      <c r="AE9" s="118" t="s">
        <v>67</v>
      </c>
      <c r="AF9" s="119" t="s">
        <v>68</v>
      </c>
      <c r="AG9" s="120" t="s">
        <v>69</v>
      </c>
      <c r="AH9" s="121" t="s">
        <v>70</v>
      </c>
      <c r="AI9" s="26"/>
      <c r="AJ9" s="122" t="s">
        <v>71</v>
      </c>
      <c r="AK9" s="123" t="s">
        <v>72</v>
      </c>
      <c r="AL9" s="107" t="s">
        <v>809</v>
      </c>
      <c r="AM9" s="124" t="s">
        <v>74</v>
      </c>
    </row>
    <row r="10" ht="12.75" customHeight="1">
      <c r="A10" s="26"/>
      <c r="B10" s="125" t="s">
        <v>75</v>
      </c>
      <c r="C10" s="126"/>
      <c r="D10" s="127"/>
      <c r="E10" s="128"/>
      <c r="F10" s="129"/>
      <c r="G10" s="128"/>
      <c r="H10" s="128"/>
      <c r="I10" s="128"/>
      <c r="J10" s="128"/>
      <c r="K10" s="130"/>
      <c r="L10" s="131"/>
      <c r="M10" s="132"/>
      <c r="N10" s="320"/>
      <c r="O10" s="134"/>
      <c r="P10" s="135"/>
      <c r="Q10" s="135"/>
      <c r="R10" s="136"/>
      <c r="S10" s="137"/>
      <c r="T10" s="138"/>
      <c r="U10" s="139"/>
      <c r="V10" s="140"/>
      <c r="W10" s="141"/>
      <c r="X10" s="142"/>
      <c r="Y10" s="143"/>
      <c r="Z10" s="143"/>
      <c r="AA10" s="139"/>
      <c r="AB10" s="139"/>
      <c r="AC10" s="139"/>
      <c r="AD10" s="140"/>
      <c r="AE10" s="144"/>
      <c r="AF10" s="145"/>
      <c r="AG10" s="138"/>
      <c r="AH10" s="146"/>
      <c r="AI10" s="26"/>
      <c r="AJ10" s="147"/>
      <c r="AK10" s="148"/>
      <c r="AL10" s="149"/>
      <c r="AM10" s="150"/>
    </row>
    <row r="11" ht="12.75" customHeight="1">
      <c r="A11" s="26"/>
      <c r="B11" s="190" t="s">
        <v>474</v>
      </c>
      <c r="C11" s="220">
        <v>1.65299669E8</v>
      </c>
      <c r="D11" s="221" t="s">
        <v>477</v>
      </c>
      <c r="E11" s="211" t="s">
        <v>77</v>
      </c>
      <c r="F11" s="154"/>
      <c r="G11" s="211"/>
      <c r="H11" s="53" t="str">
        <f t="shared" ref="H11:H13" si="1">$I$2</f>
        <v>0.00069</v>
      </c>
      <c r="I11" s="53" t="str">
        <f t="shared" ref="I11:I13" si="2">$I$3</f>
        <v>89</v>
      </c>
      <c r="J11" s="53" t="str">
        <f t="shared" ref="J11:J13" si="3">G11*H11*I11*F11</f>
        <v>0</v>
      </c>
      <c r="K11" s="155" t="str">
        <f t="shared" ref="K11:K13" si="4">J11*$J$4</f>
        <v>0.00</v>
      </c>
      <c r="L11" s="156" t="str">
        <f t="shared" ref="L11:L13" si="5">K11+J11</f>
        <v>0.00 </v>
      </c>
      <c r="M11" s="132">
        <v>90.0</v>
      </c>
      <c r="N11" s="157">
        <v>224.0</v>
      </c>
      <c r="O11" s="158">
        <v>631.0</v>
      </c>
      <c r="P11" s="159" t="str">
        <f t="shared" ref="P11:P40" si="6">O11</f>
        <v>631.00</v>
      </c>
      <c r="Q11" s="160">
        <v>460.0</v>
      </c>
      <c r="R11" s="161">
        <v>0.32</v>
      </c>
      <c r="S11" s="162" t="str">
        <f t="shared" ref="S11:S27" si="7">O11-(O11*R11)</f>
        <v>429.08</v>
      </c>
      <c r="T11" s="163">
        <v>60.0</v>
      </c>
      <c r="U11" s="164" t="str">
        <f t="shared" ref="U11:U27" si="8">S11*$C$8</f>
        <v>34.33</v>
      </c>
      <c r="V11" s="165" t="str">
        <f t="shared" ref="V11:V27" si="9">N11*$C$3*(M11/30)</f>
        <v>0.00</v>
      </c>
      <c r="W11" s="166">
        <v>0.77</v>
      </c>
      <c r="X11" s="167" t="str">
        <f t="shared" ref="X11:X27" si="10">((_xlfn.CEILING.MATH(W11)-1)*$C$5+$C$4)</f>
        <v>76</v>
      </c>
      <c r="Y11" s="168" t="str">
        <f t="shared" ref="Y11:Y27" si="11">O11*$Y$6</f>
        <v>205.075</v>
      </c>
      <c r="Z11" s="168" t="str">
        <f t="shared" ref="Z11:Z27" si="12">S11*$Y$7</f>
        <v>9.311</v>
      </c>
      <c r="AA11" s="164" t="str">
        <f t="shared" ref="AA11:AA27" si="13">$Y$3*((100-AB11)/100)</f>
        <v>7.15</v>
      </c>
      <c r="AB11" s="164">
        <v>85.71</v>
      </c>
      <c r="AC11" s="164" t="str">
        <f t="shared" ref="AC11:AC27" si="14">$C$6*$C$7*_xlfn.CEILING.MATH(W11)</f>
        <v>4.80</v>
      </c>
      <c r="AD11" s="165" t="str">
        <f t="shared" ref="AD11:AD27" si="15">O11*$C$2</f>
        <v>63.10</v>
      </c>
      <c r="AE11" s="23"/>
      <c r="AF11" s="169" t="str">
        <f t="shared" ref="AF11:AF27" si="16">(_xlfn.CEILING.MATH(W11))*$Y$1*$AD$2</f>
        <v>0</v>
      </c>
      <c r="AG11" s="163" t="str">
        <f>O11-T11-U11-V11-X11-Y11-Z11-AA11-AC11-AD11-N11</f>
        <v>-52.76</v>
      </c>
      <c r="AH11" s="170" t="str">
        <f t="shared" ref="AH11:AH42" si="17">AG11/N11</f>
        <v>-23.55%</v>
      </c>
      <c r="AI11" s="26"/>
      <c r="AJ11" s="171" t="str">
        <f t="shared" ref="AJ11:AJ13" si="18">$AD$3</f>
        <v>0.00%</v>
      </c>
      <c r="AK11" s="172" t="str">
        <f t="shared" ref="AK11:AK13" si="19">N11*AJ11</f>
        <v>0.00</v>
      </c>
      <c r="AL11" s="173" t="str">
        <f t="shared" ref="AL11:AL13" si="20">(N11+T11+V11+X11+AA11+AC11+AF11+AK11)/(100%-($C$2+$C$8+$Y$6+$Y$7))</f>
        <v>785.85</v>
      </c>
      <c r="AM11" s="174" t="str">
        <f t="shared" ref="AM11:AM13" si="21">AL11-(AL11*$AD$1)</f>
        <v>557.96</v>
      </c>
    </row>
    <row r="12" ht="12.75" customHeight="1">
      <c r="A12" s="26"/>
      <c r="B12" s="190" t="s">
        <v>451</v>
      </c>
      <c r="C12" s="191">
        <v>1.68956857E8</v>
      </c>
      <c r="D12" s="152" t="s">
        <v>452</v>
      </c>
      <c r="E12" s="53" t="s">
        <v>77</v>
      </c>
      <c r="F12" s="154"/>
      <c r="G12" s="53"/>
      <c r="H12" s="53" t="str">
        <f t="shared" si="1"/>
        <v>0.00069</v>
      </c>
      <c r="I12" s="53" t="str">
        <f t="shared" si="2"/>
        <v>89</v>
      </c>
      <c r="J12" s="53" t="str">
        <f t="shared" si="3"/>
        <v>0</v>
      </c>
      <c r="K12" s="155" t="str">
        <f t="shared" si="4"/>
        <v>0.00</v>
      </c>
      <c r="L12" s="156" t="str">
        <f t="shared" si="5"/>
        <v>0.00 </v>
      </c>
      <c r="M12" s="132">
        <v>90.0</v>
      </c>
      <c r="N12" s="157">
        <v>560.0</v>
      </c>
      <c r="O12" s="158">
        <v>1590.0</v>
      </c>
      <c r="P12" s="159" t="str">
        <f t="shared" si="6"/>
        <v>1,590.00</v>
      </c>
      <c r="Q12" s="160">
        <v>1348.0</v>
      </c>
      <c r="R12" s="161">
        <v>0.32</v>
      </c>
      <c r="S12" s="162" t="str">
        <f t="shared" si="7"/>
        <v>1,081.20</v>
      </c>
      <c r="T12" s="163" t="str">
        <f t="shared" ref="T12:T27" si="22">$C$1</f>
        <v>60.00</v>
      </c>
      <c r="U12" s="164" t="str">
        <f t="shared" si="8"/>
        <v>86.50</v>
      </c>
      <c r="V12" s="165" t="str">
        <f t="shared" si="9"/>
        <v>0.00</v>
      </c>
      <c r="W12" s="166">
        <v>1.46</v>
      </c>
      <c r="X12" s="167" t="str">
        <f t="shared" si="10"/>
        <v>95</v>
      </c>
      <c r="Y12" s="168" t="str">
        <f t="shared" si="11"/>
        <v>516.750</v>
      </c>
      <c r="Z12" s="168" t="str">
        <f t="shared" si="12"/>
        <v>23.462</v>
      </c>
      <c r="AA12" s="164" t="str">
        <f t="shared" si="13"/>
        <v>2.48</v>
      </c>
      <c r="AB12" s="164">
        <v>95.04</v>
      </c>
      <c r="AC12" s="164" t="str">
        <f t="shared" si="14"/>
        <v>9.60</v>
      </c>
      <c r="AD12" s="165" t="str">
        <f t="shared" si="15"/>
        <v>159.00</v>
      </c>
      <c r="AE12" s="23"/>
      <c r="AF12" s="169" t="str">
        <f t="shared" si="16"/>
        <v>0</v>
      </c>
      <c r="AG12" s="163" t="str">
        <f>O12-T12-U12-V12-X12-Y12-Z12-AA12-AC12-AD12-N12-AF12</f>
        <v>77.21</v>
      </c>
      <c r="AH12" s="170" t="str">
        <f t="shared" si="17"/>
        <v>13.79%</v>
      </c>
      <c r="AI12" s="26"/>
      <c r="AJ12" s="171" t="str">
        <f t="shared" si="18"/>
        <v>0.00%</v>
      </c>
      <c r="AK12" s="172" t="str">
        <f t="shared" si="19"/>
        <v>0.00</v>
      </c>
      <c r="AL12" s="173" t="str">
        <f t="shared" si="20"/>
        <v>1,536.19</v>
      </c>
      <c r="AM12" s="174" t="str">
        <f t="shared" si="21"/>
        <v>1,090.70</v>
      </c>
    </row>
    <row r="13" ht="12.75" customHeight="1">
      <c r="A13" s="26"/>
      <c r="B13" s="190" t="s">
        <v>495</v>
      </c>
      <c r="C13" s="191">
        <v>1.69074006E8</v>
      </c>
      <c r="D13" s="222" t="s">
        <v>496</v>
      </c>
      <c r="E13" s="53" t="s">
        <v>77</v>
      </c>
      <c r="F13" s="154"/>
      <c r="G13" s="53"/>
      <c r="H13" s="53" t="str">
        <f t="shared" si="1"/>
        <v>0.00069</v>
      </c>
      <c r="I13" s="53" t="str">
        <f t="shared" si="2"/>
        <v>89</v>
      </c>
      <c r="J13" s="53" t="str">
        <f t="shared" si="3"/>
        <v>0</v>
      </c>
      <c r="K13" s="155" t="str">
        <f t="shared" si="4"/>
        <v>0.00</v>
      </c>
      <c r="L13" s="156" t="str">
        <f t="shared" si="5"/>
        <v>0.00 </v>
      </c>
      <c r="M13" s="132">
        <v>90.0</v>
      </c>
      <c r="N13" s="157">
        <v>422.0</v>
      </c>
      <c r="O13" s="158">
        <v>1172.0</v>
      </c>
      <c r="P13" s="159" t="str">
        <f t="shared" si="6"/>
        <v>1,172.00</v>
      </c>
      <c r="Q13" s="160">
        <v>885.0</v>
      </c>
      <c r="R13" s="161">
        <v>0.32</v>
      </c>
      <c r="S13" s="162" t="str">
        <f t="shared" si="7"/>
        <v>796.96</v>
      </c>
      <c r="T13" s="163" t="str">
        <f t="shared" si="22"/>
        <v>60.00</v>
      </c>
      <c r="U13" s="164" t="str">
        <f t="shared" si="8"/>
        <v>63.76</v>
      </c>
      <c r="V13" s="165" t="str">
        <f t="shared" si="9"/>
        <v>0.00</v>
      </c>
      <c r="W13" s="166">
        <v>1.26</v>
      </c>
      <c r="X13" s="167" t="str">
        <f t="shared" si="10"/>
        <v>95</v>
      </c>
      <c r="Y13" s="168" t="str">
        <f t="shared" si="11"/>
        <v>380.900</v>
      </c>
      <c r="Z13" s="168" t="str">
        <f t="shared" si="12"/>
        <v>17.294</v>
      </c>
      <c r="AA13" s="164" t="str">
        <f t="shared" si="13"/>
        <v>34.09</v>
      </c>
      <c r="AB13" s="164">
        <v>31.82</v>
      </c>
      <c r="AC13" s="164" t="str">
        <f t="shared" si="14"/>
        <v>9.60</v>
      </c>
      <c r="AD13" s="165" t="str">
        <f t="shared" si="15"/>
        <v>117.20</v>
      </c>
      <c r="AE13" s="23"/>
      <c r="AF13" s="169" t="str">
        <f t="shared" si="16"/>
        <v>0</v>
      </c>
      <c r="AG13" s="163" t="str">
        <f t="shared" ref="AG13:AG27" si="23">O13-T13-U13-V13-X13-Y13-Z13-AA13-AC13-AD13-N13</f>
        <v>-27.84</v>
      </c>
      <c r="AH13" s="170" t="str">
        <f t="shared" si="17"/>
        <v>-6.60%</v>
      </c>
      <c r="AI13" s="26"/>
      <c r="AJ13" s="171" t="str">
        <f t="shared" si="18"/>
        <v>0.00%</v>
      </c>
      <c r="AK13" s="172" t="str">
        <f t="shared" si="19"/>
        <v>0.00</v>
      </c>
      <c r="AL13" s="173" t="str">
        <f t="shared" si="20"/>
        <v>1,311.41</v>
      </c>
      <c r="AM13" s="174" t="str">
        <f t="shared" si="21"/>
        <v>931.10</v>
      </c>
    </row>
    <row r="14" ht="12.75" customHeight="1">
      <c r="A14" s="26"/>
      <c r="B14" s="190"/>
      <c r="C14" s="382">
        <v>8.809744062129E12</v>
      </c>
      <c r="D14" s="222" t="s">
        <v>802</v>
      </c>
      <c r="E14" s="53" t="s">
        <v>77</v>
      </c>
      <c r="F14" s="154"/>
      <c r="G14" s="53"/>
      <c r="H14" s="53"/>
      <c r="I14" s="53"/>
      <c r="J14" s="53"/>
      <c r="K14" s="155"/>
      <c r="L14" s="156"/>
      <c r="M14" s="132"/>
      <c r="N14" s="157">
        <v>422.0</v>
      </c>
      <c r="O14" s="158">
        <v>1172.0</v>
      </c>
      <c r="P14" s="159" t="str">
        <f t="shared" si="6"/>
        <v>1,172.00</v>
      </c>
      <c r="Q14" s="160">
        <v>885.0</v>
      </c>
      <c r="R14" s="161">
        <v>0.32</v>
      </c>
      <c r="S14" s="162" t="str">
        <f t="shared" si="7"/>
        <v>796.96</v>
      </c>
      <c r="T14" s="163" t="str">
        <f t="shared" si="22"/>
        <v>60.00</v>
      </c>
      <c r="U14" s="164" t="str">
        <f t="shared" si="8"/>
        <v>63.76</v>
      </c>
      <c r="V14" s="165" t="str">
        <f t="shared" si="9"/>
        <v>0.00</v>
      </c>
      <c r="W14" s="166">
        <v>1.26</v>
      </c>
      <c r="X14" s="167" t="str">
        <f t="shared" si="10"/>
        <v>95</v>
      </c>
      <c r="Y14" s="168" t="str">
        <f t="shared" si="11"/>
        <v>380.900</v>
      </c>
      <c r="Z14" s="168" t="str">
        <f t="shared" si="12"/>
        <v>17.294</v>
      </c>
      <c r="AA14" s="164" t="str">
        <f t="shared" si="13"/>
        <v>34.09</v>
      </c>
      <c r="AB14" s="164">
        <v>31.82</v>
      </c>
      <c r="AC14" s="164" t="str">
        <f t="shared" si="14"/>
        <v>9.60</v>
      </c>
      <c r="AD14" s="165" t="str">
        <f t="shared" si="15"/>
        <v>117.20</v>
      </c>
      <c r="AE14" s="23"/>
      <c r="AF14" s="169" t="str">
        <f t="shared" si="16"/>
        <v>0</v>
      </c>
      <c r="AG14" s="163" t="str">
        <f t="shared" si="23"/>
        <v>-27.84</v>
      </c>
      <c r="AH14" s="170" t="str">
        <f t="shared" si="17"/>
        <v>-6.60%</v>
      </c>
      <c r="AI14" s="26"/>
      <c r="AJ14" s="171"/>
      <c r="AK14" s="172"/>
      <c r="AL14" s="173"/>
      <c r="AM14" s="174"/>
    </row>
    <row r="15" ht="12.75" customHeight="1">
      <c r="A15" s="26"/>
      <c r="B15" s="190" t="s">
        <v>479</v>
      </c>
      <c r="C15" s="191">
        <v>1.65308892E8</v>
      </c>
      <c r="D15" s="222" t="s">
        <v>480</v>
      </c>
      <c r="E15" s="53" t="s">
        <v>77</v>
      </c>
      <c r="F15" s="154"/>
      <c r="G15" s="53"/>
      <c r="H15" s="53" t="str">
        <f>$I$2</f>
        <v>0.00069</v>
      </c>
      <c r="I15" s="53" t="str">
        <f>$I$3</f>
        <v>89</v>
      </c>
      <c r="J15" s="53" t="str">
        <f>G15*H15*I15*F15</f>
        <v>0</v>
      </c>
      <c r="K15" s="155" t="str">
        <f>J15*$J$4</f>
        <v>0.00</v>
      </c>
      <c r="L15" s="156" t="str">
        <f>K15+J15</f>
        <v>0.00 </v>
      </c>
      <c r="M15" s="132">
        <v>90.0</v>
      </c>
      <c r="N15" s="157">
        <v>490.0</v>
      </c>
      <c r="O15" s="158">
        <v>1391.0</v>
      </c>
      <c r="P15" s="159" t="str">
        <f t="shared" si="6"/>
        <v>1,391.00</v>
      </c>
      <c r="Q15" s="160">
        <v>1117.0</v>
      </c>
      <c r="R15" s="161">
        <v>0.32</v>
      </c>
      <c r="S15" s="162" t="str">
        <f t="shared" si="7"/>
        <v>945.88</v>
      </c>
      <c r="T15" s="163" t="str">
        <f t="shared" si="22"/>
        <v>60.00</v>
      </c>
      <c r="U15" s="164" t="str">
        <f t="shared" si="8"/>
        <v>75.67</v>
      </c>
      <c r="V15" s="165" t="str">
        <f t="shared" si="9"/>
        <v>0.00</v>
      </c>
      <c r="W15" s="166">
        <v>0.43</v>
      </c>
      <c r="X15" s="167" t="str">
        <f t="shared" si="10"/>
        <v>76</v>
      </c>
      <c r="Y15" s="168" t="str">
        <f t="shared" si="11"/>
        <v>452.075</v>
      </c>
      <c r="Z15" s="168" t="str">
        <f t="shared" si="12"/>
        <v>20.526</v>
      </c>
      <c r="AA15" s="164" t="str">
        <f t="shared" si="13"/>
        <v>2.84</v>
      </c>
      <c r="AB15" s="164">
        <v>94.33</v>
      </c>
      <c r="AC15" s="164" t="str">
        <f t="shared" si="14"/>
        <v>4.80</v>
      </c>
      <c r="AD15" s="165" t="str">
        <f t="shared" si="15"/>
        <v>139.10</v>
      </c>
      <c r="AE15" s="23"/>
      <c r="AF15" s="169" t="str">
        <f t="shared" si="16"/>
        <v>0</v>
      </c>
      <c r="AG15" s="163" t="str">
        <f t="shared" si="23"/>
        <v>69.99</v>
      </c>
      <c r="AH15" s="170" t="str">
        <f t="shared" si="17"/>
        <v>14.28%</v>
      </c>
      <c r="AI15" s="26"/>
      <c r="AJ15" s="171" t="str">
        <f>$AD$3</f>
        <v>0.00%</v>
      </c>
      <c r="AK15" s="172" t="str">
        <f>N15*AJ15</f>
        <v>0.00</v>
      </c>
      <c r="AL15" s="173" t="str">
        <f>(N15+T15+V15+X15+AA15+AC15+AF15+AK15)/(100%-($C$2+$C$8+$Y$6+$Y$7))</f>
        <v>1,338.76</v>
      </c>
      <c r="AM15" s="174" t="str">
        <f>AL15-(AL15*$AD$1)</f>
        <v>950.52</v>
      </c>
    </row>
    <row r="16" ht="12.75" customHeight="1">
      <c r="A16" s="26"/>
      <c r="B16" s="190"/>
      <c r="C16" s="382">
        <v>8.809744060149E12</v>
      </c>
      <c r="D16" s="222" t="s">
        <v>803</v>
      </c>
      <c r="E16" s="53"/>
      <c r="F16" s="154"/>
      <c r="G16" s="53"/>
      <c r="H16" s="53"/>
      <c r="I16" s="53"/>
      <c r="J16" s="53"/>
      <c r="K16" s="155"/>
      <c r="L16" s="156"/>
      <c r="M16" s="132"/>
      <c r="N16" s="157">
        <v>272.0</v>
      </c>
      <c r="O16" s="158">
        <v>800.0</v>
      </c>
      <c r="P16" s="159" t="str">
        <f t="shared" si="6"/>
        <v>800.00</v>
      </c>
      <c r="Q16" s="160">
        <v>1117.0</v>
      </c>
      <c r="R16" s="161">
        <v>0.32</v>
      </c>
      <c r="S16" s="162" t="str">
        <f t="shared" si="7"/>
        <v>544.00</v>
      </c>
      <c r="T16" s="163" t="str">
        <f t="shared" si="22"/>
        <v>60.00</v>
      </c>
      <c r="U16" s="164" t="str">
        <f t="shared" si="8"/>
        <v>43.52</v>
      </c>
      <c r="V16" s="165" t="str">
        <f t="shared" si="9"/>
        <v>0.00</v>
      </c>
      <c r="W16" s="166">
        <v>0.43</v>
      </c>
      <c r="X16" s="167" t="str">
        <f t="shared" si="10"/>
        <v>76</v>
      </c>
      <c r="Y16" s="168" t="str">
        <f t="shared" si="11"/>
        <v>260.000</v>
      </c>
      <c r="Z16" s="168" t="str">
        <f t="shared" si="12"/>
        <v>11.805</v>
      </c>
      <c r="AA16" s="164" t="str">
        <f t="shared" si="13"/>
        <v>2.84</v>
      </c>
      <c r="AB16" s="164">
        <v>94.33</v>
      </c>
      <c r="AC16" s="164" t="str">
        <f t="shared" si="14"/>
        <v>4.80</v>
      </c>
      <c r="AD16" s="165" t="str">
        <f t="shared" si="15"/>
        <v>80.00</v>
      </c>
      <c r="AE16" s="23"/>
      <c r="AF16" s="169" t="str">
        <f t="shared" si="16"/>
        <v>0</v>
      </c>
      <c r="AG16" s="163" t="str">
        <f t="shared" si="23"/>
        <v>-10.96</v>
      </c>
      <c r="AH16" s="170" t="str">
        <f t="shared" si="17"/>
        <v>-4.03%</v>
      </c>
      <c r="AI16" s="26"/>
      <c r="AJ16" s="171"/>
      <c r="AK16" s="172"/>
      <c r="AL16" s="173"/>
      <c r="AM16" s="174"/>
    </row>
    <row r="17" ht="12.75" customHeight="1">
      <c r="A17" s="26"/>
      <c r="B17" s="190"/>
      <c r="C17" s="191">
        <v>8.809744062396E12</v>
      </c>
      <c r="D17" s="222" t="s">
        <v>804</v>
      </c>
      <c r="E17" s="53" t="s">
        <v>77</v>
      </c>
      <c r="F17" s="154"/>
      <c r="G17" s="53"/>
      <c r="H17" s="53"/>
      <c r="I17" s="53"/>
      <c r="J17" s="53"/>
      <c r="K17" s="155"/>
      <c r="L17" s="156"/>
      <c r="M17" s="132"/>
      <c r="N17" s="157">
        <v>322.0</v>
      </c>
      <c r="O17" s="158">
        <v>930.0</v>
      </c>
      <c r="P17" s="159" t="str">
        <f t="shared" si="6"/>
        <v>930.00</v>
      </c>
      <c r="Q17" s="160">
        <v>1117.0</v>
      </c>
      <c r="R17" s="161">
        <v>0.32</v>
      </c>
      <c r="S17" s="162" t="str">
        <f t="shared" si="7"/>
        <v>632.40</v>
      </c>
      <c r="T17" s="163" t="str">
        <f t="shared" si="22"/>
        <v>60.00</v>
      </c>
      <c r="U17" s="164" t="str">
        <f t="shared" si="8"/>
        <v>50.59</v>
      </c>
      <c r="V17" s="165" t="str">
        <f t="shared" si="9"/>
        <v>0.00</v>
      </c>
      <c r="W17" s="166">
        <v>0.43</v>
      </c>
      <c r="X17" s="167" t="str">
        <f t="shared" si="10"/>
        <v>76</v>
      </c>
      <c r="Y17" s="168" t="str">
        <f t="shared" si="11"/>
        <v>302.250</v>
      </c>
      <c r="Z17" s="168" t="str">
        <f t="shared" si="12"/>
        <v>13.723</v>
      </c>
      <c r="AA17" s="164" t="str">
        <f t="shared" si="13"/>
        <v>2.84</v>
      </c>
      <c r="AB17" s="164">
        <v>94.33</v>
      </c>
      <c r="AC17" s="164" t="str">
        <f t="shared" si="14"/>
        <v>4.80</v>
      </c>
      <c r="AD17" s="165" t="str">
        <f t="shared" si="15"/>
        <v>93.00</v>
      </c>
      <c r="AE17" s="23"/>
      <c r="AF17" s="169" t="str">
        <f t="shared" si="16"/>
        <v>0</v>
      </c>
      <c r="AG17" s="163" t="str">
        <f t="shared" si="23"/>
        <v>4.80</v>
      </c>
      <c r="AH17" s="170" t="str">
        <f t="shared" si="17"/>
        <v>1.49%</v>
      </c>
      <c r="AI17" s="26"/>
      <c r="AJ17" s="171"/>
      <c r="AK17" s="172"/>
      <c r="AL17" s="173"/>
      <c r="AM17" s="174"/>
    </row>
    <row r="18" ht="12.75" hidden="1" customHeight="1">
      <c r="A18" s="26"/>
      <c r="B18" s="190" t="s">
        <v>453</v>
      </c>
      <c r="C18" s="192">
        <v>1.88818E8</v>
      </c>
      <c r="D18" s="152" t="s">
        <v>454</v>
      </c>
      <c r="E18" s="53" t="s">
        <v>455</v>
      </c>
      <c r="F18" s="154"/>
      <c r="G18" s="53"/>
      <c r="H18" s="53" t="str">
        <f t="shared" ref="H18:H42" si="24">$I$2</f>
        <v>0.00069</v>
      </c>
      <c r="I18" s="53" t="str">
        <f t="shared" ref="I18:I42" si="25">$I$3</f>
        <v>89</v>
      </c>
      <c r="J18" s="53" t="str">
        <f t="shared" ref="J18:J42" si="26">G18*H18*I18*F18</f>
        <v>0</v>
      </c>
      <c r="K18" s="155" t="str">
        <f t="shared" ref="K18:K42" si="27">J18*$J$4</f>
        <v>0.00</v>
      </c>
      <c r="L18" s="156" t="str">
        <f t="shared" ref="L18:L42" si="28">K18+J18</f>
        <v>0.00 </v>
      </c>
      <c r="M18" s="132">
        <v>90.0</v>
      </c>
      <c r="N18" s="157" t="str">
        <f t="shared" ref="N18:N42" si="29">L18/F18</f>
        <v>#DIV/0!</v>
      </c>
      <c r="O18" s="158">
        <v>637.0</v>
      </c>
      <c r="P18" s="159" t="str">
        <f t="shared" si="6"/>
        <v>637.00</v>
      </c>
      <c r="Q18" s="160"/>
      <c r="R18" s="161">
        <v>0.25</v>
      </c>
      <c r="S18" s="162" t="str">
        <f t="shared" si="7"/>
        <v>477.75</v>
      </c>
      <c r="T18" s="163" t="str">
        <f t="shared" si="22"/>
        <v>60.00</v>
      </c>
      <c r="U18" s="164" t="str">
        <f t="shared" si="8"/>
        <v>38.22</v>
      </c>
      <c r="V18" s="165" t="str">
        <f t="shared" si="9"/>
        <v>#DIV/0!</v>
      </c>
      <c r="W18" s="166">
        <v>0.61</v>
      </c>
      <c r="X18" s="167" t="str">
        <f t="shared" si="10"/>
        <v>76</v>
      </c>
      <c r="Y18" s="168" t="str">
        <f t="shared" si="11"/>
        <v>207.025</v>
      </c>
      <c r="Z18" s="168" t="str">
        <f t="shared" si="12"/>
        <v>10.367</v>
      </c>
      <c r="AA18" s="164" t="str">
        <f t="shared" si="13"/>
        <v>6.09</v>
      </c>
      <c r="AB18" s="164">
        <v>87.83</v>
      </c>
      <c r="AC18" s="164" t="str">
        <f t="shared" si="14"/>
        <v>4.80</v>
      </c>
      <c r="AD18" s="165" t="str">
        <f t="shared" si="15"/>
        <v>63.70</v>
      </c>
      <c r="AE18" s="23"/>
      <c r="AF18" s="169" t="str">
        <f t="shared" si="16"/>
        <v>0</v>
      </c>
      <c r="AG18" s="163" t="str">
        <f t="shared" si="23"/>
        <v>#DIV/0!</v>
      </c>
      <c r="AH18" s="170" t="str">
        <f t="shared" si="17"/>
        <v>#DIV/0!</v>
      </c>
      <c r="AI18" s="26"/>
      <c r="AJ18" s="171" t="str">
        <f t="shared" ref="AJ18:AJ27" si="30">$AD$3</f>
        <v>0.00%</v>
      </c>
      <c r="AK18" s="172" t="str">
        <f t="shared" ref="AK18:AK27" si="31">N18*AJ18</f>
        <v>#DIV/0!</v>
      </c>
      <c r="AL18" s="173" t="str">
        <f t="shared" ref="AL18:AL27" si="32">(N18+T18+V18+X18+AA18+AC18+AF18+AK18)/(100%-($C$2+$C$8+$Y$6+$Y$7))</f>
        <v>#DIV/0!</v>
      </c>
      <c r="AM18" s="174" t="str">
        <f t="shared" ref="AM18:AM27" si="33">AL18-(AL18*$AD$1)</f>
        <v>#DIV/0!</v>
      </c>
    </row>
    <row r="19" ht="12.75" hidden="1" customHeight="1">
      <c r="A19" s="26"/>
      <c r="B19" s="190" t="s">
        <v>456</v>
      </c>
      <c r="C19" s="215">
        <v>1.88823064E8</v>
      </c>
      <c r="D19" s="152" t="s">
        <v>457</v>
      </c>
      <c r="E19" s="53" t="s">
        <v>77</v>
      </c>
      <c r="F19" s="154"/>
      <c r="G19" s="53"/>
      <c r="H19" s="53" t="str">
        <f t="shared" si="24"/>
        <v>0.00069</v>
      </c>
      <c r="I19" s="53" t="str">
        <f t="shared" si="25"/>
        <v>89</v>
      </c>
      <c r="J19" s="53" t="str">
        <f t="shared" si="26"/>
        <v>0</v>
      </c>
      <c r="K19" s="155" t="str">
        <f t="shared" si="27"/>
        <v>0.00</v>
      </c>
      <c r="L19" s="156" t="str">
        <f t="shared" si="28"/>
        <v>0.00 </v>
      </c>
      <c r="M19" s="132">
        <v>90.0</v>
      </c>
      <c r="N19" s="157" t="str">
        <f t="shared" si="29"/>
        <v>#DIV/0!</v>
      </c>
      <c r="O19" s="158">
        <v>729.9</v>
      </c>
      <c r="P19" s="159" t="str">
        <f t="shared" si="6"/>
        <v>729.90</v>
      </c>
      <c r="Q19" s="160"/>
      <c r="R19" s="161">
        <v>0.26</v>
      </c>
      <c r="S19" s="162" t="str">
        <f t="shared" si="7"/>
        <v>540.13</v>
      </c>
      <c r="T19" s="163" t="str">
        <f t="shared" si="22"/>
        <v>60.00</v>
      </c>
      <c r="U19" s="164" t="str">
        <f t="shared" si="8"/>
        <v>43.21</v>
      </c>
      <c r="V19" s="165" t="str">
        <f t="shared" si="9"/>
        <v>#DIV/0!</v>
      </c>
      <c r="W19" s="166">
        <v>1.08</v>
      </c>
      <c r="X19" s="167" t="str">
        <f t="shared" si="10"/>
        <v>95</v>
      </c>
      <c r="Y19" s="168" t="str">
        <f t="shared" si="11"/>
        <v>237.218</v>
      </c>
      <c r="Z19" s="168" t="str">
        <f t="shared" si="12"/>
        <v>11.721</v>
      </c>
      <c r="AA19" s="164" t="str">
        <f t="shared" si="13"/>
        <v>1.93</v>
      </c>
      <c r="AB19" s="164">
        <v>96.15</v>
      </c>
      <c r="AC19" s="164" t="str">
        <f t="shared" si="14"/>
        <v>9.60</v>
      </c>
      <c r="AD19" s="165" t="str">
        <f t="shared" si="15"/>
        <v>72.99</v>
      </c>
      <c r="AE19" s="23"/>
      <c r="AF19" s="169" t="str">
        <f t="shared" si="16"/>
        <v>0</v>
      </c>
      <c r="AG19" s="163" t="str">
        <f t="shared" si="23"/>
        <v>#DIV/0!</v>
      </c>
      <c r="AH19" s="170" t="str">
        <f t="shared" si="17"/>
        <v>#DIV/0!</v>
      </c>
      <c r="AI19" s="26"/>
      <c r="AJ19" s="171" t="str">
        <f t="shared" si="30"/>
        <v>0.00%</v>
      </c>
      <c r="AK19" s="172" t="str">
        <f t="shared" si="31"/>
        <v>#DIV/0!</v>
      </c>
      <c r="AL19" s="173" t="str">
        <f t="shared" si="32"/>
        <v>#DIV/0!</v>
      </c>
      <c r="AM19" s="174" t="str">
        <f t="shared" si="33"/>
        <v>#DIV/0!</v>
      </c>
    </row>
    <row r="20" ht="12.75" hidden="1" customHeight="1">
      <c r="A20" s="26"/>
      <c r="B20" s="190" t="s">
        <v>458</v>
      </c>
      <c r="C20" s="191">
        <v>1.99544883E8</v>
      </c>
      <c r="D20" s="152" t="s">
        <v>459</v>
      </c>
      <c r="E20" s="53" t="s">
        <v>77</v>
      </c>
      <c r="F20" s="154"/>
      <c r="G20" s="53"/>
      <c r="H20" s="53" t="str">
        <f t="shared" si="24"/>
        <v>0.00069</v>
      </c>
      <c r="I20" s="53" t="str">
        <f t="shared" si="25"/>
        <v>89</v>
      </c>
      <c r="J20" s="53" t="str">
        <f t="shared" si="26"/>
        <v>0</v>
      </c>
      <c r="K20" s="155" t="str">
        <f t="shared" si="27"/>
        <v>0.00</v>
      </c>
      <c r="L20" s="156" t="str">
        <f t="shared" si="28"/>
        <v>0.00 </v>
      </c>
      <c r="M20" s="132">
        <v>90.0</v>
      </c>
      <c r="N20" s="157" t="str">
        <f t="shared" si="29"/>
        <v>#DIV/0!</v>
      </c>
      <c r="O20" s="158">
        <v>1809.9</v>
      </c>
      <c r="P20" s="159" t="str">
        <f t="shared" si="6"/>
        <v>1,809.90</v>
      </c>
      <c r="Q20" s="160"/>
      <c r="R20" s="161">
        <v>0.26</v>
      </c>
      <c r="S20" s="162" t="str">
        <f t="shared" si="7"/>
        <v>1,339.33</v>
      </c>
      <c r="T20" s="163" t="str">
        <f t="shared" si="22"/>
        <v>60.00</v>
      </c>
      <c r="U20" s="164" t="str">
        <f t="shared" si="8"/>
        <v>107.15</v>
      </c>
      <c r="V20" s="165" t="str">
        <f t="shared" si="9"/>
        <v>#DIV/0!</v>
      </c>
      <c r="W20" s="166">
        <v>2.64</v>
      </c>
      <c r="X20" s="167" t="str">
        <f t="shared" si="10"/>
        <v>114</v>
      </c>
      <c r="Y20" s="168" t="str">
        <f t="shared" si="11"/>
        <v>588.218</v>
      </c>
      <c r="Z20" s="168" t="str">
        <f t="shared" si="12"/>
        <v>29.063</v>
      </c>
      <c r="AA20" s="164" t="str">
        <f t="shared" si="13"/>
        <v>1.90</v>
      </c>
      <c r="AB20" s="164">
        <v>96.21</v>
      </c>
      <c r="AC20" s="164" t="str">
        <f t="shared" si="14"/>
        <v>14.40</v>
      </c>
      <c r="AD20" s="165" t="str">
        <f t="shared" si="15"/>
        <v>180.99</v>
      </c>
      <c r="AE20" s="23"/>
      <c r="AF20" s="169" t="str">
        <f t="shared" si="16"/>
        <v>0</v>
      </c>
      <c r="AG20" s="163" t="str">
        <f t="shared" si="23"/>
        <v>#DIV/0!</v>
      </c>
      <c r="AH20" s="170" t="str">
        <f t="shared" si="17"/>
        <v>#DIV/0!</v>
      </c>
      <c r="AI20" s="26"/>
      <c r="AJ20" s="171" t="str">
        <f t="shared" si="30"/>
        <v>0.00%</v>
      </c>
      <c r="AK20" s="172" t="str">
        <f t="shared" si="31"/>
        <v>#DIV/0!</v>
      </c>
      <c r="AL20" s="173" t="str">
        <f t="shared" si="32"/>
        <v>#DIV/0!</v>
      </c>
      <c r="AM20" s="174" t="str">
        <f t="shared" si="33"/>
        <v>#DIV/0!</v>
      </c>
    </row>
    <row r="21" ht="12.75" hidden="1" customHeight="1">
      <c r="A21" s="26"/>
      <c r="B21" s="190" t="s">
        <v>460</v>
      </c>
      <c r="C21" s="192">
        <v>1.6895673E8</v>
      </c>
      <c r="D21" s="152" t="s">
        <v>461</v>
      </c>
      <c r="E21" s="53" t="s">
        <v>77</v>
      </c>
      <c r="F21" s="154"/>
      <c r="G21" s="53"/>
      <c r="H21" s="53" t="str">
        <f t="shared" si="24"/>
        <v>0.00069</v>
      </c>
      <c r="I21" s="53" t="str">
        <f t="shared" si="25"/>
        <v>89</v>
      </c>
      <c r="J21" s="53" t="str">
        <f t="shared" si="26"/>
        <v>0</v>
      </c>
      <c r="K21" s="155" t="str">
        <f t="shared" si="27"/>
        <v>0.00</v>
      </c>
      <c r="L21" s="156" t="str">
        <f t="shared" si="28"/>
        <v>0.00 </v>
      </c>
      <c r="M21" s="132">
        <v>90.0</v>
      </c>
      <c r="N21" s="157" t="str">
        <f t="shared" si="29"/>
        <v>#DIV/0!</v>
      </c>
      <c r="O21" s="158">
        <v>880.2</v>
      </c>
      <c r="P21" s="159" t="str">
        <f t="shared" si="6"/>
        <v>880.20</v>
      </c>
      <c r="Q21" s="160"/>
      <c r="R21" s="161">
        <v>0.26</v>
      </c>
      <c r="S21" s="162" t="str">
        <f t="shared" si="7"/>
        <v>651.35</v>
      </c>
      <c r="T21" s="163" t="str">
        <f t="shared" si="22"/>
        <v>60.00</v>
      </c>
      <c r="U21" s="164" t="str">
        <f t="shared" si="8"/>
        <v>52.11</v>
      </c>
      <c r="V21" s="165" t="str">
        <f t="shared" si="9"/>
        <v>#DIV/0!</v>
      </c>
      <c r="W21" s="166">
        <v>0.69</v>
      </c>
      <c r="X21" s="167" t="str">
        <f t="shared" si="10"/>
        <v>76</v>
      </c>
      <c r="Y21" s="168" t="str">
        <f t="shared" si="11"/>
        <v>286.065</v>
      </c>
      <c r="Z21" s="168" t="str">
        <f t="shared" si="12"/>
        <v>14.134</v>
      </c>
      <c r="AA21" s="164" t="str">
        <f t="shared" si="13"/>
        <v>1.01</v>
      </c>
      <c r="AB21" s="164">
        <v>97.99</v>
      </c>
      <c r="AC21" s="164" t="str">
        <f t="shared" si="14"/>
        <v>4.80</v>
      </c>
      <c r="AD21" s="165" t="str">
        <f t="shared" si="15"/>
        <v>88.02</v>
      </c>
      <c r="AE21" s="23"/>
      <c r="AF21" s="169" t="str">
        <f t="shared" si="16"/>
        <v>0</v>
      </c>
      <c r="AG21" s="163" t="str">
        <f t="shared" si="23"/>
        <v>#DIV/0!</v>
      </c>
      <c r="AH21" s="170" t="str">
        <f t="shared" si="17"/>
        <v>#DIV/0!</v>
      </c>
      <c r="AI21" s="26"/>
      <c r="AJ21" s="171" t="str">
        <f t="shared" si="30"/>
        <v>0.00%</v>
      </c>
      <c r="AK21" s="172" t="str">
        <f t="shared" si="31"/>
        <v>#DIV/0!</v>
      </c>
      <c r="AL21" s="173" t="str">
        <f t="shared" si="32"/>
        <v>#DIV/0!</v>
      </c>
      <c r="AM21" s="174" t="str">
        <f t="shared" si="33"/>
        <v>#DIV/0!</v>
      </c>
    </row>
    <row r="22" ht="12.75" hidden="1" customHeight="1">
      <c r="A22" s="26"/>
      <c r="B22" s="190" t="s">
        <v>462</v>
      </c>
      <c r="C22" s="192">
        <v>1.90158095E8</v>
      </c>
      <c r="D22" s="152" t="s">
        <v>463</v>
      </c>
      <c r="E22" s="53" t="s">
        <v>77</v>
      </c>
      <c r="F22" s="154"/>
      <c r="G22" s="53"/>
      <c r="H22" s="53" t="str">
        <f t="shared" si="24"/>
        <v>0.00069</v>
      </c>
      <c r="I22" s="53" t="str">
        <f t="shared" si="25"/>
        <v>89</v>
      </c>
      <c r="J22" s="53" t="str">
        <f t="shared" si="26"/>
        <v>0</v>
      </c>
      <c r="K22" s="155" t="str">
        <f t="shared" si="27"/>
        <v>0.00</v>
      </c>
      <c r="L22" s="156" t="str">
        <f t="shared" si="28"/>
        <v>0.00 </v>
      </c>
      <c r="M22" s="132">
        <v>90.0</v>
      </c>
      <c r="N22" s="157" t="str">
        <f t="shared" si="29"/>
        <v>#DIV/0!</v>
      </c>
      <c r="O22" s="158">
        <v>959.1</v>
      </c>
      <c r="P22" s="159" t="str">
        <f t="shared" si="6"/>
        <v>959.10</v>
      </c>
      <c r="Q22" s="160"/>
      <c r="R22" s="161">
        <v>0.26</v>
      </c>
      <c r="S22" s="162" t="str">
        <f t="shared" si="7"/>
        <v>709.73</v>
      </c>
      <c r="T22" s="163" t="str">
        <f t="shared" si="22"/>
        <v>60.00</v>
      </c>
      <c r="U22" s="164" t="str">
        <f t="shared" si="8"/>
        <v>56.78</v>
      </c>
      <c r="V22" s="165" t="str">
        <f t="shared" si="9"/>
        <v>#DIV/0!</v>
      </c>
      <c r="W22" s="166">
        <v>0.36</v>
      </c>
      <c r="X22" s="167" t="str">
        <f t="shared" si="10"/>
        <v>76</v>
      </c>
      <c r="Y22" s="168" t="str">
        <f t="shared" si="11"/>
        <v>311.708</v>
      </c>
      <c r="Z22" s="168" t="str">
        <f t="shared" si="12"/>
        <v>15.401</v>
      </c>
      <c r="AA22" s="164" t="str">
        <f t="shared" si="13"/>
        <v>0.00</v>
      </c>
      <c r="AB22" s="164">
        <v>100.0</v>
      </c>
      <c r="AC22" s="164" t="str">
        <f t="shared" si="14"/>
        <v>4.80</v>
      </c>
      <c r="AD22" s="165" t="str">
        <f t="shared" si="15"/>
        <v>95.91</v>
      </c>
      <c r="AE22" s="23"/>
      <c r="AF22" s="169" t="str">
        <f t="shared" si="16"/>
        <v>0</v>
      </c>
      <c r="AG22" s="163" t="str">
        <f t="shared" si="23"/>
        <v>#DIV/0!</v>
      </c>
      <c r="AH22" s="170" t="str">
        <f t="shared" si="17"/>
        <v>#DIV/0!</v>
      </c>
      <c r="AI22" s="26"/>
      <c r="AJ22" s="171" t="str">
        <f t="shared" si="30"/>
        <v>0.00%</v>
      </c>
      <c r="AK22" s="172" t="str">
        <f t="shared" si="31"/>
        <v>#DIV/0!</v>
      </c>
      <c r="AL22" s="173" t="str">
        <f t="shared" si="32"/>
        <v>#DIV/0!</v>
      </c>
      <c r="AM22" s="174" t="str">
        <f t="shared" si="33"/>
        <v>#DIV/0!</v>
      </c>
    </row>
    <row r="23" ht="12.75" hidden="1" customHeight="1">
      <c r="A23" s="26"/>
      <c r="B23" s="190" t="s">
        <v>464</v>
      </c>
      <c r="C23" s="191">
        <v>1.90158096E8</v>
      </c>
      <c r="D23" s="152" t="s">
        <v>465</v>
      </c>
      <c r="E23" s="53" t="s">
        <v>77</v>
      </c>
      <c r="F23" s="154"/>
      <c r="G23" s="53"/>
      <c r="H23" s="53" t="str">
        <f t="shared" si="24"/>
        <v>0.00069</v>
      </c>
      <c r="I23" s="53" t="str">
        <f t="shared" si="25"/>
        <v>89</v>
      </c>
      <c r="J23" s="53" t="str">
        <f t="shared" si="26"/>
        <v>0</v>
      </c>
      <c r="K23" s="155" t="str">
        <f t="shared" si="27"/>
        <v>0.00</v>
      </c>
      <c r="L23" s="156" t="str">
        <f t="shared" si="28"/>
        <v>0.00 </v>
      </c>
      <c r="M23" s="132">
        <v>90.0</v>
      </c>
      <c r="N23" s="157" t="str">
        <f t="shared" si="29"/>
        <v>#DIV/0!</v>
      </c>
      <c r="O23" s="158">
        <v>959.1</v>
      </c>
      <c r="P23" s="159" t="str">
        <f t="shared" si="6"/>
        <v>959.10</v>
      </c>
      <c r="Q23" s="160"/>
      <c r="R23" s="161">
        <v>0.26</v>
      </c>
      <c r="S23" s="162" t="str">
        <f t="shared" si="7"/>
        <v>709.73</v>
      </c>
      <c r="T23" s="163" t="str">
        <f t="shared" si="22"/>
        <v>60.00</v>
      </c>
      <c r="U23" s="164" t="str">
        <f t="shared" si="8"/>
        <v>56.78</v>
      </c>
      <c r="V23" s="165" t="str">
        <f t="shared" si="9"/>
        <v>#DIV/0!</v>
      </c>
      <c r="W23" s="166">
        <v>0.36</v>
      </c>
      <c r="X23" s="167" t="str">
        <f t="shared" si="10"/>
        <v>76</v>
      </c>
      <c r="Y23" s="168" t="str">
        <f t="shared" si="11"/>
        <v>311.708</v>
      </c>
      <c r="Z23" s="168" t="str">
        <f t="shared" si="12"/>
        <v>15.401</v>
      </c>
      <c r="AA23" s="164" t="str">
        <f t="shared" si="13"/>
        <v>1.79</v>
      </c>
      <c r="AB23" s="164">
        <v>96.43</v>
      </c>
      <c r="AC23" s="164" t="str">
        <f t="shared" si="14"/>
        <v>4.80</v>
      </c>
      <c r="AD23" s="165" t="str">
        <f t="shared" si="15"/>
        <v>95.91</v>
      </c>
      <c r="AE23" s="23"/>
      <c r="AF23" s="169" t="str">
        <f t="shared" si="16"/>
        <v>0</v>
      </c>
      <c r="AG23" s="163" t="str">
        <f t="shared" si="23"/>
        <v>#DIV/0!</v>
      </c>
      <c r="AH23" s="170" t="str">
        <f t="shared" si="17"/>
        <v>#DIV/0!</v>
      </c>
      <c r="AI23" s="26"/>
      <c r="AJ23" s="171" t="str">
        <f t="shared" si="30"/>
        <v>0.00%</v>
      </c>
      <c r="AK23" s="172" t="str">
        <f t="shared" si="31"/>
        <v>#DIV/0!</v>
      </c>
      <c r="AL23" s="173" t="str">
        <f t="shared" si="32"/>
        <v>#DIV/0!</v>
      </c>
      <c r="AM23" s="174" t="str">
        <f t="shared" si="33"/>
        <v>#DIV/0!</v>
      </c>
    </row>
    <row r="24" ht="12.75" hidden="1" customHeight="1">
      <c r="A24" s="26"/>
      <c r="B24" s="190" t="s">
        <v>466</v>
      </c>
      <c r="C24" s="191">
        <v>1.90158094E8</v>
      </c>
      <c r="D24" s="152" t="s">
        <v>467</v>
      </c>
      <c r="E24" s="53" t="s">
        <v>77</v>
      </c>
      <c r="F24" s="154"/>
      <c r="G24" s="53"/>
      <c r="H24" s="53" t="str">
        <f t="shared" si="24"/>
        <v>0.00069</v>
      </c>
      <c r="I24" s="53" t="str">
        <f t="shared" si="25"/>
        <v>89</v>
      </c>
      <c r="J24" s="53" t="str">
        <f t="shared" si="26"/>
        <v>0</v>
      </c>
      <c r="K24" s="155" t="str">
        <f t="shared" si="27"/>
        <v>0.00</v>
      </c>
      <c r="L24" s="156" t="str">
        <f t="shared" si="28"/>
        <v>0.00 </v>
      </c>
      <c r="M24" s="132">
        <v>90.0</v>
      </c>
      <c r="N24" s="157" t="str">
        <f t="shared" si="29"/>
        <v>#DIV/0!</v>
      </c>
      <c r="O24" s="158">
        <v>959.1</v>
      </c>
      <c r="P24" s="159" t="str">
        <f t="shared" si="6"/>
        <v>959.10</v>
      </c>
      <c r="Q24" s="160"/>
      <c r="R24" s="161">
        <v>0.26</v>
      </c>
      <c r="S24" s="162" t="str">
        <f t="shared" si="7"/>
        <v>709.73</v>
      </c>
      <c r="T24" s="163" t="str">
        <f t="shared" si="22"/>
        <v>60.00</v>
      </c>
      <c r="U24" s="164" t="str">
        <f t="shared" si="8"/>
        <v>56.78</v>
      </c>
      <c r="V24" s="165" t="str">
        <f t="shared" si="9"/>
        <v>#DIV/0!</v>
      </c>
      <c r="W24" s="166">
        <v>0.36</v>
      </c>
      <c r="X24" s="167" t="str">
        <f t="shared" si="10"/>
        <v>76</v>
      </c>
      <c r="Y24" s="168" t="str">
        <f t="shared" si="11"/>
        <v>311.708</v>
      </c>
      <c r="Z24" s="168" t="str">
        <f t="shared" si="12"/>
        <v>15.401</v>
      </c>
      <c r="AA24" s="164" t="str">
        <f t="shared" si="13"/>
        <v>3.32</v>
      </c>
      <c r="AB24" s="164">
        <v>93.37</v>
      </c>
      <c r="AC24" s="164" t="str">
        <f t="shared" si="14"/>
        <v>4.80</v>
      </c>
      <c r="AD24" s="165" t="str">
        <f t="shared" si="15"/>
        <v>95.91</v>
      </c>
      <c r="AE24" s="23"/>
      <c r="AF24" s="169" t="str">
        <f t="shared" si="16"/>
        <v>0</v>
      </c>
      <c r="AG24" s="163" t="str">
        <f t="shared" si="23"/>
        <v>#DIV/0!</v>
      </c>
      <c r="AH24" s="170" t="str">
        <f t="shared" si="17"/>
        <v>#DIV/0!</v>
      </c>
      <c r="AI24" s="26"/>
      <c r="AJ24" s="171" t="str">
        <f t="shared" si="30"/>
        <v>0.00%</v>
      </c>
      <c r="AK24" s="172" t="str">
        <f t="shared" si="31"/>
        <v>#DIV/0!</v>
      </c>
      <c r="AL24" s="173" t="str">
        <f t="shared" si="32"/>
        <v>#DIV/0!</v>
      </c>
      <c r="AM24" s="174" t="str">
        <f t="shared" si="33"/>
        <v>#DIV/0!</v>
      </c>
    </row>
    <row r="25" ht="12.75" hidden="1" customHeight="1">
      <c r="A25" s="26"/>
      <c r="B25" s="190" t="s">
        <v>468</v>
      </c>
      <c r="C25" s="191">
        <v>1.90158097E8</v>
      </c>
      <c r="D25" s="152" t="s">
        <v>469</v>
      </c>
      <c r="E25" s="53" t="s">
        <v>77</v>
      </c>
      <c r="F25" s="154"/>
      <c r="G25" s="53"/>
      <c r="H25" s="53" t="str">
        <f t="shared" si="24"/>
        <v>0.00069</v>
      </c>
      <c r="I25" s="53" t="str">
        <f t="shared" si="25"/>
        <v>89</v>
      </c>
      <c r="J25" s="53" t="str">
        <f t="shared" si="26"/>
        <v>0</v>
      </c>
      <c r="K25" s="155" t="str">
        <f t="shared" si="27"/>
        <v>0.00</v>
      </c>
      <c r="L25" s="156" t="str">
        <f t="shared" si="28"/>
        <v>0.00 </v>
      </c>
      <c r="M25" s="132">
        <v>90.0</v>
      </c>
      <c r="N25" s="157" t="str">
        <f t="shared" si="29"/>
        <v>#DIV/0!</v>
      </c>
      <c r="O25" s="158">
        <v>959.1</v>
      </c>
      <c r="P25" s="159" t="str">
        <f t="shared" si="6"/>
        <v>959.10</v>
      </c>
      <c r="Q25" s="160"/>
      <c r="R25" s="161">
        <v>0.26</v>
      </c>
      <c r="S25" s="162" t="str">
        <f t="shared" si="7"/>
        <v>709.73</v>
      </c>
      <c r="T25" s="163" t="str">
        <f t="shared" si="22"/>
        <v>60.00</v>
      </c>
      <c r="U25" s="164" t="str">
        <f t="shared" si="8"/>
        <v>56.78</v>
      </c>
      <c r="V25" s="165" t="str">
        <f t="shared" si="9"/>
        <v>#DIV/0!</v>
      </c>
      <c r="W25" s="166">
        <v>0.36</v>
      </c>
      <c r="X25" s="167" t="str">
        <f t="shared" si="10"/>
        <v>76</v>
      </c>
      <c r="Y25" s="168" t="str">
        <f t="shared" si="11"/>
        <v>311.708</v>
      </c>
      <c r="Z25" s="168" t="str">
        <f t="shared" si="12"/>
        <v>15.401</v>
      </c>
      <c r="AA25" s="164" t="str">
        <f t="shared" si="13"/>
        <v>0.73</v>
      </c>
      <c r="AB25" s="164">
        <v>98.54</v>
      </c>
      <c r="AC25" s="164" t="str">
        <f t="shared" si="14"/>
        <v>4.80</v>
      </c>
      <c r="AD25" s="165" t="str">
        <f t="shared" si="15"/>
        <v>95.91</v>
      </c>
      <c r="AE25" s="23"/>
      <c r="AF25" s="169" t="str">
        <f t="shared" si="16"/>
        <v>0</v>
      </c>
      <c r="AG25" s="163" t="str">
        <f t="shared" si="23"/>
        <v>#DIV/0!</v>
      </c>
      <c r="AH25" s="170" t="str">
        <f t="shared" si="17"/>
        <v>#DIV/0!</v>
      </c>
      <c r="AI25" s="26"/>
      <c r="AJ25" s="171" t="str">
        <f t="shared" si="30"/>
        <v>0.00%</v>
      </c>
      <c r="AK25" s="172" t="str">
        <f t="shared" si="31"/>
        <v>#DIV/0!</v>
      </c>
      <c r="AL25" s="173" t="str">
        <f t="shared" si="32"/>
        <v>#DIV/0!</v>
      </c>
      <c r="AM25" s="174" t="str">
        <f t="shared" si="33"/>
        <v>#DIV/0!</v>
      </c>
    </row>
    <row r="26" ht="12.75" hidden="1" customHeight="1">
      <c r="A26" s="26"/>
      <c r="B26" s="190" t="s">
        <v>470</v>
      </c>
      <c r="C26" s="191">
        <v>1.90158093E8</v>
      </c>
      <c r="D26" s="152" t="s">
        <v>471</v>
      </c>
      <c r="E26" s="53" t="s">
        <v>77</v>
      </c>
      <c r="F26" s="154"/>
      <c r="G26" s="53"/>
      <c r="H26" s="53" t="str">
        <f t="shared" si="24"/>
        <v>0.00069</v>
      </c>
      <c r="I26" s="53" t="str">
        <f t="shared" si="25"/>
        <v>89</v>
      </c>
      <c r="J26" s="53" t="str">
        <f t="shared" si="26"/>
        <v>0</v>
      </c>
      <c r="K26" s="155" t="str">
        <f t="shared" si="27"/>
        <v>0.00</v>
      </c>
      <c r="L26" s="156" t="str">
        <f t="shared" si="28"/>
        <v>0.00 </v>
      </c>
      <c r="M26" s="132">
        <v>90.0</v>
      </c>
      <c r="N26" s="157" t="str">
        <f t="shared" si="29"/>
        <v>#DIV/0!</v>
      </c>
      <c r="O26" s="158">
        <v>959.1</v>
      </c>
      <c r="P26" s="159" t="str">
        <f t="shared" si="6"/>
        <v>959.10</v>
      </c>
      <c r="Q26" s="160"/>
      <c r="R26" s="161">
        <v>0.26</v>
      </c>
      <c r="S26" s="162" t="str">
        <f t="shared" si="7"/>
        <v>709.73</v>
      </c>
      <c r="T26" s="163" t="str">
        <f t="shared" si="22"/>
        <v>60.00</v>
      </c>
      <c r="U26" s="164" t="str">
        <f t="shared" si="8"/>
        <v>56.78</v>
      </c>
      <c r="V26" s="165" t="str">
        <f t="shared" si="9"/>
        <v>#DIV/0!</v>
      </c>
      <c r="W26" s="166">
        <v>0.36</v>
      </c>
      <c r="X26" s="167" t="str">
        <f t="shared" si="10"/>
        <v>76</v>
      </c>
      <c r="Y26" s="168" t="str">
        <f t="shared" si="11"/>
        <v>311.708</v>
      </c>
      <c r="Z26" s="168" t="str">
        <f t="shared" si="12"/>
        <v>15.401</v>
      </c>
      <c r="AA26" s="164" t="str">
        <f t="shared" si="13"/>
        <v>2.88</v>
      </c>
      <c r="AB26" s="164">
        <v>94.25</v>
      </c>
      <c r="AC26" s="164" t="str">
        <f t="shared" si="14"/>
        <v>4.80</v>
      </c>
      <c r="AD26" s="165" t="str">
        <f t="shared" si="15"/>
        <v>95.91</v>
      </c>
      <c r="AE26" s="23"/>
      <c r="AF26" s="169" t="str">
        <f t="shared" si="16"/>
        <v>0</v>
      </c>
      <c r="AG26" s="163" t="str">
        <f t="shared" si="23"/>
        <v>#DIV/0!</v>
      </c>
      <c r="AH26" s="170" t="str">
        <f t="shared" si="17"/>
        <v>#DIV/0!</v>
      </c>
      <c r="AI26" s="26"/>
      <c r="AJ26" s="171" t="str">
        <f t="shared" si="30"/>
        <v>0.00%</v>
      </c>
      <c r="AK26" s="172" t="str">
        <f t="shared" si="31"/>
        <v>#DIV/0!</v>
      </c>
      <c r="AL26" s="173" t="str">
        <f t="shared" si="32"/>
        <v>#DIV/0!</v>
      </c>
      <c r="AM26" s="174" t="str">
        <f t="shared" si="33"/>
        <v>#DIV/0!</v>
      </c>
    </row>
    <row r="27" ht="12.75" hidden="1" customHeight="1">
      <c r="A27" s="26"/>
      <c r="B27" s="190" t="s">
        <v>472</v>
      </c>
      <c r="C27" s="191">
        <v>1.8302882E8</v>
      </c>
      <c r="D27" s="152" t="s">
        <v>473</v>
      </c>
      <c r="E27" s="53" t="s">
        <v>77</v>
      </c>
      <c r="F27" s="154"/>
      <c r="G27" s="53"/>
      <c r="H27" s="53" t="str">
        <f t="shared" si="24"/>
        <v>0.00069</v>
      </c>
      <c r="I27" s="53" t="str">
        <f t="shared" si="25"/>
        <v>89</v>
      </c>
      <c r="J27" s="53" t="str">
        <f t="shared" si="26"/>
        <v>0</v>
      </c>
      <c r="K27" s="155" t="str">
        <f t="shared" si="27"/>
        <v>0.00</v>
      </c>
      <c r="L27" s="156" t="str">
        <f t="shared" si="28"/>
        <v>0.00 </v>
      </c>
      <c r="M27" s="132">
        <v>90.0</v>
      </c>
      <c r="N27" s="157" t="str">
        <f t="shared" si="29"/>
        <v>#DIV/0!</v>
      </c>
      <c r="O27" s="158">
        <v>1173.0</v>
      </c>
      <c r="P27" s="159" t="str">
        <f t="shared" si="6"/>
        <v>1,173.00</v>
      </c>
      <c r="Q27" s="160"/>
      <c r="R27" s="161">
        <v>0.26</v>
      </c>
      <c r="S27" s="162" t="str">
        <f t="shared" si="7"/>
        <v>868.02</v>
      </c>
      <c r="T27" s="163" t="str">
        <f t="shared" si="22"/>
        <v>60.00</v>
      </c>
      <c r="U27" s="164" t="str">
        <f t="shared" si="8"/>
        <v>69.44</v>
      </c>
      <c r="V27" s="165" t="str">
        <f t="shared" si="9"/>
        <v>#DIV/0!</v>
      </c>
      <c r="W27" s="166">
        <v>0.68</v>
      </c>
      <c r="X27" s="167" t="str">
        <f t="shared" si="10"/>
        <v>76</v>
      </c>
      <c r="Y27" s="168" t="str">
        <f t="shared" si="11"/>
        <v>381.225</v>
      </c>
      <c r="Z27" s="168" t="str">
        <f t="shared" si="12"/>
        <v>18.836</v>
      </c>
      <c r="AA27" s="164" t="str">
        <f t="shared" si="13"/>
        <v>1.72</v>
      </c>
      <c r="AB27" s="164">
        <v>96.56</v>
      </c>
      <c r="AC27" s="164" t="str">
        <f t="shared" si="14"/>
        <v>4.80</v>
      </c>
      <c r="AD27" s="165" t="str">
        <f t="shared" si="15"/>
        <v>117.30</v>
      </c>
      <c r="AE27" s="23"/>
      <c r="AF27" s="169" t="str">
        <f t="shared" si="16"/>
        <v>0</v>
      </c>
      <c r="AG27" s="163" t="str">
        <f t="shared" si="23"/>
        <v>#DIV/0!</v>
      </c>
      <c r="AH27" s="170" t="str">
        <f t="shared" si="17"/>
        <v>#DIV/0!</v>
      </c>
      <c r="AI27" s="26"/>
      <c r="AJ27" s="171" t="str">
        <f t="shared" si="30"/>
        <v>0.00%</v>
      </c>
      <c r="AK27" s="172" t="str">
        <f t="shared" si="31"/>
        <v>#DIV/0!</v>
      </c>
      <c r="AL27" s="173" t="str">
        <f t="shared" si="32"/>
        <v>#DIV/0!</v>
      </c>
      <c r="AM27" s="174" t="str">
        <f t="shared" si="33"/>
        <v>#DIV/0!</v>
      </c>
    </row>
    <row r="28" ht="12.75" hidden="1" customHeight="1">
      <c r="A28" s="26"/>
      <c r="B28" s="190" t="s">
        <v>474</v>
      </c>
      <c r="C28" s="216"/>
      <c r="D28" s="217" t="s">
        <v>475</v>
      </c>
      <c r="E28" s="53" t="s">
        <v>77</v>
      </c>
      <c r="F28" s="154"/>
      <c r="G28" s="53"/>
      <c r="H28" s="53" t="str">
        <f t="shared" si="24"/>
        <v>0.00069</v>
      </c>
      <c r="I28" s="53" t="str">
        <f t="shared" si="25"/>
        <v>89</v>
      </c>
      <c r="J28" s="53" t="str">
        <f t="shared" si="26"/>
        <v>0</v>
      </c>
      <c r="K28" s="155" t="str">
        <f t="shared" si="27"/>
        <v>0.00</v>
      </c>
      <c r="L28" s="156" t="str">
        <f t="shared" si="28"/>
        <v>0.00 </v>
      </c>
      <c r="M28" s="132">
        <v>90.0</v>
      </c>
      <c r="N28" s="157" t="str">
        <f t="shared" si="29"/>
        <v>#DIV/0!</v>
      </c>
      <c r="O28" s="158"/>
      <c r="P28" s="159" t="str">
        <f t="shared" si="6"/>
        <v/>
      </c>
      <c r="Q28" s="160"/>
      <c r="R28" s="161"/>
      <c r="S28" s="162"/>
      <c r="T28" s="163"/>
      <c r="U28" s="164"/>
      <c r="V28" s="165"/>
      <c r="W28" s="166"/>
      <c r="X28" s="167"/>
      <c r="Y28" s="168"/>
      <c r="Z28" s="168"/>
      <c r="AA28" s="164"/>
      <c r="AB28" s="164"/>
      <c r="AC28" s="164"/>
      <c r="AD28" s="165"/>
      <c r="AE28" s="23"/>
      <c r="AF28" s="218"/>
      <c r="AG28" s="163"/>
      <c r="AH28" s="170" t="str">
        <f t="shared" si="17"/>
        <v>#DIV/0!</v>
      </c>
      <c r="AI28" s="26"/>
      <c r="AJ28" s="171"/>
      <c r="AK28" s="172"/>
      <c r="AL28" s="219"/>
      <c r="AM28" s="174"/>
    </row>
    <row r="29" ht="12.75" hidden="1" customHeight="1">
      <c r="A29" s="26"/>
      <c r="B29" s="190" t="s">
        <v>474</v>
      </c>
      <c r="C29" s="220"/>
      <c r="D29" s="221" t="s">
        <v>476</v>
      </c>
      <c r="E29" s="211" t="s">
        <v>77</v>
      </c>
      <c r="F29" s="154"/>
      <c r="G29" s="211"/>
      <c r="H29" s="53" t="str">
        <f t="shared" si="24"/>
        <v>0.00069</v>
      </c>
      <c r="I29" s="53" t="str">
        <f t="shared" si="25"/>
        <v>89</v>
      </c>
      <c r="J29" s="53" t="str">
        <f t="shared" si="26"/>
        <v>0</v>
      </c>
      <c r="K29" s="155" t="str">
        <f t="shared" si="27"/>
        <v>0.00</v>
      </c>
      <c r="L29" s="156" t="str">
        <f t="shared" si="28"/>
        <v>0.00 </v>
      </c>
      <c r="M29" s="132">
        <v>90.0</v>
      </c>
      <c r="N29" s="157" t="str">
        <f t="shared" si="29"/>
        <v>#DIV/0!</v>
      </c>
      <c r="O29" s="158">
        <v>481.8</v>
      </c>
      <c r="P29" s="159" t="str">
        <f t="shared" si="6"/>
        <v>481.80</v>
      </c>
      <c r="Q29" s="160"/>
      <c r="R29" s="161">
        <v>0.26</v>
      </c>
      <c r="S29" s="162" t="str">
        <f t="shared" ref="S29:S31" si="34">O29-(O29*R29)</f>
        <v>356.53</v>
      </c>
      <c r="T29" s="163" t="str">
        <f t="shared" ref="T29:T31" si="35">$C$1</f>
        <v>60.00</v>
      </c>
      <c r="U29" s="164" t="str">
        <f t="shared" ref="U29:U31" si="36">S29*$C$8</f>
        <v>28.52</v>
      </c>
      <c r="V29" s="165" t="str">
        <f t="shared" ref="V29:V31" si="37">N29*$C$3*(M29/30)</f>
        <v>#DIV/0!</v>
      </c>
      <c r="W29" s="166">
        <v>0.68</v>
      </c>
      <c r="X29" s="167" t="str">
        <f t="shared" ref="X29:X31" si="38">((_xlfn.CEILING.MATH(W29)-1)*$C$5+$C$4)</f>
        <v>76</v>
      </c>
      <c r="Y29" s="168" t="str">
        <f t="shared" ref="Y29:Y31" si="39">O29*$Y$6</f>
        <v>156.585</v>
      </c>
      <c r="Z29" s="168" t="str">
        <f t="shared" ref="Z29:Z31" si="40">S29*$Y$7</f>
        <v>7.737</v>
      </c>
      <c r="AA29" s="164" t="str">
        <f t="shared" ref="AA29:AA31" si="41">$Y$3*((100-AB29)/100)</f>
        <v>0.00</v>
      </c>
      <c r="AB29" s="164">
        <v>100.0</v>
      </c>
      <c r="AC29" s="164" t="str">
        <f t="shared" ref="AC29:AC31" si="42">$C$6*$C$7*_xlfn.CEILING.MATH(W29)</f>
        <v>4.80</v>
      </c>
      <c r="AD29" s="165" t="str">
        <f t="shared" ref="AD29:AD31" si="43">O29*$C$2</f>
        <v>48.18</v>
      </c>
      <c r="AE29" s="23"/>
      <c r="AF29" s="169" t="str">
        <f t="shared" ref="AF29:AF31" si="44">(_xlfn.CEILING.MATH(W29))*$Y$1*$AD$2</f>
        <v>0</v>
      </c>
      <c r="AG29" s="163" t="str">
        <f t="shared" ref="AG29:AG31" si="45">O29-T29-U29-V29-X29-Y29-Z29-AA29-AC29-AD29-N29</f>
        <v>#DIV/0!</v>
      </c>
      <c r="AH29" s="170" t="str">
        <f t="shared" si="17"/>
        <v>#DIV/0!</v>
      </c>
      <c r="AI29" s="26"/>
      <c r="AJ29" s="171" t="str">
        <f t="shared" ref="AJ29:AJ31" si="46">$AD$3</f>
        <v>0.00%</v>
      </c>
      <c r="AK29" s="172" t="str">
        <f t="shared" ref="AK29:AK31" si="47">N29*AJ29</f>
        <v>#DIV/0!</v>
      </c>
      <c r="AL29" s="173" t="str">
        <f t="shared" ref="AL29:AL31" si="48">(N29+T29+V29+X29+AA29+AC29+AF29+AK29)/(100%-($C$2+$C$8+$Y$6+$Y$7))</f>
        <v>#DIV/0!</v>
      </c>
      <c r="AM29" s="174" t="str">
        <f t="shared" ref="AM29:AM36" si="49">AL29-(AL29*$AD$1)</f>
        <v>#DIV/0!</v>
      </c>
    </row>
    <row r="30" ht="12.75" hidden="1" customHeight="1">
      <c r="A30" s="26"/>
      <c r="B30" s="190" t="s">
        <v>474</v>
      </c>
      <c r="C30" s="220"/>
      <c r="D30" s="221" t="s">
        <v>478</v>
      </c>
      <c r="E30" s="211" t="s">
        <v>77</v>
      </c>
      <c r="F30" s="154"/>
      <c r="G30" s="211"/>
      <c r="H30" s="53" t="str">
        <f t="shared" si="24"/>
        <v>0.00069</v>
      </c>
      <c r="I30" s="53" t="str">
        <f t="shared" si="25"/>
        <v>89</v>
      </c>
      <c r="J30" s="53" t="str">
        <f t="shared" si="26"/>
        <v>0</v>
      </c>
      <c r="K30" s="155" t="str">
        <f t="shared" si="27"/>
        <v>0.00</v>
      </c>
      <c r="L30" s="156" t="str">
        <f t="shared" si="28"/>
        <v>0.00 </v>
      </c>
      <c r="M30" s="132">
        <v>90.0</v>
      </c>
      <c r="N30" s="157" t="str">
        <f t="shared" si="29"/>
        <v>#DIV/0!</v>
      </c>
      <c r="O30" s="158">
        <v>900.0</v>
      </c>
      <c r="P30" s="159" t="str">
        <f t="shared" si="6"/>
        <v>900.00</v>
      </c>
      <c r="Q30" s="160"/>
      <c r="R30" s="161">
        <v>0.26</v>
      </c>
      <c r="S30" s="162" t="str">
        <f t="shared" si="34"/>
        <v>666.00</v>
      </c>
      <c r="T30" s="163" t="str">
        <f t="shared" si="35"/>
        <v>60.00</v>
      </c>
      <c r="U30" s="164" t="str">
        <f t="shared" si="36"/>
        <v>53.28</v>
      </c>
      <c r="V30" s="165" t="str">
        <f t="shared" si="37"/>
        <v>#DIV/0!</v>
      </c>
      <c r="W30" s="166">
        <v>0.68</v>
      </c>
      <c r="X30" s="167" t="str">
        <f t="shared" si="38"/>
        <v>76</v>
      </c>
      <c r="Y30" s="168" t="str">
        <f t="shared" si="39"/>
        <v>292.500</v>
      </c>
      <c r="Z30" s="168" t="str">
        <f t="shared" si="40"/>
        <v>14.452</v>
      </c>
      <c r="AA30" s="164" t="str">
        <f t="shared" si="41"/>
        <v>1.95</v>
      </c>
      <c r="AB30" s="164">
        <v>96.1</v>
      </c>
      <c r="AC30" s="164" t="str">
        <f t="shared" si="42"/>
        <v>4.80</v>
      </c>
      <c r="AD30" s="165" t="str">
        <f t="shared" si="43"/>
        <v>90.00</v>
      </c>
      <c r="AE30" s="23"/>
      <c r="AF30" s="169" t="str">
        <f t="shared" si="44"/>
        <v>0</v>
      </c>
      <c r="AG30" s="163" t="str">
        <f t="shared" si="45"/>
        <v>#DIV/0!</v>
      </c>
      <c r="AH30" s="170" t="str">
        <f t="shared" si="17"/>
        <v>#DIV/0!</v>
      </c>
      <c r="AI30" s="26"/>
      <c r="AJ30" s="171" t="str">
        <f t="shared" si="46"/>
        <v>0.00%</v>
      </c>
      <c r="AK30" s="172" t="str">
        <f t="shared" si="47"/>
        <v>#DIV/0!</v>
      </c>
      <c r="AL30" s="173" t="str">
        <f t="shared" si="48"/>
        <v>#DIV/0!</v>
      </c>
      <c r="AM30" s="174" t="str">
        <f t="shared" si="49"/>
        <v>#DIV/0!</v>
      </c>
    </row>
    <row r="31" ht="12.75" hidden="1" customHeight="1">
      <c r="A31" s="26"/>
      <c r="B31" s="190" t="s">
        <v>481</v>
      </c>
      <c r="C31" s="202">
        <v>1.8303083E8</v>
      </c>
      <c r="D31" s="152" t="s">
        <v>482</v>
      </c>
      <c r="E31" s="53" t="s">
        <v>77</v>
      </c>
      <c r="F31" s="154"/>
      <c r="G31" s="53"/>
      <c r="H31" s="53" t="str">
        <f t="shared" si="24"/>
        <v>0.00069</v>
      </c>
      <c r="I31" s="53" t="str">
        <f t="shared" si="25"/>
        <v>89</v>
      </c>
      <c r="J31" s="53" t="str">
        <f t="shared" si="26"/>
        <v>0</v>
      </c>
      <c r="K31" s="155" t="str">
        <f t="shared" si="27"/>
        <v>0.00</v>
      </c>
      <c r="L31" s="156" t="str">
        <f t="shared" si="28"/>
        <v>0.00 </v>
      </c>
      <c r="M31" s="132">
        <v>90.0</v>
      </c>
      <c r="N31" s="157" t="str">
        <f t="shared" si="29"/>
        <v>#DIV/0!</v>
      </c>
      <c r="O31" s="158">
        <v>1398.38</v>
      </c>
      <c r="P31" s="159" t="str">
        <f t="shared" si="6"/>
        <v>1,398.38</v>
      </c>
      <c r="Q31" s="160"/>
      <c r="R31" s="161">
        <v>0.26</v>
      </c>
      <c r="S31" s="162" t="str">
        <f t="shared" si="34"/>
        <v>1,034.80</v>
      </c>
      <c r="T31" s="163" t="str">
        <f t="shared" si="35"/>
        <v>60.00</v>
      </c>
      <c r="U31" s="164" t="str">
        <f t="shared" si="36"/>
        <v>82.78</v>
      </c>
      <c r="V31" s="165" t="str">
        <f t="shared" si="37"/>
        <v>#DIV/0!</v>
      </c>
      <c r="W31" s="166">
        <v>2.11</v>
      </c>
      <c r="X31" s="167" t="str">
        <f t="shared" si="38"/>
        <v>114</v>
      </c>
      <c r="Y31" s="168" t="str">
        <f t="shared" si="39"/>
        <v>454.474</v>
      </c>
      <c r="Z31" s="168" t="str">
        <f t="shared" si="40"/>
        <v>22.455</v>
      </c>
      <c r="AA31" s="164" t="str">
        <f t="shared" si="41"/>
        <v>4.17</v>
      </c>
      <c r="AB31" s="164">
        <v>91.67</v>
      </c>
      <c r="AC31" s="164" t="str">
        <f t="shared" si="42"/>
        <v>14.40</v>
      </c>
      <c r="AD31" s="165" t="str">
        <f t="shared" si="43"/>
        <v>139.84</v>
      </c>
      <c r="AE31" s="23"/>
      <c r="AF31" s="169" t="str">
        <f t="shared" si="44"/>
        <v>0</v>
      </c>
      <c r="AG31" s="163" t="str">
        <f t="shared" si="45"/>
        <v>#DIV/0!</v>
      </c>
      <c r="AH31" s="170" t="str">
        <f t="shared" si="17"/>
        <v>#DIV/0!</v>
      </c>
      <c r="AI31" s="26"/>
      <c r="AJ31" s="171" t="str">
        <f t="shared" si="46"/>
        <v>0.00%</v>
      </c>
      <c r="AK31" s="172" t="str">
        <f t="shared" si="47"/>
        <v>#DIV/0!</v>
      </c>
      <c r="AL31" s="173" t="str">
        <f t="shared" si="48"/>
        <v>#DIV/0!</v>
      </c>
      <c r="AM31" s="174" t="str">
        <f t="shared" si="49"/>
        <v>#DIV/0!</v>
      </c>
    </row>
    <row r="32" ht="12.75" hidden="1" customHeight="1">
      <c r="A32" s="26"/>
      <c r="B32" s="190" t="s">
        <v>483</v>
      </c>
      <c r="C32" s="216"/>
      <c r="D32" s="217" t="s">
        <v>484</v>
      </c>
      <c r="E32" s="53" t="s">
        <v>77</v>
      </c>
      <c r="F32" s="154"/>
      <c r="G32" s="53"/>
      <c r="H32" s="53" t="str">
        <f t="shared" si="24"/>
        <v>0.00069</v>
      </c>
      <c r="I32" s="53" t="str">
        <f t="shared" si="25"/>
        <v>89</v>
      </c>
      <c r="J32" s="53" t="str">
        <f t="shared" si="26"/>
        <v>0</v>
      </c>
      <c r="K32" s="155" t="str">
        <f t="shared" si="27"/>
        <v>0.00</v>
      </c>
      <c r="L32" s="156" t="str">
        <f t="shared" si="28"/>
        <v>0.00 </v>
      </c>
      <c r="M32" s="132">
        <v>90.0</v>
      </c>
      <c r="N32" s="157" t="str">
        <f t="shared" si="29"/>
        <v>#DIV/0!</v>
      </c>
      <c r="O32" s="158"/>
      <c r="P32" s="159" t="str">
        <f t="shared" si="6"/>
        <v/>
      </c>
      <c r="Q32" s="160"/>
      <c r="R32" s="161"/>
      <c r="S32" s="162"/>
      <c r="T32" s="163"/>
      <c r="U32" s="164"/>
      <c r="V32" s="165"/>
      <c r="W32" s="166"/>
      <c r="X32" s="167"/>
      <c r="Y32" s="168"/>
      <c r="Z32" s="168"/>
      <c r="AA32" s="164"/>
      <c r="AB32" s="164"/>
      <c r="AC32" s="164"/>
      <c r="AD32" s="165"/>
      <c r="AE32" s="23"/>
      <c r="AF32" s="218"/>
      <c r="AG32" s="163"/>
      <c r="AH32" s="170" t="str">
        <f t="shared" si="17"/>
        <v>#DIV/0!</v>
      </c>
      <c r="AI32" s="26"/>
      <c r="AJ32" s="171"/>
      <c r="AK32" s="172"/>
      <c r="AL32" s="219"/>
      <c r="AM32" s="174" t="str">
        <f t="shared" si="49"/>
        <v>0.00</v>
      </c>
    </row>
    <row r="33" ht="12.75" hidden="1" customHeight="1">
      <c r="A33" s="26"/>
      <c r="B33" s="190" t="s">
        <v>474</v>
      </c>
      <c r="C33" s="220"/>
      <c r="D33" s="223" t="s">
        <v>485</v>
      </c>
      <c r="E33" s="211" t="s">
        <v>77</v>
      </c>
      <c r="F33" s="154"/>
      <c r="G33" s="211"/>
      <c r="H33" s="53" t="str">
        <f t="shared" si="24"/>
        <v>0.00069</v>
      </c>
      <c r="I33" s="53" t="str">
        <f t="shared" si="25"/>
        <v>89</v>
      </c>
      <c r="J33" s="53" t="str">
        <f t="shared" si="26"/>
        <v>0</v>
      </c>
      <c r="K33" s="155" t="str">
        <f t="shared" si="27"/>
        <v>0.00</v>
      </c>
      <c r="L33" s="156" t="str">
        <f t="shared" si="28"/>
        <v>0.00 </v>
      </c>
      <c r="M33" s="132">
        <v>90.0</v>
      </c>
      <c r="N33" s="157" t="str">
        <f t="shared" si="29"/>
        <v>#DIV/0!</v>
      </c>
      <c r="O33" s="158">
        <v>403.0</v>
      </c>
      <c r="P33" s="159" t="str">
        <f t="shared" si="6"/>
        <v>403.00</v>
      </c>
      <c r="Q33" s="160"/>
      <c r="R33" s="161">
        <v>0.26</v>
      </c>
      <c r="S33" s="162" t="str">
        <f t="shared" ref="S33:S36" si="50">O33-(O33*R33)</f>
        <v>298.22</v>
      </c>
      <c r="T33" s="163" t="str">
        <f t="shared" ref="T33:T36" si="51">$C$1</f>
        <v>60.00</v>
      </c>
      <c r="U33" s="164" t="str">
        <f t="shared" ref="U33:U36" si="52">S33*$C$8</f>
        <v>23.86</v>
      </c>
      <c r="V33" s="165" t="str">
        <f t="shared" ref="V33:V36" si="53">N33*$C$3*(M33/30)</f>
        <v>#DIV/0!</v>
      </c>
      <c r="W33" s="166">
        <v>0.68</v>
      </c>
      <c r="X33" s="167" t="str">
        <f t="shared" ref="X33:X36" si="54">((_xlfn.CEILING.MATH(W33)-1)*$C$5+$C$4)</f>
        <v>76</v>
      </c>
      <c r="Y33" s="168" t="str">
        <f t="shared" ref="Y33:Y36" si="55">O33*$Y$6</f>
        <v>130.975</v>
      </c>
      <c r="Z33" s="168" t="str">
        <f t="shared" ref="Z33:Z36" si="56">S33*$Y$7</f>
        <v>6.471</v>
      </c>
      <c r="AA33" s="164" t="str">
        <f t="shared" ref="AA33:AA36" si="57">$Y$3*((100-AB33)/100)</f>
        <v>2.64</v>
      </c>
      <c r="AB33" s="164">
        <v>94.72</v>
      </c>
      <c r="AC33" s="164" t="str">
        <f t="shared" ref="AC33:AC36" si="58">$C$6*$C$7*_xlfn.CEILING.MATH(W33)</f>
        <v>4.80</v>
      </c>
      <c r="AD33" s="165" t="str">
        <f t="shared" ref="AD33:AD36" si="59">O33*$C$2</f>
        <v>40.30</v>
      </c>
      <c r="AE33" s="23"/>
      <c r="AF33" s="169" t="str">
        <f t="shared" ref="AF33:AF36" si="60">(_xlfn.CEILING.MATH(W33))*$Y$1*$AD$2</f>
        <v>0</v>
      </c>
      <c r="AG33" s="163" t="str">
        <f t="shared" ref="AG33:AG36" si="61">O33-T33-U33-V33-X33-Y33-Z33-AA33-AC33-AD33-N33</f>
        <v>#DIV/0!</v>
      </c>
      <c r="AH33" s="170" t="str">
        <f t="shared" si="17"/>
        <v>#DIV/0!</v>
      </c>
      <c r="AI33" s="26"/>
      <c r="AJ33" s="171" t="str">
        <f t="shared" ref="AJ33:AJ36" si="62">$AD$3</f>
        <v>0.00%</v>
      </c>
      <c r="AK33" s="172" t="str">
        <f t="shared" ref="AK33:AK36" si="63">N33*AJ33</f>
        <v>#DIV/0!</v>
      </c>
      <c r="AL33" s="173" t="str">
        <f t="shared" ref="AL33:AL36" si="64">(N33+T33+V33+X33+AA33+AC33+AF33+AK33)/(100%-($C$2+$C$8+$Y$6+$Y$7))</f>
        <v>#DIV/0!</v>
      </c>
      <c r="AM33" s="174" t="str">
        <f t="shared" si="49"/>
        <v>#DIV/0!</v>
      </c>
    </row>
    <row r="34" ht="12.75" hidden="1" customHeight="1">
      <c r="A34" s="26"/>
      <c r="B34" s="190" t="s">
        <v>474</v>
      </c>
      <c r="C34" s="220"/>
      <c r="D34" s="223" t="s">
        <v>486</v>
      </c>
      <c r="E34" s="211" t="s">
        <v>77</v>
      </c>
      <c r="F34" s="154"/>
      <c r="G34" s="211"/>
      <c r="H34" s="53" t="str">
        <f t="shared" si="24"/>
        <v>0.00069</v>
      </c>
      <c r="I34" s="53" t="str">
        <f t="shared" si="25"/>
        <v>89</v>
      </c>
      <c r="J34" s="53" t="str">
        <f t="shared" si="26"/>
        <v>0</v>
      </c>
      <c r="K34" s="155" t="str">
        <f t="shared" si="27"/>
        <v>0.00</v>
      </c>
      <c r="L34" s="156" t="str">
        <f t="shared" si="28"/>
        <v>0.00 </v>
      </c>
      <c r="M34" s="132">
        <v>90.0</v>
      </c>
      <c r="N34" s="157" t="str">
        <f t="shared" si="29"/>
        <v>#DIV/0!</v>
      </c>
      <c r="O34" s="158">
        <v>528.5</v>
      </c>
      <c r="P34" s="159" t="str">
        <f t="shared" si="6"/>
        <v>528.50</v>
      </c>
      <c r="Q34" s="160"/>
      <c r="R34" s="161">
        <v>0.26</v>
      </c>
      <c r="S34" s="162" t="str">
        <f t="shared" si="50"/>
        <v>391.09</v>
      </c>
      <c r="T34" s="163" t="str">
        <f t="shared" si="51"/>
        <v>60.00</v>
      </c>
      <c r="U34" s="164" t="str">
        <f t="shared" si="52"/>
        <v>31.29</v>
      </c>
      <c r="V34" s="165" t="str">
        <f t="shared" si="53"/>
        <v>#DIV/0!</v>
      </c>
      <c r="W34" s="166">
        <v>0.77</v>
      </c>
      <c r="X34" s="167" t="str">
        <f t="shared" si="54"/>
        <v>76</v>
      </c>
      <c r="Y34" s="168" t="str">
        <f t="shared" si="55"/>
        <v>171.763</v>
      </c>
      <c r="Z34" s="168" t="str">
        <f t="shared" si="56"/>
        <v>8.487</v>
      </c>
      <c r="AA34" s="164" t="str">
        <f t="shared" si="57"/>
        <v>3.07</v>
      </c>
      <c r="AB34" s="164">
        <v>93.86</v>
      </c>
      <c r="AC34" s="164" t="str">
        <f t="shared" si="58"/>
        <v>4.80</v>
      </c>
      <c r="AD34" s="165" t="str">
        <f t="shared" si="59"/>
        <v>52.85</v>
      </c>
      <c r="AE34" s="23"/>
      <c r="AF34" s="169" t="str">
        <f t="shared" si="60"/>
        <v>0</v>
      </c>
      <c r="AG34" s="163" t="str">
        <f t="shared" si="61"/>
        <v>#DIV/0!</v>
      </c>
      <c r="AH34" s="170" t="str">
        <f t="shared" si="17"/>
        <v>#DIV/0!</v>
      </c>
      <c r="AI34" s="26"/>
      <c r="AJ34" s="171" t="str">
        <f t="shared" si="62"/>
        <v>0.00%</v>
      </c>
      <c r="AK34" s="172" t="str">
        <f t="shared" si="63"/>
        <v>#DIV/0!</v>
      </c>
      <c r="AL34" s="173" t="str">
        <f t="shared" si="64"/>
        <v>#DIV/0!</v>
      </c>
      <c r="AM34" s="174" t="str">
        <f t="shared" si="49"/>
        <v>#DIV/0!</v>
      </c>
    </row>
    <row r="35" ht="12.75" hidden="1" customHeight="1">
      <c r="A35" s="26"/>
      <c r="B35" s="190" t="s">
        <v>474</v>
      </c>
      <c r="C35" s="220"/>
      <c r="D35" s="223" t="s">
        <v>487</v>
      </c>
      <c r="E35" s="211" t="s">
        <v>77</v>
      </c>
      <c r="F35" s="154"/>
      <c r="G35" s="211"/>
      <c r="H35" s="53" t="str">
        <f t="shared" si="24"/>
        <v>0.00069</v>
      </c>
      <c r="I35" s="53" t="str">
        <f t="shared" si="25"/>
        <v>89</v>
      </c>
      <c r="J35" s="53" t="str">
        <f t="shared" si="26"/>
        <v>0</v>
      </c>
      <c r="K35" s="155" t="str">
        <f t="shared" si="27"/>
        <v>0.00</v>
      </c>
      <c r="L35" s="156" t="str">
        <f t="shared" si="28"/>
        <v>0.00 </v>
      </c>
      <c r="M35" s="132">
        <v>90.0</v>
      </c>
      <c r="N35" s="157" t="str">
        <f t="shared" si="29"/>
        <v>#DIV/0!</v>
      </c>
      <c r="O35" s="158">
        <v>808.8</v>
      </c>
      <c r="P35" s="159" t="str">
        <f t="shared" si="6"/>
        <v>808.80</v>
      </c>
      <c r="Q35" s="160"/>
      <c r="R35" s="161">
        <v>0.26</v>
      </c>
      <c r="S35" s="162" t="str">
        <f t="shared" si="50"/>
        <v>598.51</v>
      </c>
      <c r="T35" s="163" t="str">
        <f t="shared" si="51"/>
        <v>60.00</v>
      </c>
      <c r="U35" s="164" t="str">
        <f t="shared" si="52"/>
        <v>47.88</v>
      </c>
      <c r="V35" s="165" t="str">
        <f t="shared" si="53"/>
        <v>#DIV/0!</v>
      </c>
      <c r="W35" s="166">
        <v>0.86</v>
      </c>
      <c r="X35" s="167" t="str">
        <f t="shared" si="54"/>
        <v>76</v>
      </c>
      <c r="Y35" s="168" t="str">
        <f t="shared" si="55"/>
        <v>262.860</v>
      </c>
      <c r="Z35" s="168" t="str">
        <f t="shared" si="56"/>
        <v>12.988</v>
      </c>
      <c r="AA35" s="164" t="str">
        <f t="shared" si="57"/>
        <v>3.05</v>
      </c>
      <c r="AB35" s="164">
        <v>93.9</v>
      </c>
      <c r="AC35" s="164" t="str">
        <f t="shared" si="58"/>
        <v>4.80</v>
      </c>
      <c r="AD35" s="165" t="str">
        <f t="shared" si="59"/>
        <v>80.88</v>
      </c>
      <c r="AE35" s="23"/>
      <c r="AF35" s="169" t="str">
        <f t="shared" si="60"/>
        <v>0</v>
      </c>
      <c r="AG35" s="163" t="str">
        <f t="shared" si="61"/>
        <v>#DIV/0!</v>
      </c>
      <c r="AH35" s="170" t="str">
        <f t="shared" si="17"/>
        <v>#DIV/0!</v>
      </c>
      <c r="AI35" s="26"/>
      <c r="AJ35" s="171" t="str">
        <f t="shared" si="62"/>
        <v>0.00%</v>
      </c>
      <c r="AK35" s="172" t="str">
        <f t="shared" si="63"/>
        <v>#DIV/0!</v>
      </c>
      <c r="AL35" s="173" t="str">
        <f t="shared" si="64"/>
        <v>#DIV/0!</v>
      </c>
      <c r="AM35" s="174" t="str">
        <f t="shared" si="49"/>
        <v>#DIV/0!</v>
      </c>
    </row>
    <row r="36" ht="12.75" hidden="1" customHeight="1">
      <c r="A36" s="26"/>
      <c r="B36" s="190" t="s">
        <v>488</v>
      </c>
      <c r="C36" s="191">
        <v>1.83127988E8</v>
      </c>
      <c r="D36" s="222" t="s">
        <v>489</v>
      </c>
      <c r="E36" s="53" t="s">
        <v>77</v>
      </c>
      <c r="F36" s="154"/>
      <c r="G36" s="53"/>
      <c r="H36" s="53" t="str">
        <f t="shared" si="24"/>
        <v>0.00069</v>
      </c>
      <c r="I36" s="53" t="str">
        <f t="shared" si="25"/>
        <v>89</v>
      </c>
      <c r="J36" s="53" t="str">
        <f t="shared" si="26"/>
        <v>0</v>
      </c>
      <c r="K36" s="155" t="str">
        <f t="shared" si="27"/>
        <v>0.00</v>
      </c>
      <c r="L36" s="156" t="str">
        <f t="shared" si="28"/>
        <v>0.00 </v>
      </c>
      <c r="M36" s="132">
        <v>90.0</v>
      </c>
      <c r="N36" s="157" t="str">
        <f t="shared" si="29"/>
        <v>#DIV/0!</v>
      </c>
      <c r="O36" s="158">
        <v>1241.4</v>
      </c>
      <c r="P36" s="159" t="str">
        <f t="shared" si="6"/>
        <v>1,241.40</v>
      </c>
      <c r="Q36" s="160"/>
      <c r="R36" s="161">
        <v>0.26</v>
      </c>
      <c r="S36" s="162" t="str">
        <f t="shared" si="50"/>
        <v>918.64</v>
      </c>
      <c r="T36" s="163" t="str">
        <f t="shared" si="51"/>
        <v>60.00</v>
      </c>
      <c r="U36" s="164" t="str">
        <f t="shared" si="52"/>
        <v>73.49</v>
      </c>
      <c r="V36" s="165" t="str">
        <f t="shared" si="53"/>
        <v>#DIV/0!</v>
      </c>
      <c r="W36" s="166">
        <v>0.43</v>
      </c>
      <c r="X36" s="167" t="str">
        <f t="shared" si="54"/>
        <v>76</v>
      </c>
      <c r="Y36" s="168" t="str">
        <f t="shared" si="55"/>
        <v>403.455</v>
      </c>
      <c r="Z36" s="168" t="str">
        <f t="shared" si="56"/>
        <v>19.934</v>
      </c>
      <c r="AA36" s="164" t="str">
        <f t="shared" si="57"/>
        <v>3.20</v>
      </c>
      <c r="AB36" s="164">
        <v>93.6</v>
      </c>
      <c r="AC36" s="164" t="str">
        <f t="shared" si="58"/>
        <v>4.80</v>
      </c>
      <c r="AD36" s="165" t="str">
        <f t="shared" si="59"/>
        <v>124.14</v>
      </c>
      <c r="AE36" s="23"/>
      <c r="AF36" s="169" t="str">
        <f t="shared" si="60"/>
        <v>0</v>
      </c>
      <c r="AG36" s="163" t="str">
        <f t="shared" si="61"/>
        <v>#DIV/0!</v>
      </c>
      <c r="AH36" s="170" t="str">
        <f t="shared" si="17"/>
        <v>#DIV/0!</v>
      </c>
      <c r="AI36" s="26"/>
      <c r="AJ36" s="171" t="str">
        <f t="shared" si="62"/>
        <v>0.00%</v>
      </c>
      <c r="AK36" s="172" t="str">
        <f t="shared" si="63"/>
        <v>#DIV/0!</v>
      </c>
      <c r="AL36" s="173" t="str">
        <f t="shared" si="64"/>
        <v>#DIV/0!</v>
      </c>
      <c r="AM36" s="174" t="str">
        <f t="shared" si="49"/>
        <v>#DIV/0!</v>
      </c>
    </row>
    <row r="37" ht="12.75" hidden="1" customHeight="1">
      <c r="A37" s="26"/>
      <c r="B37" s="190" t="s">
        <v>490</v>
      </c>
      <c r="C37" s="216"/>
      <c r="D37" s="217" t="s">
        <v>491</v>
      </c>
      <c r="E37" s="53" t="s">
        <v>77</v>
      </c>
      <c r="F37" s="154"/>
      <c r="G37" s="53"/>
      <c r="H37" s="53" t="str">
        <f t="shared" si="24"/>
        <v>0.00069</v>
      </c>
      <c r="I37" s="53" t="str">
        <f t="shared" si="25"/>
        <v>89</v>
      </c>
      <c r="J37" s="53" t="str">
        <f t="shared" si="26"/>
        <v>0</v>
      </c>
      <c r="K37" s="155" t="str">
        <f t="shared" si="27"/>
        <v>0.00</v>
      </c>
      <c r="L37" s="156" t="str">
        <f t="shared" si="28"/>
        <v>0.00 </v>
      </c>
      <c r="M37" s="132">
        <v>90.0</v>
      </c>
      <c r="N37" s="157" t="str">
        <f t="shared" si="29"/>
        <v>#DIV/0!</v>
      </c>
      <c r="O37" s="158"/>
      <c r="P37" s="159" t="str">
        <f t="shared" si="6"/>
        <v/>
      </c>
      <c r="Q37" s="160"/>
      <c r="R37" s="161"/>
      <c r="S37" s="162"/>
      <c r="T37" s="163"/>
      <c r="U37" s="164"/>
      <c r="V37" s="165"/>
      <c r="W37" s="166"/>
      <c r="X37" s="167"/>
      <c r="Y37" s="168"/>
      <c r="Z37" s="168"/>
      <c r="AA37" s="164"/>
      <c r="AB37" s="164"/>
      <c r="AC37" s="164"/>
      <c r="AD37" s="165"/>
      <c r="AE37" s="23"/>
      <c r="AF37" s="218"/>
      <c r="AG37" s="163"/>
      <c r="AH37" s="170" t="str">
        <f t="shared" si="17"/>
        <v>#DIV/0!</v>
      </c>
      <c r="AI37" s="26"/>
      <c r="AJ37" s="171"/>
      <c r="AK37" s="172"/>
      <c r="AL37" s="219"/>
      <c r="AM37" s="174"/>
    </row>
    <row r="38" ht="13.5" hidden="1" customHeight="1">
      <c r="A38" s="26"/>
      <c r="B38" s="190" t="s">
        <v>474</v>
      </c>
      <c r="C38" s="220"/>
      <c r="D38" s="221" t="s">
        <v>492</v>
      </c>
      <c r="E38" s="211" t="s">
        <v>77</v>
      </c>
      <c r="F38" s="154"/>
      <c r="G38" s="211"/>
      <c r="H38" s="53" t="str">
        <f t="shared" si="24"/>
        <v>0.00069</v>
      </c>
      <c r="I38" s="53" t="str">
        <f t="shared" si="25"/>
        <v>89</v>
      </c>
      <c r="J38" s="53" t="str">
        <f t="shared" si="26"/>
        <v>0</v>
      </c>
      <c r="K38" s="155" t="str">
        <f t="shared" si="27"/>
        <v>0.00</v>
      </c>
      <c r="L38" s="156" t="str">
        <f t="shared" si="28"/>
        <v>0.00 </v>
      </c>
      <c r="M38" s="132">
        <v>90.0</v>
      </c>
      <c r="N38" s="157" t="str">
        <f t="shared" si="29"/>
        <v>#DIV/0!</v>
      </c>
      <c r="O38" s="158">
        <v>398.16</v>
      </c>
      <c r="P38" s="159" t="str">
        <f t="shared" si="6"/>
        <v>398.16</v>
      </c>
      <c r="Q38" s="160"/>
      <c r="R38" s="161">
        <v>0.26</v>
      </c>
      <c r="S38" s="162" t="str">
        <f t="shared" ref="S38:S42" si="65">O38-(O38*R38)</f>
        <v>294.64</v>
      </c>
      <c r="T38" s="163" t="str">
        <f t="shared" ref="T38:T42" si="66">$C$1</f>
        <v>60.00</v>
      </c>
      <c r="U38" s="164" t="str">
        <f t="shared" ref="U38:U42" si="67">S38*$C$8</f>
        <v>23.57</v>
      </c>
      <c r="V38" s="165" t="str">
        <f t="shared" ref="V38:V42" si="68">N38*$C$3*(M38/30)</f>
        <v>#DIV/0!</v>
      </c>
      <c r="W38" s="166">
        <v>0.75</v>
      </c>
      <c r="X38" s="167" t="str">
        <f t="shared" ref="X38:X42" si="69">((_xlfn.CEILING.MATH(W38)-1)*$C$5+$C$4)</f>
        <v>76</v>
      </c>
      <c r="Y38" s="168" t="str">
        <f t="shared" ref="Y38:Y42" si="70">O38*$Y$6</f>
        <v>129.402</v>
      </c>
      <c r="Z38" s="168" t="str">
        <f t="shared" ref="Z38:Z42" si="71">S38*$Y$7</f>
        <v>6.394</v>
      </c>
      <c r="AA38" s="164" t="str">
        <f t="shared" ref="AA38:AA42" si="72">$Y$3*((100-AB38)/100)</f>
        <v>3.57</v>
      </c>
      <c r="AB38" s="164">
        <v>92.86</v>
      </c>
      <c r="AC38" s="164" t="str">
        <f t="shared" ref="AC38:AC42" si="73">$C$6*$C$7*_xlfn.CEILING.MATH(W38)</f>
        <v>4.80</v>
      </c>
      <c r="AD38" s="165" t="str">
        <f t="shared" ref="AD38:AD42" si="74">O38*$C$2</f>
        <v>39.82</v>
      </c>
      <c r="AE38" s="23"/>
      <c r="AF38" s="169" t="str">
        <f t="shared" ref="AF38:AF42" si="75">(_xlfn.CEILING.MATH(W38))*$Y$1*$AD$2</f>
        <v>0</v>
      </c>
      <c r="AG38" s="163" t="str">
        <f t="shared" ref="AG38:AG42" si="76">O38-T38-U38-V38-X38-Y38-Z38-AA38-AC38-AD38-N38</f>
        <v>#DIV/0!</v>
      </c>
      <c r="AH38" s="170" t="str">
        <f t="shared" si="17"/>
        <v>#DIV/0!</v>
      </c>
      <c r="AI38" s="26"/>
      <c r="AJ38" s="171" t="str">
        <f t="shared" ref="AJ38:AJ42" si="77">$AD$3</f>
        <v>0.00%</v>
      </c>
      <c r="AK38" s="172" t="str">
        <f t="shared" ref="AK38:AK42" si="78">N38*AJ38</f>
        <v>#DIV/0!</v>
      </c>
      <c r="AL38" s="173" t="str">
        <f t="shared" ref="AL38:AL42" si="79">(N38+T38+V38+X38+AA38+AC38+AF38+AK38)/(100%-($C$2+$C$8+$Y$6+$Y$7))</f>
        <v>#DIV/0!</v>
      </c>
      <c r="AM38" s="174" t="str">
        <f t="shared" ref="AM38:AM42" si="80">AL38-(AL38*$AD$1)</f>
        <v>#DIV/0!</v>
      </c>
    </row>
    <row r="39" ht="13.5" hidden="1" customHeight="1">
      <c r="A39" s="26"/>
      <c r="B39" s="190" t="s">
        <v>474</v>
      </c>
      <c r="C39" s="220"/>
      <c r="D39" s="221" t="s">
        <v>493</v>
      </c>
      <c r="E39" s="211" t="s">
        <v>77</v>
      </c>
      <c r="F39" s="154"/>
      <c r="G39" s="211"/>
      <c r="H39" s="53" t="str">
        <f t="shared" si="24"/>
        <v>0.00069</v>
      </c>
      <c r="I39" s="53" t="str">
        <f t="shared" si="25"/>
        <v>89</v>
      </c>
      <c r="J39" s="53" t="str">
        <f t="shared" si="26"/>
        <v>0</v>
      </c>
      <c r="K39" s="155" t="str">
        <f t="shared" si="27"/>
        <v>0.00</v>
      </c>
      <c r="L39" s="156" t="str">
        <f t="shared" si="28"/>
        <v>0.00 </v>
      </c>
      <c r="M39" s="132">
        <v>90.0</v>
      </c>
      <c r="N39" s="157" t="str">
        <f t="shared" si="29"/>
        <v>#DIV/0!</v>
      </c>
      <c r="O39" s="158">
        <v>722.1</v>
      </c>
      <c r="P39" s="159" t="str">
        <f t="shared" si="6"/>
        <v>722.10</v>
      </c>
      <c r="Q39" s="160"/>
      <c r="R39" s="161">
        <v>0.26</v>
      </c>
      <c r="S39" s="162" t="str">
        <f t="shared" si="65"/>
        <v>534.35</v>
      </c>
      <c r="T39" s="163" t="str">
        <f t="shared" si="66"/>
        <v>60.00</v>
      </c>
      <c r="U39" s="164" t="str">
        <f t="shared" si="67"/>
        <v>42.75</v>
      </c>
      <c r="V39" s="165" t="str">
        <f t="shared" si="68"/>
        <v>#DIV/0!</v>
      </c>
      <c r="W39" s="166">
        <v>0.68</v>
      </c>
      <c r="X39" s="167" t="str">
        <f t="shared" si="69"/>
        <v>76</v>
      </c>
      <c r="Y39" s="168" t="str">
        <f t="shared" si="70"/>
        <v>234.683</v>
      </c>
      <c r="Z39" s="168" t="str">
        <f t="shared" si="71"/>
        <v>11.595</v>
      </c>
      <c r="AA39" s="164" t="str">
        <f t="shared" si="72"/>
        <v>15.00</v>
      </c>
      <c r="AB39" s="164">
        <v>70.0</v>
      </c>
      <c r="AC39" s="164" t="str">
        <f t="shared" si="73"/>
        <v>4.80</v>
      </c>
      <c r="AD39" s="165" t="str">
        <f t="shared" si="74"/>
        <v>72.21</v>
      </c>
      <c r="AE39" s="23"/>
      <c r="AF39" s="169" t="str">
        <f t="shared" si="75"/>
        <v>0</v>
      </c>
      <c r="AG39" s="163" t="str">
        <f t="shared" si="76"/>
        <v>#DIV/0!</v>
      </c>
      <c r="AH39" s="170" t="str">
        <f t="shared" si="17"/>
        <v>#DIV/0!</v>
      </c>
      <c r="AI39" s="26"/>
      <c r="AJ39" s="171" t="str">
        <f t="shared" si="77"/>
        <v>0.00%</v>
      </c>
      <c r="AK39" s="172" t="str">
        <f t="shared" si="78"/>
        <v>#DIV/0!</v>
      </c>
      <c r="AL39" s="173" t="str">
        <f t="shared" si="79"/>
        <v>#DIV/0!</v>
      </c>
      <c r="AM39" s="174" t="str">
        <f t="shared" si="80"/>
        <v>#DIV/0!</v>
      </c>
    </row>
    <row r="40" ht="13.5" hidden="1" customHeight="1">
      <c r="A40" s="26"/>
      <c r="B40" s="190" t="s">
        <v>474</v>
      </c>
      <c r="C40" s="220"/>
      <c r="D40" s="221" t="s">
        <v>494</v>
      </c>
      <c r="E40" s="211" t="s">
        <v>77</v>
      </c>
      <c r="F40" s="154"/>
      <c r="G40" s="211"/>
      <c r="H40" s="53" t="str">
        <f t="shared" si="24"/>
        <v>0.00069</v>
      </c>
      <c r="I40" s="53" t="str">
        <f t="shared" si="25"/>
        <v>89</v>
      </c>
      <c r="J40" s="53" t="str">
        <f t="shared" si="26"/>
        <v>0</v>
      </c>
      <c r="K40" s="155" t="str">
        <f t="shared" si="27"/>
        <v>0.00</v>
      </c>
      <c r="L40" s="156" t="str">
        <f t="shared" si="28"/>
        <v>0.00 </v>
      </c>
      <c r="M40" s="132">
        <v>90.0</v>
      </c>
      <c r="N40" s="157" t="str">
        <f t="shared" si="29"/>
        <v>#DIV/0!</v>
      </c>
      <c r="O40" s="158">
        <v>1171.2</v>
      </c>
      <c r="P40" s="159" t="str">
        <f t="shared" si="6"/>
        <v>1,171.20</v>
      </c>
      <c r="Q40" s="160"/>
      <c r="R40" s="161">
        <v>0.26</v>
      </c>
      <c r="S40" s="162" t="str">
        <f t="shared" si="65"/>
        <v>866.69</v>
      </c>
      <c r="T40" s="163" t="str">
        <f t="shared" si="66"/>
        <v>60.00</v>
      </c>
      <c r="U40" s="164" t="str">
        <f t="shared" si="67"/>
        <v>69.34</v>
      </c>
      <c r="V40" s="165" t="str">
        <f t="shared" si="68"/>
        <v>#DIV/0!</v>
      </c>
      <c r="W40" s="166">
        <v>0.86</v>
      </c>
      <c r="X40" s="167" t="str">
        <f t="shared" si="69"/>
        <v>76</v>
      </c>
      <c r="Y40" s="168" t="str">
        <f t="shared" si="70"/>
        <v>380.640</v>
      </c>
      <c r="Z40" s="168" t="str">
        <f t="shared" si="71"/>
        <v>18.807</v>
      </c>
      <c r="AA40" s="164" t="str">
        <f t="shared" si="72"/>
        <v>4.17</v>
      </c>
      <c r="AB40" s="164">
        <v>91.67</v>
      </c>
      <c r="AC40" s="164" t="str">
        <f t="shared" si="73"/>
        <v>4.80</v>
      </c>
      <c r="AD40" s="165" t="str">
        <f t="shared" si="74"/>
        <v>117.12</v>
      </c>
      <c r="AE40" s="23"/>
      <c r="AF40" s="169" t="str">
        <f t="shared" si="75"/>
        <v>0</v>
      </c>
      <c r="AG40" s="163" t="str">
        <f t="shared" si="76"/>
        <v>#DIV/0!</v>
      </c>
      <c r="AH40" s="170" t="str">
        <f t="shared" si="17"/>
        <v>#DIV/0!</v>
      </c>
      <c r="AI40" s="26"/>
      <c r="AJ40" s="171" t="str">
        <f t="shared" si="77"/>
        <v>0.00%</v>
      </c>
      <c r="AK40" s="172" t="str">
        <f t="shared" si="78"/>
        <v>#DIV/0!</v>
      </c>
      <c r="AL40" s="173" t="str">
        <f t="shared" si="79"/>
        <v>#DIV/0!</v>
      </c>
      <c r="AM40" s="174" t="str">
        <f t="shared" si="80"/>
        <v>#DIV/0!</v>
      </c>
    </row>
    <row r="41" ht="12.75" hidden="1" customHeight="1">
      <c r="A41" s="26"/>
      <c r="B41" s="190" t="s">
        <v>497</v>
      </c>
      <c r="C41" s="192">
        <v>1.91033857E8</v>
      </c>
      <c r="D41" s="152" t="s">
        <v>498</v>
      </c>
      <c r="E41" s="53" t="s">
        <v>77</v>
      </c>
      <c r="F41" s="154"/>
      <c r="G41" s="53"/>
      <c r="H41" s="53" t="str">
        <f t="shared" si="24"/>
        <v>0.00069</v>
      </c>
      <c r="I41" s="53" t="str">
        <f t="shared" si="25"/>
        <v>89</v>
      </c>
      <c r="J41" s="53" t="str">
        <f t="shared" si="26"/>
        <v>0</v>
      </c>
      <c r="K41" s="155" t="str">
        <f t="shared" si="27"/>
        <v>0.00</v>
      </c>
      <c r="L41" s="156" t="str">
        <f t="shared" si="28"/>
        <v>0.00 </v>
      </c>
      <c r="M41" s="132">
        <v>90.0</v>
      </c>
      <c r="N41" s="325" t="str">
        <f t="shared" si="29"/>
        <v>#DIV/0!</v>
      </c>
      <c r="O41" s="158">
        <v>476.4</v>
      </c>
      <c r="P41" s="159" t="str">
        <f t="shared" ref="P41:P42" si="81">AL41</f>
        <v>#DIV/0!</v>
      </c>
      <c r="Q41" s="160"/>
      <c r="R41" s="161">
        <v>0.26</v>
      </c>
      <c r="S41" s="162" t="str">
        <f t="shared" si="65"/>
        <v>352.54</v>
      </c>
      <c r="T41" s="163" t="str">
        <f t="shared" si="66"/>
        <v>60.00</v>
      </c>
      <c r="U41" s="164" t="str">
        <f t="shared" si="67"/>
        <v>28.20</v>
      </c>
      <c r="V41" s="165" t="str">
        <f t="shared" si="68"/>
        <v>#DIV/0!</v>
      </c>
      <c r="W41" s="166">
        <v>0.09</v>
      </c>
      <c r="X41" s="167" t="str">
        <f t="shared" si="69"/>
        <v>76</v>
      </c>
      <c r="Y41" s="168" t="str">
        <f t="shared" si="70"/>
        <v>154.830</v>
      </c>
      <c r="Z41" s="168" t="str">
        <f t="shared" si="71"/>
        <v>7.650</v>
      </c>
      <c r="AA41" s="164" t="str">
        <f t="shared" si="72"/>
        <v>3.68</v>
      </c>
      <c r="AB41" s="164">
        <v>92.65</v>
      </c>
      <c r="AC41" s="164" t="str">
        <f t="shared" si="73"/>
        <v>4.80</v>
      </c>
      <c r="AD41" s="165" t="str">
        <f t="shared" si="74"/>
        <v>47.64</v>
      </c>
      <c r="AE41" s="23"/>
      <c r="AF41" s="169" t="str">
        <f t="shared" si="75"/>
        <v>0</v>
      </c>
      <c r="AG41" s="163" t="str">
        <f t="shared" si="76"/>
        <v>#DIV/0!</v>
      </c>
      <c r="AH41" s="170" t="str">
        <f t="shared" si="17"/>
        <v>#DIV/0!</v>
      </c>
      <c r="AI41" s="26"/>
      <c r="AJ41" s="171" t="str">
        <f t="shared" si="77"/>
        <v>0.00%</v>
      </c>
      <c r="AK41" s="172" t="str">
        <f t="shared" si="78"/>
        <v>#DIV/0!</v>
      </c>
      <c r="AL41" s="173" t="str">
        <f t="shared" si="79"/>
        <v>#DIV/0!</v>
      </c>
      <c r="AM41" s="174" t="str">
        <f t="shared" si="80"/>
        <v>#DIV/0!</v>
      </c>
    </row>
    <row r="42" ht="12.75" hidden="1" customHeight="1">
      <c r="A42" s="26"/>
      <c r="B42" s="190" t="s">
        <v>499</v>
      </c>
      <c r="C42" s="192">
        <v>1.95289584E8</v>
      </c>
      <c r="D42" s="152" t="s">
        <v>500</v>
      </c>
      <c r="E42" s="53" t="s">
        <v>77</v>
      </c>
      <c r="F42" s="154"/>
      <c r="G42" s="53"/>
      <c r="H42" s="53" t="str">
        <f t="shared" si="24"/>
        <v>0.00069</v>
      </c>
      <c r="I42" s="53" t="str">
        <f t="shared" si="25"/>
        <v>89</v>
      </c>
      <c r="J42" s="53" t="str">
        <f t="shared" si="26"/>
        <v>0</v>
      </c>
      <c r="K42" s="155" t="str">
        <f t="shared" si="27"/>
        <v>0.00</v>
      </c>
      <c r="L42" s="156" t="str">
        <f t="shared" si="28"/>
        <v>0.00 </v>
      </c>
      <c r="M42" s="132">
        <v>90.0</v>
      </c>
      <c r="N42" s="325" t="str">
        <f t="shared" si="29"/>
        <v>#DIV/0!</v>
      </c>
      <c r="O42" s="158">
        <v>492.3</v>
      </c>
      <c r="P42" s="159" t="str">
        <f t="shared" si="81"/>
        <v>#DIV/0!</v>
      </c>
      <c r="Q42" s="160"/>
      <c r="R42" s="161">
        <v>0.26</v>
      </c>
      <c r="S42" s="162" t="str">
        <f t="shared" si="65"/>
        <v>364.30</v>
      </c>
      <c r="T42" s="163" t="str">
        <f t="shared" si="66"/>
        <v>60.00</v>
      </c>
      <c r="U42" s="164" t="str">
        <f t="shared" si="67"/>
        <v>29.14</v>
      </c>
      <c r="V42" s="165" t="str">
        <f t="shared" si="68"/>
        <v>#DIV/0!</v>
      </c>
      <c r="W42" s="166">
        <v>0.09</v>
      </c>
      <c r="X42" s="167" t="str">
        <f t="shared" si="69"/>
        <v>76</v>
      </c>
      <c r="Y42" s="168" t="str">
        <f t="shared" si="70"/>
        <v>159.998</v>
      </c>
      <c r="Z42" s="168" t="str">
        <f t="shared" si="71"/>
        <v>7.905</v>
      </c>
      <c r="AA42" s="164" t="str">
        <f t="shared" si="72"/>
        <v>1.90</v>
      </c>
      <c r="AB42" s="164">
        <v>96.2</v>
      </c>
      <c r="AC42" s="164" t="str">
        <f t="shared" si="73"/>
        <v>4.80</v>
      </c>
      <c r="AD42" s="165" t="str">
        <f t="shared" si="74"/>
        <v>49.23</v>
      </c>
      <c r="AE42" s="23"/>
      <c r="AF42" s="169" t="str">
        <f t="shared" si="75"/>
        <v>0</v>
      </c>
      <c r="AG42" s="163" t="str">
        <f t="shared" si="76"/>
        <v>#DIV/0!</v>
      </c>
      <c r="AH42" s="170" t="str">
        <f t="shared" si="17"/>
        <v>#DIV/0!</v>
      </c>
      <c r="AI42" s="26"/>
      <c r="AJ42" s="171" t="str">
        <f t="shared" si="77"/>
        <v>0.00%</v>
      </c>
      <c r="AK42" s="172" t="str">
        <f t="shared" si="78"/>
        <v>#DIV/0!</v>
      </c>
      <c r="AL42" s="173" t="str">
        <f t="shared" si="79"/>
        <v>#DIV/0!</v>
      </c>
      <c r="AM42" s="174" t="str">
        <f t="shared" si="80"/>
        <v>#DIV/0!</v>
      </c>
    </row>
    <row r="43" ht="12.75" customHeight="1">
      <c r="A43" s="26"/>
      <c r="B43" s="125" t="s">
        <v>501</v>
      </c>
      <c r="C43" s="126"/>
      <c r="D43" s="127"/>
      <c r="E43" s="128"/>
      <c r="F43" s="129"/>
      <c r="G43" s="128"/>
      <c r="H43" s="197"/>
      <c r="I43" s="197"/>
      <c r="J43" s="128"/>
      <c r="K43" s="130"/>
      <c r="L43" s="131"/>
      <c r="M43" s="132"/>
      <c r="N43" s="320"/>
      <c r="O43" s="134"/>
      <c r="P43" s="135"/>
      <c r="Q43" s="135"/>
      <c r="R43" s="136"/>
      <c r="S43" s="137"/>
      <c r="T43" s="177"/>
      <c r="U43" s="178"/>
      <c r="V43" s="179"/>
      <c r="W43" s="180"/>
      <c r="X43" s="181"/>
      <c r="Y43" s="182"/>
      <c r="Z43" s="182"/>
      <c r="AA43" s="178"/>
      <c r="AB43" s="178"/>
      <c r="AC43" s="178"/>
      <c r="AD43" s="179"/>
      <c r="AE43" s="183"/>
      <c r="AF43" s="184"/>
      <c r="AG43" s="177"/>
      <c r="AH43" s="185"/>
      <c r="AI43" s="26"/>
      <c r="AJ43" s="186"/>
      <c r="AK43" s="187"/>
      <c r="AL43" s="188"/>
      <c r="AM43" s="189"/>
    </row>
    <row r="44" ht="12.75" customHeight="1">
      <c r="A44" s="26"/>
      <c r="B44" s="12"/>
      <c r="C44" s="240"/>
      <c r="D44" s="241"/>
      <c r="E44" s="5"/>
      <c r="F44" s="5"/>
      <c r="G44" s="5"/>
      <c r="H44" s="5"/>
      <c r="I44" s="5"/>
      <c r="J44" s="5"/>
      <c r="K44" s="8"/>
      <c r="L44" s="9"/>
      <c r="M44" s="10"/>
      <c r="N44" s="12"/>
      <c r="O44" s="242"/>
      <c r="P44" s="243"/>
      <c r="Q44" s="243"/>
      <c r="R44" s="14"/>
      <c r="S44" s="242"/>
      <c r="T44" s="15"/>
      <c r="U44" s="15"/>
      <c r="V44" s="15"/>
      <c r="W44" s="8"/>
      <c r="X44" s="8"/>
      <c r="Y44" s="56"/>
      <c r="Z44" s="56"/>
      <c r="AA44" s="15"/>
      <c r="AB44" s="15"/>
      <c r="AC44" s="15"/>
      <c r="AD44" s="15"/>
      <c r="AE44" s="57"/>
      <c r="AF44" s="57"/>
      <c r="AG44" s="15"/>
      <c r="AH44" s="25"/>
      <c r="AI44" s="26"/>
      <c r="AJ44" s="26"/>
      <c r="AK44" s="27"/>
      <c r="AL44" s="28"/>
      <c r="AM44" s="29"/>
    </row>
    <row r="45" ht="12.75" customHeight="1">
      <c r="A45" s="26"/>
      <c r="B45" s="12"/>
      <c r="C45" s="240"/>
      <c r="D45" s="241"/>
      <c r="E45" s="5"/>
      <c r="F45" s="5"/>
      <c r="G45" s="5"/>
      <c r="H45" s="5"/>
      <c r="I45" s="5"/>
      <c r="J45" s="5"/>
      <c r="K45" s="8"/>
      <c r="L45" s="9"/>
      <c r="M45" s="10"/>
      <c r="N45" s="12"/>
      <c r="O45" s="242"/>
      <c r="P45" s="243"/>
      <c r="Q45" s="243"/>
      <c r="R45" s="14"/>
      <c r="S45" s="242"/>
      <c r="T45" s="15"/>
      <c r="U45" s="15"/>
      <c r="V45" s="15"/>
      <c r="W45" s="8"/>
      <c r="X45" s="8"/>
      <c r="Y45" s="56"/>
      <c r="Z45" s="56"/>
      <c r="AA45" s="15"/>
      <c r="AB45" s="15"/>
      <c r="AC45" s="15"/>
      <c r="AD45" s="15"/>
      <c r="AE45" s="57"/>
      <c r="AF45" s="57"/>
      <c r="AG45" s="15"/>
      <c r="AH45" s="25"/>
      <c r="AI45" s="26"/>
      <c r="AJ45" s="26"/>
      <c r="AK45" s="27"/>
      <c r="AL45" s="28"/>
      <c r="AM45" s="29"/>
    </row>
    <row r="46" ht="12.75" customHeight="1">
      <c r="A46" s="26"/>
      <c r="B46" s="12"/>
      <c r="C46" s="240"/>
      <c r="D46" s="241"/>
      <c r="E46" s="5"/>
      <c r="F46" s="5"/>
      <c r="G46" s="5"/>
      <c r="H46" s="5"/>
      <c r="I46" s="5"/>
      <c r="J46" s="5"/>
      <c r="K46" s="8"/>
      <c r="L46" s="9"/>
      <c r="M46" s="10"/>
      <c r="N46" s="12"/>
      <c r="O46" s="242"/>
      <c r="P46" s="243"/>
      <c r="Q46" s="243"/>
      <c r="R46" s="14"/>
      <c r="S46" s="242"/>
      <c r="T46" s="15"/>
      <c r="U46" s="15"/>
      <c r="V46" s="15"/>
      <c r="W46" s="8"/>
      <c r="X46" s="8"/>
      <c r="Y46" s="56"/>
      <c r="Z46" s="56"/>
      <c r="AA46" s="15"/>
      <c r="AB46" s="15"/>
      <c r="AC46" s="15"/>
      <c r="AD46" s="15"/>
      <c r="AE46" s="57"/>
      <c r="AF46" s="57"/>
      <c r="AG46" s="15"/>
      <c r="AH46" s="25"/>
      <c r="AI46" s="26"/>
      <c r="AJ46" s="26"/>
      <c r="AK46" s="27"/>
      <c r="AL46" s="28"/>
      <c r="AM46" s="29"/>
    </row>
    <row r="47" ht="12.75" customHeight="1">
      <c r="A47" s="26"/>
      <c r="B47" s="12"/>
      <c r="C47" s="240"/>
      <c r="D47" s="241"/>
      <c r="E47" s="5"/>
      <c r="F47" s="5"/>
      <c r="G47" s="5"/>
      <c r="H47" s="5"/>
      <c r="I47" s="5"/>
      <c r="J47" s="5"/>
      <c r="K47" s="8"/>
      <c r="L47" s="9"/>
      <c r="M47" s="10"/>
      <c r="N47" s="12"/>
      <c r="O47" s="242"/>
      <c r="P47" s="243"/>
      <c r="Q47" s="243"/>
      <c r="R47" s="14"/>
      <c r="S47" s="242"/>
      <c r="T47" s="15"/>
      <c r="U47" s="15"/>
      <c r="V47" s="15"/>
      <c r="W47" s="8"/>
      <c r="X47" s="8"/>
      <c r="Y47" s="56"/>
      <c r="Z47" s="56"/>
      <c r="AA47" s="15"/>
      <c r="AB47" s="15"/>
      <c r="AC47" s="15"/>
      <c r="AD47" s="15"/>
      <c r="AE47" s="57"/>
      <c r="AF47" s="57"/>
      <c r="AG47" s="15"/>
      <c r="AH47" s="25"/>
      <c r="AI47" s="26"/>
      <c r="AJ47" s="26"/>
      <c r="AK47" s="27"/>
      <c r="AL47" s="28"/>
      <c r="AM47" s="29"/>
    </row>
    <row r="48" ht="12.75" customHeight="1">
      <c r="A48" s="26"/>
      <c r="B48" s="12"/>
      <c r="C48" s="240"/>
      <c r="D48" s="241"/>
      <c r="E48" s="5"/>
      <c r="F48" s="5"/>
      <c r="G48" s="5"/>
      <c r="H48" s="5"/>
      <c r="I48" s="5"/>
      <c r="J48" s="5"/>
      <c r="K48" s="8"/>
      <c r="L48" s="9"/>
      <c r="M48" s="10"/>
      <c r="N48" s="12"/>
      <c r="O48" s="242"/>
      <c r="P48" s="243"/>
      <c r="Q48" s="243"/>
      <c r="R48" s="14"/>
      <c r="S48" s="242"/>
      <c r="T48" s="15"/>
      <c r="U48" s="15"/>
      <c r="V48" s="15"/>
      <c r="W48" s="8"/>
      <c r="X48" s="8"/>
      <c r="Y48" s="56"/>
      <c r="Z48" s="56"/>
      <c r="AA48" s="15"/>
      <c r="AB48" s="15"/>
      <c r="AC48" s="15"/>
      <c r="AD48" s="15"/>
      <c r="AE48" s="57"/>
      <c r="AF48" s="57"/>
      <c r="AG48" s="15"/>
      <c r="AH48" s="25"/>
      <c r="AI48" s="26"/>
      <c r="AJ48" s="26"/>
      <c r="AK48" s="27"/>
      <c r="AL48" s="28"/>
      <c r="AM48" s="29"/>
    </row>
    <row r="49" ht="12.75" customHeight="1">
      <c r="A49" s="26"/>
      <c r="B49" s="12"/>
      <c r="C49" s="240"/>
      <c r="D49" s="241"/>
      <c r="E49" s="5"/>
      <c r="F49" s="5"/>
      <c r="G49" s="5"/>
      <c r="H49" s="5"/>
      <c r="I49" s="5"/>
      <c r="J49" s="5"/>
      <c r="K49" s="8"/>
      <c r="L49" s="9"/>
      <c r="M49" s="10"/>
      <c r="N49" s="12"/>
      <c r="O49" s="242"/>
      <c r="P49" s="243"/>
      <c r="Q49" s="243"/>
      <c r="R49" s="14"/>
      <c r="S49" s="242"/>
      <c r="T49" s="15"/>
      <c r="U49" s="15"/>
      <c r="V49" s="15"/>
      <c r="W49" s="8"/>
      <c r="X49" s="8"/>
      <c r="Y49" s="56"/>
      <c r="Z49" s="56"/>
      <c r="AA49" s="15"/>
      <c r="AB49" s="15"/>
      <c r="AC49" s="15"/>
      <c r="AD49" s="15"/>
      <c r="AE49" s="57"/>
      <c r="AF49" s="57"/>
      <c r="AG49" s="15"/>
      <c r="AH49" s="25"/>
      <c r="AI49" s="26"/>
      <c r="AJ49" s="26"/>
      <c r="AK49" s="27"/>
      <c r="AL49" s="28"/>
      <c r="AM49" s="29"/>
    </row>
    <row r="50" ht="12.75" customHeight="1">
      <c r="A50" s="26"/>
      <c r="B50" s="12"/>
      <c r="C50" s="240"/>
      <c r="D50" s="241"/>
      <c r="E50" s="5"/>
      <c r="F50" s="5"/>
      <c r="G50" s="5"/>
      <c r="H50" s="5"/>
      <c r="I50" s="5"/>
      <c r="J50" s="5"/>
      <c r="K50" s="8"/>
      <c r="L50" s="9"/>
      <c r="M50" s="10"/>
      <c r="N50" s="12"/>
      <c r="O50" s="242"/>
      <c r="P50" s="243"/>
      <c r="Q50" s="243"/>
      <c r="R50" s="14"/>
      <c r="S50" s="242"/>
      <c r="T50" s="15"/>
      <c r="U50" s="15"/>
      <c r="V50" s="15"/>
      <c r="W50" s="8"/>
      <c r="X50" s="8"/>
      <c r="Y50" s="56"/>
      <c r="Z50" s="56"/>
      <c r="AA50" s="15"/>
      <c r="AB50" s="15"/>
      <c r="AC50" s="15"/>
      <c r="AD50" s="15"/>
      <c r="AE50" s="57"/>
      <c r="AF50" s="57"/>
      <c r="AG50" s="15"/>
      <c r="AH50" s="25"/>
      <c r="AI50" s="26"/>
      <c r="AJ50" s="26"/>
      <c r="AK50" s="27"/>
      <c r="AL50" s="28"/>
      <c r="AM50" s="29"/>
    </row>
    <row r="51" ht="12.75" customHeight="1">
      <c r="A51" s="26"/>
      <c r="B51" s="12"/>
      <c r="C51" s="240"/>
      <c r="D51" s="241"/>
      <c r="E51" s="5"/>
      <c r="F51" s="5"/>
      <c r="G51" s="5"/>
      <c r="H51" s="5"/>
      <c r="I51" s="5"/>
      <c r="J51" s="5"/>
      <c r="K51" s="8"/>
      <c r="L51" s="9"/>
      <c r="M51" s="10"/>
      <c r="N51" s="12"/>
      <c r="O51" s="242"/>
      <c r="P51" s="243"/>
      <c r="Q51" s="243"/>
      <c r="R51" s="14"/>
      <c r="S51" s="242"/>
      <c r="T51" s="15"/>
      <c r="U51" s="15"/>
      <c r="V51" s="15"/>
      <c r="W51" s="8"/>
      <c r="X51" s="8"/>
      <c r="Y51" s="56"/>
      <c r="Z51" s="56"/>
      <c r="AA51" s="15"/>
      <c r="AB51" s="15"/>
      <c r="AC51" s="15"/>
      <c r="AD51" s="15"/>
      <c r="AE51" s="57"/>
      <c r="AF51" s="57"/>
      <c r="AG51" s="15"/>
      <c r="AH51" s="25"/>
      <c r="AI51" s="26"/>
      <c r="AJ51" s="26"/>
      <c r="AK51" s="27"/>
      <c r="AL51" s="28"/>
      <c r="AM51" s="29"/>
    </row>
    <row r="52" ht="12.75" customHeight="1">
      <c r="A52" s="26"/>
      <c r="B52" s="12"/>
      <c r="C52" s="240"/>
      <c r="D52" s="241"/>
      <c r="E52" s="5"/>
      <c r="F52" s="5"/>
      <c r="G52" s="5"/>
      <c r="H52" s="5"/>
      <c r="I52" s="5"/>
      <c r="J52" s="5"/>
      <c r="K52" s="8"/>
      <c r="L52" s="9"/>
      <c r="M52" s="10"/>
      <c r="N52" s="12"/>
      <c r="O52" s="242"/>
      <c r="P52" s="243"/>
      <c r="Q52" s="243"/>
      <c r="R52" s="14"/>
      <c r="S52" s="242"/>
      <c r="T52" s="15"/>
      <c r="U52" s="15"/>
      <c r="V52" s="15"/>
      <c r="W52" s="8"/>
      <c r="X52" s="8"/>
      <c r="Y52" s="56"/>
      <c r="Z52" s="56"/>
      <c r="AA52" s="15"/>
      <c r="AB52" s="15"/>
      <c r="AC52" s="15"/>
      <c r="AD52" s="15"/>
      <c r="AE52" s="57"/>
      <c r="AF52" s="57"/>
      <c r="AG52" s="15"/>
      <c r="AH52" s="25"/>
      <c r="AI52" s="26"/>
      <c r="AJ52" s="26"/>
      <c r="AK52" s="27"/>
      <c r="AL52" s="28"/>
      <c r="AM52" s="29"/>
    </row>
    <row r="53" ht="12.75" customHeight="1">
      <c r="A53" s="26"/>
      <c r="B53" s="12"/>
      <c r="C53" s="240"/>
      <c r="D53" s="241"/>
      <c r="E53" s="5"/>
      <c r="F53" s="5"/>
      <c r="G53" s="5"/>
      <c r="H53" s="5"/>
      <c r="I53" s="5"/>
      <c r="J53" s="5"/>
      <c r="K53" s="8"/>
      <c r="L53" s="9"/>
      <c r="M53" s="10"/>
      <c r="N53" s="12"/>
      <c r="O53" s="242"/>
      <c r="P53" s="243"/>
      <c r="Q53" s="243"/>
      <c r="R53" s="14"/>
      <c r="S53" s="242"/>
      <c r="T53" s="15"/>
      <c r="U53" s="15"/>
      <c r="V53" s="15"/>
      <c r="W53" s="8"/>
      <c r="X53" s="8"/>
      <c r="Y53" s="56"/>
      <c r="Z53" s="56"/>
      <c r="AA53" s="15"/>
      <c r="AB53" s="15"/>
      <c r="AC53" s="15"/>
      <c r="AD53" s="15"/>
      <c r="AE53" s="57"/>
      <c r="AF53" s="57"/>
      <c r="AG53" s="15"/>
      <c r="AH53" s="25"/>
      <c r="AI53" s="26"/>
      <c r="AJ53" s="26"/>
      <c r="AK53" s="27"/>
      <c r="AL53" s="28"/>
      <c r="AM53" s="29"/>
    </row>
    <row r="54" ht="12.75" customHeight="1">
      <c r="A54" s="26"/>
      <c r="B54" s="12"/>
      <c r="C54" s="240"/>
      <c r="D54" s="241"/>
      <c r="E54" s="5"/>
      <c r="F54" s="5"/>
      <c r="G54" s="5"/>
      <c r="H54" s="5"/>
      <c r="I54" s="5"/>
      <c r="J54" s="5"/>
      <c r="K54" s="8"/>
      <c r="L54" s="9"/>
      <c r="M54" s="10"/>
      <c r="N54" s="12"/>
      <c r="O54" s="242"/>
      <c r="P54" s="243"/>
      <c r="Q54" s="243"/>
      <c r="R54" s="14"/>
      <c r="S54" s="242"/>
      <c r="T54" s="15"/>
      <c r="U54" s="15"/>
      <c r="V54" s="15"/>
      <c r="W54" s="8"/>
      <c r="X54" s="8"/>
      <c r="Y54" s="56"/>
      <c r="Z54" s="56"/>
      <c r="AA54" s="15"/>
      <c r="AB54" s="15"/>
      <c r="AC54" s="15"/>
      <c r="AD54" s="15"/>
      <c r="AE54" s="57"/>
      <c r="AF54" s="57"/>
      <c r="AG54" s="15"/>
      <c r="AH54" s="25"/>
      <c r="AI54" s="26"/>
      <c r="AJ54" s="26"/>
      <c r="AK54" s="27"/>
      <c r="AL54" s="28"/>
      <c r="AM54" s="29"/>
    </row>
    <row r="55" ht="12.75" customHeight="1">
      <c r="A55" s="26"/>
      <c r="B55" s="12"/>
      <c r="C55" s="240"/>
      <c r="D55" s="241"/>
      <c r="E55" s="5"/>
      <c r="F55" s="5"/>
      <c r="G55" s="5"/>
      <c r="H55" s="5"/>
      <c r="I55" s="5"/>
      <c r="J55" s="5"/>
      <c r="K55" s="8"/>
      <c r="L55" s="9"/>
      <c r="M55" s="10"/>
      <c r="N55" s="12"/>
      <c r="O55" s="242"/>
      <c r="P55" s="243"/>
      <c r="Q55" s="243"/>
      <c r="R55" s="14"/>
      <c r="S55" s="242"/>
      <c r="T55" s="15"/>
      <c r="U55" s="15"/>
      <c r="V55" s="15"/>
      <c r="W55" s="8"/>
      <c r="X55" s="8"/>
      <c r="Y55" s="56"/>
      <c r="Z55" s="56"/>
      <c r="AA55" s="15"/>
      <c r="AB55" s="15"/>
      <c r="AC55" s="15"/>
      <c r="AD55" s="15"/>
      <c r="AE55" s="57"/>
      <c r="AF55" s="57"/>
      <c r="AG55" s="15"/>
      <c r="AH55" s="25"/>
      <c r="AI55" s="26"/>
      <c r="AJ55" s="26"/>
      <c r="AK55" s="27"/>
      <c r="AL55" s="28"/>
      <c r="AM55" s="29"/>
    </row>
    <row r="56" ht="12.75" customHeight="1">
      <c r="A56" s="26"/>
      <c r="B56" s="12"/>
      <c r="C56" s="240"/>
      <c r="D56" s="241"/>
      <c r="E56" s="5"/>
      <c r="F56" s="5"/>
      <c r="G56" s="5"/>
      <c r="H56" s="5"/>
      <c r="I56" s="5"/>
      <c r="J56" s="5"/>
      <c r="K56" s="8"/>
      <c r="L56" s="9"/>
      <c r="M56" s="10"/>
      <c r="N56" s="12"/>
      <c r="O56" s="242"/>
      <c r="P56" s="243"/>
      <c r="Q56" s="243"/>
      <c r="R56" s="14"/>
      <c r="S56" s="242"/>
      <c r="T56" s="15"/>
      <c r="U56" s="15"/>
      <c r="V56" s="15"/>
      <c r="W56" s="8"/>
      <c r="X56" s="8"/>
      <c r="Y56" s="56"/>
      <c r="Z56" s="56"/>
      <c r="AA56" s="15"/>
      <c r="AB56" s="15"/>
      <c r="AC56" s="15"/>
      <c r="AD56" s="15"/>
      <c r="AE56" s="57"/>
      <c r="AF56" s="57"/>
      <c r="AG56" s="15"/>
      <c r="AH56" s="25"/>
      <c r="AI56" s="26"/>
      <c r="AJ56" s="26"/>
      <c r="AK56" s="27"/>
      <c r="AL56" s="28"/>
      <c r="AM56" s="29"/>
    </row>
    <row r="57" ht="12.75" customHeight="1">
      <c r="A57" s="26"/>
      <c r="B57" s="12"/>
      <c r="C57" s="240"/>
      <c r="D57" s="241"/>
      <c r="E57" s="5"/>
      <c r="F57" s="5"/>
      <c r="G57" s="5"/>
      <c r="H57" s="5"/>
      <c r="I57" s="5"/>
      <c r="J57" s="5"/>
      <c r="K57" s="8"/>
      <c r="L57" s="9"/>
      <c r="M57" s="10"/>
      <c r="N57" s="12"/>
      <c r="O57" s="242"/>
      <c r="P57" s="243"/>
      <c r="Q57" s="243"/>
      <c r="R57" s="14"/>
      <c r="S57" s="242"/>
      <c r="T57" s="15"/>
      <c r="U57" s="15"/>
      <c r="V57" s="15"/>
      <c r="W57" s="8"/>
      <c r="X57" s="8"/>
      <c r="Y57" s="56"/>
      <c r="Z57" s="56"/>
      <c r="AA57" s="15"/>
      <c r="AB57" s="15"/>
      <c r="AC57" s="15"/>
      <c r="AD57" s="15"/>
      <c r="AE57" s="57"/>
      <c r="AF57" s="57"/>
      <c r="AG57" s="15"/>
      <c r="AH57" s="25"/>
      <c r="AI57" s="26"/>
      <c r="AJ57" s="26"/>
      <c r="AK57" s="27"/>
      <c r="AL57" s="28"/>
      <c r="AM57" s="29"/>
    </row>
    <row r="58" ht="12.75" customHeight="1">
      <c r="A58" s="26"/>
      <c r="B58" s="12"/>
      <c r="C58" s="240"/>
      <c r="D58" s="241"/>
      <c r="E58" s="5"/>
      <c r="F58" s="5"/>
      <c r="G58" s="5"/>
      <c r="H58" s="5"/>
      <c r="I58" s="5"/>
      <c r="J58" s="5"/>
      <c r="K58" s="8"/>
      <c r="L58" s="9"/>
      <c r="M58" s="10"/>
      <c r="N58" s="12"/>
      <c r="O58" s="242"/>
      <c r="P58" s="243"/>
      <c r="Q58" s="243"/>
      <c r="R58" s="14"/>
      <c r="S58" s="242"/>
      <c r="T58" s="15"/>
      <c r="U58" s="15"/>
      <c r="V58" s="15"/>
      <c r="W58" s="8"/>
      <c r="X58" s="8"/>
      <c r="Y58" s="56"/>
      <c r="Z58" s="56"/>
      <c r="AA58" s="15"/>
      <c r="AB58" s="15"/>
      <c r="AC58" s="15"/>
      <c r="AD58" s="15"/>
      <c r="AE58" s="57"/>
      <c r="AF58" s="57"/>
      <c r="AG58" s="15"/>
      <c r="AH58" s="25"/>
      <c r="AI58" s="26"/>
      <c r="AJ58" s="26"/>
      <c r="AK58" s="27"/>
      <c r="AL58" s="28"/>
      <c r="AM58" s="29"/>
    </row>
    <row r="59" ht="12.75" customHeight="1">
      <c r="A59" s="26"/>
      <c r="B59" s="12"/>
      <c r="C59" s="240"/>
      <c r="D59" s="241"/>
      <c r="E59" s="5"/>
      <c r="F59" s="5"/>
      <c r="G59" s="5"/>
      <c r="H59" s="5"/>
      <c r="I59" s="5"/>
      <c r="J59" s="5"/>
      <c r="K59" s="8"/>
      <c r="L59" s="9"/>
      <c r="M59" s="10"/>
      <c r="N59" s="12"/>
      <c r="O59" s="242"/>
      <c r="P59" s="243"/>
      <c r="Q59" s="243"/>
      <c r="R59" s="14"/>
      <c r="S59" s="242"/>
      <c r="T59" s="15"/>
      <c r="U59" s="15"/>
      <c r="V59" s="15"/>
      <c r="W59" s="8"/>
      <c r="X59" s="8"/>
      <c r="Y59" s="56"/>
      <c r="Z59" s="56"/>
      <c r="AA59" s="15"/>
      <c r="AB59" s="15"/>
      <c r="AC59" s="15"/>
      <c r="AD59" s="15"/>
      <c r="AE59" s="57"/>
      <c r="AF59" s="57"/>
      <c r="AG59" s="15"/>
      <c r="AH59" s="25"/>
      <c r="AI59" s="26"/>
      <c r="AJ59" s="26"/>
      <c r="AK59" s="27"/>
      <c r="AL59" s="28"/>
      <c r="AM59" s="29"/>
    </row>
    <row r="60" ht="12.75" customHeight="1">
      <c r="A60" s="26"/>
      <c r="B60" s="12"/>
      <c r="C60" s="240"/>
      <c r="D60" s="241"/>
      <c r="E60" s="5"/>
      <c r="F60" s="5"/>
      <c r="G60" s="5"/>
      <c r="H60" s="5"/>
      <c r="I60" s="5"/>
      <c r="J60" s="5"/>
      <c r="K60" s="8"/>
      <c r="L60" s="9"/>
      <c r="M60" s="10"/>
      <c r="N60" s="12"/>
      <c r="O60" s="242"/>
      <c r="P60" s="243"/>
      <c r="Q60" s="243"/>
      <c r="R60" s="14"/>
      <c r="S60" s="242"/>
      <c r="T60" s="15"/>
      <c r="U60" s="15"/>
      <c r="V60" s="15"/>
      <c r="W60" s="8"/>
      <c r="X60" s="8"/>
      <c r="Y60" s="56"/>
      <c r="Z60" s="56"/>
      <c r="AA60" s="15"/>
      <c r="AB60" s="15"/>
      <c r="AC60" s="15"/>
      <c r="AD60" s="15"/>
      <c r="AE60" s="57"/>
      <c r="AF60" s="57"/>
      <c r="AG60" s="15"/>
      <c r="AH60" s="25"/>
      <c r="AI60" s="26"/>
      <c r="AJ60" s="26"/>
      <c r="AK60" s="27"/>
      <c r="AL60" s="28"/>
      <c r="AM60" s="29"/>
    </row>
    <row r="61" ht="12.75" customHeight="1">
      <c r="A61" s="26"/>
      <c r="B61" s="12"/>
      <c r="C61" s="240"/>
      <c r="D61" s="241"/>
      <c r="E61" s="5"/>
      <c r="F61" s="5"/>
      <c r="G61" s="5"/>
      <c r="H61" s="5"/>
      <c r="I61" s="5"/>
      <c r="J61" s="5"/>
      <c r="K61" s="8"/>
      <c r="L61" s="9"/>
      <c r="M61" s="10"/>
      <c r="N61" s="12"/>
      <c r="O61" s="242"/>
      <c r="P61" s="243"/>
      <c r="Q61" s="243"/>
      <c r="R61" s="14"/>
      <c r="S61" s="242"/>
      <c r="T61" s="15"/>
      <c r="U61" s="15"/>
      <c r="V61" s="15"/>
      <c r="W61" s="8"/>
      <c r="X61" s="8"/>
      <c r="Y61" s="56"/>
      <c r="Z61" s="56"/>
      <c r="AA61" s="15"/>
      <c r="AB61" s="15"/>
      <c r="AC61" s="15"/>
      <c r="AD61" s="15"/>
      <c r="AE61" s="57"/>
      <c r="AF61" s="57"/>
      <c r="AG61" s="15"/>
      <c r="AH61" s="25"/>
      <c r="AI61" s="26"/>
      <c r="AJ61" s="26"/>
      <c r="AK61" s="27"/>
      <c r="AL61" s="28"/>
      <c r="AM61" s="29"/>
    </row>
    <row r="62" ht="12.75" customHeight="1">
      <c r="A62" s="26"/>
      <c r="B62" s="12"/>
      <c r="C62" s="240"/>
      <c r="D62" s="241"/>
      <c r="E62" s="5"/>
      <c r="F62" s="5"/>
      <c r="G62" s="5"/>
      <c r="H62" s="5"/>
      <c r="I62" s="5"/>
      <c r="J62" s="5"/>
      <c r="K62" s="8"/>
      <c r="L62" s="9"/>
      <c r="M62" s="10"/>
      <c r="N62" s="12"/>
      <c r="O62" s="242"/>
      <c r="P62" s="243"/>
      <c r="Q62" s="243"/>
      <c r="R62" s="14"/>
      <c r="S62" s="242"/>
      <c r="T62" s="15"/>
      <c r="U62" s="15"/>
      <c r="V62" s="15"/>
      <c r="W62" s="8"/>
      <c r="X62" s="8"/>
      <c r="Y62" s="56"/>
      <c r="Z62" s="56"/>
      <c r="AA62" s="15"/>
      <c r="AB62" s="15"/>
      <c r="AC62" s="15"/>
      <c r="AD62" s="15"/>
      <c r="AE62" s="57"/>
      <c r="AF62" s="57"/>
      <c r="AG62" s="15"/>
      <c r="AH62" s="25"/>
      <c r="AI62" s="26"/>
      <c r="AJ62" s="26"/>
      <c r="AK62" s="27"/>
      <c r="AL62" s="28"/>
      <c r="AM62" s="29"/>
    </row>
    <row r="63" ht="12.75" customHeight="1">
      <c r="A63" s="26"/>
      <c r="B63" s="12"/>
      <c r="C63" s="240"/>
      <c r="D63" s="241"/>
      <c r="E63" s="5"/>
      <c r="F63" s="5"/>
      <c r="G63" s="5"/>
      <c r="H63" s="5"/>
      <c r="I63" s="5"/>
      <c r="J63" s="5"/>
      <c r="K63" s="8"/>
      <c r="L63" s="9"/>
      <c r="M63" s="10"/>
      <c r="N63" s="12"/>
      <c r="O63" s="242"/>
      <c r="P63" s="243"/>
      <c r="Q63" s="243"/>
      <c r="R63" s="14"/>
      <c r="S63" s="242"/>
      <c r="T63" s="15"/>
      <c r="U63" s="15"/>
      <c r="V63" s="15"/>
      <c r="W63" s="8"/>
      <c r="X63" s="8"/>
      <c r="Y63" s="56"/>
      <c r="Z63" s="56"/>
      <c r="AA63" s="15"/>
      <c r="AB63" s="15"/>
      <c r="AC63" s="15"/>
      <c r="AD63" s="15"/>
      <c r="AE63" s="57"/>
      <c r="AF63" s="57"/>
      <c r="AG63" s="15"/>
      <c r="AH63" s="25"/>
      <c r="AI63" s="26"/>
      <c r="AJ63" s="26"/>
      <c r="AK63" s="27"/>
      <c r="AL63" s="28"/>
      <c r="AM63" s="29"/>
    </row>
    <row r="64" ht="12.75" customHeight="1">
      <c r="A64" s="26"/>
      <c r="B64" s="12"/>
      <c r="C64" s="240"/>
      <c r="D64" s="241"/>
      <c r="E64" s="5"/>
      <c r="F64" s="5"/>
      <c r="G64" s="5"/>
      <c r="H64" s="5"/>
      <c r="I64" s="5"/>
      <c r="J64" s="5"/>
      <c r="K64" s="8"/>
      <c r="L64" s="9"/>
      <c r="M64" s="10"/>
      <c r="N64" s="12"/>
      <c r="O64" s="242"/>
      <c r="P64" s="243"/>
      <c r="Q64" s="243"/>
      <c r="R64" s="14"/>
      <c r="S64" s="242"/>
      <c r="T64" s="15"/>
      <c r="U64" s="15"/>
      <c r="V64" s="15"/>
      <c r="W64" s="8"/>
      <c r="X64" s="8"/>
      <c r="Y64" s="56"/>
      <c r="Z64" s="56"/>
      <c r="AA64" s="15"/>
      <c r="AB64" s="15"/>
      <c r="AC64" s="15"/>
      <c r="AD64" s="15"/>
      <c r="AE64" s="57"/>
      <c r="AF64" s="57"/>
      <c r="AG64" s="15"/>
      <c r="AH64" s="25"/>
      <c r="AI64" s="26"/>
      <c r="AJ64" s="26"/>
      <c r="AK64" s="27"/>
      <c r="AL64" s="28"/>
      <c r="AM64" s="29"/>
    </row>
    <row r="65" ht="12.75" customHeight="1">
      <c r="A65" s="26"/>
      <c r="B65" s="12"/>
      <c r="C65" s="240"/>
      <c r="D65" s="241"/>
      <c r="E65" s="5"/>
      <c r="F65" s="5"/>
      <c r="G65" s="5"/>
      <c r="H65" s="5"/>
      <c r="I65" s="5"/>
      <c r="J65" s="5"/>
      <c r="K65" s="8"/>
      <c r="L65" s="9"/>
      <c r="M65" s="10"/>
      <c r="N65" s="12"/>
      <c r="O65" s="242"/>
      <c r="P65" s="243"/>
      <c r="Q65" s="243"/>
      <c r="R65" s="14"/>
      <c r="S65" s="242"/>
      <c r="T65" s="15"/>
      <c r="U65" s="15"/>
      <c r="V65" s="15"/>
      <c r="W65" s="8"/>
      <c r="X65" s="8"/>
      <c r="Y65" s="56"/>
      <c r="Z65" s="56"/>
      <c r="AA65" s="15"/>
      <c r="AB65" s="15"/>
      <c r="AC65" s="15"/>
      <c r="AD65" s="15"/>
      <c r="AE65" s="57"/>
      <c r="AF65" s="57"/>
      <c r="AG65" s="15"/>
      <c r="AH65" s="25"/>
      <c r="AI65" s="26"/>
      <c r="AJ65" s="26"/>
      <c r="AK65" s="27"/>
      <c r="AL65" s="28"/>
      <c r="AM65" s="29"/>
    </row>
    <row r="66" ht="12.75" customHeight="1">
      <c r="A66" s="26"/>
      <c r="B66" s="12"/>
      <c r="C66" s="240"/>
      <c r="D66" s="241"/>
      <c r="E66" s="5"/>
      <c r="F66" s="5"/>
      <c r="G66" s="5"/>
      <c r="H66" s="5"/>
      <c r="I66" s="5"/>
      <c r="J66" s="5"/>
      <c r="K66" s="8"/>
      <c r="L66" s="9"/>
      <c r="M66" s="10"/>
      <c r="N66" s="12"/>
      <c r="O66" s="242"/>
      <c r="P66" s="243"/>
      <c r="Q66" s="243"/>
      <c r="R66" s="14"/>
      <c r="S66" s="242"/>
      <c r="T66" s="15"/>
      <c r="U66" s="15"/>
      <c r="V66" s="15"/>
      <c r="W66" s="8"/>
      <c r="X66" s="8"/>
      <c r="Y66" s="56"/>
      <c r="Z66" s="56"/>
      <c r="AA66" s="15"/>
      <c r="AB66" s="15"/>
      <c r="AC66" s="15"/>
      <c r="AD66" s="15"/>
      <c r="AE66" s="57"/>
      <c r="AF66" s="57"/>
      <c r="AG66" s="15"/>
      <c r="AH66" s="25"/>
      <c r="AI66" s="26"/>
      <c r="AJ66" s="26"/>
      <c r="AK66" s="27"/>
      <c r="AL66" s="28"/>
      <c r="AM66" s="29"/>
    </row>
    <row r="67" ht="12.75" customHeight="1">
      <c r="A67" s="26"/>
      <c r="B67" s="12"/>
      <c r="C67" s="240"/>
      <c r="D67" s="241"/>
      <c r="E67" s="5"/>
      <c r="F67" s="5"/>
      <c r="G67" s="5"/>
      <c r="H67" s="5"/>
      <c r="I67" s="5"/>
      <c r="J67" s="5"/>
      <c r="K67" s="8"/>
      <c r="L67" s="9"/>
      <c r="M67" s="10"/>
      <c r="N67" s="12"/>
      <c r="O67" s="242"/>
      <c r="P67" s="243"/>
      <c r="Q67" s="243"/>
      <c r="R67" s="14"/>
      <c r="S67" s="242"/>
      <c r="T67" s="15"/>
      <c r="U67" s="15"/>
      <c r="V67" s="15"/>
      <c r="W67" s="8"/>
      <c r="X67" s="8"/>
      <c r="Y67" s="56"/>
      <c r="Z67" s="56"/>
      <c r="AA67" s="15"/>
      <c r="AB67" s="15"/>
      <c r="AC67" s="15"/>
      <c r="AD67" s="15"/>
      <c r="AE67" s="57"/>
      <c r="AF67" s="57"/>
      <c r="AG67" s="15"/>
      <c r="AH67" s="25"/>
      <c r="AI67" s="26"/>
      <c r="AJ67" s="26"/>
      <c r="AK67" s="27"/>
      <c r="AL67" s="28"/>
      <c r="AM67" s="29"/>
    </row>
    <row r="68" ht="12.75" customHeight="1">
      <c r="A68" s="26"/>
      <c r="B68" s="12"/>
      <c r="C68" s="240"/>
      <c r="D68" s="241"/>
      <c r="E68" s="5"/>
      <c r="F68" s="5"/>
      <c r="G68" s="5"/>
      <c r="H68" s="5"/>
      <c r="I68" s="5"/>
      <c r="J68" s="5"/>
      <c r="K68" s="8"/>
      <c r="L68" s="9"/>
      <c r="M68" s="10"/>
      <c r="N68" s="12"/>
      <c r="O68" s="242"/>
      <c r="P68" s="243"/>
      <c r="Q68" s="243"/>
      <c r="R68" s="14"/>
      <c r="S68" s="242"/>
      <c r="T68" s="15"/>
      <c r="U68" s="15"/>
      <c r="V68" s="15"/>
      <c r="W68" s="8"/>
      <c r="X68" s="8"/>
      <c r="Y68" s="56"/>
      <c r="Z68" s="56"/>
      <c r="AA68" s="15"/>
      <c r="AB68" s="15"/>
      <c r="AC68" s="15"/>
      <c r="AD68" s="15"/>
      <c r="AE68" s="57"/>
      <c r="AF68" s="57"/>
      <c r="AG68" s="15"/>
      <c r="AH68" s="25"/>
      <c r="AI68" s="26"/>
      <c r="AJ68" s="26"/>
      <c r="AK68" s="27"/>
      <c r="AL68" s="28"/>
      <c r="AM68" s="29"/>
    </row>
    <row r="69" ht="12.75" customHeight="1">
      <c r="A69" s="26"/>
      <c r="B69" s="12"/>
      <c r="C69" s="240"/>
      <c r="D69" s="241"/>
      <c r="E69" s="5"/>
      <c r="F69" s="5"/>
      <c r="G69" s="5"/>
      <c r="H69" s="5"/>
      <c r="I69" s="5"/>
      <c r="J69" s="5"/>
      <c r="K69" s="8"/>
      <c r="L69" s="9"/>
      <c r="M69" s="10"/>
      <c r="N69" s="12"/>
      <c r="O69" s="242"/>
      <c r="P69" s="243"/>
      <c r="Q69" s="243"/>
      <c r="R69" s="14"/>
      <c r="S69" s="242"/>
      <c r="T69" s="15"/>
      <c r="U69" s="15"/>
      <c r="V69" s="15"/>
      <c r="W69" s="8"/>
      <c r="X69" s="8"/>
      <c r="Y69" s="56"/>
      <c r="Z69" s="56"/>
      <c r="AA69" s="15"/>
      <c r="AB69" s="15"/>
      <c r="AC69" s="15"/>
      <c r="AD69" s="15"/>
      <c r="AE69" s="57"/>
      <c r="AF69" s="57"/>
      <c r="AG69" s="15"/>
      <c r="AH69" s="25"/>
      <c r="AI69" s="26"/>
      <c r="AJ69" s="26"/>
      <c r="AK69" s="27"/>
      <c r="AL69" s="28"/>
      <c r="AM69" s="29"/>
    </row>
    <row r="70" ht="12.75" customHeight="1">
      <c r="A70" s="26"/>
      <c r="B70" s="12"/>
      <c r="C70" s="240"/>
      <c r="D70" s="241"/>
      <c r="E70" s="5"/>
      <c r="F70" s="5"/>
      <c r="G70" s="5"/>
      <c r="H70" s="5"/>
      <c r="I70" s="5"/>
      <c r="J70" s="5"/>
      <c r="K70" s="8"/>
      <c r="L70" s="9"/>
      <c r="M70" s="10"/>
      <c r="N70" s="12"/>
      <c r="O70" s="242"/>
      <c r="P70" s="243"/>
      <c r="Q70" s="243"/>
      <c r="R70" s="14"/>
      <c r="S70" s="242"/>
      <c r="T70" s="15"/>
      <c r="U70" s="15"/>
      <c r="V70" s="15"/>
      <c r="W70" s="8"/>
      <c r="X70" s="8"/>
      <c r="Y70" s="56"/>
      <c r="Z70" s="56"/>
      <c r="AA70" s="15"/>
      <c r="AB70" s="15"/>
      <c r="AC70" s="15"/>
      <c r="AD70" s="15"/>
      <c r="AE70" s="57"/>
      <c r="AF70" s="57"/>
      <c r="AG70" s="15"/>
      <c r="AH70" s="25"/>
      <c r="AI70" s="26"/>
      <c r="AJ70" s="26"/>
      <c r="AK70" s="27"/>
      <c r="AL70" s="28"/>
      <c r="AM70" s="29"/>
    </row>
    <row r="71" ht="12.75" customHeight="1">
      <c r="A71" s="26"/>
      <c r="B71" s="12"/>
      <c r="C71" s="240"/>
      <c r="D71" s="241"/>
      <c r="E71" s="5"/>
      <c r="F71" s="5"/>
      <c r="G71" s="5"/>
      <c r="H71" s="5"/>
      <c r="I71" s="5"/>
      <c r="J71" s="5"/>
      <c r="K71" s="8"/>
      <c r="L71" s="9"/>
      <c r="M71" s="10"/>
      <c r="N71" s="12"/>
      <c r="O71" s="242"/>
      <c r="P71" s="243"/>
      <c r="Q71" s="243"/>
      <c r="R71" s="14"/>
      <c r="S71" s="242"/>
      <c r="T71" s="15"/>
      <c r="U71" s="15"/>
      <c r="V71" s="15"/>
      <c r="W71" s="8"/>
      <c r="X71" s="8"/>
      <c r="Y71" s="56"/>
      <c r="Z71" s="56"/>
      <c r="AA71" s="15"/>
      <c r="AB71" s="15"/>
      <c r="AC71" s="15"/>
      <c r="AD71" s="15"/>
      <c r="AE71" s="57"/>
      <c r="AF71" s="57"/>
      <c r="AG71" s="15"/>
      <c r="AH71" s="25"/>
      <c r="AI71" s="26"/>
      <c r="AJ71" s="26"/>
      <c r="AK71" s="27"/>
      <c r="AL71" s="28"/>
      <c r="AM71" s="29"/>
    </row>
    <row r="72" ht="12.75" customHeight="1">
      <c r="A72" s="26"/>
      <c r="B72" s="12"/>
      <c r="C72" s="240"/>
      <c r="D72" s="241"/>
      <c r="E72" s="5"/>
      <c r="F72" s="5"/>
      <c r="G72" s="5"/>
      <c r="H72" s="5"/>
      <c r="I72" s="5"/>
      <c r="J72" s="5"/>
      <c r="K72" s="8"/>
      <c r="L72" s="9"/>
      <c r="M72" s="10"/>
      <c r="N72" s="12"/>
      <c r="O72" s="242"/>
      <c r="P72" s="243"/>
      <c r="Q72" s="243"/>
      <c r="R72" s="14"/>
      <c r="S72" s="242"/>
      <c r="T72" s="15"/>
      <c r="U72" s="15"/>
      <c r="V72" s="15"/>
      <c r="W72" s="8"/>
      <c r="X72" s="8"/>
      <c r="Y72" s="56"/>
      <c r="Z72" s="56"/>
      <c r="AA72" s="15"/>
      <c r="AB72" s="15"/>
      <c r="AC72" s="15"/>
      <c r="AD72" s="15"/>
      <c r="AE72" s="57"/>
      <c r="AF72" s="57"/>
      <c r="AG72" s="15"/>
      <c r="AH72" s="25"/>
      <c r="AI72" s="26"/>
      <c r="AJ72" s="26"/>
      <c r="AK72" s="27"/>
      <c r="AL72" s="28"/>
      <c r="AM72" s="29"/>
    </row>
    <row r="73" ht="12.75" customHeight="1">
      <c r="A73" s="26"/>
      <c r="B73" s="12"/>
      <c r="C73" s="240"/>
      <c r="D73" s="241"/>
      <c r="E73" s="5"/>
      <c r="F73" s="5"/>
      <c r="G73" s="5"/>
      <c r="H73" s="5"/>
      <c r="I73" s="5"/>
      <c r="J73" s="5"/>
      <c r="K73" s="8"/>
      <c r="L73" s="9"/>
      <c r="M73" s="10"/>
      <c r="N73" s="12"/>
      <c r="O73" s="242"/>
      <c r="P73" s="243"/>
      <c r="Q73" s="243"/>
      <c r="R73" s="14"/>
      <c r="S73" s="242"/>
      <c r="T73" s="15"/>
      <c r="U73" s="15"/>
      <c r="V73" s="15"/>
      <c r="W73" s="8"/>
      <c r="X73" s="8"/>
      <c r="Y73" s="56"/>
      <c r="Z73" s="56"/>
      <c r="AA73" s="15"/>
      <c r="AB73" s="15"/>
      <c r="AC73" s="15"/>
      <c r="AD73" s="15"/>
      <c r="AE73" s="57"/>
      <c r="AF73" s="57"/>
      <c r="AG73" s="15"/>
      <c r="AH73" s="25"/>
      <c r="AI73" s="26"/>
      <c r="AJ73" s="26"/>
      <c r="AK73" s="27"/>
      <c r="AL73" s="28"/>
      <c r="AM73" s="29"/>
    </row>
    <row r="74" ht="12.75" customHeight="1">
      <c r="A74" s="26"/>
      <c r="B74" s="12"/>
      <c r="C74" s="240"/>
      <c r="D74" s="241"/>
      <c r="E74" s="5"/>
      <c r="F74" s="5"/>
      <c r="G74" s="5"/>
      <c r="H74" s="5"/>
      <c r="I74" s="5"/>
      <c r="J74" s="5"/>
      <c r="K74" s="8"/>
      <c r="L74" s="9"/>
      <c r="M74" s="10"/>
      <c r="N74" s="12"/>
      <c r="O74" s="242"/>
      <c r="P74" s="243"/>
      <c r="Q74" s="243"/>
      <c r="R74" s="14"/>
      <c r="S74" s="242"/>
      <c r="T74" s="15"/>
      <c r="U74" s="15"/>
      <c r="V74" s="15"/>
      <c r="W74" s="8"/>
      <c r="X74" s="8"/>
      <c r="Y74" s="56"/>
      <c r="Z74" s="56"/>
      <c r="AA74" s="15"/>
      <c r="AB74" s="15"/>
      <c r="AC74" s="15"/>
      <c r="AD74" s="15"/>
      <c r="AE74" s="57"/>
      <c r="AF74" s="57"/>
      <c r="AG74" s="15"/>
      <c r="AH74" s="25"/>
      <c r="AI74" s="26"/>
      <c r="AJ74" s="26"/>
      <c r="AK74" s="27"/>
      <c r="AL74" s="28"/>
      <c r="AM74" s="29"/>
    </row>
    <row r="75" ht="12.75" customHeight="1">
      <c r="A75" s="26"/>
      <c r="B75" s="12"/>
      <c r="C75" s="240"/>
      <c r="D75" s="241"/>
      <c r="E75" s="5"/>
      <c r="F75" s="5"/>
      <c r="G75" s="5"/>
      <c r="H75" s="5"/>
      <c r="I75" s="5"/>
      <c r="J75" s="5"/>
      <c r="K75" s="8"/>
      <c r="L75" s="9"/>
      <c r="M75" s="10"/>
      <c r="N75" s="12"/>
      <c r="O75" s="242"/>
      <c r="P75" s="243"/>
      <c r="Q75" s="243"/>
      <c r="R75" s="14"/>
      <c r="S75" s="242"/>
      <c r="T75" s="15"/>
      <c r="U75" s="15"/>
      <c r="V75" s="15"/>
      <c r="W75" s="8"/>
      <c r="X75" s="8"/>
      <c r="Y75" s="56"/>
      <c r="Z75" s="56"/>
      <c r="AA75" s="15"/>
      <c r="AB75" s="15"/>
      <c r="AC75" s="15"/>
      <c r="AD75" s="15"/>
      <c r="AE75" s="57"/>
      <c r="AF75" s="57"/>
      <c r="AG75" s="15"/>
      <c r="AH75" s="25"/>
      <c r="AI75" s="26"/>
      <c r="AJ75" s="26"/>
      <c r="AK75" s="27"/>
      <c r="AL75" s="28"/>
      <c r="AM75" s="29"/>
    </row>
    <row r="76" ht="12.75" customHeight="1">
      <c r="A76" s="26"/>
      <c r="B76" s="12"/>
      <c r="C76" s="240"/>
      <c r="D76" s="241"/>
      <c r="E76" s="5"/>
      <c r="F76" s="5"/>
      <c r="G76" s="5"/>
      <c r="H76" s="5"/>
      <c r="I76" s="5"/>
      <c r="J76" s="5"/>
      <c r="K76" s="8"/>
      <c r="L76" s="9"/>
      <c r="M76" s="10"/>
      <c r="N76" s="12"/>
      <c r="O76" s="242"/>
      <c r="P76" s="243"/>
      <c r="Q76" s="243"/>
      <c r="R76" s="14"/>
      <c r="S76" s="242"/>
      <c r="T76" s="15"/>
      <c r="U76" s="15"/>
      <c r="V76" s="15"/>
      <c r="W76" s="8"/>
      <c r="X76" s="8"/>
      <c r="Y76" s="56"/>
      <c r="Z76" s="56"/>
      <c r="AA76" s="15"/>
      <c r="AB76" s="15"/>
      <c r="AC76" s="15"/>
      <c r="AD76" s="15"/>
      <c r="AE76" s="57"/>
      <c r="AF76" s="57"/>
      <c r="AG76" s="15"/>
      <c r="AH76" s="25"/>
      <c r="AI76" s="26"/>
      <c r="AJ76" s="26"/>
      <c r="AK76" s="27"/>
      <c r="AL76" s="28"/>
      <c r="AM76" s="29"/>
    </row>
    <row r="77" ht="12.75" customHeight="1">
      <c r="A77" s="26"/>
      <c r="B77" s="12"/>
      <c r="C77" s="240"/>
      <c r="D77" s="241"/>
      <c r="E77" s="5"/>
      <c r="F77" s="5"/>
      <c r="G77" s="5"/>
      <c r="H77" s="5"/>
      <c r="I77" s="5"/>
      <c r="J77" s="5"/>
      <c r="K77" s="8"/>
      <c r="L77" s="9"/>
      <c r="M77" s="10"/>
      <c r="N77" s="12"/>
      <c r="O77" s="242"/>
      <c r="P77" s="243"/>
      <c r="Q77" s="243"/>
      <c r="R77" s="14"/>
      <c r="S77" s="242"/>
      <c r="T77" s="15"/>
      <c r="U77" s="15"/>
      <c r="V77" s="15"/>
      <c r="W77" s="8"/>
      <c r="X77" s="8"/>
      <c r="Y77" s="56"/>
      <c r="Z77" s="56"/>
      <c r="AA77" s="15"/>
      <c r="AB77" s="15"/>
      <c r="AC77" s="15"/>
      <c r="AD77" s="15"/>
      <c r="AE77" s="57"/>
      <c r="AF77" s="57"/>
      <c r="AG77" s="15"/>
      <c r="AH77" s="25"/>
      <c r="AI77" s="26"/>
      <c r="AJ77" s="26"/>
      <c r="AK77" s="27"/>
      <c r="AL77" s="28"/>
      <c r="AM77" s="29"/>
    </row>
    <row r="78" ht="12.75" customHeight="1">
      <c r="A78" s="26"/>
      <c r="B78" s="12"/>
      <c r="C78" s="240"/>
      <c r="D78" s="241"/>
      <c r="E78" s="5"/>
      <c r="F78" s="5"/>
      <c r="G78" s="5"/>
      <c r="H78" s="5"/>
      <c r="I78" s="5"/>
      <c r="J78" s="5"/>
      <c r="K78" s="8"/>
      <c r="L78" s="9"/>
      <c r="M78" s="10"/>
      <c r="N78" s="12"/>
      <c r="O78" s="242"/>
      <c r="P78" s="243"/>
      <c r="Q78" s="243"/>
      <c r="R78" s="14"/>
      <c r="S78" s="242"/>
      <c r="T78" s="15"/>
      <c r="U78" s="15"/>
      <c r="V78" s="15"/>
      <c r="W78" s="8"/>
      <c r="X78" s="8"/>
      <c r="Y78" s="56"/>
      <c r="Z78" s="56"/>
      <c r="AA78" s="15"/>
      <c r="AB78" s="15"/>
      <c r="AC78" s="15"/>
      <c r="AD78" s="15"/>
      <c r="AE78" s="57"/>
      <c r="AF78" s="57"/>
      <c r="AG78" s="15"/>
      <c r="AH78" s="25"/>
      <c r="AI78" s="26"/>
      <c r="AJ78" s="26"/>
      <c r="AK78" s="27"/>
      <c r="AL78" s="28"/>
      <c r="AM78" s="29"/>
    </row>
    <row r="79" ht="12.75" customHeight="1">
      <c r="A79" s="26"/>
      <c r="B79" s="12"/>
      <c r="C79" s="240"/>
      <c r="D79" s="241"/>
      <c r="E79" s="5"/>
      <c r="F79" s="5"/>
      <c r="G79" s="5"/>
      <c r="H79" s="5"/>
      <c r="I79" s="5"/>
      <c r="J79" s="5"/>
      <c r="K79" s="8"/>
      <c r="L79" s="9"/>
      <c r="M79" s="10"/>
      <c r="N79" s="12"/>
      <c r="O79" s="242"/>
      <c r="P79" s="243"/>
      <c r="Q79" s="243"/>
      <c r="R79" s="14"/>
      <c r="S79" s="242"/>
      <c r="T79" s="15"/>
      <c r="U79" s="15"/>
      <c r="V79" s="15"/>
      <c r="W79" s="8"/>
      <c r="X79" s="8"/>
      <c r="Y79" s="56"/>
      <c r="Z79" s="56"/>
      <c r="AA79" s="15"/>
      <c r="AB79" s="15"/>
      <c r="AC79" s="15"/>
      <c r="AD79" s="15"/>
      <c r="AE79" s="57"/>
      <c r="AF79" s="57"/>
      <c r="AG79" s="15"/>
      <c r="AH79" s="25"/>
      <c r="AI79" s="26"/>
      <c r="AJ79" s="26"/>
      <c r="AK79" s="27"/>
      <c r="AL79" s="28"/>
      <c r="AM79" s="29"/>
    </row>
    <row r="80" ht="12.75" customHeight="1">
      <c r="A80" s="26"/>
      <c r="B80" s="12"/>
      <c r="C80" s="240"/>
      <c r="D80" s="241"/>
      <c r="E80" s="5"/>
      <c r="F80" s="5"/>
      <c r="G80" s="5"/>
      <c r="H80" s="5"/>
      <c r="I80" s="5"/>
      <c r="J80" s="5"/>
      <c r="K80" s="8"/>
      <c r="L80" s="9"/>
      <c r="M80" s="10"/>
      <c r="N80" s="12"/>
      <c r="O80" s="242"/>
      <c r="P80" s="243"/>
      <c r="Q80" s="243"/>
      <c r="R80" s="14"/>
      <c r="S80" s="242"/>
      <c r="T80" s="15"/>
      <c r="U80" s="15"/>
      <c r="V80" s="15"/>
      <c r="W80" s="8"/>
      <c r="X80" s="8"/>
      <c r="Y80" s="56"/>
      <c r="Z80" s="56"/>
      <c r="AA80" s="15"/>
      <c r="AB80" s="15"/>
      <c r="AC80" s="15"/>
      <c r="AD80" s="15"/>
      <c r="AE80" s="57"/>
      <c r="AF80" s="57"/>
      <c r="AG80" s="15"/>
      <c r="AH80" s="25"/>
      <c r="AI80" s="26"/>
      <c r="AJ80" s="26"/>
      <c r="AK80" s="27"/>
      <c r="AL80" s="28"/>
      <c r="AM80" s="29"/>
    </row>
    <row r="81" ht="12.75" customHeight="1">
      <c r="A81" s="26"/>
      <c r="B81" s="12"/>
      <c r="C81" s="240"/>
      <c r="D81" s="241"/>
      <c r="E81" s="5"/>
      <c r="F81" s="5"/>
      <c r="G81" s="5"/>
      <c r="H81" s="5"/>
      <c r="I81" s="5"/>
      <c r="J81" s="5"/>
      <c r="K81" s="8"/>
      <c r="L81" s="9"/>
      <c r="M81" s="10"/>
      <c r="N81" s="12"/>
      <c r="O81" s="242"/>
      <c r="P81" s="243"/>
      <c r="Q81" s="243"/>
      <c r="R81" s="14"/>
      <c r="S81" s="242"/>
      <c r="T81" s="15"/>
      <c r="U81" s="15"/>
      <c r="V81" s="15"/>
      <c r="W81" s="8"/>
      <c r="X81" s="8"/>
      <c r="Y81" s="56"/>
      <c r="Z81" s="56"/>
      <c r="AA81" s="15"/>
      <c r="AB81" s="15"/>
      <c r="AC81" s="15"/>
      <c r="AD81" s="15"/>
      <c r="AE81" s="57"/>
      <c r="AF81" s="57"/>
      <c r="AG81" s="15"/>
      <c r="AH81" s="25"/>
      <c r="AI81" s="26"/>
      <c r="AJ81" s="26"/>
      <c r="AK81" s="27"/>
      <c r="AL81" s="28"/>
      <c r="AM81" s="29"/>
    </row>
    <row r="82" ht="12.75" customHeight="1">
      <c r="A82" s="26"/>
      <c r="B82" s="12"/>
      <c r="C82" s="240"/>
      <c r="D82" s="241"/>
      <c r="E82" s="5"/>
      <c r="F82" s="5"/>
      <c r="G82" s="5"/>
      <c r="H82" s="5"/>
      <c r="I82" s="5"/>
      <c r="J82" s="5"/>
      <c r="K82" s="8"/>
      <c r="L82" s="9"/>
      <c r="M82" s="10"/>
      <c r="N82" s="12"/>
      <c r="O82" s="242"/>
      <c r="P82" s="243"/>
      <c r="Q82" s="243"/>
      <c r="R82" s="14"/>
      <c r="S82" s="242"/>
      <c r="T82" s="15"/>
      <c r="U82" s="15"/>
      <c r="V82" s="15"/>
      <c r="W82" s="8"/>
      <c r="X82" s="8"/>
      <c r="Y82" s="56"/>
      <c r="Z82" s="56"/>
      <c r="AA82" s="15"/>
      <c r="AB82" s="15"/>
      <c r="AC82" s="15"/>
      <c r="AD82" s="15"/>
      <c r="AE82" s="57"/>
      <c r="AF82" s="57"/>
      <c r="AG82" s="15"/>
      <c r="AH82" s="25"/>
      <c r="AI82" s="26"/>
      <c r="AJ82" s="26"/>
      <c r="AK82" s="27"/>
      <c r="AL82" s="28"/>
      <c r="AM82" s="29"/>
    </row>
    <row r="83" ht="12.75" customHeight="1">
      <c r="A83" s="26"/>
      <c r="B83" s="12"/>
      <c r="C83" s="240"/>
      <c r="D83" s="241"/>
      <c r="E83" s="5"/>
      <c r="F83" s="5"/>
      <c r="G83" s="5"/>
      <c r="H83" s="5"/>
      <c r="I83" s="5"/>
      <c r="J83" s="5"/>
      <c r="K83" s="8"/>
      <c r="L83" s="9"/>
      <c r="M83" s="10"/>
      <c r="N83" s="12"/>
      <c r="O83" s="242"/>
      <c r="P83" s="243"/>
      <c r="Q83" s="243"/>
      <c r="R83" s="14"/>
      <c r="S83" s="242"/>
      <c r="T83" s="15"/>
      <c r="U83" s="15"/>
      <c r="V83" s="15"/>
      <c r="W83" s="8"/>
      <c r="X83" s="8"/>
      <c r="Y83" s="56"/>
      <c r="Z83" s="56"/>
      <c r="AA83" s="15"/>
      <c r="AB83" s="15"/>
      <c r="AC83" s="15"/>
      <c r="AD83" s="15"/>
      <c r="AE83" s="57"/>
      <c r="AF83" s="57"/>
      <c r="AG83" s="15"/>
      <c r="AH83" s="25"/>
      <c r="AI83" s="26"/>
      <c r="AJ83" s="26"/>
      <c r="AK83" s="27"/>
      <c r="AL83" s="28"/>
      <c r="AM83" s="29"/>
    </row>
    <row r="84" ht="12.75" customHeight="1">
      <c r="A84" s="26"/>
      <c r="B84" s="12"/>
      <c r="C84" s="240"/>
      <c r="D84" s="241"/>
      <c r="E84" s="5"/>
      <c r="F84" s="5"/>
      <c r="G84" s="5"/>
      <c r="H84" s="5"/>
      <c r="I84" s="5"/>
      <c r="J84" s="5"/>
      <c r="K84" s="8"/>
      <c r="L84" s="9"/>
      <c r="M84" s="10"/>
      <c r="N84" s="12"/>
      <c r="O84" s="242"/>
      <c r="P84" s="243"/>
      <c r="Q84" s="243"/>
      <c r="R84" s="14"/>
      <c r="S84" s="242"/>
      <c r="T84" s="15"/>
      <c r="U84" s="15"/>
      <c r="V84" s="15"/>
      <c r="W84" s="8"/>
      <c r="X84" s="8"/>
      <c r="Y84" s="56"/>
      <c r="Z84" s="56"/>
      <c r="AA84" s="15"/>
      <c r="AB84" s="15"/>
      <c r="AC84" s="15"/>
      <c r="AD84" s="15"/>
      <c r="AE84" s="57"/>
      <c r="AF84" s="57"/>
      <c r="AG84" s="15"/>
      <c r="AH84" s="25"/>
      <c r="AI84" s="26"/>
      <c r="AJ84" s="26"/>
      <c r="AK84" s="27"/>
      <c r="AL84" s="28"/>
      <c r="AM84" s="29"/>
    </row>
    <row r="85" ht="12.75" customHeight="1">
      <c r="A85" s="26"/>
      <c r="B85" s="12"/>
      <c r="C85" s="240"/>
      <c r="D85" s="241"/>
      <c r="E85" s="5"/>
      <c r="F85" s="5"/>
      <c r="G85" s="5"/>
      <c r="H85" s="5"/>
      <c r="I85" s="5"/>
      <c r="J85" s="5"/>
      <c r="K85" s="8"/>
      <c r="L85" s="9"/>
      <c r="M85" s="10"/>
      <c r="N85" s="12"/>
      <c r="O85" s="242"/>
      <c r="P85" s="243"/>
      <c r="Q85" s="243"/>
      <c r="R85" s="14"/>
      <c r="S85" s="242"/>
      <c r="T85" s="15"/>
      <c r="U85" s="15"/>
      <c r="V85" s="15"/>
      <c r="W85" s="8"/>
      <c r="X85" s="8"/>
      <c r="Y85" s="56"/>
      <c r="Z85" s="56"/>
      <c r="AA85" s="15"/>
      <c r="AB85" s="15"/>
      <c r="AC85" s="15"/>
      <c r="AD85" s="15"/>
      <c r="AE85" s="57"/>
      <c r="AF85" s="57"/>
      <c r="AG85" s="15"/>
      <c r="AH85" s="25"/>
      <c r="AI85" s="26"/>
      <c r="AJ85" s="26"/>
      <c r="AK85" s="27"/>
      <c r="AL85" s="28"/>
      <c r="AM85" s="29"/>
    </row>
    <row r="86" ht="12.75" customHeight="1">
      <c r="A86" s="26"/>
      <c r="B86" s="12"/>
      <c r="C86" s="240"/>
      <c r="D86" s="241"/>
      <c r="E86" s="5"/>
      <c r="F86" s="5"/>
      <c r="G86" s="5"/>
      <c r="H86" s="5"/>
      <c r="I86" s="5"/>
      <c r="J86" s="5"/>
      <c r="K86" s="8"/>
      <c r="L86" s="9"/>
      <c r="M86" s="10"/>
      <c r="N86" s="12"/>
      <c r="O86" s="242"/>
      <c r="P86" s="243"/>
      <c r="Q86" s="243"/>
      <c r="R86" s="14"/>
      <c r="S86" s="242"/>
      <c r="T86" s="15"/>
      <c r="U86" s="15"/>
      <c r="V86" s="15"/>
      <c r="W86" s="8"/>
      <c r="X86" s="8"/>
      <c r="Y86" s="56"/>
      <c r="Z86" s="56"/>
      <c r="AA86" s="15"/>
      <c r="AB86" s="15"/>
      <c r="AC86" s="15"/>
      <c r="AD86" s="15"/>
      <c r="AE86" s="57"/>
      <c r="AF86" s="57"/>
      <c r="AG86" s="15"/>
      <c r="AH86" s="25"/>
      <c r="AI86" s="26"/>
      <c r="AJ86" s="26"/>
      <c r="AK86" s="27"/>
      <c r="AL86" s="28"/>
      <c r="AM86" s="29"/>
    </row>
    <row r="87" ht="12.75" customHeight="1">
      <c r="A87" s="26"/>
      <c r="B87" s="12"/>
      <c r="C87" s="240"/>
      <c r="D87" s="241"/>
      <c r="E87" s="5"/>
      <c r="F87" s="5"/>
      <c r="G87" s="5"/>
      <c r="H87" s="5"/>
      <c r="I87" s="5"/>
      <c r="J87" s="5"/>
      <c r="K87" s="8"/>
      <c r="L87" s="9"/>
      <c r="M87" s="10"/>
      <c r="N87" s="12"/>
      <c r="O87" s="242"/>
      <c r="P87" s="243"/>
      <c r="Q87" s="243"/>
      <c r="R87" s="14"/>
      <c r="S87" s="242"/>
      <c r="T87" s="15"/>
      <c r="U87" s="15"/>
      <c r="V87" s="15"/>
      <c r="W87" s="8"/>
      <c r="X87" s="8"/>
      <c r="Y87" s="56"/>
      <c r="Z87" s="56"/>
      <c r="AA87" s="15"/>
      <c r="AB87" s="15"/>
      <c r="AC87" s="15"/>
      <c r="AD87" s="15"/>
      <c r="AE87" s="57"/>
      <c r="AF87" s="57"/>
      <c r="AG87" s="15"/>
      <c r="AH87" s="25"/>
      <c r="AI87" s="26"/>
      <c r="AJ87" s="26"/>
      <c r="AK87" s="27"/>
      <c r="AL87" s="28"/>
      <c r="AM87" s="29"/>
    </row>
    <row r="88" ht="12.75" customHeight="1">
      <c r="A88" s="26"/>
      <c r="B88" s="12"/>
      <c r="C88" s="240"/>
      <c r="D88" s="241"/>
      <c r="E88" s="5"/>
      <c r="F88" s="5"/>
      <c r="G88" s="5"/>
      <c r="H88" s="5"/>
      <c r="I88" s="5"/>
      <c r="J88" s="5"/>
      <c r="K88" s="8"/>
      <c r="L88" s="9"/>
      <c r="M88" s="10"/>
      <c r="N88" s="12"/>
      <c r="O88" s="242"/>
      <c r="P88" s="243"/>
      <c r="Q88" s="243"/>
      <c r="R88" s="14"/>
      <c r="S88" s="242"/>
      <c r="T88" s="15"/>
      <c r="U88" s="15"/>
      <c r="V88" s="15"/>
      <c r="W88" s="8"/>
      <c r="X88" s="8"/>
      <c r="Y88" s="56"/>
      <c r="Z88" s="56"/>
      <c r="AA88" s="15"/>
      <c r="AB88" s="15"/>
      <c r="AC88" s="15"/>
      <c r="AD88" s="15"/>
      <c r="AE88" s="57"/>
      <c r="AF88" s="57"/>
      <c r="AG88" s="15"/>
      <c r="AH88" s="25"/>
      <c r="AI88" s="26"/>
      <c r="AJ88" s="26"/>
      <c r="AK88" s="27"/>
      <c r="AL88" s="28"/>
      <c r="AM88" s="29"/>
    </row>
    <row r="89" ht="12.75" customHeight="1">
      <c r="A89" s="26"/>
      <c r="B89" s="12"/>
      <c r="C89" s="240"/>
      <c r="D89" s="241"/>
      <c r="E89" s="5"/>
      <c r="F89" s="5"/>
      <c r="G89" s="5"/>
      <c r="H89" s="5"/>
      <c r="I89" s="5"/>
      <c r="J89" s="5"/>
      <c r="K89" s="8"/>
      <c r="L89" s="9"/>
      <c r="M89" s="10"/>
      <c r="N89" s="12"/>
      <c r="O89" s="242"/>
      <c r="P89" s="243"/>
      <c r="Q89" s="243"/>
      <c r="R89" s="14"/>
      <c r="S89" s="242"/>
      <c r="T89" s="15"/>
      <c r="U89" s="15"/>
      <c r="V89" s="15"/>
      <c r="W89" s="8"/>
      <c r="X89" s="8"/>
      <c r="Y89" s="56"/>
      <c r="Z89" s="56"/>
      <c r="AA89" s="15"/>
      <c r="AB89" s="15"/>
      <c r="AC89" s="15"/>
      <c r="AD89" s="15"/>
      <c r="AE89" s="57"/>
      <c r="AF89" s="57"/>
      <c r="AG89" s="15"/>
      <c r="AH89" s="25"/>
      <c r="AI89" s="26"/>
      <c r="AJ89" s="26"/>
      <c r="AK89" s="27"/>
      <c r="AL89" s="28"/>
      <c r="AM89" s="29"/>
    </row>
    <row r="90" ht="12.75" customHeight="1">
      <c r="A90" s="26"/>
      <c r="B90" s="12"/>
      <c r="C90" s="240"/>
      <c r="D90" s="241"/>
      <c r="E90" s="5"/>
      <c r="F90" s="5"/>
      <c r="G90" s="5"/>
      <c r="H90" s="5"/>
      <c r="I90" s="5"/>
      <c r="J90" s="5"/>
      <c r="K90" s="8"/>
      <c r="L90" s="9"/>
      <c r="M90" s="10"/>
      <c r="N90" s="12"/>
      <c r="O90" s="242"/>
      <c r="P90" s="243"/>
      <c r="Q90" s="243"/>
      <c r="R90" s="14"/>
      <c r="S90" s="242"/>
      <c r="T90" s="15"/>
      <c r="U90" s="15"/>
      <c r="V90" s="15"/>
      <c r="W90" s="8"/>
      <c r="X90" s="8"/>
      <c r="Y90" s="56"/>
      <c r="Z90" s="56"/>
      <c r="AA90" s="15"/>
      <c r="AB90" s="15"/>
      <c r="AC90" s="15"/>
      <c r="AD90" s="15"/>
      <c r="AE90" s="57"/>
      <c r="AF90" s="57"/>
      <c r="AG90" s="15"/>
      <c r="AH90" s="25"/>
      <c r="AI90" s="26"/>
      <c r="AJ90" s="26"/>
      <c r="AK90" s="27"/>
      <c r="AL90" s="28"/>
      <c r="AM90" s="29"/>
    </row>
    <row r="91" ht="12.75" customHeight="1">
      <c r="A91" s="26"/>
      <c r="B91" s="12"/>
      <c r="C91" s="240"/>
      <c r="D91" s="241"/>
      <c r="E91" s="5"/>
      <c r="F91" s="5"/>
      <c r="G91" s="5"/>
      <c r="H91" s="5"/>
      <c r="I91" s="5"/>
      <c r="J91" s="5"/>
      <c r="K91" s="8"/>
      <c r="L91" s="9"/>
      <c r="M91" s="10"/>
      <c r="N91" s="12"/>
      <c r="O91" s="242"/>
      <c r="P91" s="243"/>
      <c r="Q91" s="243"/>
      <c r="R91" s="14"/>
      <c r="S91" s="242"/>
      <c r="T91" s="15"/>
      <c r="U91" s="15"/>
      <c r="V91" s="15"/>
      <c r="W91" s="8"/>
      <c r="X91" s="8"/>
      <c r="Y91" s="56"/>
      <c r="Z91" s="56"/>
      <c r="AA91" s="15"/>
      <c r="AB91" s="15"/>
      <c r="AC91" s="15"/>
      <c r="AD91" s="15"/>
      <c r="AE91" s="57"/>
      <c r="AF91" s="57"/>
      <c r="AG91" s="15"/>
      <c r="AH91" s="25"/>
      <c r="AI91" s="26"/>
      <c r="AJ91" s="26"/>
      <c r="AK91" s="27"/>
      <c r="AL91" s="28"/>
      <c r="AM91" s="29"/>
    </row>
    <row r="92" ht="12.75" customHeight="1">
      <c r="A92" s="26"/>
      <c r="B92" s="12"/>
      <c r="C92" s="240"/>
      <c r="D92" s="241"/>
      <c r="E92" s="5"/>
      <c r="F92" s="5"/>
      <c r="G92" s="5"/>
      <c r="H92" s="5"/>
      <c r="I92" s="5"/>
      <c r="J92" s="5"/>
      <c r="K92" s="8"/>
      <c r="L92" s="9"/>
      <c r="M92" s="10"/>
      <c r="N92" s="12"/>
      <c r="O92" s="242"/>
      <c r="P92" s="243"/>
      <c r="Q92" s="243"/>
      <c r="R92" s="14"/>
      <c r="S92" s="242"/>
      <c r="T92" s="15"/>
      <c r="U92" s="15"/>
      <c r="V92" s="15"/>
      <c r="W92" s="8"/>
      <c r="X92" s="8"/>
      <c r="Y92" s="56"/>
      <c r="Z92" s="56"/>
      <c r="AA92" s="15"/>
      <c r="AB92" s="15"/>
      <c r="AC92" s="15"/>
      <c r="AD92" s="15"/>
      <c r="AE92" s="57"/>
      <c r="AF92" s="57"/>
      <c r="AG92" s="15"/>
      <c r="AH92" s="25"/>
      <c r="AI92" s="26"/>
      <c r="AJ92" s="26"/>
      <c r="AK92" s="27"/>
      <c r="AL92" s="28"/>
      <c r="AM92" s="29"/>
    </row>
    <row r="93" ht="12.75" customHeight="1">
      <c r="A93" s="26"/>
      <c r="B93" s="12"/>
      <c r="C93" s="240"/>
      <c r="D93" s="241"/>
      <c r="E93" s="5"/>
      <c r="F93" s="5"/>
      <c r="G93" s="5"/>
      <c r="H93" s="5"/>
      <c r="I93" s="5"/>
      <c r="J93" s="5"/>
      <c r="K93" s="8"/>
      <c r="L93" s="9"/>
      <c r="M93" s="10"/>
      <c r="N93" s="12"/>
      <c r="O93" s="242"/>
      <c r="P93" s="243"/>
      <c r="Q93" s="243"/>
      <c r="R93" s="14"/>
      <c r="S93" s="242"/>
      <c r="T93" s="15"/>
      <c r="U93" s="15"/>
      <c r="V93" s="15"/>
      <c r="W93" s="8"/>
      <c r="X93" s="8"/>
      <c r="Y93" s="56"/>
      <c r="Z93" s="56"/>
      <c r="AA93" s="15"/>
      <c r="AB93" s="15"/>
      <c r="AC93" s="15"/>
      <c r="AD93" s="15"/>
      <c r="AE93" s="57"/>
      <c r="AF93" s="57"/>
      <c r="AG93" s="15"/>
      <c r="AH93" s="25"/>
      <c r="AI93" s="26"/>
      <c r="AJ93" s="26"/>
      <c r="AK93" s="27"/>
      <c r="AL93" s="28"/>
      <c r="AM93" s="29"/>
    </row>
    <row r="94" ht="12.75" customHeight="1">
      <c r="A94" s="26"/>
      <c r="B94" s="12"/>
      <c r="C94" s="240"/>
      <c r="D94" s="241"/>
      <c r="E94" s="5"/>
      <c r="F94" s="5"/>
      <c r="G94" s="5"/>
      <c r="H94" s="5"/>
      <c r="I94" s="5"/>
      <c r="J94" s="5"/>
      <c r="K94" s="8"/>
      <c r="L94" s="9"/>
      <c r="M94" s="10"/>
      <c r="N94" s="12"/>
      <c r="O94" s="242"/>
      <c r="P94" s="243"/>
      <c r="Q94" s="243"/>
      <c r="R94" s="14"/>
      <c r="S94" s="242"/>
      <c r="T94" s="15"/>
      <c r="U94" s="15"/>
      <c r="V94" s="15"/>
      <c r="W94" s="8"/>
      <c r="X94" s="8"/>
      <c r="Y94" s="56"/>
      <c r="Z94" s="56"/>
      <c r="AA94" s="15"/>
      <c r="AB94" s="15"/>
      <c r="AC94" s="15"/>
      <c r="AD94" s="15"/>
      <c r="AE94" s="57"/>
      <c r="AF94" s="57"/>
      <c r="AG94" s="15"/>
      <c r="AH94" s="25"/>
      <c r="AI94" s="26"/>
      <c r="AJ94" s="26"/>
      <c r="AK94" s="27"/>
      <c r="AL94" s="28"/>
      <c r="AM94" s="29"/>
    </row>
    <row r="95" ht="12.75" customHeight="1">
      <c r="A95" s="26"/>
      <c r="B95" s="12"/>
      <c r="C95" s="240"/>
      <c r="D95" s="241"/>
      <c r="E95" s="5"/>
      <c r="F95" s="5"/>
      <c r="G95" s="5"/>
      <c r="H95" s="5"/>
      <c r="I95" s="5"/>
      <c r="J95" s="5"/>
      <c r="K95" s="8"/>
      <c r="L95" s="9"/>
      <c r="M95" s="10"/>
      <c r="N95" s="12"/>
      <c r="O95" s="242"/>
      <c r="P95" s="243"/>
      <c r="Q95" s="243"/>
      <c r="R95" s="14"/>
      <c r="S95" s="242"/>
      <c r="T95" s="15"/>
      <c r="U95" s="15"/>
      <c r="V95" s="15"/>
      <c r="W95" s="8"/>
      <c r="X95" s="8"/>
      <c r="Y95" s="56"/>
      <c r="Z95" s="56"/>
      <c r="AA95" s="15"/>
      <c r="AB95" s="15"/>
      <c r="AC95" s="15"/>
      <c r="AD95" s="15"/>
      <c r="AE95" s="57"/>
      <c r="AF95" s="57"/>
      <c r="AG95" s="15"/>
      <c r="AH95" s="25"/>
      <c r="AI95" s="26"/>
      <c r="AJ95" s="26"/>
      <c r="AK95" s="27"/>
      <c r="AL95" s="28"/>
      <c r="AM95" s="29"/>
    </row>
    <row r="96" ht="12.75" customHeight="1">
      <c r="A96" s="26"/>
      <c r="B96" s="12"/>
      <c r="C96" s="240"/>
      <c r="D96" s="241"/>
      <c r="E96" s="5"/>
      <c r="F96" s="5"/>
      <c r="G96" s="5"/>
      <c r="H96" s="5"/>
      <c r="I96" s="5"/>
      <c r="J96" s="5"/>
      <c r="K96" s="8"/>
      <c r="L96" s="9"/>
      <c r="M96" s="10"/>
      <c r="N96" s="12"/>
      <c r="O96" s="242"/>
      <c r="P96" s="243"/>
      <c r="Q96" s="243"/>
      <c r="R96" s="14"/>
      <c r="S96" s="242"/>
      <c r="T96" s="15"/>
      <c r="U96" s="15"/>
      <c r="V96" s="15"/>
      <c r="W96" s="8"/>
      <c r="X96" s="8"/>
      <c r="Y96" s="56"/>
      <c r="Z96" s="56"/>
      <c r="AA96" s="15"/>
      <c r="AB96" s="15"/>
      <c r="AC96" s="15"/>
      <c r="AD96" s="15"/>
      <c r="AE96" s="57"/>
      <c r="AF96" s="57"/>
      <c r="AG96" s="15"/>
      <c r="AH96" s="25"/>
      <c r="AI96" s="26"/>
      <c r="AJ96" s="26"/>
      <c r="AK96" s="27"/>
      <c r="AL96" s="28"/>
      <c r="AM96" s="29"/>
    </row>
    <row r="97" ht="12.75" customHeight="1">
      <c r="A97" s="26"/>
      <c r="B97" s="12"/>
      <c r="C97" s="240"/>
      <c r="D97" s="241"/>
      <c r="E97" s="5"/>
      <c r="F97" s="5"/>
      <c r="G97" s="5"/>
      <c r="H97" s="5"/>
      <c r="I97" s="5"/>
      <c r="J97" s="5"/>
      <c r="K97" s="8"/>
      <c r="L97" s="9"/>
      <c r="M97" s="10"/>
      <c r="N97" s="12"/>
      <c r="O97" s="242"/>
      <c r="P97" s="243"/>
      <c r="Q97" s="243"/>
      <c r="R97" s="14"/>
      <c r="S97" s="242"/>
      <c r="T97" s="15"/>
      <c r="U97" s="15"/>
      <c r="V97" s="15"/>
      <c r="W97" s="8"/>
      <c r="X97" s="8"/>
      <c r="Y97" s="56"/>
      <c r="Z97" s="56"/>
      <c r="AA97" s="15"/>
      <c r="AB97" s="15"/>
      <c r="AC97" s="15"/>
      <c r="AD97" s="15"/>
      <c r="AE97" s="57"/>
      <c r="AF97" s="57"/>
      <c r="AG97" s="15"/>
      <c r="AH97" s="25"/>
      <c r="AI97" s="26"/>
      <c r="AJ97" s="26"/>
      <c r="AK97" s="27"/>
      <c r="AL97" s="28"/>
      <c r="AM97" s="29"/>
    </row>
    <row r="98" ht="12.75" customHeight="1">
      <c r="A98" s="26"/>
      <c r="B98" s="12"/>
      <c r="C98" s="240"/>
      <c r="D98" s="241"/>
      <c r="E98" s="5"/>
      <c r="F98" s="5"/>
      <c r="G98" s="5"/>
      <c r="H98" s="5"/>
      <c r="I98" s="5"/>
      <c r="J98" s="5"/>
      <c r="K98" s="8"/>
      <c r="L98" s="9"/>
      <c r="M98" s="10"/>
      <c r="N98" s="12"/>
      <c r="O98" s="242"/>
      <c r="P98" s="243"/>
      <c r="Q98" s="243"/>
      <c r="R98" s="14"/>
      <c r="S98" s="242"/>
      <c r="T98" s="15"/>
      <c r="U98" s="15"/>
      <c r="V98" s="15"/>
      <c r="W98" s="8"/>
      <c r="X98" s="8"/>
      <c r="Y98" s="56"/>
      <c r="Z98" s="56"/>
      <c r="AA98" s="15"/>
      <c r="AB98" s="15"/>
      <c r="AC98" s="15"/>
      <c r="AD98" s="15"/>
      <c r="AE98" s="57"/>
      <c r="AF98" s="57"/>
      <c r="AG98" s="15"/>
      <c r="AH98" s="25"/>
      <c r="AI98" s="26"/>
      <c r="AJ98" s="26"/>
      <c r="AK98" s="27"/>
      <c r="AL98" s="28"/>
      <c r="AM98" s="29"/>
    </row>
    <row r="99" ht="12.75" customHeight="1">
      <c r="A99" s="26"/>
      <c r="B99" s="12"/>
      <c r="C99" s="240"/>
      <c r="D99" s="241"/>
      <c r="E99" s="5"/>
      <c r="F99" s="5"/>
      <c r="G99" s="5"/>
      <c r="H99" s="5"/>
      <c r="I99" s="5"/>
      <c r="J99" s="5"/>
      <c r="K99" s="8"/>
      <c r="L99" s="9"/>
      <c r="M99" s="10"/>
      <c r="N99" s="12"/>
      <c r="O99" s="242"/>
      <c r="P99" s="243"/>
      <c r="Q99" s="243"/>
      <c r="R99" s="14"/>
      <c r="S99" s="242"/>
      <c r="T99" s="15"/>
      <c r="U99" s="15"/>
      <c r="V99" s="15"/>
      <c r="W99" s="8"/>
      <c r="X99" s="8"/>
      <c r="Y99" s="56"/>
      <c r="Z99" s="56"/>
      <c r="AA99" s="15"/>
      <c r="AB99" s="15"/>
      <c r="AC99" s="15"/>
      <c r="AD99" s="15"/>
      <c r="AE99" s="57"/>
      <c r="AF99" s="57"/>
      <c r="AG99" s="15"/>
      <c r="AH99" s="25"/>
      <c r="AI99" s="26"/>
      <c r="AJ99" s="26"/>
      <c r="AK99" s="27"/>
      <c r="AL99" s="28"/>
      <c r="AM99" s="29"/>
    </row>
    <row r="100" ht="12.75" customHeight="1">
      <c r="A100" s="26"/>
      <c r="B100" s="12"/>
      <c r="C100" s="240"/>
      <c r="D100" s="241"/>
      <c r="E100" s="5"/>
      <c r="F100" s="5"/>
      <c r="G100" s="5"/>
      <c r="H100" s="5"/>
      <c r="I100" s="5"/>
      <c r="J100" s="5"/>
      <c r="K100" s="8"/>
      <c r="L100" s="9"/>
      <c r="M100" s="10"/>
      <c r="N100" s="12"/>
      <c r="O100" s="242"/>
      <c r="P100" s="243"/>
      <c r="Q100" s="243"/>
      <c r="R100" s="14"/>
      <c r="S100" s="242"/>
      <c r="T100" s="15"/>
      <c r="U100" s="15"/>
      <c r="V100" s="15"/>
      <c r="W100" s="8"/>
      <c r="X100" s="8"/>
      <c r="Y100" s="56"/>
      <c r="Z100" s="56"/>
      <c r="AA100" s="15"/>
      <c r="AB100" s="15"/>
      <c r="AC100" s="15"/>
      <c r="AD100" s="15"/>
      <c r="AE100" s="57"/>
      <c r="AF100" s="57"/>
      <c r="AG100" s="15"/>
      <c r="AH100" s="25"/>
      <c r="AI100" s="26"/>
      <c r="AJ100" s="26"/>
      <c r="AK100" s="27"/>
      <c r="AL100" s="28"/>
      <c r="AM100" s="29"/>
    </row>
    <row r="101" ht="12.75" customHeight="1">
      <c r="A101" s="26"/>
      <c r="B101" s="12"/>
      <c r="C101" s="240"/>
      <c r="D101" s="241"/>
      <c r="E101" s="5"/>
      <c r="F101" s="5"/>
      <c r="G101" s="5"/>
      <c r="H101" s="5"/>
      <c r="I101" s="5"/>
      <c r="J101" s="5"/>
      <c r="K101" s="8"/>
      <c r="L101" s="9"/>
      <c r="M101" s="10"/>
      <c r="N101" s="12"/>
      <c r="O101" s="242"/>
      <c r="P101" s="243"/>
      <c r="Q101" s="243"/>
      <c r="R101" s="14"/>
      <c r="S101" s="242"/>
      <c r="T101" s="15"/>
      <c r="U101" s="15"/>
      <c r="V101" s="15"/>
      <c r="W101" s="8"/>
      <c r="X101" s="8"/>
      <c r="Y101" s="56"/>
      <c r="Z101" s="56"/>
      <c r="AA101" s="15"/>
      <c r="AB101" s="15"/>
      <c r="AC101" s="15"/>
      <c r="AD101" s="15"/>
      <c r="AE101" s="57"/>
      <c r="AF101" s="57"/>
      <c r="AG101" s="15"/>
      <c r="AH101" s="25"/>
      <c r="AI101" s="26"/>
      <c r="AJ101" s="26"/>
      <c r="AK101" s="27"/>
      <c r="AL101" s="28"/>
      <c r="AM101" s="29"/>
    </row>
    <row r="102" ht="12.75" customHeight="1">
      <c r="A102" s="26"/>
      <c r="B102" s="12"/>
      <c r="C102" s="240"/>
      <c r="D102" s="241"/>
      <c r="E102" s="5"/>
      <c r="F102" s="5"/>
      <c r="G102" s="5"/>
      <c r="H102" s="5"/>
      <c r="I102" s="5"/>
      <c r="J102" s="5"/>
      <c r="K102" s="8"/>
      <c r="L102" s="9"/>
      <c r="M102" s="10"/>
      <c r="N102" s="12"/>
      <c r="O102" s="242"/>
      <c r="P102" s="243"/>
      <c r="Q102" s="243"/>
      <c r="R102" s="14"/>
      <c r="S102" s="242"/>
      <c r="T102" s="15"/>
      <c r="U102" s="15"/>
      <c r="V102" s="15"/>
      <c r="W102" s="8"/>
      <c r="X102" s="8"/>
      <c r="Y102" s="56"/>
      <c r="Z102" s="56"/>
      <c r="AA102" s="15"/>
      <c r="AB102" s="15"/>
      <c r="AC102" s="15"/>
      <c r="AD102" s="15"/>
      <c r="AE102" s="57"/>
      <c r="AF102" s="57"/>
      <c r="AG102" s="15"/>
      <c r="AH102" s="25"/>
      <c r="AI102" s="26"/>
      <c r="AJ102" s="26"/>
      <c r="AK102" s="27"/>
      <c r="AL102" s="28"/>
      <c r="AM102" s="29"/>
    </row>
    <row r="103" ht="12.75" customHeight="1">
      <c r="A103" s="26"/>
      <c r="B103" s="12"/>
      <c r="C103" s="240"/>
      <c r="D103" s="241"/>
      <c r="E103" s="5"/>
      <c r="F103" s="5"/>
      <c r="G103" s="5"/>
      <c r="H103" s="5"/>
      <c r="I103" s="5"/>
      <c r="J103" s="5"/>
      <c r="K103" s="8"/>
      <c r="L103" s="9"/>
      <c r="M103" s="10"/>
      <c r="N103" s="12"/>
      <c r="O103" s="242"/>
      <c r="P103" s="243"/>
      <c r="Q103" s="243"/>
      <c r="R103" s="14"/>
      <c r="S103" s="242"/>
      <c r="T103" s="15"/>
      <c r="U103" s="15"/>
      <c r="V103" s="15"/>
      <c r="W103" s="8"/>
      <c r="X103" s="8"/>
      <c r="Y103" s="56"/>
      <c r="Z103" s="56"/>
      <c r="AA103" s="15"/>
      <c r="AB103" s="15"/>
      <c r="AC103" s="15"/>
      <c r="AD103" s="15"/>
      <c r="AE103" s="57"/>
      <c r="AF103" s="57"/>
      <c r="AG103" s="15"/>
      <c r="AH103" s="25"/>
      <c r="AI103" s="26"/>
      <c r="AJ103" s="26"/>
      <c r="AK103" s="27"/>
      <c r="AL103" s="28"/>
      <c r="AM103" s="29"/>
    </row>
    <row r="104" ht="12.75" customHeight="1">
      <c r="A104" s="26"/>
      <c r="B104" s="12"/>
      <c r="C104" s="240"/>
      <c r="D104" s="241"/>
      <c r="E104" s="5"/>
      <c r="F104" s="5"/>
      <c r="G104" s="5"/>
      <c r="H104" s="5"/>
      <c r="I104" s="5"/>
      <c r="J104" s="5"/>
      <c r="K104" s="8"/>
      <c r="L104" s="9"/>
      <c r="M104" s="10"/>
      <c r="N104" s="12"/>
      <c r="O104" s="242"/>
      <c r="P104" s="243"/>
      <c r="Q104" s="243"/>
      <c r="R104" s="14"/>
      <c r="S104" s="242"/>
      <c r="T104" s="15"/>
      <c r="U104" s="15"/>
      <c r="V104" s="15"/>
      <c r="W104" s="8"/>
      <c r="X104" s="8"/>
      <c r="Y104" s="56"/>
      <c r="Z104" s="56"/>
      <c r="AA104" s="15"/>
      <c r="AB104" s="15"/>
      <c r="AC104" s="15"/>
      <c r="AD104" s="15"/>
      <c r="AE104" s="57"/>
      <c r="AF104" s="57"/>
      <c r="AG104" s="15"/>
      <c r="AH104" s="25"/>
      <c r="AI104" s="26"/>
      <c r="AJ104" s="26"/>
      <c r="AK104" s="27"/>
      <c r="AL104" s="28"/>
      <c r="AM104" s="29"/>
    </row>
    <row r="105" ht="12.75" customHeight="1">
      <c r="A105" s="26"/>
      <c r="B105" s="12"/>
      <c r="C105" s="240"/>
      <c r="D105" s="241"/>
      <c r="E105" s="5"/>
      <c r="F105" s="5"/>
      <c r="G105" s="5"/>
      <c r="H105" s="5"/>
      <c r="I105" s="5"/>
      <c r="J105" s="5"/>
      <c r="K105" s="8"/>
      <c r="L105" s="9"/>
      <c r="M105" s="10"/>
      <c r="N105" s="12"/>
      <c r="O105" s="242"/>
      <c r="P105" s="243"/>
      <c r="Q105" s="243"/>
      <c r="R105" s="14"/>
      <c r="S105" s="242"/>
      <c r="T105" s="15"/>
      <c r="U105" s="15"/>
      <c r="V105" s="15"/>
      <c r="W105" s="8"/>
      <c r="X105" s="8"/>
      <c r="Y105" s="56"/>
      <c r="Z105" s="56"/>
      <c r="AA105" s="15"/>
      <c r="AB105" s="15"/>
      <c r="AC105" s="15"/>
      <c r="AD105" s="15"/>
      <c r="AE105" s="57"/>
      <c r="AF105" s="57"/>
      <c r="AG105" s="15"/>
      <c r="AH105" s="25"/>
      <c r="AI105" s="26"/>
      <c r="AJ105" s="26"/>
      <c r="AK105" s="27"/>
      <c r="AL105" s="28"/>
      <c r="AM105" s="29"/>
    </row>
    <row r="106" ht="12.75" customHeight="1">
      <c r="A106" s="26"/>
      <c r="B106" s="12"/>
      <c r="C106" s="240"/>
      <c r="D106" s="241"/>
      <c r="E106" s="5"/>
      <c r="F106" s="5"/>
      <c r="G106" s="5"/>
      <c r="H106" s="5"/>
      <c r="I106" s="5"/>
      <c r="J106" s="5"/>
      <c r="K106" s="8"/>
      <c r="L106" s="9"/>
      <c r="M106" s="10"/>
      <c r="N106" s="12"/>
      <c r="O106" s="242"/>
      <c r="P106" s="243"/>
      <c r="Q106" s="243"/>
      <c r="R106" s="14"/>
      <c r="S106" s="242"/>
      <c r="T106" s="15"/>
      <c r="U106" s="15"/>
      <c r="V106" s="15"/>
      <c r="W106" s="8"/>
      <c r="X106" s="8"/>
      <c r="Y106" s="56"/>
      <c r="Z106" s="56"/>
      <c r="AA106" s="15"/>
      <c r="AB106" s="15"/>
      <c r="AC106" s="15"/>
      <c r="AD106" s="15"/>
      <c r="AE106" s="57"/>
      <c r="AF106" s="57"/>
      <c r="AG106" s="15"/>
      <c r="AH106" s="25"/>
      <c r="AI106" s="26"/>
      <c r="AJ106" s="26"/>
      <c r="AK106" s="27"/>
      <c r="AL106" s="28"/>
      <c r="AM106" s="29"/>
    </row>
    <row r="107" ht="12.75" customHeight="1">
      <c r="A107" s="26"/>
      <c r="B107" s="12"/>
      <c r="C107" s="240"/>
      <c r="D107" s="241"/>
      <c r="E107" s="5"/>
      <c r="F107" s="5"/>
      <c r="G107" s="5"/>
      <c r="H107" s="5"/>
      <c r="I107" s="5"/>
      <c r="J107" s="5"/>
      <c r="K107" s="8"/>
      <c r="L107" s="9"/>
      <c r="M107" s="10"/>
      <c r="N107" s="12"/>
      <c r="O107" s="242"/>
      <c r="P107" s="243"/>
      <c r="Q107" s="243"/>
      <c r="R107" s="14"/>
      <c r="S107" s="242"/>
      <c r="T107" s="15"/>
      <c r="U107" s="15"/>
      <c r="V107" s="15"/>
      <c r="W107" s="8"/>
      <c r="X107" s="8"/>
      <c r="Y107" s="56"/>
      <c r="Z107" s="56"/>
      <c r="AA107" s="15"/>
      <c r="AB107" s="15"/>
      <c r="AC107" s="15"/>
      <c r="AD107" s="15"/>
      <c r="AE107" s="57"/>
      <c r="AF107" s="57"/>
      <c r="AG107" s="15"/>
      <c r="AH107" s="25"/>
      <c r="AI107" s="26"/>
      <c r="AJ107" s="26"/>
      <c r="AK107" s="27"/>
      <c r="AL107" s="28"/>
      <c r="AM107" s="29"/>
    </row>
    <row r="108" ht="12.75" customHeight="1">
      <c r="A108" s="26"/>
      <c r="B108" s="12"/>
      <c r="C108" s="240"/>
      <c r="D108" s="241"/>
      <c r="E108" s="5"/>
      <c r="F108" s="5"/>
      <c r="G108" s="5"/>
      <c r="H108" s="5"/>
      <c r="I108" s="5"/>
      <c r="J108" s="5"/>
      <c r="K108" s="8"/>
      <c r="L108" s="9"/>
      <c r="M108" s="10"/>
      <c r="N108" s="12"/>
      <c r="O108" s="242"/>
      <c r="P108" s="243"/>
      <c r="Q108" s="243"/>
      <c r="R108" s="14"/>
      <c r="S108" s="242"/>
      <c r="T108" s="15"/>
      <c r="U108" s="15"/>
      <c r="V108" s="15"/>
      <c r="W108" s="8"/>
      <c r="X108" s="8"/>
      <c r="Y108" s="56"/>
      <c r="Z108" s="56"/>
      <c r="AA108" s="15"/>
      <c r="AB108" s="15"/>
      <c r="AC108" s="15"/>
      <c r="AD108" s="15"/>
      <c r="AE108" s="57"/>
      <c r="AF108" s="57"/>
      <c r="AG108" s="15"/>
      <c r="AH108" s="25"/>
      <c r="AI108" s="26"/>
      <c r="AJ108" s="26"/>
      <c r="AK108" s="27"/>
      <c r="AL108" s="28"/>
      <c r="AM108" s="29"/>
    </row>
    <row r="109" ht="12.75" customHeight="1">
      <c r="A109" s="26"/>
      <c r="B109" s="12"/>
      <c r="C109" s="240"/>
      <c r="D109" s="241"/>
      <c r="E109" s="5"/>
      <c r="F109" s="5"/>
      <c r="G109" s="5"/>
      <c r="H109" s="5"/>
      <c r="I109" s="5"/>
      <c r="J109" s="5"/>
      <c r="K109" s="8"/>
      <c r="L109" s="9"/>
      <c r="M109" s="10"/>
      <c r="N109" s="12"/>
      <c r="O109" s="242"/>
      <c r="P109" s="243"/>
      <c r="Q109" s="243"/>
      <c r="R109" s="14"/>
      <c r="S109" s="242"/>
      <c r="T109" s="15"/>
      <c r="U109" s="15"/>
      <c r="V109" s="15"/>
      <c r="W109" s="8"/>
      <c r="X109" s="8"/>
      <c r="Y109" s="56"/>
      <c r="Z109" s="56"/>
      <c r="AA109" s="15"/>
      <c r="AB109" s="15"/>
      <c r="AC109" s="15"/>
      <c r="AD109" s="15"/>
      <c r="AE109" s="57"/>
      <c r="AF109" s="57"/>
      <c r="AG109" s="15"/>
      <c r="AH109" s="25"/>
      <c r="AI109" s="26"/>
      <c r="AJ109" s="26"/>
      <c r="AK109" s="27"/>
      <c r="AL109" s="28"/>
      <c r="AM109" s="29"/>
    </row>
    <row r="110" ht="12.75" customHeight="1">
      <c r="A110" s="26"/>
      <c r="B110" s="12"/>
      <c r="C110" s="240"/>
      <c r="D110" s="241"/>
      <c r="E110" s="5"/>
      <c r="F110" s="5"/>
      <c r="G110" s="5"/>
      <c r="H110" s="5"/>
      <c r="I110" s="5"/>
      <c r="J110" s="5"/>
      <c r="K110" s="8"/>
      <c r="L110" s="9"/>
      <c r="M110" s="10"/>
      <c r="N110" s="12"/>
      <c r="O110" s="242"/>
      <c r="P110" s="243"/>
      <c r="Q110" s="243"/>
      <c r="R110" s="14"/>
      <c r="S110" s="242"/>
      <c r="T110" s="15"/>
      <c r="U110" s="15"/>
      <c r="V110" s="15"/>
      <c r="W110" s="8"/>
      <c r="X110" s="8"/>
      <c r="Y110" s="56"/>
      <c r="Z110" s="56"/>
      <c r="AA110" s="15"/>
      <c r="AB110" s="15"/>
      <c r="AC110" s="15"/>
      <c r="AD110" s="15"/>
      <c r="AE110" s="57"/>
      <c r="AF110" s="57"/>
      <c r="AG110" s="15"/>
      <c r="AH110" s="25"/>
      <c r="AI110" s="26"/>
      <c r="AJ110" s="26"/>
      <c r="AK110" s="27"/>
      <c r="AL110" s="28"/>
      <c r="AM110" s="29"/>
    </row>
    <row r="111" ht="12.75" customHeight="1">
      <c r="A111" s="26"/>
      <c r="B111" s="12"/>
      <c r="C111" s="240"/>
      <c r="D111" s="241"/>
      <c r="E111" s="5"/>
      <c r="F111" s="5"/>
      <c r="G111" s="5"/>
      <c r="H111" s="5"/>
      <c r="I111" s="5"/>
      <c r="J111" s="5"/>
      <c r="K111" s="8"/>
      <c r="L111" s="9"/>
      <c r="M111" s="10"/>
      <c r="N111" s="12"/>
      <c r="O111" s="242"/>
      <c r="P111" s="243"/>
      <c r="Q111" s="243"/>
      <c r="R111" s="14"/>
      <c r="S111" s="242"/>
      <c r="T111" s="15"/>
      <c r="U111" s="15"/>
      <c r="V111" s="15"/>
      <c r="W111" s="8"/>
      <c r="X111" s="8"/>
      <c r="Y111" s="56"/>
      <c r="Z111" s="56"/>
      <c r="AA111" s="15"/>
      <c r="AB111" s="15"/>
      <c r="AC111" s="15"/>
      <c r="AD111" s="15"/>
      <c r="AE111" s="57"/>
      <c r="AF111" s="57"/>
      <c r="AG111" s="15"/>
      <c r="AH111" s="25"/>
      <c r="AI111" s="26"/>
      <c r="AJ111" s="26"/>
      <c r="AK111" s="27"/>
      <c r="AL111" s="28"/>
      <c r="AM111" s="29"/>
    </row>
    <row r="112" ht="12.75" customHeight="1">
      <c r="A112" s="26"/>
      <c r="B112" s="12"/>
      <c r="C112" s="240"/>
      <c r="D112" s="241"/>
      <c r="E112" s="5"/>
      <c r="F112" s="5"/>
      <c r="G112" s="5"/>
      <c r="H112" s="5"/>
      <c r="I112" s="5"/>
      <c r="J112" s="5"/>
      <c r="K112" s="8"/>
      <c r="L112" s="9"/>
      <c r="M112" s="10"/>
      <c r="N112" s="12"/>
      <c r="O112" s="242"/>
      <c r="P112" s="243"/>
      <c r="Q112" s="243"/>
      <c r="R112" s="14"/>
      <c r="S112" s="242"/>
      <c r="T112" s="15"/>
      <c r="U112" s="15"/>
      <c r="V112" s="15"/>
      <c r="W112" s="8"/>
      <c r="X112" s="8"/>
      <c r="Y112" s="56"/>
      <c r="Z112" s="56"/>
      <c r="AA112" s="15"/>
      <c r="AB112" s="15"/>
      <c r="AC112" s="15"/>
      <c r="AD112" s="15"/>
      <c r="AE112" s="57"/>
      <c r="AF112" s="57"/>
      <c r="AG112" s="15"/>
      <c r="AH112" s="25"/>
      <c r="AI112" s="26"/>
      <c r="AJ112" s="26"/>
      <c r="AK112" s="27"/>
      <c r="AL112" s="28"/>
      <c r="AM112" s="29"/>
    </row>
    <row r="113" ht="12.75" customHeight="1">
      <c r="A113" s="26"/>
      <c r="B113" s="12"/>
      <c r="C113" s="240"/>
      <c r="D113" s="241"/>
      <c r="E113" s="5"/>
      <c r="F113" s="5"/>
      <c r="G113" s="5"/>
      <c r="H113" s="5"/>
      <c r="I113" s="5"/>
      <c r="J113" s="5"/>
      <c r="K113" s="8"/>
      <c r="L113" s="9"/>
      <c r="M113" s="10"/>
      <c r="N113" s="12"/>
      <c r="O113" s="242"/>
      <c r="P113" s="243"/>
      <c r="Q113" s="243"/>
      <c r="R113" s="14"/>
      <c r="S113" s="242"/>
      <c r="T113" s="15"/>
      <c r="U113" s="15"/>
      <c r="V113" s="15"/>
      <c r="W113" s="8"/>
      <c r="X113" s="8"/>
      <c r="Y113" s="56"/>
      <c r="Z113" s="56"/>
      <c r="AA113" s="15"/>
      <c r="AB113" s="15"/>
      <c r="AC113" s="15"/>
      <c r="AD113" s="15"/>
      <c r="AE113" s="57"/>
      <c r="AF113" s="57"/>
      <c r="AG113" s="15"/>
      <c r="AH113" s="25"/>
      <c r="AI113" s="26"/>
      <c r="AJ113" s="26"/>
      <c r="AK113" s="27"/>
      <c r="AL113" s="28"/>
      <c r="AM113" s="29"/>
    </row>
    <row r="114" ht="12.75" customHeight="1">
      <c r="A114" s="26"/>
      <c r="B114" s="12"/>
      <c r="C114" s="240"/>
      <c r="D114" s="241"/>
      <c r="E114" s="5"/>
      <c r="F114" s="5"/>
      <c r="G114" s="5"/>
      <c r="H114" s="5"/>
      <c r="I114" s="5"/>
      <c r="J114" s="5"/>
      <c r="K114" s="8"/>
      <c r="L114" s="9"/>
      <c r="M114" s="10"/>
      <c r="N114" s="12"/>
      <c r="O114" s="242"/>
      <c r="P114" s="243"/>
      <c r="Q114" s="243"/>
      <c r="R114" s="14"/>
      <c r="S114" s="242"/>
      <c r="T114" s="15"/>
      <c r="U114" s="15"/>
      <c r="V114" s="15"/>
      <c r="W114" s="8"/>
      <c r="X114" s="8"/>
      <c r="Y114" s="56"/>
      <c r="Z114" s="56"/>
      <c r="AA114" s="15"/>
      <c r="AB114" s="15"/>
      <c r="AC114" s="15"/>
      <c r="AD114" s="15"/>
      <c r="AE114" s="57"/>
      <c r="AF114" s="57"/>
      <c r="AG114" s="15"/>
      <c r="AH114" s="25"/>
      <c r="AI114" s="26"/>
      <c r="AJ114" s="26"/>
      <c r="AK114" s="27"/>
      <c r="AL114" s="28"/>
      <c r="AM114" s="29"/>
    </row>
    <row r="115" ht="12.75" customHeight="1">
      <c r="A115" s="26"/>
      <c r="B115" s="12"/>
      <c r="C115" s="240"/>
      <c r="D115" s="241"/>
      <c r="E115" s="5"/>
      <c r="F115" s="5"/>
      <c r="G115" s="5"/>
      <c r="H115" s="5"/>
      <c r="I115" s="5"/>
      <c r="J115" s="5"/>
      <c r="K115" s="8"/>
      <c r="L115" s="9"/>
      <c r="M115" s="10"/>
      <c r="N115" s="12"/>
      <c r="O115" s="242"/>
      <c r="P115" s="243"/>
      <c r="Q115" s="243"/>
      <c r="R115" s="14"/>
      <c r="S115" s="242"/>
      <c r="T115" s="15"/>
      <c r="U115" s="15"/>
      <c r="V115" s="15"/>
      <c r="W115" s="8"/>
      <c r="X115" s="8"/>
      <c r="Y115" s="56"/>
      <c r="Z115" s="56"/>
      <c r="AA115" s="15"/>
      <c r="AB115" s="15"/>
      <c r="AC115" s="15"/>
      <c r="AD115" s="15"/>
      <c r="AE115" s="57"/>
      <c r="AF115" s="57"/>
      <c r="AG115" s="15"/>
      <c r="AH115" s="25"/>
      <c r="AI115" s="26"/>
      <c r="AJ115" s="26"/>
      <c r="AK115" s="27"/>
      <c r="AL115" s="28"/>
      <c r="AM115" s="29"/>
    </row>
    <row r="116" ht="12.75" customHeight="1">
      <c r="A116" s="26"/>
      <c r="B116" s="12"/>
      <c r="C116" s="240"/>
      <c r="D116" s="241"/>
      <c r="E116" s="5"/>
      <c r="F116" s="5"/>
      <c r="G116" s="5"/>
      <c r="H116" s="5"/>
      <c r="I116" s="5"/>
      <c r="J116" s="5"/>
      <c r="K116" s="8"/>
      <c r="L116" s="9"/>
      <c r="M116" s="10"/>
      <c r="N116" s="12"/>
      <c r="O116" s="242"/>
      <c r="P116" s="243"/>
      <c r="Q116" s="243"/>
      <c r="R116" s="14"/>
      <c r="S116" s="242"/>
      <c r="T116" s="15"/>
      <c r="U116" s="15"/>
      <c r="V116" s="15"/>
      <c r="W116" s="8"/>
      <c r="X116" s="8"/>
      <c r="Y116" s="56"/>
      <c r="Z116" s="56"/>
      <c r="AA116" s="15"/>
      <c r="AB116" s="15"/>
      <c r="AC116" s="15"/>
      <c r="AD116" s="15"/>
      <c r="AE116" s="57"/>
      <c r="AF116" s="57"/>
      <c r="AG116" s="15"/>
      <c r="AH116" s="25"/>
      <c r="AI116" s="26"/>
      <c r="AJ116" s="26"/>
      <c r="AK116" s="27"/>
      <c r="AL116" s="28"/>
      <c r="AM116" s="29"/>
    </row>
    <row r="117" ht="12.75" customHeight="1">
      <c r="A117" s="26"/>
      <c r="B117" s="12"/>
      <c r="C117" s="240"/>
      <c r="D117" s="241"/>
      <c r="E117" s="5"/>
      <c r="F117" s="5"/>
      <c r="G117" s="5"/>
      <c r="H117" s="5"/>
      <c r="I117" s="5"/>
      <c r="J117" s="5"/>
      <c r="K117" s="8"/>
      <c r="L117" s="9"/>
      <c r="M117" s="10"/>
      <c r="N117" s="12"/>
      <c r="O117" s="242"/>
      <c r="P117" s="243"/>
      <c r="Q117" s="243"/>
      <c r="R117" s="14"/>
      <c r="S117" s="242"/>
      <c r="T117" s="15"/>
      <c r="U117" s="15"/>
      <c r="V117" s="15"/>
      <c r="W117" s="8"/>
      <c r="X117" s="8"/>
      <c r="Y117" s="56"/>
      <c r="Z117" s="56"/>
      <c r="AA117" s="15"/>
      <c r="AB117" s="15"/>
      <c r="AC117" s="15"/>
      <c r="AD117" s="15"/>
      <c r="AE117" s="57"/>
      <c r="AF117" s="57"/>
      <c r="AG117" s="15"/>
      <c r="AH117" s="25"/>
      <c r="AI117" s="26"/>
      <c r="AJ117" s="26"/>
      <c r="AK117" s="27"/>
      <c r="AL117" s="28"/>
      <c r="AM117" s="29"/>
    </row>
    <row r="118" ht="12.75" customHeight="1">
      <c r="A118" s="26"/>
      <c r="B118" s="12"/>
      <c r="C118" s="240"/>
      <c r="D118" s="241"/>
      <c r="E118" s="5"/>
      <c r="F118" s="5"/>
      <c r="G118" s="5"/>
      <c r="H118" s="5"/>
      <c r="I118" s="5"/>
      <c r="J118" s="5"/>
      <c r="K118" s="8"/>
      <c r="L118" s="9"/>
      <c r="M118" s="10"/>
      <c r="N118" s="12"/>
      <c r="O118" s="242"/>
      <c r="P118" s="243"/>
      <c r="Q118" s="243"/>
      <c r="R118" s="14"/>
      <c r="S118" s="242"/>
      <c r="T118" s="15"/>
      <c r="U118" s="15"/>
      <c r="V118" s="15"/>
      <c r="W118" s="8"/>
      <c r="X118" s="8"/>
      <c r="Y118" s="56"/>
      <c r="Z118" s="56"/>
      <c r="AA118" s="15"/>
      <c r="AB118" s="15"/>
      <c r="AC118" s="15"/>
      <c r="AD118" s="15"/>
      <c r="AE118" s="57"/>
      <c r="AF118" s="57"/>
      <c r="AG118" s="15"/>
      <c r="AH118" s="25"/>
      <c r="AI118" s="26"/>
      <c r="AJ118" s="26"/>
      <c r="AK118" s="27"/>
      <c r="AL118" s="28"/>
      <c r="AM118" s="29"/>
    </row>
    <row r="119" ht="12.75" customHeight="1">
      <c r="A119" s="26"/>
      <c r="B119" s="12"/>
      <c r="C119" s="240"/>
      <c r="D119" s="241"/>
      <c r="E119" s="5"/>
      <c r="F119" s="5"/>
      <c r="G119" s="5"/>
      <c r="H119" s="5"/>
      <c r="I119" s="5"/>
      <c r="J119" s="5"/>
      <c r="K119" s="8"/>
      <c r="L119" s="9"/>
      <c r="M119" s="10"/>
      <c r="N119" s="12"/>
      <c r="O119" s="242"/>
      <c r="P119" s="243"/>
      <c r="Q119" s="243"/>
      <c r="R119" s="14"/>
      <c r="S119" s="242"/>
      <c r="T119" s="15"/>
      <c r="U119" s="15"/>
      <c r="V119" s="15"/>
      <c r="W119" s="8"/>
      <c r="X119" s="8"/>
      <c r="Y119" s="56"/>
      <c r="Z119" s="56"/>
      <c r="AA119" s="15"/>
      <c r="AB119" s="15"/>
      <c r="AC119" s="15"/>
      <c r="AD119" s="15"/>
      <c r="AE119" s="57"/>
      <c r="AF119" s="57"/>
      <c r="AG119" s="15"/>
      <c r="AH119" s="25"/>
      <c r="AI119" s="26"/>
      <c r="AJ119" s="26"/>
      <c r="AK119" s="27"/>
      <c r="AL119" s="28"/>
      <c r="AM119" s="29"/>
    </row>
    <row r="120" ht="12.75" customHeight="1">
      <c r="A120" s="26"/>
      <c r="B120" s="12"/>
      <c r="C120" s="240"/>
      <c r="D120" s="241"/>
      <c r="E120" s="5"/>
      <c r="F120" s="5"/>
      <c r="G120" s="5"/>
      <c r="H120" s="5"/>
      <c r="I120" s="5"/>
      <c r="J120" s="5"/>
      <c r="K120" s="8"/>
      <c r="L120" s="9"/>
      <c r="M120" s="10"/>
      <c r="N120" s="12"/>
      <c r="O120" s="242"/>
      <c r="P120" s="243"/>
      <c r="Q120" s="243"/>
      <c r="R120" s="14"/>
      <c r="S120" s="242"/>
      <c r="T120" s="15"/>
      <c r="U120" s="15"/>
      <c r="V120" s="15"/>
      <c r="W120" s="8"/>
      <c r="X120" s="8"/>
      <c r="Y120" s="56"/>
      <c r="Z120" s="56"/>
      <c r="AA120" s="15"/>
      <c r="AB120" s="15"/>
      <c r="AC120" s="15"/>
      <c r="AD120" s="15"/>
      <c r="AE120" s="57"/>
      <c r="AF120" s="57"/>
      <c r="AG120" s="15"/>
      <c r="AH120" s="25"/>
      <c r="AI120" s="26"/>
      <c r="AJ120" s="26"/>
      <c r="AK120" s="27"/>
      <c r="AL120" s="28"/>
      <c r="AM120" s="29"/>
    </row>
    <row r="121" ht="12.75" customHeight="1">
      <c r="A121" s="26"/>
      <c r="B121" s="12"/>
      <c r="C121" s="240"/>
      <c r="D121" s="241"/>
      <c r="E121" s="5"/>
      <c r="F121" s="5"/>
      <c r="G121" s="5"/>
      <c r="H121" s="5"/>
      <c r="I121" s="5"/>
      <c r="J121" s="5"/>
      <c r="K121" s="8"/>
      <c r="L121" s="9"/>
      <c r="M121" s="10"/>
      <c r="N121" s="12"/>
      <c r="O121" s="242"/>
      <c r="P121" s="243"/>
      <c r="Q121" s="243"/>
      <c r="R121" s="14"/>
      <c r="S121" s="242"/>
      <c r="T121" s="15"/>
      <c r="U121" s="15"/>
      <c r="V121" s="15"/>
      <c r="W121" s="8"/>
      <c r="X121" s="8"/>
      <c r="Y121" s="56"/>
      <c r="Z121" s="56"/>
      <c r="AA121" s="15"/>
      <c r="AB121" s="15"/>
      <c r="AC121" s="15"/>
      <c r="AD121" s="15"/>
      <c r="AE121" s="57"/>
      <c r="AF121" s="57"/>
      <c r="AG121" s="15"/>
      <c r="AH121" s="25"/>
      <c r="AI121" s="26"/>
      <c r="AJ121" s="26"/>
      <c r="AK121" s="27"/>
      <c r="AL121" s="28"/>
      <c r="AM121" s="29"/>
    </row>
    <row r="122" ht="12.75" customHeight="1">
      <c r="A122" s="26"/>
      <c r="B122" s="12"/>
      <c r="C122" s="240"/>
      <c r="D122" s="241"/>
      <c r="E122" s="5"/>
      <c r="F122" s="5"/>
      <c r="G122" s="5"/>
      <c r="H122" s="5"/>
      <c r="I122" s="5"/>
      <c r="J122" s="5"/>
      <c r="K122" s="8"/>
      <c r="L122" s="9"/>
      <c r="M122" s="10"/>
      <c r="N122" s="12"/>
      <c r="O122" s="242"/>
      <c r="P122" s="243"/>
      <c r="Q122" s="243"/>
      <c r="R122" s="14"/>
      <c r="S122" s="242"/>
      <c r="T122" s="15"/>
      <c r="U122" s="15"/>
      <c r="V122" s="15"/>
      <c r="W122" s="8"/>
      <c r="X122" s="8"/>
      <c r="Y122" s="56"/>
      <c r="Z122" s="56"/>
      <c r="AA122" s="15"/>
      <c r="AB122" s="15"/>
      <c r="AC122" s="15"/>
      <c r="AD122" s="15"/>
      <c r="AE122" s="57"/>
      <c r="AF122" s="57"/>
      <c r="AG122" s="15"/>
      <c r="AH122" s="25"/>
      <c r="AI122" s="26"/>
      <c r="AJ122" s="26"/>
      <c r="AK122" s="27"/>
      <c r="AL122" s="28"/>
      <c r="AM122" s="29"/>
    </row>
    <row r="123" ht="12.75" customHeight="1">
      <c r="A123" s="26"/>
      <c r="B123" s="12"/>
      <c r="C123" s="240"/>
      <c r="D123" s="241"/>
      <c r="E123" s="5"/>
      <c r="F123" s="5"/>
      <c r="G123" s="5"/>
      <c r="H123" s="5"/>
      <c r="I123" s="5"/>
      <c r="J123" s="5"/>
      <c r="K123" s="8"/>
      <c r="L123" s="9"/>
      <c r="M123" s="10"/>
      <c r="N123" s="12"/>
      <c r="O123" s="242"/>
      <c r="P123" s="243"/>
      <c r="Q123" s="243"/>
      <c r="R123" s="14"/>
      <c r="S123" s="242"/>
      <c r="T123" s="15"/>
      <c r="U123" s="15"/>
      <c r="V123" s="15"/>
      <c r="W123" s="8"/>
      <c r="X123" s="8"/>
      <c r="Y123" s="56"/>
      <c r="Z123" s="56"/>
      <c r="AA123" s="15"/>
      <c r="AB123" s="15"/>
      <c r="AC123" s="15"/>
      <c r="AD123" s="15"/>
      <c r="AE123" s="57"/>
      <c r="AF123" s="57"/>
      <c r="AG123" s="15"/>
      <c r="AH123" s="25"/>
      <c r="AI123" s="26"/>
      <c r="AJ123" s="26"/>
      <c r="AK123" s="27"/>
      <c r="AL123" s="28"/>
      <c r="AM123" s="29"/>
    </row>
    <row r="124" ht="12.75" customHeight="1">
      <c r="A124" s="26"/>
      <c r="B124" s="12"/>
      <c r="C124" s="240"/>
      <c r="D124" s="241"/>
      <c r="E124" s="5"/>
      <c r="F124" s="5"/>
      <c r="G124" s="5"/>
      <c r="H124" s="5"/>
      <c r="I124" s="5"/>
      <c r="J124" s="5"/>
      <c r="K124" s="8"/>
      <c r="L124" s="9"/>
      <c r="M124" s="10"/>
      <c r="N124" s="12"/>
      <c r="O124" s="242"/>
      <c r="P124" s="243"/>
      <c r="Q124" s="243"/>
      <c r="R124" s="14"/>
      <c r="S124" s="242"/>
      <c r="T124" s="15"/>
      <c r="U124" s="15"/>
      <c r="V124" s="15"/>
      <c r="W124" s="8"/>
      <c r="X124" s="8"/>
      <c r="Y124" s="56"/>
      <c r="Z124" s="56"/>
      <c r="AA124" s="15"/>
      <c r="AB124" s="15"/>
      <c r="AC124" s="15"/>
      <c r="AD124" s="15"/>
      <c r="AE124" s="57"/>
      <c r="AF124" s="57"/>
      <c r="AG124" s="15"/>
      <c r="AH124" s="25"/>
      <c r="AI124" s="26"/>
      <c r="AJ124" s="26"/>
      <c r="AK124" s="27"/>
      <c r="AL124" s="28"/>
      <c r="AM124" s="29"/>
    </row>
    <row r="125" ht="12.75" customHeight="1">
      <c r="A125" s="26"/>
      <c r="B125" s="12"/>
      <c r="C125" s="240"/>
      <c r="D125" s="241"/>
      <c r="E125" s="5"/>
      <c r="F125" s="5"/>
      <c r="G125" s="5"/>
      <c r="H125" s="5"/>
      <c r="I125" s="5"/>
      <c r="J125" s="5"/>
      <c r="K125" s="8"/>
      <c r="L125" s="9"/>
      <c r="M125" s="10"/>
      <c r="N125" s="12"/>
      <c r="O125" s="242"/>
      <c r="P125" s="243"/>
      <c r="Q125" s="243"/>
      <c r="R125" s="14"/>
      <c r="S125" s="242"/>
      <c r="T125" s="15"/>
      <c r="U125" s="15"/>
      <c r="V125" s="15"/>
      <c r="W125" s="8"/>
      <c r="X125" s="8"/>
      <c r="Y125" s="56"/>
      <c r="Z125" s="56"/>
      <c r="AA125" s="15"/>
      <c r="AB125" s="15"/>
      <c r="AC125" s="15"/>
      <c r="AD125" s="15"/>
      <c r="AE125" s="57"/>
      <c r="AF125" s="57"/>
      <c r="AG125" s="15"/>
      <c r="AH125" s="25"/>
      <c r="AI125" s="26"/>
      <c r="AJ125" s="26"/>
      <c r="AK125" s="27"/>
      <c r="AL125" s="28"/>
      <c r="AM125" s="29"/>
    </row>
    <row r="126" ht="12.75" customHeight="1">
      <c r="A126" s="26"/>
      <c r="B126" s="12"/>
      <c r="C126" s="240"/>
      <c r="D126" s="241"/>
      <c r="E126" s="5"/>
      <c r="F126" s="5"/>
      <c r="G126" s="5"/>
      <c r="H126" s="5"/>
      <c r="I126" s="5"/>
      <c r="J126" s="5"/>
      <c r="K126" s="8"/>
      <c r="L126" s="9"/>
      <c r="M126" s="10"/>
      <c r="N126" s="12"/>
      <c r="O126" s="242"/>
      <c r="P126" s="243"/>
      <c r="Q126" s="243"/>
      <c r="R126" s="14"/>
      <c r="S126" s="242"/>
      <c r="T126" s="15"/>
      <c r="U126" s="15"/>
      <c r="V126" s="15"/>
      <c r="W126" s="8"/>
      <c r="X126" s="8"/>
      <c r="Y126" s="56"/>
      <c r="Z126" s="56"/>
      <c r="AA126" s="15"/>
      <c r="AB126" s="15"/>
      <c r="AC126" s="15"/>
      <c r="AD126" s="15"/>
      <c r="AE126" s="57"/>
      <c r="AF126" s="57"/>
      <c r="AG126" s="15"/>
      <c r="AH126" s="25"/>
      <c r="AI126" s="26"/>
      <c r="AJ126" s="26"/>
      <c r="AK126" s="27"/>
      <c r="AL126" s="28"/>
      <c r="AM126" s="29"/>
    </row>
    <row r="127" ht="12.75" customHeight="1">
      <c r="A127" s="26"/>
      <c r="B127" s="12"/>
      <c r="C127" s="240"/>
      <c r="D127" s="241"/>
      <c r="E127" s="5"/>
      <c r="F127" s="5"/>
      <c r="G127" s="5"/>
      <c r="H127" s="5"/>
      <c r="I127" s="5"/>
      <c r="J127" s="5"/>
      <c r="K127" s="8"/>
      <c r="L127" s="9"/>
      <c r="M127" s="10"/>
      <c r="N127" s="12"/>
      <c r="O127" s="242"/>
      <c r="P127" s="243"/>
      <c r="Q127" s="243"/>
      <c r="R127" s="14"/>
      <c r="S127" s="242"/>
      <c r="T127" s="15"/>
      <c r="U127" s="15"/>
      <c r="V127" s="15"/>
      <c r="W127" s="8"/>
      <c r="X127" s="8"/>
      <c r="Y127" s="56"/>
      <c r="Z127" s="56"/>
      <c r="AA127" s="15"/>
      <c r="AB127" s="15"/>
      <c r="AC127" s="15"/>
      <c r="AD127" s="15"/>
      <c r="AE127" s="57"/>
      <c r="AF127" s="57"/>
      <c r="AG127" s="15"/>
      <c r="AH127" s="25"/>
      <c r="AI127" s="26"/>
      <c r="AJ127" s="26"/>
      <c r="AK127" s="27"/>
      <c r="AL127" s="28"/>
      <c r="AM127" s="29"/>
    </row>
    <row r="128" ht="12.75" customHeight="1">
      <c r="A128" s="26"/>
      <c r="B128" s="12"/>
      <c r="C128" s="240"/>
      <c r="D128" s="241"/>
      <c r="E128" s="5"/>
      <c r="F128" s="5"/>
      <c r="G128" s="5"/>
      <c r="H128" s="5"/>
      <c r="I128" s="5"/>
      <c r="J128" s="5"/>
      <c r="K128" s="8"/>
      <c r="L128" s="9"/>
      <c r="M128" s="10"/>
      <c r="N128" s="12"/>
      <c r="O128" s="242"/>
      <c r="P128" s="243"/>
      <c r="Q128" s="243"/>
      <c r="R128" s="14"/>
      <c r="S128" s="242"/>
      <c r="T128" s="15"/>
      <c r="U128" s="15"/>
      <c r="V128" s="15"/>
      <c r="W128" s="8"/>
      <c r="X128" s="8"/>
      <c r="Y128" s="56"/>
      <c r="Z128" s="56"/>
      <c r="AA128" s="15"/>
      <c r="AB128" s="15"/>
      <c r="AC128" s="15"/>
      <c r="AD128" s="15"/>
      <c r="AE128" s="57"/>
      <c r="AF128" s="57"/>
      <c r="AG128" s="15"/>
      <c r="AH128" s="25"/>
      <c r="AI128" s="26"/>
      <c r="AJ128" s="26"/>
      <c r="AK128" s="27"/>
      <c r="AL128" s="28"/>
      <c r="AM128" s="29"/>
    </row>
    <row r="129" ht="12.75" customHeight="1">
      <c r="A129" s="26"/>
      <c r="B129" s="12"/>
      <c r="C129" s="240"/>
      <c r="D129" s="241"/>
      <c r="E129" s="5"/>
      <c r="F129" s="5"/>
      <c r="G129" s="5"/>
      <c r="H129" s="5"/>
      <c r="I129" s="5"/>
      <c r="J129" s="5"/>
      <c r="K129" s="8"/>
      <c r="L129" s="9"/>
      <c r="M129" s="10"/>
      <c r="N129" s="12"/>
      <c r="O129" s="242"/>
      <c r="P129" s="243"/>
      <c r="Q129" s="243"/>
      <c r="R129" s="14"/>
      <c r="S129" s="242"/>
      <c r="T129" s="15"/>
      <c r="U129" s="15"/>
      <c r="V129" s="15"/>
      <c r="W129" s="8"/>
      <c r="X129" s="8"/>
      <c r="Y129" s="56"/>
      <c r="Z129" s="56"/>
      <c r="AA129" s="15"/>
      <c r="AB129" s="15"/>
      <c r="AC129" s="15"/>
      <c r="AD129" s="15"/>
      <c r="AE129" s="57"/>
      <c r="AF129" s="57"/>
      <c r="AG129" s="15"/>
      <c r="AH129" s="25"/>
      <c r="AI129" s="26"/>
      <c r="AJ129" s="26"/>
      <c r="AK129" s="27"/>
      <c r="AL129" s="28"/>
      <c r="AM129" s="29"/>
    </row>
    <row r="130" ht="12.75" customHeight="1">
      <c r="A130" s="26"/>
      <c r="B130" s="12"/>
      <c r="C130" s="240"/>
      <c r="D130" s="241"/>
      <c r="E130" s="5"/>
      <c r="F130" s="5"/>
      <c r="G130" s="5"/>
      <c r="H130" s="5"/>
      <c r="I130" s="5"/>
      <c r="J130" s="5"/>
      <c r="K130" s="8"/>
      <c r="L130" s="9"/>
      <c r="M130" s="10"/>
      <c r="N130" s="12"/>
      <c r="O130" s="242"/>
      <c r="P130" s="243"/>
      <c r="Q130" s="243"/>
      <c r="R130" s="14"/>
      <c r="S130" s="242"/>
      <c r="T130" s="15"/>
      <c r="U130" s="15"/>
      <c r="V130" s="15"/>
      <c r="W130" s="8"/>
      <c r="X130" s="8"/>
      <c r="Y130" s="56"/>
      <c r="Z130" s="56"/>
      <c r="AA130" s="15"/>
      <c r="AB130" s="15"/>
      <c r="AC130" s="15"/>
      <c r="AD130" s="15"/>
      <c r="AE130" s="57"/>
      <c r="AF130" s="57"/>
      <c r="AG130" s="15"/>
      <c r="AH130" s="25"/>
      <c r="AI130" s="26"/>
      <c r="AJ130" s="26"/>
      <c r="AK130" s="27"/>
      <c r="AL130" s="28"/>
      <c r="AM130" s="29"/>
    </row>
    <row r="131" ht="12.75" customHeight="1">
      <c r="A131" s="26"/>
      <c r="B131" s="12"/>
      <c r="C131" s="240"/>
      <c r="D131" s="241"/>
      <c r="E131" s="5"/>
      <c r="F131" s="5"/>
      <c r="G131" s="5"/>
      <c r="H131" s="5"/>
      <c r="I131" s="5"/>
      <c r="J131" s="5"/>
      <c r="K131" s="8"/>
      <c r="L131" s="9"/>
      <c r="M131" s="10"/>
      <c r="N131" s="12"/>
      <c r="O131" s="242"/>
      <c r="P131" s="243"/>
      <c r="Q131" s="243"/>
      <c r="R131" s="14"/>
      <c r="S131" s="242"/>
      <c r="T131" s="15"/>
      <c r="U131" s="15"/>
      <c r="V131" s="15"/>
      <c r="W131" s="8"/>
      <c r="X131" s="8"/>
      <c r="Y131" s="56"/>
      <c r="Z131" s="56"/>
      <c r="AA131" s="15"/>
      <c r="AB131" s="15"/>
      <c r="AC131" s="15"/>
      <c r="AD131" s="15"/>
      <c r="AE131" s="57"/>
      <c r="AF131" s="57"/>
      <c r="AG131" s="15"/>
      <c r="AH131" s="25"/>
      <c r="AI131" s="26"/>
      <c r="AJ131" s="26"/>
      <c r="AK131" s="27"/>
      <c r="AL131" s="28"/>
      <c r="AM131" s="29"/>
    </row>
    <row r="132" ht="12.75" customHeight="1">
      <c r="A132" s="26"/>
      <c r="B132" s="12"/>
      <c r="C132" s="240"/>
      <c r="D132" s="241"/>
      <c r="E132" s="5"/>
      <c r="F132" s="5"/>
      <c r="G132" s="5"/>
      <c r="H132" s="5"/>
      <c r="I132" s="5"/>
      <c r="J132" s="5"/>
      <c r="K132" s="8"/>
      <c r="L132" s="9"/>
      <c r="M132" s="10"/>
      <c r="N132" s="12"/>
      <c r="O132" s="242"/>
      <c r="P132" s="243"/>
      <c r="Q132" s="243"/>
      <c r="R132" s="14"/>
      <c r="S132" s="242"/>
      <c r="T132" s="15"/>
      <c r="U132" s="15"/>
      <c r="V132" s="15"/>
      <c r="W132" s="8"/>
      <c r="X132" s="8"/>
      <c r="Y132" s="56"/>
      <c r="Z132" s="56"/>
      <c r="AA132" s="15"/>
      <c r="AB132" s="15"/>
      <c r="AC132" s="15"/>
      <c r="AD132" s="15"/>
      <c r="AE132" s="57"/>
      <c r="AF132" s="57"/>
      <c r="AG132" s="15"/>
      <c r="AH132" s="25"/>
      <c r="AI132" s="26"/>
      <c r="AJ132" s="26"/>
      <c r="AK132" s="27"/>
      <c r="AL132" s="28"/>
      <c r="AM132" s="29"/>
    </row>
    <row r="133" ht="12.75" customHeight="1">
      <c r="A133" s="26"/>
      <c r="B133" s="12"/>
      <c r="C133" s="240"/>
      <c r="D133" s="241"/>
      <c r="E133" s="5"/>
      <c r="F133" s="5"/>
      <c r="G133" s="5"/>
      <c r="H133" s="5"/>
      <c r="I133" s="5"/>
      <c r="J133" s="5"/>
      <c r="K133" s="8"/>
      <c r="L133" s="9"/>
      <c r="M133" s="10"/>
      <c r="N133" s="12"/>
      <c r="O133" s="242"/>
      <c r="P133" s="243"/>
      <c r="Q133" s="243"/>
      <c r="R133" s="14"/>
      <c r="S133" s="242"/>
      <c r="T133" s="15"/>
      <c r="U133" s="15"/>
      <c r="V133" s="15"/>
      <c r="W133" s="8"/>
      <c r="X133" s="8"/>
      <c r="Y133" s="56"/>
      <c r="Z133" s="56"/>
      <c r="AA133" s="15"/>
      <c r="AB133" s="15"/>
      <c r="AC133" s="15"/>
      <c r="AD133" s="15"/>
      <c r="AE133" s="57"/>
      <c r="AF133" s="57"/>
      <c r="AG133" s="15"/>
      <c r="AH133" s="25"/>
      <c r="AI133" s="26"/>
      <c r="AJ133" s="26"/>
      <c r="AK133" s="27"/>
      <c r="AL133" s="28"/>
      <c r="AM133" s="29"/>
    </row>
    <row r="134" ht="12.75" customHeight="1">
      <c r="A134" s="26"/>
      <c r="B134" s="12"/>
      <c r="C134" s="240"/>
      <c r="D134" s="241"/>
      <c r="E134" s="5"/>
      <c r="F134" s="5"/>
      <c r="G134" s="5"/>
      <c r="H134" s="5"/>
      <c r="I134" s="5"/>
      <c r="J134" s="5"/>
      <c r="K134" s="8"/>
      <c r="L134" s="9"/>
      <c r="M134" s="10"/>
      <c r="N134" s="12"/>
      <c r="O134" s="242"/>
      <c r="P134" s="243"/>
      <c r="Q134" s="243"/>
      <c r="R134" s="14"/>
      <c r="S134" s="242"/>
      <c r="T134" s="15"/>
      <c r="U134" s="15"/>
      <c r="V134" s="15"/>
      <c r="W134" s="8"/>
      <c r="X134" s="8"/>
      <c r="Y134" s="56"/>
      <c r="Z134" s="56"/>
      <c r="AA134" s="15"/>
      <c r="AB134" s="15"/>
      <c r="AC134" s="15"/>
      <c r="AD134" s="15"/>
      <c r="AE134" s="57"/>
      <c r="AF134" s="57"/>
      <c r="AG134" s="15"/>
      <c r="AH134" s="25"/>
      <c r="AI134" s="26"/>
      <c r="AJ134" s="26"/>
      <c r="AK134" s="27"/>
      <c r="AL134" s="28"/>
      <c r="AM134" s="29"/>
    </row>
    <row r="135" ht="12.75" customHeight="1">
      <c r="A135" s="26"/>
      <c r="B135" s="12"/>
      <c r="C135" s="240"/>
      <c r="D135" s="241"/>
      <c r="E135" s="5"/>
      <c r="F135" s="5"/>
      <c r="G135" s="5"/>
      <c r="H135" s="5"/>
      <c r="I135" s="5"/>
      <c r="J135" s="5"/>
      <c r="K135" s="8"/>
      <c r="L135" s="9"/>
      <c r="M135" s="10"/>
      <c r="N135" s="12"/>
      <c r="O135" s="242"/>
      <c r="P135" s="243"/>
      <c r="Q135" s="243"/>
      <c r="R135" s="14"/>
      <c r="S135" s="242"/>
      <c r="T135" s="15"/>
      <c r="U135" s="15"/>
      <c r="V135" s="15"/>
      <c r="W135" s="8"/>
      <c r="X135" s="8"/>
      <c r="Y135" s="56"/>
      <c r="Z135" s="56"/>
      <c r="AA135" s="15"/>
      <c r="AB135" s="15"/>
      <c r="AC135" s="15"/>
      <c r="AD135" s="15"/>
      <c r="AE135" s="57"/>
      <c r="AF135" s="57"/>
      <c r="AG135" s="15"/>
      <c r="AH135" s="25"/>
      <c r="AI135" s="26"/>
      <c r="AJ135" s="26"/>
      <c r="AK135" s="27"/>
      <c r="AL135" s="28"/>
      <c r="AM135" s="29"/>
    </row>
    <row r="136" ht="12.75" customHeight="1">
      <c r="A136" s="26"/>
      <c r="B136" s="12"/>
      <c r="C136" s="240"/>
      <c r="D136" s="241"/>
      <c r="E136" s="5"/>
      <c r="F136" s="5"/>
      <c r="G136" s="5"/>
      <c r="H136" s="5"/>
      <c r="I136" s="5"/>
      <c r="J136" s="5"/>
      <c r="K136" s="8"/>
      <c r="L136" s="9"/>
      <c r="M136" s="10"/>
      <c r="N136" s="12"/>
      <c r="O136" s="242"/>
      <c r="P136" s="243"/>
      <c r="Q136" s="243"/>
      <c r="R136" s="14"/>
      <c r="S136" s="242"/>
      <c r="T136" s="15"/>
      <c r="U136" s="15"/>
      <c r="V136" s="15"/>
      <c r="W136" s="8"/>
      <c r="X136" s="8"/>
      <c r="Y136" s="56"/>
      <c r="Z136" s="56"/>
      <c r="AA136" s="15"/>
      <c r="AB136" s="15"/>
      <c r="AC136" s="15"/>
      <c r="AD136" s="15"/>
      <c r="AE136" s="57"/>
      <c r="AF136" s="57"/>
      <c r="AG136" s="15"/>
      <c r="AH136" s="25"/>
      <c r="AI136" s="26"/>
      <c r="AJ136" s="26"/>
      <c r="AK136" s="27"/>
      <c r="AL136" s="28"/>
      <c r="AM136" s="29"/>
    </row>
    <row r="137" ht="12.75" customHeight="1">
      <c r="A137" s="26"/>
      <c r="B137" s="12"/>
      <c r="C137" s="240"/>
      <c r="D137" s="241"/>
      <c r="E137" s="5"/>
      <c r="F137" s="5"/>
      <c r="G137" s="5"/>
      <c r="H137" s="5"/>
      <c r="I137" s="5"/>
      <c r="J137" s="5"/>
      <c r="K137" s="8"/>
      <c r="L137" s="9"/>
      <c r="M137" s="10"/>
      <c r="N137" s="12"/>
      <c r="O137" s="242"/>
      <c r="P137" s="243"/>
      <c r="Q137" s="243"/>
      <c r="R137" s="14"/>
      <c r="S137" s="242"/>
      <c r="T137" s="15"/>
      <c r="U137" s="15"/>
      <c r="V137" s="15"/>
      <c r="W137" s="8"/>
      <c r="X137" s="8"/>
      <c r="Y137" s="56"/>
      <c r="Z137" s="56"/>
      <c r="AA137" s="15"/>
      <c r="AB137" s="15"/>
      <c r="AC137" s="15"/>
      <c r="AD137" s="15"/>
      <c r="AE137" s="57"/>
      <c r="AF137" s="57"/>
      <c r="AG137" s="15"/>
      <c r="AH137" s="25"/>
      <c r="AI137" s="26"/>
      <c r="AJ137" s="26"/>
      <c r="AK137" s="27"/>
      <c r="AL137" s="28"/>
      <c r="AM137" s="29"/>
    </row>
    <row r="138" ht="12.75" customHeight="1">
      <c r="A138" s="26"/>
      <c r="B138" s="12"/>
      <c r="C138" s="240"/>
      <c r="D138" s="241"/>
      <c r="E138" s="5"/>
      <c r="F138" s="5"/>
      <c r="G138" s="5"/>
      <c r="H138" s="5"/>
      <c r="I138" s="5"/>
      <c r="J138" s="5"/>
      <c r="K138" s="8"/>
      <c r="L138" s="9"/>
      <c r="M138" s="10"/>
      <c r="N138" s="12"/>
      <c r="O138" s="242"/>
      <c r="P138" s="243"/>
      <c r="Q138" s="243"/>
      <c r="R138" s="14"/>
      <c r="S138" s="242"/>
      <c r="T138" s="15"/>
      <c r="U138" s="15"/>
      <c r="V138" s="15"/>
      <c r="W138" s="8"/>
      <c r="X138" s="8"/>
      <c r="Y138" s="56"/>
      <c r="Z138" s="56"/>
      <c r="AA138" s="15"/>
      <c r="AB138" s="15"/>
      <c r="AC138" s="15"/>
      <c r="AD138" s="15"/>
      <c r="AE138" s="57"/>
      <c r="AF138" s="57"/>
      <c r="AG138" s="15"/>
      <c r="AH138" s="25"/>
      <c r="AI138" s="26"/>
      <c r="AJ138" s="26"/>
      <c r="AK138" s="27"/>
      <c r="AL138" s="28"/>
      <c r="AM138" s="29"/>
    </row>
    <row r="139" ht="12.75" customHeight="1">
      <c r="A139" s="26"/>
      <c r="B139" s="12"/>
      <c r="C139" s="240"/>
      <c r="D139" s="241"/>
      <c r="E139" s="5"/>
      <c r="F139" s="5"/>
      <c r="G139" s="5"/>
      <c r="H139" s="5"/>
      <c r="I139" s="5"/>
      <c r="J139" s="5"/>
      <c r="K139" s="8"/>
      <c r="L139" s="9"/>
      <c r="M139" s="10"/>
      <c r="N139" s="12"/>
      <c r="O139" s="242"/>
      <c r="P139" s="243"/>
      <c r="Q139" s="243"/>
      <c r="R139" s="14"/>
      <c r="S139" s="242"/>
      <c r="T139" s="15"/>
      <c r="U139" s="15"/>
      <c r="V139" s="15"/>
      <c r="W139" s="8"/>
      <c r="X139" s="8"/>
      <c r="Y139" s="56"/>
      <c r="Z139" s="56"/>
      <c r="AA139" s="15"/>
      <c r="AB139" s="15"/>
      <c r="AC139" s="15"/>
      <c r="AD139" s="15"/>
      <c r="AE139" s="57"/>
      <c r="AF139" s="57"/>
      <c r="AG139" s="15"/>
      <c r="AH139" s="25"/>
      <c r="AI139" s="26"/>
      <c r="AJ139" s="26"/>
      <c r="AK139" s="27"/>
      <c r="AL139" s="28"/>
      <c r="AM139" s="29"/>
    </row>
    <row r="140" ht="12.75" customHeight="1">
      <c r="A140" s="26"/>
      <c r="B140" s="12"/>
      <c r="C140" s="240"/>
      <c r="D140" s="241"/>
      <c r="E140" s="5"/>
      <c r="F140" s="5"/>
      <c r="G140" s="5"/>
      <c r="H140" s="5"/>
      <c r="I140" s="5"/>
      <c r="J140" s="5"/>
      <c r="K140" s="8"/>
      <c r="L140" s="9"/>
      <c r="M140" s="10"/>
      <c r="N140" s="12"/>
      <c r="O140" s="242"/>
      <c r="P140" s="243"/>
      <c r="Q140" s="243"/>
      <c r="R140" s="14"/>
      <c r="S140" s="242"/>
      <c r="T140" s="15"/>
      <c r="U140" s="15"/>
      <c r="V140" s="15"/>
      <c r="W140" s="8"/>
      <c r="X140" s="8"/>
      <c r="Y140" s="56"/>
      <c r="Z140" s="56"/>
      <c r="AA140" s="15"/>
      <c r="AB140" s="15"/>
      <c r="AC140" s="15"/>
      <c r="AD140" s="15"/>
      <c r="AE140" s="57"/>
      <c r="AF140" s="57"/>
      <c r="AG140" s="15"/>
      <c r="AH140" s="25"/>
      <c r="AI140" s="26"/>
      <c r="AJ140" s="26"/>
      <c r="AK140" s="27"/>
      <c r="AL140" s="28"/>
      <c r="AM140" s="29"/>
    </row>
    <row r="141" ht="12.75" customHeight="1">
      <c r="A141" s="26"/>
      <c r="B141" s="12"/>
      <c r="C141" s="240"/>
      <c r="D141" s="241"/>
      <c r="E141" s="5"/>
      <c r="F141" s="5"/>
      <c r="G141" s="5"/>
      <c r="H141" s="5"/>
      <c r="I141" s="5"/>
      <c r="J141" s="5"/>
      <c r="K141" s="8"/>
      <c r="L141" s="9"/>
      <c r="M141" s="10"/>
      <c r="N141" s="12"/>
      <c r="O141" s="242"/>
      <c r="P141" s="243"/>
      <c r="Q141" s="243"/>
      <c r="R141" s="14"/>
      <c r="S141" s="242"/>
      <c r="T141" s="15"/>
      <c r="U141" s="15"/>
      <c r="V141" s="15"/>
      <c r="W141" s="8"/>
      <c r="X141" s="8"/>
      <c r="Y141" s="56"/>
      <c r="Z141" s="56"/>
      <c r="AA141" s="15"/>
      <c r="AB141" s="15"/>
      <c r="AC141" s="15"/>
      <c r="AD141" s="15"/>
      <c r="AE141" s="57"/>
      <c r="AF141" s="57"/>
      <c r="AG141" s="15"/>
      <c r="AH141" s="25"/>
      <c r="AI141" s="26"/>
      <c r="AJ141" s="26"/>
      <c r="AK141" s="27"/>
      <c r="AL141" s="28"/>
      <c r="AM141" s="29"/>
    </row>
    <row r="142" ht="12.75" customHeight="1">
      <c r="A142" s="26"/>
      <c r="B142" s="12"/>
      <c r="C142" s="240"/>
      <c r="D142" s="241"/>
      <c r="E142" s="5"/>
      <c r="F142" s="5"/>
      <c r="G142" s="5"/>
      <c r="H142" s="5"/>
      <c r="I142" s="5"/>
      <c r="J142" s="5"/>
      <c r="K142" s="8"/>
      <c r="L142" s="9"/>
      <c r="M142" s="10"/>
      <c r="N142" s="12"/>
      <c r="O142" s="242"/>
      <c r="P142" s="243"/>
      <c r="Q142" s="243"/>
      <c r="R142" s="14"/>
      <c r="S142" s="242"/>
      <c r="T142" s="15"/>
      <c r="U142" s="15"/>
      <c r="V142" s="15"/>
      <c r="W142" s="8"/>
      <c r="X142" s="8"/>
      <c r="Y142" s="56"/>
      <c r="Z142" s="56"/>
      <c r="AA142" s="15"/>
      <c r="AB142" s="15"/>
      <c r="AC142" s="15"/>
      <c r="AD142" s="15"/>
      <c r="AE142" s="57"/>
      <c r="AF142" s="57"/>
      <c r="AG142" s="15"/>
      <c r="AH142" s="25"/>
      <c r="AI142" s="26"/>
      <c r="AJ142" s="26"/>
      <c r="AK142" s="27"/>
      <c r="AL142" s="28"/>
      <c r="AM142" s="29"/>
    </row>
    <row r="143" ht="12.75" customHeight="1">
      <c r="A143" s="26"/>
      <c r="B143" s="12"/>
      <c r="C143" s="240"/>
      <c r="D143" s="241"/>
      <c r="E143" s="5"/>
      <c r="F143" s="5"/>
      <c r="G143" s="5"/>
      <c r="H143" s="5"/>
      <c r="I143" s="5"/>
      <c r="J143" s="5"/>
      <c r="K143" s="8"/>
      <c r="L143" s="9"/>
      <c r="M143" s="10"/>
      <c r="N143" s="12"/>
      <c r="O143" s="242"/>
      <c r="P143" s="243"/>
      <c r="Q143" s="243"/>
      <c r="R143" s="14"/>
      <c r="S143" s="242"/>
      <c r="T143" s="15"/>
      <c r="U143" s="15"/>
      <c r="V143" s="15"/>
      <c r="W143" s="8"/>
      <c r="X143" s="8"/>
      <c r="Y143" s="56"/>
      <c r="Z143" s="56"/>
      <c r="AA143" s="15"/>
      <c r="AB143" s="15"/>
      <c r="AC143" s="15"/>
      <c r="AD143" s="15"/>
      <c r="AE143" s="57"/>
      <c r="AF143" s="57"/>
      <c r="AG143" s="15"/>
      <c r="AH143" s="25"/>
      <c r="AI143" s="26"/>
      <c r="AJ143" s="26"/>
      <c r="AK143" s="27"/>
      <c r="AL143" s="28"/>
      <c r="AM143" s="29"/>
    </row>
    <row r="144" ht="12.75" customHeight="1">
      <c r="A144" s="26"/>
      <c r="B144" s="12"/>
      <c r="C144" s="240"/>
      <c r="D144" s="241"/>
      <c r="E144" s="5"/>
      <c r="F144" s="5"/>
      <c r="G144" s="5"/>
      <c r="H144" s="5"/>
      <c r="I144" s="5"/>
      <c r="J144" s="5"/>
      <c r="K144" s="8"/>
      <c r="L144" s="9"/>
      <c r="M144" s="10"/>
      <c r="N144" s="12"/>
      <c r="O144" s="242"/>
      <c r="P144" s="243"/>
      <c r="Q144" s="243"/>
      <c r="R144" s="14"/>
      <c r="S144" s="242"/>
      <c r="T144" s="15"/>
      <c r="U144" s="15"/>
      <c r="V144" s="15"/>
      <c r="W144" s="8"/>
      <c r="X144" s="8"/>
      <c r="Y144" s="56"/>
      <c r="Z144" s="56"/>
      <c r="AA144" s="15"/>
      <c r="AB144" s="15"/>
      <c r="AC144" s="15"/>
      <c r="AD144" s="15"/>
      <c r="AE144" s="57"/>
      <c r="AF144" s="57"/>
      <c r="AG144" s="15"/>
      <c r="AH144" s="25"/>
      <c r="AI144" s="26"/>
      <c r="AJ144" s="26"/>
      <c r="AK144" s="27"/>
      <c r="AL144" s="28"/>
      <c r="AM144" s="29"/>
    </row>
    <row r="145" ht="12.75" customHeight="1">
      <c r="A145" s="26"/>
      <c r="B145" s="12"/>
      <c r="C145" s="240"/>
      <c r="D145" s="241"/>
      <c r="E145" s="5"/>
      <c r="F145" s="5"/>
      <c r="G145" s="5"/>
      <c r="H145" s="5"/>
      <c r="I145" s="5"/>
      <c r="J145" s="5"/>
      <c r="K145" s="8"/>
      <c r="L145" s="9"/>
      <c r="M145" s="10"/>
      <c r="N145" s="12"/>
      <c r="O145" s="242"/>
      <c r="P145" s="243"/>
      <c r="Q145" s="243"/>
      <c r="R145" s="14"/>
      <c r="S145" s="242"/>
      <c r="T145" s="15"/>
      <c r="U145" s="15"/>
      <c r="V145" s="15"/>
      <c r="W145" s="8"/>
      <c r="X145" s="8"/>
      <c r="Y145" s="56"/>
      <c r="Z145" s="56"/>
      <c r="AA145" s="15"/>
      <c r="AB145" s="15"/>
      <c r="AC145" s="15"/>
      <c r="AD145" s="15"/>
      <c r="AE145" s="57"/>
      <c r="AF145" s="57"/>
      <c r="AG145" s="15"/>
      <c r="AH145" s="25"/>
      <c r="AI145" s="26"/>
      <c r="AJ145" s="26"/>
      <c r="AK145" s="27"/>
      <c r="AL145" s="28"/>
      <c r="AM145" s="29"/>
    </row>
    <row r="146" ht="12.75" customHeight="1">
      <c r="A146" s="26"/>
      <c r="B146" s="12"/>
      <c r="C146" s="240"/>
      <c r="D146" s="241"/>
      <c r="E146" s="5"/>
      <c r="F146" s="5"/>
      <c r="G146" s="5"/>
      <c r="H146" s="5"/>
      <c r="I146" s="5"/>
      <c r="J146" s="5"/>
      <c r="K146" s="8"/>
      <c r="L146" s="9"/>
      <c r="M146" s="10"/>
      <c r="N146" s="12"/>
      <c r="O146" s="242"/>
      <c r="P146" s="243"/>
      <c r="Q146" s="243"/>
      <c r="R146" s="14"/>
      <c r="S146" s="242"/>
      <c r="T146" s="15"/>
      <c r="U146" s="15"/>
      <c r="V146" s="15"/>
      <c r="W146" s="8"/>
      <c r="X146" s="8"/>
      <c r="Y146" s="56"/>
      <c r="Z146" s="56"/>
      <c r="AA146" s="15"/>
      <c r="AB146" s="15"/>
      <c r="AC146" s="15"/>
      <c r="AD146" s="15"/>
      <c r="AE146" s="57"/>
      <c r="AF146" s="57"/>
      <c r="AG146" s="15"/>
      <c r="AH146" s="25"/>
      <c r="AI146" s="26"/>
      <c r="AJ146" s="26"/>
      <c r="AK146" s="27"/>
      <c r="AL146" s="28"/>
      <c r="AM146" s="29"/>
    </row>
    <row r="147" ht="12.75" customHeight="1">
      <c r="A147" s="26"/>
      <c r="B147" s="12"/>
      <c r="C147" s="240"/>
      <c r="D147" s="241"/>
      <c r="E147" s="5"/>
      <c r="F147" s="5"/>
      <c r="G147" s="5"/>
      <c r="H147" s="5"/>
      <c r="I147" s="5"/>
      <c r="J147" s="5"/>
      <c r="K147" s="8"/>
      <c r="L147" s="9"/>
      <c r="M147" s="10"/>
      <c r="N147" s="12"/>
      <c r="O147" s="242"/>
      <c r="P147" s="243"/>
      <c r="Q147" s="243"/>
      <c r="R147" s="14"/>
      <c r="S147" s="242"/>
      <c r="T147" s="15"/>
      <c r="U147" s="15"/>
      <c r="V147" s="15"/>
      <c r="W147" s="8"/>
      <c r="X147" s="8"/>
      <c r="Y147" s="56"/>
      <c r="Z147" s="56"/>
      <c r="AA147" s="15"/>
      <c r="AB147" s="15"/>
      <c r="AC147" s="15"/>
      <c r="AD147" s="15"/>
      <c r="AE147" s="57"/>
      <c r="AF147" s="57"/>
      <c r="AG147" s="15"/>
      <c r="AH147" s="25"/>
      <c r="AI147" s="26"/>
      <c r="AJ147" s="26"/>
      <c r="AK147" s="27"/>
      <c r="AL147" s="28"/>
      <c r="AM147" s="29"/>
    </row>
    <row r="148" ht="12.75" customHeight="1">
      <c r="A148" s="26"/>
      <c r="B148" s="12"/>
      <c r="C148" s="240"/>
      <c r="D148" s="241"/>
      <c r="E148" s="5"/>
      <c r="F148" s="5"/>
      <c r="G148" s="5"/>
      <c r="H148" s="5"/>
      <c r="I148" s="5"/>
      <c r="J148" s="5"/>
      <c r="K148" s="8"/>
      <c r="L148" s="9"/>
      <c r="M148" s="10"/>
      <c r="N148" s="12"/>
      <c r="O148" s="242"/>
      <c r="P148" s="243"/>
      <c r="Q148" s="243"/>
      <c r="R148" s="14"/>
      <c r="S148" s="242"/>
      <c r="T148" s="15"/>
      <c r="U148" s="15"/>
      <c r="V148" s="15"/>
      <c r="W148" s="8"/>
      <c r="X148" s="8"/>
      <c r="Y148" s="56"/>
      <c r="Z148" s="56"/>
      <c r="AA148" s="15"/>
      <c r="AB148" s="15"/>
      <c r="AC148" s="15"/>
      <c r="AD148" s="15"/>
      <c r="AE148" s="57"/>
      <c r="AF148" s="57"/>
      <c r="AG148" s="15"/>
      <c r="AH148" s="25"/>
      <c r="AI148" s="26"/>
      <c r="AJ148" s="26"/>
      <c r="AK148" s="27"/>
      <c r="AL148" s="28"/>
      <c r="AM148" s="29"/>
    </row>
    <row r="149" ht="12.75" customHeight="1">
      <c r="A149" s="26"/>
      <c r="B149" s="12"/>
      <c r="C149" s="240"/>
      <c r="D149" s="241"/>
      <c r="E149" s="5"/>
      <c r="F149" s="5"/>
      <c r="G149" s="5"/>
      <c r="H149" s="5"/>
      <c r="I149" s="5"/>
      <c r="J149" s="5"/>
      <c r="K149" s="8"/>
      <c r="L149" s="9"/>
      <c r="M149" s="10"/>
      <c r="N149" s="12"/>
      <c r="O149" s="242"/>
      <c r="P149" s="243"/>
      <c r="Q149" s="243"/>
      <c r="R149" s="14"/>
      <c r="S149" s="242"/>
      <c r="T149" s="15"/>
      <c r="U149" s="15"/>
      <c r="V149" s="15"/>
      <c r="W149" s="8"/>
      <c r="X149" s="8"/>
      <c r="Y149" s="56"/>
      <c r="Z149" s="56"/>
      <c r="AA149" s="15"/>
      <c r="AB149" s="15"/>
      <c r="AC149" s="15"/>
      <c r="AD149" s="15"/>
      <c r="AE149" s="57"/>
      <c r="AF149" s="57"/>
      <c r="AG149" s="15"/>
      <c r="AH149" s="25"/>
      <c r="AI149" s="26"/>
      <c r="AJ149" s="26"/>
      <c r="AK149" s="27"/>
      <c r="AL149" s="28"/>
      <c r="AM149" s="29"/>
    </row>
    <row r="150" ht="12.75" customHeight="1">
      <c r="A150" s="26"/>
      <c r="B150" s="12"/>
      <c r="C150" s="240"/>
      <c r="D150" s="241"/>
      <c r="E150" s="5"/>
      <c r="F150" s="5"/>
      <c r="G150" s="5"/>
      <c r="H150" s="5"/>
      <c r="I150" s="5"/>
      <c r="J150" s="5"/>
      <c r="K150" s="8"/>
      <c r="L150" s="9"/>
      <c r="M150" s="10"/>
      <c r="N150" s="12"/>
      <c r="O150" s="242"/>
      <c r="P150" s="243"/>
      <c r="Q150" s="243"/>
      <c r="R150" s="14"/>
      <c r="S150" s="242"/>
      <c r="T150" s="15"/>
      <c r="U150" s="15"/>
      <c r="V150" s="15"/>
      <c r="W150" s="8"/>
      <c r="X150" s="8"/>
      <c r="Y150" s="56"/>
      <c r="Z150" s="56"/>
      <c r="AA150" s="15"/>
      <c r="AB150" s="15"/>
      <c r="AC150" s="15"/>
      <c r="AD150" s="15"/>
      <c r="AE150" s="57"/>
      <c r="AF150" s="57"/>
      <c r="AG150" s="15"/>
      <c r="AH150" s="25"/>
      <c r="AI150" s="26"/>
      <c r="AJ150" s="26"/>
      <c r="AK150" s="27"/>
      <c r="AL150" s="28"/>
      <c r="AM150" s="29"/>
    </row>
    <row r="151" ht="12.75" customHeight="1">
      <c r="A151" s="26"/>
      <c r="B151" s="12"/>
      <c r="C151" s="240"/>
      <c r="D151" s="241"/>
      <c r="E151" s="5"/>
      <c r="F151" s="5"/>
      <c r="G151" s="5"/>
      <c r="H151" s="5"/>
      <c r="I151" s="5"/>
      <c r="J151" s="5"/>
      <c r="K151" s="8"/>
      <c r="L151" s="9"/>
      <c r="M151" s="10"/>
      <c r="N151" s="12"/>
      <c r="O151" s="242"/>
      <c r="P151" s="243"/>
      <c r="Q151" s="243"/>
      <c r="R151" s="14"/>
      <c r="S151" s="242"/>
      <c r="T151" s="15"/>
      <c r="U151" s="15"/>
      <c r="V151" s="15"/>
      <c r="W151" s="8"/>
      <c r="X151" s="8"/>
      <c r="Y151" s="56"/>
      <c r="Z151" s="56"/>
      <c r="AA151" s="15"/>
      <c r="AB151" s="15"/>
      <c r="AC151" s="15"/>
      <c r="AD151" s="15"/>
      <c r="AE151" s="57"/>
      <c r="AF151" s="57"/>
      <c r="AG151" s="15"/>
      <c r="AH151" s="25"/>
      <c r="AI151" s="26"/>
      <c r="AJ151" s="26"/>
      <c r="AK151" s="27"/>
      <c r="AL151" s="28"/>
      <c r="AM151" s="29"/>
    </row>
    <row r="152" ht="12.75" customHeight="1">
      <c r="A152" s="26"/>
      <c r="B152" s="12"/>
      <c r="C152" s="240"/>
      <c r="D152" s="241"/>
      <c r="E152" s="5"/>
      <c r="F152" s="5"/>
      <c r="G152" s="5"/>
      <c r="H152" s="5"/>
      <c r="I152" s="5"/>
      <c r="J152" s="5"/>
      <c r="K152" s="8"/>
      <c r="L152" s="9"/>
      <c r="M152" s="10"/>
      <c r="N152" s="12"/>
      <c r="O152" s="242"/>
      <c r="P152" s="243"/>
      <c r="Q152" s="243"/>
      <c r="R152" s="14"/>
      <c r="S152" s="242"/>
      <c r="T152" s="15"/>
      <c r="U152" s="15"/>
      <c r="V152" s="15"/>
      <c r="W152" s="8"/>
      <c r="X152" s="8"/>
      <c r="Y152" s="56"/>
      <c r="Z152" s="56"/>
      <c r="AA152" s="15"/>
      <c r="AB152" s="15"/>
      <c r="AC152" s="15"/>
      <c r="AD152" s="15"/>
      <c r="AE152" s="57"/>
      <c r="AF152" s="57"/>
      <c r="AG152" s="15"/>
      <c r="AH152" s="25"/>
      <c r="AI152" s="26"/>
      <c r="AJ152" s="26"/>
      <c r="AK152" s="27"/>
      <c r="AL152" s="28"/>
      <c r="AM152" s="29"/>
    </row>
    <row r="153" ht="12.75" customHeight="1">
      <c r="A153" s="26"/>
      <c r="B153" s="12"/>
      <c r="C153" s="240"/>
      <c r="D153" s="241"/>
      <c r="E153" s="5"/>
      <c r="F153" s="5"/>
      <c r="G153" s="5"/>
      <c r="H153" s="5"/>
      <c r="I153" s="5"/>
      <c r="J153" s="5"/>
      <c r="K153" s="8"/>
      <c r="L153" s="9"/>
      <c r="M153" s="10"/>
      <c r="N153" s="12"/>
      <c r="O153" s="242"/>
      <c r="P153" s="243"/>
      <c r="Q153" s="243"/>
      <c r="R153" s="14"/>
      <c r="S153" s="242"/>
      <c r="T153" s="15"/>
      <c r="U153" s="15"/>
      <c r="V153" s="15"/>
      <c r="W153" s="8"/>
      <c r="X153" s="8"/>
      <c r="Y153" s="56"/>
      <c r="Z153" s="56"/>
      <c r="AA153" s="15"/>
      <c r="AB153" s="15"/>
      <c r="AC153" s="15"/>
      <c r="AD153" s="15"/>
      <c r="AE153" s="57"/>
      <c r="AF153" s="57"/>
      <c r="AG153" s="15"/>
      <c r="AH153" s="25"/>
      <c r="AI153" s="26"/>
      <c r="AJ153" s="26"/>
      <c r="AK153" s="27"/>
      <c r="AL153" s="28"/>
      <c r="AM153" s="29"/>
    </row>
    <row r="154" ht="12.75" customHeight="1">
      <c r="A154" s="26"/>
      <c r="B154" s="12"/>
      <c r="C154" s="240"/>
      <c r="D154" s="241"/>
      <c r="E154" s="5"/>
      <c r="F154" s="5"/>
      <c r="G154" s="5"/>
      <c r="H154" s="5"/>
      <c r="I154" s="5"/>
      <c r="J154" s="5"/>
      <c r="K154" s="8"/>
      <c r="L154" s="9"/>
      <c r="M154" s="10"/>
      <c r="N154" s="12"/>
      <c r="O154" s="242"/>
      <c r="P154" s="243"/>
      <c r="Q154" s="243"/>
      <c r="R154" s="14"/>
      <c r="S154" s="242"/>
      <c r="T154" s="15"/>
      <c r="U154" s="15"/>
      <c r="V154" s="15"/>
      <c r="W154" s="8"/>
      <c r="X154" s="8"/>
      <c r="Y154" s="56"/>
      <c r="Z154" s="56"/>
      <c r="AA154" s="15"/>
      <c r="AB154" s="15"/>
      <c r="AC154" s="15"/>
      <c r="AD154" s="15"/>
      <c r="AE154" s="57"/>
      <c r="AF154" s="57"/>
      <c r="AG154" s="15"/>
      <c r="AH154" s="25"/>
      <c r="AI154" s="26"/>
      <c r="AJ154" s="26"/>
      <c r="AK154" s="27"/>
      <c r="AL154" s="28"/>
      <c r="AM154" s="29"/>
    </row>
    <row r="155" ht="12.75" customHeight="1">
      <c r="A155" s="26"/>
      <c r="B155" s="12"/>
      <c r="C155" s="240"/>
      <c r="D155" s="241"/>
      <c r="E155" s="5"/>
      <c r="F155" s="5"/>
      <c r="G155" s="5"/>
      <c r="H155" s="5"/>
      <c r="I155" s="5"/>
      <c r="J155" s="5"/>
      <c r="K155" s="8"/>
      <c r="L155" s="9"/>
      <c r="M155" s="10"/>
      <c r="N155" s="12"/>
      <c r="O155" s="242"/>
      <c r="P155" s="243"/>
      <c r="Q155" s="243"/>
      <c r="R155" s="14"/>
      <c r="S155" s="242"/>
      <c r="T155" s="15"/>
      <c r="U155" s="15"/>
      <c r="V155" s="15"/>
      <c r="W155" s="8"/>
      <c r="X155" s="8"/>
      <c r="Y155" s="56"/>
      <c r="Z155" s="56"/>
      <c r="AA155" s="15"/>
      <c r="AB155" s="15"/>
      <c r="AC155" s="15"/>
      <c r="AD155" s="15"/>
      <c r="AE155" s="57"/>
      <c r="AF155" s="57"/>
      <c r="AG155" s="15"/>
      <c r="AH155" s="25"/>
      <c r="AI155" s="26"/>
      <c r="AJ155" s="26"/>
      <c r="AK155" s="27"/>
      <c r="AL155" s="28"/>
      <c r="AM155" s="29"/>
    </row>
    <row r="156" ht="12.75" customHeight="1">
      <c r="A156" s="26"/>
      <c r="B156" s="12"/>
      <c r="C156" s="240"/>
      <c r="D156" s="241"/>
      <c r="E156" s="5"/>
      <c r="F156" s="5"/>
      <c r="G156" s="5"/>
      <c r="H156" s="5"/>
      <c r="I156" s="5"/>
      <c r="J156" s="5"/>
      <c r="K156" s="8"/>
      <c r="L156" s="9"/>
      <c r="M156" s="10"/>
      <c r="N156" s="12"/>
      <c r="O156" s="242"/>
      <c r="P156" s="243"/>
      <c r="Q156" s="243"/>
      <c r="R156" s="14"/>
      <c r="S156" s="242"/>
      <c r="T156" s="15"/>
      <c r="U156" s="15"/>
      <c r="V156" s="15"/>
      <c r="W156" s="8"/>
      <c r="X156" s="8"/>
      <c r="Y156" s="56"/>
      <c r="Z156" s="56"/>
      <c r="AA156" s="15"/>
      <c r="AB156" s="15"/>
      <c r="AC156" s="15"/>
      <c r="AD156" s="15"/>
      <c r="AE156" s="57"/>
      <c r="AF156" s="57"/>
      <c r="AG156" s="15"/>
      <c r="AH156" s="25"/>
      <c r="AI156" s="26"/>
      <c r="AJ156" s="26"/>
      <c r="AK156" s="27"/>
      <c r="AL156" s="28"/>
      <c r="AM156" s="29"/>
    </row>
    <row r="157" ht="12.75" customHeight="1">
      <c r="A157" s="26"/>
      <c r="B157" s="12"/>
      <c r="C157" s="240"/>
      <c r="D157" s="241"/>
      <c r="E157" s="5"/>
      <c r="F157" s="5"/>
      <c r="G157" s="5"/>
      <c r="H157" s="5"/>
      <c r="I157" s="5"/>
      <c r="J157" s="5"/>
      <c r="K157" s="8"/>
      <c r="L157" s="9"/>
      <c r="M157" s="10"/>
      <c r="N157" s="12"/>
      <c r="O157" s="242"/>
      <c r="P157" s="243"/>
      <c r="Q157" s="243"/>
      <c r="R157" s="14"/>
      <c r="S157" s="242"/>
      <c r="T157" s="15"/>
      <c r="U157" s="15"/>
      <c r="V157" s="15"/>
      <c r="W157" s="8"/>
      <c r="X157" s="8"/>
      <c r="Y157" s="56"/>
      <c r="Z157" s="56"/>
      <c r="AA157" s="15"/>
      <c r="AB157" s="15"/>
      <c r="AC157" s="15"/>
      <c r="AD157" s="15"/>
      <c r="AE157" s="57"/>
      <c r="AF157" s="57"/>
      <c r="AG157" s="15"/>
      <c r="AH157" s="25"/>
      <c r="AI157" s="26"/>
      <c r="AJ157" s="26"/>
      <c r="AK157" s="27"/>
      <c r="AL157" s="28"/>
      <c r="AM157" s="29"/>
    </row>
    <row r="158" ht="12.75" customHeight="1">
      <c r="A158" s="26"/>
      <c r="B158" s="12"/>
      <c r="C158" s="240"/>
      <c r="D158" s="241"/>
      <c r="E158" s="5"/>
      <c r="F158" s="5"/>
      <c r="G158" s="5"/>
      <c r="H158" s="5"/>
      <c r="I158" s="5"/>
      <c r="J158" s="5"/>
      <c r="K158" s="8"/>
      <c r="L158" s="9"/>
      <c r="M158" s="10"/>
      <c r="N158" s="12"/>
      <c r="O158" s="242"/>
      <c r="P158" s="243"/>
      <c r="Q158" s="243"/>
      <c r="R158" s="14"/>
      <c r="S158" s="242"/>
      <c r="T158" s="15"/>
      <c r="U158" s="15"/>
      <c r="V158" s="15"/>
      <c r="W158" s="8"/>
      <c r="X158" s="8"/>
      <c r="Y158" s="56"/>
      <c r="Z158" s="56"/>
      <c r="AA158" s="15"/>
      <c r="AB158" s="15"/>
      <c r="AC158" s="15"/>
      <c r="AD158" s="15"/>
      <c r="AE158" s="57"/>
      <c r="AF158" s="57"/>
      <c r="AG158" s="15"/>
      <c r="AH158" s="25"/>
      <c r="AI158" s="26"/>
      <c r="AJ158" s="26"/>
      <c r="AK158" s="27"/>
      <c r="AL158" s="28"/>
      <c r="AM158" s="29"/>
    </row>
    <row r="159" ht="12.75" customHeight="1">
      <c r="A159" s="26"/>
      <c r="B159" s="12"/>
      <c r="C159" s="240"/>
      <c r="D159" s="241"/>
      <c r="E159" s="5"/>
      <c r="F159" s="5"/>
      <c r="G159" s="5"/>
      <c r="H159" s="5"/>
      <c r="I159" s="5"/>
      <c r="J159" s="5"/>
      <c r="K159" s="8"/>
      <c r="L159" s="9"/>
      <c r="M159" s="10"/>
      <c r="N159" s="12"/>
      <c r="O159" s="242"/>
      <c r="P159" s="243"/>
      <c r="Q159" s="243"/>
      <c r="R159" s="14"/>
      <c r="S159" s="242"/>
      <c r="T159" s="15"/>
      <c r="U159" s="15"/>
      <c r="V159" s="15"/>
      <c r="W159" s="8"/>
      <c r="X159" s="8"/>
      <c r="Y159" s="56"/>
      <c r="Z159" s="56"/>
      <c r="AA159" s="15"/>
      <c r="AB159" s="15"/>
      <c r="AC159" s="15"/>
      <c r="AD159" s="15"/>
      <c r="AE159" s="57"/>
      <c r="AF159" s="57"/>
      <c r="AG159" s="15"/>
      <c r="AH159" s="25"/>
      <c r="AI159" s="26"/>
      <c r="AJ159" s="26"/>
      <c r="AK159" s="27"/>
      <c r="AL159" s="28"/>
      <c r="AM159" s="29"/>
    </row>
    <row r="160" ht="12.75" customHeight="1">
      <c r="A160" s="26"/>
      <c r="B160" s="12"/>
      <c r="C160" s="240"/>
      <c r="D160" s="241"/>
      <c r="E160" s="5"/>
      <c r="F160" s="5"/>
      <c r="G160" s="5"/>
      <c r="H160" s="5"/>
      <c r="I160" s="5"/>
      <c r="J160" s="5"/>
      <c r="K160" s="8"/>
      <c r="L160" s="9"/>
      <c r="M160" s="10"/>
      <c r="N160" s="12"/>
      <c r="O160" s="242"/>
      <c r="P160" s="243"/>
      <c r="Q160" s="243"/>
      <c r="R160" s="14"/>
      <c r="S160" s="242"/>
      <c r="T160" s="15"/>
      <c r="U160" s="15"/>
      <c r="V160" s="15"/>
      <c r="W160" s="8"/>
      <c r="X160" s="8"/>
      <c r="Y160" s="56"/>
      <c r="Z160" s="56"/>
      <c r="AA160" s="15"/>
      <c r="AB160" s="15"/>
      <c r="AC160" s="15"/>
      <c r="AD160" s="15"/>
      <c r="AE160" s="57"/>
      <c r="AF160" s="57"/>
      <c r="AG160" s="15"/>
      <c r="AH160" s="25"/>
      <c r="AI160" s="26"/>
      <c r="AJ160" s="26"/>
      <c r="AK160" s="27"/>
      <c r="AL160" s="28"/>
      <c r="AM160" s="29"/>
    </row>
    <row r="161" ht="12.75" customHeight="1">
      <c r="A161" s="26"/>
      <c r="B161" s="12"/>
      <c r="C161" s="240"/>
      <c r="D161" s="241"/>
      <c r="E161" s="5"/>
      <c r="F161" s="5"/>
      <c r="G161" s="5"/>
      <c r="H161" s="5"/>
      <c r="I161" s="5"/>
      <c r="J161" s="5"/>
      <c r="K161" s="8"/>
      <c r="L161" s="9"/>
      <c r="M161" s="10"/>
      <c r="N161" s="12"/>
      <c r="O161" s="242"/>
      <c r="P161" s="243"/>
      <c r="Q161" s="243"/>
      <c r="R161" s="14"/>
      <c r="S161" s="242"/>
      <c r="T161" s="15"/>
      <c r="U161" s="15"/>
      <c r="V161" s="15"/>
      <c r="W161" s="8"/>
      <c r="X161" s="8"/>
      <c r="Y161" s="56"/>
      <c r="Z161" s="56"/>
      <c r="AA161" s="15"/>
      <c r="AB161" s="15"/>
      <c r="AC161" s="15"/>
      <c r="AD161" s="15"/>
      <c r="AE161" s="57"/>
      <c r="AF161" s="57"/>
      <c r="AG161" s="15"/>
      <c r="AH161" s="25"/>
      <c r="AI161" s="26"/>
      <c r="AJ161" s="26"/>
      <c r="AK161" s="27"/>
      <c r="AL161" s="28"/>
      <c r="AM161" s="29"/>
    </row>
    <row r="162" ht="12.75" customHeight="1">
      <c r="A162" s="26"/>
      <c r="B162" s="12"/>
      <c r="C162" s="240"/>
      <c r="D162" s="241"/>
      <c r="E162" s="5"/>
      <c r="F162" s="5"/>
      <c r="G162" s="5"/>
      <c r="H162" s="5"/>
      <c r="I162" s="5"/>
      <c r="J162" s="5"/>
      <c r="K162" s="8"/>
      <c r="L162" s="9"/>
      <c r="M162" s="10"/>
      <c r="N162" s="12"/>
      <c r="O162" s="242"/>
      <c r="P162" s="243"/>
      <c r="Q162" s="243"/>
      <c r="R162" s="14"/>
      <c r="S162" s="242"/>
      <c r="T162" s="15"/>
      <c r="U162" s="15"/>
      <c r="V162" s="15"/>
      <c r="W162" s="8"/>
      <c r="X162" s="8"/>
      <c r="Y162" s="56"/>
      <c r="Z162" s="56"/>
      <c r="AA162" s="15"/>
      <c r="AB162" s="15"/>
      <c r="AC162" s="15"/>
      <c r="AD162" s="15"/>
      <c r="AE162" s="57"/>
      <c r="AF162" s="57"/>
      <c r="AG162" s="15"/>
      <c r="AH162" s="25"/>
      <c r="AI162" s="26"/>
      <c r="AJ162" s="26"/>
      <c r="AK162" s="27"/>
      <c r="AL162" s="28"/>
      <c r="AM162" s="29"/>
    </row>
    <row r="163" ht="12.75" customHeight="1">
      <c r="A163" s="26"/>
      <c r="B163" s="12"/>
      <c r="C163" s="240"/>
      <c r="D163" s="241"/>
      <c r="E163" s="5"/>
      <c r="F163" s="5"/>
      <c r="G163" s="5"/>
      <c r="H163" s="5"/>
      <c r="I163" s="5"/>
      <c r="J163" s="5"/>
      <c r="K163" s="8"/>
      <c r="L163" s="9"/>
      <c r="M163" s="10"/>
      <c r="N163" s="12"/>
      <c r="O163" s="242"/>
      <c r="P163" s="243"/>
      <c r="Q163" s="243"/>
      <c r="R163" s="14"/>
      <c r="S163" s="242"/>
      <c r="T163" s="15"/>
      <c r="U163" s="15"/>
      <c r="V163" s="15"/>
      <c r="W163" s="8"/>
      <c r="X163" s="8"/>
      <c r="Y163" s="56"/>
      <c r="Z163" s="56"/>
      <c r="AA163" s="15"/>
      <c r="AB163" s="15"/>
      <c r="AC163" s="15"/>
      <c r="AD163" s="15"/>
      <c r="AE163" s="57"/>
      <c r="AF163" s="57"/>
      <c r="AG163" s="15"/>
      <c r="AH163" s="25"/>
      <c r="AI163" s="26"/>
      <c r="AJ163" s="26"/>
      <c r="AK163" s="27"/>
      <c r="AL163" s="28"/>
      <c r="AM163" s="29"/>
    </row>
    <row r="164" ht="12.75" customHeight="1">
      <c r="A164" s="26"/>
      <c r="B164" s="12"/>
      <c r="C164" s="240"/>
      <c r="D164" s="241"/>
      <c r="E164" s="5"/>
      <c r="F164" s="5"/>
      <c r="G164" s="5"/>
      <c r="H164" s="5"/>
      <c r="I164" s="5"/>
      <c r="J164" s="5"/>
      <c r="K164" s="8"/>
      <c r="L164" s="9"/>
      <c r="M164" s="10"/>
      <c r="N164" s="12"/>
      <c r="O164" s="242"/>
      <c r="P164" s="243"/>
      <c r="Q164" s="243"/>
      <c r="R164" s="14"/>
      <c r="S164" s="242"/>
      <c r="T164" s="15"/>
      <c r="U164" s="15"/>
      <c r="V164" s="15"/>
      <c r="W164" s="8"/>
      <c r="X164" s="8"/>
      <c r="Y164" s="56"/>
      <c r="Z164" s="56"/>
      <c r="AA164" s="15"/>
      <c r="AB164" s="15"/>
      <c r="AC164" s="15"/>
      <c r="AD164" s="15"/>
      <c r="AE164" s="57"/>
      <c r="AF164" s="57"/>
      <c r="AG164" s="15"/>
      <c r="AH164" s="25"/>
      <c r="AI164" s="26"/>
      <c r="AJ164" s="26"/>
      <c r="AK164" s="27"/>
      <c r="AL164" s="28"/>
      <c r="AM164" s="29"/>
    </row>
    <row r="165" ht="12.75" customHeight="1">
      <c r="A165" s="26"/>
      <c r="B165" s="12"/>
      <c r="C165" s="240"/>
      <c r="D165" s="241"/>
      <c r="E165" s="5"/>
      <c r="F165" s="5"/>
      <c r="G165" s="5"/>
      <c r="H165" s="5"/>
      <c r="I165" s="5"/>
      <c r="J165" s="5"/>
      <c r="K165" s="8"/>
      <c r="L165" s="9"/>
      <c r="M165" s="10"/>
      <c r="N165" s="12"/>
      <c r="O165" s="242"/>
      <c r="P165" s="243"/>
      <c r="Q165" s="243"/>
      <c r="R165" s="14"/>
      <c r="S165" s="242"/>
      <c r="T165" s="15"/>
      <c r="U165" s="15"/>
      <c r="V165" s="15"/>
      <c r="W165" s="8"/>
      <c r="X165" s="8"/>
      <c r="Y165" s="56"/>
      <c r="Z165" s="56"/>
      <c r="AA165" s="15"/>
      <c r="AB165" s="15"/>
      <c r="AC165" s="15"/>
      <c r="AD165" s="15"/>
      <c r="AE165" s="57"/>
      <c r="AF165" s="57"/>
      <c r="AG165" s="15"/>
      <c r="AH165" s="25"/>
      <c r="AI165" s="26"/>
      <c r="AJ165" s="26"/>
      <c r="AK165" s="27"/>
      <c r="AL165" s="28"/>
      <c r="AM165" s="29"/>
    </row>
    <row r="166" ht="12.75" customHeight="1">
      <c r="A166" s="26"/>
      <c r="B166" s="12"/>
      <c r="C166" s="240"/>
      <c r="D166" s="241"/>
      <c r="E166" s="5"/>
      <c r="F166" s="5"/>
      <c r="G166" s="5"/>
      <c r="H166" s="5"/>
      <c r="I166" s="5"/>
      <c r="J166" s="5"/>
      <c r="K166" s="8"/>
      <c r="L166" s="9"/>
      <c r="M166" s="10"/>
      <c r="N166" s="12"/>
      <c r="O166" s="242"/>
      <c r="P166" s="243"/>
      <c r="Q166" s="243"/>
      <c r="R166" s="14"/>
      <c r="S166" s="242"/>
      <c r="T166" s="15"/>
      <c r="U166" s="15"/>
      <c r="V166" s="15"/>
      <c r="W166" s="8"/>
      <c r="X166" s="8"/>
      <c r="Y166" s="56"/>
      <c r="Z166" s="56"/>
      <c r="AA166" s="15"/>
      <c r="AB166" s="15"/>
      <c r="AC166" s="15"/>
      <c r="AD166" s="15"/>
      <c r="AE166" s="57"/>
      <c r="AF166" s="57"/>
      <c r="AG166" s="15"/>
      <c r="AH166" s="25"/>
      <c r="AI166" s="26"/>
      <c r="AJ166" s="26"/>
      <c r="AK166" s="27"/>
      <c r="AL166" s="28"/>
      <c r="AM166" s="29"/>
    </row>
    <row r="167" ht="12.75" customHeight="1">
      <c r="A167" s="26"/>
      <c r="B167" s="12"/>
      <c r="C167" s="240"/>
      <c r="D167" s="241"/>
      <c r="E167" s="5"/>
      <c r="F167" s="5"/>
      <c r="G167" s="5"/>
      <c r="H167" s="5"/>
      <c r="I167" s="5"/>
      <c r="J167" s="5"/>
      <c r="K167" s="8"/>
      <c r="L167" s="9"/>
      <c r="M167" s="10"/>
      <c r="N167" s="12"/>
      <c r="O167" s="242"/>
      <c r="P167" s="243"/>
      <c r="Q167" s="243"/>
      <c r="R167" s="14"/>
      <c r="S167" s="242"/>
      <c r="T167" s="15"/>
      <c r="U167" s="15"/>
      <c r="V167" s="15"/>
      <c r="W167" s="8"/>
      <c r="X167" s="8"/>
      <c r="Y167" s="56"/>
      <c r="Z167" s="56"/>
      <c r="AA167" s="15"/>
      <c r="AB167" s="15"/>
      <c r="AC167" s="15"/>
      <c r="AD167" s="15"/>
      <c r="AE167" s="57"/>
      <c r="AF167" s="57"/>
      <c r="AG167" s="15"/>
      <c r="AH167" s="25"/>
      <c r="AI167" s="26"/>
      <c r="AJ167" s="26"/>
      <c r="AK167" s="27"/>
      <c r="AL167" s="28"/>
      <c r="AM167" s="29"/>
    </row>
    <row r="168" ht="12.75" customHeight="1">
      <c r="A168" s="26"/>
      <c r="B168" s="12"/>
      <c r="C168" s="240"/>
      <c r="D168" s="241"/>
      <c r="E168" s="5"/>
      <c r="F168" s="5"/>
      <c r="G168" s="5"/>
      <c r="H168" s="5"/>
      <c r="I168" s="5"/>
      <c r="J168" s="5"/>
      <c r="K168" s="8"/>
      <c r="L168" s="9"/>
      <c r="M168" s="10"/>
      <c r="N168" s="12"/>
      <c r="O168" s="242"/>
      <c r="P168" s="243"/>
      <c r="Q168" s="243"/>
      <c r="R168" s="14"/>
      <c r="S168" s="242"/>
      <c r="T168" s="15"/>
      <c r="U168" s="15"/>
      <c r="V168" s="15"/>
      <c r="W168" s="8"/>
      <c r="X168" s="8"/>
      <c r="Y168" s="56"/>
      <c r="Z168" s="56"/>
      <c r="AA168" s="15"/>
      <c r="AB168" s="15"/>
      <c r="AC168" s="15"/>
      <c r="AD168" s="15"/>
      <c r="AE168" s="57"/>
      <c r="AF168" s="57"/>
      <c r="AG168" s="15"/>
      <c r="AH168" s="25"/>
      <c r="AI168" s="26"/>
      <c r="AJ168" s="26"/>
      <c r="AK168" s="27"/>
      <c r="AL168" s="28"/>
      <c r="AM168" s="29"/>
    </row>
    <row r="169" ht="12.75" customHeight="1">
      <c r="A169" s="26"/>
      <c r="B169" s="12"/>
      <c r="C169" s="240"/>
      <c r="D169" s="241"/>
      <c r="E169" s="5"/>
      <c r="F169" s="5"/>
      <c r="G169" s="5"/>
      <c r="H169" s="5"/>
      <c r="I169" s="5"/>
      <c r="J169" s="5"/>
      <c r="K169" s="8"/>
      <c r="L169" s="9"/>
      <c r="M169" s="10"/>
      <c r="N169" s="12"/>
      <c r="O169" s="242"/>
      <c r="P169" s="243"/>
      <c r="Q169" s="243"/>
      <c r="R169" s="14"/>
      <c r="S169" s="242"/>
      <c r="T169" s="15"/>
      <c r="U169" s="15"/>
      <c r="V169" s="15"/>
      <c r="W169" s="8"/>
      <c r="X169" s="8"/>
      <c r="Y169" s="56"/>
      <c r="Z169" s="56"/>
      <c r="AA169" s="15"/>
      <c r="AB169" s="15"/>
      <c r="AC169" s="15"/>
      <c r="AD169" s="15"/>
      <c r="AE169" s="57"/>
      <c r="AF169" s="57"/>
      <c r="AG169" s="15"/>
      <c r="AH169" s="25"/>
      <c r="AI169" s="26"/>
      <c r="AJ169" s="26"/>
      <c r="AK169" s="27"/>
      <c r="AL169" s="28"/>
      <c r="AM169" s="29"/>
    </row>
    <row r="170" ht="12.75" customHeight="1">
      <c r="A170" s="26"/>
      <c r="B170" s="12"/>
      <c r="C170" s="240"/>
      <c r="D170" s="241"/>
      <c r="E170" s="5"/>
      <c r="F170" s="5"/>
      <c r="G170" s="5"/>
      <c r="H170" s="5"/>
      <c r="I170" s="5"/>
      <c r="J170" s="5"/>
      <c r="K170" s="8"/>
      <c r="L170" s="9"/>
      <c r="M170" s="10"/>
      <c r="N170" s="12"/>
      <c r="O170" s="242"/>
      <c r="P170" s="243"/>
      <c r="Q170" s="243"/>
      <c r="R170" s="14"/>
      <c r="S170" s="242"/>
      <c r="T170" s="15"/>
      <c r="U170" s="15"/>
      <c r="V170" s="15"/>
      <c r="W170" s="8"/>
      <c r="X170" s="8"/>
      <c r="Y170" s="56"/>
      <c r="Z170" s="56"/>
      <c r="AA170" s="15"/>
      <c r="AB170" s="15"/>
      <c r="AC170" s="15"/>
      <c r="AD170" s="15"/>
      <c r="AE170" s="57"/>
      <c r="AF170" s="57"/>
      <c r="AG170" s="15"/>
      <c r="AH170" s="25"/>
      <c r="AI170" s="26"/>
      <c r="AJ170" s="26"/>
      <c r="AK170" s="27"/>
      <c r="AL170" s="28"/>
      <c r="AM170" s="29"/>
    </row>
    <row r="171" ht="12.75" customHeight="1">
      <c r="A171" s="26"/>
      <c r="B171" s="12"/>
      <c r="C171" s="240"/>
      <c r="D171" s="241"/>
      <c r="E171" s="5"/>
      <c r="F171" s="5"/>
      <c r="G171" s="5"/>
      <c r="H171" s="5"/>
      <c r="I171" s="5"/>
      <c r="J171" s="5"/>
      <c r="K171" s="8"/>
      <c r="L171" s="9"/>
      <c r="M171" s="10"/>
      <c r="N171" s="12"/>
      <c r="O171" s="242"/>
      <c r="P171" s="243"/>
      <c r="Q171" s="243"/>
      <c r="R171" s="14"/>
      <c r="S171" s="242"/>
      <c r="T171" s="15"/>
      <c r="U171" s="15"/>
      <c r="V171" s="15"/>
      <c r="W171" s="8"/>
      <c r="X171" s="8"/>
      <c r="Y171" s="56"/>
      <c r="Z171" s="56"/>
      <c r="AA171" s="15"/>
      <c r="AB171" s="15"/>
      <c r="AC171" s="15"/>
      <c r="AD171" s="15"/>
      <c r="AE171" s="57"/>
      <c r="AF171" s="57"/>
      <c r="AG171" s="15"/>
      <c r="AH171" s="25"/>
      <c r="AI171" s="26"/>
      <c r="AJ171" s="26"/>
      <c r="AK171" s="27"/>
      <c r="AL171" s="28"/>
      <c r="AM171" s="29"/>
    </row>
    <row r="172" ht="12.75" customHeight="1">
      <c r="A172" s="26"/>
      <c r="B172" s="12"/>
      <c r="C172" s="240"/>
      <c r="D172" s="241"/>
      <c r="E172" s="5"/>
      <c r="F172" s="5"/>
      <c r="G172" s="5"/>
      <c r="H172" s="5"/>
      <c r="I172" s="5"/>
      <c r="J172" s="5"/>
      <c r="K172" s="8"/>
      <c r="L172" s="9"/>
      <c r="M172" s="10"/>
      <c r="N172" s="12"/>
      <c r="O172" s="242"/>
      <c r="P172" s="243"/>
      <c r="Q172" s="243"/>
      <c r="R172" s="14"/>
      <c r="S172" s="242"/>
      <c r="T172" s="15"/>
      <c r="U172" s="15"/>
      <c r="V172" s="15"/>
      <c r="W172" s="8"/>
      <c r="X172" s="8"/>
      <c r="Y172" s="56"/>
      <c r="Z172" s="56"/>
      <c r="AA172" s="15"/>
      <c r="AB172" s="15"/>
      <c r="AC172" s="15"/>
      <c r="AD172" s="15"/>
      <c r="AE172" s="57"/>
      <c r="AF172" s="57"/>
      <c r="AG172" s="15"/>
      <c r="AH172" s="25"/>
      <c r="AI172" s="26"/>
      <c r="AJ172" s="26"/>
      <c r="AK172" s="27"/>
      <c r="AL172" s="28"/>
      <c r="AM172" s="29"/>
    </row>
    <row r="173" ht="12.75" customHeight="1">
      <c r="A173" s="26"/>
      <c r="B173" s="12"/>
      <c r="C173" s="240"/>
      <c r="D173" s="241"/>
      <c r="E173" s="5"/>
      <c r="F173" s="5"/>
      <c r="G173" s="5"/>
      <c r="H173" s="5"/>
      <c r="I173" s="5"/>
      <c r="J173" s="5"/>
      <c r="K173" s="8"/>
      <c r="L173" s="9"/>
      <c r="M173" s="10"/>
      <c r="N173" s="12"/>
      <c r="O173" s="242"/>
      <c r="P173" s="243"/>
      <c r="Q173" s="243"/>
      <c r="R173" s="14"/>
      <c r="S173" s="242"/>
      <c r="T173" s="15"/>
      <c r="U173" s="15"/>
      <c r="V173" s="15"/>
      <c r="W173" s="8"/>
      <c r="X173" s="8"/>
      <c r="Y173" s="56"/>
      <c r="Z173" s="56"/>
      <c r="AA173" s="15"/>
      <c r="AB173" s="15"/>
      <c r="AC173" s="15"/>
      <c r="AD173" s="15"/>
      <c r="AE173" s="57"/>
      <c r="AF173" s="57"/>
      <c r="AG173" s="15"/>
      <c r="AH173" s="25"/>
      <c r="AI173" s="26"/>
      <c r="AJ173" s="26"/>
      <c r="AK173" s="27"/>
      <c r="AL173" s="28"/>
      <c r="AM173" s="29"/>
    </row>
    <row r="174" ht="12.75" customHeight="1">
      <c r="A174" s="26"/>
      <c r="B174" s="12"/>
      <c r="C174" s="240"/>
      <c r="D174" s="241"/>
      <c r="E174" s="5"/>
      <c r="F174" s="5"/>
      <c r="G174" s="5"/>
      <c r="H174" s="5"/>
      <c r="I174" s="5"/>
      <c r="J174" s="5"/>
      <c r="K174" s="8"/>
      <c r="L174" s="9"/>
      <c r="M174" s="10"/>
      <c r="N174" s="12"/>
      <c r="O174" s="242"/>
      <c r="P174" s="243"/>
      <c r="Q174" s="243"/>
      <c r="R174" s="14"/>
      <c r="S174" s="242"/>
      <c r="T174" s="15"/>
      <c r="U174" s="15"/>
      <c r="V174" s="15"/>
      <c r="W174" s="8"/>
      <c r="X174" s="8"/>
      <c r="Y174" s="56"/>
      <c r="Z174" s="56"/>
      <c r="AA174" s="15"/>
      <c r="AB174" s="15"/>
      <c r="AC174" s="15"/>
      <c r="AD174" s="15"/>
      <c r="AE174" s="57"/>
      <c r="AF174" s="57"/>
      <c r="AG174" s="15"/>
      <c r="AH174" s="25"/>
      <c r="AI174" s="26"/>
      <c r="AJ174" s="26"/>
      <c r="AK174" s="27"/>
      <c r="AL174" s="28"/>
      <c r="AM174" s="29"/>
    </row>
    <row r="175" ht="12.75" customHeight="1">
      <c r="A175" s="26"/>
      <c r="B175" s="12"/>
      <c r="C175" s="240"/>
      <c r="D175" s="241"/>
      <c r="E175" s="5"/>
      <c r="F175" s="5"/>
      <c r="G175" s="5"/>
      <c r="H175" s="5"/>
      <c r="I175" s="5"/>
      <c r="J175" s="5"/>
      <c r="K175" s="8"/>
      <c r="L175" s="9"/>
      <c r="M175" s="10"/>
      <c r="N175" s="12"/>
      <c r="O175" s="242"/>
      <c r="P175" s="243"/>
      <c r="Q175" s="243"/>
      <c r="R175" s="14"/>
      <c r="S175" s="242"/>
      <c r="T175" s="15"/>
      <c r="U175" s="15"/>
      <c r="V175" s="15"/>
      <c r="W175" s="8"/>
      <c r="X175" s="8"/>
      <c r="Y175" s="56"/>
      <c r="Z175" s="56"/>
      <c r="AA175" s="15"/>
      <c r="AB175" s="15"/>
      <c r="AC175" s="15"/>
      <c r="AD175" s="15"/>
      <c r="AE175" s="57"/>
      <c r="AF175" s="57"/>
      <c r="AG175" s="15"/>
      <c r="AH175" s="25"/>
      <c r="AI175" s="26"/>
      <c r="AJ175" s="26"/>
      <c r="AK175" s="27"/>
      <c r="AL175" s="28"/>
      <c r="AM175" s="29"/>
    </row>
    <row r="176" ht="12.75" customHeight="1">
      <c r="A176" s="26"/>
      <c r="B176" s="12"/>
      <c r="C176" s="240"/>
      <c r="D176" s="241"/>
      <c r="E176" s="5"/>
      <c r="F176" s="5"/>
      <c r="G176" s="5"/>
      <c r="H176" s="5"/>
      <c r="I176" s="5"/>
      <c r="J176" s="5"/>
      <c r="K176" s="8"/>
      <c r="L176" s="9"/>
      <c r="M176" s="10"/>
      <c r="N176" s="12"/>
      <c r="O176" s="242"/>
      <c r="P176" s="243"/>
      <c r="Q176" s="243"/>
      <c r="R176" s="14"/>
      <c r="S176" s="242"/>
      <c r="T176" s="15"/>
      <c r="U176" s="15"/>
      <c r="V176" s="15"/>
      <c r="W176" s="8"/>
      <c r="X176" s="8"/>
      <c r="Y176" s="56"/>
      <c r="Z176" s="56"/>
      <c r="AA176" s="15"/>
      <c r="AB176" s="15"/>
      <c r="AC176" s="15"/>
      <c r="AD176" s="15"/>
      <c r="AE176" s="57"/>
      <c r="AF176" s="57"/>
      <c r="AG176" s="15"/>
      <c r="AH176" s="25"/>
      <c r="AI176" s="26"/>
      <c r="AJ176" s="26"/>
      <c r="AK176" s="27"/>
      <c r="AL176" s="28"/>
      <c r="AM176" s="29"/>
    </row>
    <row r="177" ht="12.75" customHeight="1">
      <c r="A177" s="26"/>
      <c r="B177" s="12"/>
      <c r="C177" s="240"/>
      <c r="D177" s="241"/>
      <c r="E177" s="5"/>
      <c r="F177" s="5"/>
      <c r="G177" s="5"/>
      <c r="H177" s="5"/>
      <c r="I177" s="5"/>
      <c r="J177" s="5"/>
      <c r="K177" s="8"/>
      <c r="L177" s="9"/>
      <c r="M177" s="10"/>
      <c r="N177" s="12"/>
      <c r="O177" s="242"/>
      <c r="P177" s="243"/>
      <c r="Q177" s="243"/>
      <c r="R177" s="14"/>
      <c r="S177" s="242"/>
      <c r="T177" s="15"/>
      <c r="U177" s="15"/>
      <c r="V177" s="15"/>
      <c r="W177" s="8"/>
      <c r="X177" s="8"/>
      <c r="Y177" s="56"/>
      <c r="Z177" s="56"/>
      <c r="AA177" s="15"/>
      <c r="AB177" s="15"/>
      <c r="AC177" s="15"/>
      <c r="AD177" s="15"/>
      <c r="AE177" s="57"/>
      <c r="AF177" s="57"/>
      <c r="AG177" s="15"/>
      <c r="AH177" s="25"/>
      <c r="AI177" s="26"/>
      <c r="AJ177" s="26"/>
      <c r="AK177" s="27"/>
      <c r="AL177" s="28"/>
      <c r="AM177" s="29"/>
    </row>
    <row r="178" ht="12.75" customHeight="1">
      <c r="A178" s="26"/>
      <c r="B178" s="12"/>
      <c r="C178" s="240"/>
      <c r="D178" s="241"/>
      <c r="E178" s="5"/>
      <c r="F178" s="5"/>
      <c r="G178" s="5"/>
      <c r="H178" s="5"/>
      <c r="I178" s="5"/>
      <c r="J178" s="5"/>
      <c r="K178" s="8"/>
      <c r="L178" s="9"/>
      <c r="M178" s="10"/>
      <c r="N178" s="12"/>
      <c r="O178" s="242"/>
      <c r="P178" s="243"/>
      <c r="Q178" s="243"/>
      <c r="R178" s="14"/>
      <c r="S178" s="242"/>
      <c r="T178" s="15"/>
      <c r="U178" s="15"/>
      <c r="V178" s="15"/>
      <c r="W178" s="8"/>
      <c r="X178" s="8"/>
      <c r="Y178" s="56"/>
      <c r="Z178" s="56"/>
      <c r="AA178" s="15"/>
      <c r="AB178" s="15"/>
      <c r="AC178" s="15"/>
      <c r="AD178" s="15"/>
      <c r="AE178" s="57"/>
      <c r="AF178" s="57"/>
      <c r="AG178" s="15"/>
      <c r="AH178" s="25"/>
      <c r="AI178" s="26"/>
      <c r="AJ178" s="26"/>
      <c r="AK178" s="27"/>
      <c r="AL178" s="28"/>
      <c r="AM178" s="29"/>
    </row>
    <row r="179" ht="12.75" customHeight="1">
      <c r="A179" s="26"/>
      <c r="B179" s="12"/>
      <c r="C179" s="240"/>
      <c r="D179" s="241"/>
      <c r="E179" s="5"/>
      <c r="F179" s="5"/>
      <c r="G179" s="5"/>
      <c r="H179" s="5"/>
      <c r="I179" s="5"/>
      <c r="J179" s="5"/>
      <c r="K179" s="8"/>
      <c r="L179" s="9"/>
      <c r="M179" s="10"/>
      <c r="N179" s="12"/>
      <c r="O179" s="242"/>
      <c r="P179" s="243"/>
      <c r="Q179" s="243"/>
      <c r="R179" s="14"/>
      <c r="S179" s="242"/>
      <c r="T179" s="15"/>
      <c r="U179" s="15"/>
      <c r="V179" s="15"/>
      <c r="W179" s="8"/>
      <c r="X179" s="8"/>
      <c r="Y179" s="56"/>
      <c r="Z179" s="56"/>
      <c r="AA179" s="15"/>
      <c r="AB179" s="15"/>
      <c r="AC179" s="15"/>
      <c r="AD179" s="15"/>
      <c r="AE179" s="57"/>
      <c r="AF179" s="57"/>
      <c r="AG179" s="15"/>
      <c r="AH179" s="25"/>
      <c r="AI179" s="26"/>
      <c r="AJ179" s="26"/>
      <c r="AK179" s="27"/>
      <c r="AL179" s="28"/>
      <c r="AM179" s="29"/>
    </row>
    <row r="180" ht="12.75" customHeight="1">
      <c r="A180" s="26"/>
      <c r="B180" s="12"/>
      <c r="C180" s="240"/>
      <c r="D180" s="241"/>
      <c r="E180" s="5"/>
      <c r="F180" s="5"/>
      <c r="G180" s="5"/>
      <c r="H180" s="5"/>
      <c r="I180" s="5"/>
      <c r="J180" s="5"/>
      <c r="K180" s="8"/>
      <c r="L180" s="9"/>
      <c r="M180" s="10"/>
      <c r="N180" s="12"/>
      <c r="O180" s="242"/>
      <c r="P180" s="243"/>
      <c r="Q180" s="243"/>
      <c r="R180" s="14"/>
      <c r="S180" s="242"/>
      <c r="T180" s="15"/>
      <c r="U180" s="15"/>
      <c r="V180" s="15"/>
      <c r="W180" s="8"/>
      <c r="X180" s="8"/>
      <c r="Y180" s="56"/>
      <c r="Z180" s="56"/>
      <c r="AA180" s="15"/>
      <c r="AB180" s="15"/>
      <c r="AC180" s="15"/>
      <c r="AD180" s="15"/>
      <c r="AE180" s="57"/>
      <c r="AF180" s="57"/>
      <c r="AG180" s="15"/>
      <c r="AH180" s="25"/>
      <c r="AI180" s="26"/>
      <c r="AJ180" s="26"/>
      <c r="AK180" s="27"/>
      <c r="AL180" s="28"/>
      <c r="AM180" s="29"/>
    </row>
    <row r="181" ht="12.75" customHeight="1">
      <c r="A181" s="26"/>
      <c r="B181" s="12"/>
      <c r="C181" s="240"/>
      <c r="D181" s="241"/>
      <c r="E181" s="5"/>
      <c r="F181" s="5"/>
      <c r="G181" s="5"/>
      <c r="H181" s="5"/>
      <c r="I181" s="5"/>
      <c r="J181" s="5"/>
      <c r="K181" s="8"/>
      <c r="L181" s="9"/>
      <c r="M181" s="10"/>
      <c r="N181" s="12"/>
      <c r="O181" s="242"/>
      <c r="P181" s="243"/>
      <c r="Q181" s="243"/>
      <c r="R181" s="14"/>
      <c r="S181" s="242"/>
      <c r="T181" s="15"/>
      <c r="U181" s="15"/>
      <c r="V181" s="15"/>
      <c r="W181" s="8"/>
      <c r="X181" s="8"/>
      <c r="Y181" s="56"/>
      <c r="Z181" s="56"/>
      <c r="AA181" s="15"/>
      <c r="AB181" s="15"/>
      <c r="AC181" s="15"/>
      <c r="AD181" s="15"/>
      <c r="AE181" s="57"/>
      <c r="AF181" s="57"/>
      <c r="AG181" s="15"/>
      <c r="AH181" s="25"/>
      <c r="AI181" s="26"/>
      <c r="AJ181" s="26"/>
      <c r="AK181" s="27"/>
      <c r="AL181" s="28"/>
      <c r="AM181" s="29"/>
    </row>
    <row r="182" ht="12.75" customHeight="1">
      <c r="A182" s="26"/>
      <c r="B182" s="12"/>
      <c r="C182" s="240"/>
      <c r="D182" s="241"/>
      <c r="E182" s="5"/>
      <c r="F182" s="5"/>
      <c r="G182" s="5"/>
      <c r="H182" s="5"/>
      <c r="I182" s="5"/>
      <c r="J182" s="5"/>
      <c r="K182" s="8"/>
      <c r="L182" s="9"/>
      <c r="M182" s="10"/>
      <c r="N182" s="12"/>
      <c r="O182" s="242"/>
      <c r="P182" s="243"/>
      <c r="Q182" s="243"/>
      <c r="R182" s="14"/>
      <c r="S182" s="242"/>
      <c r="T182" s="15"/>
      <c r="U182" s="15"/>
      <c r="V182" s="15"/>
      <c r="W182" s="8"/>
      <c r="X182" s="8"/>
      <c r="Y182" s="56"/>
      <c r="Z182" s="56"/>
      <c r="AA182" s="15"/>
      <c r="AB182" s="15"/>
      <c r="AC182" s="15"/>
      <c r="AD182" s="15"/>
      <c r="AE182" s="57"/>
      <c r="AF182" s="57"/>
      <c r="AG182" s="15"/>
      <c r="AH182" s="25"/>
      <c r="AI182" s="26"/>
      <c r="AJ182" s="26"/>
      <c r="AK182" s="27"/>
      <c r="AL182" s="28"/>
      <c r="AM182" s="29"/>
    </row>
    <row r="183" ht="12.75" customHeight="1">
      <c r="A183" s="26"/>
      <c r="B183" s="12"/>
      <c r="C183" s="240"/>
      <c r="D183" s="241"/>
      <c r="E183" s="5"/>
      <c r="F183" s="5"/>
      <c r="G183" s="5"/>
      <c r="H183" s="5"/>
      <c r="I183" s="5"/>
      <c r="J183" s="5"/>
      <c r="K183" s="8"/>
      <c r="L183" s="9"/>
      <c r="M183" s="10"/>
      <c r="N183" s="12"/>
      <c r="O183" s="242"/>
      <c r="P183" s="243"/>
      <c r="Q183" s="243"/>
      <c r="R183" s="14"/>
      <c r="S183" s="242"/>
      <c r="T183" s="15"/>
      <c r="U183" s="15"/>
      <c r="V183" s="15"/>
      <c r="W183" s="8"/>
      <c r="X183" s="8"/>
      <c r="Y183" s="56"/>
      <c r="Z183" s="56"/>
      <c r="AA183" s="15"/>
      <c r="AB183" s="15"/>
      <c r="AC183" s="15"/>
      <c r="AD183" s="15"/>
      <c r="AE183" s="57"/>
      <c r="AF183" s="57"/>
      <c r="AG183" s="15"/>
      <c r="AH183" s="25"/>
      <c r="AI183" s="26"/>
      <c r="AJ183" s="26"/>
      <c r="AK183" s="27"/>
      <c r="AL183" s="28"/>
      <c r="AM183" s="29"/>
    </row>
    <row r="184" ht="12.75" customHeight="1">
      <c r="A184" s="26"/>
      <c r="B184" s="12"/>
      <c r="C184" s="240"/>
      <c r="D184" s="241"/>
      <c r="E184" s="5"/>
      <c r="F184" s="5"/>
      <c r="G184" s="5"/>
      <c r="H184" s="5"/>
      <c r="I184" s="5"/>
      <c r="J184" s="5"/>
      <c r="K184" s="8"/>
      <c r="L184" s="9"/>
      <c r="M184" s="10"/>
      <c r="N184" s="12"/>
      <c r="O184" s="242"/>
      <c r="P184" s="243"/>
      <c r="Q184" s="243"/>
      <c r="R184" s="14"/>
      <c r="S184" s="242"/>
      <c r="T184" s="15"/>
      <c r="U184" s="15"/>
      <c r="V184" s="15"/>
      <c r="W184" s="8"/>
      <c r="X184" s="8"/>
      <c r="Y184" s="56"/>
      <c r="Z184" s="56"/>
      <c r="AA184" s="15"/>
      <c r="AB184" s="15"/>
      <c r="AC184" s="15"/>
      <c r="AD184" s="15"/>
      <c r="AE184" s="57"/>
      <c r="AF184" s="57"/>
      <c r="AG184" s="15"/>
      <c r="AH184" s="25"/>
      <c r="AI184" s="26"/>
      <c r="AJ184" s="26"/>
      <c r="AK184" s="27"/>
      <c r="AL184" s="28"/>
      <c r="AM184" s="29"/>
    </row>
    <row r="185" ht="12.75" customHeight="1">
      <c r="A185" s="26"/>
      <c r="B185" s="12"/>
      <c r="C185" s="240"/>
      <c r="D185" s="241"/>
      <c r="E185" s="5"/>
      <c r="F185" s="5"/>
      <c r="G185" s="5"/>
      <c r="H185" s="5"/>
      <c r="I185" s="5"/>
      <c r="J185" s="5"/>
      <c r="K185" s="8"/>
      <c r="L185" s="9"/>
      <c r="M185" s="10"/>
      <c r="N185" s="12"/>
      <c r="O185" s="242"/>
      <c r="P185" s="243"/>
      <c r="Q185" s="243"/>
      <c r="R185" s="14"/>
      <c r="S185" s="242"/>
      <c r="T185" s="15"/>
      <c r="U185" s="15"/>
      <c r="V185" s="15"/>
      <c r="W185" s="8"/>
      <c r="X185" s="8"/>
      <c r="Y185" s="56"/>
      <c r="Z185" s="56"/>
      <c r="AA185" s="15"/>
      <c r="AB185" s="15"/>
      <c r="AC185" s="15"/>
      <c r="AD185" s="15"/>
      <c r="AE185" s="57"/>
      <c r="AF185" s="57"/>
      <c r="AG185" s="15"/>
      <c r="AH185" s="25"/>
      <c r="AI185" s="26"/>
      <c r="AJ185" s="26"/>
      <c r="AK185" s="27"/>
      <c r="AL185" s="28"/>
      <c r="AM185" s="29"/>
    </row>
    <row r="186" ht="12.75" customHeight="1">
      <c r="A186" s="26"/>
      <c r="B186" s="12"/>
      <c r="C186" s="240"/>
      <c r="D186" s="241"/>
      <c r="E186" s="5"/>
      <c r="F186" s="5"/>
      <c r="G186" s="5"/>
      <c r="H186" s="5"/>
      <c r="I186" s="5"/>
      <c r="J186" s="5"/>
      <c r="K186" s="8"/>
      <c r="L186" s="9"/>
      <c r="M186" s="10"/>
      <c r="N186" s="12"/>
      <c r="O186" s="242"/>
      <c r="P186" s="243"/>
      <c r="Q186" s="243"/>
      <c r="R186" s="14"/>
      <c r="S186" s="242"/>
      <c r="T186" s="15"/>
      <c r="U186" s="15"/>
      <c r="V186" s="15"/>
      <c r="W186" s="8"/>
      <c r="X186" s="8"/>
      <c r="Y186" s="56"/>
      <c r="Z186" s="56"/>
      <c r="AA186" s="15"/>
      <c r="AB186" s="15"/>
      <c r="AC186" s="15"/>
      <c r="AD186" s="15"/>
      <c r="AE186" s="57"/>
      <c r="AF186" s="57"/>
      <c r="AG186" s="15"/>
      <c r="AH186" s="25"/>
      <c r="AI186" s="26"/>
      <c r="AJ186" s="26"/>
      <c r="AK186" s="27"/>
      <c r="AL186" s="28"/>
      <c r="AM186" s="29"/>
    </row>
    <row r="187" ht="12.75" customHeight="1">
      <c r="A187" s="26"/>
      <c r="B187" s="12"/>
      <c r="C187" s="240"/>
      <c r="D187" s="241"/>
      <c r="E187" s="5"/>
      <c r="F187" s="5"/>
      <c r="G187" s="5"/>
      <c r="H187" s="5"/>
      <c r="I187" s="5"/>
      <c r="J187" s="5"/>
      <c r="K187" s="8"/>
      <c r="L187" s="9"/>
      <c r="M187" s="10"/>
      <c r="N187" s="12"/>
      <c r="O187" s="242"/>
      <c r="P187" s="243"/>
      <c r="Q187" s="243"/>
      <c r="R187" s="14"/>
      <c r="S187" s="242"/>
      <c r="T187" s="15"/>
      <c r="U187" s="15"/>
      <c r="V187" s="15"/>
      <c r="W187" s="8"/>
      <c r="X187" s="8"/>
      <c r="Y187" s="56"/>
      <c r="Z187" s="56"/>
      <c r="AA187" s="15"/>
      <c r="AB187" s="15"/>
      <c r="AC187" s="15"/>
      <c r="AD187" s="15"/>
      <c r="AE187" s="57"/>
      <c r="AF187" s="57"/>
      <c r="AG187" s="15"/>
      <c r="AH187" s="25"/>
      <c r="AI187" s="26"/>
      <c r="AJ187" s="26"/>
      <c r="AK187" s="27"/>
      <c r="AL187" s="28"/>
      <c r="AM187" s="29"/>
    </row>
    <row r="188" ht="12.75" customHeight="1">
      <c r="A188" s="26"/>
      <c r="B188" s="12"/>
      <c r="C188" s="240"/>
      <c r="D188" s="241"/>
      <c r="E188" s="5"/>
      <c r="F188" s="5"/>
      <c r="G188" s="5"/>
      <c r="H188" s="5"/>
      <c r="I188" s="5"/>
      <c r="J188" s="5"/>
      <c r="K188" s="8"/>
      <c r="L188" s="9"/>
      <c r="M188" s="10"/>
      <c r="N188" s="12"/>
      <c r="O188" s="242"/>
      <c r="P188" s="243"/>
      <c r="Q188" s="243"/>
      <c r="R188" s="14"/>
      <c r="S188" s="242"/>
      <c r="T188" s="15"/>
      <c r="U188" s="15"/>
      <c r="V188" s="15"/>
      <c r="W188" s="8"/>
      <c r="X188" s="8"/>
      <c r="Y188" s="56"/>
      <c r="Z188" s="56"/>
      <c r="AA188" s="15"/>
      <c r="AB188" s="15"/>
      <c r="AC188" s="15"/>
      <c r="AD188" s="15"/>
      <c r="AE188" s="57"/>
      <c r="AF188" s="57"/>
      <c r="AG188" s="15"/>
      <c r="AH188" s="25"/>
      <c r="AI188" s="26"/>
      <c r="AJ188" s="26"/>
      <c r="AK188" s="27"/>
      <c r="AL188" s="28"/>
      <c r="AM188" s="29"/>
    </row>
    <row r="189" ht="12.75" customHeight="1">
      <c r="A189" s="26"/>
      <c r="B189" s="12"/>
      <c r="C189" s="240"/>
      <c r="D189" s="241"/>
      <c r="E189" s="5"/>
      <c r="F189" s="5"/>
      <c r="G189" s="5"/>
      <c r="H189" s="5"/>
      <c r="I189" s="5"/>
      <c r="J189" s="5"/>
      <c r="K189" s="8"/>
      <c r="L189" s="9"/>
      <c r="M189" s="10"/>
      <c r="N189" s="12"/>
      <c r="O189" s="242"/>
      <c r="P189" s="243"/>
      <c r="Q189" s="243"/>
      <c r="R189" s="14"/>
      <c r="S189" s="242"/>
      <c r="T189" s="15"/>
      <c r="U189" s="15"/>
      <c r="V189" s="15"/>
      <c r="W189" s="8"/>
      <c r="X189" s="8"/>
      <c r="Y189" s="56"/>
      <c r="Z189" s="56"/>
      <c r="AA189" s="15"/>
      <c r="AB189" s="15"/>
      <c r="AC189" s="15"/>
      <c r="AD189" s="15"/>
      <c r="AE189" s="57"/>
      <c r="AF189" s="57"/>
      <c r="AG189" s="15"/>
      <c r="AH189" s="25"/>
      <c r="AI189" s="26"/>
      <c r="AJ189" s="26"/>
      <c r="AK189" s="27"/>
      <c r="AL189" s="28"/>
      <c r="AM189" s="29"/>
    </row>
    <row r="190" ht="12.75" customHeight="1">
      <c r="A190" s="26"/>
      <c r="B190" s="12"/>
      <c r="C190" s="240"/>
      <c r="D190" s="241"/>
      <c r="E190" s="5"/>
      <c r="F190" s="5"/>
      <c r="G190" s="5"/>
      <c r="H190" s="5"/>
      <c r="I190" s="5"/>
      <c r="J190" s="5"/>
      <c r="K190" s="8"/>
      <c r="L190" s="9"/>
      <c r="M190" s="10"/>
      <c r="N190" s="12"/>
      <c r="O190" s="242"/>
      <c r="P190" s="243"/>
      <c r="Q190" s="243"/>
      <c r="R190" s="14"/>
      <c r="S190" s="242"/>
      <c r="T190" s="15"/>
      <c r="U190" s="15"/>
      <c r="V190" s="15"/>
      <c r="W190" s="8"/>
      <c r="X190" s="8"/>
      <c r="Y190" s="56"/>
      <c r="Z190" s="56"/>
      <c r="AA190" s="15"/>
      <c r="AB190" s="15"/>
      <c r="AC190" s="15"/>
      <c r="AD190" s="15"/>
      <c r="AE190" s="57"/>
      <c r="AF190" s="57"/>
      <c r="AG190" s="15"/>
      <c r="AH190" s="25"/>
      <c r="AI190" s="26"/>
      <c r="AJ190" s="26"/>
      <c r="AK190" s="27"/>
      <c r="AL190" s="28"/>
      <c r="AM190" s="29"/>
    </row>
    <row r="191" ht="12.75" customHeight="1">
      <c r="A191" s="26"/>
      <c r="B191" s="12"/>
      <c r="C191" s="240"/>
      <c r="D191" s="241"/>
      <c r="E191" s="5"/>
      <c r="F191" s="5"/>
      <c r="G191" s="5"/>
      <c r="H191" s="5"/>
      <c r="I191" s="5"/>
      <c r="J191" s="5"/>
      <c r="K191" s="8"/>
      <c r="L191" s="9"/>
      <c r="M191" s="10"/>
      <c r="N191" s="12"/>
      <c r="O191" s="242"/>
      <c r="P191" s="243"/>
      <c r="Q191" s="243"/>
      <c r="R191" s="14"/>
      <c r="S191" s="242"/>
      <c r="T191" s="15"/>
      <c r="U191" s="15"/>
      <c r="V191" s="15"/>
      <c r="W191" s="8"/>
      <c r="X191" s="8"/>
      <c r="Y191" s="56"/>
      <c r="Z191" s="56"/>
      <c r="AA191" s="15"/>
      <c r="AB191" s="15"/>
      <c r="AC191" s="15"/>
      <c r="AD191" s="15"/>
      <c r="AE191" s="57"/>
      <c r="AF191" s="57"/>
      <c r="AG191" s="15"/>
      <c r="AH191" s="25"/>
      <c r="AI191" s="26"/>
      <c r="AJ191" s="26"/>
      <c r="AK191" s="27"/>
      <c r="AL191" s="28"/>
      <c r="AM191" s="29"/>
    </row>
    <row r="192" ht="12.75" customHeight="1">
      <c r="A192" s="26"/>
      <c r="B192" s="12"/>
      <c r="C192" s="240"/>
      <c r="D192" s="241"/>
      <c r="E192" s="5"/>
      <c r="F192" s="5"/>
      <c r="G192" s="5"/>
      <c r="H192" s="5"/>
      <c r="I192" s="5"/>
      <c r="J192" s="5"/>
      <c r="K192" s="8"/>
      <c r="L192" s="9"/>
      <c r="M192" s="10"/>
      <c r="N192" s="12"/>
      <c r="O192" s="242"/>
      <c r="P192" s="243"/>
      <c r="Q192" s="243"/>
      <c r="R192" s="14"/>
      <c r="S192" s="242"/>
      <c r="T192" s="15"/>
      <c r="U192" s="15"/>
      <c r="V192" s="15"/>
      <c r="W192" s="8"/>
      <c r="X192" s="8"/>
      <c r="Y192" s="56"/>
      <c r="Z192" s="56"/>
      <c r="AA192" s="15"/>
      <c r="AB192" s="15"/>
      <c r="AC192" s="15"/>
      <c r="AD192" s="15"/>
      <c r="AE192" s="57"/>
      <c r="AF192" s="57"/>
      <c r="AG192" s="15"/>
      <c r="AH192" s="25"/>
      <c r="AI192" s="26"/>
      <c r="AJ192" s="26"/>
      <c r="AK192" s="27"/>
      <c r="AL192" s="28"/>
      <c r="AM192" s="29"/>
    </row>
    <row r="193" ht="12.75" customHeight="1">
      <c r="A193" s="26"/>
      <c r="B193" s="12"/>
      <c r="C193" s="240"/>
      <c r="D193" s="241"/>
      <c r="E193" s="5"/>
      <c r="F193" s="5"/>
      <c r="G193" s="5"/>
      <c r="H193" s="5"/>
      <c r="I193" s="5"/>
      <c r="J193" s="5"/>
      <c r="K193" s="8"/>
      <c r="L193" s="9"/>
      <c r="M193" s="10"/>
      <c r="N193" s="12"/>
      <c r="O193" s="242"/>
      <c r="P193" s="243"/>
      <c r="Q193" s="243"/>
      <c r="R193" s="14"/>
      <c r="S193" s="242"/>
      <c r="T193" s="15"/>
      <c r="U193" s="15"/>
      <c r="V193" s="15"/>
      <c r="W193" s="8"/>
      <c r="X193" s="8"/>
      <c r="Y193" s="56"/>
      <c r="Z193" s="56"/>
      <c r="AA193" s="15"/>
      <c r="AB193" s="15"/>
      <c r="AC193" s="15"/>
      <c r="AD193" s="15"/>
      <c r="AE193" s="57"/>
      <c r="AF193" s="57"/>
      <c r="AG193" s="15"/>
      <c r="AH193" s="25"/>
      <c r="AI193" s="26"/>
      <c r="AJ193" s="26"/>
      <c r="AK193" s="27"/>
      <c r="AL193" s="28"/>
      <c r="AM193" s="29"/>
    </row>
    <row r="194" ht="12.75" customHeight="1">
      <c r="A194" s="26"/>
      <c r="B194" s="12"/>
      <c r="C194" s="240"/>
      <c r="D194" s="241"/>
      <c r="E194" s="5"/>
      <c r="F194" s="5"/>
      <c r="G194" s="5"/>
      <c r="H194" s="5"/>
      <c r="I194" s="5"/>
      <c r="J194" s="5"/>
      <c r="K194" s="8"/>
      <c r="L194" s="9"/>
      <c r="M194" s="10"/>
      <c r="N194" s="12"/>
      <c r="O194" s="242"/>
      <c r="P194" s="243"/>
      <c r="Q194" s="243"/>
      <c r="R194" s="14"/>
      <c r="S194" s="242"/>
      <c r="T194" s="15"/>
      <c r="U194" s="15"/>
      <c r="V194" s="15"/>
      <c r="W194" s="8"/>
      <c r="X194" s="8"/>
      <c r="Y194" s="56"/>
      <c r="Z194" s="56"/>
      <c r="AA194" s="15"/>
      <c r="AB194" s="15"/>
      <c r="AC194" s="15"/>
      <c r="AD194" s="15"/>
      <c r="AE194" s="57"/>
      <c r="AF194" s="57"/>
      <c r="AG194" s="15"/>
      <c r="AH194" s="25"/>
      <c r="AI194" s="26"/>
      <c r="AJ194" s="26"/>
      <c r="AK194" s="27"/>
      <c r="AL194" s="28"/>
      <c r="AM194" s="29"/>
    </row>
    <row r="195" ht="12.75" customHeight="1">
      <c r="A195" s="26"/>
      <c r="B195" s="12"/>
      <c r="C195" s="240"/>
      <c r="D195" s="241"/>
      <c r="E195" s="5"/>
      <c r="F195" s="5"/>
      <c r="G195" s="5"/>
      <c r="H195" s="5"/>
      <c r="I195" s="5"/>
      <c r="J195" s="5"/>
      <c r="K195" s="8"/>
      <c r="L195" s="9"/>
      <c r="M195" s="10"/>
      <c r="N195" s="12"/>
      <c r="O195" s="242"/>
      <c r="P195" s="243"/>
      <c r="Q195" s="243"/>
      <c r="R195" s="14"/>
      <c r="S195" s="242"/>
      <c r="T195" s="15"/>
      <c r="U195" s="15"/>
      <c r="V195" s="15"/>
      <c r="W195" s="8"/>
      <c r="X195" s="8"/>
      <c r="Y195" s="56"/>
      <c r="Z195" s="56"/>
      <c r="AA195" s="15"/>
      <c r="AB195" s="15"/>
      <c r="AC195" s="15"/>
      <c r="AD195" s="15"/>
      <c r="AE195" s="57"/>
      <c r="AF195" s="57"/>
      <c r="AG195" s="15"/>
      <c r="AH195" s="25"/>
      <c r="AI195" s="26"/>
      <c r="AJ195" s="26"/>
      <c r="AK195" s="27"/>
      <c r="AL195" s="28"/>
      <c r="AM195" s="29"/>
    </row>
    <row r="196" ht="12.75" customHeight="1">
      <c r="A196" s="26"/>
      <c r="B196" s="12"/>
      <c r="C196" s="240"/>
      <c r="D196" s="241"/>
      <c r="E196" s="5"/>
      <c r="F196" s="5"/>
      <c r="G196" s="5"/>
      <c r="H196" s="5"/>
      <c r="I196" s="5"/>
      <c r="J196" s="5"/>
      <c r="K196" s="8"/>
      <c r="L196" s="9"/>
      <c r="M196" s="10"/>
      <c r="N196" s="12"/>
      <c r="O196" s="242"/>
      <c r="P196" s="243"/>
      <c r="Q196" s="243"/>
      <c r="R196" s="14"/>
      <c r="S196" s="242"/>
      <c r="T196" s="15"/>
      <c r="U196" s="15"/>
      <c r="V196" s="15"/>
      <c r="W196" s="8"/>
      <c r="X196" s="8"/>
      <c r="Y196" s="56"/>
      <c r="Z196" s="56"/>
      <c r="AA196" s="15"/>
      <c r="AB196" s="15"/>
      <c r="AC196" s="15"/>
      <c r="AD196" s="15"/>
      <c r="AE196" s="57"/>
      <c r="AF196" s="57"/>
      <c r="AG196" s="15"/>
      <c r="AH196" s="25"/>
      <c r="AI196" s="26"/>
      <c r="AJ196" s="26"/>
      <c r="AK196" s="27"/>
      <c r="AL196" s="28"/>
      <c r="AM196" s="29"/>
    </row>
    <row r="197" ht="12.75" customHeight="1">
      <c r="A197" s="26"/>
      <c r="B197" s="12"/>
      <c r="C197" s="240"/>
      <c r="D197" s="241"/>
      <c r="E197" s="5"/>
      <c r="F197" s="5"/>
      <c r="G197" s="5"/>
      <c r="H197" s="5"/>
      <c r="I197" s="5"/>
      <c r="J197" s="5"/>
      <c r="K197" s="8"/>
      <c r="L197" s="9"/>
      <c r="M197" s="10"/>
      <c r="N197" s="12"/>
      <c r="O197" s="242"/>
      <c r="P197" s="243"/>
      <c r="Q197" s="243"/>
      <c r="R197" s="14"/>
      <c r="S197" s="242"/>
      <c r="T197" s="15"/>
      <c r="U197" s="15"/>
      <c r="V197" s="15"/>
      <c r="W197" s="8"/>
      <c r="X197" s="8"/>
      <c r="Y197" s="56"/>
      <c r="Z197" s="56"/>
      <c r="AA197" s="15"/>
      <c r="AB197" s="15"/>
      <c r="AC197" s="15"/>
      <c r="AD197" s="15"/>
      <c r="AE197" s="57"/>
      <c r="AF197" s="57"/>
      <c r="AG197" s="15"/>
      <c r="AH197" s="25"/>
      <c r="AI197" s="26"/>
      <c r="AJ197" s="26"/>
      <c r="AK197" s="27"/>
      <c r="AL197" s="28"/>
      <c r="AM197" s="29"/>
    </row>
    <row r="198" ht="12.75" customHeight="1">
      <c r="A198" s="26"/>
      <c r="B198" s="12"/>
      <c r="C198" s="240"/>
      <c r="D198" s="241"/>
      <c r="E198" s="5"/>
      <c r="F198" s="5"/>
      <c r="G198" s="5"/>
      <c r="H198" s="5"/>
      <c r="I198" s="5"/>
      <c r="J198" s="5"/>
      <c r="K198" s="8"/>
      <c r="L198" s="9"/>
      <c r="M198" s="10"/>
      <c r="N198" s="12"/>
      <c r="O198" s="242"/>
      <c r="P198" s="243"/>
      <c r="Q198" s="243"/>
      <c r="R198" s="14"/>
      <c r="S198" s="242"/>
      <c r="T198" s="15"/>
      <c r="U198" s="15"/>
      <c r="V198" s="15"/>
      <c r="W198" s="8"/>
      <c r="X198" s="8"/>
      <c r="Y198" s="56"/>
      <c r="Z198" s="56"/>
      <c r="AA198" s="15"/>
      <c r="AB198" s="15"/>
      <c r="AC198" s="15"/>
      <c r="AD198" s="15"/>
      <c r="AE198" s="57"/>
      <c r="AF198" s="57"/>
      <c r="AG198" s="15"/>
      <c r="AH198" s="25"/>
      <c r="AI198" s="26"/>
      <c r="AJ198" s="26"/>
      <c r="AK198" s="27"/>
      <c r="AL198" s="28"/>
      <c r="AM198" s="29"/>
    </row>
    <row r="199" ht="12.75" customHeight="1">
      <c r="A199" s="26"/>
      <c r="B199" s="12"/>
      <c r="C199" s="240"/>
      <c r="D199" s="241"/>
      <c r="E199" s="5"/>
      <c r="F199" s="5"/>
      <c r="G199" s="5"/>
      <c r="H199" s="5"/>
      <c r="I199" s="5"/>
      <c r="J199" s="5"/>
      <c r="K199" s="8"/>
      <c r="L199" s="9"/>
      <c r="M199" s="10"/>
      <c r="N199" s="12"/>
      <c r="O199" s="242"/>
      <c r="P199" s="243"/>
      <c r="Q199" s="243"/>
      <c r="R199" s="14"/>
      <c r="S199" s="242"/>
      <c r="T199" s="15"/>
      <c r="U199" s="15"/>
      <c r="V199" s="15"/>
      <c r="W199" s="8"/>
      <c r="X199" s="8"/>
      <c r="Y199" s="56"/>
      <c r="Z199" s="56"/>
      <c r="AA199" s="15"/>
      <c r="AB199" s="15"/>
      <c r="AC199" s="15"/>
      <c r="AD199" s="15"/>
      <c r="AE199" s="57"/>
      <c r="AF199" s="57"/>
      <c r="AG199" s="15"/>
      <c r="AH199" s="25"/>
      <c r="AI199" s="26"/>
      <c r="AJ199" s="26"/>
      <c r="AK199" s="27"/>
      <c r="AL199" s="28"/>
      <c r="AM199" s="29"/>
    </row>
    <row r="200" ht="12.75" customHeight="1">
      <c r="A200" s="26"/>
      <c r="B200" s="12"/>
      <c r="C200" s="240"/>
      <c r="D200" s="241"/>
      <c r="E200" s="5"/>
      <c r="F200" s="5"/>
      <c r="G200" s="5"/>
      <c r="H200" s="5"/>
      <c r="I200" s="5"/>
      <c r="J200" s="5"/>
      <c r="K200" s="8"/>
      <c r="L200" s="9"/>
      <c r="M200" s="10"/>
      <c r="N200" s="12"/>
      <c r="O200" s="242"/>
      <c r="P200" s="243"/>
      <c r="Q200" s="243"/>
      <c r="R200" s="14"/>
      <c r="S200" s="242"/>
      <c r="T200" s="15"/>
      <c r="U200" s="15"/>
      <c r="V200" s="15"/>
      <c r="W200" s="8"/>
      <c r="X200" s="8"/>
      <c r="Y200" s="56"/>
      <c r="Z200" s="56"/>
      <c r="AA200" s="15"/>
      <c r="AB200" s="15"/>
      <c r="AC200" s="15"/>
      <c r="AD200" s="15"/>
      <c r="AE200" s="57"/>
      <c r="AF200" s="57"/>
      <c r="AG200" s="15"/>
      <c r="AH200" s="25"/>
      <c r="AI200" s="26"/>
      <c r="AJ200" s="26"/>
      <c r="AK200" s="27"/>
      <c r="AL200" s="28"/>
      <c r="AM200" s="29"/>
    </row>
    <row r="201" ht="12.75" customHeight="1">
      <c r="A201" s="26"/>
      <c r="B201" s="12"/>
      <c r="C201" s="240"/>
      <c r="D201" s="241"/>
      <c r="E201" s="5"/>
      <c r="F201" s="5"/>
      <c r="G201" s="5"/>
      <c r="H201" s="5"/>
      <c r="I201" s="5"/>
      <c r="J201" s="5"/>
      <c r="K201" s="8"/>
      <c r="L201" s="9"/>
      <c r="M201" s="10"/>
      <c r="N201" s="12"/>
      <c r="O201" s="242"/>
      <c r="P201" s="243"/>
      <c r="Q201" s="243"/>
      <c r="R201" s="14"/>
      <c r="S201" s="242"/>
      <c r="T201" s="15"/>
      <c r="U201" s="15"/>
      <c r="V201" s="15"/>
      <c r="W201" s="8"/>
      <c r="X201" s="8"/>
      <c r="Y201" s="56"/>
      <c r="Z201" s="56"/>
      <c r="AA201" s="15"/>
      <c r="AB201" s="15"/>
      <c r="AC201" s="15"/>
      <c r="AD201" s="15"/>
      <c r="AE201" s="57"/>
      <c r="AF201" s="57"/>
      <c r="AG201" s="15"/>
      <c r="AH201" s="25"/>
      <c r="AI201" s="26"/>
      <c r="AJ201" s="26"/>
      <c r="AK201" s="27"/>
      <c r="AL201" s="28"/>
      <c r="AM201" s="29"/>
    </row>
    <row r="202" ht="12.75" customHeight="1">
      <c r="A202" s="26"/>
      <c r="B202" s="12"/>
      <c r="C202" s="240"/>
      <c r="D202" s="241"/>
      <c r="E202" s="5"/>
      <c r="F202" s="5"/>
      <c r="G202" s="5"/>
      <c r="H202" s="5"/>
      <c r="I202" s="5"/>
      <c r="J202" s="5"/>
      <c r="K202" s="8"/>
      <c r="L202" s="9"/>
      <c r="M202" s="10"/>
      <c r="N202" s="12"/>
      <c r="O202" s="242"/>
      <c r="P202" s="243"/>
      <c r="Q202" s="243"/>
      <c r="R202" s="14"/>
      <c r="S202" s="242"/>
      <c r="T202" s="15"/>
      <c r="U202" s="15"/>
      <c r="V202" s="15"/>
      <c r="W202" s="8"/>
      <c r="X202" s="8"/>
      <c r="Y202" s="56"/>
      <c r="Z202" s="56"/>
      <c r="AA202" s="15"/>
      <c r="AB202" s="15"/>
      <c r="AC202" s="15"/>
      <c r="AD202" s="15"/>
      <c r="AE202" s="57"/>
      <c r="AF202" s="57"/>
      <c r="AG202" s="15"/>
      <c r="AH202" s="25"/>
      <c r="AI202" s="26"/>
      <c r="AJ202" s="26"/>
      <c r="AK202" s="27"/>
      <c r="AL202" s="28"/>
      <c r="AM202" s="29"/>
    </row>
    <row r="203" ht="12.75" customHeight="1">
      <c r="A203" s="26"/>
      <c r="B203" s="12"/>
      <c r="C203" s="240"/>
      <c r="D203" s="241"/>
      <c r="E203" s="5"/>
      <c r="F203" s="5"/>
      <c r="G203" s="5"/>
      <c r="H203" s="5"/>
      <c r="I203" s="5"/>
      <c r="J203" s="5"/>
      <c r="K203" s="8"/>
      <c r="L203" s="9"/>
      <c r="M203" s="10"/>
      <c r="N203" s="12"/>
      <c r="O203" s="242"/>
      <c r="P203" s="243"/>
      <c r="Q203" s="243"/>
      <c r="R203" s="14"/>
      <c r="S203" s="242"/>
      <c r="T203" s="15"/>
      <c r="U203" s="15"/>
      <c r="V203" s="15"/>
      <c r="W203" s="8"/>
      <c r="X203" s="8"/>
      <c r="Y203" s="56"/>
      <c r="Z203" s="56"/>
      <c r="AA203" s="15"/>
      <c r="AB203" s="15"/>
      <c r="AC203" s="15"/>
      <c r="AD203" s="15"/>
      <c r="AE203" s="57"/>
      <c r="AF203" s="57"/>
      <c r="AG203" s="15"/>
      <c r="AH203" s="25"/>
      <c r="AI203" s="26"/>
      <c r="AJ203" s="26"/>
      <c r="AK203" s="27"/>
      <c r="AL203" s="28"/>
      <c r="AM203" s="29"/>
    </row>
    <row r="204" ht="12.75" customHeight="1">
      <c r="A204" s="26"/>
      <c r="B204" s="12"/>
      <c r="C204" s="240"/>
      <c r="D204" s="241"/>
      <c r="E204" s="5"/>
      <c r="F204" s="5"/>
      <c r="G204" s="5"/>
      <c r="H204" s="5"/>
      <c r="I204" s="5"/>
      <c r="J204" s="5"/>
      <c r="K204" s="8"/>
      <c r="L204" s="9"/>
      <c r="M204" s="10"/>
      <c r="N204" s="12"/>
      <c r="O204" s="242"/>
      <c r="P204" s="243"/>
      <c r="Q204" s="243"/>
      <c r="R204" s="14"/>
      <c r="S204" s="242"/>
      <c r="T204" s="15"/>
      <c r="U204" s="15"/>
      <c r="V204" s="15"/>
      <c r="W204" s="8"/>
      <c r="X204" s="8"/>
      <c r="Y204" s="56"/>
      <c r="Z204" s="56"/>
      <c r="AA204" s="15"/>
      <c r="AB204" s="15"/>
      <c r="AC204" s="15"/>
      <c r="AD204" s="15"/>
      <c r="AE204" s="57"/>
      <c r="AF204" s="57"/>
      <c r="AG204" s="15"/>
      <c r="AH204" s="25"/>
      <c r="AI204" s="26"/>
      <c r="AJ204" s="26"/>
      <c r="AK204" s="27"/>
      <c r="AL204" s="28"/>
      <c r="AM204" s="29"/>
    </row>
    <row r="205" ht="12.75" customHeight="1">
      <c r="A205" s="26"/>
      <c r="B205" s="12"/>
      <c r="C205" s="240"/>
      <c r="D205" s="241"/>
      <c r="E205" s="5"/>
      <c r="F205" s="5"/>
      <c r="G205" s="5"/>
      <c r="H205" s="5"/>
      <c r="I205" s="5"/>
      <c r="J205" s="5"/>
      <c r="K205" s="8"/>
      <c r="L205" s="9"/>
      <c r="M205" s="10"/>
      <c r="N205" s="12"/>
      <c r="O205" s="242"/>
      <c r="P205" s="243"/>
      <c r="Q205" s="243"/>
      <c r="R205" s="14"/>
      <c r="S205" s="242"/>
      <c r="T205" s="15"/>
      <c r="U205" s="15"/>
      <c r="V205" s="15"/>
      <c r="W205" s="8"/>
      <c r="X205" s="8"/>
      <c r="Y205" s="56"/>
      <c r="Z205" s="56"/>
      <c r="AA205" s="15"/>
      <c r="AB205" s="15"/>
      <c r="AC205" s="15"/>
      <c r="AD205" s="15"/>
      <c r="AE205" s="57"/>
      <c r="AF205" s="57"/>
      <c r="AG205" s="15"/>
      <c r="AH205" s="25"/>
      <c r="AI205" s="26"/>
      <c r="AJ205" s="26"/>
      <c r="AK205" s="27"/>
      <c r="AL205" s="28"/>
      <c r="AM205" s="29"/>
    </row>
    <row r="206" ht="12.75" customHeight="1">
      <c r="A206" s="26"/>
      <c r="B206" s="12"/>
      <c r="C206" s="240"/>
      <c r="D206" s="241"/>
      <c r="E206" s="5"/>
      <c r="F206" s="5"/>
      <c r="G206" s="5"/>
      <c r="H206" s="5"/>
      <c r="I206" s="5"/>
      <c r="J206" s="5"/>
      <c r="K206" s="8"/>
      <c r="L206" s="9"/>
      <c r="M206" s="10"/>
      <c r="N206" s="12"/>
      <c r="O206" s="242"/>
      <c r="P206" s="243"/>
      <c r="Q206" s="243"/>
      <c r="R206" s="14"/>
      <c r="S206" s="242"/>
      <c r="T206" s="15"/>
      <c r="U206" s="15"/>
      <c r="V206" s="15"/>
      <c r="W206" s="8"/>
      <c r="X206" s="8"/>
      <c r="Y206" s="56"/>
      <c r="Z206" s="56"/>
      <c r="AA206" s="15"/>
      <c r="AB206" s="15"/>
      <c r="AC206" s="15"/>
      <c r="AD206" s="15"/>
      <c r="AE206" s="57"/>
      <c r="AF206" s="57"/>
      <c r="AG206" s="15"/>
      <c r="AH206" s="25"/>
      <c r="AI206" s="26"/>
      <c r="AJ206" s="26"/>
      <c r="AK206" s="27"/>
      <c r="AL206" s="28"/>
      <c r="AM206" s="29"/>
    </row>
    <row r="207" ht="12.75" customHeight="1">
      <c r="A207" s="26"/>
      <c r="B207" s="12"/>
      <c r="C207" s="240"/>
      <c r="D207" s="241"/>
      <c r="E207" s="5"/>
      <c r="F207" s="5"/>
      <c r="G207" s="5"/>
      <c r="H207" s="5"/>
      <c r="I207" s="5"/>
      <c r="J207" s="5"/>
      <c r="K207" s="8"/>
      <c r="L207" s="9"/>
      <c r="M207" s="10"/>
      <c r="N207" s="12"/>
      <c r="O207" s="242"/>
      <c r="P207" s="243"/>
      <c r="Q207" s="243"/>
      <c r="R207" s="14"/>
      <c r="S207" s="242"/>
      <c r="T207" s="15"/>
      <c r="U207" s="15"/>
      <c r="V207" s="15"/>
      <c r="W207" s="8"/>
      <c r="X207" s="8"/>
      <c r="Y207" s="56"/>
      <c r="Z207" s="56"/>
      <c r="AA207" s="15"/>
      <c r="AB207" s="15"/>
      <c r="AC207" s="15"/>
      <c r="AD207" s="15"/>
      <c r="AE207" s="57"/>
      <c r="AF207" s="57"/>
      <c r="AG207" s="15"/>
      <c r="AH207" s="25"/>
      <c r="AI207" s="26"/>
      <c r="AJ207" s="26"/>
      <c r="AK207" s="27"/>
      <c r="AL207" s="28"/>
      <c r="AM207" s="29"/>
    </row>
    <row r="208" ht="12.75" customHeight="1">
      <c r="A208" s="26"/>
      <c r="B208" s="12"/>
      <c r="C208" s="240"/>
      <c r="D208" s="241"/>
      <c r="E208" s="5"/>
      <c r="F208" s="5"/>
      <c r="G208" s="5"/>
      <c r="H208" s="5"/>
      <c r="I208" s="5"/>
      <c r="J208" s="5"/>
      <c r="K208" s="8"/>
      <c r="L208" s="9"/>
      <c r="M208" s="10"/>
      <c r="N208" s="12"/>
      <c r="O208" s="242"/>
      <c r="P208" s="243"/>
      <c r="Q208" s="243"/>
      <c r="R208" s="14"/>
      <c r="S208" s="242"/>
      <c r="T208" s="15"/>
      <c r="U208" s="15"/>
      <c r="V208" s="15"/>
      <c r="W208" s="8"/>
      <c r="X208" s="8"/>
      <c r="Y208" s="56"/>
      <c r="Z208" s="56"/>
      <c r="AA208" s="15"/>
      <c r="AB208" s="15"/>
      <c r="AC208" s="15"/>
      <c r="AD208" s="15"/>
      <c r="AE208" s="57"/>
      <c r="AF208" s="57"/>
      <c r="AG208" s="15"/>
      <c r="AH208" s="25"/>
      <c r="AI208" s="26"/>
      <c r="AJ208" s="26"/>
      <c r="AK208" s="27"/>
      <c r="AL208" s="28"/>
      <c r="AM208" s="29"/>
    </row>
    <row r="209" ht="12.75" customHeight="1">
      <c r="A209" s="26"/>
      <c r="B209" s="12"/>
      <c r="C209" s="240"/>
      <c r="D209" s="241"/>
      <c r="E209" s="5"/>
      <c r="F209" s="5"/>
      <c r="G209" s="5"/>
      <c r="H209" s="5"/>
      <c r="I209" s="5"/>
      <c r="J209" s="5"/>
      <c r="K209" s="8"/>
      <c r="L209" s="9"/>
      <c r="M209" s="10"/>
      <c r="N209" s="12"/>
      <c r="O209" s="242"/>
      <c r="P209" s="243"/>
      <c r="Q209" s="243"/>
      <c r="R209" s="14"/>
      <c r="S209" s="242"/>
      <c r="T209" s="15"/>
      <c r="U209" s="15"/>
      <c r="V209" s="15"/>
      <c r="W209" s="8"/>
      <c r="X209" s="8"/>
      <c r="Y209" s="56"/>
      <c r="Z209" s="56"/>
      <c r="AA209" s="15"/>
      <c r="AB209" s="15"/>
      <c r="AC209" s="15"/>
      <c r="AD209" s="15"/>
      <c r="AE209" s="57"/>
      <c r="AF209" s="57"/>
      <c r="AG209" s="15"/>
      <c r="AH209" s="25"/>
      <c r="AI209" s="26"/>
      <c r="AJ209" s="26"/>
      <c r="AK209" s="27"/>
      <c r="AL209" s="28"/>
      <c r="AM209" s="29"/>
    </row>
    <row r="210" ht="12.75" customHeight="1">
      <c r="A210" s="26"/>
      <c r="B210" s="12"/>
      <c r="C210" s="240"/>
      <c r="D210" s="241"/>
      <c r="E210" s="5"/>
      <c r="F210" s="5"/>
      <c r="G210" s="5"/>
      <c r="H210" s="5"/>
      <c r="I210" s="5"/>
      <c r="J210" s="5"/>
      <c r="K210" s="8"/>
      <c r="L210" s="9"/>
      <c r="M210" s="10"/>
      <c r="N210" s="12"/>
      <c r="O210" s="242"/>
      <c r="P210" s="243"/>
      <c r="Q210" s="243"/>
      <c r="R210" s="14"/>
      <c r="S210" s="242"/>
      <c r="T210" s="15"/>
      <c r="U210" s="15"/>
      <c r="V210" s="15"/>
      <c r="W210" s="8"/>
      <c r="X210" s="8"/>
      <c r="Y210" s="56"/>
      <c r="Z210" s="56"/>
      <c r="AA210" s="15"/>
      <c r="AB210" s="15"/>
      <c r="AC210" s="15"/>
      <c r="AD210" s="15"/>
      <c r="AE210" s="57"/>
      <c r="AF210" s="57"/>
      <c r="AG210" s="15"/>
      <c r="AH210" s="25"/>
      <c r="AI210" s="26"/>
      <c r="AJ210" s="26"/>
      <c r="AK210" s="27"/>
      <c r="AL210" s="28"/>
      <c r="AM210" s="29"/>
    </row>
    <row r="211" ht="12.75" customHeight="1">
      <c r="A211" s="26"/>
      <c r="B211" s="12"/>
      <c r="C211" s="240"/>
      <c r="D211" s="241"/>
      <c r="E211" s="5"/>
      <c r="F211" s="5"/>
      <c r="G211" s="5"/>
      <c r="H211" s="5"/>
      <c r="I211" s="5"/>
      <c r="J211" s="5"/>
      <c r="K211" s="8"/>
      <c r="L211" s="9"/>
      <c r="M211" s="10"/>
      <c r="N211" s="12"/>
      <c r="O211" s="242"/>
      <c r="P211" s="243"/>
      <c r="Q211" s="243"/>
      <c r="R211" s="14"/>
      <c r="S211" s="242"/>
      <c r="T211" s="15"/>
      <c r="U211" s="15"/>
      <c r="V211" s="15"/>
      <c r="W211" s="8"/>
      <c r="X211" s="8"/>
      <c r="Y211" s="56"/>
      <c r="Z211" s="56"/>
      <c r="AA211" s="15"/>
      <c r="AB211" s="15"/>
      <c r="AC211" s="15"/>
      <c r="AD211" s="15"/>
      <c r="AE211" s="57"/>
      <c r="AF211" s="57"/>
      <c r="AG211" s="15"/>
      <c r="AH211" s="25"/>
      <c r="AI211" s="26"/>
      <c r="AJ211" s="26"/>
      <c r="AK211" s="27"/>
      <c r="AL211" s="28"/>
      <c r="AM211" s="29"/>
    </row>
    <row r="212" ht="12.75" customHeight="1">
      <c r="A212" s="26"/>
      <c r="B212" s="12"/>
      <c r="C212" s="240"/>
      <c r="D212" s="241"/>
      <c r="E212" s="5"/>
      <c r="F212" s="5"/>
      <c r="G212" s="5"/>
      <c r="H212" s="5"/>
      <c r="I212" s="5"/>
      <c r="J212" s="5"/>
      <c r="K212" s="8"/>
      <c r="L212" s="9"/>
      <c r="M212" s="10"/>
      <c r="N212" s="12"/>
      <c r="O212" s="242"/>
      <c r="P212" s="243"/>
      <c r="Q212" s="243"/>
      <c r="R212" s="14"/>
      <c r="S212" s="242"/>
      <c r="T212" s="15"/>
      <c r="U212" s="15"/>
      <c r="V212" s="15"/>
      <c r="W212" s="8"/>
      <c r="X212" s="8"/>
      <c r="Y212" s="56"/>
      <c r="Z212" s="56"/>
      <c r="AA212" s="15"/>
      <c r="AB212" s="15"/>
      <c r="AC212" s="15"/>
      <c r="AD212" s="15"/>
      <c r="AE212" s="57"/>
      <c r="AF212" s="57"/>
      <c r="AG212" s="15"/>
      <c r="AH212" s="25"/>
      <c r="AI212" s="26"/>
      <c r="AJ212" s="26"/>
      <c r="AK212" s="27"/>
      <c r="AL212" s="28"/>
      <c r="AM212" s="29"/>
    </row>
    <row r="213" ht="12.75" customHeight="1">
      <c r="A213" s="26"/>
      <c r="B213" s="12"/>
      <c r="C213" s="240"/>
      <c r="D213" s="241"/>
      <c r="E213" s="5"/>
      <c r="F213" s="5"/>
      <c r="G213" s="5"/>
      <c r="H213" s="5"/>
      <c r="I213" s="5"/>
      <c r="J213" s="5"/>
      <c r="K213" s="8"/>
      <c r="L213" s="9"/>
      <c r="M213" s="10"/>
      <c r="N213" s="12"/>
      <c r="O213" s="242"/>
      <c r="P213" s="243"/>
      <c r="Q213" s="243"/>
      <c r="R213" s="14"/>
      <c r="S213" s="242"/>
      <c r="T213" s="15"/>
      <c r="U213" s="15"/>
      <c r="V213" s="15"/>
      <c r="W213" s="8"/>
      <c r="X213" s="8"/>
      <c r="Y213" s="56"/>
      <c r="Z213" s="56"/>
      <c r="AA213" s="15"/>
      <c r="AB213" s="15"/>
      <c r="AC213" s="15"/>
      <c r="AD213" s="15"/>
      <c r="AE213" s="57"/>
      <c r="AF213" s="57"/>
      <c r="AG213" s="15"/>
      <c r="AH213" s="25"/>
      <c r="AI213" s="26"/>
      <c r="AJ213" s="26"/>
      <c r="AK213" s="27"/>
      <c r="AL213" s="28"/>
      <c r="AM213" s="29"/>
    </row>
    <row r="214" ht="12.75" customHeight="1">
      <c r="A214" s="26"/>
      <c r="B214" s="12"/>
      <c r="C214" s="240"/>
      <c r="D214" s="241"/>
      <c r="E214" s="5"/>
      <c r="F214" s="5"/>
      <c r="G214" s="5"/>
      <c r="H214" s="5"/>
      <c r="I214" s="5"/>
      <c r="J214" s="5"/>
      <c r="K214" s="8"/>
      <c r="L214" s="9"/>
      <c r="M214" s="10"/>
      <c r="N214" s="12"/>
      <c r="O214" s="242"/>
      <c r="P214" s="243"/>
      <c r="Q214" s="243"/>
      <c r="R214" s="14"/>
      <c r="S214" s="242"/>
      <c r="T214" s="15"/>
      <c r="U214" s="15"/>
      <c r="V214" s="15"/>
      <c r="W214" s="8"/>
      <c r="X214" s="8"/>
      <c r="Y214" s="56"/>
      <c r="Z214" s="56"/>
      <c r="AA214" s="15"/>
      <c r="AB214" s="15"/>
      <c r="AC214" s="15"/>
      <c r="AD214" s="15"/>
      <c r="AE214" s="57"/>
      <c r="AF214" s="57"/>
      <c r="AG214" s="15"/>
      <c r="AH214" s="25"/>
      <c r="AI214" s="26"/>
      <c r="AJ214" s="26"/>
      <c r="AK214" s="27"/>
      <c r="AL214" s="28"/>
      <c r="AM214" s="29"/>
    </row>
    <row r="215" ht="12.75" customHeight="1">
      <c r="A215" s="26"/>
      <c r="B215" s="12"/>
      <c r="C215" s="240"/>
      <c r="D215" s="241"/>
      <c r="E215" s="5"/>
      <c r="F215" s="5"/>
      <c r="G215" s="5"/>
      <c r="H215" s="5"/>
      <c r="I215" s="5"/>
      <c r="J215" s="5"/>
      <c r="K215" s="8"/>
      <c r="L215" s="9"/>
      <c r="M215" s="10"/>
      <c r="N215" s="12"/>
      <c r="O215" s="242"/>
      <c r="P215" s="243"/>
      <c r="Q215" s="243"/>
      <c r="R215" s="14"/>
      <c r="S215" s="242"/>
      <c r="T215" s="15"/>
      <c r="U215" s="15"/>
      <c r="V215" s="15"/>
      <c r="W215" s="8"/>
      <c r="X215" s="8"/>
      <c r="Y215" s="56"/>
      <c r="Z215" s="56"/>
      <c r="AA215" s="15"/>
      <c r="AB215" s="15"/>
      <c r="AC215" s="15"/>
      <c r="AD215" s="15"/>
      <c r="AE215" s="57"/>
      <c r="AF215" s="57"/>
      <c r="AG215" s="15"/>
      <c r="AH215" s="25"/>
      <c r="AI215" s="26"/>
      <c r="AJ215" s="26"/>
      <c r="AK215" s="27"/>
      <c r="AL215" s="28"/>
      <c r="AM215" s="29"/>
    </row>
    <row r="216" ht="12.75" customHeight="1">
      <c r="A216" s="26"/>
      <c r="B216" s="12"/>
      <c r="C216" s="240"/>
      <c r="D216" s="241"/>
      <c r="E216" s="5"/>
      <c r="F216" s="5"/>
      <c r="G216" s="5"/>
      <c r="H216" s="5"/>
      <c r="I216" s="5"/>
      <c r="J216" s="5"/>
      <c r="K216" s="8"/>
      <c r="L216" s="9"/>
      <c r="M216" s="10"/>
      <c r="N216" s="12"/>
      <c r="O216" s="242"/>
      <c r="P216" s="243"/>
      <c r="Q216" s="243"/>
      <c r="R216" s="14"/>
      <c r="S216" s="242"/>
      <c r="T216" s="15"/>
      <c r="U216" s="15"/>
      <c r="V216" s="15"/>
      <c r="W216" s="8"/>
      <c r="X216" s="8"/>
      <c r="Y216" s="56"/>
      <c r="Z216" s="56"/>
      <c r="AA216" s="15"/>
      <c r="AB216" s="15"/>
      <c r="AC216" s="15"/>
      <c r="AD216" s="15"/>
      <c r="AE216" s="57"/>
      <c r="AF216" s="57"/>
      <c r="AG216" s="15"/>
      <c r="AH216" s="25"/>
      <c r="AI216" s="26"/>
      <c r="AJ216" s="26"/>
      <c r="AK216" s="27"/>
      <c r="AL216" s="28"/>
      <c r="AM216" s="29"/>
    </row>
    <row r="217" ht="12.75" customHeight="1">
      <c r="A217" s="26"/>
      <c r="B217" s="12"/>
      <c r="C217" s="240"/>
      <c r="D217" s="241"/>
      <c r="E217" s="5"/>
      <c r="F217" s="5"/>
      <c r="G217" s="5"/>
      <c r="H217" s="5"/>
      <c r="I217" s="5"/>
      <c r="J217" s="5"/>
      <c r="K217" s="8"/>
      <c r="L217" s="9"/>
      <c r="M217" s="10"/>
      <c r="N217" s="12"/>
      <c r="O217" s="242"/>
      <c r="P217" s="243"/>
      <c r="Q217" s="243"/>
      <c r="R217" s="14"/>
      <c r="S217" s="242"/>
      <c r="T217" s="15"/>
      <c r="U217" s="15"/>
      <c r="V217" s="15"/>
      <c r="W217" s="8"/>
      <c r="X217" s="8"/>
      <c r="Y217" s="56"/>
      <c r="Z217" s="56"/>
      <c r="AA217" s="15"/>
      <c r="AB217" s="15"/>
      <c r="AC217" s="15"/>
      <c r="AD217" s="15"/>
      <c r="AE217" s="57"/>
      <c r="AF217" s="57"/>
      <c r="AG217" s="15"/>
      <c r="AH217" s="25"/>
      <c r="AI217" s="26"/>
      <c r="AJ217" s="26"/>
      <c r="AK217" s="27"/>
      <c r="AL217" s="28"/>
      <c r="AM217" s="29"/>
    </row>
    <row r="218" ht="12.75" customHeight="1">
      <c r="A218" s="26"/>
      <c r="B218" s="12"/>
      <c r="C218" s="240"/>
      <c r="D218" s="241"/>
      <c r="E218" s="5"/>
      <c r="F218" s="5"/>
      <c r="G218" s="5"/>
      <c r="H218" s="5"/>
      <c r="I218" s="5"/>
      <c r="J218" s="5"/>
      <c r="K218" s="8"/>
      <c r="L218" s="9"/>
      <c r="M218" s="10"/>
      <c r="N218" s="12"/>
      <c r="O218" s="242"/>
      <c r="P218" s="243"/>
      <c r="Q218" s="243"/>
      <c r="R218" s="14"/>
      <c r="S218" s="242"/>
      <c r="T218" s="15"/>
      <c r="U218" s="15"/>
      <c r="V218" s="15"/>
      <c r="W218" s="8"/>
      <c r="X218" s="8"/>
      <c r="Y218" s="56"/>
      <c r="Z218" s="56"/>
      <c r="AA218" s="15"/>
      <c r="AB218" s="15"/>
      <c r="AC218" s="15"/>
      <c r="AD218" s="15"/>
      <c r="AE218" s="57"/>
      <c r="AF218" s="57"/>
      <c r="AG218" s="15"/>
      <c r="AH218" s="25"/>
      <c r="AI218" s="26"/>
      <c r="AJ218" s="26"/>
      <c r="AK218" s="27"/>
      <c r="AL218" s="28"/>
      <c r="AM218" s="29"/>
    </row>
    <row r="219" ht="12.75" customHeight="1">
      <c r="A219" s="26"/>
      <c r="B219" s="12"/>
      <c r="C219" s="240"/>
      <c r="D219" s="241"/>
      <c r="E219" s="5"/>
      <c r="F219" s="5"/>
      <c r="G219" s="5"/>
      <c r="H219" s="5"/>
      <c r="I219" s="5"/>
      <c r="J219" s="5"/>
      <c r="K219" s="8"/>
      <c r="L219" s="9"/>
      <c r="M219" s="10"/>
      <c r="N219" s="12"/>
      <c r="O219" s="242"/>
      <c r="P219" s="243"/>
      <c r="Q219" s="243"/>
      <c r="R219" s="14"/>
      <c r="S219" s="242"/>
      <c r="T219" s="15"/>
      <c r="U219" s="15"/>
      <c r="V219" s="15"/>
      <c r="W219" s="8"/>
      <c r="X219" s="8"/>
      <c r="Y219" s="56"/>
      <c r="Z219" s="56"/>
      <c r="AA219" s="15"/>
      <c r="AB219" s="15"/>
      <c r="AC219" s="15"/>
      <c r="AD219" s="15"/>
      <c r="AE219" s="57"/>
      <c r="AF219" s="57"/>
      <c r="AG219" s="15"/>
      <c r="AH219" s="25"/>
      <c r="AI219" s="26"/>
      <c r="AJ219" s="26"/>
      <c r="AK219" s="27"/>
      <c r="AL219" s="28"/>
      <c r="AM219" s="29"/>
    </row>
    <row r="220" ht="12.75" customHeight="1">
      <c r="A220" s="26"/>
      <c r="B220" s="12"/>
      <c r="C220" s="240"/>
      <c r="D220" s="241"/>
      <c r="E220" s="5"/>
      <c r="F220" s="5"/>
      <c r="G220" s="5"/>
      <c r="H220" s="5"/>
      <c r="I220" s="5"/>
      <c r="J220" s="5"/>
      <c r="K220" s="8"/>
      <c r="L220" s="9"/>
      <c r="M220" s="10"/>
      <c r="N220" s="12"/>
      <c r="O220" s="242"/>
      <c r="P220" s="243"/>
      <c r="Q220" s="243"/>
      <c r="R220" s="14"/>
      <c r="S220" s="242"/>
      <c r="T220" s="15"/>
      <c r="U220" s="15"/>
      <c r="V220" s="15"/>
      <c r="W220" s="8"/>
      <c r="X220" s="8"/>
      <c r="Y220" s="56"/>
      <c r="Z220" s="56"/>
      <c r="AA220" s="15"/>
      <c r="AB220" s="15"/>
      <c r="AC220" s="15"/>
      <c r="AD220" s="15"/>
      <c r="AE220" s="57"/>
      <c r="AF220" s="57"/>
      <c r="AG220" s="15"/>
      <c r="AH220" s="25"/>
      <c r="AI220" s="26"/>
      <c r="AJ220" s="26"/>
      <c r="AK220" s="27"/>
      <c r="AL220" s="28"/>
      <c r="AM220" s="29"/>
    </row>
    <row r="221" ht="12.75" customHeight="1">
      <c r="A221" s="26"/>
      <c r="B221" s="12"/>
      <c r="C221" s="240"/>
      <c r="D221" s="241"/>
      <c r="E221" s="5"/>
      <c r="F221" s="5"/>
      <c r="G221" s="5"/>
      <c r="H221" s="5"/>
      <c r="I221" s="5"/>
      <c r="J221" s="5"/>
      <c r="K221" s="8"/>
      <c r="L221" s="9"/>
      <c r="M221" s="10"/>
      <c r="N221" s="12"/>
      <c r="O221" s="242"/>
      <c r="P221" s="243"/>
      <c r="Q221" s="243"/>
      <c r="R221" s="14"/>
      <c r="S221" s="242"/>
      <c r="T221" s="15"/>
      <c r="U221" s="15"/>
      <c r="V221" s="15"/>
      <c r="W221" s="8"/>
      <c r="X221" s="8"/>
      <c r="Y221" s="56"/>
      <c r="Z221" s="56"/>
      <c r="AA221" s="15"/>
      <c r="AB221" s="15"/>
      <c r="AC221" s="15"/>
      <c r="AD221" s="15"/>
      <c r="AE221" s="57"/>
      <c r="AF221" s="57"/>
      <c r="AG221" s="15"/>
      <c r="AH221" s="25"/>
      <c r="AI221" s="26"/>
      <c r="AJ221" s="26"/>
      <c r="AK221" s="27"/>
      <c r="AL221" s="28"/>
      <c r="AM221" s="29"/>
    </row>
    <row r="222" ht="12.75" customHeight="1">
      <c r="A222" s="26"/>
      <c r="B222" s="12"/>
      <c r="C222" s="240"/>
      <c r="D222" s="241"/>
      <c r="E222" s="5"/>
      <c r="F222" s="5"/>
      <c r="G222" s="5"/>
      <c r="H222" s="5"/>
      <c r="I222" s="5"/>
      <c r="J222" s="5"/>
      <c r="K222" s="8"/>
      <c r="L222" s="9"/>
      <c r="M222" s="10"/>
      <c r="N222" s="12"/>
      <c r="O222" s="242"/>
      <c r="P222" s="243"/>
      <c r="Q222" s="243"/>
      <c r="R222" s="14"/>
      <c r="S222" s="242"/>
      <c r="T222" s="15"/>
      <c r="U222" s="15"/>
      <c r="V222" s="15"/>
      <c r="W222" s="8"/>
      <c r="X222" s="8"/>
      <c r="Y222" s="56"/>
      <c r="Z222" s="56"/>
      <c r="AA222" s="15"/>
      <c r="AB222" s="15"/>
      <c r="AC222" s="15"/>
      <c r="AD222" s="15"/>
      <c r="AE222" s="57"/>
      <c r="AF222" s="57"/>
      <c r="AG222" s="15"/>
      <c r="AH222" s="25"/>
      <c r="AI222" s="26"/>
      <c r="AJ222" s="26"/>
      <c r="AK222" s="27"/>
      <c r="AL222" s="28"/>
      <c r="AM222" s="29"/>
    </row>
    <row r="223" ht="12.75" customHeight="1">
      <c r="A223" s="26"/>
      <c r="B223" s="12"/>
      <c r="C223" s="240"/>
      <c r="D223" s="241"/>
      <c r="E223" s="5"/>
      <c r="F223" s="5"/>
      <c r="G223" s="5"/>
      <c r="H223" s="5"/>
      <c r="I223" s="5"/>
      <c r="J223" s="5"/>
      <c r="K223" s="8"/>
      <c r="L223" s="9"/>
      <c r="M223" s="10"/>
      <c r="N223" s="12"/>
      <c r="O223" s="242"/>
      <c r="P223" s="243"/>
      <c r="Q223" s="243"/>
      <c r="R223" s="14"/>
      <c r="S223" s="242"/>
      <c r="T223" s="15"/>
      <c r="U223" s="15"/>
      <c r="V223" s="15"/>
      <c r="W223" s="8"/>
      <c r="X223" s="8"/>
      <c r="Y223" s="56"/>
      <c r="Z223" s="56"/>
      <c r="AA223" s="15"/>
      <c r="AB223" s="15"/>
      <c r="AC223" s="15"/>
      <c r="AD223" s="15"/>
      <c r="AE223" s="57"/>
      <c r="AF223" s="57"/>
      <c r="AG223" s="15"/>
      <c r="AH223" s="25"/>
      <c r="AI223" s="26"/>
      <c r="AJ223" s="26"/>
      <c r="AK223" s="27"/>
      <c r="AL223" s="28"/>
      <c r="AM223" s="29"/>
    </row>
    <row r="224" ht="12.75" customHeight="1">
      <c r="A224" s="26"/>
      <c r="B224" s="12"/>
      <c r="C224" s="240"/>
      <c r="D224" s="241"/>
      <c r="E224" s="5"/>
      <c r="F224" s="5"/>
      <c r="G224" s="5"/>
      <c r="H224" s="5"/>
      <c r="I224" s="5"/>
      <c r="J224" s="5"/>
      <c r="K224" s="8"/>
      <c r="L224" s="9"/>
      <c r="M224" s="10"/>
      <c r="N224" s="12"/>
      <c r="O224" s="242"/>
      <c r="P224" s="243"/>
      <c r="Q224" s="243"/>
      <c r="R224" s="14"/>
      <c r="S224" s="242"/>
      <c r="T224" s="15"/>
      <c r="U224" s="15"/>
      <c r="V224" s="15"/>
      <c r="W224" s="8"/>
      <c r="X224" s="8"/>
      <c r="Y224" s="56"/>
      <c r="Z224" s="56"/>
      <c r="AA224" s="15"/>
      <c r="AB224" s="15"/>
      <c r="AC224" s="15"/>
      <c r="AD224" s="15"/>
      <c r="AE224" s="57"/>
      <c r="AF224" s="57"/>
      <c r="AG224" s="15"/>
      <c r="AH224" s="25"/>
      <c r="AI224" s="26"/>
      <c r="AJ224" s="26"/>
      <c r="AK224" s="27"/>
      <c r="AL224" s="28"/>
      <c r="AM224" s="29"/>
    </row>
    <row r="225" ht="12.75" customHeight="1">
      <c r="A225" s="26"/>
      <c r="B225" s="12"/>
      <c r="C225" s="240"/>
      <c r="D225" s="241"/>
      <c r="E225" s="5"/>
      <c r="F225" s="5"/>
      <c r="G225" s="5"/>
      <c r="H225" s="5"/>
      <c r="I225" s="5"/>
      <c r="J225" s="5"/>
      <c r="K225" s="8"/>
      <c r="L225" s="9"/>
      <c r="M225" s="10"/>
      <c r="N225" s="12"/>
      <c r="O225" s="242"/>
      <c r="P225" s="243"/>
      <c r="Q225" s="243"/>
      <c r="R225" s="14"/>
      <c r="S225" s="242"/>
      <c r="T225" s="15"/>
      <c r="U225" s="15"/>
      <c r="V225" s="15"/>
      <c r="W225" s="8"/>
      <c r="X225" s="8"/>
      <c r="Y225" s="56"/>
      <c r="Z225" s="56"/>
      <c r="AA225" s="15"/>
      <c r="AB225" s="15"/>
      <c r="AC225" s="15"/>
      <c r="AD225" s="15"/>
      <c r="AE225" s="57"/>
      <c r="AF225" s="57"/>
      <c r="AG225" s="15"/>
      <c r="AH225" s="25"/>
      <c r="AI225" s="26"/>
      <c r="AJ225" s="26"/>
      <c r="AK225" s="27"/>
      <c r="AL225" s="28"/>
      <c r="AM225" s="29"/>
    </row>
    <row r="226" ht="12.75" customHeight="1">
      <c r="A226" s="26"/>
      <c r="B226" s="12"/>
      <c r="C226" s="240"/>
      <c r="D226" s="241"/>
      <c r="E226" s="5"/>
      <c r="F226" s="5"/>
      <c r="G226" s="5"/>
      <c r="H226" s="5"/>
      <c r="I226" s="5"/>
      <c r="J226" s="5"/>
      <c r="K226" s="8"/>
      <c r="L226" s="9"/>
      <c r="M226" s="10"/>
      <c r="N226" s="12"/>
      <c r="O226" s="242"/>
      <c r="P226" s="243"/>
      <c r="Q226" s="243"/>
      <c r="R226" s="14"/>
      <c r="S226" s="242"/>
      <c r="T226" s="15"/>
      <c r="U226" s="15"/>
      <c r="V226" s="15"/>
      <c r="W226" s="8"/>
      <c r="X226" s="8"/>
      <c r="Y226" s="56"/>
      <c r="Z226" s="56"/>
      <c r="AA226" s="15"/>
      <c r="AB226" s="15"/>
      <c r="AC226" s="15"/>
      <c r="AD226" s="15"/>
      <c r="AE226" s="57"/>
      <c r="AF226" s="57"/>
      <c r="AG226" s="15"/>
      <c r="AH226" s="25"/>
      <c r="AI226" s="26"/>
      <c r="AJ226" s="26"/>
      <c r="AK226" s="27"/>
      <c r="AL226" s="28"/>
      <c r="AM226" s="29"/>
    </row>
    <row r="227" ht="12.75" customHeight="1">
      <c r="A227" s="26"/>
      <c r="B227" s="12"/>
      <c r="C227" s="240"/>
      <c r="D227" s="241"/>
      <c r="E227" s="5"/>
      <c r="F227" s="5"/>
      <c r="G227" s="5"/>
      <c r="H227" s="5"/>
      <c r="I227" s="5"/>
      <c r="J227" s="5"/>
      <c r="K227" s="8"/>
      <c r="L227" s="9"/>
      <c r="M227" s="10"/>
      <c r="N227" s="12"/>
      <c r="O227" s="242"/>
      <c r="P227" s="243"/>
      <c r="Q227" s="243"/>
      <c r="R227" s="14"/>
      <c r="S227" s="242"/>
      <c r="T227" s="15"/>
      <c r="U227" s="15"/>
      <c r="V227" s="15"/>
      <c r="W227" s="8"/>
      <c r="X227" s="8"/>
      <c r="Y227" s="56"/>
      <c r="Z227" s="56"/>
      <c r="AA227" s="15"/>
      <c r="AB227" s="15"/>
      <c r="AC227" s="15"/>
      <c r="AD227" s="15"/>
      <c r="AE227" s="57"/>
      <c r="AF227" s="57"/>
      <c r="AG227" s="15"/>
      <c r="AH227" s="25"/>
      <c r="AI227" s="26"/>
      <c r="AJ227" s="26"/>
      <c r="AK227" s="27"/>
      <c r="AL227" s="28"/>
      <c r="AM227" s="29"/>
    </row>
    <row r="228" ht="12.75" customHeight="1">
      <c r="A228" s="26"/>
      <c r="B228" s="12"/>
      <c r="C228" s="240"/>
      <c r="D228" s="241"/>
      <c r="E228" s="5"/>
      <c r="F228" s="5"/>
      <c r="G228" s="5"/>
      <c r="H228" s="5"/>
      <c r="I228" s="5"/>
      <c r="J228" s="5"/>
      <c r="K228" s="8"/>
      <c r="L228" s="9"/>
      <c r="M228" s="10"/>
      <c r="N228" s="12"/>
      <c r="O228" s="242"/>
      <c r="P228" s="243"/>
      <c r="Q228" s="243"/>
      <c r="R228" s="14"/>
      <c r="S228" s="242"/>
      <c r="T228" s="15"/>
      <c r="U228" s="15"/>
      <c r="V228" s="15"/>
      <c r="W228" s="8"/>
      <c r="X228" s="8"/>
      <c r="Y228" s="56"/>
      <c r="Z228" s="56"/>
      <c r="AA228" s="15"/>
      <c r="AB228" s="15"/>
      <c r="AC228" s="15"/>
      <c r="AD228" s="15"/>
      <c r="AE228" s="57"/>
      <c r="AF228" s="57"/>
      <c r="AG228" s="15"/>
      <c r="AH228" s="25"/>
      <c r="AI228" s="26"/>
      <c r="AJ228" s="26"/>
      <c r="AK228" s="27"/>
      <c r="AL228" s="28"/>
      <c r="AM228" s="29"/>
    </row>
    <row r="229" ht="12.75" customHeight="1">
      <c r="A229" s="26"/>
      <c r="B229" s="12"/>
      <c r="C229" s="240"/>
      <c r="D229" s="241"/>
      <c r="E229" s="5"/>
      <c r="F229" s="5"/>
      <c r="G229" s="5"/>
      <c r="H229" s="5"/>
      <c r="I229" s="5"/>
      <c r="J229" s="5"/>
      <c r="K229" s="8"/>
      <c r="L229" s="9"/>
      <c r="M229" s="10"/>
      <c r="N229" s="12"/>
      <c r="O229" s="242"/>
      <c r="P229" s="243"/>
      <c r="Q229" s="243"/>
      <c r="R229" s="14"/>
      <c r="S229" s="242"/>
      <c r="T229" s="15"/>
      <c r="U229" s="15"/>
      <c r="V229" s="15"/>
      <c r="W229" s="8"/>
      <c r="X229" s="8"/>
      <c r="Y229" s="56"/>
      <c r="Z229" s="56"/>
      <c r="AA229" s="15"/>
      <c r="AB229" s="15"/>
      <c r="AC229" s="15"/>
      <c r="AD229" s="15"/>
      <c r="AE229" s="57"/>
      <c r="AF229" s="57"/>
      <c r="AG229" s="15"/>
      <c r="AH229" s="25"/>
      <c r="AI229" s="26"/>
      <c r="AJ229" s="26"/>
      <c r="AK229" s="27"/>
      <c r="AL229" s="28"/>
      <c r="AM229" s="29"/>
    </row>
    <row r="230" ht="12.75" customHeight="1">
      <c r="A230" s="26"/>
      <c r="B230" s="12"/>
      <c r="C230" s="240"/>
      <c r="D230" s="241"/>
      <c r="E230" s="5"/>
      <c r="F230" s="5"/>
      <c r="G230" s="5"/>
      <c r="H230" s="5"/>
      <c r="I230" s="5"/>
      <c r="J230" s="5"/>
      <c r="K230" s="8"/>
      <c r="L230" s="9"/>
      <c r="M230" s="10"/>
      <c r="N230" s="12"/>
      <c r="O230" s="242"/>
      <c r="P230" s="243"/>
      <c r="Q230" s="243"/>
      <c r="R230" s="14"/>
      <c r="S230" s="242"/>
      <c r="T230" s="15"/>
      <c r="U230" s="15"/>
      <c r="V230" s="15"/>
      <c r="W230" s="8"/>
      <c r="X230" s="8"/>
      <c r="Y230" s="56"/>
      <c r="Z230" s="56"/>
      <c r="AA230" s="15"/>
      <c r="AB230" s="15"/>
      <c r="AC230" s="15"/>
      <c r="AD230" s="15"/>
      <c r="AE230" s="57"/>
      <c r="AF230" s="57"/>
      <c r="AG230" s="15"/>
      <c r="AH230" s="25"/>
      <c r="AI230" s="26"/>
      <c r="AJ230" s="26"/>
      <c r="AK230" s="27"/>
      <c r="AL230" s="28"/>
      <c r="AM230" s="29"/>
    </row>
    <row r="231" ht="12.75" customHeight="1">
      <c r="A231" s="26"/>
      <c r="B231" s="12"/>
      <c r="C231" s="240"/>
      <c r="D231" s="241"/>
      <c r="E231" s="5"/>
      <c r="F231" s="5"/>
      <c r="G231" s="5"/>
      <c r="H231" s="5"/>
      <c r="I231" s="5"/>
      <c r="J231" s="5"/>
      <c r="K231" s="8"/>
      <c r="L231" s="9"/>
      <c r="M231" s="10"/>
      <c r="N231" s="12"/>
      <c r="O231" s="242"/>
      <c r="P231" s="243"/>
      <c r="Q231" s="243"/>
      <c r="R231" s="14"/>
      <c r="S231" s="242"/>
      <c r="T231" s="15"/>
      <c r="U231" s="15"/>
      <c r="V231" s="15"/>
      <c r="W231" s="8"/>
      <c r="X231" s="8"/>
      <c r="Y231" s="56"/>
      <c r="Z231" s="56"/>
      <c r="AA231" s="15"/>
      <c r="AB231" s="15"/>
      <c r="AC231" s="15"/>
      <c r="AD231" s="15"/>
      <c r="AE231" s="57"/>
      <c r="AF231" s="57"/>
      <c r="AG231" s="15"/>
      <c r="AH231" s="25"/>
      <c r="AI231" s="26"/>
      <c r="AJ231" s="26"/>
      <c r="AK231" s="27"/>
      <c r="AL231" s="28"/>
      <c r="AM231" s="29"/>
    </row>
    <row r="232" ht="12.75" customHeight="1">
      <c r="A232" s="26"/>
      <c r="B232" s="12"/>
      <c r="C232" s="240"/>
      <c r="D232" s="241"/>
      <c r="E232" s="5"/>
      <c r="F232" s="5"/>
      <c r="G232" s="5"/>
      <c r="H232" s="5"/>
      <c r="I232" s="5"/>
      <c r="J232" s="5"/>
      <c r="K232" s="8"/>
      <c r="L232" s="9"/>
      <c r="M232" s="10"/>
      <c r="N232" s="12"/>
      <c r="O232" s="242"/>
      <c r="P232" s="243"/>
      <c r="Q232" s="243"/>
      <c r="R232" s="14"/>
      <c r="S232" s="242"/>
      <c r="T232" s="15"/>
      <c r="U232" s="15"/>
      <c r="V232" s="15"/>
      <c r="W232" s="8"/>
      <c r="X232" s="8"/>
      <c r="Y232" s="56"/>
      <c r="Z232" s="56"/>
      <c r="AA232" s="15"/>
      <c r="AB232" s="15"/>
      <c r="AC232" s="15"/>
      <c r="AD232" s="15"/>
      <c r="AE232" s="57"/>
      <c r="AF232" s="57"/>
      <c r="AG232" s="15"/>
      <c r="AH232" s="25"/>
      <c r="AI232" s="26"/>
      <c r="AJ232" s="26"/>
      <c r="AK232" s="27"/>
      <c r="AL232" s="28"/>
      <c r="AM232" s="29"/>
    </row>
    <row r="233" ht="12.75" customHeight="1">
      <c r="A233" s="26"/>
      <c r="B233" s="12"/>
      <c r="C233" s="240"/>
      <c r="D233" s="241"/>
      <c r="E233" s="5"/>
      <c r="F233" s="5"/>
      <c r="G233" s="5"/>
      <c r="H233" s="5"/>
      <c r="I233" s="5"/>
      <c r="J233" s="5"/>
      <c r="K233" s="8"/>
      <c r="L233" s="9"/>
      <c r="M233" s="10"/>
      <c r="N233" s="12"/>
      <c r="O233" s="242"/>
      <c r="P233" s="243"/>
      <c r="Q233" s="243"/>
      <c r="R233" s="14"/>
      <c r="S233" s="242"/>
      <c r="T233" s="15"/>
      <c r="U233" s="15"/>
      <c r="V233" s="15"/>
      <c r="W233" s="8"/>
      <c r="X233" s="8"/>
      <c r="Y233" s="56"/>
      <c r="Z233" s="56"/>
      <c r="AA233" s="15"/>
      <c r="AB233" s="15"/>
      <c r="AC233" s="15"/>
      <c r="AD233" s="15"/>
      <c r="AE233" s="57"/>
      <c r="AF233" s="57"/>
      <c r="AG233" s="15"/>
      <c r="AH233" s="25"/>
      <c r="AI233" s="26"/>
      <c r="AJ233" s="26"/>
      <c r="AK233" s="27"/>
      <c r="AL233" s="28"/>
      <c r="AM233" s="29"/>
    </row>
    <row r="234" ht="12.75" customHeight="1">
      <c r="A234" s="26"/>
      <c r="B234" s="12"/>
      <c r="C234" s="240"/>
      <c r="D234" s="241"/>
      <c r="E234" s="5"/>
      <c r="F234" s="5"/>
      <c r="G234" s="5"/>
      <c r="H234" s="5"/>
      <c r="I234" s="5"/>
      <c r="J234" s="5"/>
      <c r="K234" s="8"/>
      <c r="L234" s="9"/>
      <c r="M234" s="10"/>
      <c r="N234" s="12"/>
      <c r="O234" s="242"/>
      <c r="P234" s="243"/>
      <c r="Q234" s="243"/>
      <c r="R234" s="14"/>
      <c r="S234" s="242"/>
      <c r="T234" s="15"/>
      <c r="U234" s="15"/>
      <c r="V234" s="15"/>
      <c r="W234" s="8"/>
      <c r="X234" s="8"/>
      <c r="Y234" s="56"/>
      <c r="Z234" s="56"/>
      <c r="AA234" s="15"/>
      <c r="AB234" s="15"/>
      <c r="AC234" s="15"/>
      <c r="AD234" s="15"/>
      <c r="AE234" s="57"/>
      <c r="AF234" s="57"/>
      <c r="AG234" s="15"/>
      <c r="AH234" s="25"/>
      <c r="AI234" s="26"/>
      <c r="AJ234" s="26"/>
      <c r="AK234" s="27"/>
      <c r="AL234" s="28"/>
      <c r="AM234" s="29"/>
    </row>
    <row r="235" ht="12.75" customHeight="1">
      <c r="A235" s="26"/>
      <c r="B235" s="12"/>
      <c r="C235" s="240"/>
      <c r="D235" s="241"/>
      <c r="E235" s="5"/>
      <c r="F235" s="5"/>
      <c r="G235" s="5"/>
      <c r="H235" s="5"/>
      <c r="I235" s="5"/>
      <c r="J235" s="5"/>
      <c r="K235" s="8"/>
      <c r="L235" s="9"/>
      <c r="M235" s="10"/>
      <c r="N235" s="12"/>
      <c r="O235" s="242"/>
      <c r="P235" s="243"/>
      <c r="Q235" s="243"/>
      <c r="R235" s="14"/>
      <c r="S235" s="242"/>
      <c r="T235" s="15"/>
      <c r="U235" s="15"/>
      <c r="V235" s="15"/>
      <c r="W235" s="8"/>
      <c r="X235" s="8"/>
      <c r="Y235" s="56"/>
      <c r="Z235" s="56"/>
      <c r="AA235" s="15"/>
      <c r="AB235" s="15"/>
      <c r="AC235" s="15"/>
      <c r="AD235" s="15"/>
      <c r="AE235" s="57"/>
      <c r="AF235" s="57"/>
      <c r="AG235" s="15"/>
      <c r="AH235" s="25"/>
      <c r="AI235" s="26"/>
      <c r="AJ235" s="26"/>
      <c r="AK235" s="27"/>
      <c r="AL235" s="28"/>
      <c r="AM235" s="29"/>
    </row>
    <row r="236" ht="12.75" customHeight="1">
      <c r="A236" s="26"/>
      <c r="B236" s="12"/>
      <c r="C236" s="240"/>
      <c r="D236" s="241"/>
      <c r="E236" s="5"/>
      <c r="F236" s="5"/>
      <c r="G236" s="5"/>
      <c r="H236" s="5"/>
      <c r="I236" s="5"/>
      <c r="J236" s="5"/>
      <c r="K236" s="8"/>
      <c r="L236" s="9"/>
      <c r="M236" s="10"/>
      <c r="N236" s="12"/>
      <c r="O236" s="242"/>
      <c r="P236" s="243"/>
      <c r="Q236" s="243"/>
      <c r="R236" s="14"/>
      <c r="S236" s="242"/>
      <c r="T236" s="15"/>
      <c r="U236" s="15"/>
      <c r="V236" s="15"/>
      <c r="W236" s="8"/>
      <c r="X236" s="8"/>
      <c r="Y236" s="56"/>
      <c r="Z236" s="56"/>
      <c r="AA236" s="15"/>
      <c r="AB236" s="15"/>
      <c r="AC236" s="15"/>
      <c r="AD236" s="15"/>
      <c r="AE236" s="57"/>
      <c r="AF236" s="57"/>
      <c r="AG236" s="15"/>
      <c r="AH236" s="25"/>
      <c r="AI236" s="26"/>
      <c r="AJ236" s="26"/>
      <c r="AK236" s="27"/>
      <c r="AL236" s="28"/>
      <c r="AM236" s="29"/>
    </row>
    <row r="237" ht="12.75" customHeight="1">
      <c r="A237" s="26"/>
      <c r="B237" s="12"/>
      <c r="C237" s="240"/>
      <c r="D237" s="241"/>
      <c r="E237" s="5"/>
      <c r="F237" s="5"/>
      <c r="G237" s="5"/>
      <c r="H237" s="5"/>
      <c r="I237" s="5"/>
      <c r="J237" s="5"/>
      <c r="K237" s="8"/>
      <c r="L237" s="9"/>
      <c r="M237" s="10"/>
      <c r="N237" s="12"/>
      <c r="O237" s="242"/>
      <c r="P237" s="243"/>
      <c r="Q237" s="243"/>
      <c r="R237" s="14"/>
      <c r="S237" s="242"/>
      <c r="T237" s="15"/>
      <c r="U237" s="15"/>
      <c r="V237" s="15"/>
      <c r="W237" s="8"/>
      <c r="X237" s="8"/>
      <c r="Y237" s="56"/>
      <c r="Z237" s="56"/>
      <c r="AA237" s="15"/>
      <c r="AB237" s="15"/>
      <c r="AC237" s="15"/>
      <c r="AD237" s="15"/>
      <c r="AE237" s="57"/>
      <c r="AF237" s="57"/>
      <c r="AG237" s="15"/>
      <c r="AH237" s="25"/>
      <c r="AI237" s="26"/>
      <c r="AJ237" s="26"/>
      <c r="AK237" s="27"/>
      <c r="AL237" s="28"/>
      <c r="AM237" s="29"/>
    </row>
    <row r="238" ht="12.75" customHeight="1">
      <c r="A238" s="26"/>
      <c r="B238" s="12"/>
      <c r="C238" s="240"/>
      <c r="D238" s="241"/>
      <c r="E238" s="5"/>
      <c r="F238" s="5"/>
      <c r="G238" s="5"/>
      <c r="H238" s="5"/>
      <c r="I238" s="5"/>
      <c r="J238" s="5"/>
      <c r="K238" s="8"/>
      <c r="L238" s="9"/>
      <c r="M238" s="10"/>
      <c r="N238" s="12"/>
      <c r="O238" s="242"/>
      <c r="P238" s="243"/>
      <c r="Q238" s="243"/>
      <c r="R238" s="14"/>
      <c r="S238" s="242"/>
      <c r="T238" s="15"/>
      <c r="U238" s="15"/>
      <c r="V238" s="15"/>
      <c r="W238" s="8"/>
      <c r="X238" s="8"/>
      <c r="Y238" s="56"/>
      <c r="Z238" s="56"/>
      <c r="AA238" s="15"/>
      <c r="AB238" s="15"/>
      <c r="AC238" s="15"/>
      <c r="AD238" s="15"/>
      <c r="AE238" s="57"/>
      <c r="AF238" s="57"/>
      <c r="AG238" s="15"/>
      <c r="AH238" s="25"/>
      <c r="AI238" s="26"/>
      <c r="AJ238" s="26"/>
      <c r="AK238" s="27"/>
      <c r="AL238" s="28"/>
      <c r="AM238" s="29"/>
    </row>
    <row r="239" ht="12.75" customHeight="1">
      <c r="A239" s="26"/>
      <c r="B239" s="12"/>
      <c r="C239" s="240"/>
      <c r="D239" s="241"/>
      <c r="E239" s="5"/>
      <c r="F239" s="5"/>
      <c r="G239" s="5"/>
      <c r="H239" s="5"/>
      <c r="I239" s="5"/>
      <c r="J239" s="5"/>
      <c r="K239" s="8"/>
      <c r="L239" s="9"/>
      <c r="M239" s="10"/>
      <c r="N239" s="12"/>
      <c r="O239" s="242"/>
      <c r="P239" s="243"/>
      <c r="Q239" s="243"/>
      <c r="R239" s="14"/>
      <c r="S239" s="242"/>
      <c r="T239" s="15"/>
      <c r="U239" s="15"/>
      <c r="V239" s="15"/>
      <c r="W239" s="8"/>
      <c r="X239" s="8"/>
      <c r="Y239" s="56"/>
      <c r="Z239" s="56"/>
      <c r="AA239" s="15"/>
      <c r="AB239" s="15"/>
      <c r="AC239" s="15"/>
      <c r="AD239" s="15"/>
      <c r="AE239" s="57"/>
      <c r="AF239" s="57"/>
      <c r="AG239" s="15"/>
      <c r="AH239" s="25"/>
      <c r="AI239" s="26"/>
      <c r="AJ239" s="26"/>
      <c r="AK239" s="27"/>
      <c r="AL239" s="28"/>
      <c r="AM239" s="29"/>
    </row>
    <row r="240" ht="12.75" customHeight="1">
      <c r="A240" s="26"/>
      <c r="B240" s="12"/>
      <c r="C240" s="240"/>
      <c r="D240" s="241"/>
      <c r="E240" s="5"/>
      <c r="F240" s="5"/>
      <c r="G240" s="5"/>
      <c r="H240" s="5"/>
      <c r="I240" s="5"/>
      <c r="J240" s="5"/>
      <c r="K240" s="8"/>
      <c r="L240" s="9"/>
      <c r="M240" s="10"/>
      <c r="N240" s="12"/>
      <c r="O240" s="242"/>
      <c r="P240" s="243"/>
      <c r="Q240" s="243"/>
      <c r="R240" s="14"/>
      <c r="S240" s="242"/>
      <c r="T240" s="15"/>
      <c r="U240" s="15"/>
      <c r="V240" s="15"/>
      <c r="W240" s="8"/>
      <c r="X240" s="8"/>
      <c r="Y240" s="56"/>
      <c r="Z240" s="56"/>
      <c r="AA240" s="15"/>
      <c r="AB240" s="15"/>
      <c r="AC240" s="15"/>
      <c r="AD240" s="15"/>
      <c r="AE240" s="57"/>
      <c r="AF240" s="57"/>
      <c r="AG240" s="15"/>
      <c r="AH240" s="25"/>
      <c r="AI240" s="26"/>
      <c r="AJ240" s="26"/>
      <c r="AK240" s="27"/>
      <c r="AL240" s="28"/>
      <c r="AM240" s="29"/>
    </row>
    <row r="241" ht="12.75" customHeight="1">
      <c r="A241" s="26"/>
      <c r="B241" s="12"/>
      <c r="C241" s="240"/>
      <c r="D241" s="241"/>
      <c r="E241" s="5"/>
      <c r="F241" s="5"/>
      <c r="G241" s="5"/>
      <c r="H241" s="5"/>
      <c r="I241" s="5"/>
      <c r="J241" s="5"/>
      <c r="K241" s="8"/>
      <c r="L241" s="9"/>
      <c r="M241" s="10"/>
      <c r="N241" s="12"/>
      <c r="O241" s="242"/>
      <c r="P241" s="243"/>
      <c r="Q241" s="243"/>
      <c r="R241" s="14"/>
      <c r="S241" s="242"/>
      <c r="T241" s="15"/>
      <c r="U241" s="15"/>
      <c r="V241" s="15"/>
      <c r="W241" s="8"/>
      <c r="X241" s="8"/>
      <c r="Y241" s="56"/>
      <c r="Z241" s="56"/>
      <c r="AA241" s="15"/>
      <c r="AB241" s="15"/>
      <c r="AC241" s="15"/>
      <c r="AD241" s="15"/>
      <c r="AE241" s="57"/>
      <c r="AF241" s="57"/>
      <c r="AG241" s="15"/>
      <c r="AH241" s="25"/>
      <c r="AI241" s="26"/>
      <c r="AJ241" s="26"/>
      <c r="AK241" s="27"/>
      <c r="AL241" s="28"/>
      <c r="AM241" s="29"/>
    </row>
    <row r="242" ht="12.75" customHeight="1">
      <c r="A242" s="26"/>
      <c r="B242" s="12"/>
      <c r="C242" s="240"/>
      <c r="D242" s="241"/>
      <c r="E242" s="5"/>
      <c r="F242" s="5"/>
      <c r="G242" s="5"/>
      <c r="H242" s="5"/>
      <c r="I242" s="5"/>
      <c r="J242" s="5"/>
      <c r="K242" s="8"/>
      <c r="L242" s="9"/>
      <c r="M242" s="10"/>
      <c r="N242" s="12"/>
      <c r="O242" s="242"/>
      <c r="P242" s="243"/>
      <c r="Q242" s="243"/>
      <c r="R242" s="14"/>
      <c r="S242" s="242"/>
      <c r="T242" s="15"/>
      <c r="U242" s="15"/>
      <c r="V242" s="15"/>
      <c r="W242" s="8"/>
      <c r="X242" s="8"/>
      <c r="Y242" s="56"/>
      <c r="Z242" s="56"/>
      <c r="AA242" s="15"/>
      <c r="AB242" s="15"/>
      <c r="AC242" s="15"/>
      <c r="AD242" s="15"/>
      <c r="AE242" s="57"/>
      <c r="AF242" s="57"/>
      <c r="AG242" s="15"/>
      <c r="AH242" s="25"/>
      <c r="AI242" s="26"/>
      <c r="AJ242" s="26"/>
      <c r="AK242" s="27"/>
      <c r="AL242" s="28"/>
      <c r="AM242" s="29"/>
    </row>
    <row r="243" ht="12.75" customHeight="1">
      <c r="A243" s="26"/>
      <c r="B243" s="12"/>
      <c r="C243" s="240"/>
      <c r="D243" s="241"/>
      <c r="E243" s="5"/>
      <c r="F243" s="5"/>
      <c r="G243" s="5"/>
      <c r="H243" s="5"/>
      <c r="I243" s="5"/>
      <c r="J243" s="5"/>
      <c r="K243" s="8"/>
      <c r="L243" s="9"/>
      <c r="M243" s="10"/>
      <c r="N243" s="12"/>
      <c r="O243" s="242"/>
      <c r="P243" s="243"/>
      <c r="Q243" s="243"/>
      <c r="R243" s="14"/>
      <c r="S243" s="242"/>
      <c r="T243" s="15"/>
      <c r="U243" s="15"/>
      <c r="V243" s="15"/>
      <c r="W243" s="8"/>
      <c r="X243" s="8"/>
      <c r="Y243" s="56"/>
      <c r="Z243" s="56"/>
      <c r="AA243" s="15"/>
      <c r="AB243" s="15"/>
      <c r="AC243" s="15"/>
      <c r="AD243" s="15"/>
      <c r="AE243" s="57"/>
      <c r="AF243" s="57"/>
      <c r="AG243" s="15"/>
      <c r="AH243" s="25"/>
      <c r="AI243" s="26"/>
      <c r="AJ243" s="26"/>
      <c r="AK243" s="27"/>
      <c r="AL243" s="28"/>
      <c r="AM243" s="29"/>
    </row>
  </sheetData>
  <mergeCells count="8">
    <mergeCell ref="H1:I1"/>
    <mergeCell ref="J4:J5"/>
    <mergeCell ref="AJ7:AM8"/>
    <mergeCell ref="F8:K8"/>
    <mergeCell ref="O8:S8"/>
    <mergeCell ref="T8:V8"/>
    <mergeCell ref="X8:AD8"/>
    <mergeCell ref="AG8:AH8"/>
  </mergeCells>
  <conditionalFormatting sqref="AH1:AH7 AH9:AH243">
    <cfRule type="cellIs" dxfId="0" priority="1" operator="lessThan">
      <formula>0</formula>
    </cfRule>
  </conditionalFormatting>
  <conditionalFormatting sqref="AH1:AH7 AH9:AH243">
    <cfRule type="cellIs" dxfId="1" priority="2" operator="greaterThan">
      <formula>0.300001</formula>
    </cfRule>
  </conditionalFormatting>
  <conditionalFormatting sqref="AH1:AH7 AH9:AH243">
    <cfRule type="cellIs" dxfId="2" priority="3" operator="between">
      <formula>0.250001</formula>
      <formula>0.3</formula>
    </cfRule>
  </conditionalFormatting>
  <conditionalFormatting sqref="AH1:AH7 AH9:AH243">
    <cfRule type="cellIs" dxfId="3" priority="4" operator="between">
      <formula>0.200001</formula>
      <formula>0.25</formula>
    </cfRule>
  </conditionalFormatting>
  <conditionalFormatting sqref="AH1:AH7 AH9:AH243">
    <cfRule type="cellIs" dxfId="4" priority="5" operator="between">
      <formula>0.1500001</formula>
      <formula>0.2</formula>
    </cfRule>
  </conditionalFormatting>
  <conditionalFormatting sqref="AH1:AH7 AH9:AH243">
    <cfRule type="cellIs" dxfId="5" priority="6" operator="between">
      <formula>0.0000001</formula>
      <formula>0.15</formula>
    </cfRule>
  </conditionalFormatting>
  <printOptions/>
  <pageMargins bottom="0.7875" footer="0.0" header="0.0" left="0.7875" right="0.7875" top="0.78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4.43" defaultRowHeight="15.0"/>
  <cols>
    <col customWidth="1" min="1" max="1" width="1.43"/>
    <col customWidth="1" hidden="1" min="2" max="2" width="8.71"/>
    <col customWidth="1" min="3" max="3" width="12.14"/>
    <col customWidth="1" min="4" max="4" width="52.71"/>
    <col customWidth="1" min="5" max="5" width="5.71"/>
    <col customWidth="1" min="6" max="6" width="7.71"/>
    <col customWidth="1" min="7" max="7" width="8.29"/>
    <col customWidth="1" min="8" max="9" width="8.0"/>
    <col customWidth="1" min="10" max="10" width="8.14"/>
    <col customWidth="1" min="11" max="11" width="9.86"/>
    <col customWidth="1" min="12" max="13" width="8.14"/>
    <col customWidth="1" min="14" max="15" width="9.0"/>
    <col customWidth="1" min="16" max="17" width="10.14"/>
    <col customWidth="1" min="18" max="22" width="9.0"/>
    <col customWidth="1" min="23" max="23" width="7.14"/>
    <col customWidth="1" min="24" max="30" width="9.0"/>
    <col customWidth="1" min="31" max="31" width="7.43"/>
    <col customWidth="1" min="32" max="34" width="9.0"/>
    <col customWidth="1" min="35" max="35" width="2.0"/>
    <col customWidth="1" min="36" max="37" width="9.0"/>
    <col customWidth="1" min="38" max="38" width="10.14"/>
    <col customWidth="1" min="39" max="39" width="9.0"/>
  </cols>
  <sheetData>
    <row r="1" ht="12.75" customHeight="1">
      <c r="A1" s="1">
        <v>2.14312259E8</v>
      </c>
      <c r="B1" s="2"/>
      <c r="C1" s="3">
        <v>15.0</v>
      </c>
      <c r="D1" s="4" t="s">
        <v>0</v>
      </c>
      <c r="E1" s="5"/>
      <c r="F1" s="5"/>
      <c r="G1" s="5"/>
      <c r="H1" s="6">
        <v>45712.0</v>
      </c>
      <c r="I1" s="7"/>
      <c r="J1" s="5"/>
      <c r="K1" s="8"/>
      <c r="L1" s="9"/>
      <c r="M1" s="10"/>
      <c r="N1" s="10"/>
      <c r="O1" s="12" t="s">
        <v>1</v>
      </c>
      <c r="P1" s="13"/>
      <c r="Q1" s="13"/>
      <c r="R1" s="14"/>
      <c r="S1" s="15" t="s">
        <v>2</v>
      </c>
      <c r="T1" s="15"/>
      <c r="U1" s="15"/>
      <c r="V1" s="15"/>
      <c r="W1" s="8"/>
      <c r="X1" s="16" t="s">
        <v>3</v>
      </c>
      <c r="Y1" s="17">
        <v>1.7</v>
      </c>
      <c r="Z1" s="18" t="s">
        <v>4</v>
      </c>
      <c r="AA1" s="19"/>
      <c r="AB1" s="20"/>
      <c r="AC1" s="15"/>
      <c r="AD1" s="21">
        <v>0.29</v>
      </c>
      <c r="AE1" s="22" t="s">
        <v>5</v>
      </c>
      <c r="AF1" s="23"/>
      <c r="AG1" s="24"/>
      <c r="AH1" s="25"/>
      <c r="AI1" s="26"/>
      <c r="AJ1" s="26"/>
      <c r="AK1" s="27"/>
      <c r="AL1" s="28"/>
      <c r="AM1" s="29"/>
    </row>
    <row r="2" ht="12.75" customHeight="1">
      <c r="A2" s="26"/>
      <c r="B2" s="12"/>
      <c r="C2" s="30">
        <v>0.05</v>
      </c>
      <c r="D2" s="31" t="s">
        <v>6</v>
      </c>
      <c r="E2" s="5"/>
      <c r="F2" s="5"/>
      <c r="G2" s="5"/>
      <c r="H2" s="32" t="s">
        <v>7</v>
      </c>
      <c r="I2" s="32">
        <v>6.9E-4</v>
      </c>
      <c r="J2" s="5"/>
      <c r="K2" s="8"/>
      <c r="L2" s="9"/>
      <c r="M2" s="10"/>
      <c r="N2" s="10" t="s">
        <v>8</v>
      </c>
      <c r="O2" s="33">
        <v>170.0</v>
      </c>
      <c r="P2" s="34">
        <v>64.6</v>
      </c>
      <c r="Q2" s="34"/>
      <c r="R2" s="35">
        <v>16.15</v>
      </c>
      <c r="S2" s="36">
        <v>170.0</v>
      </c>
      <c r="T2" s="36">
        <v>0.14</v>
      </c>
      <c r="U2" s="36">
        <v>0.14</v>
      </c>
      <c r="V2" s="15"/>
      <c r="W2" s="8"/>
      <c r="X2" s="37" t="s">
        <v>9</v>
      </c>
      <c r="Y2" s="38">
        <v>1.7</v>
      </c>
      <c r="Z2" s="39" t="s">
        <v>10</v>
      </c>
      <c r="AA2" s="38"/>
      <c r="AB2" s="40"/>
      <c r="AC2" s="15"/>
      <c r="AD2" s="41">
        <v>0.0</v>
      </c>
      <c r="AE2" s="22" t="s">
        <v>11</v>
      </c>
      <c r="AF2" s="23"/>
      <c r="AG2" s="24"/>
      <c r="AH2" s="25"/>
      <c r="AI2" s="26"/>
      <c r="AJ2" s="26"/>
      <c r="AK2" s="27"/>
      <c r="AL2" s="28"/>
      <c r="AM2" s="29"/>
    </row>
    <row r="3" ht="12.75" customHeight="1">
      <c r="A3" s="26"/>
      <c r="B3" s="12"/>
      <c r="C3" s="42">
        <v>0.0</v>
      </c>
      <c r="D3" s="43" t="s">
        <v>12</v>
      </c>
      <c r="E3" s="5"/>
      <c r="F3" s="5"/>
      <c r="G3" s="5"/>
      <c r="H3" s="44" t="s">
        <v>13</v>
      </c>
      <c r="I3" s="44">
        <v>89.0</v>
      </c>
      <c r="J3" s="5"/>
      <c r="K3" s="8"/>
      <c r="L3" s="9"/>
      <c r="M3" s="10"/>
      <c r="N3" s="10" t="s">
        <v>14</v>
      </c>
      <c r="O3" s="33">
        <v>160.0</v>
      </c>
      <c r="P3" s="34">
        <v>60.8</v>
      </c>
      <c r="Q3" s="34"/>
      <c r="R3" s="35">
        <v>15.2</v>
      </c>
      <c r="S3" s="36">
        <v>160.0</v>
      </c>
      <c r="T3" s="36">
        <v>0.13</v>
      </c>
      <c r="U3" s="36">
        <v>0.13</v>
      </c>
      <c r="V3" s="15"/>
      <c r="W3" s="8"/>
      <c r="X3" s="8"/>
      <c r="Y3" s="45">
        <v>50.0</v>
      </c>
      <c r="Z3" s="46" t="s">
        <v>15</v>
      </c>
      <c r="AA3" s="38"/>
      <c r="AB3" s="40"/>
      <c r="AC3" s="15"/>
      <c r="AD3" s="47">
        <v>0.0</v>
      </c>
      <c r="AE3" s="48" t="s">
        <v>16</v>
      </c>
      <c r="AF3" s="49"/>
      <c r="AG3" s="50"/>
      <c r="AH3" s="25"/>
      <c r="AI3" s="26"/>
      <c r="AJ3" s="26"/>
      <c r="AK3" s="27"/>
      <c r="AL3" s="28"/>
      <c r="AM3" s="29"/>
    </row>
    <row r="4" ht="12.75" customHeight="1">
      <c r="A4" s="26"/>
      <c r="B4" s="12"/>
      <c r="C4" s="51">
        <v>76.0</v>
      </c>
      <c r="D4" s="52" t="s">
        <v>17</v>
      </c>
      <c r="E4" s="5"/>
      <c r="F4" s="5"/>
      <c r="G4" s="53"/>
      <c r="H4" s="54" t="s">
        <v>18</v>
      </c>
      <c r="I4" s="32"/>
      <c r="J4" s="55">
        <v>0.3</v>
      </c>
      <c r="K4" s="8"/>
      <c r="L4" s="9"/>
      <c r="M4" s="10"/>
      <c r="N4" s="10" t="s">
        <v>19</v>
      </c>
      <c r="O4" s="33">
        <v>115.0</v>
      </c>
      <c r="P4" s="34">
        <v>43.7</v>
      </c>
      <c r="Q4" s="34"/>
      <c r="R4" s="35">
        <v>10.93</v>
      </c>
      <c r="S4" s="36">
        <v>115.0</v>
      </c>
      <c r="T4" s="36">
        <v>0.09</v>
      </c>
      <c r="U4" s="36">
        <v>0.09</v>
      </c>
      <c r="V4" s="15"/>
      <c r="W4" s="8"/>
      <c r="X4" s="8"/>
      <c r="Y4" s="15">
        <v>38.0</v>
      </c>
      <c r="Z4" s="56" t="s">
        <v>20</v>
      </c>
      <c r="AA4" s="15"/>
      <c r="AB4" s="15"/>
      <c r="AC4" s="15"/>
      <c r="AD4" s="15"/>
      <c r="AE4" s="57"/>
      <c r="AF4" s="57"/>
      <c r="AG4" s="15"/>
      <c r="AH4" s="25"/>
      <c r="AI4" s="26"/>
      <c r="AJ4" s="26"/>
      <c r="AK4" s="27"/>
      <c r="AL4" s="28"/>
      <c r="AM4" s="29"/>
    </row>
    <row r="5" ht="12.75" customHeight="1">
      <c r="A5" s="26"/>
      <c r="B5" s="12"/>
      <c r="C5" s="58">
        <v>19.0</v>
      </c>
      <c r="D5" s="59" t="s">
        <v>21</v>
      </c>
      <c r="E5" s="5"/>
      <c r="F5" s="5"/>
      <c r="G5" s="53"/>
      <c r="H5" s="54" t="s">
        <v>22</v>
      </c>
      <c r="I5" s="32"/>
      <c r="J5" s="60"/>
      <c r="K5" s="8"/>
      <c r="L5" s="9"/>
      <c r="M5" s="10"/>
      <c r="N5" s="10" t="s">
        <v>23</v>
      </c>
      <c r="O5" s="61">
        <v>200.0</v>
      </c>
      <c r="P5" s="62">
        <v>76.0</v>
      </c>
      <c r="Q5" s="62"/>
      <c r="R5" s="63">
        <v>19.0</v>
      </c>
      <c r="S5" s="36">
        <v>200.0</v>
      </c>
      <c r="T5" s="64">
        <v>0.16</v>
      </c>
      <c r="U5" s="64">
        <v>0.16</v>
      </c>
      <c r="V5" s="15"/>
      <c r="W5" s="8"/>
      <c r="X5" s="8"/>
      <c r="Y5" s="15">
        <v>9.5</v>
      </c>
      <c r="Z5" s="56" t="s">
        <v>24</v>
      </c>
      <c r="AA5" s="15"/>
      <c r="AB5" s="15"/>
      <c r="AC5" s="15"/>
      <c r="AD5" s="15"/>
      <c r="AE5" s="57"/>
      <c r="AF5" s="57"/>
      <c r="AG5" s="15"/>
      <c r="AH5" s="25"/>
      <c r="AI5" s="26"/>
      <c r="AJ5" s="26"/>
      <c r="AK5" s="27"/>
      <c r="AL5" s="28"/>
      <c r="AM5" s="29"/>
    </row>
    <row r="6" ht="12.75" customHeight="1">
      <c r="A6" s="26"/>
      <c r="B6" s="12"/>
      <c r="C6" s="51">
        <v>0.16</v>
      </c>
      <c r="D6" s="52" t="s">
        <v>25</v>
      </c>
      <c r="E6" s="5"/>
      <c r="F6" s="5"/>
      <c r="G6" s="5"/>
      <c r="H6" s="5"/>
      <c r="I6" s="5"/>
      <c r="J6" s="5"/>
      <c r="K6" s="8"/>
      <c r="L6" s="9"/>
      <c r="M6" s="10"/>
      <c r="N6" s="10" t="s">
        <v>26</v>
      </c>
      <c r="O6" s="33">
        <v>165.0</v>
      </c>
      <c r="P6" s="34">
        <v>62.7</v>
      </c>
      <c r="Q6" s="34"/>
      <c r="R6" s="35">
        <v>15.68</v>
      </c>
      <c r="S6" s="36">
        <v>165.0</v>
      </c>
      <c r="T6" s="36">
        <v>0.13</v>
      </c>
      <c r="U6" s="36">
        <v>0.13</v>
      </c>
      <c r="V6" s="15"/>
      <c r="W6" s="8"/>
      <c r="X6" s="8"/>
      <c r="Y6" s="65">
        <v>0.325</v>
      </c>
      <c r="Z6" s="66" t="s">
        <v>27</v>
      </c>
      <c r="AA6" s="19"/>
      <c r="AB6" s="20"/>
      <c r="AC6" s="15"/>
      <c r="AD6" s="15"/>
      <c r="AE6" s="57"/>
      <c r="AF6" s="57"/>
      <c r="AG6" s="15"/>
      <c r="AH6" s="25"/>
      <c r="AI6" s="26"/>
      <c r="AJ6" s="26"/>
      <c r="AK6" s="27"/>
      <c r="AL6" s="28"/>
      <c r="AM6" s="29"/>
    </row>
    <row r="7" ht="12.75" customHeight="1">
      <c r="A7" s="26"/>
      <c r="B7" s="12"/>
      <c r="C7" s="67">
        <v>30.0</v>
      </c>
      <c r="D7" s="59" t="s">
        <v>28</v>
      </c>
      <c r="E7" s="5"/>
      <c r="F7" s="5"/>
      <c r="G7" s="5"/>
      <c r="H7" s="5"/>
      <c r="I7" s="5"/>
      <c r="J7" s="5"/>
      <c r="K7" s="8"/>
      <c r="L7" s="9"/>
      <c r="M7" s="10"/>
      <c r="N7" s="10" t="s">
        <v>29</v>
      </c>
      <c r="O7" s="33">
        <v>220.0</v>
      </c>
      <c r="P7" s="34">
        <v>83.6</v>
      </c>
      <c r="Q7" s="34"/>
      <c r="R7" s="68">
        <v>20.9</v>
      </c>
      <c r="S7" s="35">
        <v>220.0</v>
      </c>
      <c r="T7" s="36">
        <v>0.18</v>
      </c>
      <c r="U7" s="36">
        <v>0.18</v>
      </c>
      <c r="V7" s="15"/>
      <c r="W7" s="69"/>
      <c r="X7" s="8"/>
      <c r="Y7" s="70">
        <v>0.0217</v>
      </c>
      <c r="Z7" s="71" t="s">
        <v>30</v>
      </c>
      <c r="AA7" s="72"/>
      <c r="AB7" s="73"/>
      <c r="AC7" s="15"/>
      <c r="AD7" s="15"/>
      <c r="AE7" s="57"/>
      <c r="AF7" s="57"/>
      <c r="AG7" s="15"/>
      <c r="AH7" s="25"/>
      <c r="AI7" s="26"/>
      <c r="AJ7" s="74" t="s">
        <v>31</v>
      </c>
      <c r="AK7" s="75"/>
      <c r="AL7" s="75"/>
      <c r="AM7" s="76"/>
    </row>
    <row r="8" ht="12.75" customHeight="1">
      <c r="A8" s="26"/>
      <c r="B8" s="77"/>
      <c r="C8" s="78">
        <v>0.08</v>
      </c>
      <c r="D8" s="79" t="s">
        <v>32</v>
      </c>
      <c r="E8" s="80"/>
      <c r="F8" s="81" t="s">
        <v>33</v>
      </c>
      <c r="G8" s="82"/>
      <c r="H8" s="82"/>
      <c r="I8" s="82"/>
      <c r="J8" s="82"/>
      <c r="K8" s="83"/>
      <c r="L8" s="84"/>
      <c r="M8" s="85"/>
      <c r="N8" s="12"/>
      <c r="O8" s="87" t="s">
        <v>34</v>
      </c>
      <c r="P8" s="88"/>
      <c r="Q8" s="88"/>
      <c r="R8" s="88"/>
      <c r="S8" s="89"/>
      <c r="T8" s="90" t="s">
        <v>35</v>
      </c>
      <c r="U8" s="88"/>
      <c r="V8" s="89"/>
      <c r="W8" s="8"/>
      <c r="X8" s="91" t="s">
        <v>36</v>
      </c>
      <c r="Y8" s="75"/>
      <c r="Z8" s="75"/>
      <c r="AA8" s="75"/>
      <c r="AB8" s="75"/>
      <c r="AC8" s="75"/>
      <c r="AD8" s="76"/>
      <c r="AE8" s="57"/>
      <c r="AF8" s="57"/>
      <c r="AG8" s="92" t="s">
        <v>37</v>
      </c>
      <c r="AH8" s="83"/>
      <c r="AI8" s="26"/>
      <c r="AJ8" s="93"/>
      <c r="AK8" s="94"/>
      <c r="AL8" s="94"/>
      <c r="AM8" s="95"/>
    </row>
    <row r="9" ht="52.5" customHeight="1">
      <c r="A9" s="26"/>
      <c r="B9" s="96" t="s">
        <v>38</v>
      </c>
      <c r="C9" s="96" t="s">
        <v>39</v>
      </c>
      <c r="D9" s="97" t="s">
        <v>40</v>
      </c>
      <c r="E9" s="98" t="s">
        <v>41</v>
      </c>
      <c r="F9" s="99" t="s">
        <v>42</v>
      </c>
      <c r="G9" s="100" t="s">
        <v>43</v>
      </c>
      <c r="H9" s="101" t="s">
        <v>44</v>
      </c>
      <c r="I9" s="101" t="s">
        <v>45</v>
      </c>
      <c r="J9" s="101" t="s">
        <v>46</v>
      </c>
      <c r="K9" s="102" t="s">
        <v>47</v>
      </c>
      <c r="L9" s="103" t="s">
        <v>48</v>
      </c>
      <c r="M9" s="104" t="s">
        <v>49</v>
      </c>
      <c r="N9" s="259" t="s">
        <v>656</v>
      </c>
      <c r="O9" s="106" t="s">
        <v>51</v>
      </c>
      <c r="P9" s="107" t="s">
        <v>810</v>
      </c>
      <c r="Q9" s="108" t="s">
        <v>53</v>
      </c>
      <c r="R9" s="109" t="s">
        <v>54</v>
      </c>
      <c r="S9" s="110" t="s">
        <v>55</v>
      </c>
      <c r="T9" s="111" t="s">
        <v>56</v>
      </c>
      <c r="U9" s="379" t="s">
        <v>766</v>
      </c>
      <c r="V9" s="112" t="s">
        <v>58</v>
      </c>
      <c r="W9" s="113" t="s">
        <v>59</v>
      </c>
      <c r="X9" s="114" t="s">
        <v>60</v>
      </c>
      <c r="Y9" s="115" t="s">
        <v>811</v>
      </c>
      <c r="Z9" s="115" t="s">
        <v>812</v>
      </c>
      <c r="AA9" s="116" t="s">
        <v>63</v>
      </c>
      <c r="AB9" s="116" t="s">
        <v>64</v>
      </c>
      <c r="AC9" s="116" t="s">
        <v>65</v>
      </c>
      <c r="AD9" s="117" t="s">
        <v>813</v>
      </c>
      <c r="AE9" s="118" t="s">
        <v>67</v>
      </c>
      <c r="AF9" s="119" t="s">
        <v>68</v>
      </c>
      <c r="AG9" s="120" t="s">
        <v>69</v>
      </c>
      <c r="AH9" s="121" t="s">
        <v>70</v>
      </c>
      <c r="AI9" s="26"/>
      <c r="AJ9" s="122" t="s">
        <v>71</v>
      </c>
      <c r="AK9" s="123" t="s">
        <v>72</v>
      </c>
      <c r="AL9" s="107" t="s">
        <v>814</v>
      </c>
      <c r="AM9" s="124" t="s">
        <v>74</v>
      </c>
    </row>
    <row r="10" ht="12.75" customHeight="1">
      <c r="A10" s="26"/>
      <c r="B10" s="125" t="s">
        <v>75</v>
      </c>
      <c r="C10" s="126"/>
      <c r="D10" s="127"/>
      <c r="E10" s="128"/>
      <c r="F10" s="129"/>
      <c r="G10" s="128"/>
      <c r="H10" s="128"/>
      <c r="I10" s="128"/>
      <c r="J10" s="128"/>
      <c r="K10" s="130"/>
      <c r="L10" s="131"/>
      <c r="M10" s="132"/>
      <c r="N10" s="320"/>
      <c r="O10" s="134"/>
      <c r="P10" s="135"/>
      <c r="Q10" s="135"/>
      <c r="R10" s="136"/>
      <c r="S10" s="137"/>
      <c r="T10" s="138"/>
      <c r="U10" s="139"/>
      <c r="V10" s="140"/>
      <c r="W10" s="141"/>
      <c r="X10" s="142"/>
      <c r="Y10" s="143"/>
      <c r="Z10" s="143"/>
      <c r="AA10" s="139"/>
      <c r="AB10" s="139"/>
      <c r="AC10" s="139"/>
      <c r="AD10" s="140"/>
      <c r="AE10" s="144"/>
      <c r="AF10" s="145"/>
      <c r="AG10" s="138"/>
      <c r="AH10" s="146"/>
      <c r="AI10" s="26"/>
      <c r="AJ10" s="147"/>
      <c r="AK10" s="148"/>
      <c r="AL10" s="149"/>
      <c r="AM10" s="150"/>
    </row>
    <row r="11" ht="12.75" customHeight="1">
      <c r="A11" s="26"/>
      <c r="B11" s="190" t="s">
        <v>474</v>
      </c>
      <c r="C11" s="220">
        <v>1.65299669E8</v>
      </c>
      <c r="D11" s="221" t="s">
        <v>477</v>
      </c>
      <c r="E11" s="211" t="s">
        <v>77</v>
      </c>
      <c r="F11" s="154"/>
      <c r="G11" s="211"/>
      <c r="H11" s="53" t="str">
        <f t="shared" ref="H11:H13" si="1">$I$2</f>
        <v>0.00069</v>
      </c>
      <c r="I11" s="53" t="str">
        <f t="shared" ref="I11:I13" si="2">$I$3</f>
        <v>89</v>
      </c>
      <c r="J11" s="53" t="str">
        <f t="shared" ref="J11:J13" si="3">G11*H11*I11*F11</f>
        <v>0</v>
      </c>
      <c r="K11" s="155" t="str">
        <f t="shared" ref="K11:K13" si="4">J11*$J$4</f>
        <v>0.00</v>
      </c>
      <c r="L11" s="156" t="str">
        <f t="shared" ref="L11:L13" si="5">K11+J11</f>
        <v>0.00 </v>
      </c>
      <c r="M11" s="132">
        <v>90.0</v>
      </c>
      <c r="N11" s="157">
        <v>224.0</v>
      </c>
      <c r="O11" s="158">
        <v>631.0</v>
      </c>
      <c r="P11" s="159" t="str">
        <f t="shared" ref="P11:P40" si="6">O11</f>
        <v>631.00</v>
      </c>
      <c r="Q11" s="160">
        <v>460.0</v>
      </c>
      <c r="R11" s="161">
        <v>0.32</v>
      </c>
      <c r="S11" s="162" t="str">
        <f t="shared" ref="S11:S27" si="7">O11-(O11*R11)</f>
        <v>429.08</v>
      </c>
      <c r="T11" s="163">
        <v>60.0</v>
      </c>
      <c r="U11" s="164" t="str">
        <f t="shared" ref="U11:U27" si="8">S11*$C$8</f>
        <v>34.33</v>
      </c>
      <c r="V11" s="165" t="str">
        <f t="shared" ref="V11:V27" si="9">N11*$C$3*(M11/30)</f>
        <v>0.00</v>
      </c>
      <c r="W11" s="166">
        <v>0.77</v>
      </c>
      <c r="X11" s="167" t="str">
        <f t="shared" ref="X11:X27" si="10">((_xlfn.CEILING.MATH(W11)-1)*$C$5+$C$4)</f>
        <v>76</v>
      </c>
      <c r="Y11" s="168" t="str">
        <f t="shared" ref="Y11:Y27" si="11">O11*$Y$6</f>
        <v>205.075</v>
      </c>
      <c r="Z11" s="168" t="str">
        <f t="shared" ref="Z11:Z27" si="12">S11*$Y$7</f>
        <v>9.311</v>
      </c>
      <c r="AA11" s="164" t="str">
        <f t="shared" ref="AA11:AA27" si="13">$Y$3*((100-AB11)/100)</f>
        <v>7.15</v>
      </c>
      <c r="AB11" s="164">
        <v>85.71</v>
      </c>
      <c r="AC11" s="164" t="str">
        <f t="shared" ref="AC11:AC27" si="14">$C$6*$C$7*_xlfn.CEILING.MATH(W11)</f>
        <v>4.80</v>
      </c>
      <c r="AD11" s="165" t="str">
        <f t="shared" ref="AD11:AD27" si="15">O11*$C$2</f>
        <v>31.55</v>
      </c>
      <c r="AE11" s="23"/>
      <c r="AF11" s="169" t="str">
        <f t="shared" ref="AF11:AF27" si="16">(_xlfn.CEILING.MATH(W11))*$Y$1*$AD$2</f>
        <v>0</v>
      </c>
      <c r="AG11" s="163" t="str">
        <f>O11-T11-U11-V11-X11-Y11-Z11-AA11-AC11-AD11-N11</f>
        <v>-21.21</v>
      </c>
      <c r="AH11" s="170" t="str">
        <f t="shared" ref="AH11:AH42" si="17">AG11/N11</f>
        <v>-9.47%</v>
      </c>
      <c r="AI11" s="26"/>
      <c r="AJ11" s="171" t="str">
        <f t="shared" ref="AJ11:AJ13" si="18">$AD$3</f>
        <v>0.00%</v>
      </c>
      <c r="AK11" s="172" t="str">
        <f t="shared" ref="AK11:AK13" si="19">N11*AJ11</f>
        <v>0.00</v>
      </c>
      <c r="AL11" s="173" t="str">
        <f t="shared" ref="AL11:AL13" si="20">(N11+T11+V11+X11+AA11+AC11+AF11+AK11)/(100%-($C$2+$C$8+$Y$6+$Y$7))</f>
        <v>710.77</v>
      </c>
      <c r="AM11" s="174" t="str">
        <f t="shared" ref="AM11:AM13" si="21">AL11-(AL11*$AD$1)</f>
        <v>504.65</v>
      </c>
    </row>
    <row r="12" ht="12.75" customHeight="1">
      <c r="A12" s="26"/>
      <c r="B12" s="190" t="s">
        <v>451</v>
      </c>
      <c r="C12" s="191">
        <v>1.68956857E8</v>
      </c>
      <c r="D12" s="152" t="s">
        <v>452</v>
      </c>
      <c r="E12" s="53" t="s">
        <v>77</v>
      </c>
      <c r="F12" s="154"/>
      <c r="G12" s="53"/>
      <c r="H12" s="53" t="str">
        <f t="shared" si="1"/>
        <v>0.00069</v>
      </c>
      <c r="I12" s="53" t="str">
        <f t="shared" si="2"/>
        <v>89</v>
      </c>
      <c r="J12" s="53" t="str">
        <f t="shared" si="3"/>
        <v>0</v>
      </c>
      <c r="K12" s="155" t="str">
        <f t="shared" si="4"/>
        <v>0.00</v>
      </c>
      <c r="L12" s="156" t="str">
        <f t="shared" si="5"/>
        <v>0.00 </v>
      </c>
      <c r="M12" s="132">
        <v>90.0</v>
      </c>
      <c r="N12" s="157">
        <v>560.0</v>
      </c>
      <c r="O12" s="158">
        <v>1590.0</v>
      </c>
      <c r="P12" s="159" t="str">
        <f t="shared" si="6"/>
        <v>1,590.00</v>
      </c>
      <c r="Q12" s="160">
        <v>1348.0</v>
      </c>
      <c r="R12" s="161">
        <v>0.32</v>
      </c>
      <c r="S12" s="162" t="str">
        <f t="shared" si="7"/>
        <v>1,081.20</v>
      </c>
      <c r="T12" s="163" t="str">
        <f t="shared" ref="T12:T27" si="22">$C$1</f>
        <v>15.00</v>
      </c>
      <c r="U12" s="164" t="str">
        <f t="shared" si="8"/>
        <v>86.50</v>
      </c>
      <c r="V12" s="165" t="str">
        <f t="shared" si="9"/>
        <v>0.00</v>
      </c>
      <c r="W12" s="166">
        <v>1.46</v>
      </c>
      <c r="X12" s="167" t="str">
        <f t="shared" si="10"/>
        <v>95</v>
      </c>
      <c r="Y12" s="168" t="str">
        <f t="shared" si="11"/>
        <v>516.750</v>
      </c>
      <c r="Z12" s="168" t="str">
        <f t="shared" si="12"/>
        <v>23.462</v>
      </c>
      <c r="AA12" s="164" t="str">
        <f t="shared" si="13"/>
        <v>2.48</v>
      </c>
      <c r="AB12" s="164">
        <v>95.04</v>
      </c>
      <c r="AC12" s="164" t="str">
        <f t="shared" si="14"/>
        <v>9.60</v>
      </c>
      <c r="AD12" s="165" t="str">
        <f t="shared" si="15"/>
        <v>79.50</v>
      </c>
      <c r="AE12" s="23"/>
      <c r="AF12" s="169" t="str">
        <f t="shared" si="16"/>
        <v>0</v>
      </c>
      <c r="AG12" s="163" t="str">
        <f>O12-T12-U12-V12-X12-Y12-Z12-AA12-AC12-AD12-N12-AF12</f>
        <v>201.71</v>
      </c>
      <c r="AH12" s="170" t="str">
        <f t="shared" si="17"/>
        <v>36.02%</v>
      </c>
      <c r="AI12" s="26"/>
      <c r="AJ12" s="171" t="str">
        <f t="shared" si="18"/>
        <v>0.00%</v>
      </c>
      <c r="AK12" s="172" t="str">
        <f t="shared" si="19"/>
        <v>0.00</v>
      </c>
      <c r="AL12" s="173" t="str">
        <f t="shared" si="20"/>
        <v>1,303.42</v>
      </c>
      <c r="AM12" s="174" t="str">
        <f t="shared" si="21"/>
        <v>925.43</v>
      </c>
    </row>
    <row r="13" ht="12.75" customHeight="1">
      <c r="A13" s="26"/>
      <c r="B13" s="190" t="s">
        <v>495</v>
      </c>
      <c r="C13" s="191">
        <v>1.69074006E8</v>
      </c>
      <c r="D13" s="222" t="s">
        <v>496</v>
      </c>
      <c r="E13" s="53" t="s">
        <v>77</v>
      </c>
      <c r="F13" s="154"/>
      <c r="G13" s="53"/>
      <c r="H13" s="53" t="str">
        <f t="shared" si="1"/>
        <v>0.00069</v>
      </c>
      <c r="I13" s="53" t="str">
        <f t="shared" si="2"/>
        <v>89</v>
      </c>
      <c r="J13" s="53" t="str">
        <f t="shared" si="3"/>
        <v>0</v>
      </c>
      <c r="K13" s="155" t="str">
        <f t="shared" si="4"/>
        <v>0.00</v>
      </c>
      <c r="L13" s="156" t="str">
        <f t="shared" si="5"/>
        <v>0.00 </v>
      </c>
      <c r="M13" s="132">
        <v>90.0</v>
      </c>
      <c r="N13" s="157">
        <v>422.0</v>
      </c>
      <c r="O13" s="158">
        <v>1172.0</v>
      </c>
      <c r="P13" s="159" t="str">
        <f t="shared" si="6"/>
        <v>1,172.00</v>
      </c>
      <c r="Q13" s="160">
        <v>885.0</v>
      </c>
      <c r="R13" s="161">
        <v>0.32</v>
      </c>
      <c r="S13" s="162" t="str">
        <f t="shared" si="7"/>
        <v>796.96</v>
      </c>
      <c r="T13" s="163" t="str">
        <f t="shared" si="22"/>
        <v>15.00</v>
      </c>
      <c r="U13" s="164" t="str">
        <f t="shared" si="8"/>
        <v>63.76</v>
      </c>
      <c r="V13" s="165" t="str">
        <f t="shared" si="9"/>
        <v>0.00</v>
      </c>
      <c r="W13" s="166">
        <v>1.26</v>
      </c>
      <c r="X13" s="167" t="str">
        <f t="shared" si="10"/>
        <v>95</v>
      </c>
      <c r="Y13" s="168" t="str">
        <f t="shared" si="11"/>
        <v>380.900</v>
      </c>
      <c r="Z13" s="168" t="str">
        <f t="shared" si="12"/>
        <v>17.294</v>
      </c>
      <c r="AA13" s="164" t="str">
        <f t="shared" si="13"/>
        <v>34.09</v>
      </c>
      <c r="AB13" s="164">
        <v>31.82</v>
      </c>
      <c r="AC13" s="164" t="str">
        <f t="shared" si="14"/>
        <v>9.60</v>
      </c>
      <c r="AD13" s="165" t="str">
        <f t="shared" si="15"/>
        <v>58.60</v>
      </c>
      <c r="AE13" s="23"/>
      <c r="AF13" s="169" t="str">
        <f t="shared" si="16"/>
        <v>0</v>
      </c>
      <c r="AG13" s="163" t="str">
        <f t="shared" ref="AG13:AG27" si="23">O13-T13-U13-V13-X13-Y13-Z13-AA13-AC13-AD13-N13</f>
        <v>75.76</v>
      </c>
      <c r="AH13" s="170" t="str">
        <f t="shared" si="17"/>
        <v>17.95%</v>
      </c>
      <c r="AI13" s="26"/>
      <c r="AJ13" s="171" t="str">
        <f t="shared" si="18"/>
        <v>0.00%</v>
      </c>
      <c r="AK13" s="172" t="str">
        <f t="shared" si="19"/>
        <v>0.00</v>
      </c>
      <c r="AL13" s="173" t="str">
        <f t="shared" si="20"/>
        <v>1,100.11</v>
      </c>
      <c r="AM13" s="174" t="str">
        <f t="shared" si="21"/>
        <v>781.08</v>
      </c>
    </row>
    <row r="14" ht="12.75" customHeight="1">
      <c r="A14" s="26"/>
      <c r="B14" s="190"/>
      <c r="C14" s="382">
        <v>8.809744062129E12</v>
      </c>
      <c r="D14" s="222" t="s">
        <v>802</v>
      </c>
      <c r="E14" s="53" t="s">
        <v>77</v>
      </c>
      <c r="F14" s="154"/>
      <c r="G14" s="53"/>
      <c r="H14" s="53"/>
      <c r="I14" s="53"/>
      <c r="J14" s="53"/>
      <c r="K14" s="155"/>
      <c r="L14" s="156"/>
      <c r="M14" s="132"/>
      <c r="N14" s="157">
        <v>422.0</v>
      </c>
      <c r="O14" s="158">
        <v>1172.0</v>
      </c>
      <c r="P14" s="159" t="str">
        <f t="shared" si="6"/>
        <v>1,172.00</v>
      </c>
      <c r="Q14" s="160">
        <v>885.0</v>
      </c>
      <c r="R14" s="161">
        <v>0.32</v>
      </c>
      <c r="S14" s="162" t="str">
        <f t="shared" si="7"/>
        <v>796.96</v>
      </c>
      <c r="T14" s="163" t="str">
        <f t="shared" si="22"/>
        <v>15.00</v>
      </c>
      <c r="U14" s="164" t="str">
        <f t="shared" si="8"/>
        <v>63.76</v>
      </c>
      <c r="V14" s="165" t="str">
        <f t="shared" si="9"/>
        <v>0.00</v>
      </c>
      <c r="W14" s="166">
        <v>1.26</v>
      </c>
      <c r="X14" s="167" t="str">
        <f t="shared" si="10"/>
        <v>95</v>
      </c>
      <c r="Y14" s="168" t="str">
        <f t="shared" si="11"/>
        <v>380.900</v>
      </c>
      <c r="Z14" s="168" t="str">
        <f t="shared" si="12"/>
        <v>17.294</v>
      </c>
      <c r="AA14" s="164" t="str">
        <f t="shared" si="13"/>
        <v>34.09</v>
      </c>
      <c r="AB14" s="164">
        <v>31.82</v>
      </c>
      <c r="AC14" s="164" t="str">
        <f t="shared" si="14"/>
        <v>9.60</v>
      </c>
      <c r="AD14" s="165" t="str">
        <f t="shared" si="15"/>
        <v>58.60</v>
      </c>
      <c r="AE14" s="23"/>
      <c r="AF14" s="169" t="str">
        <f t="shared" si="16"/>
        <v>0</v>
      </c>
      <c r="AG14" s="163" t="str">
        <f t="shared" si="23"/>
        <v>75.76</v>
      </c>
      <c r="AH14" s="170" t="str">
        <f t="shared" si="17"/>
        <v>17.95%</v>
      </c>
      <c r="AI14" s="26"/>
      <c r="AJ14" s="171"/>
      <c r="AK14" s="172"/>
      <c r="AL14" s="173"/>
      <c r="AM14" s="174"/>
    </row>
    <row r="15" ht="12.75" customHeight="1">
      <c r="A15" s="26"/>
      <c r="B15" s="190" t="s">
        <v>479</v>
      </c>
      <c r="C15" s="191">
        <v>1.65308892E8</v>
      </c>
      <c r="D15" s="222" t="s">
        <v>480</v>
      </c>
      <c r="E15" s="53" t="s">
        <v>77</v>
      </c>
      <c r="F15" s="154"/>
      <c r="G15" s="53"/>
      <c r="H15" s="53" t="str">
        <f>$I$2</f>
        <v>0.00069</v>
      </c>
      <c r="I15" s="53" t="str">
        <f>$I$3</f>
        <v>89</v>
      </c>
      <c r="J15" s="53" t="str">
        <f>G15*H15*I15*F15</f>
        <v>0</v>
      </c>
      <c r="K15" s="155" t="str">
        <f>J15*$J$4</f>
        <v>0.00</v>
      </c>
      <c r="L15" s="156" t="str">
        <f>K15+J15</f>
        <v>0.00 </v>
      </c>
      <c r="M15" s="132">
        <v>90.0</v>
      </c>
      <c r="N15" s="157">
        <v>490.0</v>
      </c>
      <c r="O15" s="158">
        <v>1391.0</v>
      </c>
      <c r="P15" s="159" t="str">
        <f t="shared" si="6"/>
        <v>1,391.00</v>
      </c>
      <c r="Q15" s="160">
        <v>1117.0</v>
      </c>
      <c r="R15" s="161">
        <v>0.32</v>
      </c>
      <c r="S15" s="162" t="str">
        <f t="shared" si="7"/>
        <v>945.88</v>
      </c>
      <c r="T15" s="163" t="str">
        <f t="shared" si="22"/>
        <v>15.00</v>
      </c>
      <c r="U15" s="164" t="str">
        <f t="shared" si="8"/>
        <v>75.67</v>
      </c>
      <c r="V15" s="165" t="str">
        <f t="shared" si="9"/>
        <v>0.00</v>
      </c>
      <c r="W15" s="166">
        <v>0.43</v>
      </c>
      <c r="X15" s="167" t="str">
        <f t="shared" si="10"/>
        <v>76</v>
      </c>
      <c r="Y15" s="168" t="str">
        <f t="shared" si="11"/>
        <v>452.075</v>
      </c>
      <c r="Z15" s="168" t="str">
        <f t="shared" si="12"/>
        <v>20.526</v>
      </c>
      <c r="AA15" s="164" t="str">
        <f t="shared" si="13"/>
        <v>2.84</v>
      </c>
      <c r="AB15" s="164">
        <v>94.33</v>
      </c>
      <c r="AC15" s="164" t="str">
        <f t="shared" si="14"/>
        <v>4.80</v>
      </c>
      <c r="AD15" s="165" t="str">
        <f t="shared" si="15"/>
        <v>69.55</v>
      </c>
      <c r="AE15" s="23"/>
      <c r="AF15" s="169" t="str">
        <f t="shared" si="16"/>
        <v>0</v>
      </c>
      <c r="AG15" s="163" t="str">
        <f t="shared" si="23"/>
        <v>184.54</v>
      </c>
      <c r="AH15" s="170" t="str">
        <f t="shared" si="17"/>
        <v>37.66%</v>
      </c>
      <c r="AI15" s="26"/>
      <c r="AJ15" s="171" t="str">
        <f>$AD$3</f>
        <v>0.00%</v>
      </c>
      <c r="AK15" s="172" t="str">
        <f>N15*AJ15</f>
        <v>0.00</v>
      </c>
      <c r="AL15" s="173" t="str">
        <f>(N15+T15+V15+X15+AA15+AC15+AF15+AK15)/(100%-($C$2+$C$8+$Y$6+$Y$7))</f>
        <v>1,124.85</v>
      </c>
      <c r="AM15" s="174" t="str">
        <f>AL15-(AL15*$AD$1)</f>
        <v>798.64</v>
      </c>
    </row>
    <row r="16" ht="12.75" customHeight="1">
      <c r="A16" s="26"/>
      <c r="B16" s="190"/>
      <c r="C16" s="382">
        <v>8.809744060149E12</v>
      </c>
      <c r="D16" s="222" t="s">
        <v>803</v>
      </c>
      <c r="E16" s="53"/>
      <c r="F16" s="154"/>
      <c r="G16" s="53"/>
      <c r="H16" s="53"/>
      <c r="I16" s="53"/>
      <c r="J16" s="53"/>
      <c r="K16" s="155"/>
      <c r="L16" s="156"/>
      <c r="M16" s="132"/>
      <c r="N16" s="157">
        <v>272.0</v>
      </c>
      <c r="O16" s="158">
        <v>800.0</v>
      </c>
      <c r="P16" s="159" t="str">
        <f t="shared" si="6"/>
        <v>800.00</v>
      </c>
      <c r="Q16" s="160">
        <v>1117.0</v>
      </c>
      <c r="R16" s="161">
        <v>0.32</v>
      </c>
      <c r="S16" s="162" t="str">
        <f t="shared" si="7"/>
        <v>544.00</v>
      </c>
      <c r="T16" s="163" t="str">
        <f t="shared" si="22"/>
        <v>15.00</v>
      </c>
      <c r="U16" s="164" t="str">
        <f t="shared" si="8"/>
        <v>43.52</v>
      </c>
      <c r="V16" s="165" t="str">
        <f t="shared" si="9"/>
        <v>0.00</v>
      </c>
      <c r="W16" s="166">
        <v>0.43</v>
      </c>
      <c r="X16" s="167" t="str">
        <f t="shared" si="10"/>
        <v>76</v>
      </c>
      <c r="Y16" s="168" t="str">
        <f t="shared" si="11"/>
        <v>260.000</v>
      </c>
      <c r="Z16" s="168" t="str">
        <f t="shared" si="12"/>
        <v>11.805</v>
      </c>
      <c r="AA16" s="164" t="str">
        <f t="shared" si="13"/>
        <v>2.84</v>
      </c>
      <c r="AB16" s="164">
        <v>94.33</v>
      </c>
      <c r="AC16" s="164" t="str">
        <f t="shared" si="14"/>
        <v>4.80</v>
      </c>
      <c r="AD16" s="165" t="str">
        <f t="shared" si="15"/>
        <v>40.00</v>
      </c>
      <c r="AE16" s="23"/>
      <c r="AF16" s="169" t="str">
        <f t="shared" si="16"/>
        <v>0</v>
      </c>
      <c r="AG16" s="163" t="str">
        <f t="shared" si="23"/>
        <v>74.04</v>
      </c>
      <c r="AH16" s="170" t="str">
        <f t="shared" si="17"/>
        <v>27.22%</v>
      </c>
      <c r="AI16" s="26"/>
      <c r="AJ16" s="171"/>
      <c r="AK16" s="172"/>
      <c r="AL16" s="173"/>
      <c r="AM16" s="174"/>
    </row>
    <row r="17" ht="12.75" customHeight="1">
      <c r="A17" s="26"/>
      <c r="B17" s="190"/>
      <c r="C17" s="191">
        <v>8.809744062396E12</v>
      </c>
      <c r="D17" s="222" t="s">
        <v>804</v>
      </c>
      <c r="E17" s="53" t="s">
        <v>77</v>
      </c>
      <c r="F17" s="154"/>
      <c r="G17" s="53"/>
      <c r="H17" s="53"/>
      <c r="I17" s="53"/>
      <c r="J17" s="53"/>
      <c r="K17" s="155"/>
      <c r="L17" s="156"/>
      <c r="M17" s="132"/>
      <c r="N17" s="157">
        <v>322.0</v>
      </c>
      <c r="O17" s="158">
        <v>930.0</v>
      </c>
      <c r="P17" s="159" t="str">
        <f t="shared" si="6"/>
        <v>930.00</v>
      </c>
      <c r="Q17" s="160">
        <v>1117.0</v>
      </c>
      <c r="R17" s="161">
        <v>0.32</v>
      </c>
      <c r="S17" s="162" t="str">
        <f t="shared" si="7"/>
        <v>632.40</v>
      </c>
      <c r="T17" s="163" t="str">
        <f t="shared" si="22"/>
        <v>15.00</v>
      </c>
      <c r="U17" s="164" t="str">
        <f t="shared" si="8"/>
        <v>50.59</v>
      </c>
      <c r="V17" s="165" t="str">
        <f t="shared" si="9"/>
        <v>0.00</v>
      </c>
      <c r="W17" s="166">
        <v>0.43</v>
      </c>
      <c r="X17" s="167" t="str">
        <f t="shared" si="10"/>
        <v>76</v>
      </c>
      <c r="Y17" s="168" t="str">
        <f t="shared" si="11"/>
        <v>302.250</v>
      </c>
      <c r="Z17" s="168" t="str">
        <f t="shared" si="12"/>
        <v>13.723</v>
      </c>
      <c r="AA17" s="164" t="str">
        <f t="shared" si="13"/>
        <v>2.84</v>
      </c>
      <c r="AB17" s="164">
        <v>94.33</v>
      </c>
      <c r="AC17" s="164" t="str">
        <f t="shared" si="14"/>
        <v>4.80</v>
      </c>
      <c r="AD17" s="165" t="str">
        <f t="shared" si="15"/>
        <v>46.50</v>
      </c>
      <c r="AE17" s="23"/>
      <c r="AF17" s="169" t="str">
        <f t="shared" si="16"/>
        <v>0</v>
      </c>
      <c r="AG17" s="163" t="str">
        <f t="shared" si="23"/>
        <v>96.30</v>
      </c>
      <c r="AH17" s="170" t="str">
        <f t="shared" si="17"/>
        <v>29.91%</v>
      </c>
      <c r="AI17" s="26"/>
      <c r="AJ17" s="171"/>
      <c r="AK17" s="172"/>
      <c r="AL17" s="173"/>
      <c r="AM17" s="174"/>
    </row>
    <row r="18" ht="12.75" hidden="1" customHeight="1">
      <c r="A18" s="26"/>
      <c r="B18" s="190" t="s">
        <v>453</v>
      </c>
      <c r="C18" s="192">
        <v>1.88818E8</v>
      </c>
      <c r="D18" s="152" t="s">
        <v>454</v>
      </c>
      <c r="E18" s="53" t="s">
        <v>455</v>
      </c>
      <c r="F18" s="154"/>
      <c r="G18" s="53"/>
      <c r="H18" s="53" t="str">
        <f t="shared" ref="H18:H42" si="24">$I$2</f>
        <v>0.00069</v>
      </c>
      <c r="I18" s="53" t="str">
        <f t="shared" ref="I18:I42" si="25">$I$3</f>
        <v>89</v>
      </c>
      <c r="J18" s="53" t="str">
        <f t="shared" ref="J18:J42" si="26">G18*H18*I18*F18</f>
        <v>0</v>
      </c>
      <c r="K18" s="155" t="str">
        <f t="shared" ref="K18:K42" si="27">J18*$J$4</f>
        <v>0.00</v>
      </c>
      <c r="L18" s="156" t="str">
        <f t="shared" ref="L18:L42" si="28">K18+J18</f>
        <v>0.00 </v>
      </c>
      <c r="M18" s="132">
        <v>90.0</v>
      </c>
      <c r="N18" s="157" t="str">
        <f t="shared" ref="N18:N42" si="29">L18/F18</f>
        <v>#DIV/0!</v>
      </c>
      <c r="O18" s="158">
        <v>637.0</v>
      </c>
      <c r="P18" s="159" t="str">
        <f t="shared" si="6"/>
        <v>637.00</v>
      </c>
      <c r="Q18" s="160"/>
      <c r="R18" s="161">
        <v>0.25</v>
      </c>
      <c r="S18" s="162" t="str">
        <f t="shared" si="7"/>
        <v>477.75</v>
      </c>
      <c r="T18" s="163" t="str">
        <f t="shared" si="22"/>
        <v>15.00</v>
      </c>
      <c r="U18" s="164" t="str">
        <f t="shared" si="8"/>
        <v>38.22</v>
      </c>
      <c r="V18" s="165" t="str">
        <f t="shared" si="9"/>
        <v>#DIV/0!</v>
      </c>
      <c r="W18" s="166">
        <v>0.61</v>
      </c>
      <c r="X18" s="167" t="str">
        <f t="shared" si="10"/>
        <v>76</v>
      </c>
      <c r="Y18" s="168" t="str">
        <f t="shared" si="11"/>
        <v>207.025</v>
      </c>
      <c r="Z18" s="168" t="str">
        <f t="shared" si="12"/>
        <v>10.367</v>
      </c>
      <c r="AA18" s="164" t="str">
        <f t="shared" si="13"/>
        <v>6.09</v>
      </c>
      <c r="AB18" s="164">
        <v>87.83</v>
      </c>
      <c r="AC18" s="164" t="str">
        <f t="shared" si="14"/>
        <v>4.80</v>
      </c>
      <c r="AD18" s="165" t="str">
        <f t="shared" si="15"/>
        <v>31.85</v>
      </c>
      <c r="AE18" s="23"/>
      <c r="AF18" s="169" t="str">
        <f t="shared" si="16"/>
        <v>0</v>
      </c>
      <c r="AG18" s="163" t="str">
        <f t="shared" si="23"/>
        <v>#DIV/0!</v>
      </c>
      <c r="AH18" s="170" t="str">
        <f t="shared" si="17"/>
        <v>#DIV/0!</v>
      </c>
      <c r="AI18" s="26"/>
      <c r="AJ18" s="171" t="str">
        <f t="shared" ref="AJ18:AJ27" si="30">$AD$3</f>
        <v>0.00%</v>
      </c>
      <c r="AK18" s="172" t="str">
        <f t="shared" ref="AK18:AK27" si="31">N18*AJ18</f>
        <v>#DIV/0!</v>
      </c>
      <c r="AL18" s="173" t="str">
        <f t="shared" ref="AL18:AL27" si="32">(N18+T18+V18+X18+AA18+AC18+AF18+AK18)/(100%-($C$2+$C$8+$Y$6+$Y$7))</f>
        <v>#DIV/0!</v>
      </c>
      <c r="AM18" s="174" t="str">
        <f t="shared" ref="AM18:AM27" si="33">AL18-(AL18*$AD$1)</f>
        <v>#DIV/0!</v>
      </c>
    </row>
    <row r="19" ht="12.75" hidden="1" customHeight="1">
      <c r="A19" s="26"/>
      <c r="B19" s="190" t="s">
        <v>456</v>
      </c>
      <c r="C19" s="215">
        <v>1.88823064E8</v>
      </c>
      <c r="D19" s="152" t="s">
        <v>457</v>
      </c>
      <c r="E19" s="53" t="s">
        <v>77</v>
      </c>
      <c r="F19" s="154"/>
      <c r="G19" s="53"/>
      <c r="H19" s="53" t="str">
        <f t="shared" si="24"/>
        <v>0.00069</v>
      </c>
      <c r="I19" s="53" t="str">
        <f t="shared" si="25"/>
        <v>89</v>
      </c>
      <c r="J19" s="53" t="str">
        <f t="shared" si="26"/>
        <v>0</v>
      </c>
      <c r="K19" s="155" t="str">
        <f t="shared" si="27"/>
        <v>0.00</v>
      </c>
      <c r="L19" s="156" t="str">
        <f t="shared" si="28"/>
        <v>0.00 </v>
      </c>
      <c r="M19" s="132">
        <v>90.0</v>
      </c>
      <c r="N19" s="157" t="str">
        <f t="shared" si="29"/>
        <v>#DIV/0!</v>
      </c>
      <c r="O19" s="158">
        <v>729.9</v>
      </c>
      <c r="P19" s="159" t="str">
        <f t="shared" si="6"/>
        <v>729.90</v>
      </c>
      <c r="Q19" s="160"/>
      <c r="R19" s="161">
        <v>0.26</v>
      </c>
      <c r="S19" s="162" t="str">
        <f t="shared" si="7"/>
        <v>540.13</v>
      </c>
      <c r="T19" s="163" t="str">
        <f t="shared" si="22"/>
        <v>15.00</v>
      </c>
      <c r="U19" s="164" t="str">
        <f t="shared" si="8"/>
        <v>43.21</v>
      </c>
      <c r="V19" s="165" t="str">
        <f t="shared" si="9"/>
        <v>#DIV/0!</v>
      </c>
      <c r="W19" s="166">
        <v>1.08</v>
      </c>
      <c r="X19" s="167" t="str">
        <f t="shared" si="10"/>
        <v>95</v>
      </c>
      <c r="Y19" s="168" t="str">
        <f t="shared" si="11"/>
        <v>237.218</v>
      </c>
      <c r="Z19" s="168" t="str">
        <f t="shared" si="12"/>
        <v>11.721</v>
      </c>
      <c r="AA19" s="164" t="str">
        <f t="shared" si="13"/>
        <v>1.93</v>
      </c>
      <c r="AB19" s="164">
        <v>96.15</v>
      </c>
      <c r="AC19" s="164" t="str">
        <f t="shared" si="14"/>
        <v>9.60</v>
      </c>
      <c r="AD19" s="165" t="str">
        <f t="shared" si="15"/>
        <v>36.50</v>
      </c>
      <c r="AE19" s="23"/>
      <c r="AF19" s="169" t="str">
        <f t="shared" si="16"/>
        <v>0</v>
      </c>
      <c r="AG19" s="163" t="str">
        <f t="shared" si="23"/>
        <v>#DIV/0!</v>
      </c>
      <c r="AH19" s="170" t="str">
        <f t="shared" si="17"/>
        <v>#DIV/0!</v>
      </c>
      <c r="AI19" s="26"/>
      <c r="AJ19" s="171" t="str">
        <f t="shared" si="30"/>
        <v>0.00%</v>
      </c>
      <c r="AK19" s="172" t="str">
        <f t="shared" si="31"/>
        <v>#DIV/0!</v>
      </c>
      <c r="AL19" s="173" t="str">
        <f t="shared" si="32"/>
        <v>#DIV/0!</v>
      </c>
      <c r="AM19" s="174" t="str">
        <f t="shared" si="33"/>
        <v>#DIV/0!</v>
      </c>
    </row>
    <row r="20" ht="12.75" hidden="1" customHeight="1">
      <c r="A20" s="26"/>
      <c r="B20" s="190" t="s">
        <v>458</v>
      </c>
      <c r="C20" s="191">
        <v>1.99544883E8</v>
      </c>
      <c r="D20" s="152" t="s">
        <v>459</v>
      </c>
      <c r="E20" s="53" t="s">
        <v>77</v>
      </c>
      <c r="F20" s="154"/>
      <c r="G20" s="53"/>
      <c r="H20" s="53" t="str">
        <f t="shared" si="24"/>
        <v>0.00069</v>
      </c>
      <c r="I20" s="53" t="str">
        <f t="shared" si="25"/>
        <v>89</v>
      </c>
      <c r="J20" s="53" t="str">
        <f t="shared" si="26"/>
        <v>0</v>
      </c>
      <c r="K20" s="155" t="str">
        <f t="shared" si="27"/>
        <v>0.00</v>
      </c>
      <c r="L20" s="156" t="str">
        <f t="shared" si="28"/>
        <v>0.00 </v>
      </c>
      <c r="M20" s="132">
        <v>90.0</v>
      </c>
      <c r="N20" s="157" t="str">
        <f t="shared" si="29"/>
        <v>#DIV/0!</v>
      </c>
      <c r="O20" s="158">
        <v>1809.9</v>
      </c>
      <c r="P20" s="159" t="str">
        <f t="shared" si="6"/>
        <v>1,809.90</v>
      </c>
      <c r="Q20" s="160"/>
      <c r="R20" s="161">
        <v>0.26</v>
      </c>
      <c r="S20" s="162" t="str">
        <f t="shared" si="7"/>
        <v>1,339.33</v>
      </c>
      <c r="T20" s="163" t="str">
        <f t="shared" si="22"/>
        <v>15.00</v>
      </c>
      <c r="U20" s="164" t="str">
        <f t="shared" si="8"/>
        <v>107.15</v>
      </c>
      <c r="V20" s="165" t="str">
        <f t="shared" si="9"/>
        <v>#DIV/0!</v>
      </c>
      <c r="W20" s="166">
        <v>2.64</v>
      </c>
      <c r="X20" s="167" t="str">
        <f t="shared" si="10"/>
        <v>114</v>
      </c>
      <c r="Y20" s="168" t="str">
        <f t="shared" si="11"/>
        <v>588.218</v>
      </c>
      <c r="Z20" s="168" t="str">
        <f t="shared" si="12"/>
        <v>29.063</v>
      </c>
      <c r="AA20" s="164" t="str">
        <f t="shared" si="13"/>
        <v>1.90</v>
      </c>
      <c r="AB20" s="164">
        <v>96.21</v>
      </c>
      <c r="AC20" s="164" t="str">
        <f t="shared" si="14"/>
        <v>14.40</v>
      </c>
      <c r="AD20" s="165" t="str">
        <f t="shared" si="15"/>
        <v>90.50</v>
      </c>
      <c r="AE20" s="23"/>
      <c r="AF20" s="169" t="str">
        <f t="shared" si="16"/>
        <v>0</v>
      </c>
      <c r="AG20" s="163" t="str">
        <f t="shared" si="23"/>
        <v>#DIV/0!</v>
      </c>
      <c r="AH20" s="170" t="str">
        <f t="shared" si="17"/>
        <v>#DIV/0!</v>
      </c>
      <c r="AI20" s="26"/>
      <c r="AJ20" s="171" t="str">
        <f t="shared" si="30"/>
        <v>0.00%</v>
      </c>
      <c r="AK20" s="172" t="str">
        <f t="shared" si="31"/>
        <v>#DIV/0!</v>
      </c>
      <c r="AL20" s="173" t="str">
        <f t="shared" si="32"/>
        <v>#DIV/0!</v>
      </c>
      <c r="AM20" s="174" t="str">
        <f t="shared" si="33"/>
        <v>#DIV/0!</v>
      </c>
    </row>
    <row r="21" ht="12.75" hidden="1" customHeight="1">
      <c r="A21" s="26"/>
      <c r="B21" s="190" t="s">
        <v>460</v>
      </c>
      <c r="C21" s="192">
        <v>1.6895673E8</v>
      </c>
      <c r="D21" s="152" t="s">
        <v>461</v>
      </c>
      <c r="E21" s="53" t="s">
        <v>77</v>
      </c>
      <c r="F21" s="154"/>
      <c r="G21" s="53"/>
      <c r="H21" s="53" t="str">
        <f t="shared" si="24"/>
        <v>0.00069</v>
      </c>
      <c r="I21" s="53" t="str">
        <f t="shared" si="25"/>
        <v>89</v>
      </c>
      <c r="J21" s="53" t="str">
        <f t="shared" si="26"/>
        <v>0</v>
      </c>
      <c r="K21" s="155" t="str">
        <f t="shared" si="27"/>
        <v>0.00</v>
      </c>
      <c r="L21" s="156" t="str">
        <f t="shared" si="28"/>
        <v>0.00 </v>
      </c>
      <c r="M21" s="132">
        <v>90.0</v>
      </c>
      <c r="N21" s="157" t="str">
        <f t="shared" si="29"/>
        <v>#DIV/0!</v>
      </c>
      <c r="O21" s="158">
        <v>880.2</v>
      </c>
      <c r="P21" s="159" t="str">
        <f t="shared" si="6"/>
        <v>880.20</v>
      </c>
      <c r="Q21" s="160"/>
      <c r="R21" s="161">
        <v>0.26</v>
      </c>
      <c r="S21" s="162" t="str">
        <f t="shared" si="7"/>
        <v>651.35</v>
      </c>
      <c r="T21" s="163" t="str">
        <f t="shared" si="22"/>
        <v>15.00</v>
      </c>
      <c r="U21" s="164" t="str">
        <f t="shared" si="8"/>
        <v>52.11</v>
      </c>
      <c r="V21" s="165" t="str">
        <f t="shared" si="9"/>
        <v>#DIV/0!</v>
      </c>
      <c r="W21" s="166">
        <v>0.69</v>
      </c>
      <c r="X21" s="167" t="str">
        <f t="shared" si="10"/>
        <v>76</v>
      </c>
      <c r="Y21" s="168" t="str">
        <f t="shared" si="11"/>
        <v>286.065</v>
      </c>
      <c r="Z21" s="168" t="str">
        <f t="shared" si="12"/>
        <v>14.134</v>
      </c>
      <c r="AA21" s="164" t="str">
        <f t="shared" si="13"/>
        <v>1.01</v>
      </c>
      <c r="AB21" s="164">
        <v>97.99</v>
      </c>
      <c r="AC21" s="164" t="str">
        <f t="shared" si="14"/>
        <v>4.80</v>
      </c>
      <c r="AD21" s="165" t="str">
        <f t="shared" si="15"/>
        <v>44.01</v>
      </c>
      <c r="AE21" s="23"/>
      <c r="AF21" s="169" t="str">
        <f t="shared" si="16"/>
        <v>0</v>
      </c>
      <c r="AG21" s="163" t="str">
        <f t="shared" si="23"/>
        <v>#DIV/0!</v>
      </c>
      <c r="AH21" s="170" t="str">
        <f t="shared" si="17"/>
        <v>#DIV/0!</v>
      </c>
      <c r="AI21" s="26"/>
      <c r="AJ21" s="171" t="str">
        <f t="shared" si="30"/>
        <v>0.00%</v>
      </c>
      <c r="AK21" s="172" t="str">
        <f t="shared" si="31"/>
        <v>#DIV/0!</v>
      </c>
      <c r="AL21" s="173" t="str">
        <f t="shared" si="32"/>
        <v>#DIV/0!</v>
      </c>
      <c r="AM21" s="174" t="str">
        <f t="shared" si="33"/>
        <v>#DIV/0!</v>
      </c>
    </row>
    <row r="22" ht="12.75" hidden="1" customHeight="1">
      <c r="A22" s="26"/>
      <c r="B22" s="190" t="s">
        <v>462</v>
      </c>
      <c r="C22" s="192">
        <v>1.90158095E8</v>
      </c>
      <c r="D22" s="152" t="s">
        <v>463</v>
      </c>
      <c r="E22" s="53" t="s">
        <v>77</v>
      </c>
      <c r="F22" s="154"/>
      <c r="G22" s="53"/>
      <c r="H22" s="53" t="str">
        <f t="shared" si="24"/>
        <v>0.00069</v>
      </c>
      <c r="I22" s="53" t="str">
        <f t="shared" si="25"/>
        <v>89</v>
      </c>
      <c r="J22" s="53" t="str">
        <f t="shared" si="26"/>
        <v>0</v>
      </c>
      <c r="K22" s="155" t="str">
        <f t="shared" si="27"/>
        <v>0.00</v>
      </c>
      <c r="L22" s="156" t="str">
        <f t="shared" si="28"/>
        <v>0.00 </v>
      </c>
      <c r="M22" s="132">
        <v>90.0</v>
      </c>
      <c r="N22" s="157" t="str">
        <f t="shared" si="29"/>
        <v>#DIV/0!</v>
      </c>
      <c r="O22" s="158">
        <v>959.1</v>
      </c>
      <c r="P22" s="159" t="str">
        <f t="shared" si="6"/>
        <v>959.10</v>
      </c>
      <c r="Q22" s="160"/>
      <c r="R22" s="161">
        <v>0.26</v>
      </c>
      <c r="S22" s="162" t="str">
        <f t="shared" si="7"/>
        <v>709.73</v>
      </c>
      <c r="T22" s="163" t="str">
        <f t="shared" si="22"/>
        <v>15.00</v>
      </c>
      <c r="U22" s="164" t="str">
        <f t="shared" si="8"/>
        <v>56.78</v>
      </c>
      <c r="V22" s="165" t="str">
        <f t="shared" si="9"/>
        <v>#DIV/0!</v>
      </c>
      <c r="W22" s="166">
        <v>0.36</v>
      </c>
      <c r="X22" s="167" t="str">
        <f t="shared" si="10"/>
        <v>76</v>
      </c>
      <c r="Y22" s="168" t="str">
        <f t="shared" si="11"/>
        <v>311.708</v>
      </c>
      <c r="Z22" s="168" t="str">
        <f t="shared" si="12"/>
        <v>15.401</v>
      </c>
      <c r="AA22" s="164" t="str">
        <f t="shared" si="13"/>
        <v>0.00</v>
      </c>
      <c r="AB22" s="164">
        <v>100.0</v>
      </c>
      <c r="AC22" s="164" t="str">
        <f t="shared" si="14"/>
        <v>4.80</v>
      </c>
      <c r="AD22" s="165" t="str">
        <f t="shared" si="15"/>
        <v>47.96</v>
      </c>
      <c r="AE22" s="23"/>
      <c r="AF22" s="169" t="str">
        <f t="shared" si="16"/>
        <v>0</v>
      </c>
      <c r="AG22" s="163" t="str">
        <f t="shared" si="23"/>
        <v>#DIV/0!</v>
      </c>
      <c r="AH22" s="170" t="str">
        <f t="shared" si="17"/>
        <v>#DIV/0!</v>
      </c>
      <c r="AI22" s="26"/>
      <c r="AJ22" s="171" t="str">
        <f t="shared" si="30"/>
        <v>0.00%</v>
      </c>
      <c r="AK22" s="172" t="str">
        <f t="shared" si="31"/>
        <v>#DIV/0!</v>
      </c>
      <c r="AL22" s="173" t="str">
        <f t="shared" si="32"/>
        <v>#DIV/0!</v>
      </c>
      <c r="AM22" s="174" t="str">
        <f t="shared" si="33"/>
        <v>#DIV/0!</v>
      </c>
    </row>
    <row r="23" ht="12.75" hidden="1" customHeight="1">
      <c r="A23" s="26"/>
      <c r="B23" s="190" t="s">
        <v>464</v>
      </c>
      <c r="C23" s="191">
        <v>1.90158096E8</v>
      </c>
      <c r="D23" s="152" t="s">
        <v>465</v>
      </c>
      <c r="E23" s="53" t="s">
        <v>77</v>
      </c>
      <c r="F23" s="154"/>
      <c r="G23" s="53"/>
      <c r="H23" s="53" t="str">
        <f t="shared" si="24"/>
        <v>0.00069</v>
      </c>
      <c r="I23" s="53" t="str">
        <f t="shared" si="25"/>
        <v>89</v>
      </c>
      <c r="J23" s="53" t="str">
        <f t="shared" si="26"/>
        <v>0</v>
      </c>
      <c r="K23" s="155" t="str">
        <f t="shared" si="27"/>
        <v>0.00</v>
      </c>
      <c r="L23" s="156" t="str">
        <f t="shared" si="28"/>
        <v>0.00 </v>
      </c>
      <c r="M23" s="132">
        <v>90.0</v>
      </c>
      <c r="N23" s="157" t="str">
        <f t="shared" si="29"/>
        <v>#DIV/0!</v>
      </c>
      <c r="O23" s="158">
        <v>959.1</v>
      </c>
      <c r="P23" s="159" t="str">
        <f t="shared" si="6"/>
        <v>959.10</v>
      </c>
      <c r="Q23" s="160"/>
      <c r="R23" s="161">
        <v>0.26</v>
      </c>
      <c r="S23" s="162" t="str">
        <f t="shared" si="7"/>
        <v>709.73</v>
      </c>
      <c r="T23" s="163" t="str">
        <f t="shared" si="22"/>
        <v>15.00</v>
      </c>
      <c r="U23" s="164" t="str">
        <f t="shared" si="8"/>
        <v>56.78</v>
      </c>
      <c r="V23" s="165" t="str">
        <f t="shared" si="9"/>
        <v>#DIV/0!</v>
      </c>
      <c r="W23" s="166">
        <v>0.36</v>
      </c>
      <c r="X23" s="167" t="str">
        <f t="shared" si="10"/>
        <v>76</v>
      </c>
      <c r="Y23" s="168" t="str">
        <f t="shared" si="11"/>
        <v>311.708</v>
      </c>
      <c r="Z23" s="168" t="str">
        <f t="shared" si="12"/>
        <v>15.401</v>
      </c>
      <c r="AA23" s="164" t="str">
        <f t="shared" si="13"/>
        <v>1.79</v>
      </c>
      <c r="AB23" s="164">
        <v>96.43</v>
      </c>
      <c r="AC23" s="164" t="str">
        <f t="shared" si="14"/>
        <v>4.80</v>
      </c>
      <c r="AD23" s="165" t="str">
        <f t="shared" si="15"/>
        <v>47.96</v>
      </c>
      <c r="AE23" s="23"/>
      <c r="AF23" s="169" t="str">
        <f t="shared" si="16"/>
        <v>0</v>
      </c>
      <c r="AG23" s="163" t="str">
        <f t="shared" si="23"/>
        <v>#DIV/0!</v>
      </c>
      <c r="AH23" s="170" t="str">
        <f t="shared" si="17"/>
        <v>#DIV/0!</v>
      </c>
      <c r="AI23" s="26"/>
      <c r="AJ23" s="171" t="str">
        <f t="shared" si="30"/>
        <v>0.00%</v>
      </c>
      <c r="AK23" s="172" t="str">
        <f t="shared" si="31"/>
        <v>#DIV/0!</v>
      </c>
      <c r="AL23" s="173" t="str">
        <f t="shared" si="32"/>
        <v>#DIV/0!</v>
      </c>
      <c r="AM23" s="174" t="str">
        <f t="shared" si="33"/>
        <v>#DIV/0!</v>
      </c>
    </row>
    <row r="24" ht="12.75" hidden="1" customHeight="1">
      <c r="A24" s="26"/>
      <c r="B24" s="190" t="s">
        <v>466</v>
      </c>
      <c r="C24" s="191">
        <v>1.90158094E8</v>
      </c>
      <c r="D24" s="152" t="s">
        <v>467</v>
      </c>
      <c r="E24" s="53" t="s">
        <v>77</v>
      </c>
      <c r="F24" s="154"/>
      <c r="G24" s="53"/>
      <c r="H24" s="53" t="str">
        <f t="shared" si="24"/>
        <v>0.00069</v>
      </c>
      <c r="I24" s="53" t="str">
        <f t="shared" si="25"/>
        <v>89</v>
      </c>
      <c r="J24" s="53" t="str">
        <f t="shared" si="26"/>
        <v>0</v>
      </c>
      <c r="K24" s="155" t="str">
        <f t="shared" si="27"/>
        <v>0.00</v>
      </c>
      <c r="L24" s="156" t="str">
        <f t="shared" si="28"/>
        <v>0.00 </v>
      </c>
      <c r="M24" s="132">
        <v>90.0</v>
      </c>
      <c r="N24" s="157" t="str">
        <f t="shared" si="29"/>
        <v>#DIV/0!</v>
      </c>
      <c r="O24" s="158">
        <v>959.1</v>
      </c>
      <c r="P24" s="159" t="str">
        <f t="shared" si="6"/>
        <v>959.10</v>
      </c>
      <c r="Q24" s="160"/>
      <c r="R24" s="161">
        <v>0.26</v>
      </c>
      <c r="S24" s="162" t="str">
        <f t="shared" si="7"/>
        <v>709.73</v>
      </c>
      <c r="T24" s="163" t="str">
        <f t="shared" si="22"/>
        <v>15.00</v>
      </c>
      <c r="U24" s="164" t="str">
        <f t="shared" si="8"/>
        <v>56.78</v>
      </c>
      <c r="V24" s="165" t="str">
        <f t="shared" si="9"/>
        <v>#DIV/0!</v>
      </c>
      <c r="W24" s="166">
        <v>0.36</v>
      </c>
      <c r="X24" s="167" t="str">
        <f t="shared" si="10"/>
        <v>76</v>
      </c>
      <c r="Y24" s="168" t="str">
        <f t="shared" si="11"/>
        <v>311.708</v>
      </c>
      <c r="Z24" s="168" t="str">
        <f t="shared" si="12"/>
        <v>15.401</v>
      </c>
      <c r="AA24" s="164" t="str">
        <f t="shared" si="13"/>
        <v>3.32</v>
      </c>
      <c r="AB24" s="164">
        <v>93.37</v>
      </c>
      <c r="AC24" s="164" t="str">
        <f t="shared" si="14"/>
        <v>4.80</v>
      </c>
      <c r="AD24" s="165" t="str">
        <f t="shared" si="15"/>
        <v>47.96</v>
      </c>
      <c r="AE24" s="23"/>
      <c r="AF24" s="169" t="str">
        <f t="shared" si="16"/>
        <v>0</v>
      </c>
      <c r="AG24" s="163" t="str">
        <f t="shared" si="23"/>
        <v>#DIV/0!</v>
      </c>
      <c r="AH24" s="170" t="str">
        <f t="shared" si="17"/>
        <v>#DIV/0!</v>
      </c>
      <c r="AI24" s="26"/>
      <c r="AJ24" s="171" t="str">
        <f t="shared" si="30"/>
        <v>0.00%</v>
      </c>
      <c r="AK24" s="172" t="str">
        <f t="shared" si="31"/>
        <v>#DIV/0!</v>
      </c>
      <c r="AL24" s="173" t="str">
        <f t="shared" si="32"/>
        <v>#DIV/0!</v>
      </c>
      <c r="AM24" s="174" t="str">
        <f t="shared" si="33"/>
        <v>#DIV/0!</v>
      </c>
    </row>
    <row r="25" ht="12.75" hidden="1" customHeight="1">
      <c r="A25" s="26"/>
      <c r="B25" s="190" t="s">
        <v>468</v>
      </c>
      <c r="C25" s="191">
        <v>1.90158097E8</v>
      </c>
      <c r="D25" s="152" t="s">
        <v>469</v>
      </c>
      <c r="E25" s="53" t="s">
        <v>77</v>
      </c>
      <c r="F25" s="154"/>
      <c r="G25" s="53"/>
      <c r="H25" s="53" t="str">
        <f t="shared" si="24"/>
        <v>0.00069</v>
      </c>
      <c r="I25" s="53" t="str">
        <f t="shared" si="25"/>
        <v>89</v>
      </c>
      <c r="J25" s="53" t="str">
        <f t="shared" si="26"/>
        <v>0</v>
      </c>
      <c r="K25" s="155" t="str">
        <f t="shared" si="27"/>
        <v>0.00</v>
      </c>
      <c r="L25" s="156" t="str">
        <f t="shared" si="28"/>
        <v>0.00 </v>
      </c>
      <c r="M25" s="132">
        <v>90.0</v>
      </c>
      <c r="N25" s="157" t="str">
        <f t="shared" si="29"/>
        <v>#DIV/0!</v>
      </c>
      <c r="O25" s="158">
        <v>959.1</v>
      </c>
      <c r="P25" s="159" t="str">
        <f t="shared" si="6"/>
        <v>959.10</v>
      </c>
      <c r="Q25" s="160"/>
      <c r="R25" s="161">
        <v>0.26</v>
      </c>
      <c r="S25" s="162" t="str">
        <f t="shared" si="7"/>
        <v>709.73</v>
      </c>
      <c r="T25" s="163" t="str">
        <f t="shared" si="22"/>
        <v>15.00</v>
      </c>
      <c r="U25" s="164" t="str">
        <f t="shared" si="8"/>
        <v>56.78</v>
      </c>
      <c r="V25" s="165" t="str">
        <f t="shared" si="9"/>
        <v>#DIV/0!</v>
      </c>
      <c r="W25" s="166">
        <v>0.36</v>
      </c>
      <c r="X25" s="167" t="str">
        <f t="shared" si="10"/>
        <v>76</v>
      </c>
      <c r="Y25" s="168" t="str">
        <f t="shared" si="11"/>
        <v>311.708</v>
      </c>
      <c r="Z25" s="168" t="str">
        <f t="shared" si="12"/>
        <v>15.401</v>
      </c>
      <c r="AA25" s="164" t="str">
        <f t="shared" si="13"/>
        <v>0.73</v>
      </c>
      <c r="AB25" s="164">
        <v>98.54</v>
      </c>
      <c r="AC25" s="164" t="str">
        <f t="shared" si="14"/>
        <v>4.80</v>
      </c>
      <c r="AD25" s="165" t="str">
        <f t="shared" si="15"/>
        <v>47.96</v>
      </c>
      <c r="AE25" s="23"/>
      <c r="AF25" s="169" t="str">
        <f t="shared" si="16"/>
        <v>0</v>
      </c>
      <c r="AG25" s="163" t="str">
        <f t="shared" si="23"/>
        <v>#DIV/0!</v>
      </c>
      <c r="AH25" s="170" t="str">
        <f t="shared" si="17"/>
        <v>#DIV/0!</v>
      </c>
      <c r="AI25" s="26"/>
      <c r="AJ25" s="171" t="str">
        <f t="shared" si="30"/>
        <v>0.00%</v>
      </c>
      <c r="AK25" s="172" t="str">
        <f t="shared" si="31"/>
        <v>#DIV/0!</v>
      </c>
      <c r="AL25" s="173" t="str">
        <f t="shared" si="32"/>
        <v>#DIV/0!</v>
      </c>
      <c r="AM25" s="174" t="str">
        <f t="shared" si="33"/>
        <v>#DIV/0!</v>
      </c>
    </row>
    <row r="26" ht="12.75" hidden="1" customHeight="1">
      <c r="A26" s="26"/>
      <c r="B26" s="190" t="s">
        <v>470</v>
      </c>
      <c r="C26" s="191">
        <v>1.90158093E8</v>
      </c>
      <c r="D26" s="152" t="s">
        <v>471</v>
      </c>
      <c r="E26" s="53" t="s">
        <v>77</v>
      </c>
      <c r="F26" s="154"/>
      <c r="G26" s="53"/>
      <c r="H26" s="53" t="str">
        <f t="shared" si="24"/>
        <v>0.00069</v>
      </c>
      <c r="I26" s="53" t="str">
        <f t="shared" si="25"/>
        <v>89</v>
      </c>
      <c r="J26" s="53" t="str">
        <f t="shared" si="26"/>
        <v>0</v>
      </c>
      <c r="K26" s="155" t="str">
        <f t="shared" si="27"/>
        <v>0.00</v>
      </c>
      <c r="L26" s="156" t="str">
        <f t="shared" si="28"/>
        <v>0.00 </v>
      </c>
      <c r="M26" s="132">
        <v>90.0</v>
      </c>
      <c r="N26" s="157" t="str">
        <f t="shared" si="29"/>
        <v>#DIV/0!</v>
      </c>
      <c r="O26" s="158">
        <v>959.1</v>
      </c>
      <c r="P26" s="159" t="str">
        <f t="shared" si="6"/>
        <v>959.10</v>
      </c>
      <c r="Q26" s="160"/>
      <c r="R26" s="161">
        <v>0.26</v>
      </c>
      <c r="S26" s="162" t="str">
        <f t="shared" si="7"/>
        <v>709.73</v>
      </c>
      <c r="T26" s="163" t="str">
        <f t="shared" si="22"/>
        <v>15.00</v>
      </c>
      <c r="U26" s="164" t="str">
        <f t="shared" si="8"/>
        <v>56.78</v>
      </c>
      <c r="V26" s="165" t="str">
        <f t="shared" si="9"/>
        <v>#DIV/0!</v>
      </c>
      <c r="W26" s="166">
        <v>0.36</v>
      </c>
      <c r="X26" s="167" t="str">
        <f t="shared" si="10"/>
        <v>76</v>
      </c>
      <c r="Y26" s="168" t="str">
        <f t="shared" si="11"/>
        <v>311.708</v>
      </c>
      <c r="Z26" s="168" t="str">
        <f t="shared" si="12"/>
        <v>15.401</v>
      </c>
      <c r="AA26" s="164" t="str">
        <f t="shared" si="13"/>
        <v>2.88</v>
      </c>
      <c r="AB26" s="164">
        <v>94.25</v>
      </c>
      <c r="AC26" s="164" t="str">
        <f t="shared" si="14"/>
        <v>4.80</v>
      </c>
      <c r="AD26" s="165" t="str">
        <f t="shared" si="15"/>
        <v>47.96</v>
      </c>
      <c r="AE26" s="23"/>
      <c r="AF26" s="169" t="str">
        <f t="shared" si="16"/>
        <v>0</v>
      </c>
      <c r="AG26" s="163" t="str">
        <f t="shared" si="23"/>
        <v>#DIV/0!</v>
      </c>
      <c r="AH26" s="170" t="str">
        <f t="shared" si="17"/>
        <v>#DIV/0!</v>
      </c>
      <c r="AI26" s="26"/>
      <c r="AJ26" s="171" t="str">
        <f t="shared" si="30"/>
        <v>0.00%</v>
      </c>
      <c r="AK26" s="172" t="str">
        <f t="shared" si="31"/>
        <v>#DIV/0!</v>
      </c>
      <c r="AL26" s="173" t="str">
        <f t="shared" si="32"/>
        <v>#DIV/0!</v>
      </c>
      <c r="AM26" s="174" t="str">
        <f t="shared" si="33"/>
        <v>#DIV/0!</v>
      </c>
    </row>
    <row r="27" ht="12.75" hidden="1" customHeight="1">
      <c r="A27" s="26"/>
      <c r="B27" s="190" t="s">
        <v>472</v>
      </c>
      <c r="C27" s="191">
        <v>1.8302882E8</v>
      </c>
      <c r="D27" s="152" t="s">
        <v>473</v>
      </c>
      <c r="E27" s="53" t="s">
        <v>77</v>
      </c>
      <c r="F27" s="154"/>
      <c r="G27" s="53"/>
      <c r="H27" s="53" t="str">
        <f t="shared" si="24"/>
        <v>0.00069</v>
      </c>
      <c r="I27" s="53" t="str">
        <f t="shared" si="25"/>
        <v>89</v>
      </c>
      <c r="J27" s="53" t="str">
        <f t="shared" si="26"/>
        <v>0</v>
      </c>
      <c r="K27" s="155" t="str">
        <f t="shared" si="27"/>
        <v>0.00</v>
      </c>
      <c r="L27" s="156" t="str">
        <f t="shared" si="28"/>
        <v>0.00 </v>
      </c>
      <c r="M27" s="132">
        <v>90.0</v>
      </c>
      <c r="N27" s="157" t="str">
        <f t="shared" si="29"/>
        <v>#DIV/0!</v>
      </c>
      <c r="O27" s="158">
        <v>1173.0</v>
      </c>
      <c r="P27" s="159" t="str">
        <f t="shared" si="6"/>
        <v>1,173.00</v>
      </c>
      <c r="Q27" s="160"/>
      <c r="R27" s="161">
        <v>0.26</v>
      </c>
      <c r="S27" s="162" t="str">
        <f t="shared" si="7"/>
        <v>868.02</v>
      </c>
      <c r="T27" s="163" t="str">
        <f t="shared" si="22"/>
        <v>15.00</v>
      </c>
      <c r="U27" s="164" t="str">
        <f t="shared" si="8"/>
        <v>69.44</v>
      </c>
      <c r="V27" s="165" t="str">
        <f t="shared" si="9"/>
        <v>#DIV/0!</v>
      </c>
      <c r="W27" s="166">
        <v>0.68</v>
      </c>
      <c r="X27" s="167" t="str">
        <f t="shared" si="10"/>
        <v>76</v>
      </c>
      <c r="Y27" s="168" t="str">
        <f t="shared" si="11"/>
        <v>381.225</v>
      </c>
      <c r="Z27" s="168" t="str">
        <f t="shared" si="12"/>
        <v>18.836</v>
      </c>
      <c r="AA27" s="164" t="str">
        <f t="shared" si="13"/>
        <v>1.72</v>
      </c>
      <c r="AB27" s="164">
        <v>96.56</v>
      </c>
      <c r="AC27" s="164" t="str">
        <f t="shared" si="14"/>
        <v>4.80</v>
      </c>
      <c r="AD27" s="165" t="str">
        <f t="shared" si="15"/>
        <v>58.65</v>
      </c>
      <c r="AE27" s="23"/>
      <c r="AF27" s="169" t="str">
        <f t="shared" si="16"/>
        <v>0</v>
      </c>
      <c r="AG27" s="163" t="str">
        <f t="shared" si="23"/>
        <v>#DIV/0!</v>
      </c>
      <c r="AH27" s="170" t="str">
        <f t="shared" si="17"/>
        <v>#DIV/0!</v>
      </c>
      <c r="AI27" s="26"/>
      <c r="AJ27" s="171" t="str">
        <f t="shared" si="30"/>
        <v>0.00%</v>
      </c>
      <c r="AK27" s="172" t="str">
        <f t="shared" si="31"/>
        <v>#DIV/0!</v>
      </c>
      <c r="AL27" s="173" t="str">
        <f t="shared" si="32"/>
        <v>#DIV/0!</v>
      </c>
      <c r="AM27" s="174" t="str">
        <f t="shared" si="33"/>
        <v>#DIV/0!</v>
      </c>
    </row>
    <row r="28" ht="12.75" hidden="1" customHeight="1">
      <c r="A28" s="26"/>
      <c r="B28" s="190" t="s">
        <v>474</v>
      </c>
      <c r="C28" s="216"/>
      <c r="D28" s="217" t="s">
        <v>475</v>
      </c>
      <c r="E28" s="53" t="s">
        <v>77</v>
      </c>
      <c r="F28" s="154"/>
      <c r="G28" s="53"/>
      <c r="H28" s="53" t="str">
        <f t="shared" si="24"/>
        <v>0.00069</v>
      </c>
      <c r="I28" s="53" t="str">
        <f t="shared" si="25"/>
        <v>89</v>
      </c>
      <c r="J28" s="53" t="str">
        <f t="shared" si="26"/>
        <v>0</v>
      </c>
      <c r="K28" s="155" t="str">
        <f t="shared" si="27"/>
        <v>0.00</v>
      </c>
      <c r="L28" s="156" t="str">
        <f t="shared" si="28"/>
        <v>0.00 </v>
      </c>
      <c r="M28" s="132">
        <v>90.0</v>
      </c>
      <c r="N28" s="157" t="str">
        <f t="shared" si="29"/>
        <v>#DIV/0!</v>
      </c>
      <c r="O28" s="158"/>
      <c r="P28" s="159" t="str">
        <f t="shared" si="6"/>
        <v/>
      </c>
      <c r="Q28" s="160"/>
      <c r="R28" s="161"/>
      <c r="S28" s="162"/>
      <c r="T28" s="163"/>
      <c r="U28" s="164"/>
      <c r="V28" s="165"/>
      <c r="W28" s="166"/>
      <c r="X28" s="167"/>
      <c r="Y28" s="168"/>
      <c r="Z28" s="168"/>
      <c r="AA28" s="164"/>
      <c r="AB28" s="164"/>
      <c r="AC28" s="164"/>
      <c r="AD28" s="165"/>
      <c r="AE28" s="23"/>
      <c r="AF28" s="218"/>
      <c r="AG28" s="163"/>
      <c r="AH28" s="170" t="str">
        <f t="shared" si="17"/>
        <v>#DIV/0!</v>
      </c>
      <c r="AI28" s="26"/>
      <c r="AJ28" s="171"/>
      <c r="AK28" s="172"/>
      <c r="AL28" s="219"/>
      <c r="AM28" s="174"/>
    </row>
    <row r="29" ht="12.75" hidden="1" customHeight="1">
      <c r="A29" s="26"/>
      <c r="B29" s="190" t="s">
        <v>474</v>
      </c>
      <c r="C29" s="220"/>
      <c r="D29" s="221" t="s">
        <v>476</v>
      </c>
      <c r="E29" s="211" t="s">
        <v>77</v>
      </c>
      <c r="F29" s="154"/>
      <c r="G29" s="211"/>
      <c r="H29" s="53" t="str">
        <f t="shared" si="24"/>
        <v>0.00069</v>
      </c>
      <c r="I29" s="53" t="str">
        <f t="shared" si="25"/>
        <v>89</v>
      </c>
      <c r="J29" s="53" t="str">
        <f t="shared" si="26"/>
        <v>0</v>
      </c>
      <c r="K29" s="155" t="str">
        <f t="shared" si="27"/>
        <v>0.00</v>
      </c>
      <c r="L29" s="156" t="str">
        <f t="shared" si="28"/>
        <v>0.00 </v>
      </c>
      <c r="M29" s="132">
        <v>90.0</v>
      </c>
      <c r="N29" s="157" t="str">
        <f t="shared" si="29"/>
        <v>#DIV/0!</v>
      </c>
      <c r="O29" s="158">
        <v>481.8</v>
      </c>
      <c r="P29" s="159" t="str">
        <f t="shared" si="6"/>
        <v>481.80</v>
      </c>
      <c r="Q29" s="160"/>
      <c r="R29" s="161">
        <v>0.26</v>
      </c>
      <c r="S29" s="162" t="str">
        <f t="shared" ref="S29:S31" si="34">O29-(O29*R29)</f>
        <v>356.53</v>
      </c>
      <c r="T29" s="163" t="str">
        <f t="shared" ref="T29:T31" si="35">$C$1</f>
        <v>15.00</v>
      </c>
      <c r="U29" s="164" t="str">
        <f t="shared" ref="U29:U31" si="36">S29*$C$8</f>
        <v>28.52</v>
      </c>
      <c r="V29" s="165" t="str">
        <f t="shared" ref="V29:V31" si="37">N29*$C$3*(M29/30)</f>
        <v>#DIV/0!</v>
      </c>
      <c r="W29" s="166">
        <v>0.68</v>
      </c>
      <c r="X29" s="167" t="str">
        <f t="shared" ref="X29:X31" si="38">((_xlfn.CEILING.MATH(W29)-1)*$C$5+$C$4)</f>
        <v>76</v>
      </c>
      <c r="Y29" s="168" t="str">
        <f t="shared" ref="Y29:Y31" si="39">O29*$Y$6</f>
        <v>156.585</v>
      </c>
      <c r="Z29" s="168" t="str">
        <f t="shared" ref="Z29:Z31" si="40">S29*$Y$7</f>
        <v>7.737</v>
      </c>
      <c r="AA29" s="164" t="str">
        <f t="shared" ref="AA29:AA31" si="41">$Y$3*((100-AB29)/100)</f>
        <v>0.00</v>
      </c>
      <c r="AB29" s="164">
        <v>100.0</v>
      </c>
      <c r="AC29" s="164" t="str">
        <f t="shared" ref="AC29:AC31" si="42">$C$6*$C$7*_xlfn.CEILING.MATH(W29)</f>
        <v>4.80</v>
      </c>
      <c r="AD29" s="165" t="str">
        <f t="shared" ref="AD29:AD31" si="43">O29*$C$2</f>
        <v>24.09</v>
      </c>
      <c r="AE29" s="23"/>
      <c r="AF29" s="169" t="str">
        <f t="shared" ref="AF29:AF31" si="44">(_xlfn.CEILING.MATH(W29))*$Y$1*$AD$2</f>
        <v>0</v>
      </c>
      <c r="AG29" s="163" t="str">
        <f t="shared" ref="AG29:AG31" si="45">O29-T29-U29-V29-X29-Y29-Z29-AA29-AC29-AD29-N29</f>
        <v>#DIV/0!</v>
      </c>
      <c r="AH29" s="170" t="str">
        <f t="shared" si="17"/>
        <v>#DIV/0!</v>
      </c>
      <c r="AI29" s="26"/>
      <c r="AJ29" s="171" t="str">
        <f t="shared" ref="AJ29:AJ31" si="46">$AD$3</f>
        <v>0.00%</v>
      </c>
      <c r="AK29" s="172" t="str">
        <f t="shared" ref="AK29:AK31" si="47">N29*AJ29</f>
        <v>#DIV/0!</v>
      </c>
      <c r="AL29" s="173" t="str">
        <f t="shared" ref="AL29:AL31" si="48">(N29+T29+V29+X29+AA29+AC29+AF29+AK29)/(100%-($C$2+$C$8+$Y$6+$Y$7))</f>
        <v>#DIV/0!</v>
      </c>
      <c r="AM29" s="174" t="str">
        <f t="shared" ref="AM29:AM36" si="49">AL29-(AL29*$AD$1)</f>
        <v>#DIV/0!</v>
      </c>
    </row>
    <row r="30" ht="12.75" hidden="1" customHeight="1">
      <c r="A30" s="26"/>
      <c r="B30" s="190" t="s">
        <v>474</v>
      </c>
      <c r="C30" s="220"/>
      <c r="D30" s="221" t="s">
        <v>478</v>
      </c>
      <c r="E30" s="211" t="s">
        <v>77</v>
      </c>
      <c r="F30" s="154"/>
      <c r="G30" s="211"/>
      <c r="H30" s="53" t="str">
        <f t="shared" si="24"/>
        <v>0.00069</v>
      </c>
      <c r="I30" s="53" t="str">
        <f t="shared" si="25"/>
        <v>89</v>
      </c>
      <c r="J30" s="53" t="str">
        <f t="shared" si="26"/>
        <v>0</v>
      </c>
      <c r="K30" s="155" t="str">
        <f t="shared" si="27"/>
        <v>0.00</v>
      </c>
      <c r="L30" s="156" t="str">
        <f t="shared" si="28"/>
        <v>0.00 </v>
      </c>
      <c r="M30" s="132">
        <v>90.0</v>
      </c>
      <c r="N30" s="157" t="str">
        <f t="shared" si="29"/>
        <v>#DIV/0!</v>
      </c>
      <c r="O30" s="158">
        <v>900.0</v>
      </c>
      <c r="P30" s="159" t="str">
        <f t="shared" si="6"/>
        <v>900.00</v>
      </c>
      <c r="Q30" s="160"/>
      <c r="R30" s="161">
        <v>0.26</v>
      </c>
      <c r="S30" s="162" t="str">
        <f t="shared" si="34"/>
        <v>666.00</v>
      </c>
      <c r="T30" s="163" t="str">
        <f t="shared" si="35"/>
        <v>15.00</v>
      </c>
      <c r="U30" s="164" t="str">
        <f t="shared" si="36"/>
        <v>53.28</v>
      </c>
      <c r="V30" s="165" t="str">
        <f t="shared" si="37"/>
        <v>#DIV/0!</v>
      </c>
      <c r="W30" s="166">
        <v>0.68</v>
      </c>
      <c r="X30" s="167" t="str">
        <f t="shared" si="38"/>
        <v>76</v>
      </c>
      <c r="Y30" s="168" t="str">
        <f t="shared" si="39"/>
        <v>292.500</v>
      </c>
      <c r="Z30" s="168" t="str">
        <f t="shared" si="40"/>
        <v>14.452</v>
      </c>
      <c r="AA30" s="164" t="str">
        <f t="shared" si="41"/>
        <v>1.95</v>
      </c>
      <c r="AB30" s="164">
        <v>96.1</v>
      </c>
      <c r="AC30" s="164" t="str">
        <f t="shared" si="42"/>
        <v>4.80</v>
      </c>
      <c r="AD30" s="165" t="str">
        <f t="shared" si="43"/>
        <v>45.00</v>
      </c>
      <c r="AE30" s="23"/>
      <c r="AF30" s="169" t="str">
        <f t="shared" si="44"/>
        <v>0</v>
      </c>
      <c r="AG30" s="163" t="str">
        <f t="shared" si="45"/>
        <v>#DIV/0!</v>
      </c>
      <c r="AH30" s="170" t="str">
        <f t="shared" si="17"/>
        <v>#DIV/0!</v>
      </c>
      <c r="AI30" s="26"/>
      <c r="AJ30" s="171" t="str">
        <f t="shared" si="46"/>
        <v>0.00%</v>
      </c>
      <c r="AK30" s="172" t="str">
        <f t="shared" si="47"/>
        <v>#DIV/0!</v>
      </c>
      <c r="AL30" s="173" t="str">
        <f t="shared" si="48"/>
        <v>#DIV/0!</v>
      </c>
      <c r="AM30" s="174" t="str">
        <f t="shared" si="49"/>
        <v>#DIV/0!</v>
      </c>
    </row>
    <row r="31" ht="12.75" hidden="1" customHeight="1">
      <c r="A31" s="26"/>
      <c r="B31" s="190" t="s">
        <v>481</v>
      </c>
      <c r="C31" s="202">
        <v>1.8303083E8</v>
      </c>
      <c r="D31" s="152" t="s">
        <v>482</v>
      </c>
      <c r="E31" s="53" t="s">
        <v>77</v>
      </c>
      <c r="F31" s="154"/>
      <c r="G31" s="53"/>
      <c r="H31" s="53" t="str">
        <f t="shared" si="24"/>
        <v>0.00069</v>
      </c>
      <c r="I31" s="53" t="str">
        <f t="shared" si="25"/>
        <v>89</v>
      </c>
      <c r="J31" s="53" t="str">
        <f t="shared" si="26"/>
        <v>0</v>
      </c>
      <c r="K31" s="155" t="str">
        <f t="shared" si="27"/>
        <v>0.00</v>
      </c>
      <c r="L31" s="156" t="str">
        <f t="shared" si="28"/>
        <v>0.00 </v>
      </c>
      <c r="M31" s="132">
        <v>90.0</v>
      </c>
      <c r="N31" s="157" t="str">
        <f t="shared" si="29"/>
        <v>#DIV/0!</v>
      </c>
      <c r="O31" s="158">
        <v>1398.38</v>
      </c>
      <c r="P31" s="159" t="str">
        <f t="shared" si="6"/>
        <v>1,398.38</v>
      </c>
      <c r="Q31" s="160"/>
      <c r="R31" s="161">
        <v>0.26</v>
      </c>
      <c r="S31" s="162" t="str">
        <f t="shared" si="34"/>
        <v>1,034.80</v>
      </c>
      <c r="T31" s="163" t="str">
        <f t="shared" si="35"/>
        <v>15.00</v>
      </c>
      <c r="U31" s="164" t="str">
        <f t="shared" si="36"/>
        <v>82.78</v>
      </c>
      <c r="V31" s="165" t="str">
        <f t="shared" si="37"/>
        <v>#DIV/0!</v>
      </c>
      <c r="W31" s="166">
        <v>2.11</v>
      </c>
      <c r="X31" s="167" t="str">
        <f t="shared" si="38"/>
        <v>114</v>
      </c>
      <c r="Y31" s="168" t="str">
        <f t="shared" si="39"/>
        <v>454.474</v>
      </c>
      <c r="Z31" s="168" t="str">
        <f t="shared" si="40"/>
        <v>22.455</v>
      </c>
      <c r="AA31" s="164" t="str">
        <f t="shared" si="41"/>
        <v>4.17</v>
      </c>
      <c r="AB31" s="164">
        <v>91.67</v>
      </c>
      <c r="AC31" s="164" t="str">
        <f t="shared" si="42"/>
        <v>14.40</v>
      </c>
      <c r="AD31" s="165" t="str">
        <f t="shared" si="43"/>
        <v>69.92</v>
      </c>
      <c r="AE31" s="23"/>
      <c r="AF31" s="169" t="str">
        <f t="shared" si="44"/>
        <v>0</v>
      </c>
      <c r="AG31" s="163" t="str">
        <f t="shared" si="45"/>
        <v>#DIV/0!</v>
      </c>
      <c r="AH31" s="170" t="str">
        <f t="shared" si="17"/>
        <v>#DIV/0!</v>
      </c>
      <c r="AI31" s="26"/>
      <c r="AJ31" s="171" t="str">
        <f t="shared" si="46"/>
        <v>0.00%</v>
      </c>
      <c r="AK31" s="172" t="str">
        <f t="shared" si="47"/>
        <v>#DIV/0!</v>
      </c>
      <c r="AL31" s="173" t="str">
        <f t="shared" si="48"/>
        <v>#DIV/0!</v>
      </c>
      <c r="AM31" s="174" t="str">
        <f t="shared" si="49"/>
        <v>#DIV/0!</v>
      </c>
    </row>
    <row r="32" ht="12.75" hidden="1" customHeight="1">
      <c r="A32" s="26"/>
      <c r="B32" s="190" t="s">
        <v>483</v>
      </c>
      <c r="C32" s="216"/>
      <c r="D32" s="217" t="s">
        <v>484</v>
      </c>
      <c r="E32" s="53" t="s">
        <v>77</v>
      </c>
      <c r="F32" s="154"/>
      <c r="G32" s="53"/>
      <c r="H32" s="53" t="str">
        <f t="shared" si="24"/>
        <v>0.00069</v>
      </c>
      <c r="I32" s="53" t="str">
        <f t="shared" si="25"/>
        <v>89</v>
      </c>
      <c r="J32" s="53" t="str">
        <f t="shared" si="26"/>
        <v>0</v>
      </c>
      <c r="K32" s="155" t="str">
        <f t="shared" si="27"/>
        <v>0.00</v>
      </c>
      <c r="L32" s="156" t="str">
        <f t="shared" si="28"/>
        <v>0.00 </v>
      </c>
      <c r="M32" s="132">
        <v>90.0</v>
      </c>
      <c r="N32" s="157" t="str">
        <f t="shared" si="29"/>
        <v>#DIV/0!</v>
      </c>
      <c r="O32" s="158"/>
      <c r="P32" s="159" t="str">
        <f t="shared" si="6"/>
        <v/>
      </c>
      <c r="Q32" s="160"/>
      <c r="R32" s="161"/>
      <c r="S32" s="162"/>
      <c r="T32" s="163"/>
      <c r="U32" s="164"/>
      <c r="V32" s="165"/>
      <c r="W32" s="166"/>
      <c r="X32" s="167"/>
      <c r="Y32" s="168"/>
      <c r="Z32" s="168"/>
      <c r="AA32" s="164"/>
      <c r="AB32" s="164"/>
      <c r="AC32" s="164"/>
      <c r="AD32" s="165"/>
      <c r="AE32" s="23"/>
      <c r="AF32" s="218"/>
      <c r="AG32" s="163"/>
      <c r="AH32" s="170" t="str">
        <f t="shared" si="17"/>
        <v>#DIV/0!</v>
      </c>
      <c r="AI32" s="26"/>
      <c r="AJ32" s="171"/>
      <c r="AK32" s="172"/>
      <c r="AL32" s="219"/>
      <c r="AM32" s="174" t="str">
        <f t="shared" si="49"/>
        <v>0.00</v>
      </c>
    </row>
    <row r="33" ht="12.75" hidden="1" customHeight="1">
      <c r="A33" s="26"/>
      <c r="B33" s="190" t="s">
        <v>474</v>
      </c>
      <c r="C33" s="220"/>
      <c r="D33" s="223" t="s">
        <v>485</v>
      </c>
      <c r="E33" s="211" t="s">
        <v>77</v>
      </c>
      <c r="F33" s="154"/>
      <c r="G33" s="211"/>
      <c r="H33" s="53" t="str">
        <f t="shared" si="24"/>
        <v>0.00069</v>
      </c>
      <c r="I33" s="53" t="str">
        <f t="shared" si="25"/>
        <v>89</v>
      </c>
      <c r="J33" s="53" t="str">
        <f t="shared" si="26"/>
        <v>0</v>
      </c>
      <c r="K33" s="155" t="str">
        <f t="shared" si="27"/>
        <v>0.00</v>
      </c>
      <c r="L33" s="156" t="str">
        <f t="shared" si="28"/>
        <v>0.00 </v>
      </c>
      <c r="M33" s="132">
        <v>90.0</v>
      </c>
      <c r="N33" s="157" t="str">
        <f t="shared" si="29"/>
        <v>#DIV/0!</v>
      </c>
      <c r="O33" s="158">
        <v>403.0</v>
      </c>
      <c r="P33" s="159" t="str">
        <f t="shared" si="6"/>
        <v>403.00</v>
      </c>
      <c r="Q33" s="160"/>
      <c r="R33" s="161">
        <v>0.26</v>
      </c>
      <c r="S33" s="162" t="str">
        <f t="shared" ref="S33:S36" si="50">O33-(O33*R33)</f>
        <v>298.22</v>
      </c>
      <c r="T33" s="163" t="str">
        <f t="shared" ref="T33:T36" si="51">$C$1</f>
        <v>15.00</v>
      </c>
      <c r="U33" s="164" t="str">
        <f t="shared" ref="U33:U36" si="52">S33*$C$8</f>
        <v>23.86</v>
      </c>
      <c r="V33" s="165" t="str">
        <f t="shared" ref="V33:V36" si="53">N33*$C$3*(M33/30)</f>
        <v>#DIV/0!</v>
      </c>
      <c r="W33" s="166">
        <v>0.68</v>
      </c>
      <c r="X33" s="167" t="str">
        <f t="shared" ref="X33:X36" si="54">((_xlfn.CEILING.MATH(W33)-1)*$C$5+$C$4)</f>
        <v>76</v>
      </c>
      <c r="Y33" s="168" t="str">
        <f t="shared" ref="Y33:Y36" si="55">O33*$Y$6</f>
        <v>130.975</v>
      </c>
      <c r="Z33" s="168" t="str">
        <f t="shared" ref="Z33:Z36" si="56">S33*$Y$7</f>
        <v>6.471</v>
      </c>
      <c r="AA33" s="164" t="str">
        <f t="shared" ref="AA33:AA36" si="57">$Y$3*((100-AB33)/100)</f>
        <v>2.64</v>
      </c>
      <c r="AB33" s="164">
        <v>94.72</v>
      </c>
      <c r="AC33" s="164" t="str">
        <f t="shared" ref="AC33:AC36" si="58">$C$6*$C$7*_xlfn.CEILING.MATH(W33)</f>
        <v>4.80</v>
      </c>
      <c r="AD33" s="165" t="str">
        <f t="shared" ref="AD33:AD36" si="59">O33*$C$2</f>
        <v>20.15</v>
      </c>
      <c r="AE33" s="23"/>
      <c r="AF33" s="169" t="str">
        <f t="shared" ref="AF33:AF36" si="60">(_xlfn.CEILING.MATH(W33))*$Y$1*$AD$2</f>
        <v>0</v>
      </c>
      <c r="AG33" s="163" t="str">
        <f t="shared" ref="AG33:AG36" si="61">O33-T33-U33-V33-X33-Y33-Z33-AA33-AC33-AD33-N33</f>
        <v>#DIV/0!</v>
      </c>
      <c r="AH33" s="170" t="str">
        <f t="shared" si="17"/>
        <v>#DIV/0!</v>
      </c>
      <c r="AI33" s="26"/>
      <c r="AJ33" s="171" t="str">
        <f t="shared" ref="AJ33:AJ36" si="62">$AD$3</f>
        <v>0.00%</v>
      </c>
      <c r="AK33" s="172" t="str">
        <f t="shared" ref="AK33:AK36" si="63">N33*AJ33</f>
        <v>#DIV/0!</v>
      </c>
      <c r="AL33" s="173" t="str">
        <f t="shared" ref="AL33:AL36" si="64">(N33+T33+V33+X33+AA33+AC33+AF33+AK33)/(100%-($C$2+$C$8+$Y$6+$Y$7))</f>
        <v>#DIV/0!</v>
      </c>
      <c r="AM33" s="174" t="str">
        <f t="shared" si="49"/>
        <v>#DIV/0!</v>
      </c>
    </row>
    <row r="34" ht="12.75" hidden="1" customHeight="1">
      <c r="A34" s="26"/>
      <c r="B34" s="190" t="s">
        <v>474</v>
      </c>
      <c r="C34" s="220"/>
      <c r="D34" s="223" t="s">
        <v>486</v>
      </c>
      <c r="E34" s="211" t="s">
        <v>77</v>
      </c>
      <c r="F34" s="154"/>
      <c r="G34" s="211"/>
      <c r="H34" s="53" t="str">
        <f t="shared" si="24"/>
        <v>0.00069</v>
      </c>
      <c r="I34" s="53" t="str">
        <f t="shared" si="25"/>
        <v>89</v>
      </c>
      <c r="J34" s="53" t="str">
        <f t="shared" si="26"/>
        <v>0</v>
      </c>
      <c r="K34" s="155" t="str">
        <f t="shared" si="27"/>
        <v>0.00</v>
      </c>
      <c r="L34" s="156" t="str">
        <f t="shared" si="28"/>
        <v>0.00 </v>
      </c>
      <c r="M34" s="132">
        <v>90.0</v>
      </c>
      <c r="N34" s="157" t="str">
        <f t="shared" si="29"/>
        <v>#DIV/0!</v>
      </c>
      <c r="O34" s="158">
        <v>528.5</v>
      </c>
      <c r="P34" s="159" t="str">
        <f t="shared" si="6"/>
        <v>528.50</v>
      </c>
      <c r="Q34" s="160"/>
      <c r="R34" s="161">
        <v>0.26</v>
      </c>
      <c r="S34" s="162" t="str">
        <f t="shared" si="50"/>
        <v>391.09</v>
      </c>
      <c r="T34" s="163" t="str">
        <f t="shared" si="51"/>
        <v>15.00</v>
      </c>
      <c r="U34" s="164" t="str">
        <f t="shared" si="52"/>
        <v>31.29</v>
      </c>
      <c r="V34" s="165" t="str">
        <f t="shared" si="53"/>
        <v>#DIV/0!</v>
      </c>
      <c r="W34" s="166">
        <v>0.77</v>
      </c>
      <c r="X34" s="167" t="str">
        <f t="shared" si="54"/>
        <v>76</v>
      </c>
      <c r="Y34" s="168" t="str">
        <f t="shared" si="55"/>
        <v>171.763</v>
      </c>
      <c r="Z34" s="168" t="str">
        <f t="shared" si="56"/>
        <v>8.487</v>
      </c>
      <c r="AA34" s="164" t="str">
        <f t="shared" si="57"/>
        <v>3.07</v>
      </c>
      <c r="AB34" s="164">
        <v>93.86</v>
      </c>
      <c r="AC34" s="164" t="str">
        <f t="shared" si="58"/>
        <v>4.80</v>
      </c>
      <c r="AD34" s="165" t="str">
        <f t="shared" si="59"/>
        <v>26.43</v>
      </c>
      <c r="AE34" s="23"/>
      <c r="AF34" s="169" t="str">
        <f t="shared" si="60"/>
        <v>0</v>
      </c>
      <c r="AG34" s="163" t="str">
        <f t="shared" si="61"/>
        <v>#DIV/0!</v>
      </c>
      <c r="AH34" s="170" t="str">
        <f t="shared" si="17"/>
        <v>#DIV/0!</v>
      </c>
      <c r="AI34" s="26"/>
      <c r="AJ34" s="171" t="str">
        <f t="shared" si="62"/>
        <v>0.00%</v>
      </c>
      <c r="AK34" s="172" t="str">
        <f t="shared" si="63"/>
        <v>#DIV/0!</v>
      </c>
      <c r="AL34" s="173" t="str">
        <f t="shared" si="64"/>
        <v>#DIV/0!</v>
      </c>
      <c r="AM34" s="174" t="str">
        <f t="shared" si="49"/>
        <v>#DIV/0!</v>
      </c>
    </row>
    <row r="35" ht="12.75" hidden="1" customHeight="1">
      <c r="A35" s="26"/>
      <c r="B35" s="190" t="s">
        <v>474</v>
      </c>
      <c r="C35" s="220"/>
      <c r="D35" s="223" t="s">
        <v>487</v>
      </c>
      <c r="E35" s="211" t="s">
        <v>77</v>
      </c>
      <c r="F35" s="154"/>
      <c r="G35" s="211"/>
      <c r="H35" s="53" t="str">
        <f t="shared" si="24"/>
        <v>0.00069</v>
      </c>
      <c r="I35" s="53" t="str">
        <f t="shared" si="25"/>
        <v>89</v>
      </c>
      <c r="J35" s="53" t="str">
        <f t="shared" si="26"/>
        <v>0</v>
      </c>
      <c r="K35" s="155" t="str">
        <f t="shared" si="27"/>
        <v>0.00</v>
      </c>
      <c r="L35" s="156" t="str">
        <f t="shared" si="28"/>
        <v>0.00 </v>
      </c>
      <c r="M35" s="132">
        <v>90.0</v>
      </c>
      <c r="N35" s="157" t="str">
        <f t="shared" si="29"/>
        <v>#DIV/0!</v>
      </c>
      <c r="O35" s="158">
        <v>808.8</v>
      </c>
      <c r="P35" s="159" t="str">
        <f t="shared" si="6"/>
        <v>808.80</v>
      </c>
      <c r="Q35" s="160"/>
      <c r="R35" s="161">
        <v>0.26</v>
      </c>
      <c r="S35" s="162" t="str">
        <f t="shared" si="50"/>
        <v>598.51</v>
      </c>
      <c r="T35" s="163" t="str">
        <f t="shared" si="51"/>
        <v>15.00</v>
      </c>
      <c r="U35" s="164" t="str">
        <f t="shared" si="52"/>
        <v>47.88</v>
      </c>
      <c r="V35" s="165" t="str">
        <f t="shared" si="53"/>
        <v>#DIV/0!</v>
      </c>
      <c r="W35" s="166">
        <v>0.86</v>
      </c>
      <c r="X35" s="167" t="str">
        <f t="shared" si="54"/>
        <v>76</v>
      </c>
      <c r="Y35" s="168" t="str">
        <f t="shared" si="55"/>
        <v>262.860</v>
      </c>
      <c r="Z35" s="168" t="str">
        <f t="shared" si="56"/>
        <v>12.988</v>
      </c>
      <c r="AA35" s="164" t="str">
        <f t="shared" si="57"/>
        <v>3.05</v>
      </c>
      <c r="AB35" s="164">
        <v>93.9</v>
      </c>
      <c r="AC35" s="164" t="str">
        <f t="shared" si="58"/>
        <v>4.80</v>
      </c>
      <c r="AD35" s="165" t="str">
        <f t="shared" si="59"/>
        <v>40.44</v>
      </c>
      <c r="AE35" s="23"/>
      <c r="AF35" s="169" t="str">
        <f t="shared" si="60"/>
        <v>0</v>
      </c>
      <c r="AG35" s="163" t="str">
        <f t="shared" si="61"/>
        <v>#DIV/0!</v>
      </c>
      <c r="AH35" s="170" t="str">
        <f t="shared" si="17"/>
        <v>#DIV/0!</v>
      </c>
      <c r="AI35" s="26"/>
      <c r="AJ35" s="171" t="str">
        <f t="shared" si="62"/>
        <v>0.00%</v>
      </c>
      <c r="AK35" s="172" t="str">
        <f t="shared" si="63"/>
        <v>#DIV/0!</v>
      </c>
      <c r="AL35" s="173" t="str">
        <f t="shared" si="64"/>
        <v>#DIV/0!</v>
      </c>
      <c r="AM35" s="174" t="str">
        <f t="shared" si="49"/>
        <v>#DIV/0!</v>
      </c>
    </row>
    <row r="36" ht="12.75" hidden="1" customHeight="1">
      <c r="A36" s="26"/>
      <c r="B36" s="190" t="s">
        <v>488</v>
      </c>
      <c r="C36" s="191">
        <v>1.83127988E8</v>
      </c>
      <c r="D36" s="222" t="s">
        <v>489</v>
      </c>
      <c r="E36" s="53" t="s">
        <v>77</v>
      </c>
      <c r="F36" s="154"/>
      <c r="G36" s="53"/>
      <c r="H36" s="53" t="str">
        <f t="shared" si="24"/>
        <v>0.00069</v>
      </c>
      <c r="I36" s="53" t="str">
        <f t="shared" si="25"/>
        <v>89</v>
      </c>
      <c r="J36" s="53" t="str">
        <f t="shared" si="26"/>
        <v>0</v>
      </c>
      <c r="K36" s="155" t="str">
        <f t="shared" si="27"/>
        <v>0.00</v>
      </c>
      <c r="L36" s="156" t="str">
        <f t="shared" si="28"/>
        <v>0.00 </v>
      </c>
      <c r="M36" s="132">
        <v>90.0</v>
      </c>
      <c r="N36" s="157" t="str">
        <f t="shared" si="29"/>
        <v>#DIV/0!</v>
      </c>
      <c r="O36" s="158">
        <v>1241.4</v>
      </c>
      <c r="P36" s="159" t="str">
        <f t="shared" si="6"/>
        <v>1,241.40</v>
      </c>
      <c r="Q36" s="160"/>
      <c r="R36" s="161">
        <v>0.26</v>
      </c>
      <c r="S36" s="162" t="str">
        <f t="shared" si="50"/>
        <v>918.64</v>
      </c>
      <c r="T36" s="163" t="str">
        <f t="shared" si="51"/>
        <v>15.00</v>
      </c>
      <c r="U36" s="164" t="str">
        <f t="shared" si="52"/>
        <v>73.49</v>
      </c>
      <c r="V36" s="165" t="str">
        <f t="shared" si="53"/>
        <v>#DIV/0!</v>
      </c>
      <c r="W36" s="166">
        <v>0.43</v>
      </c>
      <c r="X36" s="167" t="str">
        <f t="shared" si="54"/>
        <v>76</v>
      </c>
      <c r="Y36" s="168" t="str">
        <f t="shared" si="55"/>
        <v>403.455</v>
      </c>
      <c r="Z36" s="168" t="str">
        <f t="shared" si="56"/>
        <v>19.934</v>
      </c>
      <c r="AA36" s="164" t="str">
        <f t="shared" si="57"/>
        <v>3.20</v>
      </c>
      <c r="AB36" s="164">
        <v>93.6</v>
      </c>
      <c r="AC36" s="164" t="str">
        <f t="shared" si="58"/>
        <v>4.80</v>
      </c>
      <c r="AD36" s="165" t="str">
        <f t="shared" si="59"/>
        <v>62.07</v>
      </c>
      <c r="AE36" s="23"/>
      <c r="AF36" s="169" t="str">
        <f t="shared" si="60"/>
        <v>0</v>
      </c>
      <c r="AG36" s="163" t="str">
        <f t="shared" si="61"/>
        <v>#DIV/0!</v>
      </c>
      <c r="AH36" s="170" t="str">
        <f t="shared" si="17"/>
        <v>#DIV/0!</v>
      </c>
      <c r="AI36" s="26"/>
      <c r="AJ36" s="171" t="str">
        <f t="shared" si="62"/>
        <v>0.00%</v>
      </c>
      <c r="AK36" s="172" t="str">
        <f t="shared" si="63"/>
        <v>#DIV/0!</v>
      </c>
      <c r="AL36" s="173" t="str">
        <f t="shared" si="64"/>
        <v>#DIV/0!</v>
      </c>
      <c r="AM36" s="174" t="str">
        <f t="shared" si="49"/>
        <v>#DIV/0!</v>
      </c>
    </row>
    <row r="37" ht="12.75" hidden="1" customHeight="1">
      <c r="A37" s="26"/>
      <c r="B37" s="190" t="s">
        <v>490</v>
      </c>
      <c r="C37" s="216"/>
      <c r="D37" s="217" t="s">
        <v>491</v>
      </c>
      <c r="E37" s="53" t="s">
        <v>77</v>
      </c>
      <c r="F37" s="154"/>
      <c r="G37" s="53"/>
      <c r="H37" s="53" t="str">
        <f t="shared" si="24"/>
        <v>0.00069</v>
      </c>
      <c r="I37" s="53" t="str">
        <f t="shared" si="25"/>
        <v>89</v>
      </c>
      <c r="J37" s="53" t="str">
        <f t="shared" si="26"/>
        <v>0</v>
      </c>
      <c r="K37" s="155" t="str">
        <f t="shared" si="27"/>
        <v>0.00</v>
      </c>
      <c r="L37" s="156" t="str">
        <f t="shared" si="28"/>
        <v>0.00 </v>
      </c>
      <c r="M37" s="132">
        <v>90.0</v>
      </c>
      <c r="N37" s="157" t="str">
        <f t="shared" si="29"/>
        <v>#DIV/0!</v>
      </c>
      <c r="O37" s="158"/>
      <c r="P37" s="159" t="str">
        <f t="shared" si="6"/>
        <v/>
      </c>
      <c r="Q37" s="160"/>
      <c r="R37" s="161"/>
      <c r="S37" s="162"/>
      <c r="T37" s="163"/>
      <c r="U37" s="164"/>
      <c r="V37" s="165"/>
      <c r="W37" s="166"/>
      <c r="X37" s="167"/>
      <c r="Y37" s="168"/>
      <c r="Z37" s="168"/>
      <c r="AA37" s="164"/>
      <c r="AB37" s="164"/>
      <c r="AC37" s="164"/>
      <c r="AD37" s="165"/>
      <c r="AE37" s="23"/>
      <c r="AF37" s="218"/>
      <c r="AG37" s="163"/>
      <c r="AH37" s="170" t="str">
        <f t="shared" si="17"/>
        <v>#DIV/0!</v>
      </c>
      <c r="AI37" s="26"/>
      <c r="AJ37" s="171"/>
      <c r="AK37" s="172"/>
      <c r="AL37" s="219"/>
      <c r="AM37" s="174"/>
    </row>
    <row r="38" ht="13.5" hidden="1" customHeight="1">
      <c r="A38" s="26"/>
      <c r="B38" s="190" t="s">
        <v>474</v>
      </c>
      <c r="C38" s="220"/>
      <c r="D38" s="221" t="s">
        <v>492</v>
      </c>
      <c r="E38" s="211" t="s">
        <v>77</v>
      </c>
      <c r="F38" s="154"/>
      <c r="G38" s="211"/>
      <c r="H38" s="53" t="str">
        <f t="shared" si="24"/>
        <v>0.00069</v>
      </c>
      <c r="I38" s="53" t="str">
        <f t="shared" si="25"/>
        <v>89</v>
      </c>
      <c r="J38" s="53" t="str">
        <f t="shared" si="26"/>
        <v>0</v>
      </c>
      <c r="K38" s="155" t="str">
        <f t="shared" si="27"/>
        <v>0.00</v>
      </c>
      <c r="L38" s="156" t="str">
        <f t="shared" si="28"/>
        <v>0.00 </v>
      </c>
      <c r="M38" s="132">
        <v>90.0</v>
      </c>
      <c r="N38" s="157" t="str">
        <f t="shared" si="29"/>
        <v>#DIV/0!</v>
      </c>
      <c r="O38" s="158">
        <v>398.16</v>
      </c>
      <c r="P38" s="159" t="str">
        <f t="shared" si="6"/>
        <v>398.16</v>
      </c>
      <c r="Q38" s="160"/>
      <c r="R38" s="161">
        <v>0.26</v>
      </c>
      <c r="S38" s="162" t="str">
        <f t="shared" ref="S38:S42" si="65">O38-(O38*R38)</f>
        <v>294.64</v>
      </c>
      <c r="T38" s="163" t="str">
        <f t="shared" ref="T38:T42" si="66">$C$1</f>
        <v>15.00</v>
      </c>
      <c r="U38" s="164" t="str">
        <f t="shared" ref="U38:U42" si="67">S38*$C$8</f>
        <v>23.57</v>
      </c>
      <c r="V38" s="165" t="str">
        <f t="shared" ref="V38:V42" si="68">N38*$C$3*(M38/30)</f>
        <v>#DIV/0!</v>
      </c>
      <c r="W38" s="166">
        <v>0.75</v>
      </c>
      <c r="X38" s="167" t="str">
        <f t="shared" ref="X38:X42" si="69">((_xlfn.CEILING.MATH(W38)-1)*$C$5+$C$4)</f>
        <v>76</v>
      </c>
      <c r="Y38" s="168" t="str">
        <f t="shared" ref="Y38:Y42" si="70">O38*$Y$6</f>
        <v>129.402</v>
      </c>
      <c r="Z38" s="168" t="str">
        <f t="shared" ref="Z38:Z42" si="71">S38*$Y$7</f>
        <v>6.394</v>
      </c>
      <c r="AA38" s="164" t="str">
        <f t="shared" ref="AA38:AA42" si="72">$Y$3*((100-AB38)/100)</f>
        <v>3.57</v>
      </c>
      <c r="AB38" s="164">
        <v>92.86</v>
      </c>
      <c r="AC38" s="164" t="str">
        <f t="shared" ref="AC38:AC42" si="73">$C$6*$C$7*_xlfn.CEILING.MATH(W38)</f>
        <v>4.80</v>
      </c>
      <c r="AD38" s="165" t="str">
        <f t="shared" ref="AD38:AD42" si="74">O38*$C$2</f>
        <v>19.91</v>
      </c>
      <c r="AE38" s="23"/>
      <c r="AF38" s="169" t="str">
        <f t="shared" ref="AF38:AF42" si="75">(_xlfn.CEILING.MATH(W38))*$Y$1*$AD$2</f>
        <v>0</v>
      </c>
      <c r="AG38" s="163" t="str">
        <f t="shared" ref="AG38:AG42" si="76">O38-T38-U38-V38-X38-Y38-Z38-AA38-AC38-AD38-N38</f>
        <v>#DIV/0!</v>
      </c>
      <c r="AH38" s="170" t="str">
        <f t="shared" si="17"/>
        <v>#DIV/0!</v>
      </c>
      <c r="AI38" s="26"/>
      <c r="AJ38" s="171" t="str">
        <f t="shared" ref="AJ38:AJ42" si="77">$AD$3</f>
        <v>0.00%</v>
      </c>
      <c r="AK38" s="172" t="str">
        <f t="shared" ref="AK38:AK42" si="78">N38*AJ38</f>
        <v>#DIV/0!</v>
      </c>
      <c r="AL38" s="173" t="str">
        <f t="shared" ref="AL38:AL42" si="79">(N38+T38+V38+X38+AA38+AC38+AF38+AK38)/(100%-($C$2+$C$8+$Y$6+$Y$7))</f>
        <v>#DIV/0!</v>
      </c>
      <c r="AM38" s="174" t="str">
        <f t="shared" ref="AM38:AM42" si="80">AL38-(AL38*$AD$1)</f>
        <v>#DIV/0!</v>
      </c>
    </row>
    <row r="39" ht="13.5" hidden="1" customHeight="1">
      <c r="A39" s="26"/>
      <c r="B39" s="190" t="s">
        <v>474</v>
      </c>
      <c r="C39" s="220"/>
      <c r="D39" s="221" t="s">
        <v>493</v>
      </c>
      <c r="E39" s="211" t="s">
        <v>77</v>
      </c>
      <c r="F39" s="154"/>
      <c r="G39" s="211"/>
      <c r="H39" s="53" t="str">
        <f t="shared" si="24"/>
        <v>0.00069</v>
      </c>
      <c r="I39" s="53" t="str">
        <f t="shared" si="25"/>
        <v>89</v>
      </c>
      <c r="J39" s="53" t="str">
        <f t="shared" si="26"/>
        <v>0</v>
      </c>
      <c r="K39" s="155" t="str">
        <f t="shared" si="27"/>
        <v>0.00</v>
      </c>
      <c r="L39" s="156" t="str">
        <f t="shared" si="28"/>
        <v>0.00 </v>
      </c>
      <c r="M39" s="132">
        <v>90.0</v>
      </c>
      <c r="N39" s="157" t="str">
        <f t="shared" si="29"/>
        <v>#DIV/0!</v>
      </c>
      <c r="O39" s="158">
        <v>722.1</v>
      </c>
      <c r="P39" s="159" t="str">
        <f t="shared" si="6"/>
        <v>722.10</v>
      </c>
      <c r="Q39" s="160"/>
      <c r="R39" s="161">
        <v>0.26</v>
      </c>
      <c r="S39" s="162" t="str">
        <f t="shared" si="65"/>
        <v>534.35</v>
      </c>
      <c r="T39" s="163" t="str">
        <f t="shared" si="66"/>
        <v>15.00</v>
      </c>
      <c r="U39" s="164" t="str">
        <f t="shared" si="67"/>
        <v>42.75</v>
      </c>
      <c r="V39" s="165" t="str">
        <f t="shared" si="68"/>
        <v>#DIV/0!</v>
      </c>
      <c r="W39" s="166">
        <v>0.68</v>
      </c>
      <c r="X39" s="167" t="str">
        <f t="shared" si="69"/>
        <v>76</v>
      </c>
      <c r="Y39" s="168" t="str">
        <f t="shared" si="70"/>
        <v>234.683</v>
      </c>
      <c r="Z39" s="168" t="str">
        <f t="shared" si="71"/>
        <v>11.595</v>
      </c>
      <c r="AA39" s="164" t="str">
        <f t="shared" si="72"/>
        <v>15.00</v>
      </c>
      <c r="AB39" s="164">
        <v>70.0</v>
      </c>
      <c r="AC39" s="164" t="str">
        <f t="shared" si="73"/>
        <v>4.80</v>
      </c>
      <c r="AD39" s="165" t="str">
        <f t="shared" si="74"/>
        <v>36.11</v>
      </c>
      <c r="AE39" s="23"/>
      <c r="AF39" s="169" t="str">
        <f t="shared" si="75"/>
        <v>0</v>
      </c>
      <c r="AG39" s="163" t="str">
        <f t="shared" si="76"/>
        <v>#DIV/0!</v>
      </c>
      <c r="AH39" s="170" t="str">
        <f t="shared" si="17"/>
        <v>#DIV/0!</v>
      </c>
      <c r="AI39" s="26"/>
      <c r="AJ39" s="171" t="str">
        <f t="shared" si="77"/>
        <v>0.00%</v>
      </c>
      <c r="AK39" s="172" t="str">
        <f t="shared" si="78"/>
        <v>#DIV/0!</v>
      </c>
      <c r="AL39" s="173" t="str">
        <f t="shared" si="79"/>
        <v>#DIV/0!</v>
      </c>
      <c r="AM39" s="174" t="str">
        <f t="shared" si="80"/>
        <v>#DIV/0!</v>
      </c>
    </row>
    <row r="40" ht="13.5" hidden="1" customHeight="1">
      <c r="A40" s="26"/>
      <c r="B40" s="190" t="s">
        <v>474</v>
      </c>
      <c r="C40" s="220"/>
      <c r="D40" s="221" t="s">
        <v>494</v>
      </c>
      <c r="E40" s="211" t="s">
        <v>77</v>
      </c>
      <c r="F40" s="154"/>
      <c r="G40" s="211"/>
      <c r="H40" s="53" t="str">
        <f t="shared" si="24"/>
        <v>0.00069</v>
      </c>
      <c r="I40" s="53" t="str">
        <f t="shared" si="25"/>
        <v>89</v>
      </c>
      <c r="J40" s="53" t="str">
        <f t="shared" si="26"/>
        <v>0</v>
      </c>
      <c r="K40" s="155" t="str">
        <f t="shared" si="27"/>
        <v>0.00</v>
      </c>
      <c r="L40" s="156" t="str">
        <f t="shared" si="28"/>
        <v>0.00 </v>
      </c>
      <c r="M40" s="132">
        <v>90.0</v>
      </c>
      <c r="N40" s="157" t="str">
        <f t="shared" si="29"/>
        <v>#DIV/0!</v>
      </c>
      <c r="O40" s="158">
        <v>1171.2</v>
      </c>
      <c r="P40" s="159" t="str">
        <f t="shared" si="6"/>
        <v>1,171.20</v>
      </c>
      <c r="Q40" s="160"/>
      <c r="R40" s="161">
        <v>0.26</v>
      </c>
      <c r="S40" s="162" t="str">
        <f t="shared" si="65"/>
        <v>866.69</v>
      </c>
      <c r="T40" s="163" t="str">
        <f t="shared" si="66"/>
        <v>15.00</v>
      </c>
      <c r="U40" s="164" t="str">
        <f t="shared" si="67"/>
        <v>69.34</v>
      </c>
      <c r="V40" s="165" t="str">
        <f t="shared" si="68"/>
        <v>#DIV/0!</v>
      </c>
      <c r="W40" s="166">
        <v>0.86</v>
      </c>
      <c r="X40" s="167" t="str">
        <f t="shared" si="69"/>
        <v>76</v>
      </c>
      <c r="Y40" s="168" t="str">
        <f t="shared" si="70"/>
        <v>380.640</v>
      </c>
      <c r="Z40" s="168" t="str">
        <f t="shared" si="71"/>
        <v>18.807</v>
      </c>
      <c r="AA40" s="164" t="str">
        <f t="shared" si="72"/>
        <v>4.17</v>
      </c>
      <c r="AB40" s="164">
        <v>91.67</v>
      </c>
      <c r="AC40" s="164" t="str">
        <f t="shared" si="73"/>
        <v>4.80</v>
      </c>
      <c r="AD40" s="165" t="str">
        <f t="shared" si="74"/>
        <v>58.56</v>
      </c>
      <c r="AE40" s="23"/>
      <c r="AF40" s="169" t="str">
        <f t="shared" si="75"/>
        <v>0</v>
      </c>
      <c r="AG40" s="163" t="str">
        <f t="shared" si="76"/>
        <v>#DIV/0!</v>
      </c>
      <c r="AH40" s="170" t="str">
        <f t="shared" si="17"/>
        <v>#DIV/0!</v>
      </c>
      <c r="AI40" s="26"/>
      <c r="AJ40" s="171" t="str">
        <f t="shared" si="77"/>
        <v>0.00%</v>
      </c>
      <c r="AK40" s="172" t="str">
        <f t="shared" si="78"/>
        <v>#DIV/0!</v>
      </c>
      <c r="AL40" s="173" t="str">
        <f t="shared" si="79"/>
        <v>#DIV/0!</v>
      </c>
      <c r="AM40" s="174" t="str">
        <f t="shared" si="80"/>
        <v>#DIV/0!</v>
      </c>
    </row>
    <row r="41" ht="12.75" hidden="1" customHeight="1">
      <c r="A41" s="26"/>
      <c r="B41" s="190" t="s">
        <v>497</v>
      </c>
      <c r="C41" s="192">
        <v>1.91033857E8</v>
      </c>
      <c r="D41" s="152" t="s">
        <v>498</v>
      </c>
      <c r="E41" s="53" t="s">
        <v>77</v>
      </c>
      <c r="F41" s="154"/>
      <c r="G41" s="53"/>
      <c r="H41" s="53" t="str">
        <f t="shared" si="24"/>
        <v>0.00069</v>
      </c>
      <c r="I41" s="53" t="str">
        <f t="shared" si="25"/>
        <v>89</v>
      </c>
      <c r="J41" s="53" t="str">
        <f t="shared" si="26"/>
        <v>0</v>
      </c>
      <c r="K41" s="155" t="str">
        <f t="shared" si="27"/>
        <v>0.00</v>
      </c>
      <c r="L41" s="156" t="str">
        <f t="shared" si="28"/>
        <v>0.00 </v>
      </c>
      <c r="M41" s="132">
        <v>90.0</v>
      </c>
      <c r="N41" s="325" t="str">
        <f t="shared" si="29"/>
        <v>#DIV/0!</v>
      </c>
      <c r="O41" s="158">
        <v>476.4</v>
      </c>
      <c r="P41" s="159" t="str">
        <f t="shared" ref="P41:P42" si="81">AL41</f>
        <v>#DIV/0!</v>
      </c>
      <c r="Q41" s="160"/>
      <c r="R41" s="161">
        <v>0.26</v>
      </c>
      <c r="S41" s="162" t="str">
        <f t="shared" si="65"/>
        <v>352.54</v>
      </c>
      <c r="T41" s="163" t="str">
        <f t="shared" si="66"/>
        <v>15.00</v>
      </c>
      <c r="U41" s="164" t="str">
        <f t="shared" si="67"/>
        <v>28.20</v>
      </c>
      <c r="V41" s="165" t="str">
        <f t="shared" si="68"/>
        <v>#DIV/0!</v>
      </c>
      <c r="W41" s="166">
        <v>0.09</v>
      </c>
      <c r="X41" s="167" t="str">
        <f t="shared" si="69"/>
        <v>76</v>
      </c>
      <c r="Y41" s="168" t="str">
        <f t="shared" si="70"/>
        <v>154.830</v>
      </c>
      <c r="Z41" s="168" t="str">
        <f t="shared" si="71"/>
        <v>7.650</v>
      </c>
      <c r="AA41" s="164" t="str">
        <f t="shared" si="72"/>
        <v>3.68</v>
      </c>
      <c r="AB41" s="164">
        <v>92.65</v>
      </c>
      <c r="AC41" s="164" t="str">
        <f t="shared" si="73"/>
        <v>4.80</v>
      </c>
      <c r="AD41" s="165" t="str">
        <f t="shared" si="74"/>
        <v>23.82</v>
      </c>
      <c r="AE41" s="23"/>
      <c r="AF41" s="169" t="str">
        <f t="shared" si="75"/>
        <v>0</v>
      </c>
      <c r="AG41" s="163" t="str">
        <f t="shared" si="76"/>
        <v>#DIV/0!</v>
      </c>
      <c r="AH41" s="170" t="str">
        <f t="shared" si="17"/>
        <v>#DIV/0!</v>
      </c>
      <c r="AI41" s="26"/>
      <c r="AJ41" s="171" t="str">
        <f t="shared" si="77"/>
        <v>0.00%</v>
      </c>
      <c r="AK41" s="172" t="str">
        <f t="shared" si="78"/>
        <v>#DIV/0!</v>
      </c>
      <c r="AL41" s="173" t="str">
        <f t="shared" si="79"/>
        <v>#DIV/0!</v>
      </c>
      <c r="AM41" s="174" t="str">
        <f t="shared" si="80"/>
        <v>#DIV/0!</v>
      </c>
    </row>
    <row r="42" ht="12.75" hidden="1" customHeight="1">
      <c r="A42" s="26"/>
      <c r="B42" s="190" t="s">
        <v>499</v>
      </c>
      <c r="C42" s="192">
        <v>1.95289584E8</v>
      </c>
      <c r="D42" s="152" t="s">
        <v>500</v>
      </c>
      <c r="E42" s="53" t="s">
        <v>77</v>
      </c>
      <c r="F42" s="154"/>
      <c r="G42" s="53"/>
      <c r="H42" s="53" t="str">
        <f t="shared" si="24"/>
        <v>0.00069</v>
      </c>
      <c r="I42" s="53" t="str">
        <f t="shared" si="25"/>
        <v>89</v>
      </c>
      <c r="J42" s="53" t="str">
        <f t="shared" si="26"/>
        <v>0</v>
      </c>
      <c r="K42" s="155" t="str">
        <f t="shared" si="27"/>
        <v>0.00</v>
      </c>
      <c r="L42" s="156" t="str">
        <f t="shared" si="28"/>
        <v>0.00 </v>
      </c>
      <c r="M42" s="132">
        <v>90.0</v>
      </c>
      <c r="N42" s="325" t="str">
        <f t="shared" si="29"/>
        <v>#DIV/0!</v>
      </c>
      <c r="O42" s="158">
        <v>492.3</v>
      </c>
      <c r="P42" s="159" t="str">
        <f t="shared" si="81"/>
        <v>#DIV/0!</v>
      </c>
      <c r="Q42" s="160"/>
      <c r="R42" s="161">
        <v>0.26</v>
      </c>
      <c r="S42" s="162" t="str">
        <f t="shared" si="65"/>
        <v>364.30</v>
      </c>
      <c r="T42" s="163" t="str">
        <f t="shared" si="66"/>
        <v>15.00</v>
      </c>
      <c r="U42" s="164" t="str">
        <f t="shared" si="67"/>
        <v>29.14</v>
      </c>
      <c r="V42" s="165" t="str">
        <f t="shared" si="68"/>
        <v>#DIV/0!</v>
      </c>
      <c r="W42" s="166">
        <v>0.09</v>
      </c>
      <c r="X42" s="167" t="str">
        <f t="shared" si="69"/>
        <v>76</v>
      </c>
      <c r="Y42" s="168" t="str">
        <f t="shared" si="70"/>
        <v>159.998</v>
      </c>
      <c r="Z42" s="168" t="str">
        <f t="shared" si="71"/>
        <v>7.905</v>
      </c>
      <c r="AA42" s="164" t="str">
        <f t="shared" si="72"/>
        <v>1.90</v>
      </c>
      <c r="AB42" s="164">
        <v>96.2</v>
      </c>
      <c r="AC42" s="164" t="str">
        <f t="shared" si="73"/>
        <v>4.80</v>
      </c>
      <c r="AD42" s="165" t="str">
        <f t="shared" si="74"/>
        <v>24.62</v>
      </c>
      <c r="AE42" s="23"/>
      <c r="AF42" s="169" t="str">
        <f t="shared" si="75"/>
        <v>0</v>
      </c>
      <c r="AG42" s="163" t="str">
        <f t="shared" si="76"/>
        <v>#DIV/0!</v>
      </c>
      <c r="AH42" s="170" t="str">
        <f t="shared" si="17"/>
        <v>#DIV/0!</v>
      </c>
      <c r="AI42" s="26"/>
      <c r="AJ42" s="171" t="str">
        <f t="shared" si="77"/>
        <v>0.00%</v>
      </c>
      <c r="AK42" s="172" t="str">
        <f t="shared" si="78"/>
        <v>#DIV/0!</v>
      </c>
      <c r="AL42" s="173" t="str">
        <f t="shared" si="79"/>
        <v>#DIV/0!</v>
      </c>
      <c r="AM42" s="174" t="str">
        <f t="shared" si="80"/>
        <v>#DIV/0!</v>
      </c>
    </row>
    <row r="43" ht="12.75" customHeight="1">
      <c r="A43" s="26"/>
      <c r="B43" s="125" t="s">
        <v>501</v>
      </c>
      <c r="C43" s="126"/>
      <c r="D43" s="127"/>
      <c r="E43" s="128"/>
      <c r="F43" s="129"/>
      <c r="G43" s="128"/>
      <c r="H43" s="197"/>
      <c r="I43" s="197"/>
      <c r="J43" s="128"/>
      <c r="K43" s="130"/>
      <c r="L43" s="131"/>
      <c r="M43" s="132"/>
      <c r="N43" s="320"/>
      <c r="O43" s="134"/>
      <c r="P43" s="135"/>
      <c r="Q43" s="135"/>
      <c r="R43" s="136"/>
      <c r="S43" s="137"/>
      <c r="T43" s="177"/>
      <c r="U43" s="178"/>
      <c r="V43" s="179"/>
      <c r="W43" s="180"/>
      <c r="X43" s="181"/>
      <c r="Y43" s="182"/>
      <c r="Z43" s="182"/>
      <c r="AA43" s="178"/>
      <c r="AB43" s="178"/>
      <c r="AC43" s="178"/>
      <c r="AD43" s="179"/>
      <c r="AE43" s="183"/>
      <c r="AF43" s="184"/>
      <c r="AG43" s="177"/>
      <c r="AH43" s="185"/>
      <c r="AI43" s="26"/>
      <c r="AJ43" s="186"/>
      <c r="AK43" s="187"/>
      <c r="AL43" s="188"/>
      <c r="AM43" s="189"/>
    </row>
    <row r="44" ht="12.75" customHeight="1">
      <c r="A44" s="26"/>
      <c r="B44" s="12"/>
      <c r="C44" s="240"/>
      <c r="D44" s="241"/>
      <c r="E44" s="5"/>
      <c r="F44" s="5"/>
      <c r="G44" s="5"/>
      <c r="H44" s="5"/>
      <c r="I44" s="5"/>
      <c r="J44" s="5"/>
      <c r="K44" s="8"/>
      <c r="L44" s="9"/>
      <c r="M44" s="10"/>
      <c r="N44" s="12"/>
      <c r="O44" s="242"/>
      <c r="P44" s="243"/>
      <c r="Q44" s="243"/>
      <c r="R44" s="14"/>
      <c r="S44" s="242"/>
      <c r="T44" s="15"/>
      <c r="U44" s="15"/>
      <c r="V44" s="15"/>
      <c r="W44" s="8"/>
      <c r="X44" s="8"/>
      <c r="Y44" s="56"/>
      <c r="Z44" s="56"/>
      <c r="AA44" s="15"/>
      <c r="AB44" s="15"/>
      <c r="AC44" s="15"/>
      <c r="AD44" s="15"/>
      <c r="AE44" s="57"/>
      <c r="AF44" s="57"/>
      <c r="AG44" s="15"/>
      <c r="AH44" s="25"/>
      <c r="AI44" s="26"/>
      <c r="AJ44" s="26"/>
      <c r="AK44" s="27"/>
      <c r="AL44" s="28"/>
      <c r="AM44" s="29"/>
    </row>
    <row r="45" ht="12.75" customHeight="1">
      <c r="A45" s="26"/>
      <c r="B45" s="12"/>
      <c r="C45" s="240"/>
      <c r="D45" s="241"/>
      <c r="E45" s="5"/>
      <c r="F45" s="5"/>
      <c r="G45" s="5"/>
      <c r="H45" s="5"/>
      <c r="I45" s="5"/>
      <c r="J45" s="5"/>
      <c r="K45" s="8"/>
      <c r="L45" s="9"/>
      <c r="M45" s="10"/>
      <c r="N45" s="12"/>
      <c r="O45" s="242"/>
      <c r="P45" s="243"/>
      <c r="Q45" s="243"/>
      <c r="R45" s="14"/>
      <c r="S45" s="242"/>
      <c r="T45" s="15"/>
      <c r="U45" s="15"/>
      <c r="V45" s="15"/>
      <c r="W45" s="8"/>
      <c r="X45" s="8"/>
      <c r="Y45" s="56"/>
      <c r="Z45" s="56"/>
      <c r="AA45" s="15"/>
      <c r="AB45" s="15"/>
      <c r="AC45" s="15"/>
      <c r="AD45" s="15"/>
      <c r="AE45" s="57"/>
      <c r="AF45" s="57"/>
      <c r="AG45" s="15"/>
      <c r="AH45" s="25"/>
      <c r="AI45" s="26"/>
      <c r="AJ45" s="26"/>
      <c r="AK45" s="27"/>
      <c r="AL45" s="28"/>
      <c r="AM45" s="29"/>
    </row>
    <row r="46" ht="12.75" customHeight="1">
      <c r="A46" s="26"/>
      <c r="B46" s="12"/>
      <c r="C46" s="240"/>
      <c r="D46" s="241"/>
      <c r="E46" s="5"/>
      <c r="F46" s="5"/>
      <c r="G46" s="5"/>
      <c r="H46" s="5"/>
      <c r="I46" s="5"/>
      <c r="J46" s="5"/>
      <c r="K46" s="8"/>
      <c r="L46" s="9"/>
      <c r="M46" s="10"/>
      <c r="N46" s="12"/>
      <c r="O46" s="242"/>
      <c r="P46" s="243"/>
      <c r="Q46" s="243"/>
      <c r="R46" s="14"/>
      <c r="S46" s="242"/>
      <c r="T46" s="15"/>
      <c r="U46" s="15"/>
      <c r="V46" s="15"/>
      <c r="W46" s="8"/>
      <c r="X46" s="8"/>
      <c r="Y46" s="56"/>
      <c r="Z46" s="56"/>
      <c r="AA46" s="15"/>
      <c r="AB46" s="15"/>
      <c r="AC46" s="15"/>
      <c r="AD46" s="15"/>
      <c r="AE46" s="57"/>
      <c r="AF46" s="57"/>
      <c r="AG46" s="15"/>
      <c r="AH46" s="25"/>
      <c r="AI46" s="26"/>
      <c r="AJ46" s="26"/>
      <c r="AK46" s="27"/>
      <c r="AL46" s="28"/>
      <c r="AM46" s="29"/>
    </row>
    <row r="47" ht="12.75" customHeight="1">
      <c r="A47" s="26"/>
      <c r="B47" s="12"/>
      <c r="C47" s="240"/>
      <c r="D47" s="241"/>
      <c r="E47" s="5"/>
      <c r="F47" s="5"/>
      <c r="G47" s="5"/>
      <c r="H47" s="5"/>
      <c r="I47" s="5"/>
      <c r="J47" s="5"/>
      <c r="K47" s="8"/>
      <c r="L47" s="9"/>
      <c r="M47" s="10"/>
      <c r="N47" s="12"/>
      <c r="O47" s="242"/>
      <c r="P47" s="243"/>
      <c r="Q47" s="243"/>
      <c r="R47" s="14"/>
      <c r="S47" s="242"/>
      <c r="T47" s="15"/>
      <c r="U47" s="15"/>
      <c r="V47" s="15"/>
      <c r="W47" s="8"/>
      <c r="X47" s="8"/>
      <c r="Y47" s="56"/>
      <c r="Z47" s="56"/>
      <c r="AA47" s="15"/>
      <c r="AB47" s="15"/>
      <c r="AC47" s="15"/>
      <c r="AD47" s="15"/>
      <c r="AE47" s="57"/>
      <c r="AF47" s="57"/>
      <c r="AG47" s="15"/>
      <c r="AH47" s="25"/>
      <c r="AI47" s="26"/>
      <c r="AJ47" s="26"/>
      <c r="AK47" s="27"/>
      <c r="AL47" s="28"/>
      <c r="AM47" s="29"/>
    </row>
    <row r="48" ht="12.75" customHeight="1">
      <c r="A48" s="26"/>
      <c r="B48" s="12"/>
      <c r="C48" s="240"/>
      <c r="D48" s="241"/>
      <c r="E48" s="5"/>
      <c r="F48" s="5"/>
      <c r="G48" s="5"/>
      <c r="H48" s="5"/>
      <c r="I48" s="5"/>
      <c r="J48" s="5"/>
      <c r="K48" s="8"/>
      <c r="L48" s="9"/>
      <c r="M48" s="10"/>
      <c r="N48" s="12"/>
      <c r="O48" s="242"/>
      <c r="P48" s="243"/>
      <c r="Q48" s="243"/>
      <c r="R48" s="14"/>
      <c r="S48" s="242"/>
      <c r="T48" s="15"/>
      <c r="U48" s="15"/>
      <c r="V48" s="15"/>
      <c r="W48" s="8"/>
      <c r="X48" s="8"/>
      <c r="Y48" s="56"/>
      <c r="Z48" s="56"/>
      <c r="AA48" s="15"/>
      <c r="AB48" s="15"/>
      <c r="AC48" s="15"/>
      <c r="AD48" s="15"/>
      <c r="AE48" s="57"/>
      <c r="AF48" s="57"/>
      <c r="AG48" s="15"/>
      <c r="AH48" s="25"/>
      <c r="AI48" s="26"/>
      <c r="AJ48" s="26"/>
      <c r="AK48" s="27"/>
      <c r="AL48" s="28"/>
      <c r="AM48" s="29"/>
    </row>
    <row r="49" ht="12.75" customHeight="1">
      <c r="A49" s="26"/>
      <c r="B49" s="12"/>
      <c r="C49" s="240"/>
      <c r="D49" s="241"/>
      <c r="E49" s="5"/>
      <c r="F49" s="5"/>
      <c r="G49" s="5"/>
      <c r="H49" s="5"/>
      <c r="I49" s="5"/>
      <c r="J49" s="5"/>
      <c r="K49" s="8"/>
      <c r="L49" s="9"/>
      <c r="M49" s="10"/>
      <c r="N49" s="12"/>
      <c r="O49" s="242"/>
      <c r="P49" s="243"/>
      <c r="Q49" s="243"/>
      <c r="R49" s="14"/>
      <c r="S49" s="242"/>
      <c r="T49" s="15"/>
      <c r="U49" s="15"/>
      <c r="V49" s="15"/>
      <c r="W49" s="8"/>
      <c r="X49" s="8"/>
      <c r="Y49" s="56"/>
      <c r="Z49" s="56"/>
      <c r="AA49" s="15"/>
      <c r="AB49" s="15"/>
      <c r="AC49" s="15"/>
      <c r="AD49" s="15"/>
      <c r="AE49" s="57"/>
      <c r="AF49" s="57"/>
      <c r="AG49" s="15"/>
      <c r="AH49" s="25"/>
      <c r="AI49" s="26"/>
      <c r="AJ49" s="26"/>
      <c r="AK49" s="27"/>
      <c r="AL49" s="28"/>
      <c r="AM49" s="29"/>
    </row>
    <row r="50" ht="12.75" customHeight="1">
      <c r="A50" s="26"/>
      <c r="B50" s="12"/>
      <c r="C50" s="240"/>
      <c r="D50" s="241"/>
      <c r="E50" s="5"/>
      <c r="F50" s="5"/>
      <c r="G50" s="5"/>
      <c r="H50" s="5"/>
      <c r="I50" s="5"/>
      <c r="J50" s="5"/>
      <c r="K50" s="8"/>
      <c r="L50" s="9"/>
      <c r="M50" s="10"/>
      <c r="N50" s="12"/>
      <c r="O50" s="242"/>
      <c r="P50" s="243"/>
      <c r="Q50" s="243"/>
      <c r="R50" s="14"/>
      <c r="S50" s="242"/>
      <c r="T50" s="15"/>
      <c r="U50" s="15"/>
      <c r="V50" s="15"/>
      <c r="W50" s="8"/>
      <c r="X50" s="8"/>
      <c r="Y50" s="56"/>
      <c r="Z50" s="56"/>
      <c r="AA50" s="15"/>
      <c r="AB50" s="15"/>
      <c r="AC50" s="15"/>
      <c r="AD50" s="15"/>
      <c r="AE50" s="57"/>
      <c r="AF50" s="57"/>
      <c r="AG50" s="15"/>
      <c r="AH50" s="25"/>
      <c r="AI50" s="26"/>
      <c r="AJ50" s="26"/>
      <c r="AK50" s="27"/>
      <c r="AL50" s="28"/>
      <c r="AM50" s="29"/>
    </row>
    <row r="51" ht="12.75" customHeight="1">
      <c r="A51" s="26"/>
      <c r="B51" s="12"/>
      <c r="C51" s="240"/>
      <c r="D51" s="241"/>
      <c r="E51" s="5"/>
      <c r="F51" s="5"/>
      <c r="G51" s="5"/>
      <c r="H51" s="5"/>
      <c r="I51" s="5"/>
      <c r="J51" s="5"/>
      <c r="K51" s="8"/>
      <c r="L51" s="9"/>
      <c r="M51" s="10"/>
      <c r="N51" s="12"/>
      <c r="O51" s="242"/>
      <c r="P51" s="243"/>
      <c r="Q51" s="243"/>
      <c r="R51" s="14"/>
      <c r="S51" s="242"/>
      <c r="T51" s="15"/>
      <c r="U51" s="15"/>
      <c r="V51" s="15"/>
      <c r="W51" s="8"/>
      <c r="X51" s="8"/>
      <c r="Y51" s="56"/>
      <c r="Z51" s="56"/>
      <c r="AA51" s="15"/>
      <c r="AB51" s="15"/>
      <c r="AC51" s="15"/>
      <c r="AD51" s="15"/>
      <c r="AE51" s="57"/>
      <c r="AF51" s="57"/>
      <c r="AG51" s="15"/>
      <c r="AH51" s="25"/>
      <c r="AI51" s="26"/>
      <c r="AJ51" s="26"/>
      <c r="AK51" s="27"/>
      <c r="AL51" s="28"/>
      <c r="AM51" s="29"/>
    </row>
    <row r="52" ht="12.75" customHeight="1">
      <c r="A52" s="26"/>
      <c r="B52" s="12"/>
      <c r="C52" s="240"/>
      <c r="D52" s="241"/>
      <c r="E52" s="5"/>
      <c r="F52" s="5"/>
      <c r="G52" s="5"/>
      <c r="H52" s="5"/>
      <c r="I52" s="5"/>
      <c r="J52" s="5"/>
      <c r="K52" s="8"/>
      <c r="L52" s="9"/>
      <c r="M52" s="10"/>
      <c r="N52" s="12"/>
      <c r="O52" s="242"/>
      <c r="P52" s="243"/>
      <c r="Q52" s="243"/>
      <c r="R52" s="14"/>
      <c r="S52" s="242"/>
      <c r="T52" s="15"/>
      <c r="U52" s="15"/>
      <c r="V52" s="15"/>
      <c r="W52" s="8"/>
      <c r="X52" s="8"/>
      <c r="Y52" s="56"/>
      <c r="Z52" s="56"/>
      <c r="AA52" s="15"/>
      <c r="AB52" s="15"/>
      <c r="AC52" s="15"/>
      <c r="AD52" s="15"/>
      <c r="AE52" s="57"/>
      <c r="AF52" s="57"/>
      <c r="AG52" s="15"/>
      <c r="AH52" s="25"/>
      <c r="AI52" s="26"/>
      <c r="AJ52" s="26"/>
      <c r="AK52" s="27"/>
      <c r="AL52" s="28"/>
      <c r="AM52" s="29"/>
    </row>
    <row r="53" ht="12.75" customHeight="1">
      <c r="A53" s="26"/>
      <c r="B53" s="12"/>
      <c r="C53" s="240"/>
      <c r="D53" s="241"/>
      <c r="E53" s="5"/>
      <c r="F53" s="5"/>
      <c r="G53" s="5"/>
      <c r="H53" s="5"/>
      <c r="I53" s="5"/>
      <c r="J53" s="5"/>
      <c r="K53" s="8"/>
      <c r="L53" s="9"/>
      <c r="M53" s="10"/>
      <c r="N53" s="12"/>
      <c r="O53" s="242"/>
      <c r="P53" s="243"/>
      <c r="Q53" s="243"/>
      <c r="R53" s="14"/>
      <c r="S53" s="242"/>
      <c r="T53" s="15"/>
      <c r="U53" s="15"/>
      <c r="V53" s="15"/>
      <c r="W53" s="8"/>
      <c r="X53" s="8"/>
      <c r="Y53" s="56"/>
      <c r="Z53" s="56"/>
      <c r="AA53" s="15"/>
      <c r="AB53" s="15"/>
      <c r="AC53" s="15"/>
      <c r="AD53" s="15"/>
      <c r="AE53" s="57"/>
      <c r="AF53" s="57"/>
      <c r="AG53" s="15"/>
      <c r="AH53" s="25"/>
      <c r="AI53" s="26"/>
      <c r="AJ53" s="26"/>
      <c r="AK53" s="27"/>
      <c r="AL53" s="28"/>
      <c r="AM53" s="29"/>
    </row>
    <row r="54" ht="12.75" customHeight="1">
      <c r="A54" s="26"/>
      <c r="B54" s="12"/>
      <c r="C54" s="240"/>
      <c r="D54" s="241"/>
      <c r="E54" s="5"/>
      <c r="F54" s="5"/>
      <c r="G54" s="5"/>
      <c r="H54" s="5"/>
      <c r="I54" s="5"/>
      <c r="J54" s="5"/>
      <c r="K54" s="8"/>
      <c r="L54" s="9"/>
      <c r="M54" s="10"/>
      <c r="N54" s="12"/>
      <c r="O54" s="242"/>
      <c r="P54" s="243"/>
      <c r="Q54" s="243"/>
      <c r="R54" s="14"/>
      <c r="S54" s="242"/>
      <c r="T54" s="15"/>
      <c r="U54" s="15"/>
      <c r="V54" s="15"/>
      <c r="W54" s="8"/>
      <c r="X54" s="8"/>
      <c r="Y54" s="56"/>
      <c r="Z54" s="56"/>
      <c r="AA54" s="15"/>
      <c r="AB54" s="15"/>
      <c r="AC54" s="15"/>
      <c r="AD54" s="15"/>
      <c r="AE54" s="57"/>
      <c r="AF54" s="57"/>
      <c r="AG54" s="15"/>
      <c r="AH54" s="25"/>
      <c r="AI54" s="26"/>
      <c r="AJ54" s="26"/>
      <c r="AK54" s="27"/>
      <c r="AL54" s="28"/>
      <c r="AM54" s="29"/>
    </row>
    <row r="55" ht="12.75" customHeight="1">
      <c r="A55" s="26"/>
      <c r="B55" s="12"/>
      <c r="C55" s="240"/>
      <c r="D55" s="241"/>
      <c r="E55" s="5"/>
      <c r="F55" s="5"/>
      <c r="G55" s="5"/>
      <c r="H55" s="5"/>
      <c r="I55" s="5"/>
      <c r="J55" s="5"/>
      <c r="K55" s="8"/>
      <c r="L55" s="9"/>
      <c r="M55" s="10"/>
      <c r="N55" s="12"/>
      <c r="O55" s="242"/>
      <c r="P55" s="243"/>
      <c r="Q55" s="243"/>
      <c r="R55" s="14"/>
      <c r="S55" s="242"/>
      <c r="T55" s="15"/>
      <c r="U55" s="15"/>
      <c r="V55" s="15"/>
      <c r="W55" s="8"/>
      <c r="X55" s="8"/>
      <c r="Y55" s="56"/>
      <c r="Z55" s="56"/>
      <c r="AA55" s="15"/>
      <c r="AB55" s="15"/>
      <c r="AC55" s="15"/>
      <c r="AD55" s="15"/>
      <c r="AE55" s="57"/>
      <c r="AF55" s="57"/>
      <c r="AG55" s="15"/>
      <c r="AH55" s="25"/>
      <c r="AI55" s="26"/>
      <c r="AJ55" s="26"/>
      <c r="AK55" s="27"/>
      <c r="AL55" s="28"/>
      <c r="AM55" s="29"/>
    </row>
    <row r="56" ht="12.75" customHeight="1">
      <c r="A56" s="26"/>
      <c r="B56" s="12"/>
      <c r="C56" s="240"/>
      <c r="D56" s="241"/>
      <c r="E56" s="5"/>
      <c r="F56" s="5"/>
      <c r="G56" s="5"/>
      <c r="H56" s="5"/>
      <c r="I56" s="5"/>
      <c r="J56" s="5"/>
      <c r="K56" s="8"/>
      <c r="L56" s="9"/>
      <c r="M56" s="10"/>
      <c r="N56" s="12"/>
      <c r="O56" s="242"/>
      <c r="P56" s="243"/>
      <c r="Q56" s="243"/>
      <c r="R56" s="14"/>
      <c r="S56" s="242"/>
      <c r="T56" s="15"/>
      <c r="U56" s="15"/>
      <c r="V56" s="15"/>
      <c r="W56" s="8"/>
      <c r="X56" s="8"/>
      <c r="Y56" s="56"/>
      <c r="Z56" s="56"/>
      <c r="AA56" s="15"/>
      <c r="AB56" s="15"/>
      <c r="AC56" s="15"/>
      <c r="AD56" s="15"/>
      <c r="AE56" s="57"/>
      <c r="AF56" s="57"/>
      <c r="AG56" s="15"/>
      <c r="AH56" s="25"/>
      <c r="AI56" s="26"/>
      <c r="AJ56" s="26"/>
      <c r="AK56" s="27"/>
      <c r="AL56" s="28"/>
      <c r="AM56" s="29"/>
    </row>
    <row r="57" ht="12.75" customHeight="1">
      <c r="A57" s="26"/>
      <c r="B57" s="12"/>
      <c r="C57" s="240"/>
      <c r="D57" s="241"/>
      <c r="E57" s="5"/>
      <c r="F57" s="5"/>
      <c r="G57" s="5"/>
      <c r="H57" s="5"/>
      <c r="I57" s="5"/>
      <c r="J57" s="5"/>
      <c r="K57" s="8"/>
      <c r="L57" s="9"/>
      <c r="M57" s="10"/>
      <c r="N57" s="12"/>
      <c r="O57" s="242"/>
      <c r="P57" s="243"/>
      <c r="Q57" s="243"/>
      <c r="R57" s="14"/>
      <c r="S57" s="242"/>
      <c r="T57" s="15"/>
      <c r="U57" s="15"/>
      <c r="V57" s="15"/>
      <c r="W57" s="8"/>
      <c r="X57" s="8"/>
      <c r="Y57" s="56"/>
      <c r="Z57" s="56"/>
      <c r="AA57" s="15"/>
      <c r="AB57" s="15"/>
      <c r="AC57" s="15"/>
      <c r="AD57" s="15"/>
      <c r="AE57" s="57"/>
      <c r="AF57" s="57"/>
      <c r="AG57" s="15"/>
      <c r="AH57" s="25"/>
      <c r="AI57" s="26"/>
      <c r="AJ57" s="26"/>
      <c r="AK57" s="27"/>
      <c r="AL57" s="28"/>
      <c r="AM57" s="29"/>
    </row>
    <row r="58" ht="12.75" customHeight="1">
      <c r="A58" s="26"/>
      <c r="B58" s="12"/>
      <c r="C58" s="240"/>
      <c r="D58" s="241"/>
      <c r="E58" s="5"/>
      <c r="F58" s="5"/>
      <c r="G58" s="5"/>
      <c r="H58" s="5"/>
      <c r="I58" s="5"/>
      <c r="J58" s="5"/>
      <c r="K58" s="8"/>
      <c r="L58" s="9"/>
      <c r="M58" s="10"/>
      <c r="N58" s="12"/>
      <c r="O58" s="242"/>
      <c r="P58" s="243"/>
      <c r="Q58" s="243"/>
      <c r="R58" s="14"/>
      <c r="S58" s="242"/>
      <c r="T58" s="15"/>
      <c r="U58" s="15"/>
      <c r="V58" s="15"/>
      <c r="W58" s="8"/>
      <c r="X58" s="8"/>
      <c r="Y58" s="56"/>
      <c r="Z58" s="56"/>
      <c r="AA58" s="15"/>
      <c r="AB58" s="15"/>
      <c r="AC58" s="15"/>
      <c r="AD58" s="15"/>
      <c r="AE58" s="57"/>
      <c r="AF58" s="57"/>
      <c r="AG58" s="15"/>
      <c r="AH58" s="25"/>
      <c r="AI58" s="26"/>
      <c r="AJ58" s="26"/>
      <c r="AK58" s="27"/>
      <c r="AL58" s="28"/>
      <c r="AM58" s="29"/>
    </row>
    <row r="59" ht="12.75" customHeight="1">
      <c r="A59" s="26"/>
      <c r="B59" s="12"/>
      <c r="C59" s="240"/>
      <c r="D59" s="241"/>
      <c r="E59" s="5"/>
      <c r="F59" s="5"/>
      <c r="G59" s="5"/>
      <c r="H59" s="5"/>
      <c r="I59" s="5"/>
      <c r="J59" s="5"/>
      <c r="K59" s="8"/>
      <c r="L59" s="9"/>
      <c r="M59" s="10"/>
      <c r="N59" s="12"/>
      <c r="O59" s="242"/>
      <c r="P59" s="243"/>
      <c r="Q59" s="243"/>
      <c r="R59" s="14"/>
      <c r="S59" s="242"/>
      <c r="T59" s="15"/>
      <c r="U59" s="15"/>
      <c r="V59" s="15"/>
      <c r="W59" s="8"/>
      <c r="X59" s="8"/>
      <c r="Y59" s="56"/>
      <c r="Z59" s="56"/>
      <c r="AA59" s="15"/>
      <c r="AB59" s="15"/>
      <c r="AC59" s="15"/>
      <c r="AD59" s="15"/>
      <c r="AE59" s="57"/>
      <c r="AF59" s="57"/>
      <c r="AG59" s="15"/>
      <c r="AH59" s="25"/>
      <c r="AI59" s="26"/>
      <c r="AJ59" s="26"/>
      <c r="AK59" s="27"/>
      <c r="AL59" s="28"/>
      <c r="AM59" s="29"/>
    </row>
    <row r="60" ht="12.75" customHeight="1">
      <c r="A60" s="26"/>
      <c r="B60" s="12"/>
      <c r="C60" s="240"/>
      <c r="D60" s="241"/>
      <c r="E60" s="5"/>
      <c r="F60" s="5"/>
      <c r="G60" s="5"/>
      <c r="H60" s="5"/>
      <c r="I60" s="5"/>
      <c r="J60" s="5"/>
      <c r="K60" s="8"/>
      <c r="L60" s="9"/>
      <c r="M60" s="10"/>
      <c r="N60" s="12"/>
      <c r="O60" s="242"/>
      <c r="P60" s="243"/>
      <c r="Q60" s="243"/>
      <c r="R60" s="14"/>
      <c r="S60" s="242"/>
      <c r="T60" s="15"/>
      <c r="U60" s="15"/>
      <c r="V60" s="15"/>
      <c r="W60" s="8"/>
      <c r="X60" s="8"/>
      <c r="Y60" s="56"/>
      <c r="Z60" s="56"/>
      <c r="AA60" s="15"/>
      <c r="AB60" s="15"/>
      <c r="AC60" s="15"/>
      <c r="AD60" s="15"/>
      <c r="AE60" s="57"/>
      <c r="AF60" s="57"/>
      <c r="AG60" s="15"/>
      <c r="AH60" s="25"/>
      <c r="AI60" s="26"/>
      <c r="AJ60" s="26"/>
      <c r="AK60" s="27"/>
      <c r="AL60" s="28"/>
      <c r="AM60" s="29"/>
    </row>
    <row r="61" ht="12.75" customHeight="1">
      <c r="A61" s="26"/>
      <c r="B61" s="12"/>
      <c r="C61" s="240"/>
      <c r="D61" s="241"/>
      <c r="E61" s="5"/>
      <c r="F61" s="5"/>
      <c r="G61" s="5"/>
      <c r="H61" s="5"/>
      <c r="I61" s="5"/>
      <c r="J61" s="5"/>
      <c r="K61" s="8"/>
      <c r="L61" s="9"/>
      <c r="M61" s="10"/>
      <c r="N61" s="12"/>
      <c r="O61" s="242"/>
      <c r="P61" s="243"/>
      <c r="Q61" s="243"/>
      <c r="R61" s="14"/>
      <c r="S61" s="242"/>
      <c r="T61" s="15"/>
      <c r="U61" s="15"/>
      <c r="V61" s="15"/>
      <c r="W61" s="8"/>
      <c r="X61" s="8"/>
      <c r="Y61" s="56"/>
      <c r="Z61" s="56"/>
      <c r="AA61" s="15"/>
      <c r="AB61" s="15"/>
      <c r="AC61" s="15"/>
      <c r="AD61" s="15"/>
      <c r="AE61" s="57"/>
      <c r="AF61" s="57"/>
      <c r="AG61" s="15"/>
      <c r="AH61" s="25"/>
      <c r="AI61" s="26"/>
      <c r="AJ61" s="26"/>
      <c r="AK61" s="27"/>
      <c r="AL61" s="28"/>
      <c r="AM61" s="29"/>
    </row>
    <row r="62" ht="12.75" customHeight="1">
      <c r="A62" s="26"/>
      <c r="B62" s="12"/>
      <c r="C62" s="240"/>
      <c r="D62" s="241"/>
      <c r="E62" s="5"/>
      <c r="F62" s="5"/>
      <c r="G62" s="5"/>
      <c r="H62" s="5"/>
      <c r="I62" s="5"/>
      <c r="J62" s="5"/>
      <c r="K62" s="8"/>
      <c r="L62" s="9"/>
      <c r="M62" s="10"/>
      <c r="N62" s="12"/>
      <c r="O62" s="242"/>
      <c r="P62" s="243"/>
      <c r="Q62" s="243"/>
      <c r="R62" s="14"/>
      <c r="S62" s="242"/>
      <c r="T62" s="15"/>
      <c r="U62" s="15"/>
      <c r="V62" s="15"/>
      <c r="W62" s="8"/>
      <c r="X62" s="8"/>
      <c r="Y62" s="56"/>
      <c r="Z62" s="56"/>
      <c r="AA62" s="15"/>
      <c r="AB62" s="15"/>
      <c r="AC62" s="15"/>
      <c r="AD62" s="15"/>
      <c r="AE62" s="57"/>
      <c r="AF62" s="57"/>
      <c r="AG62" s="15"/>
      <c r="AH62" s="25"/>
      <c r="AI62" s="26"/>
      <c r="AJ62" s="26"/>
      <c r="AK62" s="27"/>
      <c r="AL62" s="28"/>
      <c r="AM62" s="29"/>
    </row>
    <row r="63" ht="12.75" customHeight="1">
      <c r="A63" s="26"/>
      <c r="B63" s="12"/>
      <c r="C63" s="240"/>
      <c r="D63" s="241"/>
      <c r="E63" s="5"/>
      <c r="F63" s="5"/>
      <c r="G63" s="5"/>
      <c r="H63" s="5"/>
      <c r="I63" s="5"/>
      <c r="J63" s="5"/>
      <c r="K63" s="8"/>
      <c r="L63" s="9"/>
      <c r="M63" s="10"/>
      <c r="N63" s="12"/>
      <c r="O63" s="242"/>
      <c r="P63" s="243"/>
      <c r="Q63" s="243"/>
      <c r="R63" s="14"/>
      <c r="S63" s="242"/>
      <c r="T63" s="15"/>
      <c r="U63" s="15"/>
      <c r="V63" s="15"/>
      <c r="W63" s="8"/>
      <c r="X63" s="8"/>
      <c r="Y63" s="56"/>
      <c r="Z63" s="56"/>
      <c r="AA63" s="15"/>
      <c r="AB63" s="15"/>
      <c r="AC63" s="15"/>
      <c r="AD63" s="15"/>
      <c r="AE63" s="57"/>
      <c r="AF63" s="57"/>
      <c r="AG63" s="15"/>
      <c r="AH63" s="25"/>
      <c r="AI63" s="26"/>
      <c r="AJ63" s="26"/>
      <c r="AK63" s="27"/>
      <c r="AL63" s="28"/>
      <c r="AM63" s="29"/>
    </row>
    <row r="64" ht="12.75" customHeight="1">
      <c r="A64" s="26"/>
      <c r="B64" s="12"/>
      <c r="C64" s="240"/>
      <c r="D64" s="241"/>
      <c r="E64" s="5"/>
      <c r="F64" s="5"/>
      <c r="G64" s="5"/>
      <c r="H64" s="5"/>
      <c r="I64" s="5"/>
      <c r="J64" s="5"/>
      <c r="K64" s="8"/>
      <c r="L64" s="9"/>
      <c r="M64" s="10"/>
      <c r="N64" s="12"/>
      <c r="O64" s="242"/>
      <c r="P64" s="243"/>
      <c r="Q64" s="243"/>
      <c r="R64" s="14"/>
      <c r="S64" s="242"/>
      <c r="T64" s="15"/>
      <c r="U64" s="15"/>
      <c r="V64" s="15"/>
      <c r="W64" s="8"/>
      <c r="X64" s="8"/>
      <c r="Y64" s="56"/>
      <c r="Z64" s="56"/>
      <c r="AA64" s="15"/>
      <c r="AB64" s="15"/>
      <c r="AC64" s="15"/>
      <c r="AD64" s="15"/>
      <c r="AE64" s="57"/>
      <c r="AF64" s="57"/>
      <c r="AG64" s="15"/>
      <c r="AH64" s="25"/>
      <c r="AI64" s="26"/>
      <c r="AJ64" s="26"/>
      <c r="AK64" s="27"/>
      <c r="AL64" s="28"/>
      <c r="AM64" s="29"/>
    </row>
    <row r="65" ht="12.75" customHeight="1">
      <c r="A65" s="26"/>
      <c r="B65" s="12"/>
      <c r="C65" s="240"/>
      <c r="D65" s="241"/>
      <c r="E65" s="5"/>
      <c r="F65" s="5"/>
      <c r="G65" s="5"/>
      <c r="H65" s="5"/>
      <c r="I65" s="5"/>
      <c r="J65" s="5"/>
      <c r="K65" s="8"/>
      <c r="L65" s="9"/>
      <c r="M65" s="10"/>
      <c r="N65" s="12"/>
      <c r="O65" s="242"/>
      <c r="P65" s="243"/>
      <c r="Q65" s="243"/>
      <c r="R65" s="14"/>
      <c r="S65" s="242"/>
      <c r="T65" s="15"/>
      <c r="U65" s="15"/>
      <c r="V65" s="15"/>
      <c r="W65" s="8"/>
      <c r="X65" s="8"/>
      <c r="Y65" s="56"/>
      <c r="Z65" s="56"/>
      <c r="AA65" s="15"/>
      <c r="AB65" s="15"/>
      <c r="AC65" s="15"/>
      <c r="AD65" s="15"/>
      <c r="AE65" s="57"/>
      <c r="AF65" s="57"/>
      <c r="AG65" s="15"/>
      <c r="AH65" s="25"/>
      <c r="AI65" s="26"/>
      <c r="AJ65" s="26"/>
      <c r="AK65" s="27"/>
      <c r="AL65" s="28"/>
      <c r="AM65" s="29"/>
    </row>
    <row r="66" ht="12.75" customHeight="1">
      <c r="A66" s="26"/>
      <c r="B66" s="12"/>
      <c r="C66" s="240"/>
      <c r="D66" s="241"/>
      <c r="E66" s="5"/>
      <c r="F66" s="5"/>
      <c r="G66" s="5"/>
      <c r="H66" s="5"/>
      <c r="I66" s="5"/>
      <c r="J66" s="5"/>
      <c r="K66" s="8"/>
      <c r="L66" s="9"/>
      <c r="M66" s="10"/>
      <c r="N66" s="12"/>
      <c r="O66" s="242"/>
      <c r="P66" s="243"/>
      <c r="Q66" s="243"/>
      <c r="R66" s="14"/>
      <c r="S66" s="242"/>
      <c r="T66" s="15"/>
      <c r="U66" s="15"/>
      <c r="V66" s="15"/>
      <c r="W66" s="8"/>
      <c r="X66" s="8"/>
      <c r="Y66" s="56"/>
      <c r="Z66" s="56"/>
      <c r="AA66" s="15"/>
      <c r="AB66" s="15"/>
      <c r="AC66" s="15"/>
      <c r="AD66" s="15"/>
      <c r="AE66" s="57"/>
      <c r="AF66" s="57"/>
      <c r="AG66" s="15"/>
      <c r="AH66" s="25"/>
      <c r="AI66" s="26"/>
      <c r="AJ66" s="26"/>
      <c r="AK66" s="27"/>
      <c r="AL66" s="28"/>
      <c r="AM66" s="29"/>
    </row>
    <row r="67" ht="12.75" customHeight="1">
      <c r="A67" s="26"/>
      <c r="B67" s="12"/>
      <c r="C67" s="240"/>
      <c r="D67" s="241"/>
      <c r="E67" s="5"/>
      <c r="F67" s="5"/>
      <c r="G67" s="5"/>
      <c r="H67" s="5"/>
      <c r="I67" s="5"/>
      <c r="J67" s="5"/>
      <c r="K67" s="8"/>
      <c r="L67" s="9"/>
      <c r="M67" s="10"/>
      <c r="N67" s="12"/>
      <c r="O67" s="242"/>
      <c r="P67" s="243"/>
      <c r="Q67" s="243"/>
      <c r="R67" s="14"/>
      <c r="S67" s="242"/>
      <c r="T67" s="15"/>
      <c r="U67" s="15"/>
      <c r="V67" s="15"/>
      <c r="W67" s="8"/>
      <c r="X67" s="8"/>
      <c r="Y67" s="56"/>
      <c r="Z67" s="56"/>
      <c r="AA67" s="15"/>
      <c r="AB67" s="15"/>
      <c r="AC67" s="15"/>
      <c r="AD67" s="15"/>
      <c r="AE67" s="57"/>
      <c r="AF67" s="57"/>
      <c r="AG67" s="15"/>
      <c r="AH67" s="25"/>
      <c r="AI67" s="26"/>
      <c r="AJ67" s="26"/>
      <c r="AK67" s="27"/>
      <c r="AL67" s="28"/>
      <c r="AM67" s="29"/>
    </row>
    <row r="68" ht="12.75" customHeight="1">
      <c r="A68" s="26"/>
      <c r="B68" s="12"/>
      <c r="C68" s="240"/>
      <c r="D68" s="241"/>
      <c r="E68" s="5"/>
      <c r="F68" s="5"/>
      <c r="G68" s="5"/>
      <c r="H68" s="5"/>
      <c r="I68" s="5"/>
      <c r="J68" s="5"/>
      <c r="K68" s="8"/>
      <c r="L68" s="9"/>
      <c r="M68" s="10"/>
      <c r="N68" s="12"/>
      <c r="O68" s="242"/>
      <c r="P68" s="243"/>
      <c r="Q68" s="243"/>
      <c r="R68" s="14"/>
      <c r="S68" s="242"/>
      <c r="T68" s="15"/>
      <c r="U68" s="15"/>
      <c r="V68" s="15"/>
      <c r="W68" s="8"/>
      <c r="X68" s="8"/>
      <c r="Y68" s="56"/>
      <c r="Z68" s="56"/>
      <c r="AA68" s="15"/>
      <c r="AB68" s="15"/>
      <c r="AC68" s="15"/>
      <c r="AD68" s="15"/>
      <c r="AE68" s="57"/>
      <c r="AF68" s="57"/>
      <c r="AG68" s="15"/>
      <c r="AH68" s="25"/>
      <c r="AI68" s="26"/>
      <c r="AJ68" s="26"/>
      <c r="AK68" s="27"/>
      <c r="AL68" s="28"/>
      <c r="AM68" s="29"/>
    </row>
    <row r="69" ht="12.75" customHeight="1">
      <c r="A69" s="26"/>
      <c r="B69" s="12"/>
      <c r="C69" s="240"/>
      <c r="D69" s="241"/>
      <c r="E69" s="5"/>
      <c r="F69" s="5"/>
      <c r="G69" s="5"/>
      <c r="H69" s="5"/>
      <c r="I69" s="5"/>
      <c r="J69" s="5"/>
      <c r="K69" s="8"/>
      <c r="L69" s="9"/>
      <c r="M69" s="10"/>
      <c r="N69" s="12"/>
      <c r="O69" s="242"/>
      <c r="P69" s="243"/>
      <c r="Q69" s="243"/>
      <c r="R69" s="14"/>
      <c r="S69" s="242"/>
      <c r="T69" s="15"/>
      <c r="U69" s="15"/>
      <c r="V69" s="15"/>
      <c r="W69" s="8"/>
      <c r="X69" s="8"/>
      <c r="Y69" s="56"/>
      <c r="Z69" s="56"/>
      <c r="AA69" s="15"/>
      <c r="AB69" s="15"/>
      <c r="AC69" s="15"/>
      <c r="AD69" s="15"/>
      <c r="AE69" s="57"/>
      <c r="AF69" s="57"/>
      <c r="AG69" s="15"/>
      <c r="AH69" s="25"/>
      <c r="AI69" s="26"/>
      <c r="AJ69" s="26"/>
      <c r="AK69" s="27"/>
      <c r="AL69" s="28"/>
      <c r="AM69" s="29"/>
    </row>
    <row r="70" ht="12.75" customHeight="1">
      <c r="A70" s="26"/>
      <c r="B70" s="12"/>
      <c r="C70" s="240"/>
      <c r="D70" s="241"/>
      <c r="E70" s="5"/>
      <c r="F70" s="5"/>
      <c r="G70" s="5"/>
      <c r="H70" s="5"/>
      <c r="I70" s="5"/>
      <c r="J70" s="5"/>
      <c r="K70" s="8"/>
      <c r="L70" s="9"/>
      <c r="M70" s="10"/>
      <c r="N70" s="12"/>
      <c r="O70" s="242"/>
      <c r="P70" s="243"/>
      <c r="Q70" s="243"/>
      <c r="R70" s="14"/>
      <c r="S70" s="242"/>
      <c r="T70" s="15"/>
      <c r="U70" s="15"/>
      <c r="V70" s="15"/>
      <c r="W70" s="8"/>
      <c r="X70" s="8"/>
      <c r="Y70" s="56"/>
      <c r="Z70" s="56"/>
      <c r="AA70" s="15"/>
      <c r="AB70" s="15"/>
      <c r="AC70" s="15"/>
      <c r="AD70" s="15"/>
      <c r="AE70" s="57"/>
      <c r="AF70" s="57"/>
      <c r="AG70" s="15"/>
      <c r="AH70" s="25"/>
      <c r="AI70" s="26"/>
      <c r="AJ70" s="26"/>
      <c r="AK70" s="27"/>
      <c r="AL70" s="28"/>
      <c r="AM70" s="29"/>
    </row>
    <row r="71" ht="12.75" customHeight="1">
      <c r="A71" s="26"/>
      <c r="B71" s="12"/>
      <c r="C71" s="240"/>
      <c r="D71" s="241"/>
      <c r="E71" s="5"/>
      <c r="F71" s="5"/>
      <c r="G71" s="5"/>
      <c r="H71" s="5"/>
      <c r="I71" s="5"/>
      <c r="J71" s="5"/>
      <c r="K71" s="8"/>
      <c r="L71" s="9"/>
      <c r="M71" s="10"/>
      <c r="N71" s="12"/>
      <c r="O71" s="242"/>
      <c r="P71" s="243"/>
      <c r="Q71" s="243"/>
      <c r="R71" s="14"/>
      <c r="S71" s="242"/>
      <c r="T71" s="15"/>
      <c r="U71" s="15"/>
      <c r="V71" s="15"/>
      <c r="W71" s="8"/>
      <c r="X71" s="8"/>
      <c r="Y71" s="56"/>
      <c r="Z71" s="56"/>
      <c r="AA71" s="15"/>
      <c r="AB71" s="15"/>
      <c r="AC71" s="15"/>
      <c r="AD71" s="15"/>
      <c r="AE71" s="57"/>
      <c r="AF71" s="57"/>
      <c r="AG71" s="15"/>
      <c r="AH71" s="25"/>
      <c r="AI71" s="26"/>
      <c r="AJ71" s="26"/>
      <c r="AK71" s="27"/>
      <c r="AL71" s="28"/>
      <c r="AM71" s="29"/>
    </row>
    <row r="72" ht="12.75" customHeight="1">
      <c r="A72" s="26"/>
      <c r="B72" s="12"/>
      <c r="C72" s="240"/>
      <c r="D72" s="241"/>
      <c r="E72" s="5"/>
      <c r="F72" s="5"/>
      <c r="G72" s="5"/>
      <c r="H72" s="5"/>
      <c r="I72" s="5"/>
      <c r="J72" s="5"/>
      <c r="K72" s="8"/>
      <c r="L72" s="9"/>
      <c r="M72" s="10"/>
      <c r="N72" s="12"/>
      <c r="O72" s="242"/>
      <c r="P72" s="243"/>
      <c r="Q72" s="243"/>
      <c r="R72" s="14"/>
      <c r="S72" s="242"/>
      <c r="T72" s="15"/>
      <c r="U72" s="15"/>
      <c r="V72" s="15"/>
      <c r="W72" s="8"/>
      <c r="X72" s="8"/>
      <c r="Y72" s="56"/>
      <c r="Z72" s="56"/>
      <c r="AA72" s="15"/>
      <c r="AB72" s="15"/>
      <c r="AC72" s="15"/>
      <c r="AD72" s="15"/>
      <c r="AE72" s="57"/>
      <c r="AF72" s="57"/>
      <c r="AG72" s="15"/>
      <c r="AH72" s="25"/>
      <c r="AI72" s="26"/>
      <c r="AJ72" s="26"/>
      <c r="AK72" s="27"/>
      <c r="AL72" s="28"/>
      <c r="AM72" s="29"/>
    </row>
    <row r="73" ht="12.75" customHeight="1">
      <c r="A73" s="26"/>
      <c r="B73" s="12"/>
      <c r="C73" s="240"/>
      <c r="D73" s="241"/>
      <c r="E73" s="5"/>
      <c r="F73" s="5"/>
      <c r="G73" s="5"/>
      <c r="H73" s="5"/>
      <c r="I73" s="5"/>
      <c r="J73" s="5"/>
      <c r="K73" s="8"/>
      <c r="L73" s="9"/>
      <c r="M73" s="10"/>
      <c r="N73" s="12"/>
      <c r="O73" s="242"/>
      <c r="P73" s="243"/>
      <c r="Q73" s="243"/>
      <c r="R73" s="14"/>
      <c r="S73" s="242"/>
      <c r="T73" s="15"/>
      <c r="U73" s="15"/>
      <c r="V73" s="15"/>
      <c r="W73" s="8"/>
      <c r="X73" s="8"/>
      <c r="Y73" s="56"/>
      <c r="Z73" s="56"/>
      <c r="AA73" s="15"/>
      <c r="AB73" s="15"/>
      <c r="AC73" s="15"/>
      <c r="AD73" s="15"/>
      <c r="AE73" s="57"/>
      <c r="AF73" s="57"/>
      <c r="AG73" s="15"/>
      <c r="AH73" s="25"/>
      <c r="AI73" s="26"/>
      <c r="AJ73" s="26"/>
      <c r="AK73" s="27"/>
      <c r="AL73" s="28"/>
      <c r="AM73" s="29"/>
    </row>
    <row r="74" ht="12.75" customHeight="1">
      <c r="A74" s="26"/>
      <c r="B74" s="12"/>
      <c r="C74" s="240"/>
      <c r="D74" s="241"/>
      <c r="E74" s="5"/>
      <c r="F74" s="5"/>
      <c r="G74" s="5"/>
      <c r="H74" s="5"/>
      <c r="I74" s="5"/>
      <c r="J74" s="5"/>
      <c r="K74" s="8"/>
      <c r="L74" s="9"/>
      <c r="M74" s="10"/>
      <c r="N74" s="12"/>
      <c r="O74" s="242"/>
      <c r="P74" s="243"/>
      <c r="Q74" s="243"/>
      <c r="R74" s="14"/>
      <c r="S74" s="242"/>
      <c r="T74" s="15"/>
      <c r="U74" s="15"/>
      <c r="V74" s="15"/>
      <c r="W74" s="8"/>
      <c r="X74" s="8"/>
      <c r="Y74" s="56"/>
      <c r="Z74" s="56"/>
      <c r="AA74" s="15"/>
      <c r="AB74" s="15"/>
      <c r="AC74" s="15"/>
      <c r="AD74" s="15"/>
      <c r="AE74" s="57"/>
      <c r="AF74" s="57"/>
      <c r="AG74" s="15"/>
      <c r="AH74" s="25"/>
      <c r="AI74" s="26"/>
      <c r="AJ74" s="26"/>
      <c r="AK74" s="27"/>
      <c r="AL74" s="28"/>
      <c r="AM74" s="29"/>
    </row>
    <row r="75" ht="12.75" customHeight="1">
      <c r="A75" s="26"/>
      <c r="B75" s="12"/>
      <c r="C75" s="240"/>
      <c r="D75" s="241"/>
      <c r="E75" s="5"/>
      <c r="F75" s="5"/>
      <c r="G75" s="5"/>
      <c r="H75" s="5"/>
      <c r="I75" s="5"/>
      <c r="J75" s="5"/>
      <c r="K75" s="8"/>
      <c r="L75" s="9"/>
      <c r="M75" s="10"/>
      <c r="N75" s="12"/>
      <c r="O75" s="242"/>
      <c r="P75" s="243"/>
      <c r="Q75" s="243"/>
      <c r="R75" s="14"/>
      <c r="S75" s="242"/>
      <c r="T75" s="15"/>
      <c r="U75" s="15"/>
      <c r="V75" s="15"/>
      <c r="W75" s="8"/>
      <c r="X75" s="8"/>
      <c r="Y75" s="56"/>
      <c r="Z75" s="56"/>
      <c r="AA75" s="15"/>
      <c r="AB75" s="15"/>
      <c r="AC75" s="15"/>
      <c r="AD75" s="15"/>
      <c r="AE75" s="57"/>
      <c r="AF75" s="57"/>
      <c r="AG75" s="15"/>
      <c r="AH75" s="25"/>
      <c r="AI75" s="26"/>
      <c r="AJ75" s="26"/>
      <c r="AK75" s="27"/>
      <c r="AL75" s="28"/>
      <c r="AM75" s="29"/>
    </row>
    <row r="76" ht="12.75" customHeight="1">
      <c r="A76" s="26"/>
      <c r="B76" s="12"/>
      <c r="C76" s="240"/>
      <c r="D76" s="241"/>
      <c r="E76" s="5"/>
      <c r="F76" s="5"/>
      <c r="G76" s="5"/>
      <c r="H76" s="5"/>
      <c r="I76" s="5"/>
      <c r="J76" s="5"/>
      <c r="K76" s="8"/>
      <c r="L76" s="9"/>
      <c r="M76" s="10"/>
      <c r="N76" s="12"/>
      <c r="O76" s="242"/>
      <c r="P76" s="243"/>
      <c r="Q76" s="243"/>
      <c r="R76" s="14"/>
      <c r="S76" s="242"/>
      <c r="T76" s="15"/>
      <c r="U76" s="15"/>
      <c r="V76" s="15"/>
      <c r="W76" s="8"/>
      <c r="X76" s="8"/>
      <c r="Y76" s="56"/>
      <c r="Z76" s="56"/>
      <c r="AA76" s="15"/>
      <c r="AB76" s="15"/>
      <c r="AC76" s="15"/>
      <c r="AD76" s="15"/>
      <c r="AE76" s="57"/>
      <c r="AF76" s="57"/>
      <c r="AG76" s="15"/>
      <c r="AH76" s="25"/>
      <c r="AI76" s="26"/>
      <c r="AJ76" s="26"/>
      <c r="AK76" s="27"/>
      <c r="AL76" s="28"/>
      <c r="AM76" s="29"/>
    </row>
    <row r="77" ht="12.75" customHeight="1">
      <c r="A77" s="26"/>
      <c r="B77" s="12"/>
      <c r="C77" s="240"/>
      <c r="D77" s="241"/>
      <c r="E77" s="5"/>
      <c r="F77" s="5"/>
      <c r="G77" s="5"/>
      <c r="H77" s="5"/>
      <c r="I77" s="5"/>
      <c r="J77" s="5"/>
      <c r="K77" s="8"/>
      <c r="L77" s="9"/>
      <c r="M77" s="10"/>
      <c r="N77" s="12"/>
      <c r="O77" s="242"/>
      <c r="P77" s="243"/>
      <c r="Q77" s="243"/>
      <c r="R77" s="14"/>
      <c r="S77" s="242"/>
      <c r="T77" s="15"/>
      <c r="U77" s="15"/>
      <c r="V77" s="15"/>
      <c r="W77" s="8"/>
      <c r="X77" s="8"/>
      <c r="Y77" s="56"/>
      <c r="Z77" s="56"/>
      <c r="AA77" s="15"/>
      <c r="AB77" s="15"/>
      <c r="AC77" s="15"/>
      <c r="AD77" s="15"/>
      <c r="AE77" s="57"/>
      <c r="AF77" s="57"/>
      <c r="AG77" s="15"/>
      <c r="AH77" s="25"/>
      <c r="AI77" s="26"/>
      <c r="AJ77" s="26"/>
      <c r="AK77" s="27"/>
      <c r="AL77" s="28"/>
      <c r="AM77" s="29"/>
    </row>
    <row r="78" ht="12.75" customHeight="1">
      <c r="A78" s="26"/>
      <c r="B78" s="12"/>
      <c r="C78" s="240"/>
      <c r="D78" s="241"/>
      <c r="E78" s="5"/>
      <c r="F78" s="5"/>
      <c r="G78" s="5"/>
      <c r="H78" s="5"/>
      <c r="I78" s="5"/>
      <c r="J78" s="5"/>
      <c r="K78" s="8"/>
      <c r="L78" s="9"/>
      <c r="M78" s="10"/>
      <c r="N78" s="12"/>
      <c r="O78" s="242"/>
      <c r="P78" s="243"/>
      <c r="Q78" s="243"/>
      <c r="R78" s="14"/>
      <c r="S78" s="242"/>
      <c r="T78" s="15"/>
      <c r="U78" s="15"/>
      <c r="V78" s="15"/>
      <c r="W78" s="8"/>
      <c r="X78" s="8"/>
      <c r="Y78" s="56"/>
      <c r="Z78" s="56"/>
      <c r="AA78" s="15"/>
      <c r="AB78" s="15"/>
      <c r="AC78" s="15"/>
      <c r="AD78" s="15"/>
      <c r="AE78" s="57"/>
      <c r="AF78" s="57"/>
      <c r="AG78" s="15"/>
      <c r="AH78" s="25"/>
      <c r="AI78" s="26"/>
      <c r="AJ78" s="26"/>
      <c r="AK78" s="27"/>
      <c r="AL78" s="28"/>
      <c r="AM78" s="29"/>
    </row>
    <row r="79" ht="12.75" customHeight="1">
      <c r="A79" s="26"/>
      <c r="B79" s="12"/>
      <c r="C79" s="240"/>
      <c r="D79" s="241"/>
      <c r="E79" s="5"/>
      <c r="F79" s="5"/>
      <c r="G79" s="5"/>
      <c r="H79" s="5"/>
      <c r="I79" s="5"/>
      <c r="J79" s="5"/>
      <c r="K79" s="8"/>
      <c r="L79" s="9"/>
      <c r="M79" s="10"/>
      <c r="N79" s="12"/>
      <c r="O79" s="242"/>
      <c r="P79" s="243"/>
      <c r="Q79" s="243"/>
      <c r="R79" s="14"/>
      <c r="S79" s="242"/>
      <c r="T79" s="15"/>
      <c r="U79" s="15"/>
      <c r="V79" s="15"/>
      <c r="W79" s="8"/>
      <c r="X79" s="8"/>
      <c r="Y79" s="56"/>
      <c r="Z79" s="56"/>
      <c r="AA79" s="15"/>
      <c r="AB79" s="15"/>
      <c r="AC79" s="15"/>
      <c r="AD79" s="15"/>
      <c r="AE79" s="57"/>
      <c r="AF79" s="57"/>
      <c r="AG79" s="15"/>
      <c r="AH79" s="25"/>
      <c r="AI79" s="26"/>
      <c r="AJ79" s="26"/>
      <c r="AK79" s="27"/>
      <c r="AL79" s="28"/>
      <c r="AM79" s="29"/>
    </row>
    <row r="80" ht="12.75" customHeight="1">
      <c r="A80" s="26"/>
      <c r="B80" s="12"/>
      <c r="C80" s="240"/>
      <c r="D80" s="241"/>
      <c r="E80" s="5"/>
      <c r="F80" s="5"/>
      <c r="G80" s="5"/>
      <c r="H80" s="5"/>
      <c r="I80" s="5"/>
      <c r="J80" s="5"/>
      <c r="K80" s="8"/>
      <c r="L80" s="9"/>
      <c r="M80" s="10"/>
      <c r="N80" s="12"/>
      <c r="O80" s="242"/>
      <c r="P80" s="243"/>
      <c r="Q80" s="243"/>
      <c r="R80" s="14"/>
      <c r="S80" s="242"/>
      <c r="T80" s="15"/>
      <c r="U80" s="15"/>
      <c r="V80" s="15"/>
      <c r="W80" s="8"/>
      <c r="X80" s="8"/>
      <c r="Y80" s="56"/>
      <c r="Z80" s="56"/>
      <c r="AA80" s="15"/>
      <c r="AB80" s="15"/>
      <c r="AC80" s="15"/>
      <c r="AD80" s="15"/>
      <c r="AE80" s="57"/>
      <c r="AF80" s="57"/>
      <c r="AG80" s="15"/>
      <c r="AH80" s="25"/>
      <c r="AI80" s="26"/>
      <c r="AJ80" s="26"/>
      <c r="AK80" s="27"/>
      <c r="AL80" s="28"/>
      <c r="AM80" s="29"/>
    </row>
    <row r="81" ht="12.75" customHeight="1">
      <c r="A81" s="26"/>
      <c r="B81" s="12"/>
      <c r="C81" s="240"/>
      <c r="D81" s="241"/>
      <c r="E81" s="5"/>
      <c r="F81" s="5"/>
      <c r="G81" s="5"/>
      <c r="H81" s="5"/>
      <c r="I81" s="5"/>
      <c r="J81" s="5"/>
      <c r="K81" s="8"/>
      <c r="L81" s="9"/>
      <c r="M81" s="10"/>
      <c r="N81" s="12"/>
      <c r="O81" s="242"/>
      <c r="P81" s="243"/>
      <c r="Q81" s="243"/>
      <c r="R81" s="14"/>
      <c r="S81" s="242"/>
      <c r="T81" s="15"/>
      <c r="U81" s="15"/>
      <c r="V81" s="15"/>
      <c r="W81" s="8"/>
      <c r="X81" s="8"/>
      <c r="Y81" s="56"/>
      <c r="Z81" s="56"/>
      <c r="AA81" s="15"/>
      <c r="AB81" s="15"/>
      <c r="AC81" s="15"/>
      <c r="AD81" s="15"/>
      <c r="AE81" s="57"/>
      <c r="AF81" s="57"/>
      <c r="AG81" s="15"/>
      <c r="AH81" s="25"/>
      <c r="AI81" s="26"/>
      <c r="AJ81" s="26"/>
      <c r="AK81" s="27"/>
      <c r="AL81" s="28"/>
      <c r="AM81" s="29"/>
    </row>
    <row r="82" ht="12.75" customHeight="1">
      <c r="A82" s="26"/>
      <c r="B82" s="12"/>
      <c r="C82" s="240"/>
      <c r="D82" s="241"/>
      <c r="E82" s="5"/>
      <c r="F82" s="5"/>
      <c r="G82" s="5"/>
      <c r="H82" s="5"/>
      <c r="I82" s="5"/>
      <c r="J82" s="5"/>
      <c r="K82" s="8"/>
      <c r="L82" s="9"/>
      <c r="M82" s="10"/>
      <c r="N82" s="12"/>
      <c r="O82" s="242"/>
      <c r="P82" s="243"/>
      <c r="Q82" s="243"/>
      <c r="R82" s="14"/>
      <c r="S82" s="242"/>
      <c r="T82" s="15"/>
      <c r="U82" s="15"/>
      <c r="V82" s="15"/>
      <c r="W82" s="8"/>
      <c r="X82" s="8"/>
      <c r="Y82" s="56"/>
      <c r="Z82" s="56"/>
      <c r="AA82" s="15"/>
      <c r="AB82" s="15"/>
      <c r="AC82" s="15"/>
      <c r="AD82" s="15"/>
      <c r="AE82" s="57"/>
      <c r="AF82" s="57"/>
      <c r="AG82" s="15"/>
      <c r="AH82" s="25"/>
      <c r="AI82" s="26"/>
      <c r="AJ82" s="26"/>
      <c r="AK82" s="27"/>
      <c r="AL82" s="28"/>
      <c r="AM82" s="29"/>
    </row>
    <row r="83" ht="12.75" customHeight="1">
      <c r="A83" s="26"/>
      <c r="B83" s="12"/>
      <c r="C83" s="240"/>
      <c r="D83" s="241"/>
      <c r="E83" s="5"/>
      <c r="F83" s="5"/>
      <c r="G83" s="5"/>
      <c r="H83" s="5"/>
      <c r="I83" s="5"/>
      <c r="J83" s="5"/>
      <c r="K83" s="8"/>
      <c r="L83" s="9"/>
      <c r="M83" s="10"/>
      <c r="N83" s="12"/>
      <c r="O83" s="242"/>
      <c r="P83" s="243"/>
      <c r="Q83" s="243"/>
      <c r="R83" s="14"/>
      <c r="S83" s="242"/>
      <c r="T83" s="15"/>
      <c r="U83" s="15"/>
      <c r="V83" s="15"/>
      <c r="W83" s="8"/>
      <c r="X83" s="8"/>
      <c r="Y83" s="56"/>
      <c r="Z83" s="56"/>
      <c r="AA83" s="15"/>
      <c r="AB83" s="15"/>
      <c r="AC83" s="15"/>
      <c r="AD83" s="15"/>
      <c r="AE83" s="57"/>
      <c r="AF83" s="57"/>
      <c r="AG83" s="15"/>
      <c r="AH83" s="25"/>
      <c r="AI83" s="26"/>
      <c r="AJ83" s="26"/>
      <c r="AK83" s="27"/>
      <c r="AL83" s="28"/>
      <c r="AM83" s="29"/>
    </row>
    <row r="84" ht="12.75" customHeight="1">
      <c r="A84" s="26"/>
      <c r="B84" s="12"/>
      <c r="C84" s="240"/>
      <c r="D84" s="241"/>
      <c r="E84" s="5"/>
      <c r="F84" s="5"/>
      <c r="G84" s="5"/>
      <c r="H84" s="5"/>
      <c r="I84" s="5"/>
      <c r="J84" s="5"/>
      <c r="K84" s="8"/>
      <c r="L84" s="9"/>
      <c r="M84" s="10"/>
      <c r="N84" s="12"/>
      <c r="O84" s="242"/>
      <c r="P84" s="243"/>
      <c r="Q84" s="243"/>
      <c r="R84" s="14"/>
      <c r="S84" s="242"/>
      <c r="T84" s="15"/>
      <c r="U84" s="15"/>
      <c r="V84" s="15"/>
      <c r="W84" s="8"/>
      <c r="X84" s="8"/>
      <c r="Y84" s="56"/>
      <c r="Z84" s="56"/>
      <c r="AA84" s="15"/>
      <c r="AB84" s="15"/>
      <c r="AC84" s="15"/>
      <c r="AD84" s="15"/>
      <c r="AE84" s="57"/>
      <c r="AF84" s="57"/>
      <c r="AG84" s="15"/>
      <c r="AH84" s="25"/>
      <c r="AI84" s="26"/>
      <c r="AJ84" s="26"/>
      <c r="AK84" s="27"/>
      <c r="AL84" s="28"/>
      <c r="AM84" s="29"/>
    </row>
    <row r="85" ht="12.75" customHeight="1">
      <c r="A85" s="26"/>
      <c r="B85" s="12"/>
      <c r="C85" s="240"/>
      <c r="D85" s="241"/>
      <c r="E85" s="5"/>
      <c r="F85" s="5"/>
      <c r="G85" s="5"/>
      <c r="H85" s="5"/>
      <c r="I85" s="5"/>
      <c r="J85" s="5"/>
      <c r="K85" s="8"/>
      <c r="L85" s="9"/>
      <c r="M85" s="10"/>
      <c r="N85" s="12"/>
      <c r="O85" s="242"/>
      <c r="P85" s="243"/>
      <c r="Q85" s="243"/>
      <c r="R85" s="14"/>
      <c r="S85" s="242"/>
      <c r="T85" s="15"/>
      <c r="U85" s="15"/>
      <c r="V85" s="15"/>
      <c r="W85" s="8"/>
      <c r="X85" s="8"/>
      <c r="Y85" s="56"/>
      <c r="Z85" s="56"/>
      <c r="AA85" s="15"/>
      <c r="AB85" s="15"/>
      <c r="AC85" s="15"/>
      <c r="AD85" s="15"/>
      <c r="AE85" s="57"/>
      <c r="AF85" s="57"/>
      <c r="AG85" s="15"/>
      <c r="AH85" s="25"/>
      <c r="AI85" s="26"/>
      <c r="AJ85" s="26"/>
      <c r="AK85" s="27"/>
      <c r="AL85" s="28"/>
      <c r="AM85" s="29"/>
    </row>
    <row r="86" ht="12.75" customHeight="1">
      <c r="A86" s="26"/>
      <c r="B86" s="12"/>
      <c r="C86" s="240"/>
      <c r="D86" s="241"/>
      <c r="E86" s="5"/>
      <c r="F86" s="5"/>
      <c r="G86" s="5"/>
      <c r="H86" s="5"/>
      <c r="I86" s="5"/>
      <c r="J86" s="5"/>
      <c r="K86" s="8"/>
      <c r="L86" s="9"/>
      <c r="M86" s="10"/>
      <c r="N86" s="12"/>
      <c r="O86" s="242"/>
      <c r="P86" s="243"/>
      <c r="Q86" s="243"/>
      <c r="R86" s="14"/>
      <c r="S86" s="242"/>
      <c r="T86" s="15"/>
      <c r="U86" s="15"/>
      <c r="V86" s="15"/>
      <c r="W86" s="8"/>
      <c r="X86" s="8"/>
      <c r="Y86" s="56"/>
      <c r="Z86" s="56"/>
      <c r="AA86" s="15"/>
      <c r="AB86" s="15"/>
      <c r="AC86" s="15"/>
      <c r="AD86" s="15"/>
      <c r="AE86" s="57"/>
      <c r="AF86" s="57"/>
      <c r="AG86" s="15"/>
      <c r="AH86" s="25"/>
      <c r="AI86" s="26"/>
      <c r="AJ86" s="26"/>
      <c r="AK86" s="27"/>
      <c r="AL86" s="28"/>
      <c r="AM86" s="29"/>
    </row>
    <row r="87" ht="12.75" customHeight="1">
      <c r="A87" s="26"/>
      <c r="B87" s="12"/>
      <c r="C87" s="240"/>
      <c r="D87" s="241"/>
      <c r="E87" s="5"/>
      <c r="F87" s="5"/>
      <c r="G87" s="5"/>
      <c r="H87" s="5"/>
      <c r="I87" s="5"/>
      <c r="J87" s="5"/>
      <c r="K87" s="8"/>
      <c r="L87" s="9"/>
      <c r="M87" s="10"/>
      <c r="N87" s="12"/>
      <c r="O87" s="242"/>
      <c r="P87" s="243"/>
      <c r="Q87" s="243"/>
      <c r="R87" s="14"/>
      <c r="S87" s="242"/>
      <c r="T87" s="15"/>
      <c r="U87" s="15"/>
      <c r="V87" s="15"/>
      <c r="W87" s="8"/>
      <c r="X87" s="8"/>
      <c r="Y87" s="56"/>
      <c r="Z87" s="56"/>
      <c r="AA87" s="15"/>
      <c r="AB87" s="15"/>
      <c r="AC87" s="15"/>
      <c r="AD87" s="15"/>
      <c r="AE87" s="57"/>
      <c r="AF87" s="57"/>
      <c r="AG87" s="15"/>
      <c r="AH87" s="25"/>
      <c r="AI87" s="26"/>
      <c r="AJ87" s="26"/>
      <c r="AK87" s="27"/>
      <c r="AL87" s="28"/>
      <c r="AM87" s="29"/>
    </row>
    <row r="88" ht="12.75" customHeight="1">
      <c r="A88" s="26"/>
      <c r="B88" s="12"/>
      <c r="C88" s="240"/>
      <c r="D88" s="241"/>
      <c r="E88" s="5"/>
      <c r="F88" s="5"/>
      <c r="G88" s="5"/>
      <c r="H88" s="5"/>
      <c r="I88" s="5"/>
      <c r="J88" s="5"/>
      <c r="K88" s="8"/>
      <c r="L88" s="9"/>
      <c r="M88" s="10"/>
      <c r="N88" s="12"/>
      <c r="O88" s="242"/>
      <c r="P88" s="243"/>
      <c r="Q88" s="243"/>
      <c r="R88" s="14"/>
      <c r="S88" s="242"/>
      <c r="T88" s="15"/>
      <c r="U88" s="15"/>
      <c r="V88" s="15"/>
      <c r="W88" s="8"/>
      <c r="X88" s="8"/>
      <c r="Y88" s="56"/>
      <c r="Z88" s="56"/>
      <c r="AA88" s="15"/>
      <c r="AB88" s="15"/>
      <c r="AC88" s="15"/>
      <c r="AD88" s="15"/>
      <c r="AE88" s="57"/>
      <c r="AF88" s="57"/>
      <c r="AG88" s="15"/>
      <c r="AH88" s="25"/>
      <c r="AI88" s="26"/>
      <c r="AJ88" s="26"/>
      <c r="AK88" s="27"/>
      <c r="AL88" s="28"/>
      <c r="AM88" s="29"/>
    </row>
    <row r="89" ht="12.75" customHeight="1">
      <c r="A89" s="26"/>
      <c r="B89" s="12"/>
      <c r="C89" s="240"/>
      <c r="D89" s="241"/>
      <c r="E89" s="5"/>
      <c r="F89" s="5"/>
      <c r="G89" s="5"/>
      <c r="H89" s="5"/>
      <c r="I89" s="5"/>
      <c r="J89" s="5"/>
      <c r="K89" s="8"/>
      <c r="L89" s="9"/>
      <c r="M89" s="10"/>
      <c r="N89" s="12"/>
      <c r="O89" s="242"/>
      <c r="P89" s="243"/>
      <c r="Q89" s="243"/>
      <c r="R89" s="14"/>
      <c r="S89" s="242"/>
      <c r="T89" s="15"/>
      <c r="U89" s="15"/>
      <c r="V89" s="15"/>
      <c r="W89" s="8"/>
      <c r="X89" s="8"/>
      <c r="Y89" s="56"/>
      <c r="Z89" s="56"/>
      <c r="AA89" s="15"/>
      <c r="AB89" s="15"/>
      <c r="AC89" s="15"/>
      <c r="AD89" s="15"/>
      <c r="AE89" s="57"/>
      <c r="AF89" s="57"/>
      <c r="AG89" s="15"/>
      <c r="AH89" s="25"/>
      <c r="AI89" s="26"/>
      <c r="AJ89" s="26"/>
      <c r="AK89" s="27"/>
      <c r="AL89" s="28"/>
      <c r="AM89" s="29"/>
    </row>
    <row r="90" ht="12.75" customHeight="1">
      <c r="A90" s="26"/>
      <c r="B90" s="12"/>
      <c r="C90" s="240"/>
      <c r="D90" s="241"/>
      <c r="E90" s="5"/>
      <c r="F90" s="5"/>
      <c r="G90" s="5"/>
      <c r="H90" s="5"/>
      <c r="I90" s="5"/>
      <c r="J90" s="5"/>
      <c r="K90" s="8"/>
      <c r="L90" s="9"/>
      <c r="M90" s="10"/>
      <c r="N90" s="12"/>
      <c r="O90" s="242"/>
      <c r="P90" s="243"/>
      <c r="Q90" s="243"/>
      <c r="R90" s="14"/>
      <c r="S90" s="242"/>
      <c r="T90" s="15"/>
      <c r="U90" s="15"/>
      <c r="V90" s="15"/>
      <c r="W90" s="8"/>
      <c r="X90" s="8"/>
      <c r="Y90" s="56"/>
      <c r="Z90" s="56"/>
      <c r="AA90" s="15"/>
      <c r="AB90" s="15"/>
      <c r="AC90" s="15"/>
      <c r="AD90" s="15"/>
      <c r="AE90" s="57"/>
      <c r="AF90" s="57"/>
      <c r="AG90" s="15"/>
      <c r="AH90" s="25"/>
      <c r="AI90" s="26"/>
      <c r="AJ90" s="26"/>
      <c r="AK90" s="27"/>
      <c r="AL90" s="28"/>
      <c r="AM90" s="29"/>
    </row>
    <row r="91" ht="12.75" customHeight="1">
      <c r="A91" s="26"/>
      <c r="B91" s="12"/>
      <c r="C91" s="240"/>
      <c r="D91" s="241"/>
      <c r="E91" s="5"/>
      <c r="F91" s="5"/>
      <c r="G91" s="5"/>
      <c r="H91" s="5"/>
      <c r="I91" s="5"/>
      <c r="J91" s="5"/>
      <c r="K91" s="8"/>
      <c r="L91" s="9"/>
      <c r="M91" s="10"/>
      <c r="N91" s="12"/>
      <c r="O91" s="242"/>
      <c r="P91" s="243"/>
      <c r="Q91" s="243"/>
      <c r="R91" s="14"/>
      <c r="S91" s="242"/>
      <c r="T91" s="15"/>
      <c r="U91" s="15"/>
      <c r="V91" s="15"/>
      <c r="W91" s="8"/>
      <c r="X91" s="8"/>
      <c r="Y91" s="56"/>
      <c r="Z91" s="56"/>
      <c r="AA91" s="15"/>
      <c r="AB91" s="15"/>
      <c r="AC91" s="15"/>
      <c r="AD91" s="15"/>
      <c r="AE91" s="57"/>
      <c r="AF91" s="57"/>
      <c r="AG91" s="15"/>
      <c r="AH91" s="25"/>
      <c r="AI91" s="26"/>
      <c r="AJ91" s="26"/>
      <c r="AK91" s="27"/>
      <c r="AL91" s="28"/>
      <c r="AM91" s="29"/>
    </row>
    <row r="92" ht="12.75" customHeight="1">
      <c r="A92" s="26"/>
      <c r="B92" s="12"/>
      <c r="C92" s="240"/>
      <c r="D92" s="241"/>
      <c r="E92" s="5"/>
      <c r="F92" s="5"/>
      <c r="G92" s="5"/>
      <c r="H92" s="5"/>
      <c r="I92" s="5"/>
      <c r="J92" s="5"/>
      <c r="K92" s="8"/>
      <c r="L92" s="9"/>
      <c r="M92" s="10"/>
      <c r="N92" s="12"/>
      <c r="O92" s="242"/>
      <c r="P92" s="243"/>
      <c r="Q92" s="243"/>
      <c r="R92" s="14"/>
      <c r="S92" s="242"/>
      <c r="T92" s="15"/>
      <c r="U92" s="15"/>
      <c r="V92" s="15"/>
      <c r="W92" s="8"/>
      <c r="X92" s="8"/>
      <c r="Y92" s="56"/>
      <c r="Z92" s="56"/>
      <c r="AA92" s="15"/>
      <c r="AB92" s="15"/>
      <c r="AC92" s="15"/>
      <c r="AD92" s="15"/>
      <c r="AE92" s="57"/>
      <c r="AF92" s="57"/>
      <c r="AG92" s="15"/>
      <c r="AH92" s="25"/>
      <c r="AI92" s="26"/>
      <c r="AJ92" s="26"/>
      <c r="AK92" s="27"/>
      <c r="AL92" s="28"/>
      <c r="AM92" s="29"/>
    </row>
    <row r="93" ht="12.75" customHeight="1">
      <c r="A93" s="26"/>
      <c r="B93" s="12"/>
      <c r="C93" s="240"/>
      <c r="D93" s="241"/>
      <c r="E93" s="5"/>
      <c r="F93" s="5"/>
      <c r="G93" s="5"/>
      <c r="H93" s="5"/>
      <c r="I93" s="5"/>
      <c r="J93" s="5"/>
      <c r="K93" s="8"/>
      <c r="L93" s="9"/>
      <c r="M93" s="10"/>
      <c r="N93" s="12"/>
      <c r="O93" s="242"/>
      <c r="P93" s="243"/>
      <c r="Q93" s="243"/>
      <c r="R93" s="14"/>
      <c r="S93" s="242"/>
      <c r="T93" s="15"/>
      <c r="U93" s="15"/>
      <c r="V93" s="15"/>
      <c r="W93" s="8"/>
      <c r="X93" s="8"/>
      <c r="Y93" s="56"/>
      <c r="Z93" s="56"/>
      <c r="AA93" s="15"/>
      <c r="AB93" s="15"/>
      <c r="AC93" s="15"/>
      <c r="AD93" s="15"/>
      <c r="AE93" s="57"/>
      <c r="AF93" s="57"/>
      <c r="AG93" s="15"/>
      <c r="AH93" s="25"/>
      <c r="AI93" s="26"/>
      <c r="AJ93" s="26"/>
      <c r="AK93" s="27"/>
      <c r="AL93" s="28"/>
      <c r="AM93" s="29"/>
    </row>
    <row r="94" ht="12.75" customHeight="1">
      <c r="A94" s="26"/>
      <c r="B94" s="12"/>
      <c r="C94" s="240"/>
      <c r="D94" s="241"/>
      <c r="E94" s="5"/>
      <c r="F94" s="5"/>
      <c r="G94" s="5"/>
      <c r="H94" s="5"/>
      <c r="I94" s="5"/>
      <c r="J94" s="5"/>
      <c r="K94" s="8"/>
      <c r="L94" s="9"/>
      <c r="M94" s="10"/>
      <c r="N94" s="12"/>
      <c r="O94" s="242"/>
      <c r="P94" s="243"/>
      <c r="Q94" s="243"/>
      <c r="R94" s="14"/>
      <c r="S94" s="242"/>
      <c r="T94" s="15"/>
      <c r="U94" s="15"/>
      <c r="V94" s="15"/>
      <c r="W94" s="8"/>
      <c r="X94" s="8"/>
      <c r="Y94" s="56"/>
      <c r="Z94" s="56"/>
      <c r="AA94" s="15"/>
      <c r="AB94" s="15"/>
      <c r="AC94" s="15"/>
      <c r="AD94" s="15"/>
      <c r="AE94" s="57"/>
      <c r="AF94" s="57"/>
      <c r="AG94" s="15"/>
      <c r="AH94" s="25"/>
      <c r="AI94" s="26"/>
      <c r="AJ94" s="26"/>
      <c r="AK94" s="27"/>
      <c r="AL94" s="28"/>
      <c r="AM94" s="29"/>
    </row>
    <row r="95" ht="12.75" customHeight="1">
      <c r="A95" s="26"/>
      <c r="B95" s="12"/>
      <c r="C95" s="240"/>
      <c r="D95" s="241"/>
      <c r="E95" s="5"/>
      <c r="F95" s="5"/>
      <c r="G95" s="5"/>
      <c r="H95" s="5"/>
      <c r="I95" s="5"/>
      <c r="J95" s="5"/>
      <c r="K95" s="8"/>
      <c r="L95" s="9"/>
      <c r="M95" s="10"/>
      <c r="N95" s="12"/>
      <c r="O95" s="242"/>
      <c r="P95" s="243"/>
      <c r="Q95" s="243"/>
      <c r="R95" s="14"/>
      <c r="S95" s="242"/>
      <c r="T95" s="15"/>
      <c r="U95" s="15"/>
      <c r="V95" s="15"/>
      <c r="W95" s="8"/>
      <c r="X95" s="8"/>
      <c r="Y95" s="56"/>
      <c r="Z95" s="56"/>
      <c r="AA95" s="15"/>
      <c r="AB95" s="15"/>
      <c r="AC95" s="15"/>
      <c r="AD95" s="15"/>
      <c r="AE95" s="57"/>
      <c r="AF95" s="57"/>
      <c r="AG95" s="15"/>
      <c r="AH95" s="25"/>
      <c r="AI95" s="26"/>
      <c r="AJ95" s="26"/>
      <c r="AK95" s="27"/>
      <c r="AL95" s="28"/>
      <c r="AM95" s="29"/>
    </row>
    <row r="96" ht="12.75" customHeight="1">
      <c r="A96" s="26"/>
      <c r="B96" s="12"/>
      <c r="C96" s="240"/>
      <c r="D96" s="241"/>
      <c r="E96" s="5"/>
      <c r="F96" s="5"/>
      <c r="G96" s="5"/>
      <c r="H96" s="5"/>
      <c r="I96" s="5"/>
      <c r="J96" s="5"/>
      <c r="K96" s="8"/>
      <c r="L96" s="9"/>
      <c r="M96" s="10"/>
      <c r="N96" s="12"/>
      <c r="O96" s="242"/>
      <c r="P96" s="243"/>
      <c r="Q96" s="243"/>
      <c r="R96" s="14"/>
      <c r="S96" s="242"/>
      <c r="T96" s="15"/>
      <c r="U96" s="15"/>
      <c r="V96" s="15"/>
      <c r="W96" s="8"/>
      <c r="X96" s="8"/>
      <c r="Y96" s="56"/>
      <c r="Z96" s="56"/>
      <c r="AA96" s="15"/>
      <c r="AB96" s="15"/>
      <c r="AC96" s="15"/>
      <c r="AD96" s="15"/>
      <c r="AE96" s="57"/>
      <c r="AF96" s="57"/>
      <c r="AG96" s="15"/>
      <c r="AH96" s="25"/>
      <c r="AI96" s="26"/>
      <c r="AJ96" s="26"/>
      <c r="AK96" s="27"/>
      <c r="AL96" s="28"/>
      <c r="AM96" s="29"/>
    </row>
    <row r="97" ht="12.75" customHeight="1">
      <c r="A97" s="26"/>
      <c r="B97" s="12"/>
      <c r="C97" s="240"/>
      <c r="D97" s="241"/>
      <c r="E97" s="5"/>
      <c r="F97" s="5"/>
      <c r="G97" s="5"/>
      <c r="H97" s="5"/>
      <c r="I97" s="5"/>
      <c r="J97" s="5"/>
      <c r="K97" s="8"/>
      <c r="L97" s="9"/>
      <c r="M97" s="10"/>
      <c r="N97" s="12"/>
      <c r="O97" s="242"/>
      <c r="P97" s="243"/>
      <c r="Q97" s="243"/>
      <c r="R97" s="14"/>
      <c r="S97" s="242"/>
      <c r="T97" s="15"/>
      <c r="U97" s="15"/>
      <c r="V97" s="15"/>
      <c r="W97" s="8"/>
      <c r="X97" s="8"/>
      <c r="Y97" s="56"/>
      <c r="Z97" s="56"/>
      <c r="AA97" s="15"/>
      <c r="AB97" s="15"/>
      <c r="AC97" s="15"/>
      <c r="AD97" s="15"/>
      <c r="AE97" s="57"/>
      <c r="AF97" s="57"/>
      <c r="AG97" s="15"/>
      <c r="AH97" s="25"/>
      <c r="AI97" s="26"/>
      <c r="AJ97" s="26"/>
      <c r="AK97" s="27"/>
      <c r="AL97" s="28"/>
      <c r="AM97" s="29"/>
    </row>
    <row r="98" ht="12.75" customHeight="1">
      <c r="A98" s="26"/>
      <c r="B98" s="12"/>
      <c r="C98" s="240"/>
      <c r="D98" s="241"/>
      <c r="E98" s="5"/>
      <c r="F98" s="5"/>
      <c r="G98" s="5"/>
      <c r="H98" s="5"/>
      <c r="I98" s="5"/>
      <c r="J98" s="5"/>
      <c r="K98" s="8"/>
      <c r="L98" s="9"/>
      <c r="M98" s="10"/>
      <c r="N98" s="12"/>
      <c r="O98" s="242"/>
      <c r="P98" s="243"/>
      <c r="Q98" s="243"/>
      <c r="R98" s="14"/>
      <c r="S98" s="242"/>
      <c r="T98" s="15"/>
      <c r="U98" s="15"/>
      <c r="V98" s="15"/>
      <c r="W98" s="8"/>
      <c r="X98" s="8"/>
      <c r="Y98" s="56"/>
      <c r="Z98" s="56"/>
      <c r="AA98" s="15"/>
      <c r="AB98" s="15"/>
      <c r="AC98" s="15"/>
      <c r="AD98" s="15"/>
      <c r="AE98" s="57"/>
      <c r="AF98" s="57"/>
      <c r="AG98" s="15"/>
      <c r="AH98" s="25"/>
      <c r="AI98" s="26"/>
      <c r="AJ98" s="26"/>
      <c r="AK98" s="27"/>
      <c r="AL98" s="28"/>
      <c r="AM98" s="29"/>
    </row>
    <row r="99" ht="12.75" customHeight="1">
      <c r="A99" s="26"/>
      <c r="B99" s="12"/>
      <c r="C99" s="240"/>
      <c r="D99" s="241"/>
      <c r="E99" s="5"/>
      <c r="F99" s="5"/>
      <c r="G99" s="5"/>
      <c r="H99" s="5"/>
      <c r="I99" s="5"/>
      <c r="J99" s="5"/>
      <c r="K99" s="8"/>
      <c r="L99" s="9"/>
      <c r="M99" s="10"/>
      <c r="N99" s="12"/>
      <c r="O99" s="242"/>
      <c r="P99" s="243"/>
      <c r="Q99" s="243"/>
      <c r="R99" s="14"/>
      <c r="S99" s="242"/>
      <c r="T99" s="15"/>
      <c r="U99" s="15"/>
      <c r="V99" s="15"/>
      <c r="W99" s="8"/>
      <c r="X99" s="8"/>
      <c r="Y99" s="56"/>
      <c r="Z99" s="56"/>
      <c r="AA99" s="15"/>
      <c r="AB99" s="15"/>
      <c r="AC99" s="15"/>
      <c r="AD99" s="15"/>
      <c r="AE99" s="57"/>
      <c r="AF99" s="57"/>
      <c r="AG99" s="15"/>
      <c r="AH99" s="25"/>
      <c r="AI99" s="26"/>
      <c r="AJ99" s="26"/>
      <c r="AK99" s="27"/>
      <c r="AL99" s="28"/>
      <c r="AM99" s="29"/>
    </row>
    <row r="100" ht="12.75" customHeight="1">
      <c r="A100" s="26"/>
      <c r="B100" s="12"/>
      <c r="C100" s="240"/>
      <c r="D100" s="241"/>
      <c r="E100" s="5"/>
      <c r="F100" s="5"/>
      <c r="G100" s="5"/>
      <c r="H100" s="5"/>
      <c r="I100" s="5"/>
      <c r="J100" s="5"/>
      <c r="K100" s="8"/>
      <c r="L100" s="9"/>
      <c r="M100" s="10"/>
      <c r="N100" s="12"/>
      <c r="O100" s="242"/>
      <c r="P100" s="243"/>
      <c r="Q100" s="243"/>
      <c r="R100" s="14"/>
      <c r="S100" s="242"/>
      <c r="T100" s="15"/>
      <c r="U100" s="15"/>
      <c r="V100" s="15"/>
      <c r="W100" s="8"/>
      <c r="X100" s="8"/>
      <c r="Y100" s="56"/>
      <c r="Z100" s="56"/>
      <c r="AA100" s="15"/>
      <c r="AB100" s="15"/>
      <c r="AC100" s="15"/>
      <c r="AD100" s="15"/>
      <c r="AE100" s="57"/>
      <c r="AF100" s="57"/>
      <c r="AG100" s="15"/>
      <c r="AH100" s="25"/>
      <c r="AI100" s="26"/>
      <c r="AJ100" s="26"/>
      <c r="AK100" s="27"/>
      <c r="AL100" s="28"/>
      <c r="AM100" s="29"/>
    </row>
    <row r="101" ht="12.75" customHeight="1">
      <c r="A101" s="26"/>
      <c r="B101" s="12"/>
      <c r="C101" s="240"/>
      <c r="D101" s="241"/>
      <c r="E101" s="5"/>
      <c r="F101" s="5"/>
      <c r="G101" s="5"/>
      <c r="H101" s="5"/>
      <c r="I101" s="5"/>
      <c r="J101" s="5"/>
      <c r="K101" s="8"/>
      <c r="L101" s="9"/>
      <c r="M101" s="10"/>
      <c r="N101" s="12"/>
      <c r="O101" s="242"/>
      <c r="P101" s="243"/>
      <c r="Q101" s="243"/>
      <c r="R101" s="14"/>
      <c r="S101" s="242"/>
      <c r="T101" s="15"/>
      <c r="U101" s="15"/>
      <c r="V101" s="15"/>
      <c r="W101" s="8"/>
      <c r="X101" s="8"/>
      <c r="Y101" s="56"/>
      <c r="Z101" s="56"/>
      <c r="AA101" s="15"/>
      <c r="AB101" s="15"/>
      <c r="AC101" s="15"/>
      <c r="AD101" s="15"/>
      <c r="AE101" s="57"/>
      <c r="AF101" s="57"/>
      <c r="AG101" s="15"/>
      <c r="AH101" s="25"/>
      <c r="AI101" s="26"/>
      <c r="AJ101" s="26"/>
      <c r="AK101" s="27"/>
      <c r="AL101" s="28"/>
      <c r="AM101" s="29"/>
    </row>
    <row r="102" ht="12.75" customHeight="1">
      <c r="A102" s="26"/>
      <c r="B102" s="12"/>
      <c r="C102" s="240"/>
      <c r="D102" s="241"/>
      <c r="E102" s="5"/>
      <c r="F102" s="5"/>
      <c r="G102" s="5"/>
      <c r="H102" s="5"/>
      <c r="I102" s="5"/>
      <c r="J102" s="5"/>
      <c r="K102" s="8"/>
      <c r="L102" s="9"/>
      <c r="M102" s="10"/>
      <c r="N102" s="12"/>
      <c r="O102" s="242"/>
      <c r="P102" s="243"/>
      <c r="Q102" s="243"/>
      <c r="R102" s="14"/>
      <c r="S102" s="242"/>
      <c r="T102" s="15"/>
      <c r="U102" s="15"/>
      <c r="V102" s="15"/>
      <c r="W102" s="8"/>
      <c r="X102" s="8"/>
      <c r="Y102" s="56"/>
      <c r="Z102" s="56"/>
      <c r="AA102" s="15"/>
      <c r="AB102" s="15"/>
      <c r="AC102" s="15"/>
      <c r="AD102" s="15"/>
      <c r="AE102" s="57"/>
      <c r="AF102" s="57"/>
      <c r="AG102" s="15"/>
      <c r="AH102" s="25"/>
      <c r="AI102" s="26"/>
      <c r="AJ102" s="26"/>
      <c r="AK102" s="27"/>
      <c r="AL102" s="28"/>
      <c r="AM102" s="29"/>
    </row>
    <row r="103" ht="12.75" customHeight="1">
      <c r="A103" s="26"/>
      <c r="B103" s="12"/>
      <c r="C103" s="240"/>
      <c r="D103" s="241"/>
      <c r="E103" s="5"/>
      <c r="F103" s="5"/>
      <c r="G103" s="5"/>
      <c r="H103" s="5"/>
      <c r="I103" s="5"/>
      <c r="J103" s="5"/>
      <c r="K103" s="8"/>
      <c r="L103" s="9"/>
      <c r="M103" s="10"/>
      <c r="N103" s="12"/>
      <c r="O103" s="242"/>
      <c r="P103" s="243"/>
      <c r="Q103" s="243"/>
      <c r="R103" s="14"/>
      <c r="S103" s="242"/>
      <c r="T103" s="15"/>
      <c r="U103" s="15"/>
      <c r="V103" s="15"/>
      <c r="W103" s="8"/>
      <c r="X103" s="8"/>
      <c r="Y103" s="56"/>
      <c r="Z103" s="56"/>
      <c r="AA103" s="15"/>
      <c r="AB103" s="15"/>
      <c r="AC103" s="15"/>
      <c r="AD103" s="15"/>
      <c r="AE103" s="57"/>
      <c r="AF103" s="57"/>
      <c r="AG103" s="15"/>
      <c r="AH103" s="25"/>
      <c r="AI103" s="26"/>
      <c r="AJ103" s="26"/>
      <c r="AK103" s="27"/>
      <c r="AL103" s="28"/>
      <c r="AM103" s="29"/>
    </row>
    <row r="104" ht="12.75" customHeight="1">
      <c r="A104" s="26"/>
      <c r="B104" s="12"/>
      <c r="C104" s="240"/>
      <c r="D104" s="241"/>
      <c r="E104" s="5"/>
      <c r="F104" s="5"/>
      <c r="G104" s="5"/>
      <c r="H104" s="5"/>
      <c r="I104" s="5"/>
      <c r="J104" s="5"/>
      <c r="K104" s="8"/>
      <c r="L104" s="9"/>
      <c r="M104" s="10"/>
      <c r="N104" s="12"/>
      <c r="O104" s="242"/>
      <c r="P104" s="243"/>
      <c r="Q104" s="243"/>
      <c r="R104" s="14"/>
      <c r="S104" s="242"/>
      <c r="T104" s="15"/>
      <c r="U104" s="15"/>
      <c r="V104" s="15"/>
      <c r="W104" s="8"/>
      <c r="X104" s="8"/>
      <c r="Y104" s="56"/>
      <c r="Z104" s="56"/>
      <c r="AA104" s="15"/>
      <c r="AB104" s="15"/>
      <c r="AC104" s="15"/>
      <c r="AD104" s="15"/>
      <c r="AE104" s="57"/>
      <c r="AF104" s="57"/>
      <c r="AG104" s="15"/>
      <c r="AH104" s="25"/>
      <c r="AI104" s="26"/>
      <c r="AJ104" s="26"/>
      <c r="AK104" s="27"/>
      <c r="AL104" s="28"/>
      <c r="AM104" s="29"/>
    </row>
    <row r="105" ht="12.75" customHeight="1">
      <c r="A105" s="26"/>
      <c r="B105" s="12"/>
      <c r="C105" s="240"/>
      <c r="D105" s="241"/>
      <c r="E105" s="5"/>
      <c r="F105" s="5"/>
      <c r="G105" s="5"/>
      <c r="H105" s="5"/>
      <c r="I105" s="5"/>
      <c r="J105" s="5"/>
      <c r="K105" s="8"/>
      <c r="L105" s="9"/>
      <c r="M105" s="10"/>
      <c r="N105" s="12"/>
      <c r="O105" s="242"/>
      <c r="P105" s="243"/>
      <c r="Q105" s="243"/>
      <c r="R105" s="14"/>
      <c r="S105" s="242"/>
      <c r="T105" s="15"/>
      <c r="U105" s="15"/>
      <c r="V105" s="15"/>
      <c r="W105" s="8"/>
      <c r="X105" s="8"/>
      <c r="Y105" s="56"/>
      <c r="Z105" s="56"/>
      <c r="AA105" s="15"/>
      <c r="AB105" s="15"/>
      <c r="AC105" s="15"/>
      <c r="AD105" s="15"/>
      <c r="AE105" s="57"/>
      <c r="AF105" s="57"/>
      <c r="AG105" s="15"/>
      <c r="AH105" s="25"/>
      <c r="AI105" s="26"/>
      <c r="AJ105" s="26"/>
      <c r="AK105" s="27"/>
      <c r="AL105" s="28"/>
      <c r="AM105" s="29"/>
    </row>
    <row r="106" ht="12.75" customHeight="1">
      <c r="A106" s="26"/>
      <c r="B106" s="12"/>
      <c r="C106" s="240"/>
      <c r="D106" s="241"/>
      <c r="E106" s="5"/>
      <c r="F106" s="5"/>
      <c r="G106" s="5"/>
      <c r="H106" s="5"/>
      <c r="I106" s="5"/>
      <c r="J106" s="5"/>
      <c r="K106" s="8"/>
      <c r="L106" s="9"/>
      <c r="M106" s="10"/>
      <c r="N106" s="12"/>
      <c r="O106" s="242"/>
      <c r="P106" s="243"/>
      <c r="Q106" s="243"/>
      <c r="R106" s="14"/>
      <c r="S106" s="242"/>
      <c r="T106" s="15"/>
      <c r="U106" s="15"/>
      <c r="V106" s="15"/>
      <c r="W106" s="8"/>
      <c r="X106" s="8"/>
      <c r="Y106" s="56"/>
      <c r="Z106" s="56"/>
      <c r="AA106" s="15"/>
      <c r="AB106" s="15"/>
      <c r="AC106" s="15"/>
      <c r="AD106" s="15"/>
      <c r="AE106" s="57"/>
      <c r="AF106" s="57"/>
      <c r="AG106" s="15"/>
      <c r="AH106" s="25"/>
      <c r="AI106" s="26"/>
      <c r="AJ106" s="26"/>
      <c r="AK106" s="27"/>
      <c r="AL106" s="28"/>
      <c r="AM106" s="29"/>
    </row>
    <row r="107" ht="12.75" customHeight="1">
      <c r="A107" s="26"/>
      <c r="B107" s="12"/>
      <c r="C107" s="240"/>
      <c r="D107" s="241"/>
      <c r="E107" s="5"/>
      <c r="F107" s="5"/>
      <c r="G107" s="5"/>
      <c r="H107" s="5"/>
      <c r="I107" s="5"/>
      <c r="J107" s="5"/>
      <c r="K107" s="8"/>
      <c r="L107" s="9"/>
      <c r="M107" s="10"/>
      <c r="N107" s="12"/>
      <c r="O107" s="242"/>
      <c r="P107" s="243"/>
      <c r="Q107" s="243"/>
      <c r="R107" s="14"/>
      <c r="S107" s="242"/>
      <c r="T107" s="15"/>
      <c r="U107" s="15"/>
      <c r="V107" s="15"/>
      <c r="W107" s="8"/>
      <c r="X107" s="8"/>
      <c r="Y107" s="56"/>
      <c r="Z107" s="56"/>
      <c r="AA107" s="15"/>
      <c r="AB107" s="15"/>
      <c r="AC107" s="15"/>
      <c r="AD107" s="15"/>
      <c r="AE107" s="57"/>
      <c r="AF107" s="57"/>
      <c r="AG107" s="15"/>
      <c r="AH107" s="25"/>
      <c r="AI107" s="26"/>
      <c r="AJ107" s="26"/>
      <c r="AK107" s="27"/>
      <c r="AL107" s="28"/>
      <c r="AM107" s="29"/>
    </row>
    <row r="108" ht="12.75" customHeight="1">
      <c r="A108" s="26"/>
      <c r="B108" s="12"/>
      <c r="C108" s="240"/>
      <c r="D108" s="241"/>
      <c r="E108" s="5"/>
      <c r="F108" s="5"/>
      <c r="G108" s="5"/>
      <c r="H108" s="5"/>
      <c r="I108" s="5"/>
      <c r="J108" s="5"/>
      <c r="K108" s="8"/>
      <c r="L108" s="9"/>
      <c r="M108" s="10"/>
      <c r="N108" s="12"/>
      <c r="O108" s="242"/>
      <c r="P108" s="243"/>
      <c r="Q108" s="243"/>
      <c r="R108" s="14"/>
      <c r="S108" s="242"/>
      <c r="T108" s="15"/>
      <c r="U108" s="15"/>
      <c r="V108" s="15"/>
      <c r="W108" s="8"/>
      <c r="X108" s="8"/>
      <c r="Y108" s="56"/>
      <c r="Z108" s="56"/>
      <c r="AA108" s="15"/>
      <c r="AB108" s="15"/>
      <c r="AC108" s="15"/>
      <c r="AD108" s="15"/>
      <c r="AE108" s="57"/>
      <c r="AF108" s="57"/>
      <c r="AG108" s="15"/>
      <c r="AH108" s="25"/>
      <c r="AI108" s="26"/>
      <c r="AJ108" s="26"/>
      <c r="AK108" s="27"/>
      <c r="AL108" s="28"/>
      <c r="AM108" s="29"/>
    </row>
    <row r="109" ht="12.75" customHeight="1">
      <c r="A109" s="26"/>
      <c r="B109" s="12"/>
      <c r="C109" s="240"/>
      <c r="D109" s="241"/>
      <c r="E109" s="5"/>
      <c r="F109" s="5"/>
      <c r="G109" s="5"/>
      <c r="H109" s="5"/>
      <c r="I109" s="5"/>
      <c r="J109" s="5"/>
      <c r="K109" s="8"/>
      <c r="L109" s="9"/>
      <c r="M109" s="10"/>
      <c r="N109" s="12"/>
      <c r="O109" s="242"/>
      <c r="P109" s="243"/>
      <c r="Q109" s="243"/>
      <c r="R109" s="14"/>
      <c r="S109" s="242"/>
      <c r="T109" s="15"/>
      <c r="U109" s="15"/>
      <c r="V109" s="15"/>
      <c r="W109" s="8"/>
      <c r="X109" s="8"/>
      <c r="Y109" s="56"/>
      <c r="Z109" s="56"/>
      <c r="AA109" s="15"/>
      <c r="AB109" s="15"/>
      <c r="AC109" s="15"/>
      <c r="AD109" s="15"/>
      <c r="AE109" s="57"/>
      <c r="AF109" s="57"/>
      <c r="AG109" s="15"/>
      <c r="AH109" s="25"/>
      <c r="AI109" s="26"/>
      <c r="AJ109" s="26"/>
      <c r="AK109" s="27"/>
      <c r="AL109" s="28"/>
      <c r="AM109" s="29"/>
    </row>
    <row r="110" ht="12.75" customHeight="1">
      <c r="A110" s="26"/>
      <c r="B110" s="12"/>
      <c r="C110" s="240"/>
      <c r="D110" s="241"/>
      <c r="E110" s="5"/>
      <c r="F110" s="5"/>
      <c r="G110" s="5"/>
      <c r="H110" s="5"/>
      <c r="I110" s="5"/>
      <c r="J110" s="5"/>
      <c r="K110" s="8"/>
      <c r="L110" s="9"/>
      <c r="M110" s="10"/>
      <c r="N110" s="12"/>
      <c r="O110" s="242"/>
      <c r="P110" s="243"/>
      <c r="Q110" s="243"/>
      <c r="R110" s="14"/>
      <c r="S110" s="242"/>
      <c r="T110" s="15"/>
      <c r="U110" s="15"/>
      <c r="V110" s="15"/>
      <c r="W110" s="8"/>
      <c r="X110" s="8"/>
      <c r="Y110" s="56"/>
      <c r="Z110" s="56"/>
      <c r="AA110" s="15"/>
      <c r="AB110" s="15"/>
      <c r="AC110" s="15"/>
      <c r="AD110" s="15"/>
      <c r="AE110" s="57"/>
      <c r="AF110" s="57"/>
      <c r="AG110" s="15"/>
      <c r="AH110" s="25"/>
      <c r="AI110" s="26"/>
      <c r="AJ110" s="26"/>
      <c r="AK110" s="27"/>
      <c r="AL110" s="28"/>
      <c r="AM110" s="29"/>
    </row>
    <row r="111" ht="12.75" customHeight="1">
      <c r="A111" s="26"/>
      <c r="B111" s="12"/>
      <c r="C111" s="240"/>
      <c r="D111" s="241"/>
      <c r="E111" s="5"/>
      <c r="F111" s="5"/>
      <c r="G111" s="5"/>
      <c r="H111" s="5"/>
      <c r="I111" s="5"/>
      <c r="J111" s="5"/>
      <c r="K111" s="8"/>
      <c r="L111" s="9"/>
      <c r="M111" s="10"/>
      <c r="N111" s="12"/>
      <c r="O111" s="242"/>
      <c r="P111" s="243"/>
      <c r="Q111" s="243"/>
      <c r="R111" s="14"/>
      <c r="S111" s="242"/>
      <c r="T111" s="15"/>
      <c r="U111" s="15"/>
      <c r="V111" s="15"/>
      <c r="W111" s="8"/>
      <c r="X111" s="8"/>
      <c r="Y111" s="56"/>
      <c r="Z111" s="56"/>
      <c r="AA111" s="15"/>
      <c r="AB111" s="15"/>
      <c r="AC111" s="15"/>
      <c r="AD111" s="15"/>
      <c r="AE111" s="57"/>
      <c r="AF111" s="57"/>
      <c r="AG111" s="15"/>
      <c r="AH111" s="25"/>
      <c r="AI111" s="26"/>
      <c r="AJ111" s="26"/>
      <c r="AK111" s="27"/>
      <c r="AL111" s="28"/>
      <c r="AM111" s="29"/>
    </row>
    <row r="112" ht="12.75" customHeight="1">
      <c r="A112" s="26"/>
      <c r="B112" s="12"/>
      <c r="C112" s="240"/>
      <c r="D112" s="241"/>
      <c r="E112" s="5"/>
      <c r="F112" s="5"/>
      <c r="G112" s="5"/>
      <c r="H112" s="5"/>
      <c r="I112" s="5"/>
      <c r="J112" s="5"/>
      <c r="K112" s="8"/>
      <c r="L112" s="9"/>
      <c r="M112" s="10"/>
      <c r="N112" s="12"/>
      <c r="O112" s="242"/>
      <c r="P112" s="243"/>
      <c r="Q112" s="243"/>
      <c r="R112" s="14"/>
      <c r="S112" s="242"/>
      <c r="T112" s="15"/>
      <c r="U112" s="15"/>
      <c r="V112" s="15"/>
      <c r="W112" s="8"/>
      <c r="X112" s="8"/>
      <c r="Y112" s="56"/>
      <c r="Z112" s="56"/>
      <c r="AA112" s="15"/>
      <c r="AB112" s="15"/>
      <c r="AC112" s="15"/>
      <c r="AD112" s="15"/>
      <c r="AE112" s="57"/>
      <c r="AF112" s="57"/>
      <c r="AG112" s="15"/>
      <c r="AH112" s="25"/>
      <c r="AI112" s="26"/>
      <c r="AJ112" s="26"/>
      <c r="AK112" s="27"/>
      <c r="AL112" s="28"/>
      <c r="AM112" s="29"/>
    </row>
    <row r="113" ht="12.75" customHeight="1">
      <c r="A113" s="26"/>
      <c r="B113" s="12"/>
      <c r="C113" s="240"/>
      <c r="D113" s="241"/>
      <c r="E113" s="5"/>
      <c r="F113" s="5"/>
      <c r="G113" s="5"/>
      <c r="H113" s="5"/>
      <c r="I113" s="5"/>
      <c r="J113" s="5"/>
      <c r="K113" s="8"/>
      <c r="L113" s="9"/>
      <c r="M113" s="10"/>
      <c r="N113" s="12"/>
      <c r="O113" s="242"/>
      <c r="P113" s="243"/>
      <c r="Q113" s="243"/>
      <c r="R113" s="14"/>
      <c r="S113" s="242"/>
      <c r="T113" s="15"/>
      <c r="U113" s="15"/>
      <c r="V113" s="15"/>
      <c r="W113" s="8"/>
      <c r="X113" s="8"/>
      <c r="Y113" s="56"/>
      <c r="Z113" s="56"/>
      <c r="AA113" s="15"/>
      <c r="AB113" s="15"/>
      <c r="AC113" s="15"/>
      <c r="AD113" s="15"/>
      <c r="AE113" s="57"/>
      <c r="AF113" s="57"/>
      <c r="AG113" s="15"/>
      <c r="AH113" s="25"/>
      <c r="AI113" s="26"/>
      <c r="AJ113" s="26"/>
      <c r="AK113" s="27"/>
      <c r="AL113" s="28"/>
      <c r="AM113" s="29"/>
    </row>
    <row r="114" ht="12.75" customHeight="1">
      <c r="A114" s="26"/>
      <c r="B114" s="12"/>
      <c r="C114" s="240"/>
      <c r="D114" s="241"/>
      <c r="E114" s="5"/>
      <c r="F114" s="5"/>
      <c r="G114" s="5"/>
      <c r="H114" s="5"/>
      <c r="I114" s="5"/>
      <c r="J114" s="5"/>
      <c r="K114" s="8"/>
      <c r="L114" s="9"/>
      <c r="M114" s="10"/>
      <c r="N114" s="12"/>
      <c r="O114" s="242"/>
      <c r="P114" s="243"/>
      <c r="Q114" s="243"/>
      <c r="R114" s="14"/>
      <c r="S114" s="242"/>
      <c r="T114" s="15"/>
      <c r="U114" s="15"/>
      <c r="V114" s="15"/>
      <c r="W114" s="8"/>
      <c r="X114" s="8"/>
      <c r="Y114" s="56"/>
      <c r="Z114" s="56"/>
      <c r="AA114" s="15"/>
      <c r="AB114" s="15"/>
      <c r="AC114" s="15"/>
      <c r="AD114" s="15"/>
      <c r="AE114" s="57"/>
      <c r="AF114" s="57"/>
      <c r="AG114" s="15"/>
      <c r="AH114" s="25"/>
      <c r="AI114" s="26"/>
      <c r="AJ114" s="26"/>
      <c r="AK114" s="27"/>
      <c r="AL114" s="28"/>
      <c r="AM114" s="29"/>
    </row>
    <row r="115" ht="12.75" customHeight="1">
      <c r="A115" s="26"/>
      <c r="B115" s="12"/>
      <c r="C115" s="240"/>
      <c r="D115" s="241"/>
      <c r="E115" s="5"/>
      <c r="F115" s="5"/>
      <c r="G115" s="5"/>
      <c r="H115" s="5"/>
      <c r="I115" s="5"/>
      <c r="J115" s="5"/>
      <c r="K115" s="8"/>
      <c r="L115" s="9"/>
      <c r="M115" s="10"/>
      <c r="N115" s="12"/>
      <c r="O115" s="242"/>
      <c r="P115" s="243"/>
      <c r="Q115" s="243"/>
      <c r="R115" s="14"/>
      <c r="S115" s="242"/>
      <c r="T115" s="15"/>
      <c r="U115" s="15"/>
      <c r="V115" s="15"/>
      <c r="W115" s="8"/>
      <c r="X115" s="8"/>
      <c r="Y115" s="56"/>
      <c r="Z115" s="56"/>
      <c r="AA115" s="15"/>
      <c r="AB115" s="15"/>
      <c r="AC115" s="15"/>
      <c r="AD115" s="15"/>
      <c r="AE115" s="57"/>
      <c r="AF115" s="57"/>
      <c r="AG115" s="15"/>
      <c r="AH115" s="25"/>
      <c r="AI115" s="26"/>
      <c r="AJ115" s="26"/>
      <c r="AK115" s="27"/>
      <c r="AL115" s="28"/>
      <c r="AM115" s="29"/>
    </row>
    <row r="116" ht="12.75" customHeight="1">
      <c r="A116" s="26"/>
      <c r="B116" s="12"/>
      <c r="C116" s="240"/>
      <c r="D116" s="241"/>
      <c r="E116" s="5"/>
      <c r="F116" s="5"/>
      <c r="G116" s="5"/>
      <c r="H116" s="5"/>
      <c r="I116" s="5"/>
      <c r="J116" s="5"/>
      <c r="K116" s="8"/>
      <c r="L116" s="9"/>
      <c r="M116" s="10"/>
      <c r="N116" s="12"/>
      <c r="O116" s="242"/>
      <c r="P116" s="243"/>
      <c r="Q116" s="243"/>
      <c r="R116" s="14"/>
      <c r="S116" s="242"/>
      <c r="T116" s="15"/>
      <c r="U116" s="15"/>
      <c r="V116" s="15"/>
      <c r="W116" s="8"/>
      <c r="X116" s="8"/>
      <c r="Y116" s="56"/>
      <c r="Z116" s="56"/>
      <c r="AA116" s="15"/>
      <c r="AB116" s="15"/>
      <c r="AC116" s="15"/>
      <c r="AD116" s="15"/>
      <c r="AE116" s="57"/>
      <c r="AF116" s="57"/>
      <c r="AG116" s="15"/>
      <c r="AH116" s="25"/>
      <c r="AI116" s="26"/>
      <c r="AJ116" s="26"/>
      <c r="AK116" s="27"/>
      <c r="AL116" s="28"/>
      <c r="AM116" s="29"/>
    </row>
    <row r="117" ht="12.75" customHeight="1">
      <c r="A117" s="26"/>
      <c r="B117" s="12"/>
      <c r="C117" s="240"/>
      <c r="D117" s="241"/>
      <c r="E117" s="5"/>
      <c r="F117" s="5"/>
      <c r="G117" s="5"/>
      <c r="H117" s="5"/>
      <c r="I117" s="5"/>
      <c r="J117" s="5"/>
      <c r="K117" s="8"/>
      <c r="L117" s="9"/>
      <c r="M117" s="10"/>
      <c r="N117" s="12"/>
      <c r="O117" s="242"/>
      <c r="P117" s="243"/>
      <c r="Q117" s="243"/>
      <c r="R117" s="14"/>
      <c r="S117" s="242"/>
      <c r="T117" s="15"/>
      <c r="U117" s="15"/>
      <c r="V117" s="15"/>
      <c r="W117" s="8"/>
      <c r="X117" s="8"/>
      <c r="Y117" s="56"/>
      <c r="Z117" s="56"/>
      <c r="AA117" s="15"/>
      <c r="AB117" s="15"/>
      <c r="AC117" s="15"/>
      <c r="AD117" s="15"/>
      <c r="AE117" s="57"/>
      <c r="AF117" s="57"/>
      <c r="AG117" s="15"/>
      <c r="AH117" s="25"/>
      <c r="AI117" s="26"/>
      <c r="AJ117" s="26"/>
      <c r="AK117" s="27"/>
      <c r="AL117" s="28"/>
      <c r="AM117" s="29"/>
    </row>
    <row r="118" ht="12.75" customHeight="1">
      <c r="A118" s="26"/>
      <c r="B118" s="12"/>
      <c r="C118" s="240"/>
      <c r="D118" s="241"/>
      <c r="E118" s="5"/>
      <c r="F118" s="5"/>
      <c r="G118" s="5"/>
      <c r="H118" s="5"/>
      <c r="I118" s="5"/>
      <c r="J118" s="5"/>
      <c r="K118" s="8"/>
      <c r="L118" s="9"/>
      <c r="M118" s="10"/>
      <c r="N118" s="12"/>
      <c r="O118" s="242"/>
      <c r="P118" s="243"/>
      <c r="Q118" s="243"/>
      <c r="R118" s="14"/>
      <c r="S118" s="242"/>
      <c r="T118" s="15"/>
      <c r="U118" s="15"/>
      <c r="V118" s="15"/>
      <c r="W118" s="8"/>
      <c r="X118" s="8"/>
      <c r="Y118" s="56"/>
      <c r="Z118" s="56"/>
      <c r="AA118" s="15"/>
      <c r="AB118" s="15"/>
      <c r="AC118" s="15"/>
      <c r="AD118" s="15"/>
      <c r="AE118" s="57"/>
      <c r="AF118" s="57"/>
      <c r="AG118" s="15"/>
      <c r="AH118" s="25"/>
      <c r="AI118" s="26"/>
      <c r="AJ118" s="26"/>
      <c r="AK118" s="27"/>
      <c r="AL118" s="28"/>
      <c r="AM118" s="29"/>
    </row>
    <row r="119" ht="12.75" customHeight="1">
      <c r="A119" s="26"/>
      <c r="B119" s="12"/>
      <c r="C119" s="240"/>
      <c r="D119" s="241"/>
      <c r="E119" s="5"/>
      <c r="F119" s="5"/>
      <c r="G119" s="5"/>
      <c r="H119" s="5"/>
      <c r="I119" s="5"/>
      <c r="J119" s="5"/>
      <c r="K119" s="8"/>
      <c r="L119" s="9"/>
      <c r="M119" s="10"/>
      <c r="N119" s="12"/>
      <c r="O119" s="242"/>
      <c r="P119" s="243"/>
      <c r="Q119" s="243"/>
      <c r="R119" s="14"/>
      <c r="S119" s="242"/>
      <c r="T119" s="15"/>
      <c r="U119" s="15"/>
      <c r="V119" s="15"/>
      <c r="W119" s="8"/>
      <c r="X119" s="8"/>
      <c r="Y119" s="56"/>
      <c r="Z119" s="56"/>
      <c r="AA119" s="15"/>
      <c r="AB119" s="15"/>
      <c r="AC119" s="15"/>
      <c r="AD119" s="15"/>
      <c r="AE119" s="57"/>
      <c r="AF119" s="57"/>
      <c r="AG119" s="15"/>
      <c r="AH119" s="25"/>
      <c r="AI119" s="26"/>
      <c r="AJ119" s="26"/>
      <c r="AK119" s="27"/>
      <c r="AL119" s="28"/>
      <c r="AM119" s="29"/>
    </row>
    <row r="120" ht="12.75" customHeight="1">
      <c r="A120" s="26"/>
      <c r="B120" s="12"/>
      <c r="C120" s="240"/>
      <c r="D120" s="241"/>
      <c r="E120" s="5"/>
      <c r="F120" s="5"/>
      <c r="G120" s="5"/>
      <c r="H120" s="5"/>
      <c r="I120" s="5"/>
      <c r="J120" s="5"/>
      <c r="K120" s="8"/>
      <c r="L120" s="9"/>
      <c r="M120" s="10"/>
      <c r="N120" s="12"/>
      <c r="O120" s="242"/>
      <c r="P120" s="243"/>
      <c r="Q120" s="243"/>
      <c r="R120" s="14"/>
      <c r="S120" s="242"/>
      <c r="T120" s="15"/>
      <c r="U120" s="15"/>
      <c r="V120" s="15"/>
      <c r="W120" s="8"/>
      <c r="X120" s="8"/>
      <c r="Y120" s="56"/>
      <c r="Z120" s="56"/>
      <c r="AA120" s="15"/>
      <c r="AB120" s="15"/>
      <c r="AC120" s="15"/>
      <c r="AD120" s="15"/>
      <c r="AE120" s="57"/>
      <c r="AF120" s="57"/>
      <c r="AG120" s="15"/>
      <c r="AH120" s="25"/>
      <c r="AI120" s="26"/>
      <c r="AJ120" s="26"/>
      <c r="AK120" s="27"/>
      <c r="AL120" s="28"/>
      <c r="AM120" s="29"/>
    </row>
    <row r="121" ht="12.75" customHeight="1">
      <c r="A121" s="26"/>
      <c r="B121" s="12"/>
      <c r="C121" s="240"/>
      <c r="D121" s="241"/>
      <c r="E121" s="5"/>
      <c r="F121" s="5"/>
      <c r="G121" s="5"/>
      <c r="H121" s="5"/>
      <c r="I121" s="5"/>
      <c r="J121" s="5"/>
      <c r="K121" s="8"/>
      <c r="L121" s="9"/>
      <c r="M121" s="10"/>
      <c r="N121" s="12"/>
      <c r="O121" s="242"/>
      <c r="P121" s="243"/>
      <c r="Q121" s="243"/>
      <c r="R121" s="14"/>
      <c r="S121" s="242"/>
      <c r="T121" s="15"/>
      <c r="U121" s="15"/>
      <c r="V121" s="15"/>
      <c r="W121" s="8"/>
      <c r="X121" s="8"/>
      <c r="Y121" s="56"/>
      <c r="Z121" s="56"/>
      <c r="AA121" s="15"/>
      <c r="AB121" s="15"/>
      <c r="AC121" s="15"/>
      <c r="AD121" s="15"/>
      <c r="AE121" s="57"/>
      <c r="AF121" s="57"/>
      <c r="AG121" s="15"/>
      <c r="AH121" s="25"/>
      <c r="AI121" s="26"/>
      <c r="AJ121" s="26"/>
      <c r="AK121" s="27"/>
      <c r="AL121" s="28"/>
      <c r="AM121" s="29"/>
    </row>
    <row r="122" ht="12.75" customHeight="1">
      <c r="A122" s="26"/>
      <c r="B122" s="12"/>
      <c r="C122" s="240"/>
      <c r="D122" s="241"/>
      <c r="E122" s="5"/>
      <c r="F122" s="5"/>
      <c r="G122" s="5"/>
      <c r="H122" s="5"/>
      <c r="I122" s="5"/>
      <c r="J122" s="5"/>
      <c r="K122" s="8"/>
      <c r="L122" s="9"/>
      <c r="M122" s="10"/>
      <c r="N122" s="12"/>
      <c r="O122" s="242"/>
      <c r="P122" s="243"/>
      <c r="Q122" s="243"/>
      <c r="R122" s="14"/>
      <c r="S122" s="242"/>
      <c r="T122" s="15"/>
      <c r="U122" s="15"/>
      <c r="V122" s="15"/>
      <c r="W122" s="8"/>
      <c r="X122" s="8"/>
      <c r="Y122" s="56"/>
      <c r="Z122" s="56"/>
      <c r="AA122" s="15"/>
      <c r="AB122" s="15"/>
      <c r="AC122" s="15"/>
      <c r="AD122" s="15"/>
      <c r="AE122" s="57"/>
      <c r="AF122" s="57"/>
      <c r="AG122" s="15"/>
      <c r="AH122" s="25"/>
      <c r="AI122" s="26"/>
      <c r="AJ122" s="26"/>
      <c r="AK122" s="27"/>
      <c r="AL122" s="28"/>
      <c r="AM122" s="29"/>
    </row>
    <row r="123" ht="12.75" customHeight="1">
      <c r="A123" s="26"/>
      <c r="B123" s="12"/>
      <c r="C123" s="240"/>
      <c r="D123" s="241"/>
      <c r="E123" s="5"/>
      <c r="F123" s="5"/>
      <c r="G123" s="5"/>
      <c r="H123" s="5"/>
      <c r="I123" s="5"/>
      <c r="J123" s="5"/>
      <c r="K123" s="8"/>
      <c r="L123" s="9"/>
      <c r="M123" s="10"/>
      <c r="N123" s="12"/>
      <c r="O123" s="242"/>
      <c r="P123" s="243"/>
      <c r="Q123" s="243"/>
      <c r="R123" s="14"/>
      <c r="S123" s="242"/>
      <c r="T123" s="15"/>
      <c r="U123" s="15"/>
      <c r="V123" s="15"/>
      <c r="W123" s="8"/>
      <c r="X123" s="8"/>
      <c r="Y123" s="56"/>
      <c r="Z123" s="56"/>
      <c r="AA123" s="15"/>
      <c r="AB123" s="15"/>
      <c r="AC123" s="15"/>
      <c r="AD123" s="15"/>
      <c r="AE123" s="57"/>
      <c r="AF123" s="57"/>
      <c r="AG123" s="15"/>
      <c r="AH123" s="25"/>
      <c r="AI123" s="26"/>
      <c r="AJ123" s="26"/>
      <c r="AK123" s="27"/>
      <c r="AL123" s="28"/>
      <c r="AM123" s="29"/>
    </row>
    <row r="124" ht="12.75" customHeight="1">
      <c r="A124" s="26"/>
      <c r="B124" s="12"/>
      <c r="C124" s="240"/>
      <c r="D124" s="241"/>
      <c r="E124" s="5"/>
      <c r="F124" s="5"/>
      <c r="G124" s="5"/>
      <c r="H124" s="5"/>
      <c r="I124" s="5"/>
      <c r="J124" s="5"/>
      <c r="K124" s="8"/>
      <c r="L124" s="9"/>
      <c r="M124" s="10"/>
      <c r="N124" s="12"/>
      <c r="O124" s="242"/>
      <c r="P124" s="243"/>
      <c r="Q124" s="243"/>
      <c r="R124" s="14"/>
      <c r="S124" s="242"/>
      <c r="T124" s="15"/>
      <c r="U124" s="15"/>
      <c r="V124" s="15"/>
      <c r="W124" s="8"/>
      <c r="X124" s="8"/>
      <c r="Y124" s="56"/>
      <c r="Z124" s="56"/>
      <c r="AA124" s="15"/>
      <c r="AB124" s="15"/>
      <c r="AC124" s="15"/>
      <c r="AD124" s="15"/>
      <c r="AE124" s="57"/>
      <c r="AF124" s="57"/>
      <c r="AG124" s="15"/>
      <c r="AH124" s="25"/>
      <c r="AI124" s="26"/>
      <c r="AJ124" s="26"/>
      <c r="AK124" s="27"/>
      <c r="AL124" s="28"/>
      <c r="AM124" s="29"/>
    </row>
    <row r="125" ht="12.75" customHeight="1">
      <c r="A125" s="26"/>
      <c r="B125" s="12"/>
      <c r="C125" s="240"/>
      <c r="D125" s="241"/>
      <c r="E125" s="5"/>
      <c r="F125" s="5"/>
      <c r="G125" s="5"/>
      <c r="H125" s="5"/>
      <c r="I125" s="5"/>
      <c r="J125" s="5"/>
      <c r="K125" s="8"/>
      <c r="L125" s="9"/>
      <c r="M125" s="10"/>
      <c r="N125" s="12"/>
      <c r="O125" s="242"/>
      <c r="P125" s="243"/>
      <c r="Q125" s="243"/>
      <c r="R125" s="14"/>
      <c r="S125" s="242"/>
      <c r="T125" s="15"/>
      <c r="U125" s="15"/>
      <c r="V125" s="15"/>
      <c r="W125" s="8"/>
      <c r="X125" s="8"/>
      <c r="Y125" s="56"/>
      <c r="Z125" s="56"/>
      <c r="AA125" s="15"/>
      <c r="AB125" s="15"/>
      <c r="AC125" s="15"/>
      <c r="AD125" s="15"/>
      <c r="AE125" s="57"/>
      <c r="AF125" s="57"/>
      <c r="AG125" s="15"/>
      <c r="AH125" s="25"/>
      <c r="AI125" s="26"/>
      <c r="AJ125" s="26"/>
      <c r="AK125" s="27"/>
      <c r="AL125" s="28"/>
      <c r="AM125" s="29"/>
    </row>
    <row r="126" ht="12.75" customHeight="1">
      <c r="A126" s="26"/>
      <c r="B126" s="12"/>
      <c r="C126" s="240"/>
      <c r="D126" s="241"/>
      <c r="E126" s="5"/>
      <c r="F126" s="5"/>
      <c r="G126" s="5"/>
      <c r="H126" s="5"/>
      <c r="I126" s="5"/>
      <c r="J126" s="5"/>
      <c r="K126" s="8"/>
      <c r="L126" s="9"/>
      <c r="M126" s="10"/>
      <c r="N126" s="12"/>
      <c r="O126" s="242"/>
      <c r="P126" s="243"/>
      <c r="Q126" s="243"/>
      <c r="R126" s="14"/>
      <c r="S126" s="242"/>
      <c r="T126" s="15"/>
      <c r="U126" s="15"/>
      <c r="V126" s="15"/>
      <c r="W126" s="8"/>
      <c r="X126" s="8"/>
      <c r="Y126" s="56"/>
      <c r="Z126" s="56"/>
      <c r="AA126" s="15"/>
      <c r="AB126" s="15"/>
      <c r="AC126" s="15"/>
      <c r="AD126" s="15"/>
      <c r="AE126" s="57"/>
      <c r="AF126" s="57"/>
      <c r="AG126" s="15"/>
      <c r="AH126" s="25"/>
      <c r="AI126" s="26"/>
      <c r="AJ126" s="26"/>
      <c r="AK126" s="27"/>
      <c r="AL126" s="28"/>
      <c r="AM126" s="29"/>
    </row>
    <row r="127" ht="12.75" customHeight="1">
      <c r="A127" s="26"/>
      <c r="B127" s="12"/>
      <c r="C127" s="240"/>
      <c r="D127" s="241"/>
      <c r="E127" s="5"/>
      <c r="F127" s="5"/>
      <c r="G127" s="5"/>
      <c r="H127" s="5"/>
      <c r="I127" s="5"/>
      <c r="J127" s="5"/>
      <c r="K127" s="8"/>
      <c r="L127" s="9"/>
      <c r="M127" s="10"/>
      <c r="N127" s="12"/>
      <c r="O127" s="242"/>
      <c r="P127" s="243"/>
      <c r="Q127" s="243"/>
      <c r="R127" s="14"/>
      <c r="S127" s="242"/>
      <c r="T127" s="15"/>
      <c r="U127" s="15"/>
      <c r="V127" s="15"/>
      <c r="W127" s="8"/>
      <c r="X127" s="8"/>
      <c r="Y127" s="56"/>
      <c r="Z127" s="56"/>
      <c r="AA127" s="15"/>
      <c r="AB127" s="15"/>
      <c r="AC127" s="15"/>
      <c r="AD127" s="15"/>
      <c r="AE127" s="57"/>
      <c r="AF127" s="57"/>
      <c r="AG127" s="15"/>
      <c r="AH127" s="25"/>
      <c r="AI127" s="26"/>
      <c r="AJ127" s="26"/>
      <c r="AK127" s="27"/>
      <c r="AL127" s="28"/>
      <c r="AM127" s="29"/>
    </row>
    <row r="128" ht="12.75" customHeight="1">
      <c r="A128" s="26"/>
      <c r="B128" s="12"/>
      <c r="C128" s="240"/>
      <c r="D128" s="241"/>
      <c r="E128" s="5"/>
      <c r="F128" s="5"/>
      <c r="G128" s="5"/>
      <c r="H128" s="5"/>
      <c r="I128" s="5"/>
      <c r="J128" s="5"/>
      <c r="K128" s="8"/>
      <c r="L128" s="9"/>
      <c r="M128" s="10"/>
      <c r="N128" s="12"/>
      <c r="O128" s="242"/>
      <c r="P128" s="243"/>
      <c r="Q128" s="243"/>
      <c r="R128" s="14"/>
      <c r="S128" s="242"/>
      <c r="T128" s="15"/>
      <c r="U128" s="15"/>
      <c r="V128" s="15"/>
      <c r="W128" s="8"/>
      <c r="X128" s="8"/>
      <c r="Y128" s="56"/>
      <c r="Z128" s="56"/>
      <c r="AA128" s="15"/>
      <c r="AB128" s="15"/>
      <c r="AC128" s="15"/>
      <c r="AD128" s="15"/>
      <c r="AE128" s="57"/>
      <c r="AF128" s="57"/>
      <c r="AG128" s="15"/>
      <c r="AH128" s="25"/>
      <c r="AI128" s="26"/>
      <c r="AJ128" s="26"/>
      <c r="AK128" s="27"/>
      <c r="AL128" s="28"/>
      <c r="AM128" s="29"/>
    </row>
    <row r="129" ht="12.75" customHeight="1">
      <c r="A129" s="26"/>
      <c r="B129" s="12"/>
      <c r="C129" s="240"/>
      <c r="D129" s="241"/>
      <c r="E129" s="5"/>
      <c r="F129" s="5"/>
      <c r="G129" s="5"/>
      <c r="H129" s="5"/>
      <c r="I129" s="5"/>
      <c r="J129" s="5"/>
      <c r="K129" s="8"/>
      <c r="L129" s="9"/>
      <c r="M129" s="10"/>
      <c r="N129" s="12"/>
      <c r="O129" s="242"/>
      <c r="P129" s="243"/>
      <c r="Q129" s="243"/>
      <c r="R129" s="14"/>
      <c r="S129" s="242"/>
      <c r="T129" s="15"/>
      <c r="U129" s="15"/>
      <c r="V129" s="15"/>
      <c r="W129" s="8"/>
      <c r="X129" s="8"/>
      <c r="Y129" s="56"/>
      <c r="Z129" s="56"/>
      <c r="AA129" s="15"/>
      <c r="AB129" s="15"/>
      <c r="AC129" s="15"/>
      <c r="AD129" s="15"/>
      <c r="AE129" s="57"/>
      <c r="AF129" s="57"/>
      <c r="AG129" s="15"/>
      <c r="AH129" s="25"/>
      <c r="AI129" s="26"/>
      <c r="AJ129" s="26"/>
      <c r="AK129" s="27"/>
      <c r="AL129" s="28"/>
      <c r="AM129" s="29"/>
    </row>
    <row r="130" ht="12.75" customHeight="1">
      <c r="A130" s="26"/>
      <c r="B130" s="12"/>
      <c r="C130" s="240"/>
      <c r="D130" s="241"/>
      <c r="E130" s="5"/>
      <c r="F130" s="5"/>
      <c r="G130" s="5"/>
      <c r="H130" s="5"/>
      <c r="I130" s="5"/>
      <c r="J130" s="5"/>
      <c r="K130" s="8"/>
      <c r="L130" s="9"/>
      <c r="M130" s="10"/>
      <c r="N130" s="12"/>
      <c r="O130" s="242"/>
      <c r="P130" s="243"/>
      <c r="Q130" s="243"/>
      <c r="R130" s="14"/>
      <c r="S130" s="242"/>
      <c r="T130" s="15"/>
      <c r="U130" s="15"/>
      <c r="V130" s="15"/>
      <c r="W130" s="8"/>
      <c r="X130" s="8"/>
      <c r="Y130" s="56"/>
      <c r="Z130" s="56"/>
      <c r="AA130" s="15"/>
      <c r="AB130" s="15"/>
      <c r="AC130" s="15"/>
      <c r="AD130" s="15"/>
      <c r="AE130" s="57"/>
      <c r="AF130" s="57"/>
      <c r="AG130" s="15"/>
      <c r="AH130" s="25"/>
      <c r="AI130" s="26"/>
      <c r="AJ130" s="26"/>
      <c r="AK130" s="27"/>
      <c r="AL130" s="28"/>
      <c r="AM130" s="29"/>
    </row>
    <row r="131" ht="12.75" customHeight="1">
      <c r="A131" s="26"/>
      <c r="B131" s="12"/>
      <c r="C131" s="240"/>
      <c r="D131" s="241"/>
      <c r="E131" s="5"/>
      <c r="F131" s="5"/>
      <c r="G131" s="5"/>
      <c r="H131" s="5"/>
      <c r="I131" s="5"/>
      <c r="J131" s="5"/>
      <c r="K131" s="8"/>
      <c r="L131" s="9"/>
      <c r="M131" s="10"/>
      <c r="N131" s="12"/>
      <c r="O131" s="242"/>
      <c r="P131" s="243"/>
      <c r="Q131" s="243"/>
      <c r="R131" s="14"/>
      <c r="S131" s="242"/>
      <c r="T131" s="15"/>
      <c r="U131" s="15"/>
      <c r="V131" s="15"/>
      <c r="W131" s="8"/>
      <c r="X131" s="8"/>
      <c r="Y131" s="56"/>
      <c r="Z131" s="56"/>
      <c r="AA131" s="15"/>
      <c r="AB131" s="15"/>
      <c r="AC131" s="15"/>
      <c r="AD131" s="15"/>
      <c r="AE131" s="57"/>
      <c r="AF131" s="57"/>
      <c r="AG131" s="15"/>
      <c r="AH131" s="25"/>
      <c r="AI131" s="26"/>
      <c r="AJ131" s="26"/>
      <c r="AK131" s="27"/>
      <c r="AL131" s="28"/>
      <c r="AM131" s="29"/>
    </row>
    <row r="132" ht="12.75" customHeight="1">
      <c r="A132" s="26"/>
      <c r="B132" s="12"/>
      <c r="C132" s="240"/>
      <c r="D132" s="241"/>
      <c r="E132" s="5"/>
      <c r="F132" s="5"/>
      <c r="G132" s="5"/>
      <c r="H132" s="5"/>
      <c r="I132" s="5"/>
      <c r="J132" s="5"/>
      <c r="K132" s="8"/>
      <c r="L132" s="9"/>
      <c r="M132" s="10"/>
      <c r="N132" s="12"/>
      <c r="O132" s="242"/>
      <c r="P132" s="243"/>
      <c r="Q132" s="243"/>
      <c r="R132" s="14"/>
      <c r="S132" s="242"/>
      <c r="T132" s="15"/>
      <c r="U132" s="15"/>
      <c r="V132" s="15"/>
      <c r="W132" s="8"/>
      <c r="X132" s="8"/>
      <c r="Y132" s="56"/>
      <c r="Z132" s="56"/>
      <c r="AA132" s="15"/>
      <c r="AB132" s="15"/>
      <c r="AC132" s="15"/>
      <c r="AD132" s="15"/>
      <c r="AE132" s="57"/>
      <c r="AF132" s="57"/>
      <c r="AG132" s="15"/>
      <c r="AH132" s="25"/>
      <c r="AI132" s="26"/>
      <c r="AJ132" s="26"/>
      <c r="AK132" s="27"/>
      <c r="AL132" s="28"/>
      <c r="AM132" s="29"/>
    </row>
    <row r="133" ht="12.75" customHeight="1">
      <c r="A133" s="26"/>
      <c r="B133" s="12"/>
      <c r="C133" s="240"/>
      <c r="D133" s="241"/>
      <c r="E133" s="5"/>
      <c r="F133" s="5"/>
      <c r="G133" s="5"/>
      <c r="H133" s="5"/>
      <c r="I133" s="5"/>
      <c r="J133" s="5"/>
      <c r="K133" s="8"/>
      <c r="L133" s="9"/>
      <c r="M133" s="10"/>
      <c r="N133" s="12"/>
      <c r="O133" s="242"/>
      <c r="P133" s="243"/>
      <c r="Q133" s="243"/>
      <c r="R133" s="14"/>
      <c r="S133" s="242"/>
      <c r="T133" s="15"/>
      <c r="U133" s="15"/>
      <c r="V133" s="15"/>
      <c r="W133" s="8"/>
      <c r="X133" s="8"/>
      <c r="Y133" s="56"/>
      <c r="Z133" s="56"/>
      <c r="AA133" s="15"/>
      <c r="AB133" s="15"/>
      <c r="AC133" s="15"/>
      <c r="AD133" s="15"/>
      <c r="AE133" s="57"/>
      <c r="AF133" s="57"/>
      <c r="AG133" s="15"/>
      <c r="AH133" s="25"/>
      <c r="AI133" s="26"/>
      <c r="AJ133" s="26"/>
      <c r="AK133" s="27"/>
      <c r="AL133" s="28"/>
      <c r="AM133" s="29"/>
    </row>
    <row r="134" ht="12.75" customHeight="1">
      <c r="A134" s="26"/>
      <c r="B134" s="12"/>
      <c r="C134" s="240"/>
      <c r="D134" s="241"/>
      <c r="E134" s="5"/>
      <c r="F134" s="5"/>
      <c r="G134" s="5"/>
      <c r="H134" s="5"/>
      <c r="I134" s="5"/>
      <c r="J134" s="5"/>
      <c r="K134" s="8"/>
      <c r="L134" s="9"/>
      <c r="M134" s="10"/>
      <c r="N134" s="12"/>
      <c r="O134" s="242"/>
      <c r="P134" s="243"/>
      <c r="Q134" s="243"/>
      <c r="R134" s="14"/>
      <c r="S134" s="242"/>
      <c r="T134" s="15"/>
      <c r="U134" s="15"/>
      <c r="V134" s="15"/>
      <c r="W134" s="8"/>
      <c r="X134" s="8"/>
      <c r="Y134" s="56"/>
      <c r="Z134" s="56"/>
      <c r="AA134" s="15"/>
      <c r="AB134" s="15"/>
      <c r="AC134" s="15"/>
      <c r="AD134" s="15"/>
      <c r="AE134" s="57"/>
      <c r="AF134" s="57"/>
      <c r="AG134" s="15"/>
      <c r="AH134" s="25"/>
      <c r="AI134" s="26"/>
      <c r="AJ134" s="26"/>
      <c r="AK134" s="27"/>
      <c r="AL134" s="28"/>
      <c r="AM134" s="29"/>
    </row>
    <row r="135" ht="12.75" customHeight="1">
      <c r="A135" s="26"/>
      <c r="B135" s="12"/>
      <c r="C135" s="240"/>
      <c r="D135" s="241"/>
      <c r="E135" s="5"/>
      <c r="F135" s="5"/>
      <c r="G135" s="5"/>
      <c r="H135" s="5"/>
      <c r="I135" s="5"/>
      <c r="J135" s="5"/>
      <c r="K135" s="8"/>
      <c r="L135" s="9"/>
      <c r="M135" s="10"/>
      <c r="N135" s="12"/>
      <c r="O135" s="242"/>
      <c r="P135" s="243"/>
      <c r="Q135" s="243"/>
      <c r="R135" s="14"/>
      <c r="S135" s="242"/>
      <c r="T135" s="15"/>
      <c r="U135" s="15"/>
      <c r="V135" s="15"/>
      <c r="W135" s="8"/>
      <c r="X135" s="8"/>
      <c r="Y135" s="56"/>
      <c r="Z135" s="56"/>
      <c r="AA135" s="15"/>
      <c r="AB135" s="15"/>
      <c r="AC135" s="15"/>
      <c r="AD135" s="15"/>
      <c r="AE135" s="57"/>
      <c r="AF135" s="57"/>
      <c r="AG135" s="15"/>
      <c r="AH135" s="25"/>
      <c r="AI135" s="26"/>
      <c r="AJ135" s="26"/>
      <c r="AK135" s="27"/>
      <c r="AL135" s="28"/>
      <c r="AM135" s="29"/>
    </row>
    <row r="136" ht="12.75" customHeight="1">
      <c r="A136" s="26"/>
      <c r="B136" s="12"/>
      <c r="C136" s="240"/>
      <c r="D136" s="241"/>
      <c r="E136" s="5"/>
      <c r="F136" s="5"/>
      <c r="G136" s="5"/>
      <c r="H136" s="5"/>
      <c r="I136" s="5"/>
      <c r="J136" s="5"/>
      <c r="K136" s="8"/>
      <c r="L136" s="9"/>
      <c r="M136" s="10"/>
      <c r="N136" s="12"/>
      <c r="O136" s="242"/>
      <c r="P136" s="243"/>
      <c r="Q136" s="243"/>
      <c r="R136" s="14"/>
      <c r="S136" s="242"/>
      <c r="T136" s="15"/>
      <c r="U136" s="15"/>
      <c r="V136" s="15"/>
      <c r="W136" s="8"/>
      <c r="X136" s="8"/>
      <c r="Y136" s="56"/>
      <c r="Z136" s="56"/>
      <c r="AA136" s="15"/>
      <c r="AB136" s="15"/>
      <c r="AC136" s="15"/>
      <c r="AD136" s="15"/>
      <c r="AE136" s="57"/>
      <c r="AF136" s="57"/>
      <c r="AG136" s="15"/>
      <c r="AH136" s="25"/>
      <c r="AI136" s="26"/>
      <c r="AJ136" s="26"/>
      <c r="AK136" s="27"/>
      <c r="AL136" s="28"/>
      <c r="AM136" s="29"/>
    </row>
    <row r="137" ht="12.75" customHeight="1">
      <c r="A137" s="26"/>
      <c r="B137" s="12"/>
      <c r="C137" s="240"/>
      <c r="D137" s="241"/>
      <c r="E137" s="5"/>
      <c r="F137" s="5"/>
      <c r="G137" s="5"/>
      <c r="H137" s="5"/>
      <c r="I137" s="5"/>
      <c r="J137" s="5"/>
      <c r="K137" s="8"/>
      <c r="L137" s="9"/>
      <c r="M137" s="10"/>
      <c r="N137" s="12"/>
      <c r="O137" s="242"/>
      <c r="P137" s="243"/>
      <c r="Q137" s="243"/>
      <c r="R137" s="14"/>
      <c r="S137" s="242"/>
      <c r="T137" s="15"/>
      <c r="U137" s="15"/>
      <c r="V137" s="15"/>
      <c r="W137" s="8"/>
      <c r="X137" s="8"/>
      <c r="Y137" s="56"/>
      <c r="Z137" s="56"/>
      <c r="AA137" s="15"/>
      <c r="AB137" s="15"/>
      <c r="AC137" s="15"/>
      <c r="AD137" s="15"/>
      <c r="AE137" s="57"/>
      <c r="AF137" s="57"/>
      <c r="AG137" s="15"/>
      <c r="AH137" s="25"/>
      <c r="AI137" s="26"/>
      <c r="AJ137" s="26"/>
      <c r="AK137" s="27"/>
      <c r="AL137" s="28"/>
      <c r="AM137" s="29"/>
    </row>
    <row r="138" ht="12.75" customHeight="1">
      <c r="A138" s="26"/>
      <c r="B138" s="12"/>
      <c r="C138" s="240"/>
      <c r="D138" s="241"/>
      <c r="E138" s="5"/>
      <c r="F138" s="5"/>
      <c r="G138" s="5"/>
      <c r="H138" s="5"/>
      <c r="I138" s="5"/>
      <c r="J138" s="5"/>
      <c r="K138" s="8"/>
      <c r="L138" s="9"/>
      <c r="M138" s="10"/>
      <c r="N138" s="12"/>
      <c r="O138" s="242"/>
      <c r="P138" s="243"/>
      <c r="Q138" s="243"/>
      <c r="R138" s="14"/>
      <c r="S138" s="242"/>
      <c r="T138" s="15"/>
      <c r="U138" s="15"/>
      <c r="V138" s="15"/>
      <c r="W138" s="8"/>
      <c r="X138" s="8"/>
      <c r="Y138" s="56"/>
      <c r="Z138" s="56"/>
      <c r="AA138" s="15"/>
      <c r="AB138" s="15"/>
      <c r="AC138" s="15"/>
      <c r="AD138" s="15"/>
      <c r="AE138" s="57"/>
      <c r="AF138" s="57"/>
      <c r="AG138" s="15"/>
      <c r="AH138" s="25"/>
      <c r="AI138" s="26"/>
      <c r="AJ138" s="26"/>
      <c r="AK138" s="27"/>
      <c r="AL138" s="28"/>
      <c r="AM138" s="29"/>
    </row>
    <row r="139" ht="12.75" customHeight="1">
      <c r="A139" s="26"/>
      <c r="B139" s="12"/>
      <c r="C139" s="240"/>
      <c r="D139" s="241"/>
      <c r="E139" s="5"/>
      <c r="F139" s="5"/>
      <c r="G139" s="5"/>
      <c r="H139" s="5"/>
      <c r="I139" s="5"/>
      <c r="J139" s="5"/>
      <c r="K139" s="8"/>
      <c r="L139" s="9"/>
      <c r="M139" s="10"/>
      <c r="N139" s="12"/>
      <c r="O139" s="242"/>
      <c r="P139" s="243"/>
      <c r="Q139" s="243"/>
      <c r="R139" s="14"/>
      <c r="S139" s="242"/>
      <c r="T139" s="15"/>
      <c r="U139" s="15"/>
      <c r="V139" s="15"/>
      <c r="W139" s="8"/>
      <c r="X139" s="8"/>
      <c r="Y139" s="56"/>
      <c r="Z139" s="56"/>
      <c r="AA139" s="15"/>
      <c r="AB139" s="15"/>
      <c r="AC139" s="15"/>
      <c r="AD139" s="15"/>
      <c r="AE139" s="57"/>
      <c r="AF139" s="57"/>
      <c r="AG139" s="15"/>
      <c r="AH139" s="25"/>
      <c r="AI139" s="26"/>
      <c r="AJ139" s="26"/>
      <c r="AK139" s="27"/>
      <c r="AL139" s="28"/>
      <c r="AM139" s="29"/>
    </row>
    <row r="140" ht="12.75" customHeight="1">
      <c r="A140" s="26"/>
      <c r="B140" s="12"/>
      <c r="C140" s="240"/>
      <c r="D140" s="241"/>
      <c r="E140" s="5"/>
      <c r="F140" s="5"/>
      <c r="G140" s="5"/>
      <c r="H140" s="5"/>
      <c r="I140" s="5"/>
      <c r="J140" s="5"/>
      <c r="K140" s="8"/>
      <c r="L140" s="9"/>
      <c r="M140" s="10"/>
      <c r="N140" s="12"/>
      <c r="O140" s="242"/>
      <c r="P140" s="243"/>
      <c r="Q140" s="243"/>
      <c r="R140" s="14"/>
      <c r="S140" s="242"/>
      <c r="T140" s="15"/>
      <c r="U140" s="15"/>
      <c r="V140" s="15"/>
      <c r="W140" s="8"/>
      <c r="X140" s="8"/>
      <c r="Y140" s="56"/>
      <c r="Z140" s="56"/>
      <c r="AA140" s="15"/>
      <c r="AB140" s="15"/>
      <c r="AC140" s="15"/>
      <c r="AD140" s="15"/>
      <c r="AE140" s="57"/>
      <c r="AF140" s="57"/>
      <c r="AG140" s="15"/>
      <c r="AH140" s="25"/>
      <c r="AI140" s="26"/>
      <c r="AJ140" s="26"/>
      <c r="AK140" s="27"/>
      <c r="AL140" s="28"/>
      <c r="AM140" s="29"/>
    </row>
    <row r="141" ht="12.75" customHeight="1">
      <c r="A141" s="26"/>
      <c r="B141" s="12"/>
      <c r="C141" s="240"/>
      <c r="D141" s="241"/>
      <c r="E141" s="5"/>
      <c r="F141" s="5"/>
      <c r="G141" s="5"/>
      <c r="H141" s="5"/>
      <c r="I141" s="5"/>
      <c r="J141" s="5"/>
      <c r="K141" s="8"/>
      <c r="L141" s="9"/>
      <c r="M141" s="10"/>
      <c r="N141" s="12"/>
      <c r="O141" s="242"/>
      <c r="P141" s="243"/>
      <c r="Q141" s="243"/>
      <c r="R141" s="14"/>
      <c r="S141" s="242"/>
      <c r="T141" s="15"/>
      <c r="U141" s="15"/>
      <c r="V141" s="15"/>
      <c r="W141" s="8"/>
      <c r="X141" s="8"/>
      <c r="Y141" s="56"/>
      <c r="Z141" s="56"/>
      <c r="AA141" s="15"/>
      <c r="AB141" s="15"/>
      <c r="AC141" s="15"/>
      <c r="AD141" s="15"/>
      <c r="AE141" s="57"/>
      <c r="AF141" s="57"/>
      <c r="AG141" s="15"/>
      <c r="AH141" s="25"/>
      <c r="AI141" s="26"/>
      <c r="AJ141" s="26"/>
      <c r="AK141" s="27"/>
      <c r="AL141" s="28"/>
      <c r="AM141" s="29"/>
    </row>
    <row r="142" ht="12.75" customHeight="1">
      <c r="A142" s="26"/>
      <c r="B142" s="12"/>
      <c r="C142" s="240"/>
      <c r="D142" s="241"/>
      <c r="E142" s="5"/>
      <c r="F142" s="5"/>
      <c r="G142" s="5"/>
      <c r="H142" s="5"/>
      <c r="I142" s="5"/>
      <c r="J142" s="5"/>
      <c r="K142" s="8"/>
      <c r="L142" s="9"/>
      <c r="M142" s="10"/>
      <c r="N142" s="12"/>
      <c r="O142" s="242"/>
      <c r="P142" s="243"/>
      <c r="Q142" s="243"/>
      <c r="R142" s="14"/>
      <c r="S142" s="242"/>
      <c r="T142" s="15"/>
      <c r="U142" s="15"/>
      <c r="V142" s="15"/>
      <c r="W142" s="8"/>
      <c r="X142" s="8"/>
      <c r="Y142" s="56"/>
      <c r="Z142" s="56"/>
      <c r="AA142" s="15"/>
      <c r="AB142" s="15"/>
      <c r="AC142" s="15"/>
      <c r="AD142" s="15"/>
      <c r="AE142" s="57"/>
      <c r="AF142" s="57"/>
      <c r="AG142" s="15"/>
      <c r="AH142" s="25"/>
      <c r="AI142" s="26"/>
      <c r="AJ142" s="26"/>
      <c r="AK142" s="27"/>
      <c r="AL142" s="28"/>
      <c r="AM142" s="29"/>
    </row>
    <row r="143" ht="12.75" customHeight="1">
      <c r="A143" s="26"/>
      <c r="B143" s="12"/>
      <c r="C143" s="240"/>
      <c r="D143" s="241"/>
      <c r="E143" s="5"/>
      <c r="F143" s="5"/>
      <c r="G143" s="5"/>
      <c r="H143" s="5"/>
      <c r="I143" s="5"/>
      <c r="J143" s="5"/>
      <c r="K143" s="8"/>
      <c r="L143" s="9"/>
      <c r="M143" s="10"/>
      <c r="N143" s="12"/>
      <c r="O143" s="242"/>
      <c r="P143" s="243"/>
      <c r="Q143" s="243"/>
      <c r="R143" s="14"/>
      <c r="S143" s="242"/>
      <c r="T143" s="15"/>
      <c r="U143" s="15"/>
      <c r="V143" s="15"/>
      <c r="W143" s="8"/>
      <c r="X143" s="8"/>
      <c r="Y143" s="56"/>
      <c r="Z143" s="56"/>
      <c r="AA143" s="15"/>
      <c r="AB143" s="15"/>
      <c r="AC143" s="15"/>
      <c r="AD143" s="15"/>
      <c r="AE143" s="57"/>
      <c r="AF143" s="57"/>
      <c r="AG143" s="15"/>
      <c r="AH143" s="25"/>
      <c r="AI143" s="26"/>
      <c r="AJ143" s="26"/>
      <c r="AK143" s="27"/>
      <c r="AL143" s="28"/>
      <c r="AM143" s="29"/>
    </row>
    <row r="144" ht="12.75" customHeight="1">
      <c r="A144" s="26"/>
      <c r="B144" s="12"/>
      <c r="C144" s="240"/>
      <c r="D144" s="241"/>
      <c r="E144" s="5"/>
      <c r="F144" s="5"/>
      <c r="G144" s="5"/>
      <c r="H144" s="5"/>
      <c r="I144" s="5"/>
      <c r="J144" s="5"/>
      <c r="K144" s="8"/>
      <c r="L144" s="9"/>
      <c r="M144" s="10"/>
      <c r="N144" s="12"/>
      <c r="O144" s="242"/>
      <c r="P144" s="243"/>
      <c r="Q144" s="243"/>
      <c r="R144" s="14"/>
      <c r="S144" s="242"/>
      <c r="T144" s="15"/>
      <c r="U144" s="15"/>
      <c r="V144" s="15"/>
      <c r="W144" s="8"/>
      <c r="X144" s="8"/>
      <c r="Y144" s="56"/>
      <c r="Z144" s="56"/>
      <c r="AA144" s="15"/>
      <c r="AB144" s="15"/>
      <c r="AC144" s="15"/>
      <c r="AD144" s="15"/>
      <c r="AE144" s="57"/>
      <c r="AF144" s="57"/>
      <c r="AG144" s="15"/>
      <c r="AH144" s="25"/>
      <c r="AI144" s="26"/>
      <c r="AJ144" s="26"/>
      <c r="AK144" s="27"/>
      <c r="AL144" s="28"/>
      <c r="AM144" s="29"/>
    </row>
    <row r="145" ht="12.75" customHeight="1">
      <c r="A145" s="26"/>
      <c r="B145" s="12"/>
      <c r="C145" s="240"/>
      <c r="D145" s="241"/>
      <c r="E145" s="5"/>
      <c r="F145" s="5"/>
      <c r="G145" s="5"/>
      <c r="H145" s="5"/>
      <c r="I145" s="5"/>
      <c r="J145" s="5"/>
      <c r="K145" s="8"/>
      <c r="L145" s="9"/>
      <c r="M145" s="10"/>
      <c r="N145" s="12"/>
      <c r="O145" s="242"/>
      <c r="P145" s="243"/>
      <c r="Q145" s="243"/>
      <c r="R145" s="14"/>
      <c r="S145" s="242"/>
      <c r="T145" s="15"/>
      <c r="U145" s="15"/>
      <c r="V145" s="15"/>
      <c r="W145" s="8"/>
      <c r="X145" s="8"/>
      <c r="Y145" s="56"/>
      <c r="Z145" s="56"/>
      <c r="AA145" s="15"/>
      <c r="AB145" s="15"/>
      <c r="AC145" s="15"/>
      <c r="AD145" s="15"/>
      <c r="AE145" s="57"/>
      <c r="AF145" s="57"/>
      <c r="AG145" s="15"/>
      <c r="AH145" s="25"/>
      <c r="AI145" s="26"/>
      <c r="AJ145" s="26"/>
      <c r="AK145" s="27"/>
      <c r="AL145" s="28"/>
      <c r="AM145" s="29"/>
    </row>
    <row r="146" ht="12.75" customHeight="1">
      <c r="A146" s="26"/>
      <c r="B146" s="12"/>
      <c r="C146" s="240"/>
      <c r="D146" s="241"/>
      <c r="E146" s="5"/>
      <c r="F146" s="5"/>
      <c r="G146" s="5"/>
      <c r="H146" s="5"/>
      <c r="I146" s="5"/>
      <c r="J146" s="5"/>
      <c r="K146" s="8"/>
      <c r="L146" s="9"/>
      <c r="M146" s="10"/>
      <c r="N146" s="12"/>
      <c r="O146" s="242"/>
      <c r="P146" s="243"/>
      <c r="Q146" s="243"/>
      <c r="R146" s="14"/>
      <c r="S146" s="242"/>
      <c r="T146" s="15"/>
      <c r="U146" s="15"/>
      <c r="V146" s="15"/>
      <c r="W146" s="8"/>
      <c r="X146" s="8"/>
      <c r="Y146" s="56"/>
      <c r="Z146" s="56"/>
      <c r="AA146" s="15"/>
      <c r="AB146" s="15"/>
      <c r="AC146" s="15"/>
      <c r="AD146" s="15"/>
      <c r="AE146" s="57"/>
      <c r="AF146" s="57"/>
      <c r="AG146" s="15"/>
      <c r="AH146" s="25"/>
      <c r="AI146" s="26"/>
      <c r="AJ146" s="26"/>
      <c r="AK146" s="27"/>
      <c r="AL146" s="28"/>
      <c r="AM146" s="29"/>
    </row>
    <row r="147" ht="12.75" customHeight="1">
      <c r="A147" s="26"/>
      <c r="B147" s="12"/>
      <c r="C147" s="240"/>
      <c r="D147" s="241"/>
      <c r="E147" s="5"/>
      <c r="F147" s="5"/>
      <c r="G147" s="5"/>
      <c r="H147" s="5"/>
      <c r="I147" s="5"/>
      <c r="J147" s="5"/>
      <c r="K147" s="8"/>
      <c r="L147" s="9"/>
      <c r="M147" s="10"/>
      <c r="N147" s="12"/>
      <c r="O147" s="242"/>
      <c r="P147" s="243"/>
      <c r="Q147" s="243"/>
      <c r="R147" s="14"/>
      <c r="S147" s="242"/>
      <c r="T147" s="15"/>
      <c r="U147" s="15"/>
      <c r="V147" s="15"/>
      <c r="W147" s="8"/>
      <c r="X147" s="8"/>
      <c r="Y147" s="56"/>
      <c r="Z147" s="56"/>
      <c r="AA147" s="15"/>
      <c r="AB147" s="15"/>
      <c r="AC147" s="15"/>
      <c r="AD147" s="15"/>
      <c r="AE147" s="57"/>
      <c r="AF147" s="57"/>
      <c r="AG147" s="15"/>
      <c r="AH147" s="25"/>
      <c r="AI147" s="26"/>
      <c r="AJ147" s="26"/>
      <c r="AK147" s="27"/>
      <c r="AL147" s="28"/>
      <c r="AM147" s="29"/>
    </row>
    <row r="148" ht="12.75" customHeight="1">
      <c r="A148" s="26"/>
      <c r="B148" s="12"/>
      <c r="C148" s="240"/>
      <c r="D148" s="241"/>
      <c r="E148" s="5"/>
      <c r="F148" s="5"/>
      <c r="G148" s="5"/>
      <c r="H148" s="5"/>
      <c r="I148" s="5"/>
      <c r="J148" s="5"/>
      <c r="K148" s="8"/>
      <c r="L148" s="9"/>
      <c r="M148" s="10"/>
      <c r="N148" s="12"/>
      <c r="O148" s="242"/>
      <c r="P148" s="243"/>
      <c r="Q148" s="243"/>
      <c r="R148" s="14"/>
      <c r="S148" s="242"/>
      <c r="T148" s="15"/>
      <c r="U148" s="15"/>
      <c r="V148" s="15"/>
      <c r="W148" s="8"/>
      <c r="X148" s="8"/>
      <c r="Y148" s="56"/>
      <c r="Z148" s="56"/>
      <c r="AA148" s="15"/>
      <c r="AB148" s="15"/>
      <c r="AC148" s="15"/>
      <c r="AD148" s="15"/>
      <c r="AE148" s="57"/>
      <c r="AF148" s="57"/>
      <c r="AG148" s="15"/>
      <c r="AH148" s="25"/>
      <c r="AI148" s="26"/>
      <c r="AJ148" s="26"/>
      <c r="AK148" s="27"/>
      <c r="AL148" s="28"/>
      <c r="AM148" s="29"/>
    </row>
    <row r="149" ht="12.75" customHeight="1">
      <c r="A149" s="26"/>
      <c r="B149" s="12"/>
      <c r="C149" s="240"/>
      <c r="D149" s="241"/>
      <c r="E149" s="5"/>
      <c r="F149" s="5"/>
      <c r="G149" s="5"/>
      <c r="H149" s="5"/>
      <c r="I149" s="5"/>
      <c r="J149" s="5"/>
      <c r="K149" s="8"/>
      <c r="L149" s="9"/>
      <c r="M149" s="10"/>
      <c r="N149" s="12"/>
      <c r="O149" s="242"/>
      <c r="P149" s="243"/>
      <c r="Q149" s="243"/>
      <c r="R149" s="14"/>
      <c r="S149" s="242"/>
      <c r="T149" s="15"/>
      <c r="U149" s="15"/>
      <c r="V149" s="15"/>
      <c r="W149" s="8"/>
      <c r="X149" s="8"/>
      <c r="Y149" s="56"/>
      <c r="Z149" s="56"/>
      <c r="AA149" s="15"/>
      <c r="AB149" s="15"/>
      <c r="AC149" s="15"/>
      <c r="AD149" s="15"/>
      <c r="AE149" s="57"/>
      <c r="AF149" s="57"/>
      <c r="AG149" s="15"/>
      <c r="AH149" s="25"/>
      <c r="AI149" s="26"/>
      <c r="AJ149" s="26"/>
      <c r="AK149" s="27"/>
      <c r="AL149" s="28"/>
      <c r="AM149" s="29"/>
    </row>
    <row r="150" ht="12.75" customHeight="1">
      <c r="A150" s="26"/>
      <c r="B150" s="12"/>
      <c r="C150" s="240"/>
      <c r="D150" s="241"/>
      <c r="E150" s="5"/>
      <c r="F150" s="5"/>
      <c r="G150" s="5"/>
      <c r="H150" s="5"/>
      <c r="I150" s="5"/>
      <c r="J150" s="5"/>
      <c r="K150" s="8"/>
      <c r="L150" s="9"/>
      <c r="M150" s="10"/>
      <c r="N150" s="12"/>
      <c r="O150" s="242"/>
      <c r="P150" s="243"/>
      <c r="Q150" s="243"/>
      <c r="R150" s="14"/>
      <c r="S150" s="242"/>
      <c r="T150" s="15"/>
      <c r="U150" s="15"/>
      <c r="V150" s="15"/>
      <c r="W150" s="8"/>
      <c r="X150" s="8"/>
      <c r="Y150" s="56"/>
      <c r="Z150" s="56"/>
      <c r="AA150" s="15"/>
      <c r="AB150" s="15"/>
      <c r="AC150" s="15"/>
      <c r="AD150" s="15"/>
      <c r="AE150" s="57"/>
      <c r="AF150" s="57"/>
      <c r="AG150" s="15"/>
      <c r="AH150" s="25"/>
      <c r="AI150" s="26"/>
      <c r="AJ150" s="26"/>
      <c r="AK150" s="27"/>
      <c r="AL150" s="28"/>
      <c r="AM150" s="29"/>
    </row>
    <row r="151" ht="12.75" customHeight="1">
      <c r="A151" s="26"/>
      <c r="B151" s="12"/>
      <c r="C151" s="240"/>
      <c r="D151" s="241"/>
      <c r="E151" s="5"/>
      <c r="F151" s="5"/>
      <c r="G151" s="5"/>
      <c r="H151" s="5"/>
      <c r="I151" s="5"/>
      <c r="J151" s="5"/>
      <c r="K151" s="8"/>
      <c r="L151" s="9"/>
      <c r="M151" s="10"/>
      <c r="N151" s="12"/>
      <c r="O151" s="242"/>
      <c r="P151" s="243"/>
      <c r="Q151" s="243"/>
      <c r="R151" s="14"/>
      <c r="S151" s="242"/>
      <c r="T151" s="15"/>
      <c r="U151" s="15"/>
      <c r="V151" s="15"/>
      <c r="W151" s="8"/>
      <c r="X151" s="8"/>
      <c r="Y151" s="56"/>
      <c r="Z151" s="56"/>
      <c r="AA151" s="15"/>
      <c r="AB151" s="15"/>
      <c r="AC151" s="15"/>
      <c r="AD151" s="15"/>
      <c r="AE151" s="57"/>
      <c r="AF151" s="57"/>
      <c r="AG151" s="15"/>
      <c r="AH151" s="25"/>
      <c r="AI151" s="26"/>
      <c r="AJ151" s="26"/>
      <c r="AK151" s="27"/>
      <c r="AL151" s="28"/>
      <c r="AM151" s="29"/>
    </row>
    <row r="152" ht="12.75" customHeight="1">
      <c r="A152" s="26"/>
      <c r="B152" s="12"/>
      <c r="C152" s="240"/>
      <c r="D152" s="241"/>
      <c r="E152" s="5"/>
      <c r="F152" s="5"/>
      <c r="G152" s="5"/>
      <c r="H152" s="5"/>
      <c r="I152" s="5"/>
      <c r="J152" s="5"/>
      <c r="K152" s="8"/>
      <c r="L152" s="9"/>
      <c r="M152" s="10"/>
      <c r="N152" s="12"/>
      <c r="O152" s="242"/>
      <c r="P152" s="243"/>
      <c r="Q152" s="243"/>
      <c r="R152" s="14"/>
      <c r="S152" s="242"/>
      <c r="T152" s="15"/>
      <c r="U152" s="15"/>
      <c r="V152" s="15"/>
      <c r="W152" s="8"/>
      <c r="X152" s="8"/>
      <c r="Y152" s="56"/>
      <c r="Z152" s="56"/>
      <c r="AA152" s="15"/>
      <c r="AB152" s="15"/>
      <c r="AC152" s="15"/>
      <c r="AD152" s="15"/>
      <c r="AE152" s="57"/>
      <c r="AF152" s="57"/>
      <c r="AG152" s="15"/>
      <c r="AH152" s="25"/>
      <c r="AI152" s="26"/>
      <c r="AJ152" s="26"/>
      <c r="AK152" s="27"/>
      <c r="AL152" s="28"/>
      <c r="AM152" s="29"/>
    </row>
    <row r="153" ht="12.75" customHeight="1">
      <c r="A153" s="26"/>
      <c r="B153" s="12"/>
      <c r="C153" s="240"/>
      <c r="D153" s="241"/>
      <c r="E153" s="5"/>
      <c r="F153" s="5"/>
      <c r="G153" s="5"/>
      <c r="H153" s="5"/>
      <c r="I153" s="5"/>
      <c r="J153" s="5"/>
      <c r="K153" s="8"/>
      <c r="L153" s="9"/>
      <c r="M153" s="10"/>
      <c r="N153" s="12"/>
      <c r="O153" s="242"/>
      <c r="P153" s="243"/>
      <c r="Q153" s="243"/>
      <c r="R153" s="14"/>
      <c r="S153" s="242"/>
      <c r="T153" s="15"/>
      <c r="U153" s="15"/>
      <c r="V153" s="15"/>
      <c r="W153" s="8"/>
      <c r="X153" s="8"/>
      <c r="Y153" s="56"/>
      <c r="Z153" s="56"/>
      <c r="AA153" s="15"/>
      <c r="AB153" s="15"/>
      <c r="AC153" s="15"/>
      <c r="AD153" s="15"/>
      <c r="AE153" s="57"/>
      <c r="AF153" s="57"/>
      <c r="AG153" s="15"/>
      <c r="AH153" s="25"/>
      <c r="AI153" s="26"/>
      <c r="AJ153" s="26"/>
      <c r="AK153" s="27"/>
      <c r="AL153" s="28"/>
      <c r="AM153" s="29"/>
    </row>
    <row r="154" ht="12.75" customHeight="1">
      <c r="A154" s="26"/>
      <c r="B154" s="12"/>
      <c r="C154" s="240"/>
      <c r="D154" s="241"/>
      <c r="E154" s="5"/>
      <c r="F154" s="5"/>
      <c r="G154" s="5"/>
      <c r="H154" s="5"/>
      <c r="I154" s="5"/>
      <c r="J154" s="5"/>
      <c r="K154" s="8"/>
      <c r="L154" s="9"/>
      <c r="M154" s="10"/>
      <c r="N154" s="12"/>
      <c r="O154" s="242"/>
      <c r="P154" s="243"/>
      <c r="Q154" s="243"/>
      <c r="R154" s="14"/>
      <c r="S154" s="242"/>
      <c r="T154" s="15"/>
      <c r="U154" s="15"/>
      <c r="V154" s="15"/>
      <c r="W154" s="8"/>
      <c r="X154" s="8"/>
      <c r="Y154" s="56"/>
      <c r="Z154" s="56"/>
      <c r="AA154" s="15"/>
      <c r="AB154" s="15"/>
      <c r="AC154" s="15"/>
      <c r="AD154" s="15"/>
      <c r="AE154" s="57"/>
      <c r="AF154" s="57"/>
      <c r="AG154" s="15"/>
      <c r="AH154" s="25"/>
      <c r="AI154" s="26"/>
      <c r="AJ154" s="26"/>
      <c r="AK154" s="27"/>
      <c r="AL154" s="28"/>
      <c r="AM154" s="29"/>
    </row>
    <row r="155" ht="12.75" customHeight="1">
      <c r="A155" s="26"/>
      <c r="B155" s="12"/>
      <c r="C155" s="240"/>
      <c r="D155" s="241"/>
      <c r="E155" s="5"/>
      <c r="F155" s="5"/>
      <c r="G155" s="5"/>
      <c r="H155" s="5"/>
      <c r="I155" s="5"/>
      <c r="J155" s="5"/>
      <c r="K155" s="8"/>
      <c r="L155" s="9"/>
      <c r="M155" s="10"/>
      <c r="N155" s="12"/>
      <c r="O155" s="242"/>
      <c r="P155" s="243"/>
      <c r="Q155" s="243"/>
      <c r="R155" s="14"/>
      <c r="S155" s="242"/>
      <c r="T155" s="15"/>
      <c r="U155" s="15"/>
      <c r="V155" s="15"/>
      <c r="W155" s="8"/>
      <c r="X155" s="8"/>
      <c r="Y155" s="56"/>
      <c r="Z155" s="56"/>
      <c r="AA155" s="15"/>
      <c r="AB155" s="15"/>
      <c r="AC155" s="15"/>
      <c r="AD155" s="15"/>
      <c r="AE155" s="57"/>
      <c r="AF155" s="57"/>
      <c r="AG155" s="15"/>
      <c r="AH155" s="25"/>
      <c r="AI155" s="26"/>
      <c r="AJ155" s="26"/>
      <c r="AK155" s="27"/>
      <c r="AL155" s="28"/>
      <c r="AM155" s="29"/>
    </row>
    <row r="156" ht="12.75" customHeight="1">
      <c r="A156" s="26"/>
      <c r="B156" s="12"/>
      <c r="C156" s="240"/>
      <c r="D156" s="241"/>
      <c r="E156" s="5"/>
      <c r="F156" s="5"/>
      <c r="G156" s="5"/>
      <c r="H156" s="5"/>
      <c r="I156" s="5"/>
      <c r="J156" s="5"/>
      <c r="K156" s="8"/>
      <c r="L156" s="9"/>
      <c r="M156" s="10"/>
      <c r="N156" s="12"/>
      <c r="O156" s="242"/>
      <c r="P156" s="243"/>
      <c r="Q156" s="243"/>
      <c r="R156" s="14"/>
      <c r="S156" s="242"/>
      <c r="T156" s="15"/>
      <c r="U156" s="15"/>
      <c r="V156" s="15"/>
      <c r="W156" s="8"/>
      <c r="X156" s="8"/>
      <c r="Y156" s="56"/>
      <c r="Z156" s="56"/>
      <c r="AA156" s="15"/>
      <c r="AB156" s="15"/>
      <c r="AC156" s="15"/>
      <c r="AD156" s="15"/>
      <c r="AE156" s="57"/>
      <c r="AF156" s="57"/>
      <c r="AG156" s="15"/>
      <c r="AH156" s="25"/>
      <c r="AI156" s="26"/>
      <c r="AJ156" s="26"/>
      <c r="AK156" s="27"/>
      <c r="AL156" s="28"/>
      <c r="AM156" s="29"/>
    </row>
    <row r="157" ht="12.75" customHeight="1">
      <c r="A157" s="26"/>
      <c r="B157" s="12"/>
      <c r="C157" s="240"/>
      <c r="D157" s="241"/>
      <c r="E157" s="5"/>
      <c r="F157" s="5"/>
      <c r="G157" s="5"/>
      <c r="H157" s="5"/>
      <c r="I157" s="5"/>
      <c r="J157" s="5"/>
      <c r="K157" s="8"/>
      <c r="L157" s="9"/>
      <c r="M157" s="10"/>
      <c r="N157" s="12"/>
      <c r="O157" s="242"/>
      <c r="P157" s="243"/>
      <c r="Q157" s="243"/>
      <c r="R157" s="14"/>
      <c r="S157" s="242"/>
      <c r="T157" s="15"/>
      <c r="U157" s="15"/>
      <c r="V157" s="15"/>
      <c r="W157" s="8"/>
      <c r="X157" s="8"/>
      <c r="Y157" s="56"/>
      <c r="Z157" s="56"/>
      <c r="AA157" s="15"/>
      <c r="AB157" s="15"/>
      <c r="AC157" s="15"/>
      <c r="AD157" s="15"/>
      <c r="AE157" s="57"/>
      <c r="AF157" s="57"/>
      <c r="AG157" s="15"/>
      <c r="AH157" s="25"/>
      <c r="AI157" s="26"/>
      <c r="AJ157" s="26"/>
      <c r="AK157" s="27"/>
      <c r="AL157" s="28"/>
      <c r="AM157" s="29"/>
    </row>
    <row r="158" ht="12.75" customHeight="1">
      <c r="A158" s="26"/>
      <c r="B158" s="12"/>
      <c r="C158" s="240"/>
      <c r="D158" s="241"/>
      <c r="E158" s="5"/>
      <c r="F158" s="5"/>
      <c r="G158" s="5"/>
      <c r="H158" s="5"/>
      <c r="I158" s="5"/>
      <c r="J158" s="5"/>
      <c r="K158" s="8"/>
      <c r="L158" s="9"/>
      <c r="M158" s="10"/>
      <c r="N158" s="12"/>
      <c r="O158" s="242"/>
      <c r="P158" s="243"/>
      <c r="Q158" s="243"/>
      <c r="R158" s="14"/>
      <c r="S158" s="242"/>
      <c r="T158" s="15"/>
      <c r="U158" s="15"/>
      <c r="V158" s="15"/>
      <c r="W158" s="8"/>
      <c r="X158" s="8"/>
      <c r="Y158" s="56"/>
      <c r="Z158" s="56"/>
      <c r="AA158" s="15"/>
      <c r="AB158" s="15"/>
      <c r="AC158" s="15"/>
      <c r="AD158" s="15"/>
      <c r="AE158" s="57"/>
      <c r="AF158" s="57"/>
      <c r="AG158" s="15"/>
      <c r="AH158" s="25"/>
      <c r="AI158" s="26"/>
      <c r="AJ158" s="26"/>
      <c r="AK158" s="27"/>
      <c r="AL158" s="28"/>
      <c r="AM158" s="29"/>
    </row>
    <row r="159" ht="12.75" customHeight="1">
      <c r="A159" s="26"/>
      <c r="B159" s="12"/>
      <c r="C159" s="240"/>
      <c r="D159" s="241"/>
      <c r="E159" s="5"/>
      <c r="F159" s="5"/>
      <c r="G159" s="5"/>
      <c r="H159" s="5"/>
      <c r="I159" s="5"/>
      <c r="J159" s="5"/>
      <c r="K159" s="8"/>
      <c r="L159" s="9"/>
      <c r="M159" s="10"/>
      <c r="N159" s="12"/>
      <c r="O159" s="242"/>
      <c r="P159" s="243"/>
      <c r="Q159" s="243"/>
      <c r="R159" s="14"/>
      <c r="S159" s="242"/>
      <c r="T159" s="15"/>
      <c r="U159" s="15"/>
      <c r="V159" s="15"/>
      <c r="W159" s="8"/>
      <c r="X159" s="8"/>
      <c r="Y159" s="56"/>
      <c r="Z159" s="56"/>
      <c r="AA159" s="15"/>
      <c r="AB159" s="15"/>
      <c r="AC159" s="15"/>
      <c r="AD159" s="15"/>
      <c r="AE159" s="57"/>
      <c r="AF159" s="57"/>
      <c r="AG159" s="15"/>
      <c r="AH159" s="25"/>
      <c r="AI159" s="26"/>
      <c r="AJ159" s="26"/>
      <c r="AK159" s="27"/>
      <c r="AL159" s="28"/>
      <c r="AM159" s="29"/>
    </row>
    <row r="160" ht="12.75" customHeight="1">
      <c r="A160" s="26"/>
      <c r="B160" s="12"/>
      <c r="C160" s="240"/>
      <c r="D160" s="241"/>
      <c r="E160" s="5"/>
      <c r="F160" s="5"/>
      <c r="G160" s="5"/>
      <c r="H160" s="5"/>
      <c r="I160" s="5"/>
      <c r="J160" s="5"/>
      <c r="K160" s="8"/>
      <c r="L160" s="9"/>
      <c r="M160" s="10"/>
      <c r="N160" s="12"/>
      <c r="O160" s="242"/>
      <c r="P160" s="243"/>
      <c r="Q160" s="243"/>
      <c r="R160" s="14"/>
      <c r="S160" s="242"/>
      <c r="T160" s="15"/>
      <c r="U160" s="15"/>
      <c r="V160" s="15"/>
      <c r="W160" s="8"/>
      <c r="X160" s="8"/>
      <c r="Y160" s="56"/>
      <c r="Z160" s="56"/>
      <c r="AA160" s="15"/>
      <c r="AB160" s="15"/>
      <c r="AC160" s="15"/>
      <c r="AD160" s="15"/>
      <c r="AE160" s="57"/>
      <c r="AF160" s="57"/>
      <c r="AG160" s="15"/>
      <c r="AH160" s="25"/>
      <c r="AI160" s="26"/>
      <c r="AJ160" s="26"/>
      <c r="AK160" s="27"/>
      <c r="AL160" s="28"/>
      <c r="AM160" s="29"/>
    </row>
    <row r="161" ht="12.75" customHeight="1">
      <c r="A161" s="26"/>
      <c r="B161" s="12"/>
      <c r="C161" s="240"/>
      <c r="D161" s="241"/>
      <c r="E161" s="5"/>
      <c r="F161" s="5"/>
      <c r="G161" s="5"/>
      <c r="H161" s="5"/>
      <c r="I161" s="5"/>
      <c r="J161" s="5"/>
      <c r="K161" s="8"/>
      <c r="L161" s="9"/>
      <c r="M161" s="10"/>
      <c r="N161" s="12"/>
      <c r="O161" s="242"/>
      <c r="P161" s="243"/>
      <c r="Q161" s="243"/>
      <c r="R161" s="14"/>
      <c r="S161" s="242"/>
      <c r="T161" s="15"/>
      <c r="U161" s="15"/>
      <c r="V161" s="15"/>
      <c r="W161" s="8"/>
      <c r="X161" s="8"/>
      <c r="Y161" s="56"/>
      <c r="Z161" s="56"/>
      <c r="AA161" s="15"/>
      <c r="AB161" s="15"/>
      <c r="AC161" s="15"/>
      <c r="AD161" s="15"/>
      <c r="AE161" s="57"/>
      <c r="AF161" s="57"/>
      <c r="AG161" s="15"/>
      <c r="AH161" s="25"/>
      <c r="AI161" s="26"/>
      <c r="AJ161" s="26"/>
      <c r="AK161" s="27"/>
      <c r="AL161" s="28"/>
      <c r="AM161" s="29"/>
    </row>
    <row r="162" ht="12.75" customHeight="1">
      <c r="A162" s="26"/>
      <c r="B162" s="12"/>
      <c r="C162" s="240"/>
      <c r="D162" s="241"/>
      <c r="E162" s="5"/>
      <c r="F162" s="5"/>
      <c r="G162" s="5"/>
      <c r="H162" s="5"/>
      <c r="I162" s="5"/>
      <c r="J162" s="5"/>
      <c r="K162" s="8"/>
      <c r="L162" s="9"/>
      <c r="M162" s="10"/>
      <c r="N162" s="12"/>
      <c r="O162" s="242"/>
      <c r="P162" s="243"/>
      <c r="Q162" s="243"/>
      <c r="R162" s="14"/>
      <c r="S162" s="242"/>
      <c r="T162" s="15"/>
      <c r="U162" s="15"/>
      <c r="V162" s="15"/>
      <c r="W162" s="8"/>
      <c r="X162" s="8"/>
      <c r="Y162" s="56"/>
      <c r="Z162" s="56"/>
      <c r="AA162" s="15"/>
      <c r="AB162" s="15"/>
      <c r="AC162" s="15"/>
      <c r="AD162" s="15"/>
      <c r="AE162" s="57"/>
      <c r="AF162" s="57"/>
      <c r="AG162" s="15"/>
      <c r="AH162" s="25"/>
      <c r="AI162" s="26"/>
      <c r="AJ162" s="26"/>
      <c r="AK162" s="27"/>
      <c r="AL162" s="28"/>
      <c r="AM162" s="29"/>
    </row>
    <row r="163" ht="12.75" customHeight="1">
      <c r="A163" s="26"/>
      <c r="B163" s="12"/>
      <c r="C163" s="240"/>
      <c r="D163" s="241"/>
      <c r="E163" s="5"/>
      <c r="F163" s="5"/>
      <c r="G163" s="5"/>
      <c r="H163" s="5"/>
      <c r="I163" s="5"/>
      <c r="J163" s="5"/>
      <c r="K163" s="8"/>
      <c r="L163" s="9"/>
      <c r="M163" s="10"/>
      <c r="N163" s="12"/>
      <c r="O163" s="242"/>
      <c r="P163" s="243"/>
      <c r="Q163" s="243"/>
      <c r="R163" s="14"/>
      <c r="S163" s="242"/>
      <c r="T163" s="15"/>
      <c r="U163" s="15"/>
      <c r="V163" s="15"/>
      <c r="W163" s="8"/>
      <c r="X163" s="8"/>
      <c r="Y163" s="56"/>
      <c r="Z163" s="56"/>
      <c r="AA163" s="15"/>
      <c r="AB163" s="15"/>
      <c r="AC163" s="15"/>
      <c r="AD163" s="15"/>
      <c r="AE163" s="57"/>
      <c r="AF163" s="57"/>
      <c r="AG163" s="15"/>
      <c r="AH163" s="25"/>
      <c r="AI163" s="26"/>
      <c r="AJ163" s="26"/>
      <c r="AK163" s="27"/>
      <c r="AL163" s="28"/>
      <c r="AM163" s="29"/>
    </row>
    <row r="164" ht="12.75" customHeight="1">
      <c r="A164" s="26"/>
      <c r="B164" s="12"/>
      <c r="C164" s="240"/>
      <c r="D164" s="241"/>
      <c r="E164" s="5"/>
      <c r="F164" s="5"/>
      <c r="G164" s="5"/>
      <c r="H164" s="5"/>
      <c r="I164" s="5"/>
      <c r="J164" s="5"/>
      <c r="K164" s="8"/>
      <c r="L164" s="9"/>
      <c r="M164" s="10"/>
      <c r="N164" s="12"/>
      <c r="O164" s="242"/>
      <c r="P164" s="243"/>
      <c r="Q164" s="243"/>
      <c r="R164" s="14"/>
      <c r="S164" s="242"/>
      <c r="T164" s="15"/>
      <c r="U164" s="15"/>
      <c r="V164" s="15"/>
      <c r="W164" s="8"/>
      <c r="X164" s="8"/>
      <c r="Y164" s="56"/>
      <c r="Z164" s="56"/>
      <c r="AA164" s="15"/>
      <c r="AB164" s="15"/>
      <c r="AC164" s="15"/>
      <c r="AD164" s="15"/>
      <c r="AE164" s="57"/>
      <c r="AF164" s="57"/>
      <c r="AG164" s="15"/>
      <c r="AH164" s="25"/>
      <c r="AI164" s="26"/>
      <c r="AJ164" s="26"/>
      <c r="AK164" s="27"/>
      <c r="AL164" s="28"/>
      <c r="AM164" s="29"/>
    </row>
    <row r="165" ht="12.75" customHeight="1">
      <c r="A165" s="26"/>
      <c r="B165" s="12"/>
      <c r="C165" s="240"/>
      <c r="D165" s="241"/>
      <c r="E165" s="5"/>
      <c r="F165" s="5"/>
      <c r="G165" s="5"/>
      <c r="H165" s="5"/>
      <c r="I165" s="5"/>
      <c r="J165" s="5"/>
      <c r="K165" s="8"/>
      <c r="L165" s="9"/>
      <c r="M165" s="10"/>
      <c r="N165" s="12"/>
      <c r="O165" s="242"/>
      <c r="P165" s="243"/>
      <c r="Q165" s="243"/>
      <c r="R165" s="14"/>
      <c r="S165" s="242"/>
      <c r="T165" s="15"/>
      <c r="U165" s="15"/>
      <c r="V165" s="15"/>
      <c r="W165" s="8"/>
      <c r="X165" s="8"/>
      <c r="Y165" s="56"/>
      <c r="Z165" s="56"/>
      <c r="AA165" s="15"/>
      <c r="AB165" s="15"/>
      <c r="AC165" s="15"/>
      <c r="AD165" s="15"/>
      <c r="AE165" s="57"/>
      <c r="AF165" s="57"/>
      <c r="AG165" s="15"/>
      <c r="AH165" s="25"/>
      <c r="AI165" s="26"/>
      <c r="AJ165" s="26"/>
      <c r="AK165" s="27"/>
      <c r="AL165" s="28"/>
      <c r="AM165" s="29"/>
    </row>
    <row r="166" ht="12.75" customHeight="1">
      <c r="A166" s="26"/>
      <c r="B166" s="12"/>
      <c r="C166" s="240"/>
      <c r="D166" s="241"/>
      <c r="E166" s="5"/>
      <c r="F166" s="5"/>
      <c r="G166" s="5"/>
      <c r="H166" s="5"/>
      <c r="I166" s="5"/>
      <c r="J166" s="5"/>
      <c r="K166" s="8"/>
      <c r="L166" s="9"/>
      <c r="M166" s="10"/>
      <c r="N166" s="12"/>
      <c r="O166" s="242"/>
      <c r="P166" s="243"/>
      <c r="Q166" s="243"/>
      <c r="R166" s="14"/>
      <c r="S166" s="242"/>
      <c r="T166" s="15"/>
      <c r="U166" s="15"/>
      <c r="V166" s="15"/>
      <c r="W166" s="8"/>
      <c r="X166" s="8"/>
      <c r="Y166" s="56"/>
      <c r="Z166" s="56"/>
      <c r="AA166" s="15"/>
      <c r="AB166" s="15"/>
      <c r="AC166" s="15"/>
      <c r="AD166" s="15"/>
      <c r="AE166" s="57"/>
      <c r="AF166" s="57"/>
      <c r="AG166" s="15"/>
      <c r="AH166" s="25"/>
      <c r="AI166" s="26"/>
      <c r="AJ166" s="26"/>
      <c r="AK166" s="27"/>
      <c r="AL166" s="28"/>
      <c r="AM166" s="29"/>
    </row>
    <row r="167" ht="12.75" customHeight="1">
      <c r="A167" s="26"/>
      <c r="B167" s="12"/>
      <c r="C167" s="240"/>
      <c r="D167" s="241"/>
      <c r="E167" s="5"/>
      <c r="F167" s="5"/>
      <c r="G167" s="5"/>
      <c r="H167" s="5"/>
      <c r="I167" s="5"/>
      <c r="J167" s="5"/>
      <c r="K167" s="8"/>
      <c r="L167" s="9"/>
      <c r="M167" s="10"/>
      <c r="N167" s="12"/>
      <c r="O167" s="242"/>
      <c r="P167" s="243"/>
      <c r="Q167" s="243"/>
      <c r="R167" s="14"/>
      <c r="S167" s="242"/>
      <c r="T167" s="15"/>
      <c r="U167" s="15"/>
      <c r="V167" s="15"/>
      <c r="W167" s="8"/>
      <c r="X167" s="8"/>
      <c r="Y167" s="56"/>
      <c r="Z167" s="56"/>
      <c r="AA167" s="15"/>
      <c r="AB167" s="15"/>
      <c r="AC167" s="15"/>
      <c r="AD167" s="15"/>
      <c r="AE167" s="57"/>
      <c r="AF167" s="57"/>
      <c r="AG167" s="15"/>
      <c r="AH167" s="25"/>
      <c r="AI167" s="26"/>
      <c r="AJ167" s="26"/>
      <c r="AK167" s="27"/>
      <c r="AL167" s="28"/>
      <c r="AM167" s="29"/>
    </row>
    <row r="168" ht="12.75" customHeight="1">
      <c r="A168" s="26"/>
      <c r="B168" s="12"/>
      <c r="C168" s="240"/>
      <c r="D168" s="241"/>
      <c r="E168" s="5"/>
      <c r="F168" s="5"/>
      <c r="G168" s="5"/>
      <c r="H168" s="5"/>
      <c r="I168" s="5"/>
      <c r="J168" s="5"/>
      <c r="K168" s="8"/>
      <c r="L168" s="9"/>
      <c r="M168" s="10"/>
      <c r="N168" s="12"/>
      <c r="O168" s="242"/>
      <c r="P168" s="243"/>
      <c r="Q168" s="243"/>
      <c r="R168" s="14"/>
      <c r="S168" s="242"/>
      <c r="T168" s="15"/>
      <c r="U168" s="15"/>
      <c r="V168" s="15"/>
      <c r="W168" s="8"/>
      <c r="X168" s="8"/>
      <c r="Y168" s="56"/>
      <c r="Z168" s="56"/>
      <c r="AA168" s="15"/>
      <c r="AB168" s="15"/>
      <c r="AC168" s="15"/>
      <c r="AD168" s="15"/>
      <c r="AE168" s="57"/>
      <c r="AF168" s="57"/>
      <c r="AG168" s="15"/>
      <c r="AH168" s="25"/>
      <c r="AI168" s="26"/>
      <c r="AJ168" s="26"/>
      <c r="AK168" s="27"/>
      <c r="AL168" s="28"/>
      <c r="AM168" s="29"/>
    </row>
    <row r="169" ht="12.75" customHeight="1">
      <c r="A169" s="26"/>
      <c r="B169" s="12"/>
      <c r="C169" s="240"/>
      <c r="D169" s="241"/>
      <c r="E169" s="5"/>
      <c r="F169" s="5"/>
      <c r="G169" s="5"/>
      <c r="H169" s="5"/>
      <c r="I169" s="5"/>
      <c r="J169" s="5"/>
      <c r="K169" s="8"/>
      <c r="L169" s="9"/>
      <c r="M169" s="10"/>
      <c r="N169" s="12"/>
      <c r="O169" s="242"/>
      <c r="P169" s="243"/>
      <c r="Q169" s="243"/>
      <c r="R169" s="14"/>
      <c r="S169" s="242"/>
      <c r="T169" s="15"/>
      <c r="U169" s="15"/>
      <c r="V169" s="15"/>
      <c r="W169" s="8"/>
      <c r="X169" s="8"/>
      <c r="Y169" s="56"/>
      <c r="Z169" s="56"/>
      <c r="AA169" s="15"/>
      <c r="AB169" s="15"/>
      <c r="AC169" s="15"/>
      <c r="AD169" s="15"/>
      <c r="AE169" s="57"/>
      <c r="AF169" s="57"/>
      <c r="AG169" s="15"/>
      <c r="AH169" s="25"/>
      <c r="AI169" s="26"/>
      <c r="AJ169" s="26"/>
      <c r="AK169" s="27"/>
      <c r="AL169" s="28"/>
      <c r="AM169" s="29"/>
    </row>
    <row r="170" ht="12.75" customHeight="1">
      <c r="A170" s="26"/>
      <c r="B170" s="12"/>
      <c r="C170" s="240"/>
      <c r="D170" s="241"/>
      <c r="E170" s="5"/>
      <c r="F170" s="5"/>
      <c r="G170" s="5"/>
      <c r="H170" s="5"/>
      <c r="I170" s="5"/>
      <c r="J170" s="5"/>
      <c r="K170" s="8"/>
      <c r="L170" s="9"/>
      <c r="M170" s="10"/>
      <c r="N170" s="12"/>
      <c r="O170" s="242"/>
      <c r="P170" s="243"/>
      <c r="Q170" s="243"/>
      <c r="R170" s="14"/>
      <c r="S170" s="242"/>
      <c r="T170" s="15"/>
      <c r="U170" s="15"/>
      <c r="V170" s="15"/>
      <c r="W170" s="8"/>
      <c r="X170" s="8"/>
      <c r="Y170" s="56"/>
      <c r="Z170" s="56"/>
      <c r="AA170" s="15"/>
      <c r="AB170" s="15"/>
      <c r="AC170" s="15"/>
      <c r="AD170" s="15"/>
      <c r="AE170" s="57"/>
      <c r="AF170" s="57"/>
      <c r="AG170" s="15"/>
      <c r="AH170" s="25"/>
      <c r="AI170" s="26"/>
      <c r="AJ170" s="26"/>
      <c r="AK170" s="27"/>
      <c r="AL170" s="28"/>
      <c r="AM170" s="29"/>
    </row>
    <row r="171" ht="12.75" customHeight="1">
      <c r="A171" s="26"/>
      <c r="B171" s="12"/>
      <c r="C171" s="240"/>
      <c r="D171" s="241"/>
      <c r="E171" s="5"/>
      <c r="F171" s="5"/>
      <c r="G171" s="5"/>
      <c r="H171" s="5"/>
      <c r="I171" s="5"/>
      <c r="J171" s="5"/>
      <c r="K171" s="8"/>
      <c r="L171" s="9"/>
      <c r="M171" s="10"/>
      <c r="N171" s="12"/>
      <c r="O171" s="242"/>
      <c r="P171" s="243"/>
      <c r="Q171" s="243"/>
      <c r="R171" s="14"/>
      <c r="S171" s="242"/>
      <c r="T171" s="15"/>
      <c r="U171" s="15"/>
      <c r="V171" s="15"/>
      <c r="W171" s="8"/>
      <c r="X171" s="8"/>
      <c r="Y171" s="56"/>
      <c r="Z171" s="56"/>
      <c r="AA171" s="15"/>
      <c r="AB171" s="15"/>
      <c r="AC171" s="15"/>
      <c r="AD171" s="15"/>
      <c r="AE171" s="57"/>
      <c r="AF171" s="57"/>
      <c r="AG171" s="15"/>
      <c r="AH171" s="25"/>
      <c r="AI171" s="26"/>
      <c r="AJ171" s="26"/>
      <c r="AK171" s="27"/>
      <c r="AL171" s="28"/>
      <c r="AM171" s="29"/>
    </row>
    <row r="172" ht="12.75" customHeight="1">
      <c r="A172" s="26"/>
      <c r="B172" s="12"/>
      <c r="C172" s="240"/>
      <c r="D172" s="241"/>
      <c r="E172" s="5"/>
      <c r="F172" s="5"/>
      <c r="G172" s="5"/>
      <c r="H172" s="5"/>
      <c r="I172" s="5"/>
      <c r="J172" s="5"/>
      <c r="K172" s="8"/>
      <c r="L172" s="9"/>
      <c r="M172" s="10"/>
      <c r="N172" s="12"/>
      <c r="O172" s="242"/>
      <c r="P172" s="243"/>
      <c r="Q172" s="243"/>
      <c r="R172" s="14"/>
      <c r="S172" s="242"/>
      <c r="T172" s="15"/>
      <c r="U172" s="15"/>
      <c r="V172" s="15"/>
      <c r="W172" s="8"/>
      <c r="X172" s="8"/>
      <c r="Y172" s="56"/>
      <c r="Z172" s="56"/>
      <c r="AA172" s="15"/>
      <c r="AB172" s="15"/>
      <c r="AC172" s="15"/>
      <c r="AD172" s="15"/>
      <c r="AE172" s="57"/>
      <c r="AF172" s="57"/>
      <c r="AG172" s="15"/>
      <c r="AH172" s="25"/>
      <c r="AI172" s="26"/>
      <c r="AJ172" s="26"/>
      <c r="AK172" s="27"/>
      <c r="AL172" s="28"/>
      <c r="AM172" s="29"/>
    </row>
    <row r="173" ht="12.75" customHeight="1">
      <c r="A173" s="26"/>
      <c r="B173" s="12"/>
      <c r="C173" s="240"/>
      <c r="D173" s="241"/>
      <c r="E173" s="5"/>
      <c r="F173" s="5"/>
      <c r="G173" s="5"/>
      <c r="H173" s="5"/>
      <c r="I173" s="5"/>
      <c r="J173" s="5"/>
      <c r="K173" s="8"/>
      <c r="L173" s="9"/>
      <c r="M173" s="10"/>
      <c r="N173" s="12"/>
      <c r="O173" s="242"/>
      <c r="P173" s="243"/>
      <c r="Q173" s="243"/>
      <c r="R173" s="14"/>
      <c r="S173" s="242"/>
      <c r="T173" s="15"/>
      <c r="U173" s="15"/>
      <c r="V173" s="15"/>
      <c r="W173" s="8"/>
      <c r="X173" s="8"/>
      <c r="Y173" s="56"/>
      <c r="Z173" s="56"/>
      <c r="AA173" s="15"/>
      <c r="AB173" s="15"/>
      <c r="AC173" s="15"/>
      <c r="AD173" s="15"/>
      <c r="AE173" s="57"/>
      <c r="AF173" s="57"/>
      <c r="AG173" s="15"/>
      <c r="AH173" s="25"/>
      <c r="AI173" s="26"/>
      <c r="AJ173" s="26"/>
      <c r="AK173" s="27"/>
      <c r="AL173" s="28"/>
      <c r="AM173" s="29"/>
    </row>
    <row r="174" ht="12.75" customHeight="1">
      <c r="A174" s="26"/>
      <c r="B174" s="12"/>
      <c r="C174" s="240"/>
      <c r="D174" s="241"/>
      <c r="E174" s="5"/>
      <c r="F174" s="5"/>
      <c r="G174" s="5"/>
      <c r="H174" s="5"/>
      <c r="I174" s="5"/>
      <c r="J174" s="5"/>
      <c r="K174" s="8"/>
      <c r="L174" s="9"/>
      <c r="M174" s="10"/>
      <c r="N174" s="12"/>
      <c r="O174" s="242"/>
      <c r="P174" s="243"/>
      <c r="Q174" s="243"/>
      <c r="R174" s="14"/>
      <c r="S174" s="242"/>
      <c r="T174" s="15"/>
      <c r="U174" s="15"/>
      <c r="V174" s="15"/>
      <c r="W174" s="8"/>
      <c r="X174" s="8"/>
      <c r="Y174" s="56"/>
      <c r="Z174" s="56"/>
      <c r="AA174" s="15"/>
      <c r="AB174" s="15"/>
      <c r="AC174" s="15"/>
      <c r="AD174" s="15"/>
      <c r="AE174" s="57"/>
      <c r="AF174" s="57"/>
      <c r="AG174" s="15"/>
      <c r="AH174" s="25"/>
      <c r="AI174" s="26"/>
      <c r="AJ174" s="26"/>
      <c r="AK174" s="27"/>
      <c r="AL174" s="28"/>
      <c r="AM174" s="29"/>
    </row>
    <row r="175" ht="12.75" customHeight="1">
      <c r="A175" s="26"/>
      <c r="B175" s="12"/>
      <c r="C175" s="240"/>
      <c r="D175" s="241"/>
      <c r="E175" s="5"/>
      <c r="F175" s="5"/>
      <c r="G175" s="5"/>
      <c r="H175" s="5"/>
      <c r="I175" s="5"/>
      <c r="J175" s="5"/>
      <c r="K175" s="8"/>
      <c r="L175" s="9"/>
      <c r="M175" s="10"/>
      <c r="N175" s="12"/>
      <c r="O175" s="242"/>
      <c r="P175" s="243"/>
      <c r="Q175" s="243"/>
      <c r="R175" s="14"/>
      <c r="S175" s="242"/>
      <c r="T175" s="15"/>
      <c r="U175" s="15"/>
      <c r="V175" s="15"/>
      <c r="W175" s="8"/>
      <c r="X175" s="8"/>
      <c r="Y175" s="56"/>
      <c r="Z175" s="56"/>
      <c r="AA175" s="15"/>
      <c r="AB175" s="15"/>
      <c r="AC175" s="15"/>
      <c r="AD175" s="15"/>
      <c r="AE175" s="57"/>
      <c r="AF175" s="57"/>
      <c r="AG175" s="15"/>
      <c r="AH175" s="25"/>
      <c r="AI175" s="26"/>
      <c r="AJ175" s="26"/>
      <c r="AK175" s="27"/>
      <c r="AL175" s="28"/>
      <c r="AM175" s="29"/>
    </row>
    <row r="176" ht="12.75" customHeight="1">
      <c r="A176" s="26"/>
      <c r="B176" s="12"/>
      <c r="C176" s="240"/>
      <c r="D176" s="241"/>
      <c r="E176" s="5"/>
      <c r="F176" s="5"/>
      <c r="G176" s="5"/>
      <c r="H176" s="5"/>
      <c r="I176" s="5"/>
      <c r="J176" s="5"/>
      <c r="K176" s="8"/>
      <c r="L176" s="9"/>
      <c r="M176" s="10"/>
      <c r="N176" s="12"/>
      <c r="O176" s="242"/>
      <c r="P176" s="243"/>
      <c r="Q176" s="243"/>
      <c r="R176" s="14"/>
      <c r="S176" s="242"/>
      <c r="T176" s="15"/>
      <c r="U176" s="15"/>
      <c r="V176" s="15"/>
      <c r="W176" s="8"/>
      <c r="X176" s="8"/>
      <c r="Y176" s="56"/>
      <c r="Z176" s="56"/>
      <c r="AA176" s="15"/>
      <c r="AB176" s="15"/>
      <c r="AC176" s="15"/>
      <c r="AD176" s="15"/>
      <c r="AE176" s="57"/>
      <c r="AF176" s="57"/>
      <c r="AG176" s="15"/>
      <c r="AH176" s="25"/>
      <c r="AI176" s="26"/>
      <c r="AJ176" s="26"/>
      <c r="AK176" s="27"/>
      <c r="AL176" s="28"/>
      <c r="AM176" s="29"/>
    </row>
    <row r="177" ht="12.75" customHeight="1">
      <c r="A177" s="26"/>
      <c r="B177" s="12"/>
      <c r="C177" s="240"/>
      <c r="D177" s="241"/>
      <c r="E177" s="5"/>
      <c r="F177" s="5"/>
      <c r="G177" s="5"/>
      <c r="H177" s="5"/>
      <c r="I177" s="5"/>
      <c r="J177" s="5"/>
      <c r="K177" s="8"/>
      <c r="L177" s="9"/>
      <c r="M177" s="10"/>
      <c r="N177" s="12"/>
      <c r="O177" s="242"/>
      <c r="P177" s="243"/>
      <c r="Q177" s="243"/>
      <c r="R177" s="14"/>
      <c r="S177" s="242"/>
      <c r="T177" s="15"/>
      <c r="U177" s="15"/>
      <c r="V177" s="15"/>
      <c r="W177" s="8"/>
      <c r="X177" s="8"/>
      <c r="Y177" s="56"/>
      <c r="Z177" s="56"/>
      <c r="AA177" s="15"/>
      <c r="AB177" s="15"/>
      <c r="AC177" s="15"/>
      <c r="AD177" s="15"/>
      <c r="AE177" s="57"/>
      <c r="AF177" s="57"/>
      <c r="AG177" s="15"/>
      <c r="AH177" s="25"/>
      <c r="AI177" s="26"/>
      <c r="AJ177" s="26"/>
      <c r="AK177" s="27"/>
      <c r="AL177" s="28"/>
      <c r="AM177" s="29"/>
    </row>
    <row r="178" ht="12.75" customHeight="1">
      <c r="A178" s="26"/>
      <c r="B178" s="12"/>
      <c r="C178" s="240"/>
      <c r="D178" s="241"/>
      <c r="E178" s="5"/>
      <c r="F178" s="5"/>
      <c r="G178" s="5"/>
      <c r="H178" s="5"/>
      <c r="I178" s="5"/>
      <c r="J178" s="5"/>
      <c r="K178" s="8"/>
      <c r="L178" s="9"/>
      <c r="M178" s="10"/>
      <c r="N178" s="12"/>
      <c r="O178" s="242"/>
      <c r="P178" s="243"/>
      <c r="Q178" s="243"/>
      <c r="R178" s="14"/>
      <c r="S178" s="242"/>
      <c r="T178" s="15"/>
      <c r="U178" s="15"/>
      <c r="V178" s="15"/>
      <c r="W178" s="8"/>
      <c r="X178" s="8"/>
      <c r="Y178" s="56"/>
      <c r="Z178" s="56"/>
      <c r="AA178" s="15"/>
      <c r="AB178" s="15"/>
      <c r="AC178" s="15"/>
      <c r="AD178" s="15"/>
      <c r="AE178" s="57"/>
      <c r="AF178" s="57"/>
      <c r="AG178" s="15"/>
      <c r="AH178" s="25"/>
      <c r="AI178" s="26"/>
      <c r="AJ178" s="26"/>
      <c r="AK178" s="27"/>
      <c r="AL178" s="28"/>
      <c r="AM178" s="29"/>
    </row>
    <row r="179" ht="12.75" customHeight="1">
      <c r="A179" s="26"/>
      <c r="B179" s="12"/>
      <c r="C179" s="240"/>
      <c r="D179" s="241"/>
      <c r="E179" s="5"/>
      <c r="F179" s="5"/>
      <c r="G179" s="5"/>
      <c r="H179" s="5"/>
      <c r="I179" s="5"/>
      <c r="J179" s="5"/>
      <c r="K179" s="8"/>
      <c r="L179" s="9"/>
      <c r="M179" s="10"/>
      <c r="N179" s="12"/>
      <c r="O179" s="242"/>
      <c r="P179" s="243"/>
      <c r="Q179" s="243"/>
      <c r="R179" s="14"/>
      <c r="S179" s="242"/>
      <c r="T179" s="15"/>
      <c r="U179" s="15"/>
      <c r="V179" s="15"/>
      <c r="W179" s="8"/>
      <c r="X179" s="8"/>
      <c r="Y179" s="56"/>
      <c r="Z179" s="56"/>
      <c r="AA179" s="15"/>
      <c r="AB179" s="15"/>
      <c r="AC179" s="15"/>
      <c r="AD179" s="15"/>
      <c r="AE179" s="57"/>
      <c r="AF179" s="57"/>
      <c r="AG179" s="15"/>
      <c r="AH179" s="25"/>
      <c r="AI179" s="26"/>
      <c r="AJ179" s="26"/>
      <c r="AK179" s="27"/>
      <c r="AL179" s="28"/>
      <c r="AM179" s="29"/>
    </row>
    <row r="180" ht="12.75" customHeight="1">
      <c r="A180" s="26"/>
      <c r="B180" s="12"/>
      <c r="C180" s="240"/>
      <c r="D180" s="241"/>
      <c r="E180" s="5"/>
      <c r="F180" s="5"/>
      <c r="G180" s="5"/>
      <c r="H180" s="5"/>
      <c r="I180" s="5"/>
      <c r="J180" s="5"/>
      <c r="K180" s="8"/>
      <c r="L180" s="9"/>
      <c r="M180" s="10"/>
      <c r="N180" s="12"/>
      <c r="O180" s="242"/>
      <c r="P180" s="243"/>
      <c r="Q180" s="243"/>
      <c r="R180" s="14"/>
      <c r="S180" s="242"/>
      <c r="T180" s="15"/>
      <c r="U180" s="15"/>
      <c r="V180" s="15"/>
      <c r="W180" s="8"/>
      <c r="X180" s="8"/>
      <c r="Y180" s="56"/>
      <c r="Z180" s="56"/>
      <c r="AA180" s="15"/>
      <c r="AB180" s="15"/>
      <c r="AC180" s="15"/>
      <c r="AD180" s="15"/>
      <c r="AE180" s="57"/>
      <c r="AF180" s="57"/>
      <c r="AG180" s="15"/>
      <c r="AH180" s="25"/>
      <c r="AI180" s="26"/>
      <c r="AJ180" s="26"/>
      <c r="AK180" s="27"/>
      <c r="AL180" s="28"/>
      <c r="AM180" s="29"/>
    </row>
    <row r="181" ht="12.75" customHeight="1">
      <c r="A181" s="26"/>
      <c r="B181" s="12"/>
      <c r="C181" s="240"/>
      <c r="D181" s="241"/>
      <c r="E181" s="5"/>
      <c r="F181" s="5"/>
      <c r="G181" s="5"/>
      <c r="H181" s="5"/>
      <c r="I181" s="5"/>
      <c r="J181" s="5"/>
      <c r="K181" s="8"/>
      <c r="L181" s="9"/>
      <c r="M181" s="10"/>
      <c r="N181" s="12"/>
      <c r="O181" s="242"/>
      <c r="P181" s="243"/>
      <c r="Q181" s="243"/>
      <c r="R181" s="14"/>
      <c r="S181" s="242"/>
      <c r="T181" s="15"/>
      <c r="U181" s="15"/>
      <c r="V181" s="15"/>
      <c r="W181" s="8"/>
      <c r="X181" s="8"/>
      <c r="Y181" s="56"/>
      <c r="Z181" s="56"/>
      <c r="AA181" s="15"/>
      <c r="AB181" s="15"/>
      <c r="AC181" s="15"/>
      <c r="AD181" s="15"/>
      <c r="AE181" s="57"/>
      <c r="AF181" s="57"/>
      <c r="AG181" s="15"/>
      <c r="AH181" s="25"/>
      <c r="AI181" s="26"/>
      <c r="AJ181" s="26"/>
      <c r="AK181" s="27"/>
      <c r="AL181" s="28"/>
      <c r="AM181" s="29"/>
    </row>
    <row r="182" ht="12.75" customHeight="1">
      <c r="A182" s="26"/>
      <c r="B182" s="12"/>
      <c r="C182" s="240"/>
      <c r="D182" s="241"/>
      <c r="E182" s="5"/>
      <c r="F182" s="5"/>
      <c r="G182" s="5"/>
      <c r="H182" s="5"/>
      <c r="I182" s="5"/>
      <c r="J182" s="5"/>
      <c r="K182" s="8"/>
      <c r="L182" s="9"/>
      <c r="M182" s="10"/>
      <c r="N182" s="12"/>
      <c r="O182" s="242"/>
      <c r="P182" s="243"/>
      <c r="Q182" s="243"/>
      <c r="R182" s="14"/>
      <c r="S182" s="242"/>
      <c r="T182" s="15"/>
      <c r="U182" s="15"/>
      <c r="V182" s="15"/>
      <c r="W182" s="8"/>
      <c r="X182" s="8"/>
      <c r="Y182" s="56"/>
      <c r="Z182" s="56"/>
      <c r="AA182" s="15"/>
      <c r="AB182" s="15"/>
      <c r="AC182" s="15"/>
      <c r="AD182" s="15"/>
      <c r="AE182" s="57"/>
      <c r="AF182" s="57"/>
      <c r="AG182" s="15"/>
      <c r="AH182" s="25"/>
      <c r="AI182" s="26"/>
      <c r="AJ182" s="26"/>
      <c r="AK182" s="27"/>
      <c r="AL182" s="28"/>
      <c r="AM182" s="29"/>
    </row>
    <row r="183" ht="12.75" customHeight="1">
      <c r="A183" s="26"/>
      <c r="B183" s="12"/>
      <c r="C183" s="240"/>
      <c r="D183" s="241"/>
      <c r="E183" s="5"/>
      <c r="F183" s="5"/>
      <c r="G183" s="5"/>
      <c r="H183" s="5"/>
      <c r="I183" s="5"/>
      <c r="J183" s="5"/>
      <c r="K183" s="8"/>
      <c r="L183" s="9"/>
      <c r="M183" s="10"/>
      <c r="N183" s="12"/>
      <c r="O183" s="242"/>
      <c r="P183" s="243"/>
      <c r="Q183" s="243"/>
      <c r="R183" s="14"/>
      <c r="S183" s="242"/>
      <c r="T183" s="15"/>
      <c r="U183" s="15"/>
      <c r="V183" s="15"/>
      <c r="W183" s="8"/>
      <c r="X183" s="8"/>
      <c r="Y183" s="56"/>
      <c r="Z183" s="56"/>
      <c r="AA183" s="15"/>
      <c r="AB183" s="15"/>
      <c r="AC183" s="15"/>
      <c r="AD183" s="15"/>
      <c r="AE183" s="57"/>
      <c r="AF183" s="57"/>
      <c r="AG183" s="15"/>
      <c r="AH183" s="25"/>
      <c r="AI183" s="26"/>
      <c r="AJ183" s="26"/>
      <c r="AK183" s="27"/>
      <c r="AL183" s="28"/>
      <c r="AM183" s="29"/>
    </row>
    <row r="184" ht="12.75" customHeight="1">
      <c r="A184" s="26"/>
      <c r="B184" s="12"/>
      <c r="C184" s="240"/>
      <c r="D184" s="241"/>
      <c r="E184" s="5"/>
      <c r="F184" s="5"/>
      <c r="G184" s="5"/>
      <c r="H184" s="5"/>
      <c r="I184" s="5"/>
      <c r="J184" s="5"/>
      <c r="K184" s="8"/>
      <c r="L184" s="9"/>
      <c r="M184" s="10"/>
      <c r="N184" s="12"/>
      <c r="O184" s="242"/>
      <c r="P184" s="243"/>
      <c r="Q184" s="243"/>
      <c r="R184" s="14"/>
      <c r="S184" s="242"/>
      <c r="T184" s="15"/>
      <c r="U184" s="15"/>
      <c r="V184" s="15"/>
      <c r="W184" s="8"/>
      <c r="X184" s="8"/>
      <c r="Y184" s="56"/>
      <c r="Z184" s="56"/>
      <c r="AA184" s="15"/>
      <c r="AB184" s="15"/>
      <c r="AC184" s="15"/>
      <c r="AD184" s="15"/>
      <c r="AE184" s="57"/>
      <c r="AF184" s="57"/>
      <c r="AG184" s="15"/>
      <c r="AH184" s="25"/>
      <c r="AI184" s="26"/>
      <c r="AJ184" s="26"/>
      <c r="AK184" s="27"/>
      <c r="AL184" s="28"/>
      <c r="AM184" s="29"/>
    </row>
    <row r="185" ht="12.75" customHeight="1">
      <c r="A185" s="26"/>
      <c r="B185" s="12"/>
      <c r="C185" s="240"/>
      <c r="D185" s="241"/>
      <c r="E185" s="5"/>
      <c r="F185" s="5"/>
      <c r="G185" s="5"/>
      <c r="H185" s="5"/>
      <c r="I185" s="5"/>
      <c r="J185" s="5"/>
      <c r="K185" s="8"/>
      <c r="L185" s="9"/>
      <c r="M185" s="10"/>
      <c r="N185" s="12"/>
      <c r="O185" s="242"/>
      <c r="P185" s="243"/>
      <c r="Q185" s="243"/>
      <c r="R185" s="14"/>
      <c r="S185" s="242"/>
      <c r="T185" s="15"/>
      <c r="U185" s="15"/>
      <c r="V185" s="15"/>
      <c r="W185" s="8"/>
      <c r="X185" s="8"/>
      <c r="Y185" s="56"/>
      <c r="Z185" s="56"/>
      <c r="AA185" s="15"/>
      <c r="AB185" s="15"/>
      <c r="AC185" s="15"/>
      <c r="AD185" s="15"/>
      <c r="AE185" s="57"/>
      <c r="AF185" s="57"/>
      <c r="AG185" s="15"/>
      <c r="AH185" s="25"/>
      <c r="AI185" s="26"/>
      <c r="AJ185" s="26"/>
      <c r="AK185" s="27"/>
      <c r="AL185" s="28"/>
      <c r="AM185" s="29"/>
    </row>
    <row r="186" ht="12.75" customHeight="1">
      <c r="A186" s="26"/>
      <c r="B186" s="12"/>
      <c r="C186" s="240"/>
      <c r="D186" s="241"/>
      <c r="E186" s="5"/>
      <c r="F186" s="5"/>
      <c r="G186" s="5"/>
      <c r="H186" s="5"/>
      <c r="I186" s="5"/>
      <c r="J186" s="5"/>
      <c r="K186" s="8"/>
      <c r="L186" s="9"/>
      <c r="M186" s="10"/>
      <c r="N186" s="12"/>
      <c r="O186" s="242"/>
      <c r="P186" s="243"/>
      <c r="Q186" s="243"/>
      <c r="R186" s="14"/>
      <c r="S186" s="242"/>
      <c r="T186" s="15"/>
      <c r="U186" s="15"/>
      <c r="V186" s="15"/>
      <c r="W186" s="8"/>
      <c r="X186" s="8"/>
      <c r="Y186" s="56"/>
      <c r="Z186" s="56"/>
      <c r="AA186" s="15"/>
      <c r="AB186" s="15"/>
      <c r="AC186" s="15"/>
      <c r="AD186" s="15"/>
      <c r="AE186" s="57"/>
      <c r="AF186" s="57"/>
      <c r="AG186" s="15"/>
      <c r="AH186" s="25"/>
      <c r="AI186" s="26"/>
      <c r="AJ186" s="26"/>
      <c r="AK186" s="27"/>
      <c r="AL186" s="28"/>
      <c r="AM186" s="29"/>
    </row>
    <row r="187" ht="12.75" customHeight="1">
      <c r="A187" s="26"/>
      <c r="B187" s="12"/>
      <c r="C187" s="240"/>
      <c r="D187" s="241"/>
      <c r="E187" s="5"/>
      <c r="F187" s="5"/>
      <c r="G187" s="5"/>
      <c r="H187" s="5"/>
      <c r="I187" s="5"/>
      <c r="J187" s="5"/>
      <c r="K187" s="8"/>
      <c r="L187" s="9"/>
      <c r="M187" s="10"/>
      <c r="N187" s="12"/>
      <c r="O187" s="242"/>
      <c r="P187" s="243"/>
      <c r="Q187" s="243"/>
      <c r="R187" s="14"/>
      <c r="S187" s="242"/>
      <c r="T187" s="15"/>
      <c r="U187" s="15"/>
      <c r="V187" s="15"/>
      <c r="W187" s="8"/>
      <c r="X187" s="8"/>
      <c r="Y187" s="56"/>
      <c r="Z187" s="56"/>
      <c r="AA187" s="15"/>
      <c r="AB187" s="15"/>
      <c r="AC187" s="15"/>
      <c r="AD187" s="15"/>
      <c r="AE187" s="57"/>
      <c r="AF187" s="57"/>
      <c r="AG187" s="15"/>
      <c r="AH187" s="25"/>
      <c r="AI187" s="26"/>
      <c r="AJ187" s="26"/>
      <c r="AK187" s="27"/>
      <c r="AL187" s="28"/>
      <c r="AM187" s="29"/>
    </row>
    <row r="188" ht="12.75" customHeight="1">
      <c r="A188" s="26"/>
      <c r="B188" s="12"/>
      <c r="C188" s="240"/>
      <c r="D188" s="241"/>
      <c r="E188" s="5"/>
      <c r="F188" s="5"/>
      <c r="G188" s="5"/>
      <c r="H188" s="5"/>
      <c r="I188" s="5"/>
      <c r="J188" s="5"/>
      <c r="K188" s="8"/>
      <c r="L188" s="9"/>
      <c r="M188" s="10"/>
      <c r="N188" s="12"/>
      <c r="O188" s="242"/>
      <c r="P188" s="243"/>
      <c r="Q188" s="243"/>
      <c r="R188" s="14"/>
      <c r="S188" s="242"/>
      <c r="T188" s="15"/>
      <c r="U188" s="15"/>
      <c r="V188" s="15"/>
      <c r="W188" s="8"/>
      <c r="X188" s="8"/>
      <c r="Y188" s="56"/>
      <c r="Z188" s="56"/>
      <c r="AA188" s="15"/>
      <c r="AB188" s="15"/>
      <c r="AC188" s="15"/>
      <c r="AD188" s="15"/>
      <c r="AE188" s="57"/>
      <c r="AF188" s="57"/>
      <c r="AG188" s="15"/>
      <c r="AH188" s="25"/>
      <c r="AI188" s="26"/>
      <c r="AJ188" s="26"/>
      <c r="AK188" s="27"/>
      <c r="AL188" s="28"/>
      <c r="AM188" s="29"/>
    </row>
    <row r="189" ht="12.75" customHeight="1">
      <c r="A189" s="26"/>
      <c r="B189" s="12"/>
      <c r="C189" s="240"/>
      <c r="D189" s="241"/>
      <c r="E189" s="5"/>
      <c r="F189" s="5"/>
      <c r="G189" s="5"/>
      <c r="H189" s="5"/>
      <c r="I189" s="5"/>
      <c r="J189" s="5"/>
      <c r="K189" s="8"/>
      <c r="L189" s="9"/>
      <c r="M189" s="10"/>
      <c r="N189" s="12"/>
      <c r="O189" s="242"/>
      <c r="P189" s="243"/>
      <c r="Q189" s="243"/>
      <c r="R189" s="14"/>
      <c r="S189" s="242"/>
      <c r="T189" s="15"/>
      <c r="U189" s="15"/>
      <c r="V189" s="15"/>
      <c r="W189" s="8"/>
      <c r="X189" s="8"/>
      <c r="Y189" s="56"/>
      <c r="Z189" s="56"/>
      <c r="AA189" s="15"/>
      <c r="AB189" s="15"/>
      <c r="AC189" s="15"/>
      <c r="AD189" s="15"/>
      <c r="AE189" s="57"/>
      <c r="AF189" s="57"/>
      <c r="AG189" s="15"/>
      <c r="AH189" s="25"/>
      <c r="AI189" s="26"/>
      <c r="AJ189" s="26"/>
      <c r="AK189" s="27"/>
      <c r="AL189" s="28"/>
      <c r="AM189" s="29"/>
    </row>
    <row r="190" ht="12.75" customHeight="1">
      <c r="A190" s="26"/>
      <c r="B190" s="12"/>
      <c r="C190" s="240"/>
      <c r="D190" s="241"/>
      <c r="E190" s="5"/>
      <c r="F190" s="5"/>
      <c r="G190" s="5"/>
      <c r="H190" s="5"/>
      <c r="I190" s="5"/>
      <c r="J190" s="5"/>
      <c r="K190" s="8"/>
      <c r="L190" s="9"/>
      <c r="M190" s="10"/>
      <c r="N190" s="12"/>
      <c r="O190" s="242"/>
      <c r="P190" s="243"/>
      <c r="Q190" s="243"/>
      <c r="R190" s="14"/>
      <c r="S190" s="242"/>
      <c r="T190" s="15"/>
      <c r="U190" s="15"/>
      <c r="V190" s="15"/>
      <c r="W190" s="8"/>
      <c r="X190" s="8"/>
      <c r="Y190" s="56"/>
      <c r="Z190" s="56"/>
      <c r="AA190" s="15"/>
      <c r="AB190" s="15"/>
      <c r="AC190" s="15"/>
      <c r="AD190" s="15"/>
      <c r="AE190" s="57"/>
      <c r="AF190" s="57"/>
      <c r="AG190" s="15"/>
      <c r="AH190" s="25"/>
      <c r="AI190" s="26"/>
      <c r="AJ190" s="26"/>
      <c r="AK190" s="27"/>
      <c r="AL190" s="28"/>
      <c r="AM190" s="29"/>
    </row>
    <row r="191" ht="12.75" customHeight="1">
      <c r="A191" s="26"/>
      <c r="B191" s="12"/>
      <c r="C191" s="240"/>
      <c r="D191" s="241"/>
      <c r="E191" s="5"/>
      <c r="F191" s="5"/>
      <c r="G191" s="5"/>
      <c r="H191" s="5"/>
      <c r="I191" s="5"/>
      <c r="J191" s="5"/>
      <c r="K191" s="8"/>
      <c r="L191" s="9"/>
      <c r="M191" s="10"/>
      <c r="N191" s="12"/>
      <c r="O191" s="242"/>
      <c r="P191" s="243"/>
      <c r="Q191" s="243"/>
      <c r="R191" s="14"/>
      <c r="S191" s="242"/>
      <c r="T191" s="15"/>
      <c r="U191" s="15"/>
      <c r="V191" s="15"/>
      <c r="W191" s="8"/>
      <c r="X191" s="8"/>
      <c r="Y191" s="56"/>
      <c r="Z191" s="56"/>
      <c r="AA191" s="15"/>
      <c r="AB191" s="15"/>
      <c r="AC191" s="15"/>
      <c r="AD191" s="15"/>
      <c r="AE191" s="57"/>
      <c r="AF191" s="57"/>
      <c r="AG191" s="15"/>
      <c r="AH191" s="25"/>
      <c r="AI191" s="26"/>
      <c r="AJ191" s="26"/>
      <c r="AK191" s="27"/>
      <c r="AL191" s="28"/>
      <c r="AM191" s="29"/>
    </row>
    <row r="192" ht="12.75" customHeight="1">
      <c r="A192" s="26"/>
      <c r="B192" s="12"/>
      <c r="C192" s="240"/>
      <c r="D192" s="241"/>
      <c r="E192" s="5"/>
      <c r="F192" s="5"/>
      <c r="G192" s="5"/>
      <c r="H192" s="5"/>
      <c r="I192" s="5"/>
      <c r="J192" s="5"/>
      <c r="K192" s="8"/>
      <c r="L192" s="9"/>
      <c r="M192" s="10"/>
      <c r="N192" s="12"/>
      <c r="O192" s="242"/>
      <c r="P192" s="243"/>
      <c r="Q192" s="243"/>
      <c r="R192" s="14"/>
      <c r="S192" s="242"/>
      <c r="T192" s="15"/>
      <c r="U192" s="15"/>
      <c r="V192" s="15"/>
      <c r="W192" s="8"/>
      <c r="X192" s="8"/>
      <c r="Y192" s="56"/>
      <c r="Z192" s="56"/>
      <c r="AA192" s="15"/>
      <c r="AB192" s="15"/>
      <c r="AC192" s="15"/>
      <c r="AD192" s="15"/>
      <c r="AE192" s="57"/>
      <c r="AF192" s="57"/>
      <c r="AG192" s="15"/>
      <c r="AH192" s="25"/>
      <c r="AI192" s="26"/>
      <c r="AJ192" s="26"/>
      <c r="AK192" s="27"/>
      <c r="AL192" s="28"/>
      <c r="AM192" s="29"/>
    </row>
    <row r="193" ht="12.75" customHeight="1">
      <c r="A193" s="26"/>
      <c r="B193" s="12"/>
      <c r="C193" s="240"/>
      <c r="D193" s="241"/>
      <c r="E193" s="5"/>
      <c r="F193" s="5"/>
      <c r="G193" s="5"/>
      <c r="H193" s="5"/>
      <c r="I193" s="5"/>
      <c r="J193" s="5"/>
      <c r="K193" s="8"/>
      <c r="L193" s="9"/>
      <c r="M193" s="10"/>
      <c r="N193" s="12"/>
      <c r="O193" s="242"/>
      <c r="P193" s="243"/>
      <c r="Q193" s="243"/>
      <c r="R193" s="14"/>
      <c r="S193" s="242"/>
      <c r="T193" s="15"/>
      <c r="U193" s="15"/>
      <c r="V193" s="15"/>
      <c r="W193" s="8"/>
      <c r="X193" s="8"/>
      <c r="Y193" s="56"/>
      <c r="Z193" s="56"/>
      <c r="AA193" s="15"/>
      <c r="AB193" s="15"/>
      <c r="AC193" s="15"/>
      <c r="AD193" s="15"/>
      <c r="AE193" s="57"/>
      <c r="AF193" s="57"/>
      <c r="AG193" s="15"/>
      <c r="AH193" s="25"/>
      <c r="AI193" s="26"/>
      <c r="AJ193" s="26"/>
      <c r="AK193" s="27"/>
      <c r="AL193" s="28"/>
      <c r="AM193" s="29"/>
    </row>
    <row r="194" ht="12.75" customHeight="1">
      <c r="A194" s="26"/>
      <c r="B194" s="12"/>
      <c r="C194" s="240"/>
      <c r="D194" s="241"/>
      <c r="E194" s="5"/>
      <c r="F194" s="5"/>
      <c r="G194" s="5"/>
      <c r="H194" s="5"/>
      <c r="I194" s="5"/>
      <c r="J194" s="5"/>
      <c r="K194" s="8"/>
      <c r="L194" s="9"/>
      <c r="M194" s="10"/>
      <c r="N194" s="12"/>
      <c r="O194" s="242"/>
      <c r="P194" s="243"/>
      <c r="Q194" s="243"/>
      <c r="R194" s="14"/>
      <c r="S194" s="242"/>
      <c r="T194" s="15"/>
      <c r="U194" s="15"/>
      <c r="V194" s="15"/>
      <c r="W194" s="8"/>
      <c r="X194" s="8"/>
      <c r="Y194" s="56"/>
      <c r="Z194" s="56"/>
      <c r="AA194" s="15"/>
      <c r="AB194" s="15"/>
      <c r="AC194" s="15"/>
      <c r="AD194" s="15"/>
      <c r="AE194" s="57"/>
      <c r="AF194" s="57"/>
      <c r="AG194" s="15"/>
      <c r="AH194" s="25"/>
      <c r="AI194" s="26"/>
      <c r="AJ194" s="26"/>
      <c r="AK194" s="27"/>
      <c r="AL194" s="28"/>
      <c r="AM194" s="29"/>
    </row>
    <row r="195" ht="12.75" customHeight="1">
      <c r="A195" s="26"/>
      <c r="B195" s="12"/>
      <c r="C195" s="240"/>
      <c r="D195" s="241"/>
      <c r="E195" s="5"/>
      <c r="F195" s="5"/>
      <c r="G195" s="5"/>
      <c r="H195" s="5"/>
      <c r="I195" s="5"/>
      <c r="J195" s="5"/>
      <c r="K195" s="8"/>
      <c r="L195" s="9"/>
      <c r="M195" s="10"/>
      <c r="N195" s="12"/>
      <c r="O195" s="242"/>
      <c r="P195" s="243"/>
      <c r="Q195" s="243"/>
      <c r="R195" s="14"/>
      <c r="S195" s="242"/>
      <c r="T195" s="15"/>
      <c r="U195" s="15"/>
      <c r="V195" s="15"/>
      <c r="W195" s="8"/>
      <c r="X195" s="8"/>
      <c r="Y195" s="56"/>
      <c r="Z195" s="56"/>
      <c r="AA195" s="15"/>
      <c r="AB195" s="15"/>
      <c r="AC195" s="15"/>
      <c r="AD195" s="15"/>
      <c r="AE195" s="57"/>
      <c r="AF195" s="57"/>
      <c r="AG195" s="15"/>
      <c r="AH195" s="25"/>
      <c r="AI195" s="26"/>
      <c r="AJ195" s="26"/>
      <c r="AK195" s="27"/>
      <c r="AL195" s="28"/>
      <c r="AM195" s="29"/>
    </row>
    <row r="196" ht="12.75" customHeight="1">
      <c r="A196" s="26"/>
      <c r="B196" s="12"/>
      <c r="C196" s="240"/>
      <c r="D196" s="241"/>
      <c r="E196" s="5"/>
      <c r="F196" s="5"/>
      <c r="G196" s="5"/>
      <c r="H196" s="5"/>
      <c r="I196" s="5"/>
      <c r="J196" s="5"/>
      <c r="K196" s="8"/>
      <c r="L196" s="9"/>
      <c r="M196" s="10"/>
      <c r="N196" s="12"/>
      <c r="O196" s="242"/>
      <c r="P196" s="243"/>
      <c r="Q196" s="243"/>
      <c r="R196" s="14"/>
      <c r="S196" s="242"/>
      <c r="T196" s="15"/>
      <c r="U196" s="15"/>
      <c r="V196" s="15"/>
      <c r="W196" s="8"/>
      <c r="X196" s="8"/>
      <c r="Y196" s="56"/>
      <c r="Z196" s="56"/>
      <c r="AA196" s="15"/>
      <c r="AB196" s="15"/>
      <c r="AC196" s="15"/>
      <c r="AD196" s="15"/>
      <c r="AE196" s="57"/>
      <c r="AF196" s="57"/>
      <c r="AG196" s="15"/>
      <c r="AH196" s="25"/>
      <c r="AI196" s="26"/>
      <c r="AJ196" s="26"/>
      <c r="AK196" s="27"/>
      <c r="AL196" s="28"/>
      <c r="AM196" s="29"/>
    </row>
    <row r="197" ht="12.75" customHeight="1">
      <c r="A197" s="26"/>
      <c r="B197" s="12"/>
      <c r="C197" s="240"/>
      <c r="D197" s="241"/>
      <c r="E197" s="5"/>
      <c r="F197" s="5"/>
      <c r="G197" s="5"/>
      <c r="H197" s="5"/>
      <c r="I197" s="5"/>
      <c r="J197" s="5"/>
      <c r="K197" s="8"/>
      <c r="L197" s="9"/>
      <c r="M197" s="10"/>
      <c r="N197" s="12"/>
      <c r="O197" s="242"/>
      <c r="P197" s="243"/>
      <c r="Q197" s="243"/>
      <c r="R197" s="14"/>
      <c r="S197" s="242"/>
      <c r="T197" s="15"/>
      <c r="U197" s="15"/>
      <c r="V197" s="15"/>
      <c r="W197" s="8"/>
      <c r="X197" s="8"/>
      <c r="Y197" s="56"/>
      <c r="Z197" s="56"/>
      <c r="AA197" s="15"/>
      <c r="AB197" s="15"/>
      <c r="AC197" s="15"/>
      <c r="AD197" s="15"/>
      <c r="AE197" s="57"/>
      <c r="AF197" s="57"/>
      <c r="AG197" s="15"/>
      <c r="AH197" s="25"/>
      <c r="AI197" s="26"/>
      <c r="AJ197" s="26"/>
      <c r="AK197" s="27"/>
      <c r="AL197" s="28"/>
      <c r="AM197" s="29"/>
    </row>
    <row r="198" ht="12.75" customHeight="1">
      <c r="A198" s="26"/>
      <c r="B198" s="12"/>
      <c r="C198" s="240"/>
      <c r="D198" s="241"/>
      <c r="E198" s="5"/>
      <c r="F198" s="5"/>
      <c r="G198" s="5"/>
      <c r="H198" s="5"/>
      <c r="I198" s="5"/>
      <c r="J198" s="5"/>
      <c r="K198" s="8"/>
      <c r="L198" s="9"/>
      <c r="M198" s="10"/>
      <c r="N198" s="12"/>
      <c r="O198" s="242"/>
      <c r="P198" s="243"/>
      <c r="Q198" s="243"/>
      <c r="R198" s="14"/>
      <c r="S198" s="242"/>
      <c r="T198" s="15"/>
      <c r="U198" s="15"/>
      <c r="V198" s="15"/>
      <c r="W198" s="8"/>
      <c r="X198" s="8"/>
      <c r="Y198" s="56"/>
      <c r="Z198" s="56"/>
      <c r="AA198" s="15"/>
      <c r="AB198" s="15"/>
      <c r="AC198" s="15"/>
      <c r="AD198" s="15"/>
      <c r="AE198" s="57"/>
      <c r="AF198" s="57"/>
      <c r="AG198" s="15"/>
      <c r="AH198" s="25"/>
      <c r="AI198" s="26"/>
      <c r="AJ198" s="26"/>
      <c r="AK198" s="27"/>
      <c r="AL198" s="28"/>
      <c r="AM198" s="29"/>
    </row>
    <row r="199" ht="12.75" customHeight="1">
      <c r="A199" s="26"/>
      <c r="B199" s="12"/>
      <c r="C199" s="240"/>
      <c r="D199" s="241"/>
      <c r="E199" s="5"/>
      <c r="F199" s="5"/>
      <c r="G199" s="5"/>
      <c r="H199" s="5"/>
      <c r="I199" s="5"/>
      <c r="J199" s="5"/>
      <c r="K199" s="8"/>
      <c r="L199" s="9"/>
      <c r="M199" s="10"/>
      <c r="N199" s="12"/>
      <c r="O199" s="242"/>
      <c r="P199" s="243"/>
      <c r="Q199" s="243"/>
      <c r="R199" s="14"/>
      <c r="S199" s="242"/>
      <c r="T199" s="15"/>
      <c r="U199" s="15"/>
      <c r="V199" s="15"/>
      <c r="W199" s="8"/>
      <c r="X199" s="8"/>
      <c r="Y199" s="56"/>
      <c r="Z199" s="56"/>
      <c r="AA199" s="15"/>
      <c r="AB199" s="15"/>
      <c r="AC199" s="15"/>
      <c r="AD199" s="15"/>
      <c r="AE199" s="57"/>
      <c r="AF199" s="57"/>
      <c r="AG199" s="15"/>
      <c r="AH199" s="25"/>
      <c r="AI199" s="26"/>
      <c r="AJ199" s="26"/>
      <c r="AK199" s="27"/>
      <c r="AL199" s="28"/>
      <c r="AM199" s="29"/>
    </row>
    <row r="200" ht="12.75" customHeight="1">
      <c r="A200" s="26"/>
      <c r="B200" s="12"/>
      <c r="C200" s="240"/>
      <c r="D200" s="241"/>
      <c r="E200" s="5"/>
      <c r="F200" s="5"/>
      <c r="G200" s="5"/>
      <c r="H200" s="5"/>
      <c r="I200" s="5"/>
      <c r="J200" s="5"/>
      <c r="K200" s="8"/>
      <c r="L200" s="9"/>
      <c r="M200" s="10"/>
      <c r="N200" s="12"/>
      <c r="O200" s="242"/>
      <c r="P200" s="243"/>
      <c r="Q200" s="243"/>
      <c r="R200" s="14"/>
      <c r="S200" s="242"/>
      <c r="T200" s="15"/>
      <c r="U200" s="15"/>
      <c r="V200" s="15"/>
      <c r="W200" s="8"/>
      <c r="X200" s="8"/>
      <c r="Y200" s="56"/>
      <c r="Z200" s="56"/>
      <c r="AA200" s="15"/>
      <c r="AB200" s="15"/>
      <c r="AC200" s="15"/>
      <c r="AD200" s="15"/>
      <c r="AE200" s="57"/>
      <c r="AF200" s="57"/>
      <c r="AG200" s="15"/>
      <c r="AH200" s="25"/>
      <c r="AI200" s="26"/>
      <c r="AJ200" s="26"/>
      <c r="AK200" s="27"/>
      <c r="AL200" s="28"/>
      <c r="AM200" s="29"/>
    </row>
    <row r="201" ht="12.75" customHeight="1">
      <c r="A201" s="26"/>
      <c r="B201" s="12"/>
      <c r="C201" s="240"/>
      <c r="D201" s="241"/>
      <c r="E201" s="5"/>
      <c r="F201" s="5"/>
      <c r="G201" s="5"/>
      <c r="H201" s="5"/>
      <c r="I201" s="5"/>
      <c r="J201" s="5"/>
      <c r="K201" s="8"/>
      <c r="L201" s="9"/>
      <c r="M201" s="10"/>
      <c r="N201" s="12"/>
      <c r="O201" s="242"/>
      <c r="P201" s="243"/>
      <c r="Q201" s="243"/>
      <c r="R201" s="14"/>
      <c r="S201" s="242"/>
      <c r="T201" s="15"/>
      <c r="U201" s="15"/>
      <c r="V201" s="15"/>
      <c r="W201" s="8"/>
      <c r="X201" s="8"/>
      <c r="Y201" s="56"/>
      <c r="Z201" s="56"/>
      <c r="AA201" s="15"/>
      <c r="AB201" s="15"/>
      <c r="AC201" s="15"/>
      <c r="AD201" s="15"/>
      <c r="AE201" s="57"/>
      <c r="AF201" s="57"/>
      <c r="AG201" s="15"/>
      <c r="AH201" s="25"/>
      <c r="AI201" s="26"/>
      <c r="AJ201" s="26"/>
      <c r="AK201" s="27"/>
      <c r="AL201" s="28"/>
      <c r="AM201" s="29"/>
    </row>
    <row r="202" ht="12.75" customHeight="1">
      <c r="A202" s="26"/>
      <c r="B202" s="12"/>
      <c r="C202" s="240"/>
      <c r="D202" s="241"/>
      <c r="E202" s="5"/>
      <c r="F202" s="5"/>
      <c r="G202" s="5"/>
      <c r="H202" s="5"/>
      <c r="I202" s="5"/>
      <c r="J202" s="5"/>
      <c r="K202" s="8"/>
      <c r="L202" s="9"/>
      <c r="M202" s="10"/>
      <c r="N202" s="12"/>
      <c r="O202" s="242"/>
      <c r="P202" s="243"/>
      <c r="Q202" s="243"/>
      <c r="R202" s="14"/>
      <c r="S202" s="242"/>
      <c r="T202" s="15"/>
      <c r="U202" s="15"/>
      <c r="V202" s="15"/>
      <c r="W202" s="8"/>
      <c r="X202" s="8"/>
      <c r="Y202" s="56"/>
      <c r="Z202" s="56"/>
      <c r="AA202" s="15"/>
      <c r="AB202" s="15"/>
      <c r="AC202" s="15"/>
      <c r="AD202" s="15"/>
      <c r="AE202" s="57"/>
      <c r="AF202" s="57"/>
      <c r="AG202" s="15"/>
      <c r="AH202" s="25"/>
      <c r="AI202" s="26"/>
      <c r="AJ202" s="26"/>
      <c r="AK202" s="27"/>
      <c r="AL202" s="28"/>
      <c r="AM202" s="29"/>
    </row>
    <row r="203" ht="12.75" customHeight="1">
      <c r="A203" s="26"/>
      <c r="B203" s="12"/>
      <c r="C203" s="240"/>
      <c r="D203" s="241"/>
      <c r="E203" s="5"/>
      <c r="F203" s="5"/>
      <c r="G203" s="5"/>
      <c r="H203" s="5"/>
      <c r="I203" s="5"/>
      <c r="J203" s="5"/>
      <c r="K203" s="8"/>
      <c r="L203" s="9"/>
      <c r="M203" s="10"/>
      <c r="N203" s="12"/>
      <c r="O203" s="242"/>
      <c r="P203" s="243"/>
      <c r="Q203" s="243"/>
      <c r="R203" s="14"/>
      <c r="S203" s="242"/>
      <c r="T203" s="15"/>
      <c r="U203" s="15"/>
      <c r="V203" s="15"/>
      <c r="W203" s="8"/>
      <c r="X203" s="8"/>
      <c r="Y203" s="56"/>
      <c r="Z203" s="56"/>
      <c r="AA203" s="15"/>
      <c r="AB203" s="15"/>
      <c r="AC203" s="15"/>
      <c r="AD203" s="15"/>
      <c r="AE203" s="57"/>
      <c r="AF203" s="57"/>
      <c r="AG203" s="15"/>
      <c r="AH203" s="25"/>
      <c r="AI203" s="26"/>
      <c r="AJ203" s="26"/>
      <c r="AK203" s="27"/>
      <c r="AL203" s="28"/>
      <c r="AM203" s="29"/>
    </row>
    <row r="204" ht="12.75" customHeight="1">
      <c r="A204" s="26"/>
      <c r="B204" s="12"/>
      <c r="C204" s="240"/>
      <c r="D204" s="241"/>
      <c r="E204" s="5"/>
      <c r="F204" s="5"/>
      <c r="G204" s="5"/>
      <c r="H204" s="5"/>
      <c r="I204" s="5"/>
      <c r="J204" s="5"/>
      <c r="K204" s="8"/>
      <c r="L204" s="9"/>
      <c r="M204" s="10"/>
      <c r="N204" s="12"/>
      <c r="O204" s="242"/>
      <c r="P204" s="243"/>
      <c r="Q204" s="243"/>
      <c r="R204" s="14"/>
      <c r="S204" s="242"/>
      <c r="T204" s="15"/>
      <c r="U204" s="15"/>
      <c r="V204" s="15"/>
      <c r="W204" s="8"/>
      <c r="X204" s="8"/>
      <c r="Y204" s="56"/>
      <c r="Z204" s="56"/>
      <c r="AA204" s="15"/>
      <c r="AB204" s="15"/>
      <c r="AC204" s="15"/>
      <c r="AD204" s="15"/>
      <c r="AE204" s="57"/>
      <c r="AF204" s="57"/>
      <c r="AG204" s="15"/>
      <c r="AH204" s="25"/>
      <c r="AI204" s="26"/>
      <c r="AJ204" s="26"/>
      <c r="AK204" s="27"/>
      <c r="AL204" s="28"/>
      <c r="AM204" s="29"/>
    </row>
    <row r="205" ht="12.75" customHeight="1">
      <c r="A205" s="26"/>
      <c r="B205" s="12"/>
      <c r="C205" s="240"/>
      <c r="D205" s="241"/>
      <c r="E205" s="5"/>
      <c r="F205" s="5"/>
      <c r="G205" s="5"/>
      <c r="H205" s="5"/>
      <c r="I205" s="5"/>
      <c r="J205" s="5"/>
      <c r="K205" s="8"/>
      <c r="L205" s="9"/>
      <c r="M205" s="10"/>
      <c r="N205" s="12"/>
      <c r="O205" s="242"/>
      <c r="P205" s="243"/>
      <c r="Q205" s="243"/>
      <c r="R205" s="14"/>
      <c r="S205" s="242"/>
      <c r="T205" s="15"/>
      <c r="U205" s="15"/>
      <c r="V205" s="15"/>
      <c r="W205" s="8"/>
      <c r="X205" s="8"/>
      <c r="Y205" s="56"/>
      <c r="Z205" s="56"/>
      <c r="AA205" s="15"/>
      <c r="AB205" s="15"/>
      <c r="AC205" s="15"/>
      <c r="AD205" s="15"/>
      <c r="AE205" s="57"/>
      <c r="AF205" s="57"/>
      <c r="AG205" s="15"/>
      <c r="AH205" s="25"/>
      <c r="AI205" s="26"/>
      <c r="AJ205" s="26"/>
      <c r="AK205" s="27"/>
      <c r="AL205" s="28"/>
      <c r="AM205" s="29"/>
    </row>
    <row r="206" ht="12.75" customHeight="1">
      <c r="A206" s="26"/>
      <c r="B206" s="12"/>
      <c r="C206" s="240"/>
      <c r="D206" s="241"/>
      <c r="E206" s="5"/>
      <c r="F206" s="5"/>
      <c r="G206" s="5"/>
      <c r="H206" s="5"/>
      <c r="I206" s="5"/>
      <c r="J206" s="5"/>
      <c r="K206" s="8"/>
      <c r="L206" s="9"/>
      <c r="M206" s="10"/>
      <c r="N206" s="12"/>
      <c r="O206" s="242"/>
      <c r="P206" s="243"/>
      <c r="Q206" s="243"/>
      <c r="R206" s="14"/>
      <c r="S206" s="242"/>
      <c r="T206" s="15"/>
      <c r="U206" s="15"/>
      <c r="V206" s="15"/>
      <c r="W206" s="8"/>
      <c r="X206" s="8"/>
      <c r="Y206" s="56"/>
      <c r="Z206" s="56"/>
      <c r="AA206" s="15"/>
      <c r="AB206" s="15"/>
      <c r="AC206" s="15"/>
      <c r="AD206" s="15"/>
      <c r="AE206" s="57"/>
      <c r="AF206" s="57"/>
      <c r="AG206" s="15"/>
      <c r="AH206" s="25"/>
      <c r="AI206" s="26"/>
      <c r="AJ206" s="26"/>
      <c r="AK206" s="27"/>
      <c r="AL206" s="28"/>
      <c r="AM206" s="29"/>
    </row>
    <row r="207" ht="12.75" customHeight="1">
      <c r="A207" s="26"/>
      <c r="B207" s="12"/>
      <c r="C207" s="240"/>
      <c r="D207" s="241"/>
      <c r="E207" s="5"/>
      <c r="F207" s="5"/>
      <c r="G207" s="5"/>
      <c r="H207" s="5"/>
      <c r="I207" s="5"/>
      <c r="J207" s="5"/>
      <c r="K207" s="8"/>
      <c r="L207" s="9"/>
      <c r="M207" s="10"/>
      <c r="N207" s="12"/>
      <c r="O207" s="242"/>
      <c r="P207" s="243"/>
      <c r="Q207" s="243"/>
      <c r="R207" s="14"/>
      <c r="S207" s="242"/>
      <c r="T207" s="15"/>
      <c r="U207" s="15"/>
      <c r="V207" s="15"/>
      <c r="W207" s="8"/>
      <c r="X207" s="8"/>
      <c r="Y207" s="56"/>
      <c r="Z207" s="56"/>
      <c r="AA207" s="15"/>
      <c r="AB207" s="15"/>
      <c r="AC207" s="15"/>
      <c r="AD207" s="15"/>
      <c r="AE207" s="57"/>
      <c r="AF207" s="57"/>
      <c r="AG207" s="15"/>
      <c r="AH207" s="25"/>
      <c r="AI207" s="26"/>
      <c r="AJ207" s="26"/>
      <c r="AK207" s="27"/>
      <c r="AL207" s="28"/>
      <c r="AM207" s="29"/>
    </row>
    <row r="208" ht="12.75" customHeight="1">
      <c r="A208" s="26"/>
      <c r="B208" s="12"/>
      <c r="C208" s="240"/>
      <c r="D208" s="241"/>
      <c r="E208" s="5"/>
      <c r="F208" s="5"/>
      <c r="G208" s="5"/>
      <c r="H208" s="5"/>
      <c r="I208" s="5"/>
      <c r="J208" s="5"/>
      <c r="K208" s="8"/>
      <c r="L208" s="9"/>
      <c r="M208" s="10"/>
      <c r="N208" s="12"/>
      <c r="O208" s="242"/>
      <c r="P208" s="243"/>
      <c r="Q208" s="243"/>
      <c r="R208" s="14"/>
      <c r="S208" s="242"/>
      <c r="T208" s="15"/>
      <c r="U208" s="15"/>
      <c r="V208" s="15"/>
      <c r="W208" s="8"/>
      <c r="X208" s="8"/>
      <c r="Y208" s="56"/>
      <c r="Z208" s="56"/>
      <c r="AA208" s="15"/>
      <c r="AB208" s="15"/>
      <c r="AC208" s="15"/>
      <c r="AD208" s="15"/>
      <c r="AE208" s="57"/>
      <c r="AF208" s="57"/>
      <c r="AG208" s="15"/>
      <c r="AH208" s="25"/>
      <c r="AI208" s="26"/>
      <c r="AJ208" s="26"/>
      <c r="AK208" s="27"/>
      <c r="AL208" s="28"/>
      <c r="AM208" s="29"/>
    </row>
    <row r="209" ht="12.75" customHeight="1">
      <c r="A209" s="26"/>
      <c r="B209" s="12"/>
      <c r="C209" s="240"/>
      <c r="D209" s="241"/>
      <c r="E209" s="5"/>
      <c r="F209" s="5"/>
      <c r="G209" s="5"/>
      <c r="H209" s="5"/>
      <c r="I209" s="5"/>
      <c r="J209" s="5"/>
      <c r="K209" s="8"/>
      <c r="L209" s="9"/>
      <c r="M209" s="10"/>
      <c r="N209" s="12"/>
      <c r="O209" s="242"/>
      <c r="P209" s="243"/>
      <c r="Q209" s="243"/>
      <c r="R209" s="14"/>
      <c r="S209" s="242"/>
      <c r="T209" s="15"/>
      <c r="U209" s="15"/>
      <c r="V209" s="15"/>
      <c r="W209" s="8"/>
      <c r="X209" s="8"/>
      <c r="Y209" s="56"/>
      <c r="Z209" s="56"/>
      <c r="AA209" s="15"/>
      <c r="AB209" s="15"/>
      <c r="AC209" s="15"/>
      <c r="AD209" s="15"/>
      <c r="AE209" s="57"/>
      <c r="AF209" s="57"/>
      <c r="AG209" s="15"/>
      <c r="AH209" s="25"/>
      <c r="AI209" s="26"/>
      <c r="AJ209" s="26"/>
      <c r="AK209" s="27"/>
      <c r="AL209" s="28"/>
      <c r="AM209" s="29"/>
    </row>
    <row r="210" ht="12.75" customHeight="1">
      <c r="A210" s="26"/>
      <c r="B210" s="12"/>
      <c r="C210" s="240"/>
      <c r="D210" s="241"/>
      <c r="E210" s="5"/>
      <c r="F210" s="5"/>
      <c r="G210" s="5"/>
      <c r="H210" s="5"/>
      <c r="I210" s="5"/>
      <c r="J210" s="5"/>
      <c r="K210" s="8"/>
      <c r="L210" s="9"/>
      <c r="M210" s="10"/>
      <c r="N210" s="12"/>
      <c r="O210" s="242"/>
      <c r="P210" s="243"/>
      <c r="Q210" s="243"/>
      <c r="R210" s="14"/>
      <c r="S210" s="242"/>
      <c r="T210" s="15"/>
      <c r="U210" s="15"/>
      <c r="V210" s="15"/>
      <c r="W210" s="8"/>
      <c r="X210" s="8"/>
      <c r="Y210" s="56"/>
      <c r="Z210" s="56"/>
      <c r="AA210" s="15"/>
      <c r="AB210" s="15"/>
      <c r="AC210" s="15"/>
      <c r="AD210" s="15"/>
      <c r="AE210" s="57"/>
      <c r="AF210" s="57"/>
      <c r="AG210" s="15"/>
      <c r="AH210" s="25"/>
      <c r="AI210" s="26"/>
      <c r="AJ210" s="26"/>
      <c r="AK210" s="27"/>
      <c r="AL210" s="28"/>
      <c r="AM210" s="29"/>
    </row>
    <row r="211" ht="12.75" customHeight="1">
      <c r="A211" s="26"/>
      <c r="B211" s="12"/>
      <c r="C211" s="240"/>
      <c r="D211" s="241"/>
      <c r="E211" s="5"/>
      <c r="F211" s="5"/>
      <c r="G211" s="5"/>
      <c r="H211" s="5"/>
      <c r="I211" s="5"/>
      <c r="J211" s="5"/>
      <c r="K211" s="8"/>
      <c r="L211" s="9"/>
      <c r="M211" s="10"/>
      <c r="N211" s="12"/>
      <c r="O211" s="242"/>
      <c r="P211" s="243"/>
      <c r="Q211" s="243"/>
      <c r="R211" s="14"/>
      <c r="S211" s="242"/>
      <c r="T211" s="15"/>
      <c r="U211" s="15"/>
      <c r="V211" s="15"/>
      <c r="W211" s="8"/>
      <c r="X211" s="8"/>
      <c r="Y211" s="56"/>
      <c r="Z211" s="56"/>
      <c r="AA211" s="15"/>
      <c r="AB211" s="15"/>
      <c r="AC211" s="15"/>
      <c r="AD211" s="15"/>
      <c r="AE211" s="57"/>
      <c r="AF211" s="57"/>
      <c r="AG211" s="15"/>
      <c r="AH211" s="25"/>
      <c r="AI211" s="26"/>
      <c r="AJ211" s="26"/>
      <c r="AK211" s="27"/>
      <c r="AL211" s="28"/>
      <c r="AM211" s="29"/>
    </row>
    <row r="212" ht="12.75" customHeight="1">
      <c r="A212" s="26"/>
      <c r="B212" s="12"/>
      <c r="C212" s="240"/>
      <c r="D212" s="241"/>
      <c r="E212" s="5"/>
      <c r="F212" s="5"/>
      <c r="G212" s="5"/>
      <c r="H212" s="5"/>
      <c r="I212" s="5"/>
      <c r="J212" s="5"/>
      <c r="K212" s="8"/>
      <c r="L212" s="9"/>
      <c r="M212" s="10"/>
      <c r="N212" s="12"/>
      <c r="O212" s="242"/>
      <c r="P212" s="243"/>
      <c r="Q212" s="243"/>
      <c r="R212" s="14"/>
      <c r="S212" s="242"/>
      <c r="T212" s="15"/>
      <c r="U212" s="15"/>
      <c r="V212" s="15"/>
      <c r="W212" s="8"/>
      <c r="X212" s="8"/>
      <c r="Y212" s="56"/>
      <c r="Z212" s="56"/>
      <c r="AA212" s="15"/>
      <c r="AB212" s="15"/>
      <c r="AC212" s="15"/>
      <c r="AD212" s="15"/>
      <c r="AE212" s="57"/>
      <c r="AF212" s="57"/>
      <c r="AG212" s="15"/>
      <c r="AH212" s="25"/>
      <c r="AI212" s="26"/>
      <c r="AJ212" s="26"/>
      <c r="AK212" s="27"/>
      <c r="AL212" s="28"/>
      <c r="AM212" s="29"/>
    </row>
    <row r="213" ht="12.75" customHeight="1">
      <c r="A213" s="26"/>
      <c r="B213" s="12"/>
      <c r="C213" s="240"/>
      <c r="D213" s="241"/>
      <c r="E213" s="5"/>
      <c r="F213" s="5"/>
      <c r="G213" s="5"/>
      <c r="H213" s="5"/>
      <c r="I213" s="5"/>
      <c r="J213" s="5"/>
      <c r="K213" s="8"/>
      <c r="L213" s="9"/>
      <c r="M213" s="10"/>
      <c r="N213" s="12"/>
      <c r="O213" s="242"/>
      <c r="P213" s="243"/>
      <c r="Q213" s="243"/>
      <c r="R213" s="14"/>
      <c r="S213" s="242"/>
      <c r="T213" s="15"/>
      <c r="U213" s="15"/>
      <c r="V213" s="15"/>
      <c r="W213" s="8"/>
      <c r="X213" s="8"/>
      <c r="Y213" s="56"/>
      <c r="Z213" s="56"/>
      <c r="AA213" s="15"/>
      <c r="AB213" s="15"/>
      <c r="AC213" s="15"/>
      <c r="AD213" s="15"/>
      <c r="AE213" s="57"/>
      <c r="AF213" s="57"/>
      <c r="AG213" s="15"/>
      <c r="AH213" s="25"/>
      <c r="AI213" s="26"/>
      <c r="AJ213" s="26"/>
      <c r="AK213" s="27"/>
      <c r="AL213" s="28"/>
      <c r="AM213" s="29"/>
    </row>
    <row r="214" ht="12.75" customHeight="1">
      <c r="A214" s="26"/>
      <c r="B214" s="12"/>
      <c r="C214" s="240"/>
      <c r="D214" s="241"/>
      <c r="E214" s="5"/>
      <c r="F214" s="5"/>
      <c r="G214" s="5"/>
      <c r="H214" s="5"/>
      <c r="I214" s="5"/>
      <c r="J214" s="5"/>
      <c r="K214" s="8"/>
      <c r="L214" s="9"/>
      <c r="M214" s="10"/>
      <c r="N214" s="12"/>
      <c r="O214" s="242"/>
      <c r="P214" s="243"/>
      <c r="Q214" s="243"/>
      <c r="R214" s="14"/>
      <c r="S214" s="242"/>
      <c r="T214" s="15"/>
      <c r="U214" s="15"/>
      <c r="V214" s="15"/>
      <c r="W214" s="8"/>
      <c r="X214" s="8"/>
      <c r="Y214" s="56"/>
      <c r="Z214" s="56"/>
      <c r="AA214" s="15"/>
      <c r="AB214" s="15"/>
      <c r="AC214" s="15"/>
      <c r="AD214" s="15"/>
      <c r="AE214" s="57"/>
      <c r="AF214" s="57"/>
      <c r="AG214" s="15"/>
      <c r="AH214" s="25"/>
      <c r="AI214" s="26"/>
      <c r="AJ214" s="26"/>
      <c r="AK214" s="27"/>
      <c r="AL214" s="28"/>
      <c r="AM214" s="29"/>
    </row>
    <row r="215" ht="12.75" customHeight="1">
      <c r="A215" s="26"/>
      <c r="B215" s="12"/>
      <c r="C215" s="240"/>
      <c r="D215" s="241"/>
      <c r="E215" s="5"/>
      <c r="F215" s="5"/>
      <c r="G215" s="5"/>
      <c r="H215" s="5"/>
      <c r="I215" s="5"/>
      <c r="J215" s="5"/>
      <c r="K215" s="8"/>
      <c r="L215" s="9"/>
      <c r="M215" s="10"/>
      <c r="N215" s="12"/>
      <c r="O215" s="242"/>
      <c r="P215" s="243"/>
      <c r="Q215" s="243"/>
      <c r="R215" s="14"/>
      <c r="S215" s="242"/>
      <c r="T215" s="15"/>
      <c r="U215" s="15"/>
      <c r="V215" s="15"/>
      <c r="W215" s="8"/>
      <c r="X215" s="8"/>
      <c r="Y215" s="56"/>
      <c r="Z215" s="56"/>
      <c r="AA215" s="15"/>
      <c r="AB215" s="15"/>
      <c r="AC215" s="15"/>
      <c r="AD215" s="15"/>
      <c r="AE215" s="57"/>
      <c r="AF215" s="57"/>
      <c r="AG215" s="15"/>
      <c r="AH215" s="25"/>
      <c r="AI215" s="26"/>
      <c r="AJ215" s="26"/>
      <c r="AK215" s="27"/>
      <c r="AL215" s="28"/>
      <c r="AM215" s="29"/>
    </row>
    <row r="216" ht="12.75" customHeight="1">
      <c r="A216" s="26"/>
      <c r="B216" s="12"/>
      <c r="C216" s="240"/>
      <c r="D216" s="241"/>
      <c r="E216" s="5"/>
      <c r="F216" s="5"/>
      <c r="G216" s="5"/>
      <c r="H216" s="5"/>
      <c r="I216" s="5"/>
      <c r="J216" s="5"/>
      <c r="K216" s="8"/>
      <c r="L216" s="9"/>
      <c r="M216" s="10"/>
      <c r="N216" s="12"/>
      <c r="O216" s="242"/>
      <c r="P216" s="243"/>
      <c r="Q216" s="243"/>
      <c r="R216" s="14"/>
      <c r="S216" s="242"/>
      <c r="T216" s="15"/>
      <c r="U216" s="15"/>
      <c r="V216" s="15"/>
      <c r="W216" s="8"/>
      <c r="X216" s="8"/>
      <c r="Y216" s="56"/>
      <c r="Z216" s="56"/>
      <c r="AA216" s="15"/>
      <c r="AB216" s="15"/>
      <c r="AC216" s="15"/>
      <c r="AD216" s="15"/>
      <c r="AE216" s="57"/>
      <c r="AF216" s="57"/>
      <c r="AG216" s="15"/>
      <c r="AH216" s="25"/>
      <c r="AI216" s="26"/>
      <c r="AJ216" s="26"/>
      <c r="AK216" s="27"/>
      <c r="AL216" s="28"/>
      <c r="AM216" s="29"/>
    </row>
    <row r="217" ht="12.75" customHeight="1">
      <c r="A217" s="26"/>
      <c r="B217" s="12"/>
      <c r="C217" s="240"/>
      <c r="D217" s="241"/>
      <c r="E217" s="5"/>
      <c r="F217" s="5"/>
      <c r="G217" s="5"/>
      <c r="H217" s="5"/>
      <c r="I217" s="5"/>
      <c r="J217" s="5"/>
      <c r="K217" s="8"/>
      <c r="L217" s="9"/>
      <c r="M217" s="10"/>
      <c r="N217" s="12"/>
      <c r="O217" s="242"/>
      <c r="P217" s="243"/>
      <c r="Q217" s="243"/>
      <c r="R217" s="14"/>
      <c r="S217" s="242"/>
      <c r="T217" s="15"/>
      <c r="U217" s="15"/>
      <c r="V217" s="15"/>
      <c r="W217" s="8"/>
      <c r="X217" s="8"/>
      <c r="Y217" s="56"/>
      <c r="Z217" s="56"/>
      <c r="AA217" s="15"/>
      <c r="AB217" s="15"/>
      <c r="AC217" s="15"/>
      <c r="AD217" s="15"/>
      <c r="AE217" s="57"/>
      <c r="AF217" s="57"/>
      <c r="AG217" s="15"/>
      <c r="AH217" s="25"/>
      <c r="AI217" s="26"/>
      <c r="AJ217" s="26"/>
      <c r="AK217" s="27"/>
      <c r="AL217" s="28"/>
      <c r="AM217" s="29"/>
    </row>
    <row r="218" ht="12.75" customHeight="1">
      <c r="A218" s="26"/>
      <c r="B218" s="12"/>
      <c r="C218" s="240"/>
      <c r="D218" s="241"/>
      <c r="E218" s="5"/>
      <c r="F218" s="5"/>
      <c r="G218" s="5"/>
      <c r="H218" s="5"/>
      <c r="I218" s="5"/>
      <c r="J218" s="5"/>
      <c r="K218" s="8"/>
      <c r="L218" s="9"/>
      <c r="M218" s="10"/>
      <c r="N218" s="12"/>
      <c r="O218" s="242"/>
      <c r="P218" s="243"/>
      <c r="Q218" s="243"/>
      <c r="R218" s="14"/>
      <c r="S218" s="242"/>
      <c r="T218" s="15"/>
      <c r="U218" s="15"/>
      <c r="V218" s="15"/>
      <c r="W218" s="8"/>
      <c r="X218" s="8"/>
      <c r="Y218" s="56"/>
      <c r="Z218" s="56"/>
      <c r="AA218" s="15"/>
      <c r="AB218" s="15"/>
      <c r="AC218" s="15"/>
      <c r="AD218" s="15"/>
      <c r="AE218" s="57"/>
      <c r="AF218" s="57"/>
      <c r="AG218" s="15"/>
      <c r="AH218" s="25"/>
      <c r="AI218" s="26"/>
      <c r="AJ218" s="26"/>
      <c r="AK218" s="27"/>
      <c r="AL218" s="28"/>
      <c r="AM218" s="29"/>
    </row>
    <row r="219" ht="12.75" customHeight="1">
      <c r="A219" s="26"/>
      <c r="B219" s="12"/>
      <c r="C219" s="240"/>
      <c r="D219" s="241"/>
      <c r="E219" s="5"/>
      <c r="F219" s="5"/>
      <c r="G219" s="5"/>
      <c r="H219" s="5"/>
      <c r="I219" s="5"/>
      <c r="J219" s="5"/>
      <c r="K219" s="8"/>
      <c r="L219" s="9"/>
      <c r="M219" s="10"/>
      <c r="N219" s="12"/>
      <c r="O219" s="242"/>
      <c r="P219" s="243"/>
      <c r="Q219" s="243"/>
      <c r="R219" s="14"/>
      <c r="S219" s="242"/>
      <c r="T219" s="15"/>
      <c r="U219" s="15"/>
      <c r="V219" s="15"/>
      <c r="W219" s="8"/>
      <c r="X219" s="8"/>
      <c r="Y219" s="56"/>
      <c r="Z219" s="56"/>
      <c r="AA219" s="15"/>
      <c r="AB219" s="15"/>
      <c r="AC219" s="15"/>
      <c r="AD219" s="15"/>
      <c r="AE219" s="57"/>
      <c r="AF219" s="57"/>
      <c r="AG219" s="15"/>
      <c r="AH219" s="25"/>
      <c r="AI219" s="26"/>
      <c r="AJ219" s="26"/>
      <c r="AK219" s="27"/>
      <c r="AL219" s="28"/>
      <c r="AM219" s="29"/>
    </row>
    <row r="220" ht="12.75" customHeight="1">
      <c r="A220" s="26"/>
      <c r="B220" s="12"/>
      <c r="C220" s="240"/>
      <c r="D220" s="241"/>
      <c r="E220" s="5"/>
      <c r="F220" s="5"/>
      <c r="G220" s="5"/>
      <c r="H220" s="5"/>
      <c r="I220" s="5"/>
      <c r="J220" s="5"/>
      <c r="K220" s="8"/>
      <c r="L220" s="9"/>
      <c r="M220" s="10"/>
      <c r="N220" s="12"/>
      <c r="O220" s="242"/>
      <c r="P220" s="243"/>
      <c r="Q220" s="243"/>
      <c r="R220" s="14"/>
      <c r="S220" s="242"/>
      <c r="T220" s="15"/>
      <c r="U220" s="15"/>
      <c r="V220" s="15"/>
      <c r="W220" s="8"/>
      <c r="X220" s="8"/>
      <c r="Y220" s="56"/>
      <c r="Z220" s="56"/>
      <c r="AA220" s="15"/>
      <c r="AB220" s="15"/>
      <c r="AC220" s="15"/>
      <c r="AD220" s="15"/>
      <c r="AE220" s="57"/>
      <c r="AF220" s="57"/>
      <c r="AG220" s="15"/>
      <c r="AH220" s="25"/>
      <c r="AI220" s="26"/>
      <c r="AJ220" s="26"/>
      <c r="AK220" s="27"/>
      <c r="AL220" s="28"/>
      <c r="AM220" s="29"/>
    </row>
    <row r="221" ht="12.75" customHeight="1">
      <c r="A221" s="26"/>
      <c r="B221" s="12"/>
      <c r="C221" s="240"/>
      <c r="D221" s="241"/>
      <c r="E221" s="5"/>
      <c r="F221" s="5"/>
      <c r="G221" s="5"/>
      <c r="H221" s="5"/>
      <c r="I221" s="5"/>
      <c r="J221" s="5"/>
      <c r="K221" s="8"/>
      <c r="L221" s="9"/>
      <c r="M221" s="10"/>
      <c r="N221" s="12"/>
      <c r="O221" s="242"/>
      <c r="P221" s="243"/>
      <c r="Q221" s="243"/>
      <c r="R221" s="14"/>
      <c r="S221" s="242"/>
      <c r="T221" s="15"/>
      <c r="U221" s="15"/>
      <c r="V221" s="15"/>
      <c r="W221" s="8"/>
      <c r="X221" s="8"/>
      <c r="Y221" s="56"/>
      <c r="Z221" s="56"/>
      <c r="AA221" s="15"/>
      <c r="AB221" s="15"/>
      <c r="AC221" s="15"/>
      <c r="AD221" s="15"/>
      <c r="AE221" s="57"/>
      <c r="AF221" s="57"/>
      <c r="AG221" s="15"/>
      <c r="AH221" s="25"/>
      <c r="AI221" s="26"/>
      <c r="AJ221" s="26"/>
      <c r="AK221" s="27"/>
      <c r="AL221" s="28"/>
      <c r="AM221" s="29"/>
    </row>
    <row r="222" ht="12.75" customHeight="1">
      <c r="A222" s="26"/>
      <c r="B222" s="12"/>
      <c r="C222" s="240"/>
      <c r="D222" s="241"/>
      <c r="E222" s="5"/>
      <c r="F222" s="5"/>
      <c r="G222" s="5"/>
      <c r="H222" s="5"/>
      <c r="I222" s="5"/>
      <c r="J222" s="5"/>
      <c r="K222" s="8"/>
      <c r="L222" s="9"/>
      <c r="M222" s="10"/>
      <c r="N222" s="12"/>
      <c r="O222" s="242"/>
      <c r="P222" s="243"/>
      <c r="Q222" s="243"/>
      <c r="R222" s="14"/>
      <c r="S222" s="242"/>
      <c r="T222" s="15"/>
      <c r="U222" s="15"/>
      <c r="V222" s="15"/>
      <c r="W222" s="8"/>
      <c r="X222" s="8"/>
      <c r="Y222" s="56"/>
      <c r="Z222" s="56"/>
      <c r="AA222" s="15"/>
      <c r="AB222" s="15"/>
      <c r="AC222" s="15"/>
      <c r="AD222" s="15"/>
      <c r="AE222" s="57"/>
      <c r="AF222" s="57"/>
      <c r="AG222" s="15"/>
      <c r="AH222" s="25"/>
      <c r="AI222" s="26"/>
      <c r="AJ222" s="26"/>
      <c r="AK222" s="27"/>
      <c r="AL222" s="28"/>
      <c r="AM222" s="29"/>
    </row>
    <row r="223" ht="12.75" customHeight="1">
      <c r="A223" s="26"/>
      <c r="B223" s="12"/>
      <c r="C223" s="240"/>
      <c r="D223" s="241"/>
      <c r="E223" s="5"/>
      <c r="F223" s="5"/>
      <c r="G223" s="5"/>
      <c r="H223" s="5"/>
      <c r="I223" s="5"/>
      <c r="J223" s="5"/>
      <c r="K223" s="8"/>
      <c r="L223" s="9"/>
      <c r="M223" s="10"/>
      <c r="N223" s="12"/>
      <c r="O223" s="242"/>
      <c r="P223" s="243"/>
      <c r="Q223" s="243"/>
      <c r="R223" s="14"/>
      <c r="S223" s="242"/>
      <c r="T223" s="15"/>
      <c r="U223" s="15"/>
      <c r="V223" s="15"/>
      <c r="W223" s="8"/>
      <c r="X223" s="8"/>
      <c r="Y223" s="56"/>
      <c r="Z223" s="56"/>
      <c r="AA223" s="15"/>
      <c r="AB223" s="15"/>
      <c r="AC223" s="15"/>
      <c r="AD223" s="15"/>
      <c r="AE223" s="57"/>
      <c r="AF223" s="57"/>
      <c r="AG223" s="15"/>
      <c r="AH223" s="25"/>
      <c r="AI223" s="26"/>
      <c r="AJ223" s="26"/>
      <c r="AK223" s="27"/>
      <c r="AL223" s="28"/>
      <c r="AM223" s="29"/>
    </row>
    <row r="224" ht="12.75" customHeight="1">
      <c r="A224" s="26"/>
      <c r="B224" s="12"/>
      <c r="C224" s="240"/>
      <c r="D224" s="241"/>
      <c r="E224" s="5"/>
      <c r="F224" s="5"/>
      <c r="G224" s="5"/>
      <c r="H224" s="5"/>
      <c r="I224" s="5"/>
      <c r="J224" s="5"/>
      <c r="K224" s="8"/>
      <c r="L224" s="9"/>
      <c r="M224" s="10"/>
      <c r="N224" s="12"/>
      <c r="O224" s="242"/>
      <c r="P224" s="243"/>
      <c r="Q224" s="243"/>
      <c r="R224" s="14"/>
      <c r="S224" s="242"/>
      <c r="T224" s="15"/>
      <c r="U224" s="15"/>
      <c r="V224" s="15"/>
      <c r="W224" s="8"/>
      <c r="X224" s="8"/>
      <c r="Y224" s="56"/>
      <c r="Z224" s="56"/>
      <c r="AA224" s="15"/>
      <c r="AB224" s="15"/>
      <c r="AC224" s="15"/>
      <c r="AD224" s="15"/>
      <c r="AE224" s="57"/>
      <c r="AF224" s="57"/>
      <c r="AG224" s="15"/>
      <c r="AH224" s="25"/>
      <c r="AI224" s="26"/>
      <c r="AJ224" s="26"/>
      <c r="AK224" s="27"/>
      <c r="AL224" s="28"/>
      <c r="AM224" s="29"/>
    </row>
    <row r="225" ht="12.75" customHeight="1">
      <c r="A225" s="26"/>
      <c r="B225" s="12"/>
      <c r="C225" s="240"/>
      <c r="D225" s="241"/>
      <c r="E225" s="5"/>
      <c r="F225" s="5"/>
      <c r="G225" s="5"/>
      <c r="H225" s="5"/>
      <c r="I225" s="5"/>
      <c r="J225" s="5"/>
      <c r="K225" s="8"/>
      <c r="L225" s="9"/>
      <c r="M225" s="10"/>
      <c r="N225" s="12"/>
      <c r="O225" s="242"/>
      <c r="P225" s="243"/>
      <c r="Q225" s="243"/>
      <c r="R225" s="14"/>
      <c r="S225" s="242"/>
      <c r="T225" s="15"/>
      <c r="U225" s="15"/>
      <c r="V225" s="15"/>
      <c r="W225" s="8"/>
      <c r="X225" s="8"/>
      <c r="Y225" s="56"/>
      <c r="Z225" s="56"/>
      <c r="AA225" s="15"/>
      <c r="AB225" s="15"/>
      <c r="AC225" s="15"/>
      <c r="AD225" s="15"/>
      <c r="AE225" s="57"/>
      <c r="AF225" s="57"/>
      <c r="AG225" s="15"/>
      <c r="AH225" s="25"/>
      <c r="AI225" s="26"/>
      <c r="AJ225" s="26"/>
      <c r="AK225" s="27"/>
      <c r="AL225" s="28"/>
      <c r="AM225" s="29"/>
    </row>
    <row r="226" ht="12.75" customHeight="1">
      <c r="A226" s="26"/>
      <c r="B226" s="12"/>
      <c r="C226" s="240"/>
      <c r="D226" s="241"/>
      <c r="E226" s="5"/>
      <c r="F226" s="5"/>
      <c r="G226" s="5"/>
      <c r="H226" s="5"/>
      <c r="I226" s="5"/>
      <c r="J226" s="5"/>
      <c r="K226" s="8"/>
      <c r="L226" s="9"/>
      <c r="M226" s="10"/>
      <c r="N226" s="12"/>
      <c r="O226" s="242"/>
      <c r="P226" s="243"/>
      <c r="Q226" s="243"/>
      <c r="R226" s="14"/>
      <c r="S226" s="242"/>
      <c r="T226" s="15"/>
      <c r="U226" s="15"/>
      <c r="V226" s="15"/>
      <c r="W226" s="8"/>
      <c r="X226" s="8"/>
      <c r="Y226" s="56"/>
      <c r="Z226" s="56"/>
      <c r="AA226" s="15"/>
      <c r="AB226" s="15"/>
      <c r="AC226" s="15"/>
      <c r="AD226" s="15"/>
      <c r="AE226" s="57"/>
      <c r="AF226" s="57"/>
      <c r="AG226" s="15"/>
      <c r="AH226" s="25"/>
      <c r="AI226" s="26"/>
      <c r="AJ226" s="26"/>
      <c r="AK226" s="27"/>
      <c r="AL226" s="28"/>
      <c r="AM226" s="29"/>
    </row>
    <row r="227" ht="12.75" customHeight="1">
      <c r="A227" s="26"/>
      <c r="B227" s="12"/>
      <c r="C227" s="240"/>
      <c r="D227" s="241"/>
      <c r="E227" s="5"/>
      <c r="F227" s="5"/>
      <c r="G227" s="5"/>
      <c r="H227" s="5"/>
      <c r="I227" s="5"/>
      <c r="J227" s="5"/>
      <c r="K227" s="8"/>
      <c r="L227" s="9"/>
      <c r="M227" s="10"/>
      <c r="N227" s="12"/>
      <c r="O227" s="242"/>
      <c r="P227" s="243"/>
      <c r="Q227" s="243"/>
      <c r="R227" s="14"/>
      <c r="S227" s="242"/>
      <c r="T227" s="15"/>
      <c r="U227" s="15"/>
      <c r="V227" s="15"/>
      <c r="W227" s="8"/>
      <c r="X227" s="8"/>
      <c r="Y227" s="56"/>
      <c r="Z227" s="56"/>
      <c r="AA227" s="15"/>
      <c r="AB227" s="15"/>
      <c r="AC227" s="15"/>
      <c r="AD227" s="15"/>
      <c r="AE227" s="57"/>
      <c r="AF227" s="57"/>
      <c r="AG227" s="15"/>
      <c r="AH227" s="25"/>
      <c r="AI227" s="26"/>
      <c r="AJ227" s="26"/>
      <c r="AK227" s="27"/>
      <c r="AL227" s="28"/>
      <c r="AM227" s="29"/>
    </row>
    <row r="228" ht="12.75" customHeight="1">
      <c r="A228" s="26"/>
      <c r="B228" s="12"/>
      <c r="C228" s="240"/>
      <c r="D228" s="241"/>
      <c r="E228" s="5"/>
      <c r="F228" s="5"/>
      <c r="G228" s="5"/>
      <c r="H228" s="5"/>
      <c r="I228" s="5"/>
      <c r="J228" s="5"/>
      <c r="K228" s="8"/>
      <c r="L228" s="9"/>
      <c r="M228" s="10"/>
      <c r="N228" s="12"/>
      <c r="O228" s="242"/>
      <c r="P228" s="243"/>
      <c r="Q228" s="243"/>
      <c r="R228" s="14"/>
      <c r="S228" s="242"/>
      <c r="T228" s="15"/>
      <c r="U228" s="15"/>
      <c r="V228" s="15"/>
      <c r="W228" s="8"/>
      <c r="X228" s="8"/>
      <c r="Y228" s="56"/>
      <c r="Z228" s="56"/>
      <c r="AA228" s="15"/>
      <c r="AB228" s="15"/>
      <c r="AC228" s="15"/>
      <c r="AD228" s="15"/>
      <c r="AE228" s="57"/>
      <c r="AF228" s="57"/>
      <c r="AG228" s="15"/>
      <c r="AH228" s="25"/>
      <c r="AI228" s="26"/>
      <c r="AJ228" s="26"/>
      <c r="AK228" s="27"/>
      <c r="AL228" s="28"/>
      <c r="AM228" s="29"/>
    </row>
    <row r="229" ht="12.75" customHeight="1">
      <c r="A229" s="26"/>
      <c r="B229" s="12"/>
      <c r="C229" s="240"/>
      <c r="D229" s="241"/>
      <c r="E229" s="5"/>
      <c r="F229" s="5"/>
      <c r="G229" s="5"/>
      <c r="H229" s="5"/>
      <c r="I229" s="5"/>
      <c r="J229" s="5"/>
      <c r="K229" s="8"/>
      <c r="L229" s="9"/>
      <c r="M229" s="10"/>
      <c r="N229" s="12"/>
      <c r="O229" s="242"/>
      <c r="P229" s="243"/>
      <c r="Q229" s="243"/>
      <c r="R229" s="14"/>
      <c r="S229" s="242"/>
      <c r="T229" s="15"/>
      <c r="U229" s="15"/>
      <c r="V229" s="15"/>
      <c r="W229" s="8"/>
      <c r="X229" s="8"/>
      <c r="Y229" s="56"/>
      <c r="Z229" s="56"/>
      <c r="AA229" s="15"/>
      <c r="AB229" s="15"/>
      <c r="AC229" s="15"/>
      <c r="AD229" s="15"/>
      <c r="AE229" s="57"/>
      <c r="AF229" s="57"/>
      <c r="AG229" s="15"/>
      <c r="AH229" s="25"/>
      <c r="AI229" s="26"/>
      <c r="AJ229" s="26"/>
      <c r="AK229" s="27"/>
      <c r="AL229" s="28"/>
      <c r="AM229" s="29"/>
    </row>
    <row r="230" ht="12.75" customHeight="1">
      <c r="A230" s="26"/>
      <c r="B230" s="12"/>
      <c r="C230" s="240"/>
      <c r="D230" s="241"/>
      <c r="E230" s="5"/>
      <c r="F230" s="5"/>
      <c r="G230" s="5"/>
      <c r="H230" s="5"/>
      <c r="I230" s="5"/>
      <c r="J230" s="5"/>
      <c r="K230" s="8"/>
      <c r="L230" s="9"/>
      <c r="M230" s="10"/>
      <c r="N230" s="12"/>
      <c r="O230" s="242"/>
      <c r="P230" s="243"/>
      <c r="Q230" s="243"/>
      <c r="R230" s="14"/>
      <c r="S230" s="242"/>
      <c r="T230" s="15"/>
      <c r="U230" s="15"/>
      <c r="V230" s="15"/>
      <c r="W230" s="8"/>
      <c r="X230" s="8"/>
      <c r="Y230" s="56"/>
      <c r="Z230" s="56"/>
      <c r="AA230" s="15"/>
      <c r="AB230" s="15"/>
      <c r="AC230" s="15"/>
      <c r="AD230" s="15"/>
      <c r="AE230" s="57"/>
      <c r="AF230" s="57"/>
      <c r="AG230" s="15"/>
      <c r="AH230" s="25"/>
      <c r="AI230" s="26"/>
      <c r="AJ230" s="26"/>
      <c r="AK230" s="27"/>
      <c r="AL230" s="28"/>
      <c r="AM230" s="29"/>
    </row>
    <row r="231" ht="12.75" customHeight="1">
      <c r="A231" s="26"/>
      <c r="B231" s="12"/>
      <c r="C231" s="240"/>
      <c r="D231" s="241"/>
      <c r="E231" s="5"/>
      <c r="F231" s="5"/>
      <c r="G231" s="5"/>
      <c r="H231" s="5"/>
      <c r="I231" s="5"/>
      <c r="J231" s="5"/>
      <c r="K231" s="8"/>
      <c r="L231" s="9"/>
      <c r="M231" s="10"/>
      <c r="N231" s="12"/>
      <c r="O231" s="242"/>
      <c r="P231" s="243"/>
      <c r="Q231" s="243"/>
      <c r="R231" s="14"/>
      <c r="S231" s="242"/>
      <c r="T231" s="15"/>
      <c r="U231" s="15"/>
      <c r="V231" s="15"/>
      <c r="W231" s="8"/>
      <c r="X231" s="8"/>
      <c r="Y231" s="56"/>
      <c r="Z231" s="56"/>
      <c r="AA231" s="15"/>
      <c r="AB231" s="15"/>
      <c r="AC231" s="15"/>
      <c r="AD231" s="15"/>
      <c r="AE231" s="57"/>
      <c r="AF231" s="57"/>
      <c r="AG231" s="15"/>
      <c r="AH231" s="25"/>
      <c r="AI231" s="26"/>
      <c r="AJ231" s="26"/>
      <c r="AK231" s="27"/>
      <c r="AL231" s="28"/>
      <c r="AM231" s="29"/>
    </row>
    <row r="232" ht="12.75" customHeight="1">
      <c r="A232" s="26"/>
      <c r="B232" s="12"/>
      <c r="C232" s="240"/>
      <c r="D232" s="241"/>
      <c r="E232" s="5"/>
      <c r="F232" s="5"/>
      <c r="G232" s="5"/>
      <c r="H232" s="5"/>
      <c r="I232" s="5"/>
      <c r="J232" s="5"/>
      <c r="K232" s="8"/>
      <c r="L232" s="9"/>
      <c r="M232" s="10"/>
      <c r="N232" s="12"/>
      <c r="O232" s="242"/>
      <c r="P232" s="243"/>
      <c r="Q232" s="243"/>
      <c r="R232" s="14"/>
      <c r="S232" s="242"/>
      <c r="T232" s="15"/>
      <c r="U232" s="15"/>
      <c r="V232" s="15"/>
      <c r="W232" s="8"/>
      <c r="X232" s="8"/>
      <c r="Y232" s="56"/>
      <c r="Z232" s="56"/>
      <c r="AA232" s="15"/>
      <c r="AB232" s="15"/>
      <c r="AC232" s="15"/>
      <c r="AD232" s="15"/>
      <c r="AE232" s="57"/>
      <c r="AF232" s="57"/>
      <c r="AG232" s="15"/>
      <c r="AH232" s="25"/>
      <c r="AI232" s="26"/>
      <c r="AJ232" s="26"/>
      <c r="AK232" s="27"/>
      <c r="AL232" s="28"/>
      <c r="AM232" s="29"/>
    </row>
    <row r="233" ht="12.75" customHeight="1">
      <c r="A233" s="26"/>
      <c r="B233" s="12"/>
      <c r="C233" s="240"/>
      <c r="D233" s="241"/>
      <c r="E233" s="5"/>
      <c r="F233" s="5"/>
      <c r="G233" s="5"/>
      <c r="H233" s="5"/>
      <c r="I233" s="5"/>
      <c r="J233" s="5"/>
      <c r="K233" s="8"/>
      <c r="L233" s="9"/>
      <c r="M233" s="10"/>
      <c r="N233" s="12"/>
      <c r="O233" s="242"/>
      <c r="P233" s="243"/>
      <c r="Q233" s="243"/>
      <c r="R233" s="14"/>
      <c r="S233" s="242"/>
      <c r="T233" s="15"/>
      <c r="U233" s="15"/>
      <c r="V233" s="15"/>
      <c r="W233" s="8"/>
      <c r="X233" s="8"/>
      <c r="Y233" s="56"/>
      <c r="Z233" s="56"/>
      <c r="AA233" s="15"/>
      <c r="AB233" s="15"/>
      <c r="AC233" s="15"/>
      <c r="AD233" s="15"/>
      <c r="AE233" s="57"/>
      <c r="AF233" s="57"/>
      <c r="AG233" s="15"/>
      <c r="AH233" s="25"/>
      <c r="AI233" s="26"/>
      <c r="AJ233" s="26"/>
      <c r="AK233" s="27"/>
      <c r="AL233" s="28"/>
      <c r="AM233" s="29"/>
    </row>
    <row r="234" ht="12.75" customHeight="1">
      <c r="A234" s="26"/>
      <c r="B234" s="12"/>
      <c r="C234" s="240"/>
      <c r="D234" s="241"/>
      <c r="E234" s="5"/>
      <c r="F234" s="5"/>
      <c r="G234" s="5"/>
      <c r="H234" s="5"/>
      <c r="I234" s="5"/>
      <c r="J234" s="5"/>
      <c r="K234" s="8"/>
      <c r="L234" s="9"/>
      <c r="M234" s="10"/>
      <c r="N234" s="12"/>
      <c r="O234" s="242"/>
      <c r="P234" s="243"/>
      <c r="Q234" s="243"/>
      <c r="R234" s="14"/>
      <c r="S234" s="242"/>
      <c r="T234" s="15"/>
      <c r="U234" s="15"/>
      <c r="V234" s="15"/>
      <c r="W234" s="8"/>
      <c r="X234" s="8"/>
      <c r="Y234" s="56"/>
      <c r="Z234" s="56"/>
      <c r="AA234" s="15"/>
      <c r="AB234" s="15"/>
      <c r="AC234" s="15"/>
      <c r="AD234" s="15"/>
      <c r="AE234" s="57"/>
      <c r="AF234" s="57"/>
      <c r="AG234" s="15"/>
      <c r="AH234" s="25"/>
      <c r="AI234" s="26"/>
      <c r="AJ234" s="26"/>
      <c r="AK234" s="27"/>
      <c r="AL234" s="28"/>
      <c r="AM234" s="29"/>
    </row>
    <row r="235" ht="12.75" customHeight="1">
      <c r="A235" s="26"/>
      <c r="B235" s="12"/>
      <c r="C235" s="240"/>
      <c r="D235" s="241"/>
      <c r="E235" s="5"/>
      <c r="F235" s="5"/>
      <c r="G235" s="5"/>
      <c r="H235" s="5"/>
      <c r="I235" s="5"/>
      <c r="J235" s="5"/>
      <c r="K235" s="8"/>
      <c r="L235" s="9"/>
      <c r="M235" s="10"/>
      <c r="N235" s="12"/>
      <c r="O235" s="242"/>
      <c r="P235" s="243"/>
      <c r="Q235" s="243"/>
      <c r="R235" s="14"/>
      <c r="S235" s="242"/>
      <c r="T235" s="15"/>
      <c r="U235" s="15"/>
      <c r="V235" s="15"/>
      <c r="W235" s="8"/>
      <c r="X235" s="8"/>
      <c r="Y235" s="56"/>
      <c r="Z235" s="56"/>
      <c r="AA235" s="15"/>
      <c r="AB235" s="15"/>
      <c r="AC235" s="15"/>
      <c r="AD235" s="15"/>
      <c r="AE235" s="57"/>
      <c r="AF235" s="57"/>
      <c r="AG235" s="15"/>
      <c r="AH235" s="25"/>
      <c r="AI235" s="26"/>
      <c r="AJ235" s="26"/>
      <c r="AK235" s="27"/>
      <c r="AL235" s="28"/>
      <c r="AM235" s="29"/>
    </row>
    <row r="236" ht="12.75" customHeight="1">
      <c r="A236" s="26"/>
      <c r="B236" s="12"/>
      <c r="C236" s="240"/>
      <c r="D236" s="241"/>
      <c r="E236" s="5"/>
      <c r="F236" s="5"/>
      <c r="G236" s="5"/>
      <c r="H236" s="5"/>
      <c r="I236" s="5"/>
      <c r="J236" s="5"/>
      <c r="K236" s="8"/>
      <c r="L236" s="9"/>
      <c r="M236" s="10"/>
      <c r="N236" s="12"/>
      <c r="O236" s="242"/>
      <c r="P236" s="243"/>
      <c r="Q236" s="243"/>
      <c r="R236" s="14"/>
      <c r="S236" s="242"/>
      <c r="T236" s="15"/>
      <c r="U236" s="15"/>
      <c r="V236" s="15"/>
      <c r="W236" s="8"/>
      <c r="X236" s="8"/>
      <c r="Y236" s="56"/>
      <c r="Z236" s="56"/>
      <c r="AA236" s="15"/>
      <c r="AB236" s="15"/>
      <c r="AC236" s="15"/>
      <c r="AD236" s="15"/>
      <c r="AE236" s="57"/>
      <c r="AF236" s="57"/>
      <c r="AG236" s="15"/>
      <c r="AH236" s="25"/>
      <c r="AI236" s="26"/>
      <c r="AJ236" s="26"/>
      <c r="AK236" s="27"/>
      <c r="AL236" s="28"/>
      <c r="AM236" s="29"/>
    </row>
    <row r="237" ht="12.75" customHeight="1">
      <c r="A237" s="26"/>
      <c r="B237" s="12"/>
      <c r="C237" s="240"/>
      <c r="D237" s="241"/>
      <c r="E237" s="5"/>
      <c r="F237" s="5"/>
      <c r="G237" s="5"/>
      <c r="H237" s="5"/>
      <c r="I237" s="5"/>
      <c r="J237" s="5"/>
      <c r="K237" s="8"/>
      <c r="L237" s="9"/>
      <c r="M237" s="10"/>
      <c r="N237" s="12"/>
      <c r="O237" s="242"/>
      <c r="P237" s="243"/>
      <c r="Q237" s="243"/>
      <c r="R237" s="14"/>
      <c r="S237" s="242"/>
      <c r="T237" s="15"/>
      <c r="U237" s="15"/>
      <c r="V237" s="15"/>
      <c r="W237" s="8"/>
      <c r="X237" s="8"/>
      <c r="Y237" s="56"/>
      <c r="Z237" s="56"/>
      <c r="AA237" s="15"/>
      <c r="AB237" s="15"/>
      <c r="AC237" s="15"/>
      <c r="AD237" s="15"/>
      <c r="AE237" s="57"/>
      <c r="AF237" s="57"/>
      <c r="AG237" s="15"/>
      <c r="AH237" s="25"/>
      <c r="AI237" s="26"/>
      <c r="AJ237" s="26"/>
      <c r="AK237" s="27"/>
      <c r="AL237" s="28"/>
      <c r="AM237" s="29"/>
    </row>
    <row r="238" ht="12.75" customHeight="1">
      <c r="A238" s="26"/>
      <c r="B238" s="12"/>
      <c r="C238" s="240"/>
      <c r="D238" s="241"/>
      <c r="E238" s="5"/>
      <c r="F238" s="5"/>
      <c r="G238" s="5"/>
      <c r="H238" s="5"/>
      <c r="I238" s="5"/>
      <c r="J238" s="5"/>
      <c r="K238" s="8"/>
      <c r="L238" s="9"/>
      <c r="M238" s="10"/>
      <c r="N238" s="12"/>
      <c r="O238" s="242"/>
      <c r="P238" s="243"/>
      <c r="Q238" s="243"/>
      <c r="R238" s="14"/>
      <c r="S238" s="242"/>
      <c r="T238" s="15"/>
      <c r="U238" s="15"/>
      <c r="V238" s="15"/>
      <c r="W238" s="8"/>
      <c r="X238" s="8"/>
      <c r="Y238" s="56"/>
      <c r="Z238" s="56"/>
      <c r="AA238" s="15"/>
      <c r="AB238" s="15"/>
      <c r="AC238" s="15"/>
      <c r="AD238" s="15"/>
      <c r="AE238" s="57"/>
      <c r="AF238" s="57"/>
      <c r="AG238" s="15"/>
      <c r="AH238" s="25"/>
      <c r="AI238" s="26"/>
      <c r="AJ238" s="26"/>
      <c r="AK238" s="27"/>
      <c r="AL238" s="28"/>
      <c r="AM238" s="29"/>
    </row>
    <row r="239" ht="12.75" customHeight="1">
      <c r="A239" s="26"/>
      <c r="B239" s="12"/>
      <c r="C239" s="240"/>
      <c r="D239" s="241"/>
      <c r="E239" s="5"/>
      <c r="F239" s="5"/>
      <c r="G239" s="5"/>
      <c r="H239" s="5"/>
      <c r="I239" s="5"/>
      <c r="J239" s="5"/>
      <c r="K239" s="8"/>
      <c r="L239" s="9"/>
      <c r="M239" s="10"/>
      <c r="N239" s="12"/>
      <c r="O239" s="242"/>
      <c r="P239" s="243"/>
      <c r="Q239" s="243"/>
      <c r="R239" s="14"/>
      <c r="S239" s="242"/>
      <c r="T239" s="15"/>
      <c r="U239" s="15"/>
      <c r="V239" s="15"/>
      <c r="W239" s="8"/>
      <c r="X239" s="8"/>
      <c r="Y239" s="56"/>
      <c r="Z239" s="56"/>
      <c r="AA239" s="15"/>
      <c r="AB239" s="15"/>
      <c r="AC239" s="15"/>
      <c r="AD239" s="15"/>
      <c r="AE239" s="57"/>
      <c r="AF239" s="57"/>
      <c r="AG239" s="15"/>
      <c r="AH239" s="25"/>
      <c r="AI239" s="26"/>
      <c r="AJ239" s="26"/>
      <c r="AK239" s="27"/>
      <c r="AL239" s="28"/>
      <c r="AM239" s="29"/>
    </row>
    <row r="240" ht="12.75" customHeight="1">
      <c r="A240" s="26"/>
      <c r="B240" s="12"/>
      <c r="C240" s="240"/>
      <c r="D240" s="241"/>
      <c r="E240" s="5"/>
      <c r="F240" s="5"/>
      <c r="G240" s="5"/>
      <c r="H240" s="5"/>
      <c r="I240" s="5"/>
      <c r="J240" s="5"/>
      <c r="K240" s="8"/>
      <c r="L240" s="9"/>
      <c r="M240" s="10"/>
      <c r="N240" s="12"/>
      <c r="O240" s="242"/>
      <c r="P240" s="243"/>
      <c r="Q240" s="243"/>
      <c r="R240" s="14"/>
      <c r="S240" s="242"/>
      <c r="T240" s="15"/>
      <c r="U240" s="15"/>
      <c r="V240" s="15"/>
      <c r="W240" s="8"/>
      <c r="X240" s="8"/>
      <c r="Y240" s="56"/>
      <c r="Z240" s="56"/>
      <c r="AA240" s="15"/>
      <c r="AB240" s="15"/>
      <c r="AC240" s="15"/>
      <c r="AD240" s="15"/>
      <c r="AE240" s="57"/>
      <c r="AF240" s="57"/>
      <c r="AG240" s="15"/>
      <c r="AH240" s="25"/>
      <c r="AI240" s="26"/>
      <c r="AJ240" s="26"/>
      <c r="AK240" s="27"/>
      <c r="AL240" s="28"/>
      <c r="AM240" s="29"/>
    </row>
    <row r="241" ht="12.75" customHeight="1">
      <c r="A241" s="26"/>
      <c r="B241" s="12"/>
      <c r="C241" s="240"/>
      <c r="D241" s="241"/>
      <c r="E241" s="5"/>
      <c r="F241" s="5"/>
      <c r="G241" s="5"/>
      <c r="H241" s="5"/>
      <c r="I241" s="5"/>
      <c r="J241" s="5"/>
      <c r="K241" s="8"/>
      <c r="L241" s="9"/>
      <c r="M241" s="10"/>
      <c r="N241" s="12"/>
      <c r="O241" s="242"/>
      <c r="P241" s="243"/>
      <c r="Q241" s="243"/>
      <c r="R241" s="14"/>
      <c r="S241" s="242"/>
      <c r="T241" s="15"/>
      <c r="U241" s="15"/>
      <c r="V241" s="15"/>
      <c r="W241" s="8"/>
      <c r="X241" s="8"/>
      <c r="Y241" s="56"/>
      <c r="Z241" s="56"/>
      <c r="AA241" s="15"/>
      <c r="AB241" s="15"/>
      <c r="AC241" s="15"/>
      <c r="AD241" s="15"/>
      <c r="AE241" s="57"/>
      <c r="AF241" s="57"/>
      <c r="AG241" s="15"/>
      <c r="AH241" s="25"/>
      <c r="AI241" s="26"/>
      <c r="AJ241" s="26"/>
      <c r="AK241" s="27"/>
      <c r="AL241" s="28"/>
      <c r="AM241" s="29"/>
    </row>
    <row r="242" ht="12.75" customHeight="1">
      <c r="A242" s="26"/>
      <c r="B242" s="12"/>
      <c r="C242" s="240"/>
      <c r="D242" s="241"/>
      <c r="E242" s="5"/>
      <c r="F242" s="5"/>
      <c r="G242" s="5"/>
      <c r="H242" s="5"/>
      <c r="I242" s="5"/>
      <c r="J242" s="5"/>
      <c r="K242" s="8"/>
      <c r="L242" s="9"/>
      <c r="M242" s="10"/>
      <c r="N242" s="12"/>
      <c r="O242" s="242"/>
      <c r="P242" s="243"/>
      <c r="Q242" s="243"/>
      <c r="R242" s="14"/>
      <c r="S242" s="242"/>
      <c r="T242" s="15"/>
      <c r="U242" s="15"/>
      <c r="V242" s="15"/>
      <c r="W242" s="8"/>
      <c r="X242" s="8"/>
      <c r="Y242" s="56"/>
      <c r="Z242" s="56"/>
      <c r="AA242" s="15"/>
      <c r="AB242" s="15"/>
      <c r="AC242" s="15"/>
      <c r="AD242" s="15"/>
      <c r="AE242" s="57"/>
      <c r="AF242" s="57"/>
      <c r="AG242" s="15"/>
      <c r="AH242" s="25"/>
      <c r="AI242" s="26"/>
      <c r="AJ242" s="26"/>
      <c r="AK242" s="27"/>
      <c r="AL242" s="28"/>
      <c r="AM242" s="29"/>
    </row>
    <row r="243" ht="12.75" customHeight="1">
      <c r="A243" s="26"/>
      <c r="B243" s="12"/>
      <c r="C243" s="240"/>
      <c r="D243" s="241"/>
      <c r="E243" s="5"/>
      <c r="F243" s="5"/>
      <c r="G243" s="5"/>
      <c r="H243" s="5"/>
      <c r="I243" s="5"/>
      <c r="J243" s="5"/>
      <c r="K243" s="8"/>
      <c r="L243" s="9"/>
      <c r="M243" s="10"/>
      <c r="N243" s="12"/>
      <c r="O243" s="242"/>
      <c r="P243" s="243"/>
      <c r="Q243" s="243"/>
      <c r="R243" s="14"/>
      <c r="S243" s="242"/>
      <c r="T243" s="15"/>
      <c r="U243" s="15"/>
      <c r="V243" s="15"/>
      <c r="W243" s="8"/>
      <c r="X243" s="8"/>
      <c r="Y243" s="56"/>
      <c r="Z243" s="56"/>
      <c r="AA243" s="15"/>
      <c r="AB243" s="15"/>
      <c r="AC243" s="15"/>
      <c r="AD243" s="15"/>
      <c r="AE243" s="57"/>
      <c r="AF243" s="57"/>
      <c r="AG243" s="15"/>
      <c r="AH243" s="25"/>
      <c r="AI243" s="26"/>
      <c r="AJ243" s="26"/>
      <c r="AK243" s="27"/>
      <c r="AL243" s="28"/>
      <c r="AM243" s="29"/>
    </row>
  </sheetData>
  <mergeCells count="8">
    <mergeCell ref="H1:I1"/>
    <mergeCell ref="J4:J5"/>
    <mergeCell ref="AJ7:AM8"/>
    <mergeCell ref="F8:K8"/>
    <mergeCell ref="O8:S8"/>
    <mergeCell ref="T8:V8"/>
    <mergeCell ref="X8:AD8"/>
    <mergeCell ref="AG8:AH8"/>
  </mergeCells>
  <conditionalFormatting sqref="AH1:AH7 AH9:AH243">
    <cfRule type="cellIs" dxfId="0" priority="1" operator="lessThan">
      <formula>0</formula>
    </cfRule>
  </conditionalFormatting>
  <conditionalFormatting sqref="AH1:AH7 AH9:AH243">
    <cfRule type="cellIs" dxfId="1" priority="2" operator="greaterThan">
      <formula>0.300001</formula>
    </cfRule>
  </conditionalFormatting>
  <conditionalFormatting sqref="AH1:AH7 AH9:AH243">
    <cfRule type="cellIs" dxfId="2" priority="3" operator="between">
      <formula>0.250001</formula>
      <formula>0.3</formula>
    </cfRule>
  </conditionalFormatting>
  <conditionalFormatting sqref="AH1:AH7 AH9:AH243">
    <cfRule type="cellIs" dxfId="3" priority="4" operator="between">
      <formula>0.200001</formula>
      <formula>0.25</formula>
    </cfRule>
  </conditionalFormatting>
  <conditionalFormatting sqref="AH1:AH7 AH9:AH243">
    <cfRule type="cellIs" dxfId="4" priority="5" operator="between">
      <formula>0.1500001</formula>
      <formula>0.2</formula>
    </cfRule>
  </conditionalFormatting>
  <conditionalFormatting sqref="AH1:AH7 AH9:AH243">
    <cfRule type="cellIs" dxfId="5" priority="6" operator="between">
      <formula>0.0000001</formula>
      <formula>0.15</formula>
    </cfRule>
  </conditionalFormatting>
  <printOptions/>
  <pageMargins bottom="0.7875" footer="0.0" header="0.0" left="0.7875" right="0.7875" top="0.78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4.43" defaultRowHeight="15.0"/>
  <cols>
    <col customWidth="1" min="1" max="1" width="1.43"/>
    <col customWidth="1" hidden="1" min="2" max="2" width="8.71"/>
    <col customWidth="1" min="3" max="3" width="12.14"/>
    <col customWidth="1" min="4" max="4" width="52.71"/>
    <col customWidth="1" min="5" max="5" width="5.71"/>
    <col customWidth="1" min="6" max="6" width="7.71"/>
    <col customWidth="1" min="7" max="7" width="8.29"/>
    <col customWidth="1" min="8" max="9" width="8.0"/>
    <col customWidth="1" min="10" max="10" width="8.14"/>
    <col customWidth="1" min="11" max="11" width="9.86"/>
    <col customWidth="1" min="12" max="13" width="8.14"/>
    <col customWidth="1" min="14" max="15" width="9.0"/>
    <col customWidth="1" min="16" max="17" width="10.14"/>
    <col customWidth="1" min="18" max="22" width="9.0"/>
    <col customWidth="1" min="23" max="23" width="7.14"/>
    <col customWidth="1" min="24" max="30" width="9.0"/>
    <col customWidth="1" min="31" max="31" width="7.43"/>
    <col customWidth="1" min="32" max="34" width="9.0"/>
    <col customWidth="1" min="35" max="35" width="2.0"/>
    <col customWidth="1" min="36" max="37" width="9.0"/>
    <col customWidth="1" min="38" max="38" width="10.14"/>
    <col customWidth="1" min="39" max="39" width="9.0"/>
  </cols>
  <sheetData>
    <row r="1" ht="12.75" customHeight="1">
      <c r="A1" s="1">
        <v>2.14312259E8</v>
      </c>
      <c r="B1" s="2"/>
      <c r="C1" s="3">
        <v>60.0</v>
      </c>
      <c r="D1" s="4" t="s">
        <v>0</v>
      </c>
      <c r="E1" s="5"/>
      <c r="F1" s="5"/>
      <c r="G1" s="5"/>
      <c r="H1" s="6">
        <v>45712.0</v>
      </c>
      <c r="I1" s="7"/>
      <c r="J1" s="5"/>
      <c r="K1" s="8"/>
      <c r="L1" s="9"/>
      <c r="M1" s="10"/>
      <c r="N1" s="10"/>
      <c r="O1" s="12" t="s">
        <v>1</v>
      </c>
      <c r="P1" s="13"/>
      <c r="Q1" s="13"/>
      <c r="R1" s="14"/>
      <c r="S1" s="15" t="s">
        <v>2</v>
      </c>
      <c r="T1" s="15"/>
      <c r="U1" s="15"/>
      <c r="V1" s="15"/>
      <c r="W1" s="8"/>
      <c r="X1" s="16" t="s">
        <v>3</v>
      </c>
      <c r="Y1" s="17">
        <v>1.7</v>
      </c>
      <c r="Z1" s="18" t="s">
        <v>4</v>
      </c>
      <c r="AA1" s="19"/>
      <c r="AB1" s="20"/>
      <c r="AC1" s="15"/>
      <c r="AD1" s="21">
        <v>0.29</v>
      </c>
      <c r="AE1" s="22" t="s">
        <v>5</v>
      </c>
      <c r="AF1" s="23"/>
      <c r="AG1" s="24"/>
      <c r="AH1" s="25"/>
      <c r="AI1" s="26"/>
      <c r="AJ1" s="26"/>
      <c r="AK1" s="27"/>
      <c r="AL1" s="28"/>
      <c r="AM1" s="29"/>
    </row>
    <row r="2" ht="12.75" customHeight="1">
      <c r="A2" s="26"/>
      <c r="B2" s="12"/>
      <c r="C2" s="30">
        <v>0.03</v>
      </c>
      <c r="D2" s="31" t="s">
        <v>6</v>
      </c>
      <c r="E2" s="5"/>
      <c r="F2" s="5"/>
      <c r="G2" s="5"/>
      <c r="H2" s="32" t="s">
        <v>7</v>
      </c>
      <c r="I2" s="32">
        <v>6.9E-4</v>
      </c>
      <c r="J2" s="5"/>
      <c r="K2" s="8"/>
      <c r="L2" s="9"/>
      <c r="M2" s="10"/>
      <c r="N2" s="10" t="s">
        <v>8</v>
      </c>
      <c r="O2" s="33">
        <v>170.0</v>
      </c>
      <c r="P2" s="34">
        <v>64.6</v>
      </c>
      <c r="Q2" s="34"/>
      <c r="R2" s="35">
        <v>16.15</v>
      </c>
      <c r="S2" s="36">
        <v>170.0</v>
      </c>
      <c r="T2" s="36">
        <v>0.14</v>
      </c>
      <c r="U2" s="36">
        <v>0.14</v>
      </c>
      <c r="V2" s="15"/>
      <c r="W2" s="8"/>
      <c r="X2" s="37" t="s">
        <v>9</v>
      </c>
      <c r="Y2" s="38">
        <v>1.7</v>
      </c>
      <c r="Z2" s="39" t="s">
        <v>10</v>
      </c>
      <c r="AA2" s="38"/>
      <c r="AB2" s="40"/>
      <c r="AC2" s="15"/>
      <c r="AD2" s="41">
        <v>0.0</v>
      </c>
      <c r="AE2" s="22" t="s">
        <v>11</v>
      </c>
      <c r="AF2" s="23"/>
      <c r="AG2" s="24"/>
      <c r="AH2" s="25"/>
      <c r="AI2" s="26"/>
      <c r="AJ2" s="26"/>
      <c r="AK2" s="27"/>
      <c r="AL2" s="28"/>
      <c r="AM2" s="29"/>
    </row>
    <row r="3" ht="12.75" customHeight="1">
      <c r="A3" s="26"/>
      <c r="B3" s="12"/>
      <c r="C3" s="42">
        <v>0.0</v>
      </c>
      <c r="D3" s="43" t="s">
        <v>12</v>
      </c>
      <c r="E3" s="5"/>
      <c r="F3" s="5"/>
      <c r="G3" s="5"/>
      <c r="H3" s="44" t="s">
        <v>13</v>
      </c>
      <c r="I3" s="44">
        <v>89.0</v>
      </c>
      <c r="J3" s="5"/>
      <c r="K3" s="8"/>
      <c r="L3" s="9"/>
      <c r="M3" s="10"/>
      <c r="N3" s="10" t="s">
        <v>14</v>
      </c>
      <c r="O3" s="33">
        <v>160.0</v>
      </c>
      <c r="P3" s="34">
        <v>60.8</v>
      </c>
      <c r="Q3" s="34"/>
      <c r="R3" s="35">
        <v>15.2</v>
      </c>
      <c r="S3" s="36">
        <v>160.0</v>
      </c>
      <c r="T3" s="36">
        <v>0.13</v>
      </c>
      <c r="U3" s="36">
        <v>0.13</v>
      </c>
      <c r="V3" s="15"/>
      <c r="W3" s="8"/>
      <c r="X3" s="8"/>
      <c r="Y3" s="45">
        <v>50.0</v>
      </c>
      <c r="Z3" s="46" t="s">
        <v>15</v>
      </c>
      <c r="AA3" s="38"/>
      <c r="AB3" s="40"/>
      <c r="AC3" s="15"/>
      <c r="AD3" s="47">
        <v>0.0</v>
      </c>
      <c r="AE3" s="48" t="s">
        <v>16</v>
      </c>
      <c r="AF3" s="49"/>
      <c r="AG3" s="50"/>
      <c r="AH3" s="25"/>
      <c r="AI3" s="26"/>
      <c r="AJ3" s="26"/>
      <c r="AK3" s="27"/>
      <c r="AL3" s="28"/>
      <c r="AM3" s="29"/>
    </row>
    <row r="4" ht="12.75" customHeight="1">
      <c r="A4" s="26"/>
      <c r="B4" s="12"/>
      <c r="C4" s="51">
        <v>76.0</v>
      </c>
      <c r="D4" s="52" t="s">
        <v>17</v>
      </c>
      <c r="E4" s="5"/>
      <c r="F4" s="5"/>
      <c r="G4" s="53"/>
      <c r="H4" s="54" t="s">
        <v>18</v>
      </c>
      <c r="I4" s="32"/>
      <c r="J4" s="55">
        <v>0.3</v>
      </c>
      <c r="K4" s="8"/>
      <c r="L4" s="9"/>
      <c r="M4" s="10"/>
      <c r="N4" s="10" t="s">
        <v>19</v>
      </c>
      <c r="O4" s="33">
        <v>115.0</v>
      </c>
      <c r="P4" s="34">
        <v>43.7</v>
      </c>
      <c r="Q4" s="34"/>
      <c r="R4" s="35">
        <v>10.93</v>
      </c>
      <c r="S4" s="36">
        <v>115.0</v>
      </c>
      <c r="T4" s="36">
        <v>0.09</v>
      </c>
      <c r="U4" s="36">
        <v>0.09</v>
      </c>
      <c r="V4" s="15"/>
      <c r="W4" s="8"/>
      <c r="X4" s="8"/>
      <c r="Y4" s="15">
        <v>38.0</v>
      </c>
      <c r="Z4" s="56" t="s">
        <v>20</v>
      </c>
      <c r="AA4" s="15"/>
      <c r="AB4" s="15"/>
      <c r="AC4" s="15"/>
      <c r="AD4" s="15"/>
      <c r="AE4" s="57"/>
      <c r="AF4" s="57"/>
      <c r="AG4" s="15"/>
      <c r="AH4" s="25"/>
      <c r="AI4" s="26"/>
      <c r="AJ4" s="26"/>
      <c r="AK4" s="27"/>
      <c r="AL4" s="28"/>
      <c r="AM4" s="29"/>
    </row>
    <row r="5" ht="12.75" customHeight="1">
      <c r="A5" s="26"/>
      <c r="B5" s="12"/>
      <c r="C5" s="58">
        <v>19.0</v>
      </c>
      <c r="D5" s="59" t="s">
        <v>21</v>
      </c>
      <c r="E5" s="5"/>
      <c r="F5" s="5"/>
      <c r="G5" s="53"/>
      <c r="H5" s="54" t="s">
        <v>22</v>
      </c>
      <c r="I5" s="32"/>
      <c r="J5" s="60"/>
      <c r="K5" s="8"/>
      <c r="L5" s="9"/>
      <c r="M5" s="10"/>
      <c r="N5" s="10" t="s">
        <v>23</v>
      </c>
      <c r="O5" s="61">
        <v>200.0</v>
      </c>
      <c r="P5" s="62">
        <v>76.0</v>
      </c>
      <c r="Q5" s="62"/>
      <c r="R5" s="63">
        <v>19.0</v>
      </c>
      <c r="S5" s="36">
        <v>200.0</v>
      </c>
      <c r="T5" s="64">
        <v>0.16</v>
      </c>
      <c r="U5" s="64">
        <v>0.16</v>
      </c>
      <c r="V5" s="15"/>
      <c r="W5" s="8"/>
      <c r="X5" s="8"/>
      <c r="Y5" s="15">
        <v>9.5</v>
      </c>
      <c r="Z5" s="56" t="s">
        <v>24</v>
      </c>
      <c r="AA5" s="15"/>
      <c r="AB5" s="15"/>
      <c r="AC5" s="15"/>
      <c r="AD5" s="15"/>
      <c r="AE5" s="57"/>
      <c r="AF5" s="57"/>
      <c r="AG5" s="15"/>
      <c r="AH5" s="25"/>
      <c r="AI5" s="26"/>
      <c r="AJ5" s="26"/>
      <c r="AK5" s="27"/>
      <c r="AL5" s="28"/>
      <c r="AM5" s="29"/>
    </row>
    <row r="6" ht="12.75" customHeight="1">
      <c r="A6" s="26"/>
      <c r="B6" s="12"/>
      <c r="C6" s="51">
        <v>0.16</v>
      </c>
      <c r="D6" s="52" t="s">
        <v>25</v>
      </c>
      <c r="E6" s="5"/>
      <c r="F6" s="5"/>
      <c r="G6" s="5"/>
      <c r="H6" s="5"/>
      <c r="I6" s="5"/>
      <c r="J6" s="5"/>
      <c r="K6" s="8"/>
      <c r="L6" s="9"/>
      <c r="M6" s="10"/>
      <c r="N6" s="10" t="s">
        <v>26</v>
      </c>
      <c r="O6" s="33">
        <v>165.0</v>
      </c>
      <c r="P6" s="34">
        <v>62.7</v>
      </c>
      <c r="Q6" s="34"/>
      <c r="R6" s="35">
        <v>15.68</v>
      </c>
      <c r="S6" s="36">
        <v>165.0</v>
      </c>
      <c r="T6" s="36">
        <v>0.13</v>
      </c>
      <c r="U6" s="36">
        <v>0.13</v>
      </c>
      <c r="V6" s="15"/>
      <c r="W6" s="8"/>
      <c r="X6" s="8"/>
      <c r="Y6" s="65">
        <v>0.325</v>
      </c>
      <c r="Z6" s="66" t="s">
        <v>27</v>
      </c>
      <c r="AA6" s="19"/>
      <c r="AB6" s="20"/>
      <c r="AC6" s="15"/>
      <c r="AD6" s="15"/>
      <c r="AE6" s="57"/>
      <c r="AF6" s="57"/>
      <c r="AG6" s="15"/>
      <c r="AH6" s="25"/>
      <c r="AI6" s="26"/>
      <c r="AJ6" s="26"/>
      <c r="AK6" s="27"/>
      <c r="AL6" s="28"/>
      <c r="AM6" s="29"/>
    </row>
    <row r="7" ht="12.75" customHeight="1">
      <c r="A7" s="26"/>
      <c r="B7" s="12"/>
      <c r="C7" s="67">
        <v>30.0</v>
      </c>
      <c r="D7" s="59" t="s">
        <v>28</v>
      </c>
      <c r="E7" s="5"/>
      <c r="F7" s="5"/>
      <c r="G7" s="5"/>
      <c r="H7" s="5"/>
      <c r="I7" s="5"/>
      <c r="J7" s="5"/>
      <c r="K7" s="8"/>
      <c r="L7" s="9"/>
      <c r="M7" s="10"/>
      <c r="N7" s="10" t="s">
        <v>29</v>
      </c>
      <c r="O7" s="33">
        <v>220.0</v>
      </c>
      <c r="P7" s="34">
        <v>83.6</v>
      </c>
      <c r="Q7" s="34"/>
      <c r="R7" s="68">
        <v>20.9</v>
      </c>
      <c r="S7" s="35">
        <v>220.0</v>
      </c>
      <c r="T7" s="36">
        <v>0.18</v>
      </c>
      <c r="U7" s="36">
        <v>0.18</v>
      </c>
      <c r="V7" s="15"/>
      <c r="W7" s="69"/>
      <c r="X7" s="8"/>
      <c r="Y7" s="70">
        <v>0.0217</v>
      </c>
      <c r="Z7" s="71" t="s">
        <v>30</v>
      </c>
      <c r="AA7" s="72"/>
      <c r="AB7" s="73"/>
      <c r="AC7" s="15"/>
      <c r="AD7" s="15"/>
      <c r="AE7" s="57"/>
      <c r="AF7" s="57"/>
      <c r="AG7" s="15"/>
      <c r="AH7" s="25"/>
      <c r="AI7" s="26"/>
      <c r="AJ7" s="74" t="s">
        <v>31</v>
      </c>
      <c r="AK7" s="75"/>
      <c r="AL7" s="75"/>
      <c r="AM7" s="76"/>
    </row>
    <row r="8" ht="12.75" customHeight="1">
      <c r="A8" s="26"/>
      <c r="B8" s="77"/>
      <c r="C8" s="78">
        <v>0.08</v>
      </c>
      <c r="D8" s="79" t="s">
        <v>32</v>
      </c>
      <c r="E8" s="80"/>
      <c r="F8" s="81" t="s">
        <v>33</v>
      </c>
      <c r="G8" s="82"/>
      <c r="H8" s="82"/>
      <c r="I8" s="82"/>
      <c r="J8" s="82"/>
      <c r="K8" s="83"/>
      <c r="L8" s="84"/>
      <c r="M8" s="85"/>
      <c r="N8" s="12"/>
      <c r="O8" s="87" t="s">
        <v>34</v>
      </c>
      <c r="P8" s="88"/>
      <c r="Q8" s="88"/>
      <c r="R8" s="88"/>
      <c r="S8" s="89"/>
      <c r="T8" s="90" t="s">
        <v>35</v>
      </c>
      <c r="U8" s="88"/>
      <c r="V8" s="89"/>
      <c r="W8" s="8"/>
      <c r="X8" s="91" t="s">
        <v>36</v>
      </c>
      <c r="Y8" s="75"/>
      <c r="Z8" s="75"/>
      <c r="AA8" s="75"/>
      <c r="AB8" s="75"/>
      <c r="AC8" s="75"/>
      <c r="AD8" s="76"/>
      <c r="AE8" s="57"/>
      <c r="AF8" s="57"/>
      <c r="AG8" s="92" t="s">
        <v>37</v>
      </c>
      <c r="AH8" s="83"/>
      <c r="AI8" s="26"/>
      <c r="AJ8" s="93"/>
      <c r="AK8" s="94"/>
      <c r="AL8" s="94"/>
      <c r="AM8" s="95"/>
    </row>
    <row r="9" ht="52.5" customHeight="1">
      <c r="A9" s="26"/>
      <c r="B9" s="96" t="s">
        <v>38</v>
      </c>
      <c r="C9" s="96" t="s">
        <v>39</v>
      </c>
      <c r="D9" s="97" t="s">
        <v>40</v>
      </c>
      <c r="E9" s="98" t="s">
        <v>41</v>
      </c>
      <c r="F9" s="99" t="s">
        <v>42</v>
      </c>
      <c r="G9" s="100" t="s">
        <v>43</v>
      </c>
      <c r="H9" s="101" t="s">
        <v>44</v>
      </c>
      <c r="I9" s="101" t="s">
        <v>45</v>
      </c>
      <c r="J9" s="101" t="s">
        <v>46</v>
      </c>
      <c r="K9" s="102" t="s">
        <v>47</v>
      </c>
      <c r="L9" s="103" t="s">
        <v>48</v>
      </c>
      <c r="M9" s="104" t="s">
        <v>49</v>
      </c>
      <c r="N9" s="259" t="s">
        <v>656</v>
      </c>
      <c r="O9" s="106" t="s">
        <v>51</v>
      </c>
      <c r="P9" s="107" t="s">
        <v>815</v>
      </c>
      <c r="Q9" s="108" t="s">
        <v>53</v>
      </c>
      <c r="R9" s="109" t="s">
        <v>54</v>
      </c>
      <c r="S9" s="110" t="s">
        <v>55</v>
      </c>
      <c r="T9" s="111" t="s">
        <v>56</v>
      </c>
      <c r="U9" s="379" t="s">
        <v>766</v>
      </c>
      <c r="V9" s="112" t="s">
        <v>58</v>
      </c>
      <c r="W9" s="113" t="s">
        <v>59</v>
      </c>
      <c r="X9" s="114" t="s">
        <v>60</v>
      </c>
      <c r="Y9" s="115" t="s">
        <v>816</v>
      </c>
      <c r="Z9" s="115" t="s">
        <v>817</v>
      </c>
      <c r="AA9" s="116" t="s">
        <v>63</v>
      </c>
      <c r="AB9" s="116" t="s">
        <v>64</v>
      </c>
      <c r="AC9" s="116" t="s">
        <v>65</v>
      </c>
      <c r="AD9" s="117" t="s">
        <v>818</v>
      </c>
      <c r="AE9" s="118" t="s">
        <v>67</v>
      </c>
      <c r="AF9" s="119" t="s">
        <v>68</v>
      </c>
      <c r="AG9" s="120" t="s">
        <v>69</v>
      </c>
      <c r="AH9" s="121" t="s">
        <v>70</v>
      </c>
      <c r="AI9" s="26"/>
      <c r="AJ9" s="122" t="s">
        <v>71</v>
      </c>
      <c r="AK9" s="123" t="s">
        <v>72</v>
      </c>
      <c r="AL9" s="107" t="s">
        <v>819</v>
      </c>
      <c r="AM9" s="124" t="s">
        <v>74</v>
      </c>
    </row>
    <row r="10" ht="12.75" customHeight="1">
      <c r="A10" s="26"/>
      <c r="B10" s="125" t="s">
        <v>75</v>
      </c>
      <c r="C10" s="126"/>
      <c r="D10" s="127"/>
      <c r="E10" s="128"/>
      <c r="F10" s="129"/>
      <c r="G10" s="128"/>
      <c r="H10" s="128"/>
      <c r="I10" s="128"/>
      <c r="J10" s="128"/>
      <c r="K10" s="130"/>
      <c r="L10" s="131"/>
      <c r="M10" s="132"/>
      <c r="N10" s="320"/>
      <c r="O10" s="134"/>
      <c r="P10" s="135"/>
      <c r="Q10" s="135"/>
      <c r="R10" s="136"/>
      <c r="S10" s="137"/>
      <c r="T10" s="138"/>
      <c r="U10" s="139"/>
      <c r="V10" s="140"/>
      <c r="W10" s="141"/>
      <c r="X10" s="142"/>
      <c r="Y10" s="143"/>
      <c r="Z10" s="143"/>
      <c r="AA10" s="139"/>
      <c r="AB10" s="139"/>
      <c r="AC10" s="139"/>
      <c r="AD10" s="140"/>
      <c r="AE10" s="144"/>
      <c r="AF10" s="145"/>
      <c r="AG10" s="138"/>
      <c r="AH10" s="146"/>
      <c r="AI10" s="26"/>
      <c r="AJ10" s="147"/>
      <c r="AK10" s="148"/>
      <c r="AL10" s="149"/>
      <c r="AM10" s="150"/>
    </row>
    <row r="11" ht="12.75" customHeight="1">
      <c r="A11" s="26"/>
      <c r="B11" s="190" t="s">
        <v>474</v>
      </c>
      <c r="C11" s="220">
        <v>1.65299669E8</v>
      </c>
      <c r="D11" s="221" t="s">
        <v>477</v>
      </c>
      <c r="E11" s="211" t="s">
        <v>77</v>
      </c>
      <c r="F11" s="154"/>
      <c r="G11" s="211"/>
      <c r="H11" s="53" t="str">
        <f t="shared" ref="H11:H13" si="1">$I$2</f>
        <v>0.00069</v>
      </c>
      <c r="I11" s="53" t="str">
        <f t="shared" ref="I11:I13" si="2">$I$3</f>
        <v>89</v>
      </c>
      <c r="J11" s="53" t="str">
        <f t="shared" ref="J11:J13" si="3">G11*H11*I11*F11</f>
        <v>0</v>
      </c>
      <c r="K11" s="155" t="str">
        <f t="shared" ref="K11:K13" si="4">J11*$J$4</f>
        <v>0.00</v>
      </c>
      <c r="L11" s="156" t="str">
        <f t="shared" ref="L11:L13" si="5">K11+J11</f>
        <v>0.00 </v>
      </c>
      <c r="M11" s="132">
        <v>90.0</v>
      </c>
      <c r="N11" s="157">
        <v>224.0</v>
      </c>
      <c r="O11" s="158">
        <v>631.0</v>
      </c>
      <c r="P11" s="159" t="str">
        <f t="shared" ref="P11:P40" si="6">O11</f>
        <v>631.00</v>
      </c>
      <c r="Q11" s="160">
        <v>460.0</v>
      </c>
      <c r="R11" s="161">
        <v>0.32</v>
      </c>
      <c r="S11" s="162" t="str">
        <f t="shared" ref="S11:S27" si="7">O11-(O11*R11)</f>
        <v>429.08</v>
      </c>
      <c r="T11" s="163">
        <v>60.0</v>
      </c>
      <c r="U11" s="164" t="str">
        <f t="shared" ref="U11:U27" si="8">S11*$C$8</f>
        <v>34.33</v>
      </c>
      <c r="V11" s="165" t="str">
        <f t="shared" ref="V11:V27" si="9">N11*$C$3*(M11/30)</f>
        <v>0.00</v>
      </c>
      <c r="W11" s="166">
        <v>0.77</v>
      </c>
      <c r="X11" s="167" t="str">
        <f t="shared" ref="X11:X27" si="10">((_xlfn.CEILING.MATH(W11)-1)*$C$5+$C$4)</f>
        <v>76</v>
      </c>
      <c r="Y11" s="168" t="str">
        <f t="shared" ref="Y11:Y27" si="11">O11*$Y$6</f>
        <v>205.075</v>
      </c>
      <c r="Z11" s="168" t="str">
        <f t="shared" ref="Z11:Z27" si="12">S11*$Y$7</f>
        <v>9.311</v>
      </c>
      <c r="AA11" s="164" t="str">
        <f t="shared" ref="AA11:AA27" si="13">$Y$3*((100-AB11)/100)</f>
        <v>7.15</v>
      </c>
      <c r="AB11" s="164">
        <v>85.71</v>
      </c>
      <c r="AC11" s="164" t="str">
        <f t="shared" ref="AC11:AC27" si="14">$C$6*$C$7*_xlfn.CEILING.MATH(W11)</f>
        <v>4.80</v>
      </c>
      <c r="AD11" s="165" t="str">
        <f t="shared" ref="AD11:AD27" si="15">O11*$C$2</f>
        <v>18.93</v>
      </c>
      <c r="AE11" s="23"/>
      <c r="AF11" s="169" t="str">
        <f t="shared" ref="AF11:AF27" si="16">(_xlfn.CEILING.MATH(W11))*$Y$1*$AD$2</f>
        <v>0</v>
      </c>
      <c r="AG11" s="163" t="str">
        <f>O11-T11-U11-V11-X11-Y11-Z11-AA11-AC11-AD11-N11</f>
        <v>-8.59</v>
      </c>
      <c r="AH11" s="170" t="str">
        <f t="shared" ref="AH11:AH42" si="17">AG11/N11</f>
        <v>-3.83%</v>
      </c>
      <c r="AI11" s="26"/>
      <c r="AJ11" s="171" t="str">
        <f t="shared" ref="AJ11:AJ13" si="18">$AD$3</f>
        <v>0.00%</v>
      </c>
      <c r="AK11" s="172" t="str">
        <f t="shared" ref="AK11:AK13" si="19">N11*AJ11</f>
        <v>0.00</v>
      </c>
      <c r="AL11" s="173" t="str">
        <f t="shared" ref="AL11:AL13" si="20">(N11+T11+V11+X11+AA11+AC11+AF11+AK11)/(100%-($C$2+$C$8+$Y$6+$Y$7))</f>
        <v>684.60</v>
      </c>
      <c r="AM11" s="174" t="str">
        <f t="shared" ref="AM11:AM13" si="21">AL11-(AL11*$AD$1)</f>
        <v>486.07</v>
      </c>
    </row>
    <row r="12" ht="12.75" customHeight="1">
      <c r="A12" s="26"/>
      <c r="B12" s="190" t="s">
        <v>451</v>
      </c>
      <c r="C12" s="191">
        <v>1.68956857E8</v>
      </c>
      <c r="D12" s="152" t="s">
        <v>452</v>
      </c>
      <c r="E12" s="53" t="s">
        <v>77</v>
      </c>
      <c r="F12" s="154"/>
      <c r="G12" s="53"/>
      <c r="H12" s="53" t="str">
        <f t="shared" si="1"/>
        <v>0.00069</v>
      </c>
      <c r="I12" s="53" t="str">
        <f t="shared" si="2"/>
        <v>89</v>
      </c>
      <c r="J12" s="53" t="str">
        <f t="shared" si="3"/>
        <v>0</v>
      </c>
      <c r="K12" s="155" t="str">
        <f t="shared" si="4"/>
        <v>0.00</v>
      </c>
      <c r="L12" s="156" t="str">
        <f t="shared" si="5"/>
        <v>0.00 </v>
      </c>
      <c r="M12" s="132">
        <v>90.0</v>
      </c>
      <c r="N12" s="157">
        <v>560.0</v>
      </c>
      <c r="O12" s="158">
        <v>1590.0</v>
      </c>
      <c r="P12" s="159" t="str">
        <f t="shared" si="6"/>
        <v>1,590.00</v>
      </c>
      <c r="Q12" s="160">
        <v>1348.0</v>
      </c>
      <c r="R12" s="161">
        <v>0.32</v>
      </c>
      <c r="S12" s="162" t="str">
        <f t="shared" si="7"/>
        <v>1,081.20</v>
      </c>
      <c r="T12" s="163" t="str">
        <f t="shared" ref="T12:T27" si="22">$C$1</f>
        <v>60.00</v>
      </c>
      <c r="U12" s="164" t="str">
        <f t="shared" si="8"/>
        <v>86.50</v>
      </c>
      <c r="V12" s="165" t="str">
        <f t="shared" si="9"/>
        <v>0.00</v>
      </c>
      <c r="W12" s="166">
        <v>1.46</v>
      </c>
      <c r="X12" s="167" t="str">
        <f t="shared" si="10"/>
        <v>95</v>
      </c>
      <c r="Y12" s="168" t="str">
        <f t="shared" si="11"/>
        <v>516.750</v>
      </c>
      <c r="Z12" s="168" t="str">
        <f t="shared" si="12"/>
        <v>23.462</v>
      </c>
      <c r="AA12" s="164" t="str">
        <f t="shared" si="13"/>
        <v>2.48</v>
      </c>
      <c r="AB12" s="164">
        <v>95.04</v>
      </c>
      <c r="AC12" s="164" t="str">
        <f t="shared" si="14"/>
        <v>9.60</v>
      </c>
      <c r="AD12" s="165" t="str">
        <f t="shared" si="15"/>
        <v>47.70</v>
      </c>
      <c r="AE12" s="23"/>
      <c r="AF12" s="169" t="str">
        <f t="shared" si="16"/>
        <v>0</v>
      </c>
      <c r="AG12" s="163" t="str">
        <f>O12-T12-U12-V12-X12-Y12-Z12-AA12-AC12-AD12-N12-AF12</f>
        <v>188.51</v>
      </c>
      <c r="AH12" s="170" t="str">
        <f t="shared" si="17"/>
        <v>33.66%</v>
      </c>
      <c r="AI12" s="26"/>
      <c r="AJ12" s="171" t="str">
        <f t="shared" si="18"/>
        <v>0.00%</v>
      </c>
      <c r="AK12" s="172" t="str">
        <f t="shared" si="19"/>
        <v>0.00</v>
      </c>
      <c r="AL12" s="173" t="str">
        <f t="shared" si="20"/>
        <v>1,338.27</v>
      </c>
      <c r="AM12" s="174" t="str">
        <f t="shared" si="21"/>
        <v>950.17</v>
      </c>
    </row>
    <row r="13" ht="12.75" customHeight="1">
      <c r="A13" s="26"/>
      <c r="B13" s="190" t="s">
        <v>495</v>
      </c>
      <c r="C13" s="191">
        <v>1.69074006E8</v>
      </c>
      <c r="D13" s="222" t="s">
        <v>496</v>
      </c>
      <c r="E13" s="53" t="s">
        <v>77</v>
      </c>
      <c r="F13" s="154"/>
      <c r="G13" s="53"/>
      <c r="H13" s="53" t="str">
        <f t="shared" si="1"/>
        <v>0.00069</v>
      </c>
      <c r="I13" s="53" t="str">
        <f t="shared" si="2"/>
        <v>89</v>
      </c>
      <c r="J13" s="53" t="str">
        <f t="shared" si="3"/>
        <v>0</v>
      </c>
      <c r="K13" s="155" t="str">
        <f t="shared" si="4"/>
        <v>0.00</v>
      </c>
      <c r="L13" s="156" t="str">
        <f t="shared" si="5"/>
        <v>0.00 </v>
      </c>
      <c r="M13" s="132">
        <v>90.0</v>
      </c>
      <c r="N13" s="157">
        <v>422.0</v>
      </c>
      <c r="O13" s="158">
        <v>1172.0</v>
      </c>
      <c r="P13" s="159" t="str">
        <f t="shared" si="6"/>
        <v>1,172.00</v>
      </c>
      <c r="Q13" s="160">
        <v>885.0</v>
      </c>
      <c r="R13" s="161">
        <v>0.32</v>
      </c>
      <c r="S13" s="162" t="str">
        <f t="shared" si="7"/>
        <v>796.96</v>
      </c>
      <c r="T13" s="163" t="str">
        <f t="shared" si="22"/>
        <v>60.00</v>
      </c>
      <c r="U13" s="164" t="str">
        <f t="shared" si="8"/>
        <v>63.76</v>
      </c>
      <c r="V13" s="165" t="str">
        <f t="shared" si="9"/>
        <v>0.00</v>
      </c>
      <c r="W13" s="166">
        <v>1.26</v>
      </c>
      <c r="X13" s="167" t="str">
        <f t="shared" si="10"/>
        <v>95</v>
      </c>
      <c r="Y13" s="168" t="str">
        <f t="shared" si="11"/>
        <v>380.900</v>
      </c>
      <c r="Z13" s="168" t="str">
        <f t="shared" si="12"/>
        <v>17.294</v>
      </c>
      <c r="AA13" s="164" t="str">
        <f t="shared" si="13"/>
        <v>34.09</v>
      </c>
      <c r="AB13" s="164">
        <v>31.82</v>
      </c>
      <c r="AC13" s="164" t="str">
        <f t="shared" si="14"/>
        <v>9.60</v>
      </c>
      <c r="AD13" s="165" t="str">
        <f t="shared" si="15"/>
        <v>35.16</v>
      </c>
      <c r="AE13" s="23"/>
      <c r="AF13" s="169" t="str">
        <f t="shared" si="16"/>
        <v>0</v>
      </c>
      <c r="AG13" s="163" t="str">
        <f t="shared" ref="AG13:AG27" si="23">O13-T13-U13-V13-X13-Y13-Z13-AA13-AC13-AD13-N13</f>
        <v>54.20</v>
      </c>
      <c r="AH13" s="170" t="str">
        <f t="shared" si="17"/>
        <v>12.84%</v>
      </c>
      <c r="AI13" s="26"/>
      <c r="AJ13" s="171" t="str">
        <f t="shared" si="18"/>
        <v>0.00%</v>
      </c>
      <c r="AK13" s="172" t="str">
        <f t="shared" si="19"/>
        <v>0.00</v>
      </c>
      <c r="AL13" s="173" t="str">
        <f t="shared" si="20"/>
        <v>1,142.44</v>
      </c>
      <c r="AM13" s="174" t="str">
        <f t="shared" si="21"/>
        <v>811.14</v>
      </c>
    </row>
    <row r="14" ht="12.75" customHeight="1">
      <c r="A14" s="26"/>
      <c r="B14" s="190"/>
      <c r="C14" s="382">
        <v>8.809744062129E12</v>
      </c>
      <c r="D14" s="222" t="s">
        <v>802</v>
      </c>
      <c r="E14" s="53" t="s">
        <v>77</v>
      </c>
      <c r="F14" s="154"/>
      <c r="G14" s="53"/>
      <c r="H14" s="53"/>
      <c r="I14" s="53"/>
      <c r="J14" s="53"/>
      <c r="K14" s="155"/>
      <c r="L14" s="156"/>
      <c r="M14" s="132"/>
      <c r="N14" s="157">
        <v>422.0</v>
      </c>
      <c r="O14" s="158">
        <v>1172.0</v>
      </c>
      <c r="P14" s="159" t="str">
        <f t="shared" si="6"/>
        <v>1,172.00</v>
      </c>
      <c r="Q14" s="160">
        <v>885.0</v>
      </c>
      <c r="R14" s="161">
        <v>0.32</v>
      </c>
      <c r="S14" s="162" t="str">
        <f t="shared" si="7"/>
        <v>796.96</v>
      </c>
      <c r="T14" s="163" t="str">
        <f t="shared" si="22"/>
        <v>60.00</v>
      </c>
      <c r="U14" s="164" t="str">
        <f t="shared" si="8"/>
        <v>63.76</v>
      </c>
      <c r="V14" s="165" t="str">
        <f t="shared" si="9"/>
        <v>0.00</v>
      </c>
      <c r="W14" s="166">
        <v>1.26</v>
      </c>
      <c r="X14" s="167" t="str">
        <f t="shared" si="10"/>
        <v>95</v>
      </c>
      <c r="Y14" s="168" t="str">
        <f t="shared" si="11"/>
        <v>380.900</v>
      </c>
      <c r="Z14" s="168" t="str">
        <f t="shared" si="12"/>
        <v>17.294</v>
      </c>
      <c r="AA14" s="164" t="str">
        <f t="shared" si="13"/>
        <v>34.09</v>
      </c>
      <c r="AB14" s="164">
        <v>31.82</v>
      </c>
      <c r="AC14" s="164" t="str">
        <f t="shared" si="14"/>
        <v>9.60</v>
      </c>
      <c r="AD14" s="165" t="str">
        <f t="shared" si="15"/>
        <v>35.16</v>
      </c>
      <c r="AE14" s="23"/>
      <c r="AF14" s="169" t="str">
        <f t="shared" si="16"/>
        <v>0</v>
      </c>
      <c r="AG14" s="163" t="str">
        <f t="shared" si="23"/>
        <v>54.20</v>
      </c>
      <c r="AH14" s="170" t="str">
        <f t="shared" si="17"/>
        <v>12.84%</v>
      </c>
      <c r="AI14" s="26"/>
      <c r="AJ14" s="171"/>
      <c r="AK14" s="172"/>
      <c r="AL14" s="173"/>
      <c r="AM14" s="174"/>
    </row>
    <row r="15" ht="12.75" customHeight="1">
      <c r="A15" s="26"/>
      <c r="B15" s="190" t="s">
        <v>479</v>
      </c>
      <c r="C15" s="191">
        <v>1.65308892E8</v>
      </c>
      <c r="D15" s="222" t="s">
        <v>480</v>
      </c>
      <c r="E15" s="53" t="s">
        <v>77</v>
      </c>
      <c r="F15" s="154"/>
      <c r="G15" s="53"/>
      <c r="H15" s="53" t="str">
        <f>$I$2</f>
        <v>0.00069</v>
      </c>
      <c r="I15" s="53" t="str">
        <f>$I$3</f>
        <v>89</v>
      </c>
      <c r="J15" s="53" t="str">
        <f>G15*H15*I15*F15</f>
        <v>0</v>
      </c>
      <c r="K15" s="155" t="str">
        <f>J15*$J$4</f>
        <v>0.00</v>
      </c>
      <c r="L15" s="156" t="str">
        <f>K15+J15</f>
        <v>0.00 </v>
      </c>
      <c r="M15" s="132">
        <v>90.0</v>
      </c>
      <c r="N15" s="157">
        <v>490.0</v>
      </c>
      <c r="O15" s="158">
        <v>1391.0</v>
      </c>
      <c r="P15" s="159" t="str">
        <f t="shared" si="6"/>
        <v>1,391.00</v>
      </c>
      <c r="Q15" s="160">
        <v>1117.0</v>
      </c>
      <c r="R15" s="161">
        <v>0.32</v>
      </c>
      <c r="S15" s="162" t="str">
        <f t="shared" si="7"/>
        <v>945.88</v>
      </c>
      <c r="T15" s="163" t="str">
        <f t="shared" si="22"/>
        <v>60.00</v>
      </c>
      <c r="U15" s="164" t="str">
        <f t="shared" si="8"/>
        <v>75.67</v>
      </c>
      <c r="V15" s="165" t="str">
        <f t="shared" si="9"/>
        <v>0.00</v>
      </c>
      <c r="W15" s="166">
        <v>0.43</v>
      </c>
      <c r="X15" s="167" t="str">
        <f t="shared" si="10"/>
        <v>76</v>
      </c>
      <c r="Y15" s="168" t="str">
        <f t="shared" si="11"/>
        <v>452.075</v>
      </c>
      <c r="Z15" s="168" t="str">
        <f t="shared" si="12"/>
        <v>20.526</v>
      </c>
      <c r="AA15" s="164" t="str">
        <f t="shared" si="13"/>
        <v>2.84</v>
      </c>
      <c r="AB15" s="164">
        <v>94.33</v>
      </c>
      <c r="AC15" s="164" t="str">
        <f t="shared" si="14"/>
        <v>4.80</v>
      </c>
      <c r="AD15" s="165" t="str">
        <f t="shared" si="15"/>
        <v>41.73</v>
      </c>
      <c r="AE15" s="23"/>
      <c r="AF15" s="169" t="str">
        <f t="shared" si="16"/>
        <v>0</v>
      </c>
      <c r="AG15" s="163" t="str">
        <f t="shared" si="23"/>
        <v>167.36</v>
      </c>
      <c r="AH15" s="170" t="str">
        <f t="shared" si="17"/>
        <v>34.16%</v>
      </c>
      <c r="AI15" s="26"/>
      <c r="AJ15" s="171" t="str">
        <f>$AD$3</f>
        <v>0.00%</v>
      </c>
      <c r="AK15" s="172" t="str">
        <f>N15*AJ15</f>
        <v>0.00</v>
      </c>
      <c r="AL15" s="173" t="str">
        <f>(N15+T15+V15+X15+AA15+AC15+AF15+AK15)/(100%-($C$2+$C$8+$Y$6+$Y$7))</f>
        <v>1,166.27</v>
      </c>
      <c r="AM15" s="174" t="str">
        <f>AL15-(AL15*$AD$1)</f>
        <v>828.05</v>
      </c>
    </row>
    <row r="16" ht="12.75" customHeight="1">
      <c r="A16" s="26"/>
      <c r="B16" s="190"/>
      <c r="C16" s="382">
        <v>8.809744060149E12</v>
      </c>
      <c r="D16" s="222" t="s">
        <v>803</v>
      </c>
      <c r="E16" s="53"/>
      <c r="F16" s="154"/>
      <c r="G16" s="53"/>
      <c r="H16" s="53"/>
      <c r="I16" s="53"/>
      <c r="J16" s="53"/>
      <c r="K16" s="155"/>
      <c r="L16" s="156"/>
      <c r="M16" s="132"/>
      <c r="N16" s="157">
        <v>272.0</v>
      </c>
      <c r="O16" s="158">
        <v>800.0</v>
      </c>
      <c r="P16" s="159" t="str">
        <f t="shared" si="6"/>
        <v>800.00</v>
      </c>
      <c r="Q16" s="160">
        <v>1117.0</v>
      </c>
      <c r="R16" s="161">
        <v>0.32</v>
      </c>
      <c r="S16" s="162" t="str">
        <f t="shared" si="7"/>
        <v>544.00</v>
      </c>
      <c r="T16" s="163" t="str">
        <f t="shared" si="22"/>
        <v>60.00</v>
      </c>
      <c r="U16" s="164" t="str">
        <f t="shared" si="8"/>
        <v>43.52</v>
      </c>
      <c r="V16" s="165" t="str">
        <f t="shared" si="9"/>
        <v>0.00</v>
      </c>
      <c r="W16" s="166">
        <v>0.43</v>
      </c>
      <c r="X16" s="167" t="str">
        <f t="shared" si="10"/>
        <v>76</v>
      </c>
      <c r="Y16" s="168" t="str">
        <f t="shared" si="11"/>
        <v>260.000</v>
      </c>
      <c r="Z16" s="168" t="str">
        <f t="shared" si="12"/>
        <v>11.805</v>
      </c>
      <c r="AA16" s="164" t="str">
        <f t="shared" si="13"/>
        <v>2.84</v>
      </c>
      <c r="AB16" s="164">
        <v>94.33</v>
      </c>
      <c r="AC16" s="164" t="str">
        <f t="shared" si="14"/>
        <v>4.80</v>
      </c>
      <c r="AD16" s="165" t="str">
        <f t="shared" si="15"/>
        <v>24.00</v>
      </c>
      <c r="AE16" s="23"/>
      <c r="AF16" s="169" t="str">
        <f t="shared" si="16"/>
        <v>0</v>
      </c>
      <c r="AG16" s="163" t="str">
        <f t="shared" si="23"/>
        <v>45.04</v>
      </c>
      <c r="AH16" s="170" t="str">
        <f t="shared" si="17"/>
        <v>16.56%</v>
      </c>
      <c r="AI16" s="26"/>
      <c r="AJ16" s="171"/>
      <c r="AK16" s="172"/>
      <c r="AL16" s="173"/>
      <c r="AM16" s="174"/>
    </row>
    <row r="17" ht="12.75" customHeight="1">
      <c r="A17" s="26"/>
      <c r="B17" s="190"/>
      <c r="C17" s="191">
        <v>8.809744062396E12</v>
      </c>
      <c r="D17" s="222" t="s">
        <v>804</v>
      </c>
      <c r="E17" s="53" t="s">
        <v>77</v>
      </c>
      <c r="F17" s="154"/>
      <c r="G17" s="53"/>
      <c r="H17" s="53"/>
      <c r="I17" s="53"/>
      <c r="J17" s="53"/>
      <c r="K17" s="155"/>
      <c r="L17" s="156"/>
      <c r="M17" s="132"/>
      <c r="N17" s="157">
        <v>322.0</v>
      </c>
      <c r="O17" s="158">
        <v>930.0</v>
      </c>
      <c r="P17" s="159" t="str">
        <f t="shared" si="6"/>
        <v>930.00</v>
      </c>
      <c r="Q17" s="160">
        <v>1117.0</v>
      </c>
      <c r="R17" s="161">
        <v>0.32</v>
      </c>
      <c r="S17" s="162" t="str">
        <f t="shared" si="7"/>
        <v>632.40</v>
      </c>
      <c r="T17" s="163" t="str">
        <f t="shared" si="22"/>
        <v>60.00</v>
      </c>
      <c r="U17" s="164" t="str">
        <f t="shared" si="8"/>
        <v>50.59</v>
      </c>
      <c r="V17" s="165" t="str">
        <f t="shared" si="9"/>
        <v>0.00</v>
      </c>
      <c r="W17" s="166">
        <v>0.43</v>
      </c>
      <c r="X17" s="167" t="str">
        <f t="shared" si="10"/>
        <v>76</v>
      </c>
      <c r="Y17" s="168" t="str">
        <f t="shared" si="11"/>
        <v>302.250</v>
      </c>
      <c r="Z17" s="168" t="str">
        <f t="shared" si="12"/>
        <v>13.723</v>
      </c>
      <c r="AA17" s="164" t="str">
        <f t="shared" si="13"/>
        <v>2.84</v>
      </c>
      <c r="AB17" s="164">
        <v>94.33</v>
      </c>
      <c r="AC17" s="164" t="str">
        <f t="shared" si="14"/>
        <v>4.80</v>
      </c>
      <c r="AD17" s="165" t="str">
        <f t="shared" si="15"/>
        <v>27.90</v>
      </c>
      <c r="AE17" s="23"/>
      <c r="AF17" s="169" t="str">
        <f t="shared" si="16"/>
        <v>0</v>
      </c>
      <c r="AG17" s="163" t="str">
        <f t="shared" si="23"/>
        <v>69.90</v>
      </c>
      <c r="AH17" s="170" t="str">
        <f t="shared" si="17"/>
        <v>21.71%</v>
      </c>
      <c r="AI17" s="26"/>
      <c r="AJ17" s="171"/>
      <c r="AK17" s="172"/>
      <c r="AL17" s="173"/>
      <c r="AM17" s="174"/>
    </row>
    <row r="18" ht="12.75" hidden="1" customHeight="1">
      <c r="A18" s="26"/>
      <c r="B18" s="190" t="s">
        <v>453</v>
      </c>
      <c r="C18" s="192">
        <v>1.88818E8</v>
      </c>
      <c r="D18" s="152" t="s">
        <v>454</v>
      </c>
      <c r="E18" s="53" t="s">
        <v>455</v>
      </c>
      <c r="F18" s="154"/>
      <c r="G18" s="53"/>
      <c r="H18" s="53" t="str">
        <f t="shared" ref="H18:H42" si="24">$I$2</f>
        <v>0.00069</v>
      </c>
      <c r="I18" s="53" t="str">
        <f t="shared" ref="I18:I42" si="25">$I$3</f>
        <v>89</v>
      </c>
      <c r="J18" s="53" t="str">
        <f t="shared" ref="J18:J42" si="26">G18*H18*I18*F18</f>
        <v>0</v>
      </c>
      <c r="K18" s="155" t="str">
        <f t="shared" ref="K18:K42" si="27">J18*$J$4</f>
        <v>0.00</v>
      </c>
      <c r="L18" s="156" t="str">
        <f t="shared" ref="L18:L42" si="28">K18+J18</f>
        <v>0.00 </v>
      </c>
      <c r="M18" s="132">
        <v>90.0</v>
      </c>
      <c r="N18" s="157" t="str">
        <f t="shared" ref="N18:N42" si="29">L18/F18</f>
        <v>#DIV/0!</v>
      </c>
      <c r="O18" s="158">
        <v>637.0</v>
      </c>
      <c r="P18" s="159" t="str">
        <f t="shared" si="6"/>
        <v>637.00</v>
      </c>
      <c r="Q18" s="160"/>
      <c r="R18" s="161">
        <v>0.25</v>
      </c>
      <c r="S18" s="162" t="str">
        <f t="shared" si="7"/>
        <v>477.75</v>
      </c>
      <c r="T18" s="163" t="str">
        <f t="shared" si="22"/>
        <v>60.00</v>
      </c>
      <c r="U18" s="164" t="str">
        <f t="shared" si="8"/>
        <v>38.22</v>
      </c>
      <c r="V18" s="165" t="str">
        <f t="shared" si="9"/>
        <v>#DIV/0!</v>
      </c>
      <c r="W18" s="166">
        <v>0.61</v>
      </c>
      <c r="X18" s="167" t="str">
        <f t="shared" si="10"/>
        <v>76</v>
      </c>
      <c r="Y18" s="168" t="str">
        <f t="shared" si="11"/>
        <v>207.025</v>
      </c>
      <c r="Z18" s="168" t="str">
        <f t="shared" si="12"/>
        <v>10.367</v>
      </c>
      <c r="AA18" s="164" t="str">
        <f t="shared" si="13"/>
        <v>6.09</v>
      </c>
      <c r="AB18" s="164">
        <v>87.83</v>
      </c>
      <c r="AC18" s="164" t="str">
        <f t="shared" si="14"/>
        <v>4.80</v>
      </c>
      <c r="AD18" s="165" t="str">
        <f t="shared" si="15"/>
        <v>19.11</v>
      </c>
      <c r="AE18" s="23"/>
      <c r="AF18" s="169" t="str">
        <f t="shared" si="16"/>
        <v>0</v>
      </c>
      <c r="AG18" s="163" t="str">
        <f t="shared" si="23"/>
        <v>#DIV/0!</v>
      </c>
      <c r="AH18" s="170" t="str">
        <f t="shared" si="17"/>
        <v>#DIV/0!</v>
      </c>
      <c r="AI18" s="26"/>
      <c r="AJ18" s="171" t="str">
        <f t="shared" ref="AJ18:AJ27" si="30">$AD$3</f>
        <v>0.00%</v>
      </c>
      <c r="AK18" s="172" t="str">
        <f t="shared" ref="AK18:AK27" si="31">N18*AJ18</f>
        <v>#DIV/0!</v>
      </c>
      <c r="AL18" s="173" t="str">
        <f t="shared" ref="AL18:AL27" si="32">(N18+T18+V18+X18+AA18+AC18+AF18+AK18)/(100%-($C$2+$C$8+$Y$6+$Y$7))</f>
        <v>#DIV/0!</v>
      </c>
      <c r="AM18" s="174" t="str">
        <f t="shared" ref="AM18:AM27" si="33">AL18-(AL18*$AD$1)</f>
        <v>#DIV/0!</v>
      </c>
    </row>
    <row r="19" ht="12.75" hidden="1" customHeight="1">
      <c r="A19" s="26"/>
      <c r="B19" s="190" t="s">
        <v>456</v>
      </c>
      <c r="C19" s="215">
        <v>1.88823064E8</v>
      </c>
      <c r="D19" s="152" t="s">
        <v>457</v>
      </c>
      <c r="E19" s="53" t="s">
        <v>77</v>
      </c>
      <c r="F19" s="154"/>
      <c r="G19" s="53"/>
      <c r="H19" s="53" t="str">
        <f t="shared" si="24"/>
        <v>0.00069</v>
      </c>
      <c r="I19" s="53" t="str">
        <f t="shared" si="25"/>
        <v>89</v>
      </c>
      <c r="J19" s="53" t="str">
        <f t="shared" si="26"/>
        <v>0</v>
      </c>
      <c r="K19" s="155" t="str">
        <f t="shared" si="27"/>
        <v>0.00</v>
      </c>
      <c r="L19" s="156" t="str">
        <f t="shared" si="28"/>
        <v>0.00 </v>
      </c>
      <c r="M19" s="132">
        <v>90.0</v>
      </c>
      <c r="N19" s="157" t="str">
        <f t="shared" si="29"/>
        <v>#DIV/0!</v>
      </c>
      <c r="O19" s="158">
        <v>729.9</v>
      </c>
      <c r="P19" s="159" t="str">
        <f t="shared" si="6"/>
        <v>729.90</v>
      </c>
      <c r="Q19" s="160"/>
      <c r="R19" s="161">
        <v>0.26</v>
      </c>
      <c r="S19" s="162" t="str">
        <f t="shared" si="7"/>
        <v>540.13</v>
      </c>
      <c r="T19" s="163" t="str">
        <f t="shared" si="22"/>
        <v>60.00</v>
      </c>
      <c r="U19" s="164" t="str">
        <f t="shared" si="8"/>
        <v>43.21</v>
      </c>
      <c r="V19" s="165" t="str">
        <f t="shared" si="9"/>
        <v>#DIV/0!</v>
      </c>
      <c r="W19" s="166">
        <v>1.08</v>
      </c>
      <c r="X19" s="167" t="str">
        <f t="shared" si="10"/>
        <v>95</v>
      </c>
      <c r="Y19" s="168" t="str">
        <f t="shared" si="11"/>
        <v>237.218</v>
      </c>
      <c r="Z19" s="168" t="str">
        <f t="shared" si="12"/>
        <v>11.721</v>
      </c>
      <c r="AA19" s="164" t="str">
        <f t="shared" si="13"/>
        <v>1.93</v>
      </c>
      <c r="AB19" s="164">
        <v>96.15</v>
      </c>
      <c r="AC19" s="164" t="str">
        <f t="shared" si="14"/>
        <v>9.60</v>
      </c>
      <c r="AD19" s="165" t="str">
        <f t="shared" si="15"/>
        <v>21.90</v>
      </c>
      <c r="AE19" s="23"/>
      <c r="AF19" s="169" t="str">
        <f t="shared" si="16"/>
        <v>0</v>
      </c>
      <c r="AG19" s="163" t="str">
        <f t="shared" si="23"/>
        <v>#DIV/0!</v>
      </c>
      <c r="AH19" s="170" t="str">
        <f t="shared" si="17"/>
        <v>#DIV/0!</v>
      </c>
      <c r="AI19" s="26"/>
      <c r="AJ19" s="171" t="str">
        <f t="shared" si="30"/>
        <v>0.00%</v>
      </c>
      <c r="AK19" s="172" t="str">
        <f t="shared" si="31"/>
        <v>#DIV/0!</v>
      </c>
      <c r="AL19" s="173" t="str">
        <f t="shared" si="32"/>
        <v>#DIV/0!</v>
      </c>
      <c r="AM19" s="174" t="str">
        <f t="shared" si="33"/>
        <v>#DIV/0!</v>
      </c>
    </row>
    <row r="20" ht="12.75" hidden="1" customHeight="1">
      <c r="A20" s="26"/>
      <c r="B20" s="190" t="s">
        <v>458</v>
      </c>
      <c r="C20" s="191">
        <v>1.99544883E8</v>
      </c>
      <c r="D20" s="152" t="s">
        <v>459</v>
      </c>
      <c r="E20" s="53" t="s">
        <v>77</v>
      </c>
      <c r="F20" s="154"/>
      <c r="G20" s="53"/>
      <c r="H20" s="53" t="str">
        <f t="shared" si="24"/>
        <v>0.00069</v>
      </c>
      <c r="I20" s="53" t="str">
        <f t="shared" si="25"/>
        <v>89</v>
      </c>
      <c r="J20" s="53" t="str">
        <f t="shared" si="26"/>
        <v>0</v>
      </c>
      <c r="K20" s="155" t="str">
        <f t="shared" si="27"/>
        <v>0.00</v>
      </c>
      <c r="L20" s="156" t="str">
        <f t="shared" si="28"/>
        <v>0.00 </v>
      </c>
      <c r="M20" s="132">
        <v>90.0</v>
      </c>
      <c r="N20" s="157" t="str">
        <f t="shared" si="29"/>
        <v>#DIV/0!</v>
      </c>
      <c r="O20" s="158">
        <v>1809.9</v>
      </c>
      <c r="P20" s="159" t="str">
        <f t="shared" si="6"/>
        <v>1,809.90</v>
      </c>
      <c r="Q20" s="160"/>
      <c r="R20" s="161">
        <v>0.26</v>
      </c>
      <c r="S20" s="162" t="str">
        <f t="shared" si="7"/>
        <v>1,339.33</v>
      </c>
      <c r="T20" s="163" t="str">
        <f t="shared" si="22"/>
        <v>60.00</v>
      </c>
      <c r="U20" s="164" t="str">
        <f t="shared" si="8"/>
        <v>107.15</v>
      </c>
      <c r="V20" s="165" t="str">
        <f t="shared" si="9"/>
        <v>#DIV/0!</v>
      </c>
      <c r="W20" s="166">
        <v>2.64</v>
      </c>
      <c r="X20" s="167" t="str">
        <f t="shared" si="10"/>
        <v>114</v>
      </c>
      <c r="Y20" s="168" t="str">
        <f t="shared" si="11"/>
        <v>588.218</v>
      </c>
      <c r="Z20" s="168" t="str">
        <f t="shared" si="12"/>
        <v>29.063</v>
      </c>
      <c r="AA20" s="164" t="str">
        <f t="shared" si="13"/>
        <v>1.90</v>
      </c>
      <c r="AB20" s="164">
        <v>96.21</v>
      </c>
      <c r="AC20" s="164" t="str">
        <f t="shared" si="14"/>
        <v>14.40</v>
      </c>
      <c r="AD20" s="165" t="str">
        <f t="shared" si="15"/>
        <v>54.30</v>
      </c>
      <c r="AE20" s="23"/>
      <c r="AF20" s="169" t="str">
        <f t="shared" si="16"/>
        <v>0</v>
      </c>
      <c r="AG20" s="163" t="str">
        <f t="shared" si="23"/>
        <v>#DIV/0!</v>
      </c>
      <c r="AH20" s="170" t="str">
        <f t="shared" si="17"/>
        <v>#DIV/0!</v>
      </c>
      <c r="AI20" s="26"/>
      <c r="AJ20" s="171" t="str">
        <f t="shared" si="30"/>
        <v>0.00%</v>
      </c>
      <c r="AK20" s="172" t="str">
        <f t="shared" si="31"/>
        <v>#DIV/0!</v>
      </c>
      <c r="AL20" s="173" t="str">
        <f t="shared" si="32"/>
        <v>#DIV/0!</v>
      </c>
      <c r="AM20" s="174" t="str">
        <f t="shared" si="33"/>
        <v>#DIV/0!</v>
      </c>
    </row>
    <row r="21" ht="12.75" hidden="1" customHeight="1">
      <c r="A21" s="26"/>
      <c r="B21" s="190" t="s">
        <v>460</v>
      </c>
      <c r="C21" s="192">
        <v>1.6895673E8</v>
      </c>
      <c r="D21" s="152" t="s">
        <v>461</v>
      </c>
      <c r="E21" s="53" t="s">
        <v>77</v>
      </c>
      <c r="F21" s="154"/>
      <c r="G21" s="53"/>
      <c r="H21" s="53" t="str">
        <f t="shared" si="24"/>
        <v>0.00069</v>
      </c>
      <c r="I21" s="53" t="str">
        <f t="shared" si="25"/>
        <v>89</v>
      </c>
      <c r="J21" s="53" t="str">
        <f t="shared" si="26"/>
        <v>0</v>
      </c>
      <c r="K21" s="155" t="str">
        <f t="shared" si="27"/>
        <v>0.00</v>
      </c>
      <c r="L21" s="156" t="str">
        <f t="shared" si="28"/>
        <v>0.00 </v>
      </c>
      <c r="M21" s="132">
        <v>90.0</v>
      </c>
      <c r="N21" s="157" t="str">
        <f t="shared" si="29"/>
        <v>#DIV/0!</v>
      </c>
      <c r="O21" s="158">
        <v>880.2</v>
      </c>
      <c r="P21" s="159" t="str">
        <f t="shared" si="6"/>
        <v>880.20</v>
      </c>
      <c r="Q21" s="160"/>
      <c r="R21" s="161">
        <v>0.26</v>
      </c>
      <c r="S21" s="162" t="str">
        <f t="shared" si="7"/>
        <v>651.35</v>
      </c>
      <c r="T21" s="163" t="str">
        <f t="shared" si="22"/>
        <v>60.00</v>
      </c>
      <c r="U21" s="164" t="str">
        <f t="shared" si="8"/>
        <v>52.11</v>
      </c>
      <c r="V21" s="165" t="str">
        <f t="shared" si="9"/>
        <v>#DIV/0!</v>
      </c>
      <c r="W21" s="166">
        <v>0.69</v>
      </c>
      <c r="X21" s="167" t="str">
        <f t="shared" si="10"/>
        <v>76</v>
      </c>
      <c r="Y21" s="168" t="str">
        <f t="shared" si="11"/>
        <v>286.065</v>
      </c>
      <c r="Z21" s="168" t="str">
        <f t="shared" si="12"/>
        <v>14.134</v>
      </c>
      <c r="AA21" s="164" t="str">
        <f t="shared" si="13"/>
        <v>1.01</v>
      </c>
      <c r="AB21" s="164">
        <v>97.99</v>
      </c>
      <c r="AC21" s="164" t="str">
        <f t="shared" si="14"/>
        <v>4.80</v>
      </c>
      <c r="AD21" s="165" t="str">
        <f t="shared" si="15"/>
        <v>26.41</v>
      </c>
      <c r="AE21" s="23"/>
      <c r="AF21" s="169" t="str">
        <f t="shared" si="16"/>
        <v>0</v>
      </c>
      <c r="AG21" s="163" t="str">
        <f t="shared" si="23"/>
        <v>#DIV/0!</v>
      </c>
      <c r="AH21" s="170" t="str">
        <f t="shared" si="17"/>
        <v>#DIV/0!</v>
      </c>
      <c r="AI21" s="26"/>
      <c r="AJ21" s="171" t="str">
        <f t="shared" si="30"/>
        <v>0.00%</v>
      </c>
      <c r="AK21" s="172" t="str">
        <f t="shared" si="31"/>
        <v>#DIV/0!</v>
      </c>
      <c r="AL21" s="173" t="str">
        <f t="shared" si="32"/>
        <v>#DIV/0!</v>
      </c>
      <c r="AM21" s="174" t="str">
        <f t="shared" si="33"/>
        <v>#DIV/0!</v>
      </c>
    </row>
    <row r="22" ht="12.75" hidden="1" customHeight="1">
      <c r="A22" s="26"/>
      <c r="B22" s="190" t="s">
        <v>462</v>
      </c>
      <c r="C22" s="192">
        <v>1.90158095E8</v>
      </c>
      <c r="D22" s="152" t="s">
        <v>463</v>
      </c>
      <c r="E22" s="53" t="s">
        <v>77</v>
      </c>
      <c r="F22" s="154"/>
      <c r="G22" s="53"/>
      <c r="H22" s="53" t="str">
        <f t="shared" si="24"/>
        <v>0.00069</v>
      </c>
      <c r="I22" s="53" t="str">
        <f t="shared" si="25"/>
        <v>89</v>
      </c>
      <c r="J22" s="53" t="str">
        <f t="shared" si="26"/>
        <v>0</v>
      </c>
      <c r="K22" s="155" t="str">
        <f t="shared" si="27"/>
        <v>0.00</v>
      </c>
      <c r="L22" s="156" t="str">
        <f t="shared" si="28"/>
        <v>0.00 </v>
      </c>
      <c r="M22" s="132">
        <v>90.0</v>
      </c>
      <c r="N22" s="157" t="str">
        <f t="shared" si="29"/>
        <v>#DIV/0!</v>
      </c>
      <c r="O22" s="158">
        <v>959.1</v>
      </c>
      <c r="P22" s="159" t="str">
        <f t="shared" si="6"/>
        <v>959.10</v>
      </c>
      <c r="Q22" s="160"/>
      <c r="R22" s="161">
        <v>0.26</v>
      </c>
      <c r="S22" s="162" t="str">
        <f t="shared" si="7"/>
        <v>709.73</v>
      </c>
      <c r="T22" s="163" t="str">
        <f t="shared" si="22"/>
        <v>60.00</v>
      </c>
      <c r="U22" s="164" t="str">
        <f t="shared" si="8"/>
        <v>56.78</v>
      </c>
      <c r="V22" s="165" t="str">
        <f t="shared" si="9"/>
        <v>#DIV/0!</v>
      </c>
      <c r="W22" s="166">
        <v>0.36</v>
      </c>
      <c r="X22" s="167" t="str">
        <f t="shared" si="10"/>
        <v>76</v>
      </c>
      <c r="Y22" s="168" t="str">
        <f t="shared" si="11"/>
        <v>311.708</v>
      </c>
      <c r="Z22" s="168" t="str">
        <f t="shared" si="12"/>
        <v>15.401</v>
      </c>
      <c r="AA22" s="164" t="str">
        <f t="shared" si="13"/>
        <v>0.00</v>
      </c>
      <c r="AB22" s="164">
        <v>100.0</v>
      </c>
      <c r="AC22" s="164" t="str">
        <f t="shared" si="14"/>
        <v>4.80</v>
      </c>
      <c r="AD22" s="165" t="str">
        <f t="shared" si="15"/>
        <v>28.77</v>
      </c>
      <c r="AE22" s="23"/>
      <c r="AF22" s="169" t="str">
        <f t="shared" si="16"/>
        <v>0</v>
      </c>
      <c r="AG22" s="163" t="str">
        <f t="shared" si="23"/>
        <v>#DIV/0!</v>
      </c>
      <c r="AH22" s="170" t="str">
        <f t="shared" si="17"/>
        <v>#DIV/0!</v>
      </c>
      <c r="AI22" s="26"/>
      <c r="AJ22" s="171" t="str">
        <f t="shared" si="30"/>
        <v>0.00%</v>
      </c>
      <c r="AK22" s="172" t="str">
        <f t="shared" si="31"/>
        <v>#DIV/0!</v>
      </c>
      <c r="AL22" s="173" t="str">
        <f t="shared" si="32"/>
        <v>#DIV/0!</v>
      </c>
      <c r="AM22" s="174" t="str">
        <f t="shared" si="33"/>
        <v>#DIV/0!</v>
      </c>
    </row>
    <row r="23" ht="12.75" hidden="1" customHeight="1">
      <c r="A23" s="26"/>
      <c r="B23" s="190" t="s">
        <v>464</v>
      </c>
      <c r="C23" s="191">
        <v>1.90158096E8</v>
      </c>
      <c r="D23" s="152" t="s">
        <v>465</v>
      </c>
      <c r="E23" s="53" t="s">
        <v>77</v>
      </c>
      <c r="F23" s="154"/>
      <c r="G23" s="53"/>
      <c r="H23" s="53" t="str">
        <f t="shared" si="24"/>
        <v>0.00069</v>
      </c>
      <c r="I23" s="53" t="str">
        <f t="shared" si="25"/>
        <v>89</v>
      </c>
      <c r="J23" s="53" t="str">
        <f t="shared" si="26"/>
        <v>0</v>
      </c>
      <c r="K23" s="155" t="str">
        <f t="shared" si="27"/>
        <v>0.00</v>
      </c>
      <c r="L23" s="156" t="str">
        <f t="shared" si="28"/>
        <v>0.00 </v>
      </c>
      <c r="M23" s="132">
        <v>90.0</v>
      </c>
      <c r="N23" s="157" t="str">
        <f t="shared" si="29"/>
        <v>#DIV/0!</v>
      </c>
      <c r="O23" s="158">
        <v>959.1</v>
      </c>
      <c r="P23" s="159" t="str">
        <f t="shared" si="6"/>
        <v>959.10</v>
      </c>
      <c r="Q23" s="160"/>
      <c r="R23" s="161">
        <v>0.26</v>
      </c>
      <c r="S23" s="162" t="str">
        <f t="shared" si="7"/>
        <v>709.73</v>
      </c>
      <c r="T23" s="163" t="str">
        <f t="shared" si="22"/>
        <v>60.00</v>
      </c>
      <c r="U23" s="164" t="str">
        <f t="shared" si="8"/>
        <v>56.78</v>
      </c>
      <c r="V23" s="165" t="str">
        <f t="shared" si="9"/>
        <v>#DIV/0!</v>
      </c>
      <c r="W23" s="166">
        <v>0.36</v>
      </c>
      <c r="X23" s="167" t="str">
        <f t="shared" si="10"/>
        <v>76</v>
      </c>
      <c r="Y23" s="168" t="str">
        <f t="shared" si="11"/>
        <v>311.708</v>
      </c>
      <c r="Z23" s="168" t="str">
        <f t="shared" si="12"/>
        <v>15.401</v>
      </c>
      <c r="AA23" s="164" t="str">
        <f t="shared" si="13"/>
        <v>1.79</v>
      </c>
      <c r="AB23" s="164">
        <v>96.43</v>
      </c>
      <c r="AC23" s="164" t="str">
        <f t="shared" si="14"/>
        <v>4.80</v>
      </c>
      <c r="AD23" s="165" t="str">
        <f t="shared" si="15"/>
        <v>28.77</v>
      </c>
      <c r="AE23" s="23"/>
      <c r="AF23" s="169" t="str">
        <f t="shared" si="16"/>
        <v>0</v>
      </c>
      <c r="AG23" s="163" t="str">
        <f t="shared" si="23"/>
        <v>#DIV/0!</v>
      </c>
      <c r="AH23" s="170" t="str">
        <f t="shared" si="17"/>
        <v>#DIV/0!</v>
      </c>
      <c r="AI23" s="26"/>
      <c r="AJ23" s="171" t="str">
        <f t="shared" si="30"/>
        <v>0.00%</v>
      </c>
      <c r="AK23" s="172" t="str">
        <f t="shared" si="31"/>
        <v>#DIV/0!</v>
      </c>
      <c r="AL23" s="173" t="str">
        <f t="shared" si="32"/>
        <v>#DIV/0!</v>
      </c>
      <c r="AM23" s="174" t="str">
        <f t="shared" si="33"/>
        <v>#DIV/0!</v>
      </c>
    </row>
    <row r="24" ht="12.75" hidden="1" customHeight="1">
      <c r="A24" s="26"/>
      <c r="B24" s="190" t="s">
        <v>466</v>
      </c>
      <c r="C24" s="191">
        <v>1.90158094E8</v>
      </c>
      <c r="D24" s="152" t="s">
        <v>467</v>
      </c>
      <c r="E24" s="53" t="s">
        <v>77</v>
      </c>
      <c r="F24" s="154"/>
      <c r="G24" s="53"/>
      <c r="H24" s="53" t="str">
        <f t="shared" si="24"/>
        <v>0.00069</v>
      </c>
      <c r="I24" s="53" t="str">
        <f t="shared" si="25"/>
        <v>89</v>
      </c>
      <c r="J24" s="53" t="str">
        <f t="shared" si="26"/>
        <v>0</v>
      </c>
      <c r="K24" s="155" t="str">
        <f t="shared" si="27"/>
        <v>0.00</v>
      </c>
      <c r="L24" s="156" t="str">
        <f t="shared" si="28"/>
        <v>0.00 </v>
      </c>
      <c r="M24" s="132">
        <v>90.0</v>
      </c>
      <c r="N24" s="157" t="str">
        <f t="shared" si="29"/>
        <v>#DIV/0!</v>
      </c>
      <c r="O24" s="158">
        <v>959.1</v>
      </c>
      <c r="P24" s="159" t="str">
        <f t="shared" si="6"/>
        <v>959.10</v>
      </c>
      <c r="Q24" s="160"/>
      <c r="R24" s="161">
        <v>0.26</v>
      </c>
      <c r="S24" s="162" t="str">
        <f t="shared" si="7"/>
        <v>709.73</v>
      </c>
      <c r="T24" s="163" t="str">
        <f t="shared" si="22"/>
        <v>60.00</v>
      </c>
      <c r="U24" s="164" t="str">
        <f t="shared" si="8"/>
        <v>56.78</v>
      </c>
      <c r="V24" s="165" t="str">
        <f t="shared" si="9"/>
        <v>#DIV/0!</v>
      </c>
      <c r="W24" s="166">
        <v>0.36</v>
      </c>
      <c r="X24" s="167" t="str">
        <f t="shared" si="10"/>
        <v>76</v>
      </c>
      <c r="Y24" s="168" t="str">
        <f t="shared" si="11"/>
        <v>311.708</v>
      </c>
      <c r="Z24" s="168" t="str">
        <f t="shared" si="12"/>
        <v>15.401</v>
      </c>
      <c r="AA24" s="164" t="str">
        <f t="shared" si="13"/>
        <v>3.32</v>
      </c>
      <c r="AB24" s="164">
        <v>93.37</v>
      </c>
      <c r="AC24" s="164" t="str">
        <f t="shared" si="14"/>
        <v>4.80</v>
      </c>
      <c r="AD24" s="165" t="str">
        <f t="shared" si="15"/>
        <v>28.77</v>
      </c>
      <c r="AE24" s="23"/>
      <c r="AF24" s="169" t="str">
        <f t="shared" si="16"/>
        <v>0</v>
      </c>
      <c r="AG24" s="163" t="str">
        <f t="shared" si="23"/>
        <v>#DIV/0!</v>
      </c>
      <c r="AH24" s="170" t="str">
        <f t="shared" si="17"/>
        <v>#DIV/0!</v>
      </c>
      <c r="AI24" s="26"/>
      <c r="AJ24" s="171" t="str">
        <f t="shared" si="30"/>
        <v>0.00%</v>
      </c>
      <c r="AK24" s="172" t="str">
        <f t="shared" si="31"/>
        <v>#DIV/0!</v>
      </c>
      <c r="AL24" s="173" t="str">
        <f t="shared" si="32"/>
        <v>#DIV/0!</v>
      </c>
      <c r="AM24" s="174" t="str">
        <f t="shared" si="33"/>
        <v>#DIV/0!</v>
      </c>
    </row>
    <row r="25" ht="12.75" hidden="1" customHeight="1">
      <c r="A25" s="26"/>
      <c r="B25" s="190" t="s">
        <v>468</v>
      </c>
      <c r="C25" s="191">
        <v>1.90158097E8</v>
      </c>
      <c r="D25" s="152" t="s">
        <v>469</v>
      </c>
      <c r="E25" s="53" t="s">
        <v>77</v>
      </c>
      <c r="F25" s="154"/>
      <c r="G25" s="53"/>
      <c r="H25" s="53" t="str">
        <f t="shared" si="24"/>
        <v>0.00069</v>
      </c>
      <c r="I25" s="53" t="str">
        <f t="shared" si="25"/>
        <v>89</v>
      </c>
      <c r="J25" s="53" t="str">
        <f t="shared" si="26"/>
        <v>0</v>
      </c>
      <c r="K25" s="155" t="str">
        <f t="shared" si="27"/>
        <v>0.00</v>
      </c>
      <c r="L25" s="156" t="str">
        <f t="shared" si="28"/>
        <v>0.00 </v>
      </c>
      <c r="M25" s="132">
        <v>90.0</v>
      </c>
      <c r="N25" s="157" t="str">
        <f t="shared" si="29"/>
        <v>#DIV/0!</v>
      </c>
      <c r="O25" s="158">
        <v>959.1</v>
      </c>
      <c r="P25" s="159" t="str">
        <f t="shared" si="6"/>
        <v>959.10</v>
      </c>
      <c r="Q25" s="160"/>
      <c r="R25" s="161">
        <v>0.26</v>
      </c>
      <c r="S25" s="162" t="str">
        <f t="shared" si="7"/>
        <v>709.73</v>
      </c>
      <c r="T25" s="163" t="str">
        <f t="shared" si="22"/>
        <v>60.00</v>
      </c>
      <c r="U25" s="164" t="str">
        <f t="shared" si="8"/>
        <v>56.78</v>
      </c>
      <c r="V25" s="165" t="str">
        <f t="shared" si="9"/>
        <v>#DIV/0!</v>
      </c>
      <c r="W25" s="166">
        <v>0.36</v>
      </c>
      <c r="X25" s="167" t="str">
        <f t="shared" si="10"/>
        <v>76</v>
      </c>
      <c r="Y25" s="168" t="str">
        <f t="shared" si="11"/>
        <v>311.708</v>
      </c>
      <c r="Z25" s="168" t="str">
        <f t="shared" si="12"/>
        <v>15.401</v>
      </c>
      <c r="AA25" s="164" t="str">
        <f t="shared" si="13"/>
        <v>0.73</v>
      </c>
      <c r="AB25" s="164">
        <v>98.54</v>
      </c>
      <c r="AC25" s="164" t="str">
        <f t="shared" si="14"/>
        <v>4.80</v>
      </c>
      <c r="AD25" s="165" t="str">
        <f t="shared" si="15"/>
        <v>28.77</v>
      </c>
      <c r="AE25" s="23"/>
      <c r="AF25" s="169" t="str">
        <f t="shared" si="16"/>
        <v>0</v>
      </c>
      <c r="AG25" s="163" t="str">
        <f t="shared" si="23"/>
        <v>#DIV/0!</v>
      </c>
      <c r="AH25" s="170" t="str">
        <f t="shared" si="17"/>
        <v>#DIV/0!</v>
      </c>
      <c r="AI25" s="26"/>
      <c r="AJ25" s="171" t="str">
        <f t="shared" si="30"/>
        <v>0.00%</v>
      </c>
      <c r="AK25" s="172" t="str">
        <f t="shared" si="31"/>
        <v>#DIV/0!</v>
      </c>
      <c r="AL25" s="173" t="str">
        <f t="shared" si="32"/>
        <v>#DIV/0!</v>
      </c>
      <c r="AM25" s="174" t="str">
        <f t="shared" si="33"/>
        <v>#DIV/0!</v>
      </c>
    </row>
    <row r="26" ht="12.75" hidden="1" customHeight="1">
      <c r="A26" s="26"/>
      <c r="B26" s="190" t="s">
        <v>470</v>
      </c>
      <c r="C26" s="191">
        <v>1.90158093E8</v>
      </c>
      <c r="D26" s="152" t="s">
        <v>471</v>
      </c>
      <c r="E26" s="53" t="s">
        <v>77</v>
      </c>
      <c r="F26" s="154"/>
      <c r="G26" s="53"/>
      <c r="H26" s="53" t="str">
        <f t="shared" si="24"/>
        <v>0.00069</v>
      </c>
      <c r="I26" s="53" t="str">
        <f t="shared" si="25"/>
        <v>89</v>
      </c>
      <c r="J26" s="53" t="str">
        <f t="shared" si="26"/>
        <v>0</v>
      </c>
      <c r="K26" s="155" t="str">
        <f t="shared" si="27"/>
        <v>0.00</v>
      </c>
      <c r="L26" s="156" t="str">
        <f t="shared" si="28"/>
        <v>0.00 </v>
      </c>
      <c r="M26" s="132">
        <v>90.0</v>
      </c>
      <c r="N26" s="157" t="str">
        <f t="shared" si="29"/>
        <v>#DIV/0!</v>
      </c>
      <c r="O26" s="158">
        <v>959.1</v>
      </c>
      <c r="P26" s="159" t="str">
        <f t="shared" si="6"/>
        <v>959.10</v>
      </c>
      <c r="Q26" s="160"/>
      <c r="R26" s="161">
        <v>0.26</v>
      </c>
      <c r="S26" s="162" t="str">
        <f t="shared" si="7"/>
        <v>709.73</v>
      </c>
      <c r="T26" s="163" t="str">
        <f t="shared" si="22"/>
        <v>60.00</v>
      </c>
      <c r="U26" s="164" t="str">
        <f t="shared" si="8"/>
        <v>56.78</v>
      </c>
      <c r="V26" s="165" t="str">
        <f t="shared" si="9"/>
        <v>#DIV/0!</v>
      </c>
      <c r="W26" s="166">
        <v>0.36</v>
      </c>
      <c r="X26" s="167" t="str">
        <f t="shared" si="10"/>
        <v>76</v>
      </c>
      <c r="Y26" s="168" t="str">
        <f t="shared" si="11"/>
        <v>311.708</v>
      </c>
      <c r="Z26" s="168" t="str">
        <f t="shared" si="12"/>
        <v>15.401</v>
      </c>
      <c r="AA26" s="164" t="str">
        <f t="shared" si="13"/>
        <v>2.88</v>
      </c>
      <c r="AB26" s="164">
        <v>94.25</v>
      </c>
      <c r="AC26" s="164" t="str">
        <f t="shared" si="14"/>
        <v>4.80</v>
      </c>
      <c r="AD26" s="165" t="str">
        <f t="shared" si="15"/>
        <v>28.77</v>
      </c>
      <c r="AE26" s="23"/>
      <c r="AF26" s="169" t="str">
        <f t="shared" si="16"/>
        <v>0</v>
      </c>
      <c r="AG26" s="163" t="str">
        <f t="shared" si="23"/>
        <v>#DIV/0!</v>
      </c>
      <c r="AH26" s="170" t="str">
        <f t="shared" si="17"/>
        <v>#DIV/0!</v>
      </c>
      <c r="AI26" s="26"/>
      <c r="AJ26" s="171" t="str">
        <f t="shared" si="30"/>
        <v>0.00%</v>
      </c>
      <c r="AK26" s="172" t="str">
        <f t="shared" si="31"/>
        <v>#DIV/0!</v>
      </c>
      <c r="AL26" s="173" t="str">
        <f t="shared" si="32"/>
        <v>#DIV/0!</v>
      </c>
      <c r="AM26" s="174" t="str">
        <f t="shared" si="33"/>
        <v>#DIV/0!</v>
      </c>
    </row>
    <row r="27" ht="12.75" hidden="1" customHeight="1">
      <c r="A27" s="26"/>
      <c r="B27" s="190" t="s">
        <v>472</v>
      </c>
      <c r="C27" s="191">
        <v>1.8302882E8</v>
      </c>
      <c r="D27" s="152" t="s">
        <v>473</v>
      </c>
      <c r="E27" s="53" t="s">
        <v>77</v>
      </c>
      <c r="F27" s="154"/>
      <c r="G27" s="53"/>
      <c r="H27" s="53" t="str">
        <f t="shared" si="24"/>
        <v>0.00069</v>
      </c>
      <c r="I27" s="53" t="str">
        <f t="shared" si="25"/>
        <v>89</v>
      </c>
      <c r="J27" s="53" t="str">
        <f t="shared" si="26"/>
        <v>0</v>
      </c>
      <c r="K27" s="155" t="str">
        <f t="shared" si="27"/>
        <v>0.00</v>
      </c>
      <c r="L27" s="156" t="str">
        <f t="shared" si="28"/>
        <v>0.00 </v>
      </c>
      <c r="M27" s="132">
        <v>90.0</v>
      </c>
      <c r="N27" s="157" t="str">
        <f t="shared" si="29"/>
        <v>#DIV/0!</v>
      </c>
      <c r="O27" s="158">
        <v>1173.0</v>
      </c>
      <c r="P27" s="159" t="str">
        <f t="shared" si="6"/>
        <v>1,173.00</v>
      </c>
      <c r="Q27" s="160"/>
      <c r="R27" s="161">
        <v>0.26</v>
      </c>
      <c r="S27" s="162" t="str">
        <f t="shared" si="7"/>
        <v>868.02</v>
      </c>
      <c r="T27" s="163" t="str">
        <f t="shared" si="22"/>
        <v>60.00</v>
      </c>
      <c r="U27" s="164" t="str">
        <f t="shared" si="8"/>
        <v>69.44</v>
      </c>
      <c r="V27" s="165" t="str">
        <f t="shared" si="9"/>
        <v>#DIV/0!</v>
      </c>
      <c r="W27" s="166">
        <v>0.68</v>
      </c>
      <c r="X27" s="167" t="str">
        <f t="shared" si="10"/>
        <v>76</v>
      </c>
      <c r="Y27" s="168" t="str">
        <f t="shared" si="11"/>
        <v>381.225</v>
      </c>
      <c r="Z27" s="168" t="str">
        <f t="shared" si="12"/>
        <v>18.836</v>
      </c>
      <c r="AA27" s="164" t="str">
        <f t="shared" si="13"/>
        <v>1.72</v>
      </c>
      <c r="AB27" s="164">
        <v>96.56</v>
      </c>
      <c r="AC27" s="164" t="str">
        <f t="shared" si="14"/>
        <v>4.80</v>
      </c>
      <c r="AD27" s="165" t="str">
        <f t="shared" si="15"/>
        <v>35.19</v>
      </c>
      <c r="AE27" s="23"/>
      <c r="AF27" s="169" t="str">
        <f t="shared" si="16"/>
        <v>0</v>
      </c>
      <c r="AG27" s="163" t="str">
        <f t="shared" si="23"/>
        <v>#DIV/0!</v>
      </c>
      <c r="AH27" s="170" t="str">
        <f t="shared" si="17"/>
        <v>#DIV/0!</v>
      </c>
      <c r="AI27" s="26"/>
      <c r="AJ27" s="171" t="str">
        <f t="shared" si="30"/>
        <v>0.00%</v>
      </c>
      <c r="AK27" s="172" t="str">
        <f t="shared" si="31"/>
        <v>#DIV/0!</v>
      </c>
      <c r="AL27" s="173" t="str">
        <f t="shared" si="32"/>
        <v>#DIV/0!</v>
      </c>
      <c r="AM27" s="174" t="str">
        <f t="shared" si="33"/>
        <v>#DIV/0!</v>
      </c>
    </row>
    <row r="28" ht="12.75" hidden="1" customHeight="1">
      <c r="A28" s="26"/>
      <c r="B28" s="190" t="s">
        <v>474</v>
      </c>
      <c r="C28" s="216"/>
      <c r="D28" s="217" t="s">
        <v>475</v>
      </c>
      <c r="E28" s="53" t="s">
        <v>77</v>
      </c>
      <c r="F28" s="154"/>
      <c r="G28" s="53"/>
      <c r="H28" s="53" t="str">
        <f t="shared" si="24"/>
        <v>0.00069</v>
      </c>
      <c r="I28" s="53" t="str">
        <f t="shared" si="25"/>
        <v>89</v>
      </c>
      <c r="J28" s="53" t="str">
        <f t="shared" si="26"/>
        <v>0</v>
      </c>
      <c r="K28" s="155" t="str">
        <f t="shared" si="27"/>
        <v>0.00</v>
      </c>
      <c r="L28" s="156" t="str">
        <f t="shared" si="28"/>
        <v>0.00 </v>
      </c>
      <c r="M28" s="132">
        <v>90.0</v>
      </c>
      <c r="N28" s="157" t="str">
        <f t="shared" si="29"/>
        <v>#DIV/0!</v>
      </c>
      <c r="O28" s="158"/>
      <c r="P28" s="159" t="str">
        <f t="shared" si="6"/>
        <v/>
      </c>
      <c r="Q28" s="160"/>
      <c r="R28" s="161"/>
      <c r="S28" s="162"/>
      <c r="T28" s="163"/>
      <c r="U28" s="164"/>
      <c r="V28" s="165"/>
      <c r="W28" s="166"/>
      <c r="X28" s="167"/>
      <c r="Y28" s="168"/>
      <c r="Z28" s="168"/>
      <c r="AA28" s="164"/>
      <c r="AB28" s="164"/>
      <c r="AC28" s="164"/>
      <c r="AD28" s="165"/>
      <c r="AE28" s="23"/>
      <c r="AF28" s="218"/>
      <c r="AG28" s="163"/>
      <c r="AH28" s="170" t="str">
        <f t="shared" si="17"/>
        <v>#DIV/0!</v>
      </c>
      <c r="AI28" s="26"/>
      <c r="AJ28" s="171"/>
      <c r="AK28" s="172"/>
      <c r="AL28" s="219"/>
      <c r="AM28" s="174"/>
    </row>
    <row r="29" ht="12.75" hidden="1" customHeight="1">
      <c r="A29" s="26"/>
      <c r="B29" s="190" t="s">
        <v>474</v>
      </c>
      <c r="C29" s="220"/>
      <c r="D29" s="221" t="s">
        <v>476</v>
      </c>
      <c r="E29" s="211" t="s">
        <v>77</v>
      </c>
      <c r="F29" s="154"/>
      <c r="G29" s="211"/>
      <c r="H29" s="53" t="str">
        <f t="shared" si="24"/>
        <v>0.00069</v>
      </c>
      <c r="I29" s="53" t="str">
        <f t="shared" si="25"/>
        <v>89</v>
      </c>
      <c r="J29" s="53" t="str">
        <f t="shared" si="26"/>
        <v>0</v>
      </c>
      <c r="K29" s="155" t="str">
        <f t="shared" si="27"/>
        <v>0.00</v>
      </c>
      <c r="L29" s="156" t="str">
        <f t="shared" si="28"/>
        <v>0.00 </v>
      </c>
      <c r="M29" s="132">
        <v>90.0</v>
      </c>
      <c r="N29" s="157" t="str">
        <f t="shared" si="29"/>
        <v>#DIV/0!</v>
      </c>
      <c r="O29" s="158">
        <v>481.8</v>
      </c>
      <c r="P29" s="159" t="str">
        <f t="shared" si="6"/>
        <v>481.80</v>
      </c>
      <c r="Q29" s="160"/>
      <c r="R29" s="161">
        <v>0.26</v>
      </c>
      <c r="S29" s="162" t="str">
        <f t="shared" ref="S29:S31" si="34">O29-(O29*R29)</f>
        <v>356.53</v>
      </c>
      <c r="T29" s="163" t="str">
        <f t="shared" ref="T29:T31" si="35">$C$1</f>
        <v>60.00</v>
      </c>
      <c r="U29" s="164" t="str">
        <f t="shared" ref="U29:U31" si="36">S29*$C$8</f>
        <v>28.52</v>
      </c>
      <c r="V29" s="165" t="str">
        <f t="shared" ref="V29:V31" si="37">N29*$C$3*(M29/30)</f>
        <v>#DIV/0!</v>
      </c>
      <c r="W29" s="166">
        <v>0.68</v>
      </c>
      <c r="X29" s="167" t="str">
        <f t="shared" ref="X29:X31" si="38">((_xlfn.CEILING.MATH(W29)-1)*$C$5+$C$4)</f>
        <v>76</v>
      </c>
      <c r="Y29" s="168" t="str">
        <f t="shared" ref="Y29:Y31" si="39">O29*$Y$6</f>
        <v>156.585</v>
      </c>
      <c r="Z29" s="168" t="str">
        <f t="shared" ref="Z29:Z31" si="40">S29*$Y$7</f>
        <v>7.737</v>
      </c>
      <c r="AA29" s="164" t="str">
        <f t="shared" ref="AA29:AA31" si="41">$Y$3*((100-AB29)/100)</f>
        <v>0.00</v>
      </c>
      <c r="AB29" s="164">
        <v>100.0</v>
      </c>
      <c r="AC29" s="164" t="str">
        <f t="shared" ref="AC29:AC31" si="42">$C$6*$C$7*_xlfn.CEILING.MATH(W29)</f>
        <v>4.80</v>
      </c>
      <c r="AD29" s="165" t="str">
        <f t="shared" ref="AD29:AD31" si="43">O29*$C$2</f>
        <v>14.45</v>
      </c>
      <c r="AE29" s="23"/>
      <c r="AF29" s="169" t="str">
        <f t="shared" ref="AF29:AF31" si="44">(_xlfn.CEILING.MATH(W29))*$Y$1*$AD$2</f>
        <v>0</v>
      </c>
      <c r="AG29" s="163" t="str">
        <f t="shared" ref="AG29:AG31" si="45">O29-T29-U29-V29-X29-Y29-Z29-AA29-AC29-AD29-N29</f>
        <v>#DIV/0!</v>
      </c>
      <c r="AH29" s="170" t="str">
        <f t="shared" si="17"/>
        <v>#DIV/0!</v>
      </c>
      <c r="AI29" s="26"/>
      <c r="AJ29" s="171" t="str">
        <f t="shared" ref="AJ29:AJ31" si="46">$AD$3</f>
        <v>0.00%</v>
      </c>
      <c r="AK29" s="172" t="str">
        <f t="shared" ref="AK29:AK31" si="47">N29*AJ29</f>
        <v>#DIV/0!</v>
      </c>
      <c r="AL29" s="173" t="str">
        <f t="shared" ref="AL29:AL31" si="48">(N29+T29+V29+X29+AA29+AC29+AF29+AK29)/(100%-($C$2+$C$8+$Y$6+$Y$7))</f>
        <v>#DIV/0!</v>
      </c>
      <c r="AM29" s="174" t="str">
        <f t="shared" ref="AM29:AM36" si="49">AL29-(AL29*$AD$1)</f>
        <v>#DIV/0!</v>
      </c>
    </row>
    <row r="30" ht="12.75" hidden="1" customHeight="1">
      <c r="A30" s="26"/>
      <c r="B30" s="190" t="s">
        <v>474</v>
      </c>
      <c r="C30" s="220"/>
      <c r="D30" s="221" t="s">
        <v>478</v>
      </c>
      <c r="E30" s="211" t="s">
        <v>77</v>
      </c>
      <c r="F30" s="154"/>
      <c r="G30" s="211"/>
      <c r="H30" s="53" t="str">
        <f t="shared" si="24"/>
        <v>0.00069</v>
      </c>
      <c r="I30" s="53" t="str">
        <f t="shared" si="25"/>
        <v>89</v>
      </c>
      <c r="J30" s="53" t="str">
        <f t="shared" si="26"/>
        <v>0</v>
      </c>
      <c r="K30" s="155" t="str">
        <f t="shared" si="27"/>
        <v>0.00</v>
      </c>
      <c r="L30" s="156" t="str">
        <f t="shared" si="28"/>
        <v>0.00 </v>
      </c>
      <c r="M30" s="132">
        <v>90.0</v>
      </c>
      <c r="N30" s="157" t="str">
        <f t="shared" si="29"/>
        <v>#DIV/0!</v>
      </c>
      <c r="O30" s="158">
        <v>900.0</v>
      </c>
      <c r="P30" s="159" t="str">
        <f t="shared" si="6"/>
        <v>900.00</v>
      </c>
      <c r="Q30" s="160"/>
      <c r="R30" s="161">
        <v>0.26</v>
      </c>
      <c r="S30" s="162" t="str">
        <f t="shared" si="34"/>
        <v>666.00</v>
      </c>
      <c r="T30" s="163" t="str">
        <f t="shared" si="35"/>
        <v>60.00</v>
      </c>
      <c r="U30" s="164" t="str">
        <f t="shared" si="36"/>
        <v>53.28</v>
      </c>
      <c r="V30" s="165" t="str">
        <f t="shared" si="37"/>
        <v>#DIV/0!</v>
      </c>
      <c r="W30" s="166">
        <v>0.68</v>
      </c>
      <c r="X30" s="167" t="str">
        <f t="shared" si="38"/>
        <v>76</v>
      </c>
      <c r="Y30" s="168" t="str">
        <f t="shared" si="39"/>
        <v>292.500</v>
      </c>
      <c r="Z30" s="168" t="str">
        <f t="shared" si="40"/>
        <v>14.452</v>
      </c>
      <c r="AA30" s="164" t="str">
        <f t="shared" si="41"/>
        <v>1.95</v>
      </c>
      <c r="AB30" s="164">
        <v>96.1</v>
      </c>
      <c r="AC30" s="164" t="str">
        <f t="shared" si="42"/>
        <v>4.80</v>
      </c>
      <c r="AD30" s="165" t="str">
        <f t="shared" si="43"/>
        <v>27.00</v>
      </c>
      <c r="AE30" s="23"/>
      <c r="AF30" s="169" t="str">
        <f t="shared" si="44"/>
        <v>0</v>
      </c>
      <c r="AG30" s="163" t="str">
        <f t="shared" si="45"/>
        <v>#DIV/0!</v>
      </c>
      <c r="AH30" s="170" t="str">
        <f t="shared" si="17"/>
        <v>#DIV/0!</v>
      </c>
      <c r="AI30" s="26"/>
      <c r="AJ30" s="171" t="str">
        <f t="shared" si="46"/>
        <v>0.00%</v>
      </c>
      <c r="AK30" s="172" t="str">
        <f t="shared" si="47"/>
        <v>#DIV/0!</v>
      </c>
      <c r="AL30" s="173" t="str">
        <f t="shared" si="48"/>
        <v>#DIV/0!</v>
      </c>
      <c r="AM30" s="174" t="str">
        <f t="shared" si="49"/>
        <v>#DIV/0!</v>
      </c>
    </row>
    <row r="31" ht="12.75" hidden="1" customHeight="1">
      <c r="A31" s="26"/>
      <c r="B31" s="190" t="s">
        <v>481</v>
      </c>
      <c r="C31" s="202">
        <v>1.8303083E8</v>
      </c>
      <c r="D31" s="152" t="s">
        <v>482</v>
      </c>
      <c r="E31" s="53" t="s">
        <v>77</v>
      </c>
      <c r="F31" s="154"/>
      <c r="G31" s="53"/>
      <c r="H31" s="53" t="str">
        <f t="shared" si="24"/>
        <v>0.00069</v>
      </c>
      <c r="I31" s="53" t="str">
        <f t="shared" si="25"/>
        <v>89</v>
      </c>
      <c r="J31" s="53" t="str">
        <f t="shared" si="26"/>
        <v>0</v>
      </c>
      <c r="K31" s="155" t="str">
        <f t="shared" si="27"/>
        <v>0.00</v>
      </c>
      <c r="L31" s="156" t="str">
        <f t="shared" si="28"/>
        <v>0.00 </v>
      </c>
      <c r="M31" s="132">
        <v>90.0</v>
      </c>
      <c r="N31" s="157" t="str">
        <f t="shared" si="29"/>
        <v>#DIV/0!</v>
      </c>
      <c r="O31" s="158">
        <v>1398.38</v>
      </c>
      <c r="P31" s="159" t="str">
        <f t="shared" si="6"/>
        <v>1,398.38</v>
      </c>
      <c r="Q31" s="160"/>
      <c r="R31" s="161">
        <v>0.26</v>
      </c>
      <c r="S31" s="162" t="str">
        <f t="shared" si="34"/>
        <v>1,034.80</v>
      </c>
      <c r="T31" s="163" t="str">
        <f t="shared" si="35"/>
        <v>60.00</v>
      </c>
      <c r="U31" s="164" t="str">
        <f t="shared" si="36"/>
        <v>82.78</v>
      </c>
      <c r="V31" s="165" t="str">
        <f t="shared" si="37"/>
        <v>#DIV/0!</v>
      </c>
      <c r="W31" s="166">
        <v>2.11</v>
      </c>
      <c r="X31" s="167" t="str">
        <f t="shared" si="38"/>
        <v>114</v>
      </c>
      <c r="Y31" s="168" t="str">
        <f t="shared" si="39"/>
        <v>454.474</v>
      </c>
      <c r="Z31" s="168" t="str">
        <f t="shared" si="40"/>
        <v>22.455</v>
      </c>
      <c r="AA31" s="164" t="str">
        <f t="shared" si="41"/>
        <v>4.17</v>
      </c>
      <c r="AB31" s="164">
        <v>91.67</v>
      </c>
      <c r="AC31" s="164" t="str">
        <f t="shared" si="42"/>
        <v>14.40</v>
      </c>
      <c r="AD31" s="165" t="str">
        <f t="shared" si="43"/>
        <v>41.95</v>
      </c>
      <c r="AE31" s="23"/>
      <c r="AF31" s="169" t="str">
        <f t="shared" si="44"/>
        <v>0</v>
      </c>
      <c r="AG31" s="163" t="str">
        <f t="shared" si="45"/>
        <v>#DIV/0!</v>
      </c>
      <c r="AH31" s="170" t="str">
        <f t="shared" si="17"/>
        <v>#DIV/0!</v>
      </c>
      <c r="AI31" s="26"/>
      <c r="AJ31" s="171" t="str">
        <f t="shared" si="46"/>
        <v>0.00%</v>
      </c>
      <c r="AK31" s="172" t="str">
        <f t="shared" si="47"/>
        <v>#DIV/0!</v>
      </c>
      <c r="AL31" s="173" t="str">
        <f t="shared" si="48"/>
        <v>#DIV/0!</v>
      </c>
      <c r="AM31" s="174" t="str">
        <f t="shared" si="49"/>
        <v>#DIV/0!</v>
      </c>
    </row>
    <row r="32" ht="12.75" hidden="1" customHeight="1">
      <c r="A32" s="26"/>
      <c r="B32" s="190" t="s">
        <v>483</v>
      </c>
      <c r="C32" s="216"/>
      <c r="D32" s="217" t="s">
        <v>484</v>
      </c>
      <c r="E32" s="53" t="s">
        <v>77</v>
      </c>
      <c r="F32" s="154"/>
      <c r="G32" s="53"/>
      <c r="H32" s="53" t="str">
        <f t="shared" si="24"/>
        <v>0.00069</v>
      </c>
      <c r="I32" s="53" t="str">
        <f t="shared" si="25"/>
        <v>89</v>
      </c>
      <c r="J32" s="53" t="str">
        <f t="shared" si="26"/>
        <v>0</v>
      </c>
      <c r="K32" s="155" t="str">
        <f t="shared" si="27"/>
        <v>0.00</v>
      </c>
      <c r="L32" s="156" t="str">
        <f t="shared" si="28"/>
        <v>0.00 </v>
      </c>
      <c r="M32" s="132">
        <v>90.0</v>
      </c>
      <c r="N32" s="157" t="str">
        <f t="shared" si="29"/>
        <v>#DIV/0!</v>
      </c>
      <c r="O32" s="158"/>
      <c r="P32" s="159" t="str">
        <f t="shared" si="6"/>
        <v/>
      </c>
      <c r="Q32" s="160"/>
      <c r="R32" s="161"/>
      <c r="S32" s="162"/>
      <c r="T32" s="163"/>
      <c r="U32" s="164"/>
      <c r="V32" s="165"/>
      <c r="W32" s="166"/>
      <c r="X32" s="167"/>
      <c r="Y32" s="168"/>
      <c r="Z32" s="168"/>
      <c r="AA32" s="164"/>
      <c r="AB32" s="164"/>
      <c r="AC32" s="164"/>
      <c r="AD32" s="165"/>
      <c r="AE32" s="23"/>
      <c r="AF32" s="218"/>
      <c r="AG32" s="163"/>
      <c r="AH32" s="170" t="str">
        <f t="shared" si="17"/>
        <v>#DIV/0!</v>
      </c>
      <c r="AI32" s="26"/>
      <c r="AJ32" s="171"/>
      <c r="AK32" s="172"/>
      <c r="AL32" s="219"/>
      <c r="AM32" s="174" t="str">
        <f t="shared" si="49"/>
        <v>0.00</v>
      </c>
    </row>
    <row r="33" ht="12.75" hidden="1" customHeight="1">
      <c r="A33" s="26"/>
      <c r="B33" s="190" t="s">
        <v>474</v>
      </c>
      <c r="C33" s="220"/>
      <c r="D33" s="223" t="s">
        <v>485</v>
      </c>
      <c r="E33" s="211" t="s">
        <v>77</v>
      </c>
      <c r="F33" s="154"/>
      <c r="G33" s="211"/>
      <c r="H33" s="53" t="str">
        <f t="shared" si="24"/>
        <v>0.00069</v>
      </c>
      <c r="I33" s="53" t="str">
        <f t="shared" si="25"/>
        <v>89</v>
      </c>
      <c r="J33" s="53" t="str">
        <f t="shared" si="26"/>
        <v>0</v>
      </c>
      <c r="K33" s="155" t="str">
        <f t="shared" si="27"/>
        <v>0.00</v>
      </c>
      <c r="L33" s="156" t="str">
        <f t="shared" si="28"/>
        <v>0.00 </v>
      </c>
      <c r="M33" s="132">
        <v>90.0</v>
      </c>
      <c r="N33" s="157" t="str">
        <f t="shared" si="29"/>
        <v>#DIV/0!</v>
      </c>
      <c r="O33" s="158">
        <v>403.0</v>
      </c>
      <c r="P33" s="159" t="str">
        <f t="shared" si="6"/>
        <v>403.00</v>
      </c>
      <c r="Q33" s="160"/>
      <c r="R33" s="161">
        <v>0.26</v>
      </c>
      <c r="S33" s="162" t="str">
        <f t="shared" ref="S33:S36" si="50">O33-(O33*R33)</f>
        <v>298.22</v>
      </c>
      <c r="T33" s="163" t="str">
        <f t="shared" ref="T33:T36" si="51">$C$1</f>
        <v>60.00</v>
      </c>
      <c r="U33" s="164" t="str">
        <f t="shared" ref="U33:U36" si="52">S33*$C$8</f>
        <v>23.86</v>
      </c>
      <c r="V33" s="165" t="str">
        <f t="shared" ref="V33:V36" si="53">N33*$C$3*(M33/30)</f>
        <v>#DIV/0!</v>
      </c>
      <c r="W33" s="166">
        <v>0.68</v>
      </c>
      <c r="X33" s="167" t="str">
        <f t="shared" ref="X33:X36" si="54">((_xlfn.CEILING.MATH(W33)-1)*$C$5+$C$4)</f>
        <v>76</v>
      </c>
      <c r="Y33" s="168" t="str">
        <f t="shared" ref="Y33:Y36" si="55">O33*$Y$6</f>
        <v>130.975</v>
      </c>
      <c r="Z33" s="168" t="str">
        <f t="shared" ref="Z33:Z36" si="56">S33*$Y$7</f>
        <v>6.471</v>
      </c>
      <c r="AA33" s="164" t="str">
        <f t="shared" ref="AA33:AA36" si="57">$Y$3*((100-AB33)/100)</f>
        <v>2.64</v>
      </c>
      <c r="AB33" s="164">
        <v>94.72</v>
      </c>
      <c r="AC33" s="164" t="str">
        <f t="shared" ref="AC33:AC36" si="58">$C$6*$C$7*_xlfn.CEILING.MATH(W33)</f>
        <v>4.80</v>
      </c>
      <c r="AD33" s="165" t="str">
        <f t="shared" ref="AD33:AD36" si="59">O33*$C$2</f>
        <v>12.09</v>
      </c>
      <c r="AE33" s="23"/>
      <c r="AF33" s="169" t="str">
        <f t="shared" ref="AF33:AF36" si="60">(_xlfn.CEILING.MATH(W33))*$Y$1*$AD$2</f>
        <v>0</v>
      </c>
      <c r="AG33" s="163" t="str">
        <f t="shared" ref="AG33:AG36" si="61">O33-T33-U33-V33-X33-Y33-Z33-AA33-AC33-AD33-N33</f>
        <v>#DIV/0!</v>
      </c>
      <c r="AH33" s="170" t="str">
        <f t="shared" si="17"/>
        <v>#DIV/0!</v>
      </c>
      <c r="AI33" s="26"/>
      <c r="AJ33" s="171" t="str">
        <f t="shared" ref="AJ33:AJ36" si="62">$AD$3</f>
        <v>0.00%</v>
      </c>
      <c r="AK33" s="172" t="str">
        <f t="shared" ref="AK33:AK36" si="63">N33*AJ33</f>
        <v>#DIV/0!</v>
      </c>
      <c r="AL33" s="173" t="str">
        <f t="shared" ref="AL33:AL36" si="64">(N33+T33+V33+X33+AA33+AC33+AF33+AK33)/(100%-($C$2+$C$8+$Y$6+$Y$7))</f>
        <v>#DIV/0!</v>
      </c>
      <c r="AM33" s="174" t="str">
        <f t="shared" si="49"/>
        <v>#DIV/0!</v>
      </c>
    </row>
    <row r="34" ht="12.75" hidden="1" customHeight="1">
      <c r="A34" s="26"/>
      <c r="B34" s="190" t="s">
        <v>474</v>
      </c>
      <c r="C34" s="220"/>
      <c r="D34" s="223" t="s">
        <v>486</v>
      </c>
      <c r="E34" s="211" t="s">
        <v>77</v>
      </c>
      <c r="F34" s="154"/>
      <c r="G34" s="211"/>
      <c r="H34" s="53" t="str">
        <f t="shared" si="24"/>
        <v>0.00069</v>
      </c>
      <c r="I34" s="53" t="str">
        <f t="shared" si="25"/>
        <v>89</v>
      </c>
      <c r="J34" s="53" t="str">
        <f t="shared" si="26"/>
        <v>0</v>
      </c>
      <c r="K34" s="155" t="str">
        <f t="shared" si="27"/>
        <v>0.00</v>
      </c>
      <c r="L34" s="156" t="str">
        <f t="shared" si="28"/>
        <v>0.00 </v>
      </c>
      <c r="M34" s="132">
        <v>90.0</v>
      </c>
      <c r="N34" s="157" t="str">
        <f t="shared" si="29"/>
        <v>#DIV/0!</v>
      </c>
      <c r="O34" s="158">
        <v>528.5</v>
      </c>
      <c r="P34" s="159" t="str">
        <f t="shared" si="6"/>
        <v>528.50</v>
      </c>
      <c r="Q34" s="160"/>
      <c r="R34" s="161">
        <v>0.26</v>
      </c>
      <c r="S34" s="162" t="str">
        <f t="shared" si="50"/>
        <v>391.09</v>
      </c>
      <c r="T34" s="163" t="str">
        <f t="shared" si="51"/>
        <v>60.00</v>
      </c>
      <c r="U34" s="164" t="str">
        <f t="shared" si="52"/>
        <v>31.29</v>
      </c>
      <c r="V34" s="165" t="str">
        <f t="shared" si="53"/>
        <v>#DIV/0!</v>
      </c>
      <c r="W34" s="166">
        <v>0.77</v>
      </c>
      <c r="X34" s="167" t="str">
        <f t="shared" si="54"/>
        <v>76</v>
      </c>
      <c r="Y34" s="168" t="str">
        <f t="shared" si="55"/>
        <v>171.763</v>
      </c>
      <c r="Z34" s="168" t="str">
        <f t="shared" si="56"/>
        <v>8.487</v>
      </c>
      <c r="AA34" s="164" t="str">
        <f t="shared" si="57"/>
        <v>3.07</v>
      </c>
      <c r="AB34" s="164">
        <v>93.86</v>
      </c>
      <c r="AC34" s="164" t="str">
        <f t="shared" si="58"/>
        <v>4.80</v>
      </c>
      <c r="AD34" s="165" t="str">
        <f t="shared" si="59"/>
        <v>15.86</v>
      </c>
      <c r="AE34" s="23"/>
      <c r="AF34" s="169" t="str">
        <f t="shared" si="60"/>
        <v>0</v>
      </c>
      <c r="AG34" s="163" t="str">
        <f t="shared" si="61"/>
        <v>#DIV/0!</v>
      </c>
      <c r="AH34" s="170" t="str">
        <f t="shared" si="17"/>
        <v>#DIV/0!</v>
      </c>
      <c r="AI34" s="26"/>
      <c r="AJ34" s="171" t="str">
        <f t="shared" si="62"/>
        <v>0.00%</v>
      </c>
      <c r="AK34" s="172" t="str">
        <f t="shared" si="63"/>
        <v>#DIV/0!</v>
      </c>
      <c r="AL34" s="173" t="str">
        <f t="shared" si="64"/>
        <v>#DIV/0!</v>
      </c>
      <c r="AM34" s="174" t="str">
        <f t="shared" si="49"/>
        <v>#DIV/0!</v>
      </c>
    </row>
    <row r="35" ht="12.75" hidden="1" customHeight="1">
      <c r="A35" s="26"/>
      <c r="B35" s="190" t="s">
        <v>474</v>
      </c>
      <c r="C35" s="220"/>
      <c r="D35" s="223" t="s">
        <v>487</v>
      </c>
      <c r="E35" s="211" t="s">
        <v>77</v>
      </c>
      <c r="F35" s="154"/>
      <c r="G35" s="211"/>
      <c r="H35" s="53" t="str">
        <f t="shared" si="24"/>
        <v>0.00069</v>
      </c>
      <c r="I35" s="53" t="str">
        <f t="shared" si="25"/>
        <v>89</v>
      </c>
      <c r="J35" s="53" t="str">
        <f t="shared" si="26"/>
        <v>0</v>
      </c>
      <c r="K35" s="155" t="str">
        <f t="shared" si="27"/>
        <v>0.00</v>
      </c>
      <c r="L35" s="156" t="str">
        <f t="shared" si="28"/>
        <v>0.00 </v>
      </c>
      <c r="M35" s="132">
        <v>90.0</v>
      </c>
      <c r="N35" s="157" t="str">
        <f t="shared" si="29"/>
        <v>#DIV/0!</v>
      </c>
      <c r="O35" s="158">
        <v>808.8</v>
      </c>
      <c r="P35" s="159" t="str">
        <f t="shared" si="6"/>
        <v>808.80</v>
      </c>
      <c r="Q35" s="160"/>
      <c r="R35" s="161">
        <v>0.26</v>
      </c>
      <c r="S35" s="162" t="str">
        <f t="shared" si="50"/>
        <v>598.51</v>
      </c>
      <c r="T35" s="163" t="str">
        <f t="shared" si="51"/>
        <v>60.00</v>
      </c>
      <c r="U35" s="164" t="str">
        <f t="shared" si="52"/>
        <v>47.88</v>
      </c>
      <c r="V35" s="165" t="str">
        <f t="shared" si="53"/>
        <v>#DIV/0!</v>
      </c>
      <c r="W35" s="166">
        <v>0.86</v>
      </c>
      <c r="X35" s="167" t="str">
        <f t="shared" si="54"/>
        <v>76</v>
      </c>
      <c r="Y35" s="168" t="str">
        <f t="shared" si="55"/>
        <v>262.860</v>
      </c>
      <c r="Z35" s="168" t="str">
        <f t="shared" si="56"/>
        <v>12.988</v>
      </c>
      <c r="AA35" s="164" t="str">
        <f t="shared" si="57"/>
        <v>3.05</v>
      </c>
      <c r="AB35" s="164">
        <v>93.9</v>
      </c>
      <c r="AC35" s="164" t="str">
        <f t="shared" si="58"/>
        <v>4.80</v>
      </c>
      <c r="AD35" s="165" t="str">
        <f t="shared" si="59"/>
        <v>24.26</v>
      </c>
      <c r="AE35" s="23"/>
      <c r="AF35" s="169" t="str">
        <f t="shared" si="60"/>
        <v>0</v>
      </c>
      <c r="AG35" s="163" t="str">
        <f t="shared" si="61"/>
        <v>#DIV/0!</v>
      </c>
      <c r="AH35" s="170" t="str">
        <f t="shared" si="17"/>
        <v>#DIV/0!</v>
      </c>
      <c r="AI35" s="26"/>
      <c r="AJ35" s="171" t="str">
        <f t="shared" si="62"/>
        <v>0.00%</v>
      </c>
      <c r="AK35" s="172" t="str">
        <f t="shared" si="63"/>
        <v>#DIV/0!</v>
      </c>
      <c r="AL35" s="173" t="str">
        <f t="shared" si="64"/>
        <v>#DIV/0!</v>
      </c>
      <c r="AM35" s="174" t="str">
        <f t="shared" si="49"/>
        <v>#DIV/0!</v>
      </c>
    </row>
    <row r="36" ht="12.75" hidden="1" customHeight="1">
      <c r="A36" s="26"/>
      <c r="B36" s="190" t="s">
        <v>488</v>
      </c>
      <c r="C36" s="191">
        <v>1.83127988E8</v>
      </c>
      <c r="D36" s="222" t="s">
        <v>489</v>
      </c>
      <c r="E36" s="53" t="s">
        <v>77</v>
      </c>
      <c r="F36" s="154"/>
      <c r="G36" s="53"/>
      <c r="H36" s="53" t="str">
        <f t="shared" si="24"/>
        <v>0.00069</v>
      </c>
      <c r="I36" s="53" t="str">
        <f t="shared" si="25"/>
        <v>89</v>
      </c>
      <c r="J36" s="53" t="str">
        <f t="shared" si="26"/>
        <v>0</v>
      </c>
      <c r="K36" s="155" t="str">
        <f t="shared" si="27"/>
        <v>0.00</v>
      </c>
      <c r="L36" s="156" t="str">
        <f t="shared" si="28"/>
        <v>0.00 </v>
      </c>
      <c r="M36" s="132">
        <v>90.0</v>
      </c>
      <c r="N36" s="157" t="str">
        <f t="shared" si="29"/>
        <v>#DIV/0!</v>
      </c>
      <c r="O36" s="158">
        <v>1241.4</v>
      </c>
      <c r="P36" s="159" t="str">
        <f t="shared" si="6"/>
        <v>1,241.40</v>
      </c>
      <c r="Q36" s="160"/>
      <c r="R36" s="161">
        <v>0.26</v>
      </c>
      <c r="S36" s="162" t="str">
        <f t="shared" si="50"/>
        <v>918.64</v>
      </c>
      <c r="T36" s="163" t="str">
        <f t="shared" si="51"/>
        <v>60.00</v>
      </c>
      <c r="U36" s="164" t="str">
        <f t="shared" si="52"/>
        <v>73.49</v>
      </c>
      <c r="V36" s="165" t="str">
        <f t="shared" si="53"/>
        <v>#DIV/0!</v>
      </c>
      <c r="W36" s="166">
        <v>0.43</v>
      </c>
      <c r="X36" s="167" t="str">
        <f t="shared" si="54"/>
        <v>76</v>
      </c>
      <c r="Y36" s="168" t="str">
        <f t="shared" si="55"/>
        <v>403.455</v>
      </c>
      <c r="Z36" s="168" t="str">
        <f t="shared" si="56"/>
        <v>19.934</v>
      </c>
      <c r="AA36" s="164" t="str">
        <f t="shared" si="57"/>
        <v>3.20</v>
      </c>
      <c r="AB36" s="164">
        <v>93.6</v>
      </c>
      <c r="AC36" s="164" t="str">
        <f t="shared" si="58"/>
        <v>4.80</v>
      </c>
      <c r="AD36" s="165" t="str">
        <f t="shared" si="59"/>
        <v>37.24</v>
      </c>
      <c r="AE36" s="23"/>
      <c r="AF36" s="169" t="str">
        <f t="shared" si="60"/>
        <v>0</v>
      </c>
      <c r="AG36" s="163" t="str">
        <f t="shared" si="61"/>
        <v>#DIV/0!</v>
      </c>
      <c r="AH36" s="170" t="str">
        <f t="shared" si="17"/>
        <v>#DIV/0!</v>
      </c>
      <c r="AI36" s="26"/>
      <c r="AJ36" s="171" t="str">
        <f t="shared" si="62"/>
        <v>0.00%</v>
      </c>
      <c r="AK36" s="172" t="str">
        <f t="shared" si="63"/>
        <v>#DIV/0!</v>
      </c>
      <c r="AL36" s="173" t="str">
        <f t="shared" si="64"/>
        <v>#DIV/0!</v>
      </c>
      <c r="AM36" s="174" t="str">
        <f t="shared" si="49"/>
        <v>#DIV/0!</v>
      </c>
    </row>
    <row r="37" ht="12.75" hidden="1" customHeight="1">
      <c r="A37" s="26"/>
      <c r="B37" s="190" t="s">
        <v>490</v>
      </c>
      <c r="C37" s="216"/>
      <c r="D37" s="217" t="s">
        <v>491</v>
      </c>
      <c r="E37" s="53" t="s">
        <v>77</v>
      </c>
      <c r="F37" s="154"/>
      <c r="G37" s="53"/>
      <c r="H37" s="53" t="str">
        <f t="shared" si="24"/>
        <v>0.00069</v>
      </c>
      <c r="I37" s="53" t="str">
        <f t="shared" si="25"/>
        <v>89</v>
      </c>
      <c r="J37" s="53" t="str">
        <f t="shared" si="26"/>
        <v>0</v>
      </c>
      <c r="K37" s="155" t="str">
        <f t="shared" si="27"/>
        <v>0.00</v>
      </c>
      <c r="L37" s="156" t="str">
        <f t="shared" si="28"/>
        <v>0.00 </v>
      </c>
      <c r="M37" s="132">
        <v>90.0</v>
      </c>
      <c r="N37" s="157" t="str">
        <f t="shared" si="29"/>
        <v>#DIV/0!</v>
      </c>
      <c r="O37" s="158"/>
      <c r="P37" s="159" t="str">
        <f t="shared" si="6"/>
        <v/>
      </c>
      <c r="Q37" s="160"/>
      <c r="R37" s="161"/>
      <c r="S37" s="162"/>
      <c r="T37" s="163"/>
      <c r="U37" s="164"/>
      <c r="V37" s="165"/>
      <c r="W37" s="166"/>
      <c r="X37" s="167"/>
      <c r="Y37" s="168"/>
      <c r="Z37" s="168"/>
      <c r="AA37" s="164"/>
      <c r="AB37" s="164"/>
      <c r="AC37" s="164"/>
      <c r="AD37" s="165"/>
      <c r="AE37" s="23"/>
      <c r="AF37" s="218"/>
      <c r="AG37" s="163"/>
      <c r="AH37" s="170" t="str">
        <f t="shared" si="17"/>
        <v>#DIV/0!</v>
      </c>
      <c r="AI37" s="26"/>
      <c r="AJ37" s="171"/>
      <c r="AK37" s="172"/>
      <c r="AL37" s="219"/>
      <c r="AM37" s="174"/>
    </row>
    <row r="38" ht="13.5" hidden="1" customHeight="1">
      <c r="A38" s="26"/>
      <c r="B38" s="190" t="s">
        <v>474</v>
      </c>
      <c r="C38" s="220"/>
      <c r="D38" s="221" t="s">
        <v>492</v>
      </c>
      <c r="E38" s="211" t="s">
        <v>77</v>
      </c>
      <c r="F38" s="154"/>
      <c r="G38" s="211"/>
      <c r="H38" s="53" t="str">
        <f t="shared" si="24"/>
        <v>0.00069</v>
      </c>
      <c r="I38" s="53" t="str">
        <f t="shared" si="25"/>
        <v>89</v>
      </c>
      <c r="J38" s="53" t="str">
        <f t="shared" si="26"/>
        <v>0</v>
      </c>
      <c r="K38" s="155" t="str">
        <f t="shared" si="27"/>
        <v>0.00</v>
      </c>
      <c r="L38" s="156" t="str">
        <f t="shared" si="28"/>
        <v>0.00 </v>
      </c>
      <c r="M38" s="132">
        <v>90.0</v>
      </c>
      <c r="N38" s="157" t="str">
        <f t="shared" si="29"/>
        <v>#DIV/0!</v>
      </c>
      <c r="O38" s="158">
        <v>398.16</v>
      </c>
      <c r="P38" s="159" t="str">
        <f t="shared" si="6"/>
        <v>398.16</v>
      </c>
      <c r="Q38" s="160"/>
      <c r="R38" s="161">
        <v>0.26</v>
      </c>
      <c r="S38" s="162" t="str">
        <f t="shared" ref="S38:S42" si="65">O38-(O38*R38)</f>
        <v>294.64</v>
      </c>
      <c r="T38" s="163" t="str">
        <f t="shared" ref="T38:T42" si="66">$C$1</f>
        <v>60.00</v>
      </c>
      <c r="U38" s="164" t="str">
        <f t="shared" ref="U38:U42" si="67">S38*$C$8</f>
        <v>23.57</v>
      </c>
      <c r="V38" s="165" t="str">
        <f t="shared" ref="V38:V42" si="68">N38*$C$3*(M38/30)</f>
        <v>#DIV/0!</v>
      </c>
      <c r="W38" s="166">
        <v>0.75</v>
      </c>
      <c r="X38" s="167" t="str">
        <f t="shared" ref="X38:X42" si="69">((_xlfn.CEILING.MATH(W38)-1)*$C$5+$C$4)</f>
        <v>76</v>
      </c>
      <c r="Y38" s="168" t="str">
        <f t="shared" ref="Y38:Y42" si="70">O38*$Y$6</f>
        <v>129.402</v>
      </c>
      <c r="Z38" s="168" t="str">
        <f t="shared" ref="Z38:Z42" si="71">S38*$Y$7</f>
        <v>6.394</v>
      </c>
      <c r="AA38" s="164" t="str">
        <f t="shared" ref="AA38:AA42" si="72">$Y$3*((100-AB38)/100)</f>
        <v>3.57</v>
      </c>
      <c r="AB38" s="164">
        <v>92.86</v>
      </c>
      <c r="AC38" s="164" t="str">
        <f t="shared" ref="AC38:AC42" si="73">$C$6*$C$7*_xlfn.CEILING.MATH(W38)</f>
        <v>4.80</v>
      </c>
      <c r="AD38" s="165" t="str">
        <f t="shared" ref="AD38:AD42" si="74">O38*$C$2</f>
        <v>11.94</v>
      </c>
      <c r="AE38" s="23"/>
      <c r="AF38" s="169" t="str">
        <f t="shared" ref="AF38:AF42" si="75">(_xlfn.CEILING.MATH(W38))*$Y$1*$AD$2</f>
        <v>0</v>
      </c>
      <c r="AG38" s="163" t="str">
        <f t="shared" ref="AG38:AG42" si="76">O38-T38-U38-V38-X38-Y38-Z38-AA38-AC38-AD38-N38</f>
        <v>#DIV/0!</v>
      </c>
      <c r="AH38" s="170" t="str">
        <f t="shared" si="17"/>
        <v>#DIV/0!</v>
      </c>
      <c r="AI38" s="26"/>
      <c r="AJ38" s="171" t="str">
        <f t="shared" ref="AJ38:AJ42" si="77">$AD$3</f>
        <v>0.00%</v>
      </c>
      <c r="AK38" s="172" t="str">
        <f t="shared" ref="AK38:AK42" si="78">N38*AJ38</f>
        <v>#DIV/0!</v>
      </c>
      <c r="AL38" s="173" t="str">
        <f t="shared" ref="AL38:AL42" si="79">(N38+T38+V38+X38+AA38+AC38+AF38+AK38)/(100%-($C$2+$C$8+$Y$6+$Y$7))</f>
        <v>#DIV/0!</v>
      </c>
      <c r="AM38" s="174" t="str">
        <f t="shared" ref="AM38:AM42" si="80">AL38-(AL38*$AD$1)</f>
        <v>#DIV/0!</v>
      </c>
    </row>
    <row r="39" ht="13.5" hidden="1" customHeight="1">
      <c r="A39" s="26"/>
      <c r="B39" s="190" t="s">
        <v>474</v>
      </c>
      <c r="C39" s="220"/>
      <c r="D39" s="221" t="s">
        <v>493</v>
      </c>
      <c r="E39" s="211" t="s">
        <v>77</v>
      </c>
      <c r="F39" s="154"/>
      <c r="G39" s="211"/>
      <c r="H39" s="53" t="str">
        <f t="shared" si="24"/>
        <v>0.00069</v>
      </c>
      <c r="I39" s="53" t="str">
        <f t="shared" si="25"/>
        <v>89</v>
      </c>
      <c r="J39" s="53" t="str">
        <f t="shared" si="26"/>
        <v>0</v>
      </c>
      <c r="K39" s="155" t="str">
        <f t="shared" si="27"/>
        <v>0.00</v>
      </c>
      <c r="L39" s="156" t="str">
        <f t="shared" si="28"/>
        <v>0.00 </v>
      </c>
      <c r="M39" s="132">
        <v>90.0</v>
      </c>
      <c r="N39" s="157" t="str">
        <f t="shared" si="29"/>
        <v>#DIV/0!</v>
      </c>
      <c r="O39" s="158">
        <v>722.1</v>
      </c>
      <c r="P39" s="159" t="str">
        <f t="shared" si="6"/>
        <v>722.10</v>
      </c>
      <c r="Q39" s="160"/>
      <c r="R39" s="161">
        <v>0.26</v>
      </c>
      <c r="S39" s="162" t="str">
        <f t="shared" si="65"/>
        <v>534.35</v>
      </c>
      <c r="T39" s="163" t="str">
        <f t="shared" si="66"/>
        <v>60.00</v>
      </c>
      <c r="U39" s="164" t="str">
        <f t="shared" si="67"/>
        <v>42.75</v>
      </c>
      <c r="V39" s="165" t="str">
        <f t="shared" si="68"/>
        <v>#DIV/0!</v>
      </c>
      <c r="W39" s="166">
        <v>0.68</v>
      </c>
      <c r="X39" s="167" t="str">
        <f t="shared" si="69"/>
        <v>76</v>
      </c>
      <c r="Y39" s="168" t="str">
        <f t="shared" si="70"/>
        <v>234.683</v>
      </c>
      <c r="Z39" s="168" t="str">
        <f t="shared" si="71"/>
        <v>11.595</v>
      </c>
      <c r="AA39" s="164" t="str">
        <f t="shared" si="72"/>
        <v>15.00</v>
      </c>
      <c r="AB39" s="164">
        <v>70.0</v>
      </c>
      <c r="AC39" s="164" t="str">
        <f t="shared" si="73"/>
        <v>4.80</v>
      </c>
      <c r="AD39" s="165" t="str">
        <f t="shared" si="74"/>
        <v>21.66</v>
      </c>
      <c r="AE39" s="23"/>
      <c r="AF39" s="169" t="str">
        <f t="shared" si="75"/>
        <v>0</v>
      </c>
      <c r="AG39" s="163" t="str">
        <f t="shared" si="76"/>
        <v>#DIV/0!</v>
      </c>
      <c r="AH39" s="170" t="str">
        <f t="shared" si="17"/>
        <v>#DIV/0!</v>
      </c>
      <c r="AI39" s="26"/>
      <c r="AJ39" s="171" t="str">
        <f t="shared" si="77"/>
        <v>0.00%</v>
      </c>
      <c r="AK39" s="172" t="str">
        <f t="shared" si="78"/>
        <v>#DIV/0!</v>
      </c>
      <c r="AL39" s="173" t="str">
        <f t="shared" si="79"/>
        <v>#DIV/0!</v>
      </c>
      <c r="AM39" s="174" t="str">
        <f t="shared" si="80"/>
        <v>#DIV/0!</v>
      </c>
    </row>
    <row r="40" ht="13.5" hidden="1" customHeight="1">
      <c r="A40" s="26"/>
      <c r="B40" s="190" t="s">
        <v>474</v>
      </c>
      <c r="C40" s="220"/>
      <c r="D40" s="221" t="s">
        <v>494</v>
      </c>
      <c r="E40" s="211" t="s">
        <v>77</v>
      </c>
      <c r="F40" s="154"/>
      <c r="G40" s="211"/>
      <c r="H40" s="53" t="str">
        <f t="shared" si="24"/>
        <v>0.00069</v>
      </c>
      <c r="I40" s="53" t="str">
        <f t="shared" si="25"/>
        <v>89</v>
      </c>
      <c r="J40" s="53" t="str">
        <f t="shared" si="26"/>
        <v>0</v>
      </c>
      <c r="K40" s="155" t="str">
        <f t="shared" si="27"/>
        <v>0.00</v>
      </c>
      <c r="L40" s="156" t="str">
        <f t="shared" si="28"/>
        <v>0.00 </v>
      </c>
      <c r="M40" s="132">
        <v>90.0</v>
      </c>
      <c r="N40" s="157" t="str">
        <f t="shared" si="29"/>
        <v>#DIV/0!</v>
      </c>
      <c r="O40" s="158">
        <v>1171.2</v>
      </c>
      <c r="P40" s="159" t="str">
        <f t="shared" si="6"/>
        <v>1,171.20</v>
      </c>
      <c r="Q40" s="160"/>
      <c r="R40" s="161">
        <v>0.26</v>
      </c>
      <c r="S40" s="162" t="str">
        <f t="shared" si="65"/>
        <v>866.69</v>
      </c>
      <c r="T40" s="163" t="str">
        <f t="shared" si="66"/>
        <v>60.00</v>
      </c>
      <c r="U40" s="164" t="str">
        <f t="shared" si="67"/>
        <v>69.34</v>
      </c>
      <c r="V40" s="165" t="str">
        <f t="shared" si="68"/>
        <v>#DIV/0!</v>
      </c>
      <c r="W40" s="166">
        <v>0.86</v>
      </c>
      <c r="X40" s="167" t="str">
        <f t="shared" si="69"/>
        <v>76</v>
      </c>
      <c r="Y40" s="168" t="str">
        <f t="shared" si="70"/>
        <v>380.640</v>
      </c>
      <c r="Z40" s="168" t="str">
        <f t="shared" si="71"/>
        <v>18.807</v>
      </c>
      <c r="AA40" s="164" t="str">
        <f t="shared" si="72"/>
        <v>4.17</v>
      </c>
      <c r="AB40" s="164">
        <v>91.67</v>
      </c>
      <c r="AC40" s="164" t="str">
        <f t="shared" si="73"/>
        <v>4.80</v>
      </c>
      <c r="AD40" s="165" t="str">
        <f t="shared" si="74"/>
        <v>35.14</v>
      </c>
      <c r="AE40" s="23"/>
      <c r="AF40" s="169" t="str">
        <f t="shared" si="75"/>
        <v>0</v>
      </c>
      <c r="AG40" s="163" t="str">
        <f t="shared" si="76"/>
        <v>#DIV/0!</v>
      </c>
      <c r="AH40" s="170" t="str">
        <f t="shared" si="17"/>
        <v>#DIV/0!</v>
      </c>
      <c r="AI40" s="26"/>
      <c r="AJ40" s="171" t="str">
        <f t="shared" si="77"/>
        <v>0.00%</v>
      </c>
      <c r="AK40" s="172" t="str">
        <f t="shared" si="78"/>
        <v>#DIV/0!</v>
      </c>
      <c r="AL40" s="173" t="str">
        <f t="shared" si="79"/>
        <v>#DIV/0!</v>
      </c>
      <c r="AM40" s="174" t="str">
        <f t="shared" si="80"/>
        <v>#DIV/0!</v>
      </c>
    </row>
    <row r="41" ht="12.75" hidden="1" customHeight="1">
      <c r="A41" s="26"/>
      <c r="B41" s="190" t="s">
        <v>497</v>
      </c>
      <c r="C41" s="192">
        <v>1.91033857E8</v>
      </c>
      <c r="D41" s="152" t="s">
        <v>498</v>
      </c>
      <c r="E41" s="53" t="s">
        <v>77</v>
      </c>
      <c r="F41" s="154"/>
      <c r="G41" s="53"/>
      <c r="H41" s="53" t="str">
        <f t="shared" si="24"/>
        <v>0.00069</v>
      </c>
      <c r="I41" s="53" t="str">
        <f t="shared" si="25"/>
        <v>89</v>
      </c>
      <c r="J41" s="53" t="str">
        <f t="shared" si="26"/>
        <v>0</v>
      </c>
      <c r="K41" s="155" t="str">
        <f t="shared" si="27"/>
        <v>0.00</v>
      </c>
      <c r="L41" s="156" t="str">
        <f t="shared" si="28"/>
        <v>0.00 </v>
      </c>
      <c r="M41" s="132">
        <v>90.0</v>
      </c>
      <c r="N41" s="325" t="str">
        <f t="shared" si="29"/>
        <v>#DIV/0!</v>
      </c>
      <c r="O41" s="158">
        <v>476.4</v>
      </c>
      <c r="P41" s="159" t="str">
        <f t="shared" ref="P41:P42" si="81">AL41</f>
        <v>#DIV/0!</v>
      </c>
      <c r="Q41" s="160"/>
      <c r="R41" s="161">
        <v>0.26</v>
      </c>
      <c r="S41" s="162" t="str">
        <f t="shared" si="65"/>
        <v>352.54</v>
      </c>
      <c r="T41" s="163" t="str">
        <f t="shared" si="66"/>
        <v>60.00</v>
      </c>
      <c r="U41" s="164" t="str">
        <f t="shared" si="67"/>
        <v>28.20</v>
      </c>
      <c r="V41" s="165" t="str">
        <f t="shared" si="68"/>
        <v>#DIV/0!</v>
      </c>
      <c r="W41" s="166">
        <v>0.09</v>
      </c>
      <c r="X41" s="167" t="str">
        <f t="shared" si="69"/>
        <v>76</v>
      </c>
      <c r="Y41" s="168" t="str">
        <f t="shared" si="70"/>
        <v>154.830</v>
      </c>
      <c r="Z41" s="168" t="str">
        <f t="shared" si="71"/>
        <v>7.650</v>
      </c>
      <c r="AA41" s="164" t="str">
        <f t="shared" si="72"/>
        <v>3.68</v>
      </c>
      <c r="AB41" s="164">
        <v>92.65</v>
      </c>
      <c r="AC41" s="164" t="str">
        <f t="shared" si="73"/>
        <v>4.80</v>
      </c>
      <c r="AD41" s="165" t="str">
        <f t="shared" si="74"/>
        <v>14.29</v>
      </c>
      <c r="AE41" s="23"/>
      <c r="AF41" s="169" t="str">
        <f t="shared" si="75"/>
        <v>0</v>
      </c>
      <c r="AG41" s="163" t="str">
        <f t="shared" si="76"/>
        <v>#DIV/0!</v>
      </c>
      <c r="AH41" s="170" t="str">
        <f t="shared" si="17"/>
        <v>#DIV/0!</v>
      </c>
      <c r="AI41" s="26"/>
      <c r="AJ41" s="171" t="str">
        <f t="shared" si="77"/>
        <v>0.00%</v>
      </c>
      <c r="AK41" s="172" t="str">
        <f t="shared" si="78"/>
        <v>#DIV/0!</v>
      </c>
      <c r="AL41" s="173" t="str">
        <f t="shared" si="79"/>
        <v>#DIV/0!</v>
      </c>
      <c r="AM41" s="174" t="str">
        <f t="shared" si="80"/>
        <v>#DIV/0!</v>
      </c>
    </row>
    <row r="42" ht="12.75" hidden="1" customHeight="1">
      <c r="A42" s="26"/>
      <c r="B42" s="190" t="s">
        <v>499</v>
      </c>
      <c r="C42" s="192">
        <v>1.95289584E8</v>
      </c>
      <c r="D42" s="152" t="s">
        <v>500</v>
      </c>
      <c r="E42" s="53" t="s">
        <v>77</v>
      </c>
      <c r="F42" s="154"/>
      <c r="G42" s="53"/>
      <c r="H42" s="53" t="str">
        <f t="shared" si="24"/>
        <v>0.00069</v>
      </c>
      <c r="I42" s="53" t="str">
        <f t="shared" si="25"/>
        <v>89</v>
      </c>
      <c r="J42" s="53" t="str">
        <f t="shared" si="26"/>
        <v>0</v>
      </c>
      <c r="K42" s="155" t="str">
        <f t="shared" si="27"/>
        <v>0.00</v>
      </c>
      <c r="L42" s="156" t="str">
        <f t="shared" si="28"/>
        <v>0.00 </v>
      </c>
      <c r="M42" s="132">
        <v>90.0</v>
      </c>
      <c r="N42" s="325" t="str">
        <f t="shared" si="29"/>
        <v>#DIV/0!</v>
      </c>
      <c r="O42" s="158">
        <v>492.3</v>
      </c>
      <c r="P42" s="159" t="str">
        <f t="shared" si="81"/>
        <v>#DIV/0!</v>
      </c>
      <c r="Q42" s="160"/>
      <c r="R42" s="161">
        <v>0.26</v>
      </c>
      <c r="S42" s="162" t="str">
        <f t="shared" si="65"/>
        <v>364.30</v>
      </c>
      <c r="T42" s="163" t="str">
        <f t="shared" si="66"/>
        <v>60.00</v>
      </c>
      <c r="U42" s="164" t="str">
        <f t="shared" si="67"/>
        <v>29.14</v>
      </c>
      <c r="V42" s="165" t="str">
        <f t="shared" si="68"/>
        <v>#DIV/0!</v>
      </c>
      <c r="W42" s="166">
        <v>0.09</v>
      </c>
      <c r="X42" s="167" t="str">
        <f t="shared" si="69"/>
        <v>76</v>
      </c>
      <c r="Y42" s="168" t="str">
        <f t="shared" si="70"/>
        <v>159.998</v>
      </c>
      <c r="Z42" s="168" t="str">
        <f t="shared" si="71"/>
        <v>7.905</v>
      </c>
      <c r="AA42" s="164" t="str">
        <f t="shared" si="72"/>
        <v>1.90</v>
      </c>
      <c r="AB42" s="164">
        <v>96.2</v>
      </c>
      <c r="AC42" s="164" t="str">
        <f t="shared" si="73"/>
        <v>4.80</v>
      </c>
      <c r="AD42" s="165" t="str">
        <f t="shared" si="74"/>
        <v>14.77</v>
      </c>
      <c r="AE42" s="23"/>
      <c r="AF42" s="169" t="str">
        <f t="shared" si="75"/>
        <v>0</v>
      </c>
      <c r="AG42" s="163" t="str">
        <f t="shared" si="76"/>
        <v>#DIV/0!</v>
      </c>
      <c r="AH42" s="170" t="str">
        <f t="shared" si="17"/>
        <v>#DIV/0!</v>
      </c>
      <c r="AI42" s="26"/>
      <c r="AJ42" s="171" t="str">
        <f t="shared" si="77"/>
        <v>0.00%</v>
      </c>
      <c r="AK42" s="172" t="str">
        <f t="shared" si="78"/>
        <v>#DIV/0!</v>
      </c>
      <c r="AL42" s="173" t="str">
        <f t="shared" si="79"/>
        <v>#DIV/0!</v>
      </c>
      <c r="AM42" s="174" t="str">
        <f t="shared" si="80"/>
        <v>#DIV/0!</v>
      </c>
    </row>
    <row r="43" ht="12.75" customHeight="1">
      <c r="A43" s="26"/>
      <c r="B43" s="125" t="s">
        <v>501</v>
      </c>
      <c r="C43" s="126"/>
      <c r="D43" s="127"/>
      <c r="E43" s="128"/>
      <c r="F43" s="129"/>
      <c r="G43" s="128"/>
      <c r="H43" s="197"/>
      <c r="I43" s="197"/>
      <c r="J43" s="128"/>
      <c r="K43" s="130"/>
      <c r="L43" s="131"/>
      <c r="M43" s="132"/>
      <c r="N43" s="320"/>
      <c r="O43" s="134"/>
      <c r="P43" s="135"/>
      <c r="Q43" s="135"/>
      <c r="R43" s="136"/>
      <c r="S43" s="137"/>
      <c r="T43" s="177"/>
      <c r="U43" s="178"/>
      <c r="V43" s="179"/>
      <c r="W43" s="180"/>
      <c r="X43" s="181"/>
      <c r="Y43" s="182"/>
      <c r="Z43" s="182"/>
      <c r="AA43" s="178"/>
      <c r="AB43" s="178"/>
      <c r="AC43" s="178"/>
      <c r="AD43" s="179"/>
      <c r="AE43" s="183"/>
      <c r="AF43" s="184"/>
      <c r="AG43" s="177"/>
      <c r="AH43" s="185"/>
      <c r="AI43" s="26"/>
      <c r="AJ43" s="186"/>
      <c r="AK43" s="187"/>
      <c r="AL43" s="188"/>
      <c r="AM43" s="189"/>
    </row>
    <row r="44" ht="12.75" customHeight="1">
      <c r="A44" s="26"/>
      <c r="B44" s="12"/>
      <c r="C44" s="240"/>
      <c r="D44" s="241"/>
      <c r="E44" s="5"/>
      <c r="F44" s="5"/>
      <c r="G44" s="5"/>
      <c r="H44" s="5"/>
      <c r="I44" s="5"/>
      <c r="J44" s="5"/>
      <c r="K44" s="8"/>
      <c r="L44" s="9"/>
      <c r="M44" s="10"/>
      <c r="N44" s="12"/>
      <c r="O44" s="242"/>
      <c r="P44" s="243"/>
      <c r="Q44" s="243"/>
      <c r="R44" s="14"/>
      <c r="S44" s="242"/>
      <c r="T44" s="15"/>
      <c r="U44" s="15"/>
      <c r="V44" s="15"/>
      <c r="W44" s="8"/>
      <c r="X44" s="8"/>
      <c r="Y44" s="56"/>
      <c r="Z44" s="56"/>
      <c r="AA44" s="15"/>
      <c r="AB44" s="15"/>
      <c r="AC44" s="15"/>
      <c r="AD44" s="15"/>
      <c r="AE44" s="57"/>
      <c r="AF44" s="57"/>
      <c r="AG44" s="15"/>
      <c r="AH44" s="25"/>
      <c r="AI44" s="26"/>
      <c r="AJ44" s="26"/>
      <c r="AK44" s="27"/>
      <c r="AL44" s="28"/>
      <c r="AM44" s="29"/>
    </row>
    <row r="45" ht="12.75" customHeight="1">
      <c r="A45" s="26"/>
      <c r="B45" s="12"/>
      <c r="C45" s="240"/>
      <c r="D45" s="241"/>
      <c r="E45" s="5"/>
      <c r="F45" s="5"/>
      <c r="G45" s="5"/>
      <c r="H45" s="5"/>
      <c r="I45" s="5"/>
      <c r="J45" s="5"/>
      <c r="K45" s="8"/>
      <c r="L45" s="9"/>
      <c r="M45" s="10"/>
      <c r="N45" s="12"/>
      <c r="O45" s="242"/>
      <c r="P45" s="243"/>
      <c r="Q45" s="243"/>
      <c r="R45" s="14"/>
      <c r="S45" s="242"/>
      <c r="T45" s="15"/>
      <c r="U45" s="15"/>
      <c r="V45" s="15"/>
      <c r="W45" s="8"/>
      <c r="X45" s="8"/>
      <c r="Y45" s="56"/>
      <c r="Z45" s="56"/>
      <c r="AA45" s="15"/>
      <c r="AB45" s="15"/>
      <c r="AC45" s="15"/>
      <c r="AD45" s="15"/>
      <c r="AE45" s="57"/>
      <c r="AF45" s="57"/>
      <c r="AG45" s="15"/>
      <c r="AH45" s="25"/>
      <c r="AI45" s="26"/>
      <c r="AJ45" s="26"/>
      <c r="AK45" s="27"/>
      <c r="AL45" s="28"/>
      <c r="AM45" s="29"/>
    </row>
    <row r="46" ht="12.75" customHeight="1">
      <c r="A46" s="26"/>
      <c r="B46" s="12"/>
      <c r="C46" s="240"/>
      <c r="D46" s="241"/>
      <c r="E46" s="5"/>
      <c r="F46" s="5"/>
      <c r="G46" s="5"/>
      <c r="H46" s="5"/>
      <c r="I46" s="5"/>
      <c r="J46" s="5"/>
      <c r="K46" s="8"/>
      <c r="L46" s="9"/>
      <c r="M46" s="10"/>
      <c r="N46" s="12"/>
      <c r="O46" s="242"/>
      <c r="P46" s="243"/>
      <c r="Q46" s="243"/>
      <c r="R46" s="14"/>
      <c r="S46" s="242"/>
      <c r="T46" s="15"/>
      <c r="U46" s="15"/>
      <c r="V46" s="15"/>
      <c r="W46" s="8"/>
      <c r="X46" s="8"/>
      <c r="Y46" s="56"/>
      <c r="Z46" s="56"/>
      <c r="AA46" s="15"/>
      <c r="AB46" s="15"/>
      <c r="AC46" s="15"/>
      <c r="AD46" s="15"/>
      <c r="AE46" s="57"/>
      <c r="AF46" s="57"/>
      <c r="AG46" s="15"/>
      <c r="AH46" s="25"/>
      <c r="AI46" s="26"/>
      <c r="AJ46" s="26"/>
      <c r="AK46" s="27"/>
      <c r="AL46" s="28"/>
      <c r="AM46" s="29"/>
    </row>
    <row r="47" ht="12.75" customHeight="1">
      <c r="A47" s="26"/>
      <c r="B47" s="12"/>
      <c r="C47" s="240"/>
      <c r="D47" s="241"/>
      <c r="E47" s="5"/>
      <c r="F47" s="5"/>
      <c r="G47" s="5"/>
      <c r="H47" s="5"/>
      <c r="I47" s="5"/>
      <c r="J47" s="5"/>
      <c r="K47" s="8"/>
      <c r="L47" s="9"/>
      <c r="M47" s="10"/>
      <c r="N47" s="12"/>
      <c r="O47" s="242"/>
      <c r="P47" s="243"/>
      <c r="Q47" s="243"/>
      <c r="R47" s="14"/>
      <c r="S47" s="242"/>
      <c r="T47" s="15"/>
      <c r="U47" s="15"/>
      <c r="V47" s="15"/>
      <c r="W47" s="8"/>
      <c r="X47" s="8"/>
      <c r="Y47" s="56"/>
      <c r="Z47" s="56"/>
      <c r="AA47" s="15"/>
      <c r="AB47" s="15"/>
      <c r="AC47" s="15"/>
      <c r="AD47" s="15"/>
      <c r="AE47" s="57"/>
      <c r="AF47" s="57"/>
      <c r="AG47" s="15"/>
      <c r="AH47" s="25"/>
      <c r="AI47" s="26"/>
      <c r="AJ47" s="26"/>
      <c r="AK47" s="27"/>
      <c r="AL47" s="28"/>
      <c r="AM47" s="29"/>
    </row>
    <row r="48" ht="12.75" customHeight="1">
      <c r="A48" s="26"/>
      <c r="B48" s="12"/>
      <c r="C48" s="240"/>
      <c r="D48" s="241"/>
      <c r="E48" s="5"/>
      <c r="F48" s="5"/>
      <c r="G48" s="5"/>
      <c r="H48" s="5"/>
      <c r="I48" s="5"/>
      <c r="J48" s="5"/>
      <c r="K48" s="8"/>
      <c r="L48" s="9"/>
      <c r="M48" s="10"/>
      <c r="N48" s="12"/>
      <c r="O48" s="242"/>
      <c r="P48" s="243"/>
      <c r="Q48" s="243"/>
      <c r="R48" s="14"/>
      <c r="S48" s="242"/>
      <c r="T48" s="15"/>
      <c r="U48" s="15"/>
      <c r="V48" s="15"/>
      <c r="W48" s="8"/>
      <c r="X48" s="8"/>
      <c r="Y48" s="56"/>
      <c r="Z48" s="56"/>
      <c r="AA48" s="15"/>
      <c r="AB48" s="15"/>
      <c r="AC48" s="15"/>
      <c r="AD48" s="15"/>
      <c r="AE48" s="57"/>
      <c r="AF48" s="57"/>
      <c r="AG48" s="15"/>
      <c r="AH48" s="25"/>
      <c r="AI48" s="26"/>
      <c r="AJ48" s="26"/>
      <c r="AK48" s="27"/>
      <c r="AL48" s="28"/>
      <c r="AM48" s="29"/>
    </row>
    <row r="49" ht="12.75" customHeight="1">
      <c r="A49" s="26"/>
      <c r="B49" s="12"/>
      <c r="C49" s="240"/>
      <c r="D49" s="241"/>
      <c r="E49" s="5"/>
      <c r="F49" s="5"/>
      <c r="G49" s="5"/>
      <c r="H49" s="5"/>
      <c r="I49" s="5"/>
      <c r="J49" s="5"/>
      <c r="K49" s="8"/>
      <c r="L49" s="9"/>
      <c r="M49" s="10"/>
      <c r="N49" s="12"/>
      <c r="O49" s="242"/>
      <c r="P49" s="243"/>
      <c r="Q49" s="243"/>
      <c r="R49" s="14"/>
      <c r="S49" s="242"/>
      <c r="T49" s="15"/>
      <c r="U49" s="15"/>
      <c r="V49" s="15"/>
      <c r="W49" s="8"/>
      <c r="X49" s="8"/>
      <c r="Y49" s="56"/>
      <c r="Z49" s="56"/>
      <c r="AA49" s="15"/>
      <c r="AB49" s="15"/>
      <c r="AC49" s="15"/>
      <c r="AD49" s="15"/>
      <c r="AE49" s="57"/>
      <c r="AF49" s="57"/>
      <c r="AG49" s="15"/>
      <c r="AH49" s="25"/>
      <c r="AI49" s="26"/>
      <c r="AJ49" s="26"/>
      <c r="AK49" s="27"/>
      <c r="AL49" s="28"/>
      <c r="AM49" s="29"/>
    </row>
    <row r="50" ht="12.75" customHeight="1">
      <c r="A50" s="26"/>
      <c r="B50" s="12"/>
      <c r="C50" s="240"/>
      <c r="D50" s="241"/>
      <c r="E50" s="5"/>
      <c r="F50" s="5"/>
      <c r="G50" s="5"/>
      <c r="H50" s="5"/>
      <c r="I50" s="5"/>
      <c r="J50" s="5"/>
      <c r="K50" s="8"/>
      <c r="L50" s="9"/>
      <c r="M50" s="10"/>
      <c r="N50" s="12"/>
      <c r="O50" s="242"/>
      <c r="P50" s="243"/>
      <c r="Q50" s="243"/>
      <c r="R50" s="14"/>
      <c r="S50" s="242"/>
      <c r="T50" s="15"/>
      <c r="U50" s="15"/>
      <c r="V50" s="15"/>
      <c r="W50" s="8"/>
      <c r="X50" s="8"/>
      <c r="Y50" s="56"/>
      <c r="Z50" s="56"/>
      <c r="AA50" s="15"/>
      <c r="AB50" s="15"/>
      <c r="AC50" s="15"/>
      <c r="AD50" s="15"/>
      <c r="AE50" s="57"/>
      <c r="AF50" s="57"/>
      <c r="AG50" s="15"/>
      <c r="AH50" s="25"/>
      <c r="AI50" s="26"/>
      <c r="AJ50" s="26"/>
      <c r="AK50" s="27"/>
      <c r="AL50" s="28"/>
      <c r="AM50" s="29"/>
    </row>
    <row r="51" ht="12.75" customHeight="1">
      <c r="A51" s="26"/>
      <c r="B51" s="12"/>
      <c r="C51" s="240"/>
      <c r="D51" s="241"/>
      <c r="E51" s="5"/>
      <c r="F51" s="5"/>
      <c r="G51" s="5"/>
      <c r="H51" s="5"/>
      <c r="I51" s="5"/>
      <c r="J51" s="5"/>
      <c r="K51" s="8"/>
      <c r="L51" s="9"/>
      <c r="M51" s="10"/>
      <c r="N51" s="12"/>
      <c r="O51" s="242"/>
      <c r="P51" s="243"/>
      <c r="Q51" s="243"/>
      <c r="R51" s="14"/>
      <c r="S51" s="242"/>
      <c r="T51" s="15"/>
      <c r="U51" s="15"/>
      <c r="V51" s="15"/>
      <c r="W51" s="8"/>
      <c r="X51" s="8"/>
      <c r="Y51" s="56"/>
      <c r="Z51" s="56"/>
      <c r="AA51" s="15"/>
      <c r="AB51" s="15"/>
      <c r="AC51" s="15"/>
      <c r="AD51" s="15"/>
      <c r="AE51" s="57"/>
      <c r="AF51" s="57"/>
      <c r="AG51" s="15"/>
      <c r="AH51" s="25"/>
      <c r="AI51" s="26"/>
      <c r="AJ51" s="26"/>
      <c r="AK51" s="27"/>
      <c r="AL51" s="28"/>
      <c r="AM51" s="29"/>
    </row>
    <row r="52" ht="12.75" customHeight="1">
      <c r="A52" s="26"/>
      <c r="B52" s="12"/>
      <c r="C52" s="240"/>
      <c r="D52" s="241"/>
      <c r="E52" s="5"/>
      <c r="F52" s="5"/>
      <c r="G52" s="5"/>
      <c r="H52" s="5"/>
      <c r="I52" s="5"/>
      <c r="J52" s="5"/>
      <c r="K52" s="8"/>
      <c r="L52" s="9"/>
      <c r="M52" s="10"/>
      <c r="N52" s="12"/>
      <c r="O52" s="242"/>
      <c r="P52" s="243"/>
      <c r="Q52" s="243"/>
      <c r="R52" s="14"/>
      <c r="S52" s="242"/>
      <c r="T52" s="15"/>
      <c r="U52" s="15"/>
      <c r="V52" s="15"/>
      <c r="W52" s="8"/>
      <c r="X52" s="8"/>
      <c r="Y52" s="56"/>
      <c r="Z52" s="56"/>
      <c r="AA52" s="15"/>
      <c r="AB52" s="15"/>
      <c r="AC52" s="15"/>
      <c r="AD52" s="15"/>
      <c r="AE52" s="57"/>
      <c r="AF52" s="57"/>
      <c r="AG52" s="15"/>
      <c r="AH52" s="25"/>
      <c r="AI52" s="26"/>
      <c r="AJ52" s="26"/>
      <c r="AK52" s="27"/>
      <c r="AL52" s="28"/>
      <c r="AM52" s="29"/>
    </row>
    <row r="53" ht="12.75" customHeight="1">
      <c r="A53" s="26"/>
      <c r="B53" s="12"/>
      <c r="C53" s="240"/>
      <c r="D53" s="241"/>
      <c r="E53" s="5"/>
      <c r="F53" s="5"/>
      <c r="G53" s="5"/>
      <c r="H53" s="5"/>
      <c r="I53" s="5"/>
      <c r="J53" s="5"/>
      <c r="K53" s="8"/>
      <c r="L53" s="9"/>
      <c r="M53" s="10"/>
      <c r="N53" s="12"/>
      <c r="O53" s="242"/>
      <c r="P53" s="243"/>
      <c r="Q53" s="243"/>
      <c r="R53" s="14"/>
      <c r="S53" s="242"/>
      <c r="T53" s="15"/>
      <c r="U53" s="15"/>
      <c r="V53" s="15"/>
      <c r="W53" s="8"/>
      <c r="X53" s="8"/>
      <c r="Y53" s="56"/>
      <c r="Z53" s="56"/>
      <c r="AA53" s="15"/>
      <c r="AB53" s="15"/>
      <c r="AC53" s="15"/>
      <c r="AD53" s="15"/>
      <c r="AE53" s="57"/>
      <c r="AF53" s="57"/>
      <c r="AG53" s="15"/>
      <c r="AH53" s="25"/>
      <c r="AI53" s="26"/>
      <c r="AJ53" s="26"/>
      <c r="AK53" s="27"/>
      <c r="AL53" s="28"/>
      <c r="AM53" s="29"/>
    </row>
    <row r="54" ht="12.75" customHeight="1">
      <c r="A54" s="26"/>
      <c r="B54" s="12"/>
      <c r="C54" s="240"/>
      <c r="D54" s="241"/>
      <c r="E54" s="5"/>
      <c r="F54" s="5"/>
      <c r="G54" s="5"/>
      <c r="H54" s="5"/>
      <c r="I54" s="5"/>
      <c r="J54" s="5"/>
      <c r="K54" s="8"/>
      <c r="L54" s="9"/>
      <c r="M54" s="10"/>
      <c r="N54" s="12"/>
      <c r="O54" s="242"/>
      <c r="P54" s="243"/>
      <c r="Q54" s="243"/>
      <c r="R54" s="14"/>
      <c r="S54" s="242"/>
      <c r="T54" s="15"/>
      <c r="U54" s="15"/>
      <c r="V54" s="15"/>
      <c r="W54" s="8"/>
      <c r="X54" s="8"/>
      <c r="Y54" s="56"/>
      <c r="Z54" s="56"/>
      <c r="AA54" s="15"/>
      <c r="AB54" s="15"/>
      <c r="AC54" s="15"/>
      <c r="AD54" s="15"/>
      <c r="AE54" s="57"/>
      <c r="AF54" s="57"/>
      <c r="AG54" s="15"/>
      <c r="AH54" s="25"/>
      <c r="AI54" s="26"/>
      <c r="AJ54" s="26"/>
      <c r="AK54" s="27"/>
      <c r="AL54" s="28"/>
      <c r="AM54" s="29"/>
    </row>
    <row r="55" ht="12.75" customHeight="1">
      <c r="A55" s="26"/>
      <c r="B55" s="12"/>
      <c r="C55" s="240"/>
      <c r="D55" s="241"/>
      <c r="E55" s="5"/>
      <c r="F55" s="5"/>
      <c r="G55" s="5"/>
      <c r="H55" s="5"/>
      <c r="I55" s="5"/>
      <c r="J55" s="5"/>
      <c r="K55" s="8"/>
      <c r="L55" s="9"/>
      <c r="M55" s="10"/>
      <c r="N55" s="12"/>
      <c r="O55" s="242"/>
      <c r="P55" s="243"/>
      <c r="Q55" s="243"/>
      <c r="R55" s="14"/>
      <c r="S55" s="242"/>
      <c r="T55" s="15"/>
      <c r="U55" s="15"/>
      <c r="V55" s="15"/>
      <c r="W55" s="8"/>
      <c r="X55" s="8"/>
      <c r="Y55" s="56"/>
      <c r="Z55" s="56"/>
      <c r="AA55" s="15"/>
      <c r="AB55" s="15"/>
      <c r="AC55" s="15"/>
      <c r="AD55" s="15"/>
      <c r="AE55" s="57"/>
      <c r="AF55" s="57"/>
      <c r="AG55" s="15"/>
      <c r="AH55" s="25"/>
      <c r="AI55" s="26"/>
      <c r="AJ55" s="26"/>
      <c r="AK55" s="27"/>
      <c r="AL55" s="28"/>
      <c r="AM55" s="29"/>
    </row>
    <row r="56" ht="12.75" customHeight="1">
      <c r="A56" s="26"/>
      <c r="B56" s="12"/>
      <c r="C56" s="240"/>
      <c r="D56" s="241"/>
      <c r="E56" s="5"/>
      <c r="F56" s="5"/>
      <c r="G56" s="5"/>
      <c r="H56" s="5"/>
      <c r="I56" s="5"/>
      <c r="J56" s="5"/>
      <c r="K56" s="8"/>
      <c r="L56" s="9"/>
      <c r="M56" s="10"/>
      <c r="N56" s="12"/>
      <c r="O56" s="242"/>
      <c r="P56" s="243"/>
      <c r="Q56" s="243"/>
      <c r="R56" s="14"/>
      <c r="S56" s="242"/>
      <c r="T56" s="15"/>
      <c r="U56" s="15"/>
      <c r="V56" s="15"/>
      <c r="W56" s="8"/>
      <c r="X56" s="8"/>
      <c r="Y56" s="56"/>
      <c r="Z56" s="56"/>
      <c r="AA56" s="15"/>
      <c r="AB56" s="15"/>
      <c r="AC56" s="15"/>
      <c r="AD56" s="15"/>
      <c r="AE56" s="57"/>
      <c r="AF56" s="57"/>
      <c r="AG56" s="15"/>
      <c r="AH56" s="25"/>
      <c r="AI56" s="26"/>
      <c r="AJ56" s="26"/>
      <c r="AK56" s="27"/>
      <c r="AL56" s="28"/>
      <c r="AM56" s="29"/>
    </row>
    <row r="57" ht="12.75" customHeight="1">
      <c r="A57" s="26"/>
      <c r="B57" s="12"/>
      <c r="C57" s="240"/>
      <c r="D57" s="241"/>
      <c r="E57" s="5"/>
      <c r="F57" s="5"/>
      <c r="G57" s="5"/>
      <c r="H57" s="5"/>
      <c r="I57" s="5"/>
      <c r="J57" s="5"/>
      <c r="K57" s="8"/>
      <c r="L57" s="9"/>
      <c r="M57" s="10"/>
      <c r="N57" s="12"/>
      <c r="O57" s="242"/>
      <c r="P57" s="243"/>
      <c r="Q57" s="243"/>
      <c r="R57" s="14"/>
      <c r="S57" s="242"/>
      <c r="T57" s="15"/>
      <c r="U57" s="15"/>
      <c r="V57" s="15"/>
      <c r="W57" s="8"/>
      <c r="X57" s="8"/>
      <c r="Y57" s="56"/>
      <c r="Z57" s="56"/>
      <c r="AA57" s="15"/>
      <c r="AB57" s="15"/>
      <c r="AC57" s="15"/>
      <c r="AD57" s="15"/>
      <c r="AE57" s="57"/>
      <c r="AF57" s="57"/>
      <c r="AG57" s="15"/>
      <c r="AH57" s="25"/>
      <c r="AI57" s="26"/>
      <c r="AJ57" s="26"/>
      <c r="AK57" s="27"/>
      <c r="AL57" s="28"/>
      <c r="AM57" s="29"/>
    </row>
    <row r="58" ht="12.75" customHeight="1">
      <c r="A58" s="26"/>
      <c r="B58" s="12"/>
      <c r="C58" s="240"/>
      <c r="D58" s="241"/>
      <c r="E58" s="5"/>
      <c r="F58" s="5"/>
      <c r="G58" s="5"/>
      <c r="H58" s="5"/>
      <c r="I58" s="5"/>
      <c r="J58" s="5"/>
      <c r="K58" s="8"/>
      <c r="L58" s="9"/>
      <c r="M58" s="10"/>
      <c r="N58" s="12"/>
      <c r="O58" s="242"/>
      <c r="P58" s="243"/>
      <c r="Q58" s="243"/>
      <c r="R58" s="14"/>
      <c r="S58" s="242"/>
      <c r="T58" s="15"/>
      <c r="U58" s="15"/>
      <c r="V58" s="15"/>
      <c r="W58" s="8"/>
      <c r="X58" s="8"/>
      <c r="Y58" s="56"/>
      <c r="Z58" s="56"/>
      <c r="AA58" s="15"/>
      <c r="AB58" s="15"/>
      <c r="AC58" s="15"/>
      <c r="AD58" s="15"/>
      <c r="AE58" s="57"/>
      <c r="AF58" s="57"/>
      <c r="AG58" s="15"/>
      <c r="AH58" s="25"/>
      <c r="AI58" s="26"/>
      <c r="AJ58" s="26"/>
      <c r="AK58" s="27"/>
      <c r="AL58" s="28"/>
      <c r="AM58" s="29"/>
    </row>
    <row r="59" ht="12.75" customHeight="1">
      <c r="A59" s="26"/>
      <c r="B59" s="12"/>
      <c r="C59" s="240"/>
      <c r="D59" s="241"/>
      <c r="E59" s="5"/>
      <c r="F59" s="5"/>
      <c r="G59" s="5"/>
      <c r="H59" s="5"/>
      <c r="I59" s="5"/>
      <c r="J59" s="5"/>
      <c r="K59" s="8"/>
      <c r="L59" s="9"/>
      <c r="M59" s="10"/>
      <c r="N59" s="12"/>
      <c r="O59" s="242"/>
      <c r="P59" s="243"/>
      <c r="Q59" s="243"/>
      <c r="R59" s="14"/>
      <c r="S59" s="242"/>
      <c r="T59" s="15"/>
      <c r="U59" s="15"/>
      <c r="V59" s="15"/>
      <c r="W59" s="8"/>
      <c r="X59" s="8"/>
      <c r="Y59" s="56"/>
      <c r="Z59" s="56"/>
      <c r="AA59" s="15"/>
      <c r="AB59" s="15"/>
      <c r="AC59" s="15"/>
      <c r="AD59" s="15"/>
      <c r="AE59" s="57"/>
      <c r="AF59" s="57"/>
      <c r="AG59" s="15"/>
      <c r="AH59" s="25"/>
      <c r="AI59" s="26"/>
      <c r="AJ59" s="26"/>
      <c r="AK59" s="27"/>
      <c r="AL59" s="28"/>
      <c r="AM59" s="29"/>
    </row>
    <row r="60" ht="12.75" customHeight="1">
      <c r="A60" s="26"/>
      <c r="B60" s="12"/>
      <c r="C60" s="240"/>
      <c r="D60" s="241"/>
      <c r="E60" s="5"/>
      <c r="F60" s="5"/>
      <c r="G60" s="5"/>
      <c r="H60" s="5"/>
      <c r="I60" s="5"/>
      <c r="J60" s="5"/>
      <c r="K60" s="8"/>
      <c r="L60" s="9"/>
      <c r="M60" s="10"/>
      <c r="N60" s="12"/>
      <c r="O60" s="242"/>
      <c r="P60" s="243"/>
      <c r="Q60" s="243"/>
      <c r="R60" s="14"/>
      <c r="S60" s="242"/>
      <c r="T60" s="15"/>
      <c r="U60" s="15"/>
      <c r="V60" s="15"/>
      <c r="W60" s="8"/>
      <c r="X60" s="8"/>
      <c r="Y60" s="56"/>
      <c r="Z60" s="56"/>
      <c r="AA60" s="15"/>
      <c r="AB60" s="15"/>
      <c r="AC60" s="15"/>
      <c r="AD60" s="15"/>
      <c r="AE60" s="57"/>
      <c r="AF60" s="57"/>
      <c r="AG60" s="15"/>
      <c r="AH60" s="25"/>
      <c r="AI60" s="26"/>
      <c r="AJ60" s="26"/>
      <c r="AK60" s="27"/>
      <c r="AL60" s="28"/>
      <c r="AM60" s="29"/>
    </row>
    <row r="61" ht="12.75" customHeight="1">
      <c r="A61" s="26"/>
      <c r="B61" s="12"/>
      <c r="C61" s="240"/>
      <c r="D61" s="241"/>
      <c r="E61" s="5"/>
      <c r="F61" s="5"/>
      <c r="G61" s="5"/>
      <c r="H61" s="5"/>
      <c r="I61" s="5"/>
      <c r="J61" s="5"/>
      <c r="K61" s="8"/>
      <c r="L61" s="9"/>
      <c r="M61" s="10"/>
      <c r="N61" s="12"/>
      <c r="O61" s="242"/>
      <c r="P61" s="243"/>
      <c r="Q61" s="243"/>
      <c r="R61" s="14"/>
      <c r="S61" s="242"/>
      <c r="T61" s="15"/>
      <c r="U61" s="15"/>
      <c r="V61" s="15"/>
      <c r="W61" s="8"/>
      <c r="X61" s="8"/>
      <c r="Y61" s="56"/>
      <c r="Z61" s="56"/>
      <c r="AA61" s="15"/>
      <c r="AB61" s="15"/>
      <c r="AC61" s="15"/>
      <c r="AD61" s="15"/>
      <c r="AE61" s="57"/>
      <c r="AF61" s="57"/>
      <c r="AG61" s="15"/>
      <c r="AH61" s="25"/>
      <c r="AI61" s="26"/>
      <c r="AJ61" s="26"/>
      <c r="AK61" s="27"/>
      <c r="AL61" s="28"/>
      <c r="AM61" s="29"/>
    </row>
    <row r="62" ht="12.75" customHeight="1">
      <c r="A62" s="26"/>
      <c r="B62" s="12"/>
      <c r="C62" s="240"/>
      <c r="D62" s="241"/>
      <c r="E62" s="5"/>
      <c r="F62" s="5"/>
      <c r="G62" s="5"/>
      <c r="H62" s="5"/>
      <c r="I62" s="5"/>
      <c r="J62" s="5"/>
      <c r="K62" s="8"/>
      <c r="L62" s="9"/>
      <c r="M62" s="10"/>
      <c r="N62" s="12"/>
      <c r="O62" s="242"/>
      <c r="P62" s="243"/>
      <c r="Q62" s="243"/>
      <c r="R62" s="14"/>
      <c r="S62" s="242"/>
      <c r="T62" s="15"/>
      <c r="U62" s="15"/>
      <c r="V62" s="15"/>
      <c r="W62" s="8"/>
      <c r="X62" s="8"/>
      <c r="Y62" s="56"/>
      <c r="Z62" s="56"/>
      <c r="AA62" s="15"/>
      <c r="AB62" s="15"/>
      <c r="AC62" s="15"/>
      <c r="AD62" s="15"/>
      <c r="AE62" s="57"/>
      <c r="AF62" s="57"/>
      <c r="AG62" s="15"/>
      <c r="AH62" s="25"/>
      <c r="AI62" s="26"/>
      <c r="AJ62" s="26"/>
      <c r="AK62" s="27"/>
      <c r="AL62" s="28"/>
      <c r="AM62" s="29"/>
    </row>
    <row r="63" ht="12.75" customHeight="1">
      <c r="A63" s="26"/>
      <c r="B63" s="12"/>
      <c r="C63" s="240"/>
      <c r="D63" s="241"/>
      <c r="E63" s="5"/>
      <c r="F63" s="5"/>
      <c r="G63" s="5"/>
      <c r="H63" s="5"/>
      <c r="I63" s="5"/>
      <c r="J63" s="5"/>
      <c r="K63" s="8"/>
      <c r="L63" s="9"/>
      <c r="M63" s="10"/>
      <c r="N63" s="12"/>
      <c r="O63" s="242"/>
      <c r="P63" s="243"/>
      <c r="Q63" s="243"/>
      <c r="R63" s="14"/>
      <c r="S63" s="242"/>
      <c r="T63" s="15"/>
      <c r="U63" s="15"/>
      <c r="V63" s="15"/>
      <c r="W63" s="8"/>
      <c r="X63" s="8"/>
      <c r="Y63" s="56"/>
      <c r="Z63" s="56"/>
      <c r="AA63" s="15"/>
      <c r="AB63" s="15"/>
      <c r="AC63" s="15"/>
      <c r="AD63" s="15"/>
      <c r="AE63" s="57"/>
      <c r="AF63" s="57"/>
      <c r="AG63" s="15"/>
      <c r="AH63" s="25"/>
      <c r="AI63" s="26"/>
      <c r="AJ63" s="26"/>
      <c r="AK63" s="27"/>
      <c r="AL63" s="28"/>
      <c r="AM63" s="29"/>
    </row>
    <row r="64" ht="12.75" customHeight="1">
      <c r="A64" s="26"/>
      <c r="B64" s="12"/>
      <c r="C64" s="240"/>
      <c r="D64" s="241"/>
      <c r="E64" s="5"/>
      <c r="F64" s="5"/>
      <c r="G64" s="5"/>
      <c r="H64" s="5"/>
      <c r="I64" s="5"/>
      <c r="J64" s="5"/>
      <c r="K64" s="8"/>
      <c r="L64" s="9"/>
      <c r="M64" s="10"/>
      <c r="N64" s="12"/>
      <c r="O64" s="242"/>
      <c r="P64" s="243"/>
      <c r="Q64" s="243"/>
      <c r="R64" s="14"/>
      <c r="S64" s="242"/>
      <c r="T64" s="15"/>
      <c r="U64" s="15"/>
      <c r="V64" s="15"/>
      <c r="W64" s="8"/>
      <c r="X64" s="8"/>
      <c r="Y64" s="56"/>
      <c r="Z64" s="56"/>
      <c r="AA64" s="15"/>
      <c r="AB64" s="15"/>
      <c r="AC64" s="15"/>
      <c r="AD64" s="15"/>
      <c r="AE64" s="57"/>
      <c r="AF64" s="57"/>
      <c r="AG64" s="15"/>
      <c r="AH64" s="25"/>
      <c r="AI64" s="26"/>
      <c r="AJ64" s="26"/>
      <c r="AK64" s="27"/>
      <c r="AL64" s="28"/>
      <c r="AM64" s="29"/>
    </row>
    <row r="65" ht="12.75" customHeight="1">
      <c r="A65" s="26"/>
      <c r="B65" s="12"/>
      <c r="C65" s="240"/>
      <c r="D65" s="241"/>
      <c r="E65" s="5"/>
      <c r="F65" s="5"/>
      <c r="G65" s="5"/>
      <c r="H65" s="5"/>
      <c r="I65" s="5"/>
      <c r="J65" s="5"/>
      <c r="K65" s="8"/>
      <c r="L65" s="9"/>
      <c r="M65" s="10"/>
      <c r="N65" s="12"/>
      <c r="O65" s="242"/>
      <c r="P65" s="243"/>
      <c r="Q65" s="243"/>
      <c r="R65" s="14"/>
      <c r="S65" s="242"/>
      <c r="T65" s="15"/>
      <c r="U65" s="15"/>
      <c r="V65" s="15"/>
      <c r="W65" s="8"/>
      <c r="X65" s="8"/>
      <c r="Y65" s="56"/>
      <c r="Z65" s="56"/>
      <c r="AA65" s="15"/>
      <c r="AB65" s="15"/>
      <c r="AC65" s="15"/>
      <c r="AD65" s="15"/>
      <c r="AE65" s="57"/>
      <c r="AF65" s="57"/>
      <c r="AG65" s="15"/>
      <c r="AH65" s="25"/>
      <c r="AI65" s="26"/>
      <c r="AJ65" s="26"/>
      <c r="AK65" s="27"/>
      <c r="AL65" s="28"/>
      <c r="AM65" s="29"/>
    </row>
    <row r="66" ht="12.75" customHeight="1">
      <c r="A66" s="26"/>
      <c r="B66" s="12"/>
      <c r="C66" s="240"/>
      <c r="D66" s="241"/>
      <c r="E66" s="5"/>
      <c r="F66" s="5"/>
      <c r="G66" s="5"/>
      <c r="H66" s="5"/>
      <c r="I66" s="5"/>
      <c r="J66" s="5"/>
      <c r="K66" s="8"/>
      <c r="L66" s="9"/>
      <c r="M66" s="10"/>
      <c r="N66" s="12"/>
      <c r="O66" s="242"/>
      <c r="P66" s="243"/>
      <c r="Q66" s="243"/>
      <c r="R66" s="14"/>
      <c r="S66" s="242"/>
      <c r="T66" s="15"/>
      <c r="U66" s="15"/>
      <c r="V66" s="15"/>
      <c r="W66" s="8"/>
      <c r="X66" s="8"/>
      <c r="Y66" s="56"/>
      <c r="Z66" s="56"/>
      <c r="AA66" s="15"/>
      <c r="AB66" s="15"/>
      <c r="AC66" s="15"/>
      <c r="AD66" s="15"/>
      <c r="AE66" s="57"/>
      <c r="AF66" s="57"/>
      <c r="AG66" s="15"/>
      <c r="AH66" s="25"/>
      <c r="AI66" s="26"/>
      <c r="AJ66" s="26"/>
      <c r="AK66" s="27"/>
      <c r="AL66" s="28"/>
      <c r="AM66" s="29"/>
    </row>
    <row r="67" ht="12.75" customHeight="1">
      <c r="A67" s="26"/>
      <c r="B67" s="12"/>
      <c r="C67" s="240"/>
      <c r="D67" s="241"/>
      <c r="E67" s="5"/>
      <c r="F67" s="5"/>
      <c r="G67" s="5"/>
      <c r="H67" s="5"/>
      <c r="I67" s="5"/>
      <c r="J67" s="5"/>
      <c r="K67" s="8"/>
      <c r="L67" s="9"/>
      <c r="M67" s="10"/>
      <c r="N67" s="12"/>
      <c r="O67" s="242"/>
      <c r="P67" s="243"/>
      <c r="Q67" s="243"/>
      <c r="R67" s="14"/>
      <c r="S67" s="242"/>
      <c r="T67" s="15"/>
      <c r="U67" s="15"/>
      <c r="V67" s="15"/>
      <c r="W67" s="8"/>
      <c r="X67" s="8"/>
      <c r="Y67" s="56"/>
      <c r="Z67" s="56"/>
      <c r="AA67" s="15"/>
      <c r="AB67" s="15"/>
      <c r="AC67" s="15"/>
      <c r="AD67" s="15"/>
      <c r="AE67" s="57"/>
      <c r="AF67" s="57"/>
      <c r="AG67" s="15"/>
      <c r="AH67" s="25"/>
      <c r="AI67" s="26"/>
      <c r="AJ67" s="26"/>
      <c r="AK67" s="27"/>
      <c r="AL67" s="28"/>
      <c r="AM67" s="29"/>
    </row>
    <row r="68" ht="12.75" customHeight="1">
      <c r="A68" s="26"/>
      <c r="B68" s="12"/>
      <c r="C68" s="240"/>
      <c r="D68" s="241"/>
      <c r="E68" s="5"/>
      <c r="F68" s="5"/>
      <c r="G68" s="5"/>
      <c r="H68" s="5"/>
      <c r="I68" s="5"/>
      <c r="J68" s="5"/>
      <c r="K68" s="8"/>
      <c r="L68" s="9"/>
      <c r="M68" s="10"/>
      <c r="N68" s="12"/>
      <c r="O68" s="242"/>
      <c r="P68" s="243"/>
      <c r="Q68" s="243"/>
      <c r="R68" s="14"/>
      <c r="S68" s="242"/>
      <c r="T68" s="15"/>
      <c r="U68" s="15"/>
      <c r="V68" s="15"/>
      <c r="W68" s="8"/>
      <c r="X68" s="8"/>
      <c r="Y68" s="56"/>
      <c r="Z68" s="56"/>
      <c r="AA68" s="15"/>
      <c r="AB68" s="15"/>
      <c r="AC68" s="15"/>
      <c r="AD68" s="15"/>
      <c r="AE68" s="57"/>
      <c r="AF68" s="57"/>
      <c r="AG68" s="15"/>
      <c r="AH68" s="25"/>
      <c r="AI68" s="26"/>
      <c r="AJ68" s="26"/>
      <c r="AK68" s="27"/>
      <c r="AL68" s="28"/>
      <c r="AM68" s="29"/>
    </row>
    <row r="69" ht="12.75" customHeight="1">
      <c r="A69" s="26"/>
      <c r="B69" s="12"/>
      <c r="C69" s="240"/>
      <c r="D69" s="241"/>
      <c r="E69" s="5"/>
      <c r="F69" s="5"/>
      <c r="G69" s="5"/>
      <c r="H69" s="5"/>
      <c r="I69" s="5"/>
      <c r="J69" s="5"/>
      <c r="K69" s="8"/>
      <c r="L69" s="9"/>
      <c r="M69" s="10"/>
      <c r="N69" s="12"/>
      <c r="O69" s="242"/>
      <c r="P69" s="243"/>
      <c r="Q69" s="243"/>
      <c r="R69" s="14"/>
      <c r="S69" s="242"/>
      <c r="T69" s="15"/>
      <c r="U69" s="15"/>
      <c r="V69" s="15"/>
      <c r="W69" s="8"/>
      <c r="X69" s="8"/>
      <c r="Y69" s="56"/>
      <c r="Z69" s="56"/>
      <c r="AA69" s="15"/>
      <c r="AB69" s="15"/>
      <c r="AC69" s="15"/>
      <c r="AD69" s="15"/>
      <c r="AE69" s="57"/>
      <c r="AF69" s="57"/>
      <c r="AG69" s="15"/>
      <c r="AH69" s="25"/>
      <c r="AI69" s="26"/>
      <c r="AJ69" s="26"/>
      <c r="AK69" s="27"/>
      <c r="AL69" s="28"/>
      <c r="AM69" s="29"/>
    </row>
    <row r="70" ht="12.75" customHeight="1">
      <c r="A70" s="26"/>
      <c r="B70" s="12"/>
      <c r="C70" s="240"/>
      <c r="D70" s="241"/>
      <c r="E70" s="5"/>
      <c r="F70" s="5"/>
      <c r="G70" s="5"/>
      <c r="H70" s="5"/>
      <c r="I70" s="5"/>
      <c r="J70" s="5"/>
      <c r="K70" s="8"/>
      <c r="L70" s="9"/>
      <c r="M70" s="10"/>
      <c r="N70" s="12"/>
      <c r="O70" s="242"/>
      <c r="P70" s="243"/>
      <c r="Q70" s="243"/>
      <c r="R70" s="14"/>
      <c r="S70" s="242"/>
      <c r="T70" s="15"/>
      <c r="U70" s="15"/>
      <c r="V70" s="15"/>
      <c r="W70" s="8"/>
      <c r="X70" s="8"/>
      <c r="Y70" s="56"/>
      <c r="Z70" s="56"/>
      <c r="AA70" s="15"/>
      <c r="AB70" s="15"/>
      <c r="AC70" s="15"/>
      <c r="AD70" s="15"/>
      <c r="AE70" s="57"/>
      <c r="AF70" s="57"/>
      <c r="AG70" s="15"/>
      <c r="AH70" s="25"/>
      <c r="AI70" s="26"/>
      <c r="AJ70" s="26"/>
      <c r="AK70" s="27"/>
      <c r="AL70" s="28"/>
      <c r="AM70" s="29"/>
    </row>
    <row r="71" ht="12.75" customHeight="1">
      <c r="A71" s="26"/>
      <c r="B71" s="12"/>
      <c r="C71" s="240"/>
      <c r="D71" s="241"/>
      <c r="E71" s="5"/>
      <c r="F71" s="5"/>
      <c r="G71" s="5"/>
      <c r="H71" s="5"/>
      <c r="I71" s="5"/>
      <c r="J71" s="5"/>
      <c r="K71" s="8"/>
      <c r="L71" s="9"/>
      <c r="M71" s="10"/>
      <c r="N71" s="12"/>
      <c r="O71" s="242"/>
      <c r="P71" s="243"/>
      <c r="Q71" s="243"/>
      <c r="R71" s="14"/>
      <c r="S71" s="242"/>
      <c r="T71" s="15"/>
      <c r="U71" s="15"/>
      <c r="V71" s="15"/>
      <c r="W71" s="8"/>
      <c r="X71" s="8"/>
      <c r="Y71" s="56"/>
      <c r="Z71" s="56"/>
      <c r="AA71" s="15"/>
      <c r="AB71" s="15"/>
      <c r="AC71" s="15"/>
      <c r="AD71" s="15"/>
      <c r="AE71" s="57"/>
      <c r="AF71" s="57"/>
      <c r="AG71" s="15"/>
      <c r="AH71" s="25"/>
      <c r="AI71" s="26"/>
      <c r="AJ71" s="26"/>
      <c r="AK71" s="27"/>
      <c r="AL71" s="28"/>
      <c r="AM71" s="29"/>
    </row>
    <row r="72" ht="12.75" customHeight="1">
      <c r="A72" s="26"/>
      <c r="B72" s="12"/>
      <c r="C72" s="240"/>
      <c r="D72" s="241"/>
      <c r="E72" s="5"/>
      <c r="F72" s="5"/>
      <c r="G72" s="5"/>
      <c r="H72" s="5"/>
      <c r="I72" s="5"/>
      <c r="J72" s="5"/>
      <c r="K72" s="8"/>
      <c r="L72" s="9"/>
      <c r="M72" s="10"/>
      <c r="N72" s="12"/>
      <c r="O72" s="242"/>
      <c r="P72" s="243"/>
      <c r="Q72" s="243"/>
      <c r="R72" s="14"/>
      <c r="S72" s="242"/>
      <c r="T72" s="15"/>
      <c r="U72" s="15"/>
      <c r="V72" s="15"/>
      <c r="W72" s="8"/>
      <c r="X72" s="8"/>
      <c r="Y72" s="56"/>
      <c r="Z72" s="56"/>
      <c r="AA72" s="15"/>
      <c r="AB72" s="15"/>
      <c r="AC72" s="15"/>
      <c r="AD72" s="15"/>
      <c r="AE72" s="57"/>
      <c r="AF72" s="57"/>
      <c r="AG72" s="15"/>
      <c r="AH72" s="25"/>
      <c r="AI72" s="26"/>
      <c r="AJ72" s="26"/>
      <c r="AK72" s="27"/>
      <c r="AL72" s="28"/>
      <c r="AM72" s="29"/>
    </row>
    <row r="73" ht="12.75" customHeight="1">
      <c r="A73" s="26"/>
      <c r="B73" s="12"/>
      <c r="C73" s="240"/>
      <c r="D73" s="241"/>
      <c r="E73" s="5"/>
      <c r="F73" s="5"/>
      <c r="G73" s="5"/>
      <c r="H73" s="5"/>
      <c r="I73" s="5"/>
      <c r="J73" s="5"/>
      <c r="K73" s="8"/>
      <c r="L73" s="9"/>
      <c r="M73" s="10"/>
      <c r="N73" s="12"/>
      <c r="O73" s="242"/>
      <c r="P73" s="243"/>
      <c r="Q73" s="243"/>
      <c r="R73" s="14"/>
      <c r="S73" s="242"/>
      <c r="T73" s="15"/>
      <c r="U73" s="15"/>
      <c r="V73" s="15"/>
      <c r="W73" s="8"/>
      <c r="X73" s="8"/>
      <c r="Y73" s="56"/>
      <c r="Z73" s="56"/>
      <c r="AA73" s="15"/>
      <c r="AB73" s="15"/>
      <c r="AC73" s="15"/>
      <c r="AD73" s="15"/>
      <c r="AE73" s="57"/>
      <c r="AF73" s="57"/>
      <c r="AG73" s="15"/>
      <c r="AH73" s="25"/>
      <c r="AI73" s="26"/>
      <c r="AJ73" s="26"/>
      <c r="AK73" s="27"/>
      <c r="AL73" s="28"/>
      <c r="AM73" s="29"/>
    </row>
    <row r="74" ht="12.75" customHeight="1">
      <c r="A74" s="26"/>
      <c r="B74" s="12"/>
      <c r="C74" s="240"/>
      <c r="D74" s="241"/>
      <c r="E74" s="5"/>
      <c r="F74" s="5"/>
      <c r="G74" s="5"/>
      <c r="H74" s="5"/>
      <c r="I74" s="5"/>
      <c r="J74" s="5"/>
      <c r="K74" s="8"/>
      <c r="L74" s="9"/>
      <c r="M74" s="10"/>
      <c r="N74" s="12"/>
      <c r="O74" s="242"/>
      <c r="P74" s="243"/>
      <c r="Q74" s="243"/>
      <c r="R74" s="14"/>
      <c r="S74" s="242"/>
      <c r="T74" s="15"/>
      <c r="U74" s="15"/>
      <c r="V74" s="15"/>
      <c r="W74" s="8"/>
      <c r="X74" s="8"/>
      <c r="Y74" s="56"/>
      <c r="Z74" s="56"/>
      <c r="AA74" s="15"/>
      <c r="AB74" s="15"/>
      <c r="AC74" s="15"/>
      <c r="AD74" s="15"/>
      <c r="AE74" s="57"/>
      <c r="AF74" s="57"/>
      <c r="AG74" s="15"/>
      <c r="AH74" s="25"/>
      <c r="AI74" s="26"/>
      <c r="AJ74" s="26"/>
      <c r="AK74" s="27"/>
      <c r="AL74" s="28"/>
      <c r="AM74" s="29"/>
    </row>
    <row r="75" ht="12.75" customHeight="1">
      <c r="A75" s="26"/>
      <c r="B75" s="12"/>
      <c r="C75" s="240"/>
      <c r="D75" s="241"/>
      <c r="E75" s="5"/>
      <c r="F75" s="5"/>
      <c r="G75" s="5"/>
      <c r="H75" s="5"/>
      <c r="I75" s="5"/>
      <c r="J75" s="5"/>
      <c r="K75" s="8"/>
      <c r="L75" s="9"/>
      <c r="M75" s="10"/>
      <c r="N75" s="12"/>
      <c r="O75" s="242"/>
      <c r="P75" s="243"/>
      <c r="Q75" s="243"/>
      <c r="R75" s="14"/>
      <c r="S75" s="242"/>
      <c r="T75" s="15"/>
      <c r="U75" s="15"/>
      <c r="V75" s="15"/>
      <c r="W75" s="8"/>
      <c r="X75" s="8"/>
      <c r="Y75" s="56"/>
      <c r="Z75" s="56"/>
      <c r="AA75" s="15"/>
      <c r="AB75" s="15"/>
      <c r="AC75" s="15"/>
      <c r="AD75" s="15"/>
      <c r="AE75" s="57"/>
      <c r="AF75" s="57"/>
      <c r="AG75" s="15"/>
      <c r="AH75" s="25"/>
      <c r="AI75" s="26"/>
      <c r="AJ75" s="26"/>
      <c r="AK75" s="27"/>
      <c r="AL75" s="28"/>
      <c r="AM75" s="29"/>
    </row>
    <row r="76" ht="12.75" customHeight="1">
      <c r="A76" s="26"/>
      <c r="B76" s="12"/>
      <c r="C76" s="240"/>
      <c r="D76" s="241"/>
      <c r="E76" s="5"/>
      <c r="F76" s="5"/>
      <c r="G76" s="5"/>
      <c r="H76" s="5"/>
      <c r="I76" s="5"/>
      <c r="J76" s="5"/>
      <c r="K76" s="8"/>
      <c r="L76" s="9"/>
      <c r="M76" s="10"/>
      <c r="N76" s="12"/>
      <c r="O76" s="242"/>
      <c r="P76" s="243"/>
      <c r="Q76" s="243"/>
      <c r="R76" s="14"/>
      <c r="S76" s="242"/>
      <c r="T76" s="15"/>
      <c r="U76" s="15"/>
      <c r="V76" s="15"/>
      <c r="W76" s="8"/>
      <c r="X76" s="8"/>
      <c r="Y76" s="56"/>
      <c r="Z76" s="56"/>
      <c r="AA76" s="15"/>
      <c r="AB76" s="15"/>
      <c r="AC76" s="15"/>
      <c r="AD76" s="15"/>
      <c r="AE76" s="57"/>
      <c r="AF76" s="57"/>
      <c r="AG76" s="15"/>
      <c r="AH76" s="25"/>
      <c r="AI76" s="26"/>
      <c r="AJ76" s="26"/>
      <c r="AK76" s="27"/>
      <c r="AL76" s="28"/>
      <c r="AM76" s="29"/>
    </row>
    <row r="77" ht="12.75" customHeight="1">
      <c r="A77" s="26"/>
      <c r="B77" s="12"/>
      <c r="C77" s="240"/>
      <c r="D77" s="241"/>
      <c r="E77" s="5"/>
      <c r="F77" s="5"/>
      <c r="G77" s="5"/>
      <c r="H77" s="5"/>
      <c r="I77" s="5"/>
      <c r="J77" s="5"/>
      <c r="K77" s="8"/>
      <c r="L77" s="9"/>
      <c r="M77" s="10"/>
      <c r="N77" s="12"/>
      <c r="O77" s="242"/>
      <c r="P77" s="243"/>
      <c r="Q77" s="243"/>
      <c r="R77" s="14"/>
      <c r="S77" s="242"/>
      <c r="T77" s="15"/>
      <c r="U77" s="15"/>
      <c r="V77" s="15"/>
      <c r="W77" s="8"/>
      <c r="X77" s="8"/>
      <c r="Y77" s="56"/>
      <c r="Z77" s="56"/>
      <c r="AA77" s="15"/>
      <c r="AB77" s="15"/>
      <c r="AC77" s="15"/>
      <c r="AD77" s="15"/>
      <c r="AE77" s="57"/>
      <c r="AF77" s="57"/>
      <c r="AG77" s="15"/>
      <c r="AH77" s="25"/>
      <c r="AI77" s="26"/>
      <c r="AJ77" s="26"/>
      <c r="AK77" s="27"/>
      <c r="AL77" s="28"/>
      <c r="AM77" s="29"/>
    </row>
    <row r="78" ht="12.75" customHeight="1">
      <c r="A78" s="26"/>
      <c r="B78" s="12"/>
      <c r="C78" s="240"/>
      <c r="D78" s="241"/>
      <c r="E78" s="5"/>
      <c r="F78" s="5"/>
      <c r="G78" s="5"/>
      <c r="H78" s="5"/>
      <c r="I78" s="5"/>
      <c r="J78" s="5"/>
      <c r="K78" s="8"/>
      <c r="L78" s="9"/>
      <c r="M78" s="10"/>
      <c r="N78" s="12"/>
      <c r="O78" s="242"/>
      <c r="P78" s="243"/>
      <c r="Q78" s="243"/>
      <c r="R78" s="14"/>
      <c r="S78" s="242"/>
      <c r="T78" s="15"/>
      <c r="U78" s="15"/>
      <c r="V78" s="15"/>
      <c r="W78" s="8"/>
      <c r="X78" s="8"/>
      <c r="Y78" s="56"/>
      <c r="Z78" s="56"/>
      <c r="AA78" s="15"/>
      <c r="AB78" s="15"/>
      <c r="AC78" s="15"/>
      <c r="AD78" s="15"/>
      <c r="AE78" s="57"/>
      <c r="AF78" s="57"/>
      <c r="AG78" s="15"/>
      <c r="AH78" s="25"/>
      <c r="AI78" s="26"/>
      <c r="AJ78" s="26"/>
      <c r="AK78" s="27"/>
      <c r="AL78" s="28"/>
      <c r="AM78" s="29"/>
    </row>
    <row r="79" ht="12.75" customHeight="1">
      <c r="A79" s="26"/>
      <c r="B79" s="12"/>
      <c r="C79" s="240"/>
      <c r="D79" s="241"/>
      <c r="E79" s="5"/>
      <c r="F79" s="5"/>
      <c r="G79" s="5"/>
      <c r="H79" s="5"/>
      <c r="I79" s="5"/>
      <c r="J79" s="5"/>
      <c r="K79" s="8"/>
      <c r="L79" s="9"/>
      <c r="M79" s="10"/>
      <c r="N79" s="12"/>
      <c r="O79" s="242"/>
      <c r="P79" s="243"/>
      <c r="Q79" s="243"/>
      <c r="R79" s="14"/>
      <c r="S79" s="242"/>
      <c r="T79" s="15"/>
      <c r="U79" s="15"/>
      <c r="V79" s="15"/>
      <c r="W79" s="8"/>
      <c r="X79" s="8"/>
      <c r="Y79" s="56"/>
      <c r="Z79" s="56"/>
      <c r="AA79" s="15"/>
      <c r="AB79" s="15"/>
      <c r="AC79" s="15"/>
      <c r="AD79" s="15"/>
      <c r="AE79" s="57"/>
      <c r="AF79" s="57"/>
      <c r="AG79" s="15"/>
      <c r="AH79" s="25"/>
      <c r="AI79" s="26"/>
      <c r="AJ79" s="26"/>
      <c r="AK79" s="27"/>
      <c r="AL79" s="28"/>
      <c r="AM79" s="29"/>
    </row>
    <row r="80" ht="12.75" customHeight="1">
      <c r="A80" s="26"/>
      <c r="B80" s="12"/>
      <c r="C80" s="240"/>
      <c r="D80" s="241"/>
      <c r="E80" s="5"/>
      <c r="F80" s="5"/>
      <c r="G80" s="5"/>
      <c r="H80" s="5"/>
      <c r="I80" s="5"/>
      <c r="J80" s="5"/>
      <c r="K80" s="8"/>
      <c r="L80" s="9"/>
      <c r="M80" s="10"/>
      <c r="N80" s="12"/>
      <c r="O80" s="242"/>
      <c r="P80" s="243"/>
      <c r="Q80" s="243"/>
      <c r="R80" s="14"/>
      <c r="S80" s="242"/>
      <c r="T80" s="15"/>
      <c r="U80" s="15"/>
      <c r="V80" s="15"/>
      <c r="W80" s="8"/>
      <c r="X80" s="8"/>
      <c r="Y80" s="56"/>
      <c r="Z80" s="56"/>
      <c r="AA80" s="15"/>
      <c r="AB80" s="15"/>
      <c r="AC80" s="15"/>
      <c r="AD80" s="15"/>
      <c r="AE80" s="57"/>
      <c r="AF80" s="57"/>
      <c r="AG80" s="15"/>
      <c r="AH80" s="25"/>
      <c r="AI80" s="26"/>
      <c r="AJ80" s="26"/>
      <c r="AK80" s="27"/>
      <c r="AL80" s="28"/>
      <c r="AM80" s="29"/>
    </row>
    <row r="81" ht="12.75" customHeight="1">
      <c r="A81" s="26"/>
      <c r="B81" s="12"/>
      <c r="C81" s="240"/>
      <c r="D81" s="241"/>
      <c r="E81" s="5"/>
      <c r="F81" s="5"/>
      <c r="G81" s="5"/>
      <c r="H81" s="5"/>
      <c r="I81" s="5"/>
      <c r="J81" s="5"/>
      <c r="K81" s="8"/>
      <c r="L81" s="9"/>
      <c r="M81" s="10"/>
      <c r="N81" s="12"/>
      <c r="O81" s="242"/>
      <c r="P81" s="243"/>
      <c r="Q81" s="243"/>
      <c r="R81" s="14"/>
      <c r="S81" s="242"/>
      <c r="T81" s="15"/>
      <c r="U81" s="15"/>
      <c r="V81" s="15"/>
      <c r="W81" s="8"/>
      <c r="X81" s="8"/>
      <c r="Y81" s="56"/>
      <c r="Z81" s="56"/>
      <c r="AA81" s="15"/>
      <c r="AB81" s="15"/>
      <c r="AC81" s="15"/>
      <c r="AD81" s="15"/>
      <c r="AE81" s="57"/>
      <c r="AF81" s="57"/>
      <c r="AG81" s="15"/>
      <c r="AH81" s="25"/>
      <c r="AI81" s="26"/>
      <c r="AJ81" s="26"/>
      <c r="AK81" s="27"/>
      <c r="AL81" s="28"/>
      <c r="AM81" s="29"/>
    </row>
    <row r="82" ht="12.75" customHeight="1">
      <c r="A82" s="26"/>
      <c r="B82" s="12"/>
      <c r="C82" s="240"/>
      <c r="D82" s="241"/>
      <c r="E82" s="5"/>
      <c r="F82" s="5"/>
      <c r="G82" s="5"/>
      <c r="H82" s="5"/>
      <c r="I82" s="5"/>
      <c r="J82" s="5"/>
      <c r="K82" s="8"/>
      <c r="L82" s="9"/>
      <c r="M82" s="10"/>
      <c r="N82" s="12"/>
      <c r="O82" s="242"/>
      <c r="P82" s="243"/>
      <c r="Q82" s="243"/>
      <c r="R82" s="14"/>
      <c r="S82" s="242"/>
      <c r="T82" s="15"/>
      <c r="U82" s="15"/>
      <c r="V82" s="15"/>
      <c r="W82" s="8"/>
      <c r="X82" s="8"/>
      <c r="Y82" s="56"/>
      <c r="Z82" s="56"/>
      <c r="AA82" s="15"/>
      <c r="AB82" s="15"/>
      <c r="AC82" s="15"/>
      <c r="AD82" s="15"/>
      <c r="AE82" s="57"/>
      <c r="AF82" s="57"/>
      <c r="AG82" s="15"/>
      <c r="AH82" s="25"/>
      <c r="AI82" s="26"/>
      <c r="AJ82" s="26"/>
      <c r="AK82" s="27"/>
      <c r="AL82" s="28"/>
      <c r="AM82" s="29"/>
    </row>
    <row r="83" ht="12.75" customHeight="1">
      <c r="A83" s="26"/>
      <c r="B83" s="12"/>
      <c r="C83" s="240"/>
      <c r="D83" s="241"/>
      <c r="E83" s="5"/>
      <c r="F83" s="5"/>
      <c r="G83" s="5"/>
      <c r="H83" s="5"/>
      <c r="I83" s="5"/>
      <c r="J83" s="5"/>
      <c r="K83" s="8"/>
      <c r="L83" s="9"/>
      <c r="M83" s="10"/>
      <c r="N83" s="12"/>
      <c r="O83" s="242"/>
      <c r="P83" s="243"/>
      <c r="Q83" s="243"/>
      <c r="R83" s="14"/>
      <c r="S83" s="242"/>
      <c r="T83" s="15"/>
      <c r="U83" s="15"/>
      <c r="V83" s="15"/>
      <c r="W83" s="8"/>
      <c r="X83" s="8"/>
      <c r="Y83" s="56"/>
      <c r="Z83" s="56"/>
      <c r="AA83" s="15"/>
      <c r="AB83" s="15"/>
      <c r="AC83" s="15"/>
      <c r="AD83" s="15"/>
      <c r="AE83" s="57"/>
      <c r="AF83" s="57"/>
      <c r="AG83" s="15"/>
      <c r="AH83" s="25"/>
      <c r="AI83" s="26"/>
      <c r="AJ83" s="26"/>
      <c r="AK83" s="27"/>
      <c r="AL83" s="28"/>
      <c r="AM83" s="29"/>
    </row>
    <row r="84" ht="12.75" customHeight="1">
      <c r="A84" s="26"/>
      <c r="B84" s="12"/>
      <c r="C84" s="240"/>
      <c r="D84" s="241"/>
      <c r="E84" s="5"/>
      <c r="F84" s="5"/>
      <c r="G84" s="5"/>
      <c r="H84" s="5"/>
      <c r="I84" s="5"/>
      <c r="J84" s="5"/>
      <c r="K84" s="8"/>
      <c r="L84" s="9"/>
      <c r="M84" s="10"/>
      <c r="N84" s="12"/>
      <c r="O84" s="242"/>
      <c r="P84" s="243"/>
      <c r="Q84" s="243"/>
      <c r="R84" s="14"/>
      <c r="S84" s="242"/>
      <c r="T84" s="15"/>
      <c r="U84" s="15"/>
      <c r="V84" s="15"/>
      <c r="W84" s="8"/>
      <c r="X84" s="8"/>
      <c r="Y84" s="56"/>
      <c r="Z84" s="56"/>
      <c r="AA84" s="15"/>
      <c r="AB84" s="15"/>
      <c r="AC84" s="15"/>
      <c r="AD84" s="15"/>
      <c r="AE84" s="57"/>
      <c r="AF84" s="57"/>
      <c r="AG84" s="15"/>
      <c r="AH84" s="25"/>
      <c r="AI84" s="26"/>
      <c r="AJ84" s="26"/>
      <c r="AK84" s="27"/>
      <c r="AL84" s="28"/>
      <c r="AM84" s="29"/>
    </row>
    <row r="85" ht="12.75" customHeight="1">
      <c r="A85" s="26"/>
      <c r="B85" s="12"/>
      <c r="C85" s="240"/>
      <c r="D85" s="241"/>
      <c r="E85" s="5"/>
      <c r="F85" s="5"/>
      <c r="G85" s="5"/>
      <c r="H85" s="5"/>
      <c r="I85" s="5"/>
      <c r="J85" s="5"/>
      <c r="K85" s="8"/>
      <c r="L85" s="9"/>
      <c r="M85" s="10"/>
      <c r="N85" s="12"/>
      <c r="O85" s="242"/>
      <c r="P85" s="243"/>
      <c r="Q85" s="243"/>
      <c r="R85" s="14"/>
      <c r="S85" s="242"/>
      <c r="T85" s="15"/>
      <c r="U85" s="15"/>
      <c r="V85" s="15"/>
      <c r="W85" s="8"/>
      <c r="X85" s="8"/>
      <c r="Y85" s="56"/>
      <c r="Z85" s="56"/>
      <c r="AA85" s="15"/>
      <c r="AB85" s="15"/>
      <c r="AC85" s="15"/>
      <c r="AD85" s="15"/>
      <c r="AE85" s="57"/>
      <c r="AF85" s="57"/>
      <c r="AG85" s="15"/>
      <c r="AH85" s="25"/>
      <c r="AI85" s="26"/>
      <c r="AJ85" s="26"/>
      <c r="AK85" s="27"/>
      <c r="AL85" s="28"/>
      <c r="AM85" s="29"/>
    </row>
    <row r="86" ht="12.75" customHeight="1">
      <c r="A86" s="26"/>
      <c r="B86" s="12"/>
      <c r="C86" s="240"/>
      <c r="D86" s="241"/>
      <c r="E86" s="5"/>
      <c r="F86" s="5"/>
      <c r="G86" s="5"/>
      <c r="H86" s="5"/>
      <c r="I86" s="5"/>
      <c r="J86" s="5"/>
      <c r="K86" s="8"/>
      <c r="L86" s="9"/>
      <c r="M86" s="10"/>
      <c r="N86" s="12"/>
      <c r="O86" s="242"/>
      <c r="P86" s="243"/>
      <c r="Q86" s="243"/>
      <c r="R86" s="14"/>
      <c r="S86" s="242"/>
      <c r="T86" s="15"/>
      <c r="U86" s="15"/>
      <c r="V86" s="15"/>
      <c r="W86" s="8"/>
      <c r="X86" s="8"/>
      <c r="Y86" s="56"/>
      <c r="Z86" s="56"/>
      <c r="AA86" s="15"/>
      <c r="AB86" s="15"/>
      <c r="AC86" s="15"/>
      <c r="AD86" s="15"/>
      <c r="AE86" s="57"/>
      <c r="AF86" s="57"/>
      <c r="AG86" s="15"/>
      <c r="AH86" s="25"/>
      <c r="AI86" s="26"/>
      <c r="AJ86" s="26"/>
      <c r="AK86" s="27"/>
      <c r="AL86" s="28"/>
      <c r="AM86" s="29"/>
    </row>
    <row r="87" ht="12.75" customHeight="1">
      <c r="A87" s="26"/>
      <c r="B87" s="12"/>
      <c r="C87" s="240"/>
      <c r="D87" s="241"/>
      <c r="E87" s="5"/>
      <c r="F87" s="5"/>
      <c r="G87" s="5"/>
      <c r="H87" s="5"/>
      <c r="I87" s="5"/>
      <c r="J87" s="5"/>
      <c r="K87" s="8"/>
      <c r="L87" s="9"/>
      <c r="M87" s="10"/>
      <c r="N87" s="12"/>
      <c r="O87" s="242"/>
      <c r="P87" s="243"/>
      <c r="Q87" s="243"/>
      <c r="R87" s="14"/>
      <c r="S87" s="242"/>
      <c r="T87" s="15"/>
      <c r="U87" s="15"/>
      <c r="V87" s="15"/>
      <c r="W87" s="8"/>
      <c r="X87" s="8"/>
      <c r="Y87" s="56"/>
      <c r="Z87" s="56"/>
      <c r="AA87" s="15"/>
      <c r="AB87" s="15"/>
      <c r="AC87" s="15"/>
      <c r="AD87" s="15"/>
      <c r="AE87" s="57"/>
      <c r="AF87" s="57"/>
      <c r="AG87" s="15"/>
      <c r="AH87" s="25"/>
      <c r="AI87" s="26"/>
      <c r="AJ87" s="26"/>
      <c r="AK87" s="27"/>
      <c r="AL87" s="28"/>
      <c r="AM87" s="29"/>
    </row>
    <row r="88" ht="12.75" customHeight="1">
      <c r="A88" s="26"/>
      <c r="B88" s="12"/>
      <c r="C88" s="240"/>
      <c r="D88" s="241"/>
      <c r="E88" s="5"/>
      <c r="F88" s="5"/>
      <c r="G88" s="5"/>
      <c r="H88" s="5"/>
      <c r="I88" s="5"/>
      <c r="J88" s="5"/>
      <c r="K88" s="8"/>
      <c r="L88" s="9"/>
      <c r="M88" s="10"/>
      <c r="N88" s="12"/>
      <c r="O88" s="242"/>
      <c r="P88" s="243"/>
      <c r="Q88" s="243"/>
      <c r="R88" s="14"/>
      <c r="S88" s="242"/>
      <c r="T88" s="15"/>
      <c r="U88" s="15"/>
      <c r="V88" s="15"/>
      <c r="W88" s="8"/>
      <c r="X88" s="8"/>
      <c r="Y88" s="56"/>
      <c r="Z88" s="56"/>
      <c r="AA88" s="15"/>
      <c r="AB88" s="15"/>
      <c r="AC88" s="15"/>
      <c r="AD88" s="15"/>
      <c r="AE88" s="57"/>
      <c r="AF88" s="57"/>
      <c r="AG88" s="15"/>
      <c r="AH88" s="25"/>
      <c r="AI88" s="26"/>
      <c r="AJ88" s="26"/>
      <c r="AK88" s="27"/>
      <c r="AL88" s="28"/>
      <c r="AM88" s="29"/>
    </row>
    <row r="89" ht="12.75" customHeight="1">
      <c r="A89" s="26"/>
      <c r="B89" s="12"/>
      <c r="C89" s="240"/>
      <c r="D89" s="241"/>
      <c r="E89" s="5"/>
      <c r="F89" s="5"/>
      <c r="G89" s="5"/>
      <c r="H89" s="5"/>
      <c r="I89" s="5"/>
      <c r="J89" s="5"/>
      <c r="K89" s="8"/>
      <c r="L89" s="9"/>
      <c r="M89" s="10"/>
      <c r="N89" s="12"/>
      <c r="O89" s="242"/>
      <c r="P89" s="243"/>
      <c r="Q89" s="243"/>
      <c r="R89" s="14"/>
      <c r="S89" s="242"/>
      <c r="T89" s="15"/>
      <c r="U89" s="15"/>
      <c r="V89" s="15"/>
      <c r="W89" s="8"/>
      <c r="X89" s="8"/>
      <c r="Y89" s="56"/>
      <c r="Z89" s="56"/>
      <c r="AA89" s="15"/>
      <c r="AB89" s="15"/>
      <c r="AC89" s="15"/>
      <c r="AD89" s="15"/>
      <c r="AE89" s="57"/>
      <c r="AF89" s="57"/>
      <c r="AG89" s="15"/>
      <c r="AH89" s="25"/>
      <c r="AI89" s="26"/>
      <c r="AJ89" s="26"/>
      <c r="AK89" s="27"/>
      <c r="AL89" s="28"/>
      <c r="AM89" s="29"/>
    </row>
    <row r="90" ht="12.75" customHeight="1">
      <c r="A90" s="26"/>
      <c r="B90" s="12"/>
      <c r="C90" s="240"/>
      <c r="D90" s="241"/>
      <c r="E90" s="5"/>
      <c r="F90" s="5"/>
      <c r="G90" s="5"/>
      <c r="H90" s="5"/>
      <c r="I90" s="5"/>
      <c r="J90" s="5"/>
      <c r="K90" s="8"/>
      <c r="L90" s="9"/>
      <c r="M90" s="10"/>
      <c r="N90" s="12"/>
      <c r="O90" s="242"/>
      <c r="P90" s="243"/>
      <c r="Q90" s="243"/>
      <c r="R90" s="14"/>
      <c r="S90" s="242"/>
      <c r="T90" s="15"/>
      <c r="U90" s="15"/>
      <c r="V90" s="15"/>
      <c r="W90" s="8"/>
      <c r="X90" s="8"/>
      <c r="Y90" s="56"/>
      <c r="Z90" s="56"/>
      <c r="AA90" s="15"/>
      <c r="AB90" s="15"/>
      <c r="AC90" s="15"/>
      <c r="AD90" s="15"/>
      <c r="AE90" s="57"/>
      <c r="AF90" s="57"/>
      <c r="AG90" s="15"/>
      <c r="AH90" s="25"/>
      <c r="AI90" s="26"/>
      <c r="AJ90" s="26"/>
      <c r="AK90" s="27"/>
      <c r="AL90" s="28"/>
      <c r="AM90" s="29"/>
    </row>
    <row r="91" ht="12.75" customHeight="1">
      <c r="A91" s="26"/>
      <c r="B91" s="12"/>
      <c r="C91" s="240"/>
      <c r="D91" s="241"/>
      <c r="E91" s="5"/>
      <c r="F91" s="5"/>
      <c r="G91" s="5"/>
      <c r="H91" s="5"/>
      <c r="I91" s="5"/>
      <c r="J91" s="5"/>
      <c r="K91" s="8"/>
      <c r="L91" s="9"/>
      <c r="M91" s="10"/>
      <c r="N91" s="12"/>
      <c r="O91" s="242"/>
      <c r="P91" s="243"/>
      <c r="Q91" s="243"/>
      <c r="R91" s="14"/>
      <c r="S91" s="242"/>
      <c r="T91" s="15"/>
      <c r="U91" s="15"/>
      <c r="V91" s="15"/>
      <c r="W91" s="8"/>
      <c r="X91" s="8"/>
      <c r="Y91" s="56"/>
      <c r="Z91" s="56"/>
      <c r="AA91" s="15"/>
      <c r="AB91" s="15"/>
      <c r="AC91" s="15"/>
      <c r="AD91" s="15"/>
      <c r="AE91" s="57"/>
      <c r="AF91" s="57"/>
      <c r="AG91" s="15"/>
      <c r="AH91" s="25"/>
      <c r="AI91" s="26"/>
      <c r="AJ91" s="26"/>
      <c r="AK91" s="27"/>
      <c r="AL91" s="28"/>
      <c r="AM91" s="29"/>
    </row>
    <row r="92" ht="12.75" customHeight="1">
      <c r="A92" s="26"/>
      <c r="B92" s="12"/>
      <c r="C92" s="240"/>
      <c r="D92" s="241"/>
      <c r="E92" s="5"/>
      <c r="F92" s="5"/>
      <c r="G92" s="5"/>
      <c r="H92" s="5"/>
      <c r="I92" s="5"/>
      <c r="J92" s="5"/>
      <c r="K92" s="8"/>
      <c r="L92" s="9"/>
      <c r="M92" s="10"/>
      <c r="N92" s="12"/>
      <c r="O92" s="242"/>
      <c r="P92" s="243"/>
      <c r="Q92" s="243"/>
      <c r="R92" s="14"/>
      <c r="S92" s="242"/>
      <c r="T92" s="15"/>
      <c r="U92" s="15"/>
      <c r="V92" s="15"/>
      <c r="W92" s="8"/>
      <c r="X92" s="8"/>
      <c r="Y92" s="56"/>
      <c r="Z92" s="56"/>
      <c r="AA92" s="15"/>
      <c r="AB92" s="15"/>
      <c r="AC92" s="15"/>
      <c r="AD92" s="15"/>
      <c r="AE92" s="57"/>
      <c r="AF92" s="57"/>
      <c r="AG92" s="15"/>
      <c r="AH92" s="25"/>
      <c r="AI92" s="26"/>
      <c r="AJ92" s="26"/>
      <c r="AK92" s="27"/>
      <c r="AL92" s="28"/>
      <c r="AM92" s="29"/>
    </row>
    <row r="93" ht="12.75" customHeight="1">
      <c r="A93" s="26"/>
      <c r="B93" s="12"/>
      <c r="C93" s="240"/>
      <c r="D93" s="241"/>
      <c r="E93" s="5"/>
      <c r="F93" s="5"/>
      <c r="G93" s="5"/>
      <c r="H93" s="5"/>
      <c r="I93" s="5"/>
      <c r="J93" s="5"/>
      <c r="K93" s="8"/>
      <c r="L93" s="9"/>
      <c r="M93" s="10"/>
      <c r="N93" s="12"/>
      <c r="O93" s="242"/>
      <c r="P93" s="243"/>
      <c r="Q93" s="243"/>
      <c r="R93" s="14"/>
      <c r="S93" s="242"/>
      <c r="T93" s="15"/>
      <c r="U93" s="15"/>
      <c r="V93" s="15"/>
      <c r="W93" s="8"/>
      <c r="X93" s="8"/>
      <c r="Y93" s="56"/>
      <c r="Z93" s="56"/>
      <c r="AA93" s="15"/>
      <c r="AB93" s="15"/>
      <c r="AC93" s="15"/>
      <c r="AD93" s="15"/>
      <c r="AE93" s="57"/>
      <c r="AF93" s="57"/>
      <c r="AG93" s="15"/>
      <c r="AH93" s="25"/>
      <c r="AI93" s="26"/>
      <c r="AJ93" s="26"/>
      <c r="AK93" s="27"/>
      <c r="AL93" s="28"/>
      <c r="AM93" s="29"/>
    </row>
    <row r="94" ht="12.75" customHeight="1">
      <c r="A94" s="26"/>
      <c r="B94" s="12"/>
      <c r="C94" s="240"/>
      <c r="D94" s="241"/>
      <c r="E94" s="5"/>
      <c r="F94" s="5"/>
      <c r="G94" s="5"/>
      <c r="H94" s="5"/>
      <c r="I94" s="5"/>
      <c r="J94" s="5"/>
      <c r="K94" s="8"/>
      <c r="L94" s="9"/>
      <c r="M94" s="10"/>
      <c r="N94" s="12"/>
      <c r="O94" s="242"/>
      <c r="P94" s="243"/>
      <c r="Q94" s="243"/>
      <c r="R94" s="14"/>
      <c r="S94" s="242"/>
      <c r="T94" s="15"/>
      <c r="U94" s="15"/>
      <c r="V94" s="15"/>
      <c r="W94" s="8"/>
      <c r="X94" s="8"/>
      <c r="Y94" s="56"/>
      <c r="Z94" s="56"/>
      <c r="AA94" s="15"/>
      <c r="AB94" s="15"/>
      <c r="AC94" s="15"/>
      <c r="AD94" s="15"/>
      <c r="AE94" s="57"/>
      <c r="AF94" s="57"/>
      <c r="AG94" s="15"/>
      <c r="AH94" s="25"/>
      <c r="AI94" s="26"/>
      <c r="AJ94" s="26"/>
      <c r="AK94" s="27"/>
      <c r="AL94" s="28"/>
      <c r="AM94" s="29"/>
    </row>
    <row r="95" ht="12.75" customHeight="1">
      <c r="A95" s="26"/>
      <c r="B95" s="12"/>
      <c r="C95" s="240"/>
      <c r="D95" s="241"/>
      <c r="E95" s="5"/>
      <c r="F95" s="5"/>
      <c r="G95" s="5"/>
      <c r="H95" s="5"/>
      <c r="I95" s="5"/>
      <c r="J95" s="5"/>
      <c r="K95" s="8"/>
      <c r="L95" s="9"/>
      <c r="M95" s="10"/>
      <c r="N95" s="12"/>
      <c r="O95" s="242"/>
      <c r="P95" s="243"/>
      <c r="Q95" s="243"/>
      <c r="R95" s="14"/>
      <c r="S95" s="242"/>
      <c r="T95" s="15"/>
      <c r="U95" s="15"/>
      <c r="V95" s="15"/>
      <c r="W95" s="8"/>
      <c r="X95" s="8"/>
      <c r="Y95" s="56"/>
      <c r="Z95" s="56"/>
      <c r="AA95" s="15"/>
      <c r="AB95" s="15"/>
      <c r="AC95" s="15"/>
      <c r="AD95" s="15"/>
      <c r="AE95" s="57"/>
      <c r="AF95" s="57"/>
      <c r="AG95" s="15"/>
      <c r="AH95" s="25"/>
      <c r="AI95" s="26"/>
      <c r="AJ95" s="26"/>
      <c r="AK95" s="27"/>
      <c r="AL95" s="28"/>
      <c r="AM95" s="29"/>
    </row>
    <row r="96" ht="12.75" customHeight="1">
      <c r="A96" s="26"/>
      <c r="B96" s="12"/>
      <c r="C96" s="240"/>
      <c r="D96" s="241"/>
      <c r="E96" s="5"/>
      <c r="F96" s="5"/>
      <c r="G96" s="5"/>
      <c r="H96" s="5"/>
      <c r="I96" s="5"/>
      <c r="J96" s="5"/>
      <c r="K96" s="8"/>
      <c r="L96" s="9"/>
      <c r="M96" s="10"/>
      <c r="N96" s="12"/>
      <c r="O96" s="242"/>
      <c r="P96" s="243"/>
      <c r="Q96" s="243"/>
      <c r="R96" s="14"/>
      <c r="S96" s="242"/>
      <c r="T96" s="15"/>
      <c r="U96" s="15"/>
      <c r="V96" s="15"/>
      <c r="W96" s="8"/>
      <c r="X96" s="8"/>
      <c r="Y96" s="56"/>
      <c r="Z96" s="56"/>
      <c r="AA96" s="15"/>
      <c r="AB96" s="15"/>
      <c r="AC96" s="15"/>
      <c r="AD96" s="15"/>
      <c r="AE96" s="57"/>
      <c r="AF96" s="57"/>
      <c r="AG96" s="15"/>
      <c r="AH96" s="25"/>
      <c r="AI96" s="26"/>
      <c r="AJ96" s="26"/>
      <c r="AK96" s="27"/>
      <c r="AL96" s="28"/>
      <c r="AM96" s="29"/>
    </row>
    <row r="97" ht="12.75" customHeight="1">
      <c r="A97" s="26"/>
      <c r="B97" s="12"/>
      <c r="C97" s="240"/>
      <c r="D97" s="241"/>
      <c r="E97" s="5"/>
      <c r="F97" s="5"/>
      <c r="G97" s="5"/>
      <c r="H97" s="5"/>
      <c r="I97" s="5"/>
      <c r="J97" s="5"/>
      <c r="K97" s="8"/>
      <c r="L97" s="9"/>
      <c r="M97" s="10"/>
      <c r="N97" s="12"/>
      <c r="O97" s="242"/>
      <c r="P97" s="243"/>
      <c r="Q97" s="243"/>
      <c r="R97" s="14"/>
      <c r="S97" s="242"/>
      <c r="T97" s="15"/>
      <c r="U97" s="15"/>
      <c r="V97" s="15"/>
      <c r="W97" s="8"/>
      <c r="X97" s="8"/>
      <c r="Y97" s="56"/>
      <c r="Z97" s="56"/>
      <c r="AA97" s="15"/>
      <c r="AB97" s="15"/>
      <c r="AC97" s="15"/>
      <c r="AD97" s="15"/>
      <c r="AE97" s="57"/>
      <c r="AF97" s="57"/>
      <c r="AG97" s="15"/>
      <c r="AH97" s="25"/>
      <c r="AI97" s="26"/>
      <c r="AJ97" s="26"/>
      <c r="AK97" s="27"/>
      <c r="AL97" s="28"/>
      <c r="AM97" s="29"/>
    </row>
    <row r="98" ht="12.75" customHeight="1">
      <c r="A98" s="26"/>
      <c r="B98" s="12"/>
      <c r="C98" s="240"/>
      <c r="D98" s="241"/>
      <c r="E98" s="5"/>
      <c r="F98" s="5"/>
      <c r="G98" s="5"/>
      <c r="H98" s="5"/>
      <c r="I98" s="5"/>
      <c r="J98" s="5"/>
      <c r="K98" s="8"/>
      <c r="L98" s="9"/>
      <c r="M98" s="10"/>
      <c r="N98" s="12"/>
      <c r="O98" s="242"/>
      <c r="P98" s="243"/>
      <c r="Q98" s="243"/>
      <c r="R98" s="14"/>
      <c r="S98" s="242"/>
      <c r="T98" s="15"/>
      <c r="U98" s="15"/>
      <c r="V98" s="15"/>
      <c r="W98" s="8"/>
      <c r="X98" s="8"/>
      <c r="Y98" s="56"/>
      <c r="Z98" s="56"/>
      <c r="AA98" s="15"/>
      <c r="AB98" s="15"/>
      <c r="AC98" s="15"/>
      <c r="AD98" s="15"/>
      <c r="AE98" s="57"/>
      <c r="AF98" s="57"/>
      <c r="AG98" s="15"/>
      <c r="AH98" s="25"/>
      <c r="AI98" s="26"/>
      <c r="AJ98" s="26"/>
      <c r="AK98" s="27"/>
      <c r="AL98" s="28"/>
      <c r="AM98" s="29"/>
    </row>
    <row r="99" ht="12.75" customHeight="1">
      <c r="A99" s="26"/>
      <c r="B99" s="12"/>
      <c r="C99" s="240"/>
      <c r="D99" s="241"/>
      <c r="E99" s="5"/>
      <c r="F99" s="5"/>
      <c r="G99" s="5"/>
      <c r="H99" s="5"/>
      <c r="I99" s="5"/>
      <c r="J99" s="5"/>
      <c r="K99" s="8"/>
      <c r="L99" s="9"/>
      <c r="M99" s="10"/>
      <c r="N99" s="12"/>
      <c r="O99" s="242"/>
      <c r="P99" s="243"/>
      <c r="Q99" s="243"/>
      <c r="R99" s="14"/>
      <c r="S99" s="242"/>
      <c r="T99" s="15"/>
      <c r="U99" s="15"/>
      <c r="V99" s="15"/>
      <c r="W99" s="8"/>
      <c r="X99" s="8"/>
      <c r="Y99" s="56"/>
      <c r="Z99" s="56"/>
      <c r="AA99" s="15"/>
      <c r="AB99" s="15"/>
      <c r="AC99" s="15"/>
      <c r="AD99" s="15"/>
      <c r="AE99" s="57"/>
      <c r="AF99" s="57"/>
      <c r="AG99" s="15"/>
      <c r="AH99" s="25"/>
      <c r="AI99" s="26"/>
      <c r="AJ99" s="26"/>
      <c r="AK99" s="27"/>
      <c r="AL99" s="28"/>
      <c r="AM99" s="29"/>
    </row>
    <row r="100" ht="12.75" customHeight="1">
      <c r="A100" s="26"/>
      <c r="B100" s="12"/>
      <c r="C100" s="240"/>
      <c r="D100" s="241"/>
      <c r="E100" s="5"/>
      <c r="F100" s="5"/>
      <c r="G100" s="5"/>
      <c r="H100" s="5"/>
      <c r="I100" s="5"/>
      <c r="J100" s="5"/>
      <c r="K100" s="8"/>
      <c r="L100" s="9"/>
      <c r="M100" s="10"/>
      <c r="N100" s="12"/>
      <c r="O100" s="242"/>
      <c r="P100" s="243"/>
      <c r="Q100" s="243"/>
      <c r="R100" s="14"/>
      <c r="S100" s="242"/>
      <c r="T100" s="15"/>
      <c r="U100" s="15"/>
      <c r="V100" s="15"/>
      <c r="W100" s="8"/>
      <c r="X100" s="8"/>
      <c r="Y100" s="56"/>
      <c r="Z100" s="56"/>
      <c r="AA100" s="15"/>
      <c r="AB100" s="15"/>
      <c r="AC100" s="15"/>
      <c r="AD100" s="15"/>
      <c r="AE100" s="57"/>
      <c r="AF100" s="57"/>
      <c r="AG100" s="15"/>
      <c r="AH100" s="25"/>
      <c r="AI100" s="26"/>
      <c r="AJ100" s="26"/>
      <c r="AK100" s="27"/>
      <c r="AL100" s="28"/>
      <c r="AM100" s="29"/>
    </row>
    <row r="101" ht="12.75" customHeight="1">
      <c r="A101" s="26"/>
      <c r="B101" s="12"/>
      <c r="C101" s="240"/>
      <c r="D101" s="241"/>
      <c r="E101" s="5"/>
      <c r="F101" s="5"/>
      <c r="G101" s="5"/>
      <c r="H101" s="5"/>
      <c r="I101" s="5"/>
      <c r="J101" s="5"/>
      <c r="K101" s="8"/>
      <c r="L101" s="9"/>
      <c r="M101" s="10"/>
      <c r="N101" s="12"/>
      <c r="O101" s="242"/>
      <c r="P101" s="243"/>
      <c r="Q101" s="243"/>
      <c r="R101" s="14"/>
      <c r="S101" s="242"/>
      <c r="T101" s="15"/>
      <c r="U101" s="15"/>
      <c r="V101" s="15"/>
      <c r="W101" s="8"/>
      <c r="X101" s="8"/>
      <c r="Y101" s="56"/>
      <c r="Z101" s="56"/>
      <c r="AA101" s="15"/>
      <c r="AB101" s="15"/>
      <c r="AC101" s="15"/>
      <c r="AD101" s="15"/>
      <c r="AE101" s="57"/>
      <c r="AF101" s="57"/>
      <c r="AG101" s="15"/>
      <c r="AH101" s="25"/>
      <c r="AI101" s="26"/>
      <c r="AJ101" s="26"/>
      <c r="AK101" s="27"/>
      <c r="AL101" s="28"/>
      <c r="AM101" s="29"/>
    </row>
    <row r="102" ht="12.75" customHeight="1">
      <c r="A102" s="26"/>
      <c r="B102" s="12"/>
      <c r="C102" s="240"/>
      <c r="D102" s="241"/>
      <c r="E102" s="5"/>
      <c r="F102" s="5"/>
      <c r="G102" s="5"/>
      <c r="H102" s="5"/>
      <c r="I102" s="5"/>
      <c r="J102" s="5"/>
      <c r="K102" s="8"/>
      <c r="L102" s="9"/>
      <c r="M102" s="10"/>
      <c r="N102" s="12"/>
      <c r="O102" s="242"/>
      <c r="P102" s="243"/>
      <c r="Q102" s="243"/>
      <c r="R102" s="14"/>
      <c r="S102" s="242"/>
      <c r="T102" s="15"/>
      <c r="U102" s="15"/>
      <c r="V102" s="15"/>
      <c r="W102" s="8"/>
      <c r="X102" s="8"/>
      <c r="Y102" s="56"/>
      <c r="Z102" s="56"/>
      <c r="AA102" s="15"/>
      <c r="AB102" s="15"/>
      <c r="AC102" s="15"/>
      <c r="AD102" s="15"/>
      <c r="AE102" s="57"/>
      <c r="AF102" s="57"/>
      <c r="AG102" s="15"/>
      <c r="AH102" s="25"/>
      <c r="AI102" s="26"/>
      <c r="AJ102" s="26"/>
      <c r="AK102" s="27"/>
      <c r="AL102" s="28"/>
      <c r="AM102" s="29"/>
    </row>
    <row r="103" ht="12.75" customHeight="1">
      <c r="A103" s="26"/>
      <c r="B103" s="12"/>
      <c r="C103" s="240"/>
      <c r="D103" s="241"/>
      <c r="E103" s="5"/>
      <c r="F103" s="5"/>
      <c r="G103" s="5"/>
      <c r="H103" s="5"/>
      <c r="I103" s="5"/>
      <c r="J103" s="5"/>
      <c r="K103" s="8"/>
      <c r="L103" s="9"/>
      <c r="M103" s="10"/>
      <c r="N103" s="12"/>
      <c r="O103" s="242"/>
      <c r="P103" s="243"/>
      <c r="Q103" s="243"/>
      <c r="R103" s="14"/>
      <c r="S103" s="242"/>
      <c r="T103" s="15"/>
      <c r="U103" s="15"/>
      <c r="V103" s="15"/>
      <c r="W103" s="8"/>
      <c r="X103" s="8"/>
      <c r="Y103" s="56"/>
      <c r="Z103" s="56"/>
      <c r="AA103" s="15"/>
      <c r="AB103" s="15"/>
      <c r="AC103" s="15"/>
      <c r="AD103" s="15"/>
      <c r="AE103" s="57"/>
      <c r="AF103" s="57"/>
      <c r="AG103" s="15"/>
      <c r="AH103" s="25"/>
      <c r="AI103" s="26"/>
      <c r="AJ103" s="26"/>
      <c r="AK103" s="27"/>
      <c r="AL103" s="28"/>
      <c r="AM103" s="29"/>
    </row>
    <row r="104" ht="12.75" customHeight="1">
      <c r="A104" s="26"/>
      <c r="B104" s="12"/>
      <c r="C104" s="240"/>
      <c r="D104" s="241"/>
      <c r="E104" s="5"/>
      <c r="F104" s="5"/>
      <c r="G104" s="5"/>
      <c r="H104" s="5"/>
      <c r="I104" s="5"/>
      <c r="J104" s="5"/>
      <c r="K104" s="8"/>
      <c r="L104" s="9"/>
      <c r="M104" s="10"/>
      <c r="N104" s="12"/>
      <c r="O104" s="242"/>
      <c r="P104" s="243"/>
      <c r="Q104" s="243"/>
      <c r="R104" s="14"/>
      <c r="S104" s="242"/>
      <c r="T104" s="15"/>
      <c r="U104" s="15"/>
      <c r="V104" s="15"/>
      <c r="W104" s="8"/>
      <c r="X104" s="8"/>
      <c r="Y104" s="56"/>
      <c r="Z104" s="56"/>
      <c r="AA104" s="15"/>
      <c r="AB104" s="15"/>
      <c r="AC104" s="15"/>
      <c r="AD104" s="15"/>
      <c r="AE104" s="57"/>
      <c r="AF104" s="57"/>
      <c r="AG104" s="15"/>
      <c r="AH104" s="25"/>
      <c r="AI104" s="26"/>
      <c r="AJ104" s="26"/>
      <c r="AK104" s="27"/>
      <c r="AL104" s="28"/>
      <c r="AM104" s="29"/>
    </row>
    <row r="105" ht="12.75" customHeight="1">
      <c r="A105" s="26"/>
      <c r="B105" s="12"/>
      <c r="C105" s="240"/>
      <c r="D105" s="241"/>
      <c r="E105" s="5"/>
      <c r="F105" s="5"/>
      <c r="G105" s="5"/>
      <c r="H105" s="5"/>
      <c r="I105" s="5"/>
      <c r="J105" s="5"/>
      <c r="K105" s="8"/>
      <c r="L105" s="9"/>
      <c r="M105" s="10"/>
      <c r="N105" s="12"/>
      <c r="O105" s="242"/>
      <c r="P105" s="243"/>
      <c r="Q105" s="243"/>
      <c r="R105" s="14"/>
      <c r="S105" s="242"/>
      <c r="T105" s="15"/>
      <c r="U105" s="15"/>
      <c r="V105" s="15"/>
      <c r="W105" s="8"/>
      <c r="X105" s="8"/>
      <c r="Y105" s="56"/>
      <c r="Z105" s="56"/>
      <c r="AA105" s="15"/>
      <c r="AB105" s="15"/>
      <c r="AC105" s="15"/>
      <c r="AD105" s="15"/>
      <c r="AE105" s="57"/>
      <c r="AF105" s="57"/>
      <c r="AG105" s="15"/>
      <c r="AH105" s="25"/>
      <c r="AI105" s="26"/>
      <c r="AJ105" s="26"/>
      <c r="AK105" s="27"/>
      <c r="AL105" s="28"/>
      <c r="AM105" s="29"/>
    </row>
    <row r="106" ht="12.75" customHeight="1">
      <c r="A106" s="26"/>
      <c r="B106" s="12"/>
      <c r="C106" s="240"/>
      <c r="D106" s="241"/>
      <c r="E106" s="5"/>
      <c r="F106" s="5"/>
      <c r="G106" s="5"/>
      <c r="H106" s="5"/>
      <c r="I106" s="5"/>
      <c r="J106" s="5"/>
      <c r="K106" s="8"/>
      <c r="L106" s="9"/>
      <c r="M106" s="10"/>
      <c r="N106" s="12"/>
      <c r="O106" s="242"/>
      <c r="P106" s="243"/>
      <c r="Q106" s="243"/>
      <c r="R106" s="14"/>
      <c r="S106" s="242"/>
      <c r="T106" s="15"/>
      <c r="U106" s="15"/>
      <c r="V106" s="15"/>
      <c r="W106" s="8"/>
      <c r="X106" s="8"/>
      <c r="Y106" s="56"/>
      <c r="Z106" s="56"/>
      <c r="AA106" s="15"/>
      <c r="AB106" s="15"/>
      <c r="AC106" s="15"/>
      <c r="AD106" s="15"/>
      <c r="AE106" s="57"/>
      <c r="AF106" s="57"/>
      <c r="AG106" s="15"/>
      <c r="AH106" s="25"/>
      <c r="AI106" s="26"/>
      <c r="AJ106" s="26"/>
      <c r="AK106" s="27"/>
      <c r="AL106" s="28"/>
      <c r="AM106" s="29"/>
    </row>
    <row r="107" ht="12.75" customHeight="1">
      <c r="A107" s="26"/>
      <c r="B107" s="12"/>
      <c r="C107" s="240"/>
      <c r="D107" s="241"/>
      <c r="E107" s="5"/>
      <c r="F107" s="5"/>
      <c r="G107" s="5"/>
      <c r="H107" s="5"/>
      <c r="I107" s="5"/>
      <c r="J107" s="5"/>
      <c r="K107" s="8"/>
      <c r="L107" s="9"/>
      <c r="M107" s="10"/>
      <c r="N107" s="12"/>
      <c r="O107" s="242"/>
      <c r="P107" s="243"/>
      <c r="Q107" s="243"/>
      <c r="R107" s="14"/>
      <c r="S107" s="242"/>
      <c r="T107" s="15"/>
      <c r="U107" s="15"/>
      <c r="V107" s="15"/>
      <c r="W107" s="8"/>
      <c r="X107" s="8"/>
      <c r="Y107" s="56"/>
      <c r="Z107" s="56"/>
      <c r="AA107" s="15"/>
      <c r="AB107" s="15"/>
      <c r="AC107" s="15"/>
      <c r="AD107" s="15"/>
      <c r="AE107" s="57"/>
      <c r="AF107" s="57"/>
      <c r="AG107" s="15"/>
      <c r="AH107" s="25"/>
      <c r="AI107" s="26"/>
      <c r="AJ107" s="26"/>
      <c r="AK107" s="27"/>
      <c r="AL107" s="28"/>
      <c r="AM107" s="29"/>
    </row>
    <row r="108" ht="12.75" customHeight="1">
      <c r="A108" s="26"/>
      <c r="B108" s="12"/>
      <c r="C108" s="240"/>
      <c r="D108" s="241"/>
      <c r="E108" s="5"/>
      <c r="F108" s="5"/>
      <c r="G108" s="5"/>
      <c r="H108" s="5"/>
      <c r="I108" s="5"/>
      <c r="J108" s="5"/>
      <c r="K108" s="8"/>
      <c r="L108" s="9"/>
      <c r="M108" s="10"/>
      <c r="N108" s="12"/>
      <c r="O108" s="242"/>
      <c r="P108" s="243"/>
      <c r="Q108" s="243"/>
      <c r="R108" s="14"/>
      <c r="S108" s="242"/>
      <c r="T108" s="15"/>
      <c r="U108" s="15"/>
      <c r="V108" s="15"/>
      <c r="W108" s="8"/>
      <c r="X108" s="8"/>
      <c r="Y108" s="56"/>
      <c r="Z108" s="56"/>
      <c r="AA108" s="15"/>
      <c r="AB108" s="15"/>
      <c r="AC108" s="15"/>
      <c r="AD108" s="15"/>
      <c r="AE108" s="57"/>
      <c r="AF108" s="57"/>
      <c r="AG108" s="15"/>
      <c r="AH108" s="25"/>
      <c r="AI108" s="26"/>
      <c r="AJ108" s="26"/>
      <c r="AK108" s="27"/>
      <c r="AL108" s="28"/>
      <c r="AM108" s="29"/>
    </row>
    <row r="109" ht="12.75" customHeight="1">
      <c r="A109" s="26"/>
      <c r="B109" s="12"/>
      <c r="C109" s="240"/>
      <c r="D109" s="241"/>
      <c r="E109" s="5"/>
      <c r="F109" s="5"/>
      <c r="G109" s="5"/>
      <c r="H109" s="5"/>
      <c r="I109" s="5"/>
      <c r="J109" s="5"/>
      <c r="K109" s="8"/>
      <c r="L109" s="9"/>
      <c r="M109" s="10"/>
      <c r="N109" s="12"/>
      <c r="O109" s="242"/>
      <c r="P109" s="243"/>
      <c r="Q109" s="243"/>
      <c r="R109" s="14"/>
      <c r="S109" s="242"/>
      <c r="T109" s="15"/>
      <c r="U109" s="15"/>
      <c r="V109" s="15"/>
      <c r="W109" s="8"/>
      <c r="X109" s="8"/>
      <c r="Y109" s="56"/>
      <c r="Z109" s="56"/>
      <c r="AA109" s="15"/>
      <c r="AB109" s="15"/>
      <c r="AC109" s="15"/>
      <c r="AD109" s="15"/>
      <c r="AE109" s="57"/>
      <c r="AF109" s="57"/>
      <c r="AG109" s="15"/>
      <c r="AH109" s="25"/>
      <c r="AI109" s="26"/>
      <c r="AJ109" s="26"/>
      <c r="AK109" s="27"/>
      <c r="AL109" s="28"/>
      <c r="AM109" s="29"/>
    </row>
    <row r="110" ht="12.75" customHeight="1">
      <c r="A110" s="26"/>
      <c r="B110" s="12"/>
      <c r="C110" s="240"/>
      <c r="D110" s="241"/>
      <c r="E110" s="5"/>
      <c r="F110" s="5"/>
      <c r="G110" s="5"/>
      <c r="H110" s="5"/>
      <c r="I110" s="5"/>
      <c r="J110" s="5"/>
      <c r="K110" s="8"/>
      <c r="L110" s="9"/>
      <c r="M110" s="10"/>
      <c r="N110" s="12"/>
      <c r="O110" s="242"/>
      <c r="P110" s="243"/>
      <c r="Q110" s="243"/>
      <c r="R110" s="14"/>
      <c r="S110" s="242"/>
      <c r="T110" s="15"/>
      <c r="U110" s="15"/>
      <c r="V110" s="15"/>
      <c r="W110" s="8"/>
      <c r="X110" s="8"/>
      <c r="Y110" s="56"/>
      <c r="Z110" s="56"/>
      <c r="AA110" s="15"/>
      <c r="AB110" s="15"/>
      <c r="AC110" s="15"/>
      <c r="AD110" s="15"/>
      <c r="AE110" s="57"/>
      <c r="AF110" s="57"/>
      <c r="AG110" s="15"/>
      <c r="AH110" s="25"/>
      <c r="AI110" s="26"/>
      <c r="AJ110" s="26"/>
      <c r="AK110" s="27"/>
      <c r="AL110" s="28"/>
      <c r="AM110" s="29"/>
    </row>
    <row r="111" ht="12.75" customHeight="1">
      <c r="A111" s="26"/>
      <c r="B111" s="12"/>
      <c r="C111" s="240"/>
      <c r="D111" s="241"/>
      <c r="E111" s="5"/>
      <c r="F111" s="5"/>
      <c r="G111" s="5"/>
      <c r="H111" s="5"/>
      <c r="I111" s="5"/>
      <c r="J111" s="5"/>
      <c r="K111" s="8"/>
      <c r="L111" s="9"/>
      <c r="M111" s="10"/>
      <c r="N111" s="12"/>
      <c r="O111" s="242"/>
      <c r="P111" s="243"/>
      <c r="Q111" s="243"/>
      <c r="R111" s="14"/>
      <c r="S111" s="242"/>
      <c r="T111" s="15"/>
      <c r="U111" s="15"/>
      <c r="V111" s="15"/>
      <c r="W111" s="8"/>
      <c r="X111" s="8"/>
      <c r="Y111" s="56"/>
      <c r="Z111" s="56"/>
      <c r="AA111" s="15"/>
      <c r="AB111" s="15"/>
      <c r="AC111" s="15"/>
      <c r="AD111" s="15"/>
      <c r="AE111" s="57"/>
      <c r="AF111" s="57"/>
      <c r="AG111" s="15"/>
      <c r="AH111" s="25"/>
      <c r="AI111" s="26"/>
      <c r="AJ111" s="26"/>
      <c r="AK111" s="27"/>
      <c r="AL111" s="28"/>
      <c r="AM111" s="29"/>
    </row>
    <row r="112" ht="12.75" customHeight="1">
      <c r="A112" s="26"/>
      <c r="B112" s="12"/>
      <c r="C112" s="240"/>
      <c r="D112" s="241"/>
      <c r="E112" s="5"/>
      <c r="F112" s="5"/>
      <c r="G112" s="5"/>
      <c r="H112" s="5"/>
      <c r="I112" s="5"/>
      <c r="J112" s="5"/>
      <c r="K112" s="8"/>
      <c r="L112" s="9"/>
      <c r="M112" s="10"/>
      <c r="N112" s="12"/>
      <c r="O112" s="242"/>
      <c r="P112" s="243"/>
      <c r="Q112" s="243"/>
      <c r="R112" s="14"/>
      <c r="S112" s="242"/>
      <c r="T112" s="15"/>
      <c r="U112" s="15"/>
      <c r="V112" s="15"/>
      <c r="W112" s="8"/>
      <c r="X112" s="8"/>
      <c r="Y112" s="56"/>
      <c r="Z112" s="56"/>
      <c r="AA112" s="15"/>
      <c r="AB112" s="15"/>
      <c r="AC112" s="15"/>
      <c r="AD112" s="15"/>
      <c r="AE112" s="57"/>
      <c r="AF112" s="57"/>
      <c r="AG112" s="15"/>
      <c r="AH112" s="25"/>
      <c r="AI112" s="26"/>
      <c r="AJ112" s="26"/>
      <c r="AK112" s="27"/>
      <c r="AL112" s="28"/>
      <c r="AM112" s="29"/>
    </row>
    <row r="113" ht="12.75" customHeight="1">
      <c r="A113" s="26"/>
      <c r="B113" s="12"/>
      <c r="C113" s="240"/>
      <c r="D113" s="241"/>
      <c r="E113" s="5"/>
      <c r="F113" s="5"/>
      <c r="G113" s="5"/>
      <c r="H113" s="5"/>
      <c r="I113" s="5"/>
      <c r="J113" s="5"/>
      <c r="K113" s="8"/>
      <c r="L113" s="9"/>
      <c r="M113" s="10"/>
      <c r="N113" s="12"/>
      <c r="O113" s="242"/>
      <c r="P113" s="243"/>
      <c r="Q113" s="243"/>
      <c r="R113" s="14"/>
      <c r="S113" s="242"/>
      <c r="T113" s="15"/>
      <c r="U113" s="15"/>
      <c r="V113" s="15"/>
      <c r="W113" s="8"/>
      <c r="X113" s="8"/>
      <c r="Y113" s="56"/>
      <c r="Z113" s="56"/>
      <c r="AA113" s="15"/>
      <c r="AB113" s="15"/>
      <c r="AC113" s="15"/>
      <c r="AD113" s="15"/>
      <c r="AE113" s="57"/>
      <c r="AF113" s="57"/>
      <c r="AG113" s="15"/>
      <c r="AH113" s="25"/>
      <c r="AI113" s="26"/>
      <c r="AJ113" s="26"/>
      <c r="AK113" s="27"/>
      <c r="AL113" s="28"/>
      <c r="AM113" s="29"/>
    </row>
    <row r="114" ht="12.75" customHeight="1">
      <c r="A114" s="26"/>
      <c r="B114" s="12"/>
      <c r="C114" s="240"/>
      <c r="D114" s="241"/>
      <c r="E114" s="5"/>
      <c r="F114" s="5"/>
      <c r="G114" s="5"/>
      <c r="H114" s="5"/>
      <c r="I114" s="5"/>
      <c r="J114" s="5"/>
      <c r="K114" s="8"/>
      <c r="L114" s="9"/>
      <c r="M114" s="10"/>
      <c r="N114" s="12"/>
      <c r="O114" s="242"/>
      <c r="P114" s="243"/>
      <c r="Q114" s="243"/>
      <c r="R114" s="14"/>
      <c r="S114" s="242"/>
      <c r="T114" s="15"/>
      <c r="U114" s="15"/>
      <c r="V114" s="15"/>
      <c r="W114" s="8"/>
      <c r="X114" s="8"/>
      <c r="Y114" s="56"/>
      <c r="Z114" s="56"/>
      <c r="AA114" s="15"/>
      <c r="AB114" s="15"/>
      <c r="AC114" s="15"/>
      <c r="AD114" s="15"/>
      <c r="AE114" s="57"/>
      <c r="AF114" s="57"/>
      <c r="AG114" s="15"/>
      <c r="AH114" s="25"/>
      <c r="AI114" s="26"/>
      <c r="AJ114" s="26"/>
      <c r="AK114" s="27"/>
      <c r="AL114" s="28"/>
      <c r="AM114" s="29"/>
    </row>
    <row r="115" ht="12.75" customHeight="1">
      <c r="A115" s="26"/>
      <c r="B115" s="12"/>
      <c r="C115" s="240"/>
      <c r="D115" s="241"/>
      <c r="E115" s="5"/>
      <c r="F115" s="5"/>
      <c r="G115" s="5"/>
      <c r="H115" s="5"/>
      <c r="I115" s="5"/>
      <c r="J115" s="5"/>
      <c r="K115" s="8"/>
      <c r="L115" s="9"/>
      <c r="M115" s="10"/>
      <c r="N115" s="12"/>
      <c r="O115" s="242"/>
      <c r="P115" s="243"/>
      <c r="Q115" s="243"/>
      <c r="R115" s="14"/>
      <c r="S115" s="242"/>
      <c r="T115" s="15"/>
      <c r="U115" s="15"/>
      <c r="V115" s="15"/>
      <c r="W115" s="8"/>
      <c r="X115" s="8"/>
      <c r="Y115" s="56"/>
      <c r="Z115" s="56"/>
      <c r="AA115" s="15"/>
      <c r="AB115" s="15"/>
      <c r="AC115" s="15"/>
      <c r="AD115" s="15"/>
      <c r="AE115" s="57"/>
      <c r="AF115" s="57"/>
      <c r="AG115" s="15"/>
      <c r="AH115" s="25"/>
      <c r="AI115" s="26"/>
      <c r="AJ115" s="26"/>
      <c r="AK115" s="27"/>
      <c r="AL115" s="28"/>
      <c r="AM115" s="29"/>
    </row>
    <row r="116" ht="12.75" customHeight="1">
      <c r="A116" s="26"/>
      <c r="B116" s="12"/>
      <c r="C116" s="240"/>
      <c r="D116" s="241"/>
      <c r="E116" s="5"/>
      <c r="F116" s="5"/>
      <c r="G116" s="5"/>
      <c r="H116" s="5"/>
      <c r="I116" s="5"/>
      <c r="J116" s="5"/>
      <c r="K116" s="8"/>
      <c r="L116" s="9"/>
      <c r="M116" s="10"/>
      <c r="N116" s="12"/>
      <c r="O116" s="242"/>
      <c r="P116" s="243"/>
      <c r="Q116" s="243"/>
      <c r="R116" s="14"/>
      <c r="S116" s="242"/>
      <c r="T116" s="15"/>
      <c r="U116" s="15"/>
      <c r="V116" s="15"/>
      <c r="W116" s="8"/>
      <c r="X116" s="8"/>
      <c r="Y116" s="56"/>
      <c r="Z116" s="56"/>
      <c r="AA116" s="15"/>
      <c r="AB116" s="15"/>
      <c r="AC116" s="15"/>
      <c r="AD116" s="15"/>
      <c r="AE116" s="57"/>
      <c r="AF116" s="57"/>
      <c r="AG116" s="15"/>
      <c r="AH116" s="25"/>
      <c r="AI116" s="26"/>
      <c r="AJ116" s="26"/>
      <c r="AK116" s="27"/>
      <c r="AL116" s="28"/>
      <c r="AM116" s="29"/>
    </row>
    <row r="117" ht="12.75" customHeight="1">
      <c r="A117" s="26"/>
      <c r="B117" s="12"/>
      <c r="C117" s="240"/>
      <c r="D117" s="241"/>
      <c r="E117" s="5"/>
      <c r="F117" s="5"/>
      <c r="G117" s="5"/>
      <c r="H117" s="5"/>
      <c r="I117" s="5"/>
      <c r="J117" s="5"/>
      <c r="K117" s="8"/>
      <c r="L117" s="9"/>
      <c r="M117" s="10"/>
      <c r="N117" s="12"/>
      <c r="O117" s="242"/>
      <c r="P117" s="243"/>
      <c r="Q117" s="243"/>
      <c r="R117" s="14"/>
      <c r="S117" s="242"/>
      <c r="T117" s="15"/>
      <c r="U117" s="15"/>
      <c r="V117" s="15"/>
      <c r="W117" s="8"/>
      <c r="X117" s="8"/>
      <c r="Y117" s="56"/>
      <c r="Z117" s="56"/>
      <c r="AA117" s="15"/>
      <c r="AB117" s="15"/>
      <c r="AC117" s="15"/>
      <c r="AD117" s="15"/>
      <c r="AE117" s="57"/>
      <c r="AF117" s="57"/>
      <c r="AG117" s="15"/>
      <c r="AH117" s="25"/>
      <c r="AI117" s="26"/>
      <c r="AJ117" s="26"/>
      <c r="AK117" s="27"/>
      <c r="AL117" s="28"/>
      <c r="AM117" s="29"/>
    </row>
    <row r="118" ht="12.75" customHeight="1">
      <c r="A118" s="26"/>
      <c r="B118" s="12"/>
      <c r="C118" s="240"/>
      <c r="D118" s="241"/>
      <c r="E118" s="5"/>
      <c r="F118" s="5"/>
      <c r="G118" s="5"/>
      <c r="H118" s="5"/>
      <c r="I118" s="5"/>
      <c r="J118" s="5"/>
      <c r="K118" s="8"/>
      <c r="L118" s="9"/>
      <c r="M118" s="10"/>
      <c r="N118" s="12"/>
      <c r="O118" s="242"/>
      <c r="P118" s="243"/>
      <c r="Q118" s="243"/>
      <c r="R118" s="14"/>
      <c r="S118" s="242"/>
      <c r="T118" s="15"/>
      <c r="U118" s="15"/>
      <c r="V118" s="15"/>
      <c r="W118" s="8"/>
      <c r="X118" s="8"/>
      <c r="Y118" s="56"/>
      <c r="Z118" s="56"/>
      <c r="AA118" s="15"/>
      <c r="AB118" s="15"/>
      <c r="AC118" s="15"/>
      <c r="AD118" s="15"/>
      <c r="AE118" s="57"/>
      <c r="AF118" s="57"/>
      <c r="AG118" s="15"/>
      <c r="AH118" s="25"/>
      <c r="AI118" s="26"/>
      <c r="AJ118" s="26"/>
      <c r="AK118" s="27"/>
      <c r="AL118" s="28"/>
      <c r="AM118" s="29"/>
    </row>
    <row r="119" ht="12.75" customHeight="1">
      <c r="A119" s="26"/>
      <c r="B119" s="12"/>
      <c r="C119" s="240"/>
      <c r="D119" s="241"/>
      <c r="E119" s="5"/>
      <c r="F119" s="5"/>
      <c r="G119" s="5"/>
      <c r="H119" s="5"/>
      <c r="I119" s="5"/>
      <c r="J119" s="5"/>
      <c r="K119" s="8"/>
      <c r="L119" s="9"/>
      <c r="M119" s="10"/>
      <c r="N119" s="12"/>
      <c r="O119" s="242"/>
      <c r="P119" s="243"/>
      <c r="Q119" s="243"/>
      <c r="R119" s="14"/>
      <c r="S119" s="242"/>
      <c r="T119" s="15"/>
      <c r="U119" s="15"/>
      <c r="V119" s="15"/>
      <c r="W119" s="8"/>
      <c r="X119" s="8"/>
      <c r="Y119" s="56"/>
      <c r="Z119" s="56"/>
      <c r="AA119" s="15"/>
      <c r="AB119" s="15"/>
      <c r="AC119" s="15"/>
      <c r="AD119" s="15"/>
      <c r="AE119" s="57"/>
      <c r="AF119" s="57"/>
      <c r="AG119" s="15"/>
      <c r="AH119" s="25"/>
      <c r="AI119" s="26"/>
      <c r="AJ119" s="26"/>
      <c r="AK119" s="27"/>
      <c r="AL119" s="28"/>
      <c r="AM119" s="29"/>
    </row>
    <row r="120" ht="12.75" customHeight="1">
      <c r="A120" s="26"/>
      <c r="B120" s="12"/>
      <c r="C120" s="240"/>
      <c r="D120" s="241"/>
      <c r="E120" s="5"/>
      <c r="F120" s="5"/>
      <c r="G120" s="5"/>
      <c r="H120" s="5"/>
      <c r="I120" s="5"/>
      <c r="J120" s="5"/>
      <c r="K120" s="8"/>
      <c r="L120" s="9"/>
      <c r="M120" s="10"/>
      <c r="N120" s="12"/>
      <c r="O120" s="242"/>
      <c r="P120" s="243"/>
      <c r="Q120" s="243"/>
      <c r="R120" s="14"/>
      <c r="S120" s="242"/>
      <c r="T120" s="15"/>
      <c r="U120" s="15"/>
      <c r="V120" s="15"/>
      <c r="W120" s="8"/>
      <c r="X120" s="8"/>
      <c r="Y120" s="56"/>
      <c r="Z120" s="56"/>
      <c r="AA120" s="15"/>
      <c r="AB120" s="15"/>
      <c r="AC120" s="15"/>
      <c r="AD120" s="15"/>
      <c r="AE120" s="57"/>
      <c r="AF120" s="57"/>
      <c r="AG120" s="15"/>
      <c r="AH120" s="25"/>
      <c r="AI120" s="26"/>
      <c r="AJ120" s="26"/>
      <c r="AK120" s="27"/>
      <c r="AL120" s="28"/>
      <c r="AM120" s="29"/>
    </row>
    <row r="121" ht="12.75" customHeight="1">
      <c r="A121" s="26"/>
      <c r="B121" s="12"/>
      <c r="C121" s="240"/>
      <c r="D121" s="241"/>
      <c r="E121" s="5"/>
      <c r="F121" s="5"/>
      <c r="G121" s="5"/>
      <c r="H121" s="5"/>
      <c r="I121" s="5"/>
      <c r="J121" s="5"/>
      <c r="K121" s="8"/>
      <c r="L121" s="9"/>
      <c r="M121" s="10"/>
      <c r="N121" s="12"/>
      <c r="O121" s="242"/>
      <c r="P121" s="243"/>
      <c r="Q121" s="243"/>
      <c r="R121" s="14"/>
      <c r="S121" s="242"/>
      <c r="T121" s="15"/>
      <c r="U121" s="15"/>
      <c r="V121" s="15"/>
      <c r="W121" s="8"/>
      <c r="X121" s="8"/>
      <c r="Y121" s="56"/>
      <c r="Z121" s="56"/>
      <c r="AA121" s="15"/>
      <c r="AB121" s="15"/>
      <c r="AC121" s="15"/>
      <c r="AD121" s="15"/>
      <c r="AE121" s="57"/>
      <c r="AF121" s="57"/>
      <c r="AG121" s="15"/>
      <c r="AH121" s="25"/>
      <c r="AI121" s="26"/>
      <c r="AJ121" s="26"/>
      <c r="AK121" s="27"/>
      <c r="AL121" s="28"/>
      <c r="AM121" s="29"/>
    </row>
    <row r="122" ht="12.75" customHeight="1">
      <c r="A122" s="26"/>
      <c r="B122" s="12"/>
      <c r="C122" s="240"/>
      <c r="D122" s="241"/>
      <c r="E122" s="5"/>
      <c r="F122" s="5"/>
      <c r="G122" s="5"/>
      <c r="H122" s="5"/>
      <c r="I122" s="5"/>
      <c r="J122" s="5"/>
      <c r="K122" s="8"/>
      <c r="L122" s="9"/>
      <c r="M122" s="10"/>
      <c r="N122" s="12"/>
      <c r="O122" s="242"/>
      <c r="P122" s="243"/>
      <c r="Q122" s="243"/>
      <c r="R122" s="14"/>
      <c r="S122" s="242"/>
      <c r="T122" s="15"/>
      <c r="U122" s="15"/>
      <c r="V122" s="15"/>
      <c r="W122" s="8"/>
      <c r="X122" s="8"/>
      <c r="Y122" s="56"/>
      <c r="Z122" s="56"/>
      <c r="AA122" s="15"/>
      <c r="AB122" s="15"/>
      <c r="AC122" s="15"/>
      <c r="AD122" s="15"/>
      <c r="AE122" s="57"/>
      <c r="AF122" s="57"/>
      <c r="AG122" s="15"/>
      <c r="AH122" s="25"/>
      <c r="AI122" s="26"/>
      <c r="AJ122" s="26"/>
      <c r="AK122" s="27"/>
      <c r="AL122" s="28"/>
      <c r="AM122" s="29"/>
    </row>
    <row r="123" ht="12.75" customHeight="1">
      <c r="A123" s="26"/>
      <c r="B123" s="12"/>
      <c r="C123" s="240"/>
      <c r="D123" s="241"/>
      <c r="E123" s="5"/>
      <c r="F123" s="5"/>
      <c r="G123" s="5"/>
      <c r="H123" s="5"/>
      <c r="I123" s="5"/>
      <c r="J123" s="5"/>
      <c r="K123" s="8"/>
      <c r="L123" s="9"/>
      <c r="M123" s="10"/>
      <c r="N123" s="12"/>
      <c r="O123" s="242"/>
      <c r="P123" s="243"/>
      <c r="Q123" s="243"/>
      <c r="R123" s="14"/>
      <c r="S123" s="242"/>
      <c r="T123" s="15"/>
      <c r="U123" s="15"/>
      <c r="V123" s="15"/>
      <c r="W123" s="8"/>
      <c r="X123" s="8"/>
      <c r="Y123" s="56"/>
      <c r="Z123" s="56"/>
      <c r="AA123" s="15"/>
      <c r="AB123" s="15"/>
      <c r="AC123" s="15"/>
      <c r="AD123" s="15"/>
      <c r="AE123" s="57"/>
      <c r="AF123" s="57"/>
      <c r="AG123" s="15"/>
      <c r="AH123" s="25"/>
      <c r="AI123" s="26"/>
      <c r="AJ123" s="26"/>
      <c r="AK123" s="27"/>
      <c r="AL123" s="28"/>
      <c r="AM123" s="29"/>
    </row>
    <row r="124" ht="12.75" customHeight="1">
      <c r="A124" s="26"/>
      <c r="B124" s="12"/>
      <c r="C124" s="240"/>
      <c r="D124" s="241"/>
      <c r="E124" s="5"/>
      <c r="F124" s="5"/>
      <c r="G124" s="5"/>
      <c r="H124" s="5"/>
      <c r="I124" s="5"/>
      <c r="J124" s="5"/>
      <c r="K124" s="8"/>
      <c r="L124" s="9"/>
      <c r="M124" s="10"/>
      <c r="N124" s="12"/>
      <c r="O124" s="242"/>
      <c r="P124" s="243"/>
      <c r="Q124" s="243"/>
      <c r="R124" s="14"/>
      <c r="S124" s="242"/>
      <c r="T124" s="15"/>
      <c r="U124" s="15"/>
      <c r="V124" s="15"/>
      <c r="W124" s="8"/>
      <c r="X124" s="8"/>
      <c r="Y124" s="56"/>
      <c r="Z124" s="56"/>
      <c r="AA124" s="15"/>
      <c r="AB124" s="15"/>
      <c r="AC124" s="15"/>
      <c r="AD124" s="15"/>
      <c r="AE124" s="57"/>
      <c r="AF124" s="57"/>
      <c r="AG124" s="15"/>
      <c r="AH124" s="25"/>
      <c r="AI124" s="26"/>
      <c r="AJ124" s="26"/>
      <c r="AK124" s="27"/>
      <c r="AL124" s="28"/>
      <c r="AM124" s="29"/>
    </row>
    <row r="125" ht="12.75" customHeight="1">
      <c r="A125" s="26"/>
      <c r="B125" s="12"/>
      <c r="C125" s="240"/>
      <c r="D125" s="241"/>
      <c r="E125" s="5"/>
      <c r="F125" s="5"/>
      <c r="G125" s="5"/>
      <c r="H125" s="5"/>
      <c r="I125" s="5"/>
      <c r="J125" s="5"/>
      <c r="K125" s="8"/>
      <c r="L125" s="9"/>
      <c r="M125" s="10"/>
      <c r="N125" s="12"/>
      <c r="O125" s="242"/>
      <c r="P125" s="243"/>
      <c r="Q125" s="243"/>
      <c r="R125" s="14"/>
      <c r="S125" s="242"/>
      <c r="T125" s="15"/>
      <c r="U125" s="15"/>
      <c r="V125" s="15"/>
      <c r="W125" s="8"/>
      <c r="X125" s="8"/>
      <c r="Y125" s="56"/>
      <c r="Z125" s="56"/>
      <c r="AA125" s="15"/>
      <c r="AB125" s="15"/>
      <c r="AC125" s="15"/>
      <c r="AD125" s="15"/>
      <c r="AE125" s="57"/>
      <c r="AF125" s="57"/>
      <c r="AG125" s="15"/>
      <c r="AH125" s="25"/>
      <c r="AI125" s="26"/>
      <c r="AJ125" s="26"/>
      <c r="AK125" s="27"/>
      <c r="AL125" s="28"/>
      <c r="AM125" s="29"/>
    </row>
    <row r="126" ht="12.75" customHeight="1">
      <c r="A126" s="26"/>
      <c r="B126" s="12"/>
      <c r="C126" s="240"/>
      <c r="D126" s="241"/>
      <c r="E126" s="5"/>
      <c r="F126" s="5"/>
      <c r="G126" s="5"/>
      <c r="H126" s="5"/>
      <c r="I126" s="5"/>
      <c r="J126" s="5"/>
      <c r="K126" s="8"/>
      <c r="L126" s="9"/>
      <c r="M126" s="10"/>
      <c r="N126" s="12"/>
      <c r="O126" s="242"/>
      <c r="P126" s="243"/>
      <c r="Q126" s="243"/>
      <c r="R126" s="14"/>
      <c r="S126" s="242"/>
      <c r="T126" s="15"/>
      <c r="U126" s="15"/>
      <c r="V126" s="15"/>
      <c r="W126" s="8"/>
      <c r="X126" s="8"/>
      <c r="Y126" s="56"/>
      <c r="Z126" s="56"/>
      <c r="AA126" s="15"/>
      <c r="AB126" s="15"/>
      <c r="AC126" s="15"/>
      <c r="AD126" s="15"/>
      <c r="AE126" s="57"/>
      <c r="AF126" s="57"/>
      <c r="AG126" s="15"/>
      <c r="AH126" s="25"/>
      <c r="AI126" s="26"/>
      <c r="AJ126" s="26"/>
      <c r="AK126" s="27"/>
      <c r="AL126" s="28"/>
      <c r="AM126" s="29"/>
    </row>
    <row r="127" ht="12.75" customHeight="1">
      <c r="A127" s="26"/>
      <c r="B127" s="12"/>
      <c r="C127" s="240"/>
      <c r="D127" s="241"/>
      <c r="E127" s="5"/>
      <c r="F127" s="5"/>
      <c r="G127" s="5"/>
      <c r="H127" s="5"/>
      <c r="I127" s="5"/>
      <c r="J127" s="5"/>
      <c r="K127" s="8"/>
      <c r="L127" s="9"/>
      <c r="M127" s="10"/>
      <c r="N127" s="12"/>
      <c r="O127" s="242"/>
      <c r="P127" s="243"/>
      <c r="Q127" s="243"/>
      <c r="R127" s="14"/>
      <c r="S127" s="242"/>
      <c r="T127" s="15"/>
      <c r="U127" s="15"/>
      <c r="V127" s="15"/>
      <c r="W127" s="8"/>
      <c r="X127" s="8"/>
      <c r="Y127" s="56"/>
      <c r="Z127" s="56"/>
      <c r="AA127" s="15"/>
      <c r="AB127" s="15"/>
      <c r="AC127" s="15"/>
      <c r="AD127" s="15"/>
      <c r="AE127" s="57"/>
      <c r="AF127" s="57"/>
      <c r="AG127" s="15"/>
      <c r="AH127" s="25"/>
      <c r="AI127" s="26"/>
      <c r="AJ127" s="26"/>
      <c r="AK127" s="27"/>
      <c r="AL127" s="28"/>
      <c r="AM127" s="29"/>
    </row>
    <row r="128" ht="12.75" customHeight="1">
      <c r="A128" s="26"/>
      <c r="B128" s="12"/>
      <c r="C128" s="240"/>
      <c r="D128" s="241"/>
      <c r="E128" s="5"/>
      <c r="F128" s="5"/>
      <c r="G128" s="5"/>
      <c r="H128" s="5"/>
      <c r="I128" s="5"/>
      <c r="J128" s="5"/>
      <c r="K128" s="8"/>
      <c r="L128" s="9"/>
      <c r="M128" s="10"/>
      <c r="N128" s="12"/>
      <c r="O128" s="242"/>
      <c r="P128" s="243"/>
      <c r="Q128" s="243"/>
      <c r="R128" s="14"/>
      <c r="S128" s="242"/>
      <c r="T128" s="15"/>
      <c r="U128" s="15"/>
      <c r="V128" s="15"/>
      <c r="W128" s="8"/>
      <c r="X128" s="8"/>
      <c r="Y128" s="56"/>
      <c r="Z128" s="56"/>
      <c r="AA128" s="15"/>
      <c r="AB128" s="15"/>
      <c r="AC128" s="15"/>
      <c r="AD128" s="15"/>
      <c r="AE128" s="57"/>
      <c r="AF128" s="57"/>
      <c r="AG128" s="15"/>
      <c r="AH128" s="25"/>
      <c r="AI128" s="26"/>
      <c r="AJ128" s="26"/>
      <c r="AK128" s="27"/>
      <c r="AL128" s="28"/>
      <c r="AM128" s="29"/>
    </row>
    <row r="129" ht="12.75" customHeight="1">
      <c r="A129" s="26"/>
      <c r="B129" s="12"/>
      <c r="C129" s="240"/>
      <c r="D129" s="241"/>
      <c r="E129" s="5"/>
      <c r="F129" s="5"/>
      <c r="G129" s="5"/>
      <c r="H129" s="5"/>
      <c r="I129" s="5"/>
      <c r="J129" s="5"/>
      <c r="K129" s="8"/>
      <c r="L129" s="9"/>
      <c r="M129" s="10"/>
      <c r="N129" s="12"/>
      <c r="O129" s="242"/>
      <c r="P129" s="243"/>
      <c r="Q129" s="243"/>
      <c r="R129" s="14"/>
      <c r="S129" s="242"/>
      <c r="T129" s="15"/>
      <c r="U129" s="15"/>
      <c r="V129" s="15"/>
      <c r="W129" s="8"/>
      <c r="X129" s="8"/>
      <c r="Y129" s="56"/>
      <c r="Z129" s="56"/>
      <c r="AA129" s="15"/>
      <c r="AB129" s="15"/>
      <c r="AC129" s="15"/>
      <c r="AD129" s="15"/>
      <c r="AE129" s="57"/>
      <c r="AF129" s="57"/>
      <c r="AG129" s="15"/>
      <c r="AH129" s="25"/>
      <c r="AI129" s="26"/>
      <c r="AJ129" s="26"/>
      <c r="AK129" s="27"/>
      <c r="AL129" s="28"/>
      <c r="AM129" s="29"/>
    </row>
    <row r="130" ht="12.75" customHeight="1">
      <c r="A130" s="26"/>
      <c r="B130" s="12"/>
      <c r="C130" s="240"/>
      <c r="D130" s="241"/>
      <c r="E130" s="5"/>
      <c r="F130" s="5"/>
      <c r="G130" s="5"/>
      <c r="H130" s="5"/>
      <c r="I130" s="5"/>
      <c r="J130" s="5"/>
      <c r="K130" s="8"/>
      <c r="L130" s="9"/>
      <c r="M130" s="10"/>
      <c r="N130" s="12"/>
      <c r="O130" s="242"/>
      <c r="P130" s="243"/>
      <c r="Q130" s="243"/>
      <c r="R130" s="14"/>
      <c r="S130" s="242"/>
      <c r="T130" s="15"/>
      <c r="U130" s="15"/>
      <c r="V130" s="15"/>
      <c r="W130" s="8"/>
      <c r="X130" s="8"/>
      <c r="Y130" s="56"/>
      <c r="Z130" s="56"/>
      <c r="AA130" s="15"/>
      <c r="AB130" s="15"/>
      <c r="AC130" s="15"/>
      <c r="AD130" s="15"/>
      <c r="AE130" s="57"/>
      <c r="AF130" s="57"/>
      <c r="AG130" s="15"/>
      <c r="AH130" s="25"/>
      <c r="AI130" s="26"/>
      <c r="AJ130" s="26"/>
      <c r="AK130" s="27"/>
      <c r="AL130" s="28"/>
      <c r="AM130" s="29"/>
    </row>
    <row r="131" ht="12.75" customHeight="1">
      <c r="A131" s="26"/>
      <c r="B131" s="12"/>
      <c r="C131" s="240"/>
      <c r="D131" s="241"/>
      <c r="E131" s="5"/>
      <c r="F131" s="5"/>
      <c r="G131" s="5"/>
      <c r="H131" s="5"/>
      <c r="I131" s="5"/>
      <c r="J131" s="5"/>
      <c r="K131" s="8"/>
      <c r="L131" s="9"/>
      <c r="M131" s="10"/>
      <c r="N131" s="12"/>
      <c r="O131" s="242"/>
      <c r="P131" s="243"/>
      <c r="Q131" s="243"/>
      <c r="R131" s="14"/>
      <c r="S131" s="242"/>
      <c r="T131" s="15"/>
      <c r="U131" s="15"/>
      <c r="V131" s="15"/>
      <c r="W131" s="8"/>
      <c r="X131" s="8"/>
      <c r="Y131" s="56"/>
      <c r="Z131" s="56"/>
      <c r="AA131" s="15"/>
      <c r="AB131" s="15"/>
      <c r="AC131" s="15"/>
      <c r="AD131" s="15"/>
      <c r="AE131" s="57"/>
      <c r="AF131" s="57"/>
      <c r="AG131" s="15"/>
      <c r="AH131" s="25"/>
      <c r="AI131" s="26"/>
      <c r="AJ131" s="26"/>
      <c r="AK131" s="27"/>
      <c r="AL131" s="28"/>
      <c r="AM131" s="29"/>
    </row>
    <row r="132" ht="12.75" customHeight="1">
      <c r="A132" s="26"/>
      <c r="B132" s="12"/>
      <c r="C132" s="240"/>
      <c r="D132" s="241"/>
      <c r="E132" s="5"/>
      <c r="F132" s="5"/>
      <c r="G132" s="5"/>
      <c r="H132" s="5"/>
      <c r="I132" s="5"/>
      <c r="J132" s="5"/>
      <c r="K132" s="8"/>
      <c r="L132" s="9"/>
      <c r="M132" s="10"/>
      <c r="N132" s="12"/>
      <c r="O132" s="242"/>
      <c r="P132" s="243"/>
      <c r="Q132" s="243"/>
      <c r="R132" s="14"/>
      <c r="S132" s="242"/>
      <c r="T132" s="15"/>
      <c r="U132" s="15"/>
      <c r="V132" s="15"/>
      <c r="W132" s="8"/>
      <c r="X132" s="8"/>
      <c r="Y132" s="56"/>
      <c r="Z132" s="56"/>
      <c r="AA132" s="15"/>
      <c r="AB132" s="15"/>
      <c r="AC132" s="15"/>
      <c r="AD132" s="15"/>
      <c r="AE132" s="57"/>
      <c r="AF132" s="57"/>
      <c r="AG132" s="15"/>
      <c r="AH132" s="25"/>
      <c r="AI132" s="26"/>
      <c r="AJ132" s="26"/>
      <c r="AK132" s="27"/>
      <c r="AL132" s="28"/>
      <c r="AM132" s="29"/>
    </row>
    <row r="133" ht="12.75" customHeight="1">
      <c r="A133" s="26"/>
      <c r="B133" s="12"/>
      <c r="C133" s="240"/>
      <c r="D133" s="241"/>
      <c r="E133" s="5"/>
      <c r="F133" s="5"/>
      <c r="G133" s="5"/>
      <c r="H133" s="5"/>
      <c r="I133" s="5"/>
      <c r="J133" s="5"/>
      <c r="K133" s="8"/>
      <c r="L133" s="9"/>
      <c r="M133" s="10"/>
      <c r="N133" s="12"/>
      <c r="O133" s="242"/>
      <c r="P133" s="243"/>
      <c r="Q133" s="243"/>
      <c r="R133" s="14"/>
      <c r="S133" s="242"/>
      <c r="T133" s="15"/>
      <c r="U133" s="15"/>
      <c r="V133" s="15"/>
      <c r="W133" s="8"/>
      <c r="X133" s="8"/>
      <c r="Y133" s="56"/>
      <c r="Z133" s="56"/>
      <c r="AA133" s="15"/>
      <c r="AB133" s="15"/>
      <c r="AC133" s="15"/>
      <c r="AD133" s="15"/>
      <c r="AE133" s="57"/>
      <c r="AF133" s="57"/>
      <c r="AG133" s="15"/>
      <c r="AH133" s="25"/>
      <c r="AI133" s="26"/>
      <c r="AJ133" s="26"/>
      <c r="AK133" s="27"/>
      <c r="AL133" s="28"/>
      <c r="AM133" s="29"/>
    </row>
    <row r="134" ht="12.75" customHeight="1">
      <c r="A134" s="26"/>
      <c r="B134" s="12"/>
      <c r="C134" s="240"/>
      <c r="D134" s="241"/>
      <c r="E134" s="5"/>
      <c r="F134" s="5"/>
      <c r="G134" s="5"/>
      <c r="H134" s="5"/>
      <c r="I134" s="5"/>
      <c r="J134" s="5"/>
      <c r="K134" s="8"/>
      <c r="L134" s="9"/>
      <c r="M134" s="10"/>
      <c r="N134" s="12"/>
      <c r="O134" s="242"/>
      <c r="P134" s="243"/>
      <c r="Q134" s="243"/>
      <c r="R134" s="14"/>
      <c r="S134" s="242"/>
      <c r="T134" s="15"/>
      <c r="U134" s="15"/>
      <c r="V134" s="15"/>
      <c r="W134" s="8"/>
      <c r="X134" s="8"/>
      <c r="Y134" s="56"/>
      <c r="Z134" s="56"/>
      <c r="AA134" s="15"/>
      <c r="AB134" s="15"/>
      <c r="AC134" s="15"/>
      <c r="AD134" s="15"/>
      <c r="AE134" s="57"/>
      <c r="AF134" s="57"/>
      <c r="AG134" s="15"/>
      <c r="AH134" s="25"/>
      <c r="AI134" s="26"/>
      <c r="AJ134" s="26"/>
      <c r="AK134" s="27"/>
      <c r="AL134" s="28"/>
      <c r="AM134" s="29"/>
    </row>
    <row r="135" ht="12.75" customHeight="1">
      <c r="A135" s="26"/>
      <c r="B135" s="12"/>
      <c r="C135" s="240"/>
      <c r="D135" s="241"/>
      <c r="E135" s="5"/>
      <c r="F135" s="5"/>
      <c r="G135" s="5"/>
      <c r="H135" s="5"/>
      <c r="I135" s="5"/>
      <c r="J135" s="5"/>
      <c r="K135" s="8"/>
      <c r="L135" s="9"/>
      <c r="M135" s="10"/>
      <c r="N135" s="12"/>
      <c r="O135" s="242"/>
      <c r="P135" s="243"/>
      <c r="Q135" s="243"/>
      <c r="R135" s="14"/>
      <c r="S135" s="242"/>
      <c r="T135" s="15"/>
      <c r="U135" s="15"/>
      <c r="V135" s="15"/>
      <c r="W135" s="8"/>
      <c r="X135" s="8"/>
      <c r="Y135" s="56"/>
      <c r="Z135" s="56"/>
      <c r="AA135" s="15"/>
      <c r="AB135" s="15"/>
      <c r="AC135" s="15"/>
      <c r="AD135" s="15"/>
      <c r="AE135" s="57"/>
      <c r="AF135" s="57"/>
      <c r="AG135" s="15"/>
      <c r="AH135" s="25"/>
      <c r="AI135" s="26"/>
      <c r="AJ135" s="26"/>
      <c r="AK135" s="27"/>
      <c r="AL135" s="28"/>
      <c r="AM135" s="29"/>
    </row>
    <row r="136" ht="12.75" customHeight="1">
      <c r="A136" s="26"/>
      <c r="B136" s="12"/>
      <c r="C136" s="240"/>
      <c r="D136" s="241"/>
      <c r="E136" s="5"/>
      <c r="F136" s="5"/>
      <c r="G136" s="5"/>
      <c r="H136" s="5"/>
      <c r="I136" s="5"/>
      <c r="J136" s="5"/>
      <c r="K136" s="8"/>
      <c r="L136" s="9"/>
      <c r="M136" s="10"/>
      <c r="N136" s="12"/>
      <c r="O136" s="242"/>
      <c r="P136" s="243"/>
      <c r="Q136" s="243"/>
      <c r="R136" s="14"/>
      <c r="S136" s="242"/>
      <c r="T136" s="15"/>
      <c r="U136" s="15"/>
      <c r="V136" s="15"/>
      <c r="W136" s="8"/>
      <c r="X136" s="8"/>
      <c r="Y136" s="56"/>
      <c r="Z136" s="56"/>
      <c r="AA136" s="15"/>
      <c r="AB136" s="15"/>
      <c r="AC136" s="15"/>
      <c r="AD136" s="15"/>
      <c r="AE136" s="57"/>
      <c r="AF136" s="57"/>
      <c r="AG136" s="15"/>
      <c r="AH136" s="25"/>
      <c r="AI136" s="26"/>
      <c r="AJ136" s="26"/>
      <c r="AK136" s="27"/>
      <c r="AL136" s="28"/>
      <c r="AM136" s="29"/>
    </row>
    <row r="137" ht="12.75" customHeight="1">
      <c r="A137" s="26"/>
      <c r="B137" s="12"/>
      <c r="C137" s="240"/>
      <c r="D137" s="241"/>
      <c r="E137" s="5"/>
      <c r="F137" s="5"/>
      <c r="G137" s="5"/>
      <c r="H137" s="5"/>
      <c r="I137" s="5"/>
      <c r="J137" s="5"/>
      <c r="K137" s="8"/>
      <c r="L137" s="9"/>
      <c r="M137" s="10"/>
      <c r="N137" s="12"/>
      <c r="O137" s="242"/>
      <c r="P137" s="243"/>
      <c r="Q137" s="243"/>
      <c r="R137" s="14"/>
      <c r="S137" s="242"/>
      <c r="T137" s="15"/>
      <c r="U137" s="15"/>
      <c r="V137" s="15"/>
      <c r="W137" s="8"/>
      <c r="X137" s="8"/>
      <c r="Y137" s="56"/>
      <c r="Z137" s="56"/>
      <c r="AA137" s="15"/>
      <c r="AB137" s="15"/>
      <c r="AC137" s="15"/>
      <c r="AD137" s="15"/>
      <c r="AE137" s="57"/>
      <c r="AF137" s="57"/>
      <c r="AG137" s="15"/>
      <c r="AH137" s="25"/>
      <c r="AI137" s="26"/>
      <c r="AJ137" s="26"/>
      <c r="AK137" s="27"/>
      <c r="AL137" s="28"/>
      <c r="AM137" s="29"/>
    </row>
    <row r="138" ht="12.75" customHeight="1">
      <c r="A138" s="26"/>
      <c r="B138" s="12"/>
      <c r="C138" s="240"/>
      <c r="D138" s="241"/>
      <c r="E138" s="5"/>
      <c r="F138" s="5"/>
      <c r="G138" s="5"/>
      <c r="H138" s="5"/>
      <c r="I138" s="5"/>
      <c r="J138" s="5"/>
      <c r="K138" s="8"/>
      <c r="L138" s="9"/>
      <c r="M138" s="10"/>
      <c r="N138" s="12"/>
      <c r="O138" s="242"/>
      <c r="P138" s="243"/>
      <c r="Q138" s="243"/>
      <c r="R138" s="14"/>
      <c r="S138" s="242"/>
      <c r="T138" s="15"/>
      <c r="U138" s="15"/>
      <c r="V138" s="15"/>
      <c r="W138" s="8"/>
      <c r="X138" s="8"/>
      <c r="Y138" s="56"/>
      <c r="Z138" s="56"/>
      <c r="AA138" s="15"/>
      <c r="AB138" s="15"/>
      <c r="AC138" s="15"/>
      <c r="AD138" s="15"/>
      <c r="AE138" s="57"/>
      <c r="AF138" s="57"/>
      <c r="AG138" s="15"/>
      <c r="AH138" s="25"/>
      <c r="AI138" s="26"/>
      <c r="AJ138" s="26"/>
      <c r="AK138" s="27"/>
      <c r="AL138" s="28"/>
      <c r="AM138" s="29"/>
    </row>
    <row r="139" ht="12.75" customHeight="1">
      <c r="A139" s="26"/>
      <c r="B139" s="12"/>
      <c r="C139" s="240"/>
      <c r="D139" s="241"/>
      <c r="E139" s="5"/>
      <c r="F139" s="5"/>
      <c r="G139" s="5"/>
      <c r="H139" s="5"/>
      <c r="I139" s="5"/>
      <c r="J139" s="5"/>
      <c r="K139" s="8"/>
      <c r="L139" s="9"/>
      <c r="M139" s="10"/>
      <c r="N139" s="12"/>
      <c r="O139" s="242"/>
      <c r="P139" s="243"/>
      <c r="Q139" s="243"/>
      <c r="R139" s="14"/>
      <c r="S139" s="242"/>
      <c r="T139" s="15"/>
      <c r="U139" s="15"/>
      <c r="V139" s="15"/>
      <c r="W139" s="8"/>
      <c r="X139" s="8"/>
      <c r="Y139" s="56"/>
      <c r="Z139" s="56"/>
      <c r="AA139" s="15"/>
      <c r="AB139" s="15"/>
      <c r="AC139" s="15"/>
      <c r="AD139" s="15"/>
      <c r="AE139" s="57"/>
      <c r="AF139" s="57"/>
      <c r="AG139" s="15"/>
      <c r="AH139" s="25"/>
      <c r="AI139" s="26"/>
      <c r="AJ139" s="26"/>
      <c r="AK139" s="27"/>
      <c r="AL139" s="28"/>
      <c r="AM139" s="29"/>
    </row>
    <row r="140" ht="12.75" customHeight="1">
      <c r="A140" s="26"/>
      <c r="B140" s="12"/>
      <c r="C140" s="240"/>
      <c r="D140" s="241"/>
      <c r="E140" s="5"/>
      <c r="F140" s="5"/>
      <c r="G140" s="5"/>
      <c r="H140" s="5"/>
      <c r="I140" s="5"/>
      <c r="J140" s="5"/>
      <c r="K140" s="8"/>
      <c r="L140" s="9"/>
      <c r="M140" s="10"/>
      <c r="N140" s="12"/>
      <c r="O140" s="242"/>
      <c r="P140" s="243"/>
      <c r="Q140" s="243"/>
      <c r="R140" s="14"/>
      <c r="S140" s="242"/>
      <c r="T140" s="15"/>
      <c r="U140" s="15"/>
      <c r="V140" s="15"/>
      <c r="W140" s="8"/>
      <c r="X140" s="8"/>
      <c r="Y140" s="56"/>
      <c r="Z140" s="56"/>
      <c r="AA140" s="15"/>
      <c r="AB140" s="15"/>
      <c r="AC140" s="15"/>
      <c r="AD140" s="15"/>
      <c r="AE140" s="57"/>
      <c r="AF140" s="57"/>
      <c r="AG140" s="15"/>
      <c r="AH140" s="25"/>
      <c r="AI140" s="26"/>
      <c r="AJ140" s="26"/>
      <c r="AK140" s="27"/>
      <c r="AL140" s="28"/>
      <c r="AM140" s="29"/>
    </row>
    <row r="141" ht="12.75" customHeight="1">
      <c r="A141" s="26"/>
      <c r="B141" s="12"/>
      <c r="C141" s="240"/>
      <c r="D141" s="241"/>
      <c r="E141" s="5"/>
      <c r="F141" s="5"/>
      <c r="G141" s="5"/>
      <c r="H141" s="5"/>
      <c r="I141" s="5"/>
      <c r="J141" s="5"/>
      <c r="K141" s="8"/>
      <c r="L141" s="9"/>
      <c r="M141" s="10"/>
      <c r="N141" s="12"/>
      <c r="O141" s="242"/>
      <c r="P141" s="243"/>
      <c r="Q141" s="243"/>
      <c r="R141" s="14"/>
      <c r="S141" s="242"/>
      <c r="T141" s="15"/>
      <c r="U141" s="15"/>
      <c r="V141" s="15"/>
      <c r="W141" s="8"/>
      <c r="X141" s="8"/>
      <c r="Y141" s="56"/>
      <c r="Z141" s="56"/>
      <c r="AA141" s="15"/>
      <c r="AB141" s="15"/>
      <c r="AC141" s="15"/>
      <c r="AD141" s="15"/>
      <c r="AE141" s="57"/>
      <c r="AF141" s="57"/>
      <c r="AG141" s="15"/>
      <c r="AH141" s="25"/>
      <c r="AI141" s="26"/>
      <c r="AJ141" s="26"/>
      <c r="AK141" s="27"/>
      <c r="AL141" s="28"/>
      <c r="AM141" s="29"/>
    </row>
    <row r="142" ht="12.75" customHeight="1">
      <c r="A142" s="26"/>
      <c r="B142" s="12"/>
      <c r="C142" s="240"/>
      <c r="D142" s="241"/>
      <c r="E142" s="5"/>
      <c r="F142" s="5"/>
      <c r="G142" s="5"/>
      <c r="H142" s="5"/>
      <c r="I142" s="5"/>
      <c r="J142" s="5"/>
      <c r="K142" s="8"/>
      <c r="L142" s="9"/>
      <c r="M142" s="10"/>
      <c r="N142" s="12"/>
      <c r="O142" s="242"/>
      <c r="P142" s="243"/>
      <c r="Q142" s="243"/>
      <c r="R142" s="14"/>
      <c r="S142" s="242"/>
      <c r="T142" s="15"/>
      <c r="U142" s="15"/>
      <c r="V142" s="15"/>
      <c r="W142" s="8"/>
      <c r="X142" s="8"/>
      <c r="Y142" s="56"/>
      <c r="Z142" s="56"/>
      <c r="AA142" s="15"/>
      <c r="AB142" s="15"/>
      <c r="AC142" s="15"/>
      <c r="AD142" s="15"/>
      <c r="AE142" s="57"/>
      <c r="AF142" s="57"/>
      <c r="AG142" s="15"/>
      <c r="AH142" s="25"/>
      <c r="AI142" s="26"/>
      <c r="AJ142" s="26"/>
      <c r="AK142" s="27"/>
      <c r="AL142" s="28"/>
      <c r="AM142" s="29"/>
    </row>
    <row r="143" ht="12.75" customHeight="1">
      <c r="A143" s="26"/>
      <c r="B143" s="12"/>
      <c r="C143" s="240"/>
      <c r="D143" s="241"/>
      <c r="E143" s="5"/>
      <c r="F143" s="5"/>
      <c r="G143" s="5"/>
      <c r="H143" s="5"/>
      <c r="I143" s="5"/>
      <c r="J143" s="5"/>
      <c r="K143" s="8"/>
      <c r="L143" s="9"/>
      <c r="M143" s="10"/>
      <c r="N143" s="12"/>
      <c r="O143" s="242"/>
      <c r="P143" s="243"/>
      <c r="Q143" s="243"/>
      <c r="R143" s="14"/>
      <c r="S143" s="242"/>
      <c r="T143" s="15"/>
      <c r="U143" s="15"/>
      <c r="V143" s="15"/>
      <c r="W143" s="8"/>
      <c r="X143" s="8"/>
      <c r="Y143" s="56"/>
      <c r="Z143" s="56"/>
      <c r="AA143" s="15"/>
      <c r="AB143" s="15"/>
      <c r="AC143" s="15"/>
      <c r="AD143" s="15"/>
      <c r="AE143" s="57"/>
      <c r="AF143" s="57"/>
      <c r="AG143" s="15"/>
      <c r="AH143" s="25"/>
      <c r="AI143" s="26"/>
      <c r="AJ143" s="26"/>
      <c r="AK143" s="27"/>
      <c r="AL143" s="28"/>
      <c r="AM143" s="29"/>
    </row>
    <row r="144" ht="12.75" customHeight="1">
      <c r="A144" s="26"/>
      <c r="B144" s="12"/>
      <c r="C144" s="240"/>
      <c r="D144" s="241"/>
      <c r="E144" s="5"/>
      <c r="F144" s="5"/>
      <c r="G144" s="5"/>
      <c r="H144" s="5"/>
      <c r="I144" s="5"/>
      <c r="J144" s="5"/>
      <c r="K144" s="8"/>
      <c r="L144" s="9"/>
      <c r="M144" s="10"/>
      <c r="N144" s="12"/>
      <c r="O144" s="242"/>
      <c r="P144" s="243"/>
      <c r="Q144" s="243"/>
      <c r="R144" s="14"/>
      <c r="S144" s="242"/>
      <c r="T144" s="15"/>
      <c r="U144" s="15"/>
      <c r="V144" s="15"/>
      <c r="W144" s="8"/>
      <c r="X144" s="8"/>
      <c r="Y144" s="56"/>
      <c r="Z144" s="56"/>
      <c r="AA144" s="15"/>
      <c r="AB144" s="15"/>
      <c r="AC144" s="15"/>
      <c r="AD144" s="15"/>
      <c r="AE144" s="57"/>
      <c r="AF144" s="57"/>
      <c r="AG144" s="15"/>
      <c r="AH144" s="25"/>
      <c r="AI144" s="26"/>
      <c r="AJ144" s="26"/>
      <c r="AK144" s="27"/>
      <c r="AL144" s="28"/>
      <c r="AM144" s="29"/>
    </row>
    <row r="145" ht="12.75" customHeight="1">
      <c r="A145" s="26"/>
      <c r="B145" s="12"/>
      <c r="C145" s="240"/>
      <c r="D145" s="241"/>
      <c r="E145" s="5"/>
      <c r="F145" s="5"/>
      <c r="G145" s="5"/>
      <c r="H145" s="5"/>
      <c r="I145" s="5"/>
      <c r="J145" s="5"/>
      <c r="K145" s="8"/>
      <c r="L145" s="9"/>
      <c r="M145" s="10"/>
      <c r="N145" s="12"/>
      <c r="O145" s="242"/>
      <c r="P145" s="243"/>
      <c r="Q145" s="243"/>
      <c r="R145" s="14"/>
      <c r="S145" s="242"/>
      <c r="T145" s="15"/>
      <c r="U145" s="15"/>
      <c r="V145" s="15"/>
      <c r="W145" s="8"/>
      <c r="X145" s="8"/>
      <c r="Y145" s="56"/>
      <c r="Z145" s="56"/>
      <c r="AA145" s="15"/>
      <c r="AB145" s="15"/>
      <c r="AC145" s="15"/>
      <c r="AD145" s="15"/>
      <c r="AE145" s="57"/>
      <c r="AF145" s="57"/>
      <c r="AG145" s="15"/>
      <c r="AH145" s="25"/>
      <c r="AI145" s="26"/>
      <c r="AJ145" s="26"/>
      <c r="AK145" s="27"/>
      <c r="AL145" s="28"/>
      <c r="AM145" s="29"/>
    </row>
    <row r="146" ht="12.75" customHeight="1">
      <c r="A146" s="26"/>
      <c r="B146" s="12"/>
      <c r="C146" s="240"/>
      <c r="D146" s="241"/>
      <c r="E146" s="5"/>
      <c r="F146" s="5"/>
      <c r="G146" s="5"/>
      <c r="H146" s="5"/>
      <c r="I146" s="5"/>
      <c r="J146" s="5"/>
      <c r="K146" s="8"/>
      <c r="L146" s="9"/>
      <c r="M146" s="10"/>
      <c r="N146" s="12"/>
      <c r="O146" s="242"/>
      <c r="P146" s="243"/>
      <c r="Q146" s="243"/>
      <c r="R146" s="14"/>
      <c r="S146" s="242"/>
      <c r="T146" s="15"/>
      <c r="U146" s="15"/>
      <c r="V146" s="15"/>
      <c r="W146" s="8"/>
      <c r="X146" s="8"/>
      <c r="Y146" s="56"/>
      <c r="Z146" s="56"/>
      <c r="AA146" s="15"/>
      <c r="AB146" s="15"/>
      <c r="AC146" s="15"/>
      <c r="AD146" s="15"/>
      <c r="AE146" s="57"/>
      <c r="AF146" s="57"/>
      <c r="AG146" s="15"/>
      <c r="AH146" s="25"/>
      <c r="AI146" s="26"/>
      <c r="AJ146" s="26"/>
      <c r="AK146" s="27"/>
      <c r="AL146" s="28"/>
      <c r="AM146" s="29"/>
    </row>
    <row r="147" ht="12.75" customHeight="1">
      <c r="A147" s="26"/>
      <c r="B147" s="12"/>
      <c r="C147" s="240"/>
      <c r="D147" s="241"/>
      <c r="E147" s="5"/>
      <c r="F147" s="5"/>
      <c r="G147" s="5"/>
      <c r="H147" s="5"/>
      <c r="I147" s="5"/>
      <c r="J147" s="5"/>
      <c r="K147" s="8"/>
      <c r="L147" s="9"/>
      <c r="M147" s="10"/>
      <c r="N147" s="12"/>
      <c r="O147" s="242"/>
      <c r="P147" s="243"/>
      <c r="Q147" s="243"/>
      <c r="R147" s="14"/>
      <c r="S147" s="242"/>
      <c r="T147" s="15"/>
      <c r="U147" s="15"/>
      <c r="V147" s="15"/>
      <c r="W147" s="8"/>
      <c r="X147" s="8"/>
      <c r="Y147" s="56"/>
      <c r="Z147" s="56"/>
      <c r="AA147" s="15"/>
      <c r="AB147" s="15"/>
      <c r="AC147" s="15"/>
      <c r="AD147" s="15"/>
      <c r="AE147" s="57"/>
      <c r="AF147" s="57"/>
      <c r="AG147" s="15"/>
      <c r="AH147" s="25"/>
      <c r="AI147" s="26"/>
      <c r="AJ147" s="26"/>
      <c r="AK147" s="27"/>
      <c r="AL147" s="28"/>
      <c r="AM147" s="29"/>
    </row>
    <row r="148" ht="12.75" customHeight="1">
      <c r="A148" s="26"/>
      <c r="B148" s="12"/>
      <c r="C148" s="240"/>
      <c r="D148" s="241"/>
      <c r="E148" s="5"/>
      <c r="F148" s="5"/>
      <c r="G148" s="5"/>
      <c r="H148" s="5"/>
      <c r="I148" s="5"/>
      <c r="J148" s="5"/>
      <c r="K148" s="8"/>
      <c r="L148" s="9"/>
      <c r="M148" s="10"/>
      <c r="N148" s="12"/>
      <c r="O148" s="242"/>
      <c r="P148" s="243"/>
      <c r="Q148" s="243"/>
      <c r="R148" s="14"/>
      <c r="S148" s="242"/>
      <c r="T148" s="15"/>
      <c r="U148" s="15"/>
      <c r="V148" s="15"/>
      <c r="W148" s="8"/>
      <c r="X148" s="8"/>
      <c r="Y148" s="56"/>
      <c r="Z148" s="56"/>
      <c r="AA148" s="15"/>
      <c r="AB148" s="15"/>
      <c r="AC148" s="15"/>
      <c r="AD148" s="15"/>
      <c r="AE148" s="57"/>
      <c r="AF148" s="57"/>
      <c r="AG148" s="15"/>
      <c r="AH148" s="25"/>
      <c r="AI148" s="26"/>
      <c r="AJ148" s="26"/>
      <c r="AK148" s="27"/>
      <c r="AL148" s="28"/>
      <c r="AM148" s="29"/>
    </row>
    <row r="149" ht="12.75" customHeight="1">
      <c r="A149" s="26"/>
      <c r="B149" s="12"/>
      <c r="C149" s="240"/>
      <c r="D149" s="241"/>
      <c r="E149" s="5"/>
      <c r="F149" s="5"/>
      <c r="G149" s="5"/>
      <c r="H149" s="5"/>
      <c r="I149" s="5"/>
      <c r="J149" s="5"/>
      <c r="K149" s="8"/>
      <c r="L149" s="9"/>
      <c r="M149" s="10"/>
      <c r="N149" s="12"/>
      <c r="O149" s="242"/>
      <c r="P149" s="243"/>
      <c r="Q149" s="243"/>
      <c r="R149" s="14"/>
      <c r="S149" s="242"/>
      <c r="T149" s="15"/>
      <c r="U149" s="15"/>
      <c r="V149" s="15"/>
      <c r="W149" s="8"/>
      <c r="X149" s="8"/>
      <c r="Y149" s="56"/>
      <c r="Z149" s="56"/>
      <c r="AA149" s="15"/>
      <c r="AB149" s="15"/>
      <c r="AC149" s="15"/>
      <c r="AD149" s="15"/>
      <c r="AE149" s="57"/>
      <c r="AF149" s="57"/>
      <c r="AG149" s="15"/>
      <c r="AH149" s="25"/>
      <c r="AI149" s="26"/>
      <c r="AJ149" s="26"/>
      <c r="AK149" s="27"/>
      <c r="AL149" s="28"/>
      <c r="AM149" s="29"/>
    </row>
    <row r="150" ht="12.75" customHeight="1">
      <c r="A150" s="26"/>
      <c r="B150" s="12"/>
      <c r="C150" s="240"/>
      <c r="D150" s="241"/>
      <c r="E150" s="5"/>
      <c r="F150" s="5"/>
      <c r="G150" s="5"/>
      <c r="H150" s="5"/>
      <c r="I150" s="5"/>
      <c r="J150" s="5"/>
      <c r="K150" s="8"/>
      <c r="L150" s="9"/>
      <c r="M150" s="10"/>
      <c r="N150" s="12"/>
      <c r="O150" s="242"/>
      <c r="P150" s="243"/>
      <c r="Q150" s="243"/>
      <c r="R150" s="14"/>
      <c r="S150" s="242"/>
      <c r="T150" s="15"/>
      <c r="U150" s="15"/>
      <c r="V150" s="15"/>
      <c r="W150" s="8"/>
      <c r="X150" s="8"/>
      <c r="Y150" s="56"/>
      <c r="Z150" s="56"/>
      <c r="AA150" s="15"/>
      <c r="AB150" s="15"/>
      <c r="AC150" s="15"/>
      <c r="AD150" s="15"/>
      <c r="AE150" s="57"/>
      <c r="AF150" s="57"/>
      <c r="AG150" s="15"/>
      <c r="AH150" s="25"/>
      <c r="AI150" s="26"/>
      <c r="AJ150" s="26"/>
      <c r="AK150" s="27"/>
      <c r="AL150" s="28"/>
      <c r="AM150" s="29"/>
    </row>
    <row r="151" ht="12.75" customHeight="1">
      <c r="A151" s="26"/>
      <c r="B151" s="12"/>
      <c r="C151" s="240"/>
      <c r="D151" s="241"/>
      <c r="E151" s="5"/>
      <c r="F151" s="5"/>
      <c r="G151" s="5"/>
      <c r="H151" s="5"/>
      <c r="I151" s="5"/>
      <c r="J151" s="5"/>
      <c r="K151" s="8"/>
      <c r="L151" s="9"/>
      <c r="M151" s="10"/>
      <c r="N151" s="12"/>
      <c r="O151" s="242"/>
      <c r="P151" s="243"/>
      <c r="Q151" s="243"/>
      <c r="R151" s="14"/>
      <c r="S151" s="242"/>
      <c r="T151" s="15"/>
      <c r="U151" s="15"/>
      <c r="V151" s="15"/>
      <c r="W151" s="8"/>
      <c r="X151" s="8"/>
      <c r="Y151" s="56"/>
      <c r="Z151" s="56"/>
      <c r="AA151" s="15"/>
      <c r="AB151" s="15"/>
      <c r="AC151" s="15"/>
      <c r="AD151" s="15"/>
      <c r="AE151" s="57"/>
      <c r="AF151" s="57"/>
      <c r="AG151" s="15"/>
      <c r="AH151" s="25"/>
      <c r="AI151" s="26"/>
      <c r="AJ151" s="26"/>
      <c r="AK151" s="27"/>
      <c r="AL151" s="28"/>
      <c r="AM151" s="29"/>
    </row>
    <row r="152" ht="12.75" customHeight="1">
      <c r="A152" s="26"/>
      <c r="B152" s="12"/>
      <c r="C152" s="240"/>
      <c r="D152" s="241"/>
      <c r="E152" s="5"/>
      <c r="F152" s="5"/>
      <c r="G152" s="5"/>
      <c r="H152" s="5"/>
      <c r="I152" s="5"/>
      <c r="J152" s="5"/>
      <c r="K152" s="8"/>
      <c r="L152" s="9"/>
      <c r="M152" s="10"/>
      <c r="N152" s="12"/>
      <c r="O152" s="242"/>
      <c r="P152" s="243"/>
      <c r="Q152" s="243"/>
      <c r="R152" s="14"/>
      <c r="S152" s="242"/>
      <c r="T152" s="15"/>
      <c r="U152" s="15"/>
      <c r="V152" s="15"/>
      <c r="W152" s="8"/>
      <c r="X152" s="8"/>
      <c r="Y152" s="56"/>
      <c r="Z152" s="56"/>
      <c r="AA152" s="15"/>
      <c r="AB152" s="15"/>
      <c r="AC152" s="15"/>
      <c r="AD152" s="15"/>
      <c r="AE152" s="57"/>
      <c r="AF152" s="57"/>
      <c r="AG152" s="15"/>
      <c r="AH152" s="25"/>
      <c r="AI152" s="26"/>
      <c r="AJ152" s="26"/>
      <c r="AK152" s="27"/>
      <c r="AL152" s="28"/>
      <c r="AM152" s="29"/>
    </row>
    <row r="153" ht="12.75" customHeight="1">
      <c r="A153" s="26"/>
      <c r="B153" s="12"/>
      <c r="C153" s="240"/>
      <c r="D153" s="241"/>
      <c r="E153" s="5"/>
      <c r="F153" s="5"/>
      <c r="G153" s="5"/>
      <c r="H153" s="5"/>
      <c r="I153" s="5"/>
      <c r="J153" s="5"/>
      <c r="K153" s="8"/>
      <c r="L153" s="9"/>
      <c r="M153" s="10"/>
      <c r="N153" s="12"/>
      <c r="O153" s="242"/>
      <c r="P153" s="243"/>
      <c r="Q153" s="243"/>
      <c r="R153" s="14"/>
      <c r="S153" s="242"/>
      <c r="T153" s="15"/>
      <c r="U153" s="15"/>
      <c r="V153" s="15"/>
      <c r="W153" s="8"/>
      <c r="X153" s="8"/>
      <c r="Y153" s="56"/>
      <c r="Z153" s="56"/>
      <c r="AA153" s="15"/>
      <c r="AB153" s="15"/>
      <c r="AC153" s="15"/>
      <c r="AD153" s="15"/>
      <c r="AE153" s="57"/>
      <c r="AF153" s="57"/>
      <c r="AG153" s="15"/>
      <c r="AH153" s="25"/>
      <c r="AI153" s="26"/>
      <c r="AJ153" s="26"/>
      <c r="AK153" s="27"/>
      <c r="AL153" s="28"/>
      <c r="AM153" s="29"/>
    </row>
    <row r="154" ht="12.75" customHeight="1">
      <c r="A154" s="26"/>
      <c r="B154" s="12"/>
      <c r="C154" s="240"/>
      <c r="D154" s="241"/>
      <c r="E154" s="5"/>
      <c r="F154" s="5"/>
      <c r="G154" s="5"/>
      <c r="H154" s="5"/>
      <c r="I154" s="5"/>
      <c r="J154" s="5"/>
      <c r="K154" s="8"/>
      <c r="L154" s="9"/>
      <c r="M154" s="10"/>
      <c r="N154" s="12"/>
      <c r="O154" s="242"/>
      <c r="P154" s="243"/>
      <c r="Q154" s="243"/>
      <c r="R154" s="14"/>
      <c r="S154" s="242"/>
      <c r="T154" s="15"/>
      <c r="U154" s="15"/>
      <c r="V154" s="15"/>
      <c r="W154" s="8"/>
      <c r="X154" s="8"/>
      <c r="Y154" s="56"/>
      <c r="Z154" s="56"/>
      <c r="AA154" s="15"/>
      <c r="AB154" s="15"/>
      <c r="AC154" s="15"/>
      <c r="AD154" s="15"/>
      <c r="AE154" s="57"/>
      <c r="AF154" s="57"/>
      <c r="AG154" s="15"/>
      <c r="AH154" s="25"/>
      <c r="AI154" s="26"/>
      <c r="AJ154" s="26"/>
      <c r="AK154" s="27"/>
      <c r="AL154" s="28"/>
      <c r="AM154" s="29"/>
    </row>
    <row r="155" ht="12.75" customHeight="1">
      <c r="A155" s="26"/>
      <c r="B155" s="12"/>
      <c r="C155" s="240"/>
      <c r="D155" s="241"/>
      <c r="E155" s="5"/>
      <c r="F155" s="5"/>
      <c r="G155" s="5"/>
      <c r="H155" s="5"/>
      <c r="I155" s="5"/>
      <c r="J155" s="5"/>
      <c r="K155" s="8"/>
      <c r="L155" s="9"/>
      <c r="M155" s="10"/>
      <c r="N155" s="12"/>
      <c r="O155" s="242"/>
      <c r="P155" s="243"/>
      <c r="Q155" s="243"/>
      <c r="R155" s="14"/>
      <c r="S155" s="242"/>
      <c r="T155" s="15"/>
      <c r="U155" s="15"/>
      <c r="V155" s="15"/>
      <c r="W155" s="8"/>
      <c r="X155" s="8"/>
      <c r="Y155" s="56"/>
      <c r="Z155" s="56"/>
      <c r="AA155" s="15"/>
      <c r="AB155" s="15"/>
      <c r="AC155" s="15"/>
      <c r="AD155" s="15"/>
      <c r="AE155" s="57"/>
      <c r="AF155" s="57"/>
      <c r="AG155" s="15"/>
      <c r="AH155" s="25"/>
      <c r="AI155" s="26"/>
      <c r="AJ155" s="26"/>
      <c r="AK155" s="27"/>
      <c r="AL155" s="28"/>
      <c r="AM155" s="29"/>
    </row>
    <row r="156" ht="12.75" customHeight="1">
      <c r="A156" s="26"/>
      <c r="B156" s="12"/>
      <c r="C156" s="240"/>
      <c r="D156" s="241"/>
      <c r="E156" s="5"/>
      <c r="F156" s="5"/>
      <c r="G156" s="5"/>
      <c r="H156" s="5"/>
      <c r="I156" s="5"/>
      <c r="J156" s="5"/>
      <c r="K156" s="8"/>
      <c r="L156" s="9"/>
      <c r="M156" s="10"/>
      <c r="N156" s="12"/>
      <c r="O156" s="242"/>
      <c r="P156" s="243"/>
      <c r="Q156" s="243"/>
      <c r="R156" s="14"/>
      <c r="S156" s="242"/>
      <c r="T156" s="15"/>
      <c r="U156" s="15"/>
      <c r="V156" s="15"/>
      <c r="W156" s="8"/>
      <c r="X156" s="8"/>
      <c r="Y156" s="56"/>
      <c r="Z156" s="56"/>
      <c r="AA156" s="15"/>
      <c r="AB156" s="15"/>
      <c r="AC156" s="15"/>
      <c r="AD156" s="15"/>
      <c r="AE156" s="57"/>
      <c r="AF156" s="57"/>
      <c r="AG156" s="15"/>
      <c r="AH156" s="25"/>
      <c r="AI156" s="26"/>
      <c r="AJ156" s="26"/>
      <c r="AK156" s="27"/>
      <c r="AL156" s="28"/>
      <c r="AM156" s="29"/>
    </row>
    <row r="157" ht="12.75" customHeight="1">
      <c r="A157" s="26"/>
      <c r="B157" s="12"/>
      <c r="C157" s="240"/>
      <c r="D157" s="241"/>
      <c r="E157" s="5"/>
      <c r="F157" s="5"/>
      <c r="G157" s="5"/>
      <c r="H157" s="5"/>
      <c r="I157" s="5"/>
      <c r="J157" s="5"/>
      <c r="K157" s="8"/>
      <c r="L157" s="9"/>
      <c r="M157" s="10"/>
      <c r="N157" s="12"/>
      <c r="O157" s="242"/>
      <c r="P157" s="243"/>
      <c r="Q157" s="243"/>
      <c r="R157" s="14"/>
      <c r="S157" s="242"/>
      <c r="T157" s="15"/>
      <c r="U157" s="15"/>
      <c r="V157" s="15"/>
      <c r="W157" s="8"/>
      <c r="X157" s="8"/>
      <c r="Y157" s="56"/>
      <c r="Z157" s="56"/>
      <c r="AA157" s="15"/>
      <c r="AB157" s="15"/>
      <c r="AC157" s="15"/>
      <c r="AD157" s="15"/>
      <c r="AE157" s="57"/>
      <c r="AF157" s="57"/>
      <c r="AG157" s="15"/>
      <c r="AH157" s="25"/>
      <c r="AI157" s="26"/>
      <c r="AJ157" s="26"/>
      <c r="AK157" s="27"/>
      <c r="AL157" s="28"/>
      <c r="AM157" s="29"/>
    </row>
    <row r="158" ht="12.75" customHeight="1">
      <c r="A158" s="26"/>
      <c r="B158" s="12"/>
      <c r="C158" s="240"/>
      <c r="D158" s="241"/>
      <c r="E158" s="5"/>
      <c r="F158" s="5"/>
      <c r="G158" s="5"/>
      <c r="H158" s="5"/>
      <c r="I158" s="5"/>
      <c r="J158" s="5"/>
      <c r="K158" s="8"/>
      <c r="L158" s="9"/>
      <c r="M158" s="10"/>
      <c r="N158" s="12"/>
      <c r="O158" s="242"/>
      <c r="P158" s="243"/>
      <c r="Q158" s="243"/>
      <c r="R158" s="14"/>
      <c r="S158" s="242"/>
      <c r="T158" s="15"/>
      <c r="U158" s="15"/>
      <c r="V158" s="15"/>
      <c r="W158" s="8"/>
      <c r="X158" s="8"/>
      <c r="Y158" s="56"/>
      <c r="Z158" s="56"/>
      <c r="AA158" s="15"/>
      <c r="AB158" s="15"/>
      <c r="AC158" s="15"/>
      <c r="AD158" s="15"/>
      <c r="AE158" s="57"/>
      <c r="AF158" s="57"/>
      <c r="AG158" s="15"/>
      <c r="AH158" s="25"/>
      <c r="AI158" s="26"/>
      <c r="AJ158" s="26"/>
      <c r="AK158" s="27"/>
      <c r="AL158" s="28"/>
      <c r="AM158" s="29"/>
    </row>
    <row r="159" ht="12.75" customHeight="1">
      <c r="A159" s="26"/>
      <c r="B159" s="12"/>
      <c r="C159" s="240"/>
      <c r="D159" s="241"/>
      <c r="E159" s="5"/>
      <c r="F159" s="5"/>
      <c r="G159" s="5"/>
      <c r="H159" s="5"/>
      <c r="I159" s="5"/>
      <c r="J159" s="5"/>
      <c r="K159" s="8"/>
      <c r="L159" s="9"/>
      <c r="M159" s="10"/>
      <c r="N159" s="12"/>
      <c r="O159" s="242"/>
      <c r="P159" s="243"/>
      <c r="Q159" s="243"/>
      <c r="R159" s="14"/>
      <c r="S159" s="242"/>
      <c r="T159" s="15"/>
      <c r="U159" s="15"/>
      <c r="V159" s="15"/>
      <c r="W159" s="8"/>
      <c r="X159" s="8"/>
      <c r="Y159" s="56"/>
      <c r="Z159" s="56"/>
      <c r="AA159" s="15"/>
      <c r="AB159" s="15"/>
      <c r="AC159" s="15"/>
      <c r="AD159" s="15"/>
      <c r="AE159" s="57"/>
      <c r="AF159" s="57"/>
      <c r="AG159" s="15"/>
      <c r="AH159" s="25"/>
      <c r="AI159" s="26"/>
      <c r="AJ159" s="26"/>
      <c r="AK159" s="27"/>
      <c r="AL159" s="28"/>
      <c r="AM159" s="29"/>
    </row>
    <row r="160" ht="12.75" customHeight="1">
      <c r="A160" s="26"/>
      <c r="B160" s="12"/>
      <c r="C160" s="240"/>
      <c r="D160" s="241"/>
      <c r="E160" s="5"/>
      <c r="F160" s="5"/>
      <c r="G160" s="5"/>
      <c r="H160" s="5"/>
      <c r="I160" s="5"/>
      <c r="J160" s="5"/>
      <c r="K160" s="8"/>
      <c r="L160" s="9"/>
      <c r="M160" s="10"/>
      <c r="N160" s="12"/>
      <c r="O160" s="242"/>
      <c r="P160" s="243"/>
      <c r="Q160" s="243"/>
      <c r="R160" s="14"/>
      <c r="S160" s="242"/>
      <c r="T160" s="15"/>
      <c r="U160" s="15"/>
      <c r="V160" s="15"/>
      <c r="W160" s="8"/>
      <c r="X160" s="8"/>
      <c r="Y160" s="56"/>
      <c r="Z160" s="56"/>
      <c r="AA160" s="15"/>
      <c r="AB160" s="15"/>
      <c r="AC160" s="15"/>
      <c r="AD160" s="15"/>
      <c r="AE160" s="57"/>
      <c r="AF160" s="57"/>
      <c r="AG160" s="15"/>
      <c r="AH160" s="25"/>
      <c r="AI160" s="26"/>
      <c r="AJ160" s="26"/>
      <c r="AK160" s="27"/>
      <c r="AL160" s="28"/>
      <c r="AM160" s="29"/>
    </row>
    <row r="161" ht="12.75" customHeight="1">
      <c r="A161" s="26"/>
      <c r="B161" s="12"/>
      <c r="C161" s="240"/>
      <c r="D161" s="241"/>
      <c r="E161" s="5"/>
      <c r="F161" s="5"/>
      <c r="G161" s="5"/>
      <c r="H161" s="5"/>
      <c r="I161" s="5"/>
      <c r="J161" s="5"/>
      <c r="K161" s="8"/>
      <c r="L161" s="9"/>
      <c r="M161" s="10"/>
      <c r="N161" s="12"/>
      <c r="O161" s="242"/>
      <c r="P161" s="243"/>
      <c r="Q161" s="243"/>
      <c r="R161" s="14"/>
      <c r="S161" s="242"/>
      <c r="T161" s="15"/>
      <c r="U161" s="15"/>
      <c r="V161" s="15"/>
      <c r="W161" s="8"/>
      <c r="X161" s="8"/>
      <c r="Y161" s="56"/>
      <c r="Z161" s="56"/>
      <c r="AA161" s="15"/>
      <c r="AB161" s="15"/>
      <c r="AC161" s="15"/>
      <c r="AD161" s="15"/>
      <c r="AE161" s="57"/>
      <c r="AF161" s="57"/>
      <c r="AG161" s="15"/>
      <c r="AH161" s="25"/>
      <c r="AI161" s="26"/>
      <c r="AJ161" s="26"/>
      <c r="AK161" s="27"/>
      <c r="AL161" s="28"/>
      <c r="AM161" s="29"/>
    </row>
    <row r="162" ht="12.75" customHeight="1">
      <c r="A162" s="26"/>
      <c r="B162" s="12"/>
      <c r="C162" s="240"/>
      <c r="D162" s="241"/>
      <c r="E162" s="5"/>
      <c r="F162" s="5"/>
      <c r="G162" s="5"/>
      <c r="H162" s="5"/>
      <c r="I162" s="5"/>
      <c r="J162" s="5"/>
      <c r="K162" s="8"/>
      <c r="L162" s="9"/>
      <c r="M162" s="10"/>
      <c r="N162" s="12"/>
      <c r="O162" s="242"/>
      <c r="P162" s="243"/>
      <c r="Q162" s="243"/>
      <c r="R162" s="14"/>
      <c r="S162" s="242"/>
      <c r="T162" s="15"/>
      <c r="U162" s="15"/>
      <c r="V162" s="15"/>
      <c r="W162" s="8"/>
      <c r="X162" s="8"/>
      <c r="Y162" s="56"/>
      <c r="Z162" s="56"/>
      <c r="AA162" s="15"/>
      <c r="AB162" s="15"/>
      <c r="AC162" s="15"/>
      <c r="AD162" s="15"/>
      <c r="AE162" s="57"/>
      <c r="AF162" s="57"/>
      <c r="AG162" s="15"/>
      <c r="AH162" s="25"/>
      <c r="AI162" s="26"/>
      <c r="AJ162" s="26"/>
      <c r="AK162" s="27"/>
      <c r="AL162" s="28"/>
      <c r="AM162" s="29"/>
    </row>
    <row r="163" ht="12.75" customHeight="1">
      <c r="A163" s="26"/>
      <c r="B163" s="12"/>
      <c r="C163" s="240"/>
      <c r="D163" s="241"/>
      <c r="E163" s="5"/>
      <c r="F163" s="5"/>
      <c r="G163" s="5"/>
      <c r="H163" s="5"/>
      <c r="I163" s="5"/>
      <c r="J163" s="5"/>
      <c r="K163" s="8"/>
      <c r="L163" s="9"/>
      <c r="M163" s="10"/>
      <c r="N163" s="12"/>
      <c r="O163" s="242"/>
      <c r="P163" s="243"/>
      <c r="Q163" s="243"/>
      <c r="R163" s="14"/>
      <c r="S163" s="242"/>
      <c r="T163" s="15"/>
      <c r="U163" s="15"/>
      <c r="V163" s="15"/>
      <c r="W163" s="8"/>
      <c r="X163" s="8"/>
      <c r="Y163" s="56"/>
      <c r="Z163" s="56"/>
      <c r="AA163" s="15"/>
      <c r="AB163" s="15"/>
      <c r="AC163" s="15"/>
      <c r="AD163" s="15"/>
      <c r="AE163" s="57"/>
      <c r="AF163" s="57"/>
      <c r="AG163" s="15"/>
      <c r="AH163" s="25"/>
      <c r="AI163" s="26"/>
      <c r="AJ163" s="26"/>
      <c r="AK163" s="27"/>
      <c r="AL163" s="28"/>
      <c r="AM163" s="29"/>
    </row>
    <row r="164" ht="12.75" customHeight="1">
      <c r="A164" s="26"/>
      <c r="B164" s="12"/>
      <c r="C164" s="240"/>
      <c r="D164" s="241"/>
      <c r="E164" s="5"/>
      <c r="F164" s="5"/>
      <c r="G164" s="5"/>
      <c r="H164" s="5"/>
      <c r="I164" s="5"/>
      <c r="J164" s="5"/>
      <c r="K164" s="8"/>
      <c r="L164" s="9"/>
      <c r="M164" s="10"/>
      <c r="N164" s="12"/>
      <c r="O164" s="242"/>
      <c r="P164" s="243"/>
      <c r="Q164" s="243"/>
      <c r="R164" s="14"/>
      <c r="S164" s="242"/>
      <c r="T164" s="15"/>
      <c r="U164" s="15"/>
      <c r="V164" s="15"/>
      <c r="W164" s="8"/>
      <c r="X164" s="8"/>
      <c r="Y164" s="56"/>
      <c r="Z164" s="56"/>
      <c r="AA164" s="15"/>
      <c r="AB164" s="15"/>
      <c r="AC164" s="15"/>
      <c r="AD164" s="15"/>
      <c r="AE164" s="57"/>
      <c r="AF164" s="57"/>
      <c r="AG164" s="15"/>
      <c r="AH164" s="25"/>
      <c r="AI164" s="26"/>
      <c r="AJ164" s="26"/>
      <c r="AK164" s="27"/>
      <c r="AL164" s="28"/>
      <c r="AM164" s="29"/>
    </row>
    <row r="165" ht="12.75" customHeight="1">
      <c r="A165" s="26"/>
      <c r="B165" s="12"/>
      <c r="C165" s="240"/>
      <c r="D165" s="241"/>
      <c r="E165" s="5"/>
      <c r="F165" s="5"/>
      <c r="G165" s="5"/>
      <c r="H165" s="5"/>
      <c r="I165" s="5"/>
      <c r="J165" s="5"/>
      <c r="K165" s="8"/>
      <c r="L165" s="9"/>
      <c r="M165" s="10"/>
      <c r="N165" s="12"/>
      <c r="O165" s="242"/>
      <c r="P165" s="243"/>
      <c r="Q165" s="243"/>
      <c r="R165" s="14"/>
      <c r="S165" s="242"/>
      <c r="T165" s="15"/>
      <c r="U165" s="15"/>
      <c r="V165" s="15"/>
      <c r="W165" s="8"/>
      <c r="X165" s="8"/>
      <c r="Y165" s="56"/>
      <c r="Z165" s="56"/>
      <c r="AA165" s="15"/>
      <c r="AB165" s="15"/>
      <c r="AC165" s="15"/>
      <c r="AD165" s="15"/>
      <c r="AE165" s="57"/>
      <c r="AF165" s="57"/>
      <c r="AG165" s="15"/>
      <c r="AH165" s="25"/>
      <c r="AI165" s="26"/>
      <c r="AJ165" s="26"/>
      <c r="AK165" s="27"/>
      <c r="AL165" s="28"/>
      <c r="AM165" s="29"/>
    </row>
    <row r="166" ht="12.75" customHeight="1">
      <c r="A166" s="26"/>
      <c r="B166" s="12"/>
      <c r="C166" s="240"/>
      <c r="D166" s="241"/>
      <c r="E166" s="5"/>
      <c r="F166" s="5"/>
      <c r="G166" s="5"/>
      <c r="H166" s="5"/>
      <c r="I166" s="5"/>
      <c r="J166" s="5"/>
      <c r="K166" s="8"/>
      <c r="L166" s="9"/>
      <c r="M166" s="10"/>
      <c r="N166" s="12"/>
      <c r="O166" s="242"/>
      <c r="P166" s="243"/>
      <c r="Q166" s="243"/>
      <c r="R166" s="14"/>
      <c r="S166" s="242"/>
      <c r="T166" s="15"/>
      <c r="U166" s="15"/>
      <c r="V166" s="15"/>
      <c r="W166" s="8"/>
      <c r="X166" s="8"/>
      <c r="Y166" s="56"/>
      <c r="Z166" s="56"/>
      <c r="AA166" s="15"/>
      <c r="AB166" s="15"/>
      <c r="AC166" s="15"/>
      <c r="AD166" s="15"/>
      <c r="AE166" s="57"/>
      <c r="AF166" s="57"/>
      <c r="AG166" s="15"/>
      <c r="AH166" s="25"/>
      <c r="AI166" s="26"/>
      <c r="AJ166" s="26"/>
      <c r="AK166" s="27"/>
      <c r="AL166" s="28"/>
      <c r="AM166" s="29"/>
    </row>
    <row r="167" ht="12.75" customHeight="1">
      <c r="A167" s="26"/>
      <c r="B167" s="12"/>
      <c r="C167" s="240"/>
      <c r="D167" s="241"/>
      <c r="E167" s="5"/>
      <c r="F167" s="5"/>
      <c r="G167" s="5"/>
      <c r="H167" s="5"/>
      <c r="I167" s="5"/>
      <c r="J167" s="5"/>
      <c r="K167" s="8"/>
      <c r="L167" s="9"/>
      <c r="M167" s="10"/>
      <c r="N167" s="12"/>
      <c r="O167" s="242"/>
      <c r="P167" s="243"/>
      <c r="Q167" s="243"/>
      <c r="R167" s="14"/>
      <c r="S167" s="242"/>
      <c r="T167" s="15"/>
      <c r="U167" s="15"/>
      <c r="V167" s="15"/>
      <c r="W167" s="8"/>
      <c r="X167" s="8"/>
      <c r="Y167" s="56"/>
      <c r="Z167" s="56"/>
      <c r="AA167" s="15"/>
      <c r="AB167" s="15"/>
      <c r="AC167" s="15"/>
      <c r="AD167" s="15"/>
      <c r="AE167" s="57"/>
      <c r="AF167" s="57"/>
      <c r="AG167" s="15"/>
      <c r="AH167" s="25"/>
      <c r="AI167" s="26"/>
      <c r="AJ167" s="26"/>
      <c r="AK167" s="27"/>
      <c r="AL167" s="28"/>
      <c r="AM167" s="29"/>
    </row>
    <row r="168" ht="12.75" customHeight="1">
      <c r="A168" s="26"/>
      <c r="B168" s="12"/>
      <c r="C168" s="240"/>
      <c r="D168" s="241"/>
      <c r="E168" s="5"/>
      <c r="F168" s="5"/>
      <c r="G168" s="5"/>
      <c r="H168" s="5"/>
      <c r="I168" s="5"/>
      <c r="J168" s="5"/>
      <c r="K168" s="8"/>
      <c r="L168" s="9"/>
      <c r="M168" s="10"/>
      <c r="N168" s="12"/>
      <c r="O168" s="242"/>
      <c r="P168" s="243"/>
      <c r="Q168" s="243"/>
      <c r="R168" s="14"/>
      <c r="S168" s="242"/>
      <c r="T168" s="15"/>
      <c r="U168" s="15"/>
      <c r="V168" s="15"/>
      <c r="W168" s="8"/>
      <c r="X168" s="8"/>
      <c r="Y168" s="56"/>
      <c r="Z168" s="56"/>
      <c r="AA168" s="15"/>
      <c r="AB168" s="15"/>
      <c r="AC168" s="15"/>
      <c r="AD168" s="15"/>
      <c r="AE168" s="57"/>
      <c r="AF168" s="57"/>
      <c r="AG168" s="15"/>
      <c r="AH168" s="25"/>
      <c r="AI168" s="26"/>
      <c r="AJ168" s="26"/>
      <c r="AK168" s="27"/>
      <c r="AL168" s="28"/>
      <c r="AM168" s="29"/>
    </row>
    <row r="169" ht="12.75" customHeight="1">
      <c r="A169" s="26"/>
      <c r="B169" s="12"/>
      <c r="C169" s="240"/>
      <c r="D169" s="241"/>
      <c r="E169" s="5"/>
      <c r="F169" s="5"/>
      <c r="G169" s="5"/>
      <c r="H169" s="5"/>
      <c r="I169" s="5"/>
      <c r="J169" s="5"/>
      <c r="K169" s="8"/>
      <c r="L169" s="9"/>
      <c r="M169" s="10"/>
      <c r="N169" s="12"/>
      <c r="O169" s="242"/>
      <c r="P169" s="243"/>
      <c r="Q169" s="243"/>
      <c r="R169" s="14"/>
      <c r="S169" s="242"/>
      <c r="T169" s="15"/>
      <c r="U169" s="15"/>
      <c r="V169" s="15"/>
      <c r="W169" s="8"/>
      <c r="X169" s="8"/>
      <c r="Y169" s="56"/>
      <c r="Z169" s="56"/>
      <c r="AA169" s="15"/>
      <c r="AB169" s="15"/>
      <c r="AC169" s="15"/>
      <c r="AD169" s="15"/>
      <c r="AE169" s="57"/>
      <c r="AF169" s="57"/>
      <c r="AG169" s="15"/>
      <c r="AH169" s="25"/>
      <c r="AI169" s="26"/>
      <c r="AJ169" s="26"/>
      <c r="AK169" s="27"/>
      <c r="AL169" s="28"/>
      <c r="AM169" s="29"/>
    </row>
    <row r="170" ht="12.75" customHeight="1">
      <c r="A170" s="26"/>
      <c r="B170" s="12"/>
      <c r="C170" s="240"/>
      <c r="D170" s="241"/>
      <c r="E170" s="5"/>
      <c r="F170" s="5"/>
      <c r="G170" s="5"/>
      <c r="H170" s="5"/>
      <c r="I170" s="5"/>
      <c r="J170" s="5"/>
      <c r="K170" s="8"/>
      <c r="L170" s="9"/>
      <c r="M170" s="10"/>
      <c r="N170" s="12"/>
      <c r="O170" s="242"/>
      <c r="P170" s="243"/>
      <c r="Q170" s="243"/>
      <c r="R170" s="14"/>
      <c r="S170" s="242"/>
      <c r="T170" s="15"/>
      <c r="U170" s="15"/>
      <c r="V170" s="15"/>
      <c r="W170" s="8"/>
      <c r="X170" s="8"/>
      <c r="Y170" s="56"/>
      <c r="Z170" s="56"/>
      <c r="AA170" s="15"/>
      <c r="AB170" s="15"/>
      <c r="AC170" s="15"/>
      <c r="AD170" s="15"/>
      <c r="AE170" s="57"/>
      <c r="AF170" s="57"/>
      <c r="AG170" s="15"/>
      <c r="AH170" s="25"/>
      <c r="AI170" s="26"/>
      <c r="AJ170" s="26"/>
      <c r="AK170" s="27"/>
      <c r="AL170" s="28"/>
      <c r="AM170" s="29"/>
    </row>
    <row r="171" ht="12.75" customHeight="1">
      <c r="A171" s="26"/>
      <c r="B171" s="12"/>
      <c r="C171" s="240"/>
      <c r="D171" s="241"/>
      <c r="E171" s="5"/>
      <c r="F171" s="5"/>
      <c r="G171" s="5"/>
      <c r="H171" s="5"/>
      <c r="I171" s="5"/>
      <c r="J171" s="5"/>
      <c r="K171" s="8"/>
      <c r="L171" s="9"/>
      <c r="M171" s="10"/>
      <c r="N171" s="12"/>
      <c r="O171" s="242"/>
      <c r="P171" s="243"/>
      <c r="Q171" s="243"/>
      <c r="R171" s="14"/>
      <c r="S171" s="242"/>
      <c r="T171" s="15"/>
      <c r="U171" s="15"/>
      <c r="V171" s="15"/>
      <c r="W171" s="8"/>
      <c r="X171" s="8"/>
      <c r="Y171" s="56"/>
      <c r="Z171" s="56"/>
      <c r="AA171" s="15"/>
      <c r="AB171" s="15"/>
      <c r="AC171" s="15"/>
      <c r="AD171" s="15"/>
      <c r="AE171" s="57"/>
      <c r="AF171" s="57"/>
      <c r="AG171" s="15"/>
      <c r="AH171" s="25"/>
      <c r="AI171" s="26"/>
      <c r="AJ171" s="26"/>
      <c r="AK171" s="27"/>
      <c r="AL171" s="28"/>
      <c r="AM171" s="29"/>
    </row>
    <row r="172" ht="12.75" customHeight="1">
      <c r="A172" s="26"/>
      <c r="B172" s="12"/>
      <c r="C172" s="240"/>
      <c r="D172" s="241"/>
      <c r="E172" s="5"/>
      <c r="F172" s="5"/>
      <c r="G172" s="5"/>
      <c r="H172" s="5"/>
      <c r="I172" s="5"/>
      <c r="J172" s="5"/>
      <c r="K172" s="8"/>
      <c r="L172" s="9"/>
      <c r="M172" s="10"/>
      <c r="N172" s="12"/>
      <c r="O172" s="242"/>
      <c r="P172" s="243"/>
      <c r="Q172" s="243"/>
      <c r="R172" s="14"/>
      <c r="S172" s="242"/>
      <c r="T172" s="15"/>
      <c r="U172" s="15"/>
      <c r="V172" s="15"/>
      <c r="W172" s="8"/>
      <c r="X172" s="8"/>
      <c r="Y172" s="56"/>
      <c r="Z172" s="56"/>
      <c r="AA172" s="15"/>
      <c r="AB172" s="15"/>
      <c r="AC172" s="15"/>
      <c r="AD172" s="15"/>
      <c r="AE172" s="57"/>
      <c r="AF172" s="57"/>
      <c r="AG172" s="15"/>
      <c r="AH172" s="25"/>
      <c r="AI172" s="26"/>
      <c r="AJ172" s="26"/>
      <c r="AK172" s="27"/>
      <c r="AL172" s="28"/>
      <c r="AM172" s="29"/>
    </row>
    <row r="173" ht="12.75" customHeight="1">
      <c r="A173" s="26"/>
      <c r="B173" s="12"/>
      <c r="C173" s="240"/>
      <c r="D173" s="241"/>
      <c r="E173" s="5"/>
      <c r="F173" s="5"/>
      <c r="G173" s="5"/>
      <c r="H173" s="5"/>
      <c r="I173" s="5"/>
      <c r="J173" s="5"/>
      <c r="K173" s="8"/>
      <c r="L173" s="9"/>
      <c r="M173" s="10"/>
      <c r="N173" s="12"/>
      <c r="O173" s="242"/>
      <c r="P173" s="243"/>
      <c r="Q173" s="243"/>
      <c r="R173" s="14"/>
      <c r="S173" s="242"/>
      <c r="T173" s="15"/>
      <c r="U173" s="15"/>
      <c r="V173" s="15"/>
      <c r="W173" s="8"/>
      <c r="X173" s="8"/>
      <c r="Y173" s="56"/>
      <c r="Z173" s="56"/>
      <c r="AA173" s="15"/>
      <c r="AB173" s="15"/>
      <c r="AC173" s="15"/>
      <c r="AD173" s="15"/>
      <c r="AE173" s="57"/>
      <c r="AF173" s="57"/>
      <c r="AG173" s="15"/>
      <c r="AH173" s="25"/>
      <c r="AI173" s="26"/>
      <c r="AJ173" s="26"/>
      <c r="AK173" s="27"/>
      <c r="AL173" s="28"/>
      <c r="AM173" s="29"/>
    </row>
    <row r="174" ht="12.75" customHeight="1">
      <c r="A174" s="26"/>
      <c r="B174" s="12"/>
      <c r="C174" s="240"/>
      <c r="D174" s="241"/>
      <c r="E174" s="5"/>
      <c r="F174" s="5"/>
      <c r="G174" s="5"/>
      <c r="H174" s="5"/>
      <c r="I174" s="5"/>
      <c r="J174" s="5"/>
      <c r="K174" s="8"/>
      <c r="L174" s="9"/>
      <c r="M174" s="10"/>
      <c r="N174" s="12"/>
      <c r="O174" s="242"/>
      <c r="P174" s="243"/>
      <c r="Q174" s="243"/>
      <c r="R174" s="14"/>
      <c r="S174" s="242"/>
      <c r="T174" s="15"/>
      <c r="U174" s="15"/>
      <c r="V174" s="15"/>
      <c r="W174" s="8"/>
      <c r="X174" s="8"/>
      <c r="Y174" s="56"/>
      <c r="Z174" s="56"/>
      <c r="AA174" s="15"/>
      <c r="AB174" s="15"/>
      <c r="AC174" s="15"/>
      <c r="AD174" s="15"/>
      <c r="AE174" s="57"/>
      <c r="AF174" s="57"/>
      <c r="AG174" s="15"/>
      <c r="AH174" s="25"/>
      <c r="AI174" s="26"/>
      <c r="AJ174" s="26"/>
      <c r="AK174" s="27"/>
      <c r="AL174" s="28"/>
      <c r="AM174" s="29"/>
    </row>
    <row r="175" ht="12.75" customHeight="1">
      <c r="A175" s="26"/>
      <c r="B175" s="12"/>
      <c r="C175" s="240"/>
      <c r="D175" s="241"/>
      <c r="E175" s="5"/>
      <c r="F175" s="5"/>
      <c r="G175" s="5"/>
      <c r="H175" s="5"/>
      <c r="I175" s="5"/>
      <c r="J175" s="5"/>
      <c r="K175" s="8"/>
      <c r="L175" s="9"/>
      <c r="M175" s="10"/>
      <c r="N175" s="12"/>
      <c r="O175" s="242"/>
      <c r="P175" s="243"/>
      <c r="Q175" s="243"/>
      <c r="R175" s="14"/>
      <c r="S175" s="242"/>
      <c r="T175" s="15"/>
      <c r="U175" s="15"/>
      <c r="V175" s="15"/>
      <c r="W175" s="8"/>
      <c r="X175" s="8"/>
      <c r="Y175" s="56"/>
      <c r="Z175" s="56"/>
      <c r="AA175" s="15"/>
      <c r="AB175" s="15"/>
      <c r="AC175" s="15"/>
      <c r="AD175" s="15"/>
      <c r="AE175" s="57"/>
      <c r="AF175" s="57"/>
      <c r="AG175" s="15"/>
      <c r="AH175" s="25"/>
      <c r="AI175" s="26"/>
      <c r="AJ175" s="26"/>
      <c r="AK175" s="27"/>
      <c r="AL175" s="28"/>
      <c r="AM175" s="29"/>
    </row>
    <row r="176" ht="12.75" customHeight="1">
      <c r="A176" s="26"/>
      <c r="B176" s="12"/>
      <c r="C176" s="240"/>
      <c r="D176" s="241"/>
      <c r="E176" s="5"/>
      <c r="F176" s="5"/>
      <c r="G176" s="5"/>
      <c r="H176" s="5"/>
      <c r="I176" s="5"/>
      <c r="J176" s="5"/>
      <c r="K176" s="8"/>
      <c r="L176" s="9"/>
      <c r="M176" s="10"/>
      <c r="N176" s="12"/>
      <c r="O176" s="242"/>
      <c r="P176" s="243"/>
      <c r="Q176" s="243"/>
      <c r="R176" s="14"/>
      <c r="S176" s="242"/>
      <c r="T176" s="15"/>
      <c r="U176" s="15"/>
      <c r="V176" s="15"/>
      <c r="W176" s="8"/>
      <c r="X176" s="8"/>
      <c r="Y176" s="56"/>
      <c r="Z176" s="56"/>
      <c r="AA176" s="15"/>
      <c r="AB176" s="15"/>
      <c r="AC176" s="15"/>
      <c r="AD176" s="15"/>
      <c r="AE176" s="57"/>
      <c r="AF176" s="57"/>
      <c r="AG176" s="15"/>
      <c r="AH176" s="25"/>
      <c r="AI176" s="26"/>
      <c r="AJ176" s="26"/>
      <c r="AK176" s="27"/>
      <c r="AL176" s="28"/>
      <c r="AM176" s="29"/>
    </row>
    <row r="177" ht="12.75" customHeight="1">
      <c r="A177" s="26"/>
      <c r="B177" s="12"/>
      <c r="C177" s="240"/>
      <c r="D177" s="241"/>
      <c r="E177" s="5"/>
      <c r="F177" s="5"/>
      <c r="G177" s="5"/>
      <c r="H177" s="5"/>
      <c r="I177" s="5"/>
      <c r="J177" s="5"/>
      <c r="K177" s="8"/>
      <c r="L177" s="9"/>
      <c r="M177" s="10"/>
      <c r="N177" s="12"/>
      <c r="O177" s="242"/>
      <c r="P177" s="243"/>
      <c r="Q177" s="243"/>
      <c r="R177" s="14"/>
      <c r="S177" s="242"/>
      <c r="T177" s="15"/>
      <c r="U177" s="15"/>
      <c r="V177" s="15"/>
      <c r="W177" s="8"/>
      <c r="X177" s="8"/>
      <c r="Y177" s="56"/>
      <c r="Z177" s="56"/>
      <c r="AA177" s="15"/>
      <c r="AB177" s="15"/>
      <c r="AC177" s="15"/>
      <c r="AD177" s="15"/>
      <c r="AE177" s="57"/>
      <c r="AF177" s="57"/>
      <c r="AG177" s="15"/>
      <c r="AH177" s="25"/>
      <c r="AI177" s="26"/>
      <c r="AJ177" s="26"/>
      <c r="AK177" s="27"/>
      <c r="AL177" s="28"/>
      <c r="AM177" s="29"/>
    </row>
    <row r="178" ht="12.75" customHeight="1">
      <c r="A178" s="26"/>
      <c r="B178" s="12"/>
      <c r="C178" s="240"/>
      <c r="D178" s="241"/>
      <c r="E178" s="5"/>
      <c r="F178" s="5"/>
      <c r="G178" s="5"/>
      <c r="H178" s="5"/>
      <c r="I178" s="5"/>
      <c r="J178" s="5"/>
      <c r="K178" s="8"/>
      <c r="L178" s="9"/>
      <c r="M178" s="10"/>
      <c r="N178" s="12"/>
      <c r="O178" s="242"/>
      <c r="P178" s="243"/>
      <c r="Q178" s="243"/>
      <c r="R178" s="14"/>
      <c r="S178" s="242"/>
      <c r="T178" s="15"/>
      <c r="U178" s="15"/>
      <c r="V178" s="15"/>
      <c r="W178" s="8"/>
      <c r="X178" s="8"/>
      <c r="Y178" s="56"/>
      <c r="Z178" s="56"/>
      <c r="AA178" s="15"/>
      <c r="AB178" s="15"/>
      <c r="AC178" s="15"/>
      <c r="AD178" s="15"/>
      <c r="AE178" s="57"/>
      <c r="AF178" s="57"/>
      <c r="AG178" s="15"/>
      <c r="AH178" s="25"/>
      <c r="AI178" s="26"/>
      <c r="AJ178" s="26"/>
      <c r="AK178" s="27"/>
      <c r="AL178" s="28"/>
      <c r="AM178" s="29"/>
    </row>
    <row r="179" ht="12.75" customHeight="1">
      <c r="A179" s="26"/>
      <c r="B179" s="12"/>
      <c r="C179" s="240"/>
      <c r="D179" s="241"/>
      <c r="E179" s="5"/>
      <c r="F179" s="5"/>
      <c r="G179" s="5"/>
      <c r="H179" s="5"/>
      <c r="I179" s="5"/>
      <c r="J179" s="5"/>
      <c r="K179" s="8"/>
      <c r="L179" s="9"/>
      <c r="M179" s="10"/>
      <c r="N179" s="12"/>
      <c r="O179" s="242"/>
      <c r="P179" s="243"/>
      <c r="Q179" s="243"/>
      <c r="R179" s="14"/>
      <c r="S179" s="242"/>
      <c r="T179" s="15"/>
      <c r="U179" s="15"/>
      <c r="V179" s="15"/>
      <c r="W179" s="8"/>
      <c r="X179" s="8"/>
      <c r="Y179" s="56"/>
      <c r="Z179" s="56"/>
      <c r="AA179" s="15"/>
      <c r="AB179" s="15"/>
      <c r="AC179" s="15"/>
      <c r="AD179" s="15"/>
      <c r="AE179" s="57"/>
      <c r="AF179" s="57"/>
      <c r="AG179" s="15"/>
      <c r="AH179" s="25"/>
      <c r="AI179" s="26"/>
      <c r="AJ179" s="26"/>
      <c r="AK179" s="27"/>
      <c r="AL179" s="28"/>
      <c r="AM179" s="29"/>
    </row>
    <row r="180" ht="12.75" customHeight="1">
      <c r="A180" s="26"/>
      <c r="B180" s="12"/>
      <c r="C180" s="240"/>
      <c r="D180" s="241"/>
      <c r="E180" s="5"/>
      <c r="F180" s="5"/>
      <c r="G180" s="5"/>
      <c r="H180" s="5"/>
      <c r="I180" s="5"/>
      <c r="J180" s="5"/>
      <c r="K180" s="8"/>
      <c r="L180" s="9"/>
      <c r="M180" s="10"/>
      <c r="N180" s="12"/>
      <c r="O180" s="242"/>
      <c r="P180" s="243"/>
      <c r="Q180" s="243"/>
      <c r="R180" s="14"/>
      <c r="S180" s="242"/>
      <c r="T180" s="15"/>
      <c r="U180" s="15"/>
      <c r="V180" s="15"/>
      <c r="W180" s="8"/>
      <c r="X180" s="8"/>
      <c r="Y180" s="56"/>
      <c r="Z180" s="56"/>
      <c r="AA180" s="15"/>
      <c r="AB180" s="15"/>
      <c r="AC180" s="15"/>
      <c r="AD180" s="15"/>
      <c r="AE180" s="57"/>
      <c r="AF180" s="57"/>
      <c r="AG180" s="15"/>
      <c r="AH180" s="25"/>
      <c r="AI180" s="26"/>
      <c r="AJ180" s="26"/>
      <c r="AK180" s="27"/>
      <c r="AL180" s="28"/>
      <c r="AM180" s="29"/>
    </row>
    <row r="181" ht="12.75" customHeight="1">
      <c r="A181" s="26"/>
      <c r="B181" s="12"/>
      <c r="C181" s="240"/>
      <c r="D181" s="241"/>
      <c r="E181" s="5"/>
      <c r="F181" s="5"/>
      <c r="G181" s="5"/>
      <c r="H181" s="5"/>
      <c r="I181" s="5"/>
      <c r="J181" s="5"/>
      <c r="K181" s="8"/>
      <c r="L181" s="9"/>
      <c r="M181" s="10"/>
      <c r="N181" s="12"/>
      <c r="O181" s="242"/>
      <c r="P181" s="243"/>
      <c r="Q181" s="243"/>
      <c r="R181" s="14"/>
      <c r="S181" s="242"/>
      <c r="T181" s="15"/>
      <c r="U181" s="15"/>
      <c r="V181" s="15"/>
      <c r="W181" s="8"/>
      <c r="X181" s="8"/>
      <c r="Y181" s="56"/>
      <c r="Z181" s="56"/>
      <c r="AA181" s="15"/>
      <c r="AB181" s="15"/>
      <c r="AC181" s="15"/>
      <c r="AD181" s="15"/>
      <c r="AE181" s="57"/>
      <c r="AF181" s="57"/>
      <c r="AG181" s="15"/>
      <c r="AH181" s="25"/>
      <c r="AI181" s="26"/>
      <c r="AJ181" s="26"/>
      <c r="AK181" s="27"/>
      <c r="AL181" s="28"/>
      <c r="AM181" s="29"/>
    </row>
    <row r="182" ht="12.75" customHeight="1">
      <c r="A182" s="26"/>
      <c r="B182" s="12"/>
      <c r="C182" s="240"/>
      <c r="D182" s="241"/>
      <c r="E182" s="5"/>
      <c r="F182" s="5"/>
      <c r="G182" s="5"/>
      <c r="H182" s="5"/>
      <c r="I182" s="5"/>
      <c r="J182" s="5"/>
      <c r="K182" s="8"/>
      <c r="L182" s="9"/>
      <c r="M182" s="10"/>
      <c r="N182" s="12"/>
      <c r="O182" s="242"/>
      <c r="P182" s="243"/>
      <c r="Q182" s="243"/>
      <c r="R182" s="14"/>
      <c r="S182" s="242"/>
      <c r="T182" s="15"/>
      <c r="U182" s="15"/>
      <c r="V182" s="15"/>
      <c r="W182" s="8"/>
      <c r="X182" s="8"/>
      <c r="Y182" s="56"/>
      <c r="Z182" s="56"/>
      <c r="AA182" s="15"/>
      <c r="AB182" s="15"/>
      <c r="AC182" s="15"/>
      <c r="AD182" s="15"/>
      <c r="AE182" s="57"/>
      <c r="AF182" s="57"/>
      <c r="AG182" s="15"/>
      <c r="AH182" s="25"/>
      <c r="AI182" s="26"/>
      <c r="AJ182" s="26"/>
      <c r="AK182" s="27"/>
      <c r="AL182" s="28"/>
      <c r="AM182" s="29"/>
    </row>
    <row r="183" ht="12.75" customHeight="1">
      <c r="A183" s="26"/>
      <c r="B183" s="12"/>
      <c r="C183" s="240"/>
      <c r="D183" s="241"/>
      <c r="E183" s="5"/>
      <c r="F183" s="5"/>
      <c r="G183" s="5"/>
      <c r="H183" s="5"/>
      <c r="I183" s="5"/>
      <c r="J183" s="5"/>
      <c r="K183" s="8"/>
      <c r="L183" s="9"/>
      <c r="M183" s="10"/>
      <c r="N183" s="12"/>
      <c r="O183" s="242"/>
      <c r="P183" s="243"/>
      <c r="Q183" s="243"/>
      <c r="R183" s="14"/>
      <c r="S183" s="242"/>
      <c r="T183" s="15"/>
      <c r="U183" s="15"/>
      <c r="V183" s="15"/>
      <c r="W183" s="8"/>
      <c r="X183" s="8"/>
      <c r="Y183" s="56"/>
      <c r="Z183" s="56"/>
      <c r="AA183" s="15"/>
      <c r="AB183" s="15"/>
      <c r="AC183" s="15"/>
      <c r="AD183" s="15"/>
      <c r="AE183" s="57"/>
      <c r="AF183" s="57"/>
      <c r="AG183" s="15"/>
      <c r="AH183" s="25"/>
      <c r="AI183" s="26"/>
      <c r="AJ183" s="26"/>
      <c r="AK183" s="27"/>
      <c r="AL183" s="28"/>
      <c r="AM183" s="29"/>
    </row>
    <row r="184" ht="12.75" customHeight="1">
      <c r="A184" s="26"/>
      <c r="B184" s="12"/>
      <c r="C184" s="240"/>
      <c r="D184" s="241"/>
      <c r="E184" s="5"/>
      <c r="F184" s="5"/>
      <c r="G184" s="5"/>
      <c r="H184" s="5"/>
      <c r="I184" s="5"/>
      <c r="J184" s="5"/>
      <c r="K184" s="8"/>
      <c r="L184" s="9"/>
      <c r="M184" s="10"/>
      <c r="N184" s="12"/>
      <c r="O184" s="242"/>
      <c r="P184" s="243"/>
      <c r="Q184" s="243"/>
      <c r="R184" s="14"/>
      <c r="S184" s="242"/>
      <c r="T184" s="15"/>
      <c r="U184" s="15"/>
      <c r="V184" s="15"/>
      <c r="W184" s="8"/>
      <c r="X184" s="8"/>
      <c r="Y184" s="56"/>
      <c r="Z184" s="56"/>
      <c r="AA184" s="15"/>
      <c r="AB184" s="15"/>
      <c r="AC184" s="15"/>
      <c r="AD184" s="15"/>
      <c r="AE184" s="57"/>
      <c r="AF184" s="57"/>
      <c r="AG184" s="15"/>
      <c r="AH184" s="25"/>
      <c r="AI184" s="26"/>
      <c r="AJ184" s="26"/>
      <c r="AK184" s="27"/>
      <c r="AL184" s="28"/>
      <c r="AM184" s="29"/>
    </row>
    <row r="185" ht="12.75" customHeight="1">
      <c r="A185" s="26"/>
      <c r="B185" s="12"/>
      <c r="C185" s="240"/>
      <c r="D185" s="241"/>
      <c r="E185" s="5"/>
      <c r="F185" s="5"/>
      <c r="G185" s="5"/>
      <c r="H185" s="5"/>
      <c r="I185" s="5"/>
      <c r="J185" s="5"/>
      <c r="K185" s="8"/>
      <c r="L185" s="9"/>
      <c r="M185" s="10"/>
      <c r="N185" s="12"/>
      <c r="O185" s="242"/>
      <c r="P185" s="243"/>
      <c r="Q185" s="243"/>
      <c r="R185" s="14"/>
      <c r="S185" s="242"/>
      <c r="T185" s="15"/>
      <c r="U185" s="15"/>
      <c r="V185" s="15"/>
      <c r="W185" s="8"/>
      <c r="X185" s="8"/>
      <c r="Y185" s="56"/>
      <c r="Z185" s="56"/>
      <c r="AA185" s="15"/>
      <c r="AB185" s="15"/>
      <c r="AC185" s="15"/>
      <c r="AD185" s="15"/>
      <c r="AE185" s="57"/>
      <c r="AF185" s="57"/>
      <c r="AG185" s="15"/>
      <c r="AH185" s="25"/>
      <c r="AI185" s="26"/>
      <c r="AJ185" s="26"/>
      <c r="AK185" s="27"/>
      <c r="AL185" s="28"/>
      <c r="AM185" s="29"/>
    </row>
    <row r="186" ht="12.75" customHeight="1">
      <c r="A186" s="26"/>
      <c r="B186" s="12"/>
      <c r="C186" s="240"/>
      <c r="D186" s="241"/>
      <c r="E186" s="5"/>
      <c r="F186" s="5"/>
      <c r="G186" s="5"/>
      <c r="H186" s="5"/>
      <c r="I186" s="5"/>
      <c r="J186" s="5"/>
      <c r="K186" s="8"/>
      <c r="L186" s="9"/>
      <c r="M186" s="10"/>
      <c r="N186" s="12"/>
      <c r="O186" s="242"/>
      <c r="P186" s="243"/>
      <c r="Q186" s="243"/>
      <c r="R186" s="14"/>
      <c r="S186" s="242"/>
      <c r="T186" s="15"/>
      <c r="U186" s="15"/>
      <c r="V186" s="15"/>
      <c r="W186" s="8"/>
      <c r="X186" s="8"/>
      <c r="Y186" s="56"/>
      <c r="Z186" s="56"/>
      <c r="AA186" s="15"/>
      <c r="AB186" s="15"/>
      <c r="AC186" s="15"/>
      <c r="AD186" s="15"/>
      <c r="AE186" s="57"/>
      <c r="AF186" s="57"/>
      <c r="AG186" s="15"/>
      <c r="AH186" s="25"/>
      <c r="AI186" s="26"/>
      <c r="AJ186" s="26"/>
      <c r="AK186" s="27"/>
      <c r="AL186" s="28"/>
      <c r="AM186" s="29"/>
    </row>
    <row r="187" ht="12.75" customHeight="1">
      <c r="A187" s="26"/>
      <c r="B187" s="12"/>
      <c r="C187" s="240"/>
      <c r="D187" s="241"/>
      <c r="E187" s="5"/>
      <c r="F187" s="5"/>
      <c r="G187" s="5"/>
      <c r="H187" s="5"/>
      <c r="I187" s="5"/>
      <c r="J187" s="5"/>
      <c r="K187" s="8"/>
      <c r="L187" s="9"/>
      <c r="M187" s="10"/>
      <c r="N187" s="12"/>
      <c r="O187" s="242"/>
      <c r="P187" s="243"/>
      <c r="Q187" s="243"/>
      <c r="R187" s="14"/>
      <c r="S187" s="242"/>
      <c r="T187" s="15"/>
      <c r="U187" s="15"/>
      <c r="V187" s="15"/>
      <c r="W187" s="8"/>
      <c r="X187" s="8"/>
      <c r="Y187" s="56"/>
      <c r="Z187" s="56"/>
      <c r="AA187" s="15"/>
      <c r="AB187" s="15"/>
      <c r="AC187" s="15"/>
      <c r="AD187" s="15"/>
      <c r="AE187" s="57"/>
      <c r="AF187" s="57"/>
      <c r="AG187" s="15"/>
      <c r="AH187" s="25"/>
      <c r="AI187" s="26"/>
      <c r="AJ187" s="26"/>
      <c r="AK187" s="27"/>
      <c r="AL187" s="28"/>
      <c r="AM187" s="29"/>
    </row>
    <row r="188" ht="12.75" customHeight="1">
      <c r="A188" s="26"/>
      <c r="B188" s="12"/>
      <c r="C188" s="240"/>
      <c r="D188" s="241"/>
      <c r="E188" s="5"/>
      <c r="F188" s="5"/>
      <c r="G188" s="5"/>
      <c r="H188" s="5"/>
      <c r="I188" s="5"/>
      <c r="J188" s="5"/>
      <c r="K188" s="8"/>
      <c r="L188" s="9"/>
      <c r="M188" s="10"/>
      <c r="N188" s="12"/>
      <c r="O188" s="242"/>
      <c r="P188" s="243"/>
      <c r="Q188" s="243"/>
      <c r="R188" s="14"/>
      <c r="S188" s="242"/>
      <c r="T188" s="15"/>
      <c r="U188" s="15"/>
      <c r="V188" s="15"/>
      <c r="W188" s="8"/>
      <c r="X188" s="8"/>
      <c r="Y188" s="56"/>
      <c r="Z188" s="56"/>
      <c r="AA188" s="15"/>
      <c r="AB188" s="15"/>
      <c r="AC188" s="15"/>
      <c r="AD188" s="15"/>
      <c r="AE188" s="57"/>
      <c r="AF188" s="57"/>
      <c r="AG188" s="15"/>
      <c r="AH188" s="25"/>
      <c r="AI188" s="26"/>
      <c r="AJ188" s="26"/>
      <c r="AK188" s="27"/>
      <c r="AL188" s="28"/>
      <c r="AM188" s="29"/>
    </row>
    <row r="189" ht="12.75" customHeight="1">
      <c r="A189" s="26"/>
      <c r="B189" s="12"/>
      <c r="C189" s="240"/>
      <c r="D189" s="241"/>
      <c r="E189" s="5"/>
      <c r="F189" s="5"/>
      <c r="G189" s="5"/>
      <c r="H189" s="5"/>
      <c r="I189" s="5"/>
      <c r="J189" s="5"/>
      <c r="K189" s="8"/>
      <c r="L189" s="9"/>
      <c r="M189" s="10"/>
      <c r="N189" s="12"/>
      <c r="O189" s="242"/>
      <c r="P189" s="243"/>
      <c r="Q189" s="243"/>
      <c r="R189" s="14"/>
      <c r="S189" s="242"/>
      <c r="T189" s="15"/>
      <c r="U189" s="15"/>
      <c r="V189" s="15"/>
      <c r="W189" s="8"/>
      <c r="X189" s="8"/>
      <c r="Y189" s="56"/>
      <c r="Z189" s="56"/>
      <c r="AA189" s="15"/>
      <c r="AB189" s="15"/>
      <c r="AC189" s="15"/>
      <c r="AD189" s="15"/>
      <c r="AE189" s="57"/>
      <c r="AF189" s="57"/>
      <c r="AG189" s="15"/>
      <c r="AH189" s="25"/>
      <c r="AI189" s="26"/>
      <c r="AJ189" s="26"/>
      <c r="AK189" s="27"/>
      <c r="AL189" s="28"/>
      <c r="AM189" s="29"/>
    </row>
    <row r="190" ht="12.75" customHeight="1">
      <c r="A190" s="26"/>
      <c r="B190" s="12"/>
      <c r="C190" s="240"/>
      <c r="D190" s="241"/>
      <c r="E190" s="5"/>
      <c r="F190" s="5"/>
      <c r="G190" s="5"/>
      <c r="H190" s="5"/>
      <c r="I190" s="5"/>
      <c r="J190" s="5"/>
      <c r="K190" s="8"/>
      <c r="L190" s="9"/>
      <c r="M190" s="10"/>
      <c r="N190" s="12"/>
      <c r="O190" s="242"/>
      <c r="P190" s="243"/>
      <c r="Q190" s="243"/>
      <c r="R190" s="14"/>
      <c r="S190" s="242"/>
      <c r="T190" s="15"/>
      <c r="U190" s="15"/>
      <c r="V190" s="15"/>
      <c r="W190" s="8"/>
      <c r="X190" s="8"/>
      <c r="Y190" s="56"/>
      <c r="Z190" s="56"/>
      <c r="AA190" s="15"/>
      <c r="AB190" s="15"/>
      <c r="AC190" s="15"/>
      <c r="AD190" s="15"/>
      <c r="AE190" s="57"/>
      <c r="AF190" s="57"/>
      <c r="AG190" s="15"/>
      <c r="AH190" s="25"/>
      <c r="AI190" s="26"/>
      <c r="AJ190" s="26"/>
      <c r="AK190" s="27"/>
      <c r="AL190" s="28"/>
      <c r="AM190" s="29"/>
    </row>
    <row r="191" ht="12.75" customHeight="1">
      <c r="A191" s="26"/>
      <c r="B191" s="12"/>
      <c r="C191" s="240"/>
      <c r="D191" s="241"/>
      <c r="E191" s="5"/>
      <c r="F191" s="5"/>
      <c r="G191" s="5"/>
      <c r="H191" s="5"/>
      <c r="I191" s="5"/>
      <c r="J191" s="5"/>
      <c r="K191" s="8"/>
      <c r="L191" s="9"/>
      <c r="M191" s="10"/>
      <c r="N191" s="12"/>
      <c r="O191" s="242"/>
      <c r="P191" s="243"/>
      <c r="Q191" s="243"/>
      <c r="R191" s="14"/>
      <c r="S191" s="242"/>
      <c r="T191" s="15"/>
      <c r="U191" s="15"/>
      <c r="V191" s="15"/>
      <c r="W191" s="8"/>
      <c r="X191" s="8"/>
      <c r="Y191" s="56"/>
      <c r="Z191" s="56"/>
      <c r="AA191" s="15"/>
      <c r="AB191" s="15"/>
      <c r="AC191" s="15"/>
      <c r="AD191" s="15"/>
      <c r="AE191" s="57"/>
      <c r="AF191" s="57"/>
      <c r="AG191" s="15"/>
      <c r="AH191" s="25"/>
      <c r="AI191" s="26"/>
      <c r="AJ191" s="26"/>
      <c r="AK191" s="27"/>
      <c r="AL191" s="28"/>
      <c r="AM191" s="29"/>
    </row>
    <row r="192" ht="12.75" customHeight="1">
      <c r="A192" s="26"/>
      <c r="B192" s="12"/>
      <c r="C192" s="240"/>
      <c r="D192" s="241"/>
      <c r="E192" s="5"/>
      <c r="F192" s="5"/>
      <c r="G192" s="5"/>
      <c r="H192" s="5"/>
      <c r="I192" s="5"/>
      <c r="J192" s="5"/>
      <c r="K192" s="8"/>
      <c r="L192" s="9"/>
      <c r="M192" s="10"/>
      <c r="N192" s="12"/>
      <c r="O192" s="242"/>
      <c r="P192" s="243"/>
      <c r="Q192" s="243"/>
      <c r="R192" s="14"/>
      <c r="S192" s="242"/>
      <c r="T192" s="15"/>
      <c r="U192" s="15"/>
      <c r="V192" s="15"/>
      <c r="W192" s="8"/>
      <c r="X192" s="8"/>
      <c r="Y192" s="56"/>
      <c r="Z192" s="56"/>
      <c r="AA192" s="15"/>
      <c r="AB192" s="15"/>
      <c r="AC192" s="15"/>
      <c r="AD192" s="15"/>
      <c r="AE192" s="57"/>
      <c r="AF192" s="57"/>
      <c r="AG192" s="15"/>
      <c r="AH192" s="25"/>
      <c r="AI192" s="26"/>
      <c r="AJ192" s="26"/>
      <c r="AK192" s="27"/>
      <c r="AL192" s="28"/>
      <c r="AM192" s="29"/>
    </row>
    <row r="193" ht="12.75" customHeight="1">
      <c r="A193" s="26"/>
      <c r="B193" s="12"/>
      <c r="C193" s="240"/>
      <c r="D193" s="241"/>
      <c r="E193" s="5"/>
      <c r="F193" s="5"/>
      <c r="G193" s="5"/>
      <c r="H193" s="5"/>
      <c r="I193" s="5"/>
      <c r="J193" s="5"/>
      <c r="K193" s="8"/>
      <c r="L193" s="9"/>
      <c r="M193" s="10"/>
      <c r="N193" s="12"/>
      <c r="O193" s="242"/>
      <c r="P193" s="243"/>
      <c r="Q193" s="243"/>
      <c r="R193" s="14"/>
      <c r="S193" s="242"/>
      <c r="T193" s="15"/>
      <c r="U193" s="15"/>
      <c r="V193" s="15"/>
      <c r="W193" s="8"/>
      <c r="X193" s="8"/>
      <c r="Y193" s="56"/>
      <c r="Z193" s="56"/>
      <c r="AA193" s="15"/>
      <c r="AB193" s="15"/>
      <c r="AC193" s="15"/>
      <c r="AD193" s="15"/>
      <c r="AE193" s="57"/>
      <c r="AF193" s="57"/>
      <c r="AG193" s="15"/>
      <c r="AH193" s="25"/>
      <c r="AI193" s="26"/>
      <c r="AJ193" s="26"/>
      <c r="AK193" s="27"/>
      <c r="AL193" s="28"/>
      <c r="AM193" s="29"/>
    </row>
    <row r="194" ht="12.75" customHeight="1">
      <c r="A194" s="26"/>
      <c r="B194" s="12"/>
      <c r="C194" s="240"/>
      <c r="D194" s="241"/>
      <c r="E194" s="5"/>
      <c r="F194" s="5"/>
      <c r="G194" s="5"/>
      <c r="H194" s="5"/>
      <c r="I194" s="5"/>
      <c r="J194" s="5"/>
      <c r="K194" s="8"/>
      <c r="L194" s="9"/>
      <c r="M194" s="10"/>
      <c r="N194" s="12"/>
      <c r="O194" s="242"/>
      <c r="P194" s="243"/>
      <c r="Q194" s="243"/>
      <c r="R194" s="14"/>
      <c r="S194" s="242"/>
      <c r="T194" s="15"/>
      <c r="U194" s="15"/>
      <c r="V194" s="15"/>
      <c r="W194" s="8"/>
      <c r="X194" s="8"/>
      <c r="Y194" s="56"/>
      <c r="Z194" s="56"/>
      <c r="AA194" s="15"/>
      <c r="AB194" s="15"/>
      <c r="AC194" s="15"/>
      <c r="AD194" s="15"/>
      <c r="AE194" s="57"/>
      <c r="AF194" s="57"/>
      <c r="AG194" s="15"/>
      <c r="AH194" s="25"/>
      <c r="AI194" s="26"/>
      <c r="AJ194" s="26"/>
      <c r="AK194" s="27"/>
      <c r="AL194" s="28"/>
      <c r="AM194" s="29"/>
    </row>
    <row r="195" ht="12.75" customHeight="1">
      <c r="A195" s="26"/>
      <c r="B195" s="12"/>
      <c r="C195" s="240"/>
      <c r="D195" s="241"/>
      <c r="E195" s="5"/>
      <c r="F195" s="5"/>
      <c r="G195" s="5"/>
      <c r="H195" s="5"/>
      <c r="I195" s="5"/>
      <c r="J195" s="5"/>
      <c r="K195" s="8"/>
      <c r="L195" s="9"/>
      <c r="M195" s="10"/>
      <c r="N195" s="12"/>
      <c r="O195" s="242"/>
      <c r="P195" s="243"/>
      <c r="Q195" s="243"/>
      <c r="R195" s="14"/>
      <c r="S195" s="242"/>
      <c r="T195" s="15"/>
      <c r="U195" s="15"/>
      <c r="V195" s="15"/>
      <c r="W195" s="8"/>
      <c r="X195" s="8"/>
      <c r="Y195" s="56"/>
      <c r="Z195" s="56"/>
      <c r="AA195" s="15"/>
      <c r="AB195" s="15"/>
      <c r="AC195" s="15"/>
      <c r="AD195" s="15"/>
      <c r="AE195" s="57"/>
      <c r="AF195" s="57"/>
      <c r="AG195" s="15"/>
      <c r="AH195" s="25"/>
      <c r="AI195" s="26"/>
      <c r="AJ195" s="26"/>
      <c r="AK195" s="27"/>
      <c r="AL195" s="28"/>
      <c r="AM195" s="29"/>
    </row>
    <row r="196" ht="12.75" customHeight="1">
      <c r="A196" s="26"/>
      <c r="B196" s="12"/>
      <c r="C196" s="240"/>
      <c r="D196" s="241"/>
      <c r="E196" s="5"/>
      <c r="F196" s="5"/>
      <c r="G196" s="5"/>
      <c r="H196" s="5"/>
      <c r="I196" s="5"/>
      <c r="J196" s="5"/>
      <c r="K196" s="8"/>
      <c r="L196" s="9"/>
      <c r="M196" s="10"/>
      <c r="N196" s="12"/>
      <c r="O196" s="242"/>
      <c r="P196" s="243"/>
      <c r="Q196" s="243"/>
      <c r="R196" s="14"/>
      <c r="S196" s="242"/>
      <c r="T196" s="15"/>
      <c r="U196" s="15"/>
      <c r="V196" s="15"/>
      <c r="W196" s="8"/>
      <c r="X196" s="8"/>
      <c r="Y196" s="56"/>
      <c r="Z196" s="56"/>
      <c r="AA196" s="15"/>
      <c r="AB196" s="15"/>
      <c r="AC196" s="15"/>
      <c r="AD196" s="15"/>
      <c r="AE196" s="57"/>
      <c r="AF196" s="57"/>
      <c r="AG196" s="15"/>
      <c r="AH196" s="25"/>
      <c r="AI196" s="26"/>
      <c r="AJ196" s="26"/>
      <c r="AK196" s="27"/>
      <c r="AL196" s="28"/>
      <c r="AM196" s="29"/>
    </row>
    <row r="197" ht="12.75" customHeight="1">
      <c r="A197" s="26"/>
      <c r="B197" s="12"/>
      <c r="C197" s="240"/>
      <c r="D197" s="241"/>
      <c r="E197" s="5"/>
      <c r="F197" s="5"/>
      <c r="G197" s="5"/>
      <c r="H197" s="5"/>
      <c r="I197" s="5"/>
      <c r="J197" s="5"/>
      <c r="K197" s="8"/>
      <c r="L197" s="9"/>
      <c r="M197" s="10"/>
      <c r="N197" s="12"/>
      <c r="O197" s="242"/>
      <c r="P197" s="243"/>
      <c r="Q197" s="243"/>
      <c r="R197" s="14"/>
      <c r="S197" s="242"/>
      <c r="T197" s="15"/>
      <c r="U197" s="15"/>
      <c r="V197" s="15"/>
      <c r="W197" s="8"/>
      <c r="X197" s="8"/>
      <c r="Y197" s="56"/>
      <c r="Z197" s="56"/>
      <c r="AA197" s="15"/>
      <c r="AB197" s="15"/>
      <c r="AC197" s="15"/>
      <c r="AD197" s="15"/>
      <c r="AE197" s="57"/>
      <c r="AF197" s="57"/>
      <c r="AG197" s="15"/>
      <c r="AH197" s="25"/>
      <c r="AI197" s="26"/>
      <c r="AJ197" s="26"/>
      <c r="AK197" s="27"/>
      <c r="AL197" s="28"/>
      <c r="AM197" s="29"/>
    </row>
    <row r="198" ht="12.75" customHeight="1">
      <c r="A198" s="26"/>
      <c r="B198" s="12"/>
      <c r="C198" s="240"/>
      <c r="D198" s="241"/>
      <c r="E198" s="5"/>
      <c r="F198" s="5"/>
      <c r="G198" s="5"/>
      <c r="H198" s="5"/>
      <c r="I198" s="5"/>
      <c r="J198" s="5"/>
      <c r="K198" s="8"/>
      <c r="L198" s="9"/>
      <c r="M198" s="10"/>
      <c r="N198" s="12"/>
      <c r="O198" s="242"/>
      <c r="P198" s="243"/>
      <c r="Q198" s="243"/>
      <c r="R198" s="14"/>
      <c r="S198" s="242"/>
      <c r="T198" s="15"/>
      <c r="U198" s="15"/>
      <c r="V198" s="15"/>
      <c r="W198" s="8"/>
      <c r="X198" s="8"/>
      <c r="Y198" s="56"/>
      <c r="Z198" s="56"/>
      <c r="AA198" s="15"/>
      <c r="AB198" s="15"/>
      <c r="AC198" s="15"/>
      <c r="AD198" s="15"/>
      <c r="AE198" s="57"/>
      <c r="AF198" s="57"/>
      <c r="AG198" s="15"/>
      <c r="AH198" s="25"/>
      <c r="AI198" s="26"/>
      <c r="AJ198" s="26"/>
      <c r="AK198" s="27"/>
      <c r="AL198" s="28"/>
      <c r="AM198" s="29"/>
    </row>
    <row r="199" ht="12.75" customHeight="1">
      <c r="A199" s="26"/>
      <c r="B199" s="12"/>
      <c r="C199" s="240"/>
      <c r="D199" s="241"/>
      <c r="E199" s="5"/>
      <c r="F199" s="5"/>
      <c r="G199" s="5"/>
      <c r="H199" s="5"/>
      <c r="I199" s="5"/>
      <c r="J199" s="5"/>
      <c r="K199" s="8"/>
      <c r="L199" s="9"/>
      <c r="M199" s="10"/>
      <c r="N199" s="12"/>
      <c r="O199" s="242"/>
      <c r="P199" s="243"/>
      <c r="Q199" s="243"/>
      <c r="R199" s="14"/>
      <c r="S199" s="242"/>
      <c r="T199" s="15"/>
      <c r="U199" s="15"/>
      <c r="V199" s="15"/>
      <c r="W199" s="8"/>
      <c r="X199" s="8"/>
      <c r="Y199" s="56"/>
      <c r="Z199" s="56"/>
      <c r="AA199" s="15"/>
      <c r="AB199" s="15"/>
      <c r="AC199" s="15"/>
      <c r="AD199" s="15"/>
      <c r="AE199" s="57"/>
      <c r="AF199" s="57"/>
      <c r="AG199" s="15"/>
      <c r="AH199" s="25"/>
      <c r="AI199" s="26"/>
      <c r="AJ199" s="26"/>
      <c r="AK199" s="27"/>
      <c r="AL199" s="28"/>
      <c r="AM199" s="29"/>
    </row>
    <row r="200" ht="12.75" customHeight="1">
      <c r="A200" s="26"/>
      <c r="B200" s="12"/>
      <c r="C200" s="240"/>
      <c r="D200" s="241"/>
      <c r="E200" s="5"/>
      <c r="F200" s="5"/>
      <c r="G200" s="5"/>
      <c r="H200" s="5"/>
      <c r="I200" s="5"/>
      <c r="J200" s="5"/>
      <c r="K200" s="8"/>
      <c r="L200" s="9"/>
      <c r="M200" s="10"/>
      <c r="N200" s="12"/>
      <c r="O200" s="242"/>
      <c r="P200" s="243"/>
      <c r="Q200" s="243"/>
      <c r="R200" s="14"/>
      <c r="S200" s="242"/>
      <c r="T200" s="15"/>
      <c r="U200" s="15"/>
      <c r="V200" s="15"/>
      <c r="W200" s="8"/>
      <c r="X200" s="8"/>
      <c r="Y200" s="56"/>
      <c r="Z200" s="56"/>
      <c r="AA200" s="15"/>
      <c r="AB200" s="15"/>
      <c r="AC200" s="15"/>
      <c r="AD200" s="15"/>
      <c r="AE200" s="57"/>
      <c r="AF200" s="57"/>
      <c r="AG200" s="15"/>
      <c r="AH200" s="25"/>
      <c r="AI200" s="26"/>
      <c r="AJ200" s="26"/>
      <c r="AK200" s="27"/>
      <c r="AL200" s="28"/>
      <c r="AM200" s="29"/>
    </row>
    <row r="201" ht="12.75" customHeight="1">
      <c r="A201" s="26"/>
      <c r="B201" s="12"/>
      <c r="C201" s="240"/>
      <c r="D201" s="241"/>
      <c r="E201" s="5"/>
      <c r="F201" s="5"/>
      <c r="G201" s="5"/>
      <c r="H201" s="5"/>
      <c r="I201" s="5"/>
      <c r="J201" s="5"/>
      <c r="K201" s="8"/>
      <c r="L201" s="9"/>
      <c r="M201" s="10"/>
      <c r="N201" s="12"/>
      <c r="O201" s="242"/>
      <c r="P201" s="243"/>
      <c r="Q201" s="243"/>
      <c r="R201" s="14"/>
      <c r="S201" s="242"/>
      <c r="T201" s="15"/>
      <c r="U201" s="15"/>
      <c r="V201" s="15"/>
      <c r="W201" s="8"/>
      <c r="X201" s="8"/>
      <c r="Y201" s="56"/>
      <c r="Z201" s="56"/>
      <c r="AA201" s="15"/>
      <c r="AB201" s="15"/>
      <c r="AC201" s="15"/>
      <c r="AD201" s="15"/>
      <c r="AE201" s="57"/>
      <c r="AF201" s="57"/>
      <c r="AG201" s="15"/>
      <c r="AH201" s="25"/>
      <c r="AI201" s="26"/>
      <c r="AJ201" s="26"/>
      <c r="AK201" s="27"/>
      <c r="AL201" s="28"/>
      <c r="AM201" s="29"/>
    </row>
    <row r="202" ht="12.75" customHeight="1">
      <c r="A202" s="26"/>
      <c r="B202" s="12"/>
      <c r="C202" s="240"/>
      <c r="D202" s="241"/>
      <c r="E202" s="5"/>
      <c r="F202" s="5"/>
      <c r="G202" s="5"/>
      <c r="H202" s="5"/>
      <c r="I202" s="5"/>
      <c r="J202" s="5"/>
      <c r="K202" s="8"/>
      <c r="L202" s="9"/>
      <c r="M202" s="10"/>
      <c r="N202" s="12"/>
      <c r="O202" s="242"/>
      <c r="P202" s="243"/>
      <c r="Q202" s="243"/>
      <c r="R202" s="14"/>
      <c r="S202" s="242"/>
      <c r="T202" s="15"/>
      <c r="U202" s="15"/>
      <c r="V202" s="15"/>
      <c r="W202" s="8"/>
      <c r="X202" s="8"/>
      <c r="Y202" s="56"/>
      <c r="Z202" s="56"/>
      <c r="AA202" s="15"/>
      <c r="AB202" s="15"/>
      <c r="AC202" s="15"/>
      <c r="AD202" s="15"/>
      <c r="AE202" s="57"/>
      <c r="AF202" s="57"/>
      <c r="AG202" s="15"/>
      <c r="AH202" s="25"/>
      <c r="AI202" s="26"/>
      <c r="AJ202" s="26"/>
      <c r="AK202" s="27"/>
      <c r="AL202" s="28"/>
      <c r="AM202" s="29"/>
    </row>
    <row r="203" ht="12.75" customHeight="1">
      <c r="A203" s="26"/>
      <c r="B203" s="12"/>
      <c r="C203" s="240"/>
      <c r="D203" s="241"/>
      <c r="E203" s="5"/>
      <c r="F203" s="5"/>
      <c r="G203" s="5"/>
      <c r="H203" s="5"/>
      <c r="I203" s="5"/>
      <c r="J203" s="5"/>
      <c r="K203" s="8"/>
      <c r="L203" s="9"/>
      <c r="M203" s="10"/>
      <c r="N203" s="12"/>
      <c r="O203" s="242"/>
      <c r="P203" s="243"/>
      <c r="Q203" s="243"/>
      <c r="R203" s="14"/>
      <c r="S203" s="242"/>
      <c r="T203" s="15"/>
      <c r="U203" s="15"/>
      <c r="V203" s="15"/>
      <c r="W203" s="8"/>
      <c r="X203" s="8"/>
      <c r="Y203" s="56"/>
      <c r="Z203" s="56"/>
      <c r="AA203" s="15"/>
      <c r="AB203" s="15"/>
      <c r="AC203" s="15"/>
      <c r="AD203" s="15"/>
      <c r="AE203" s="57"/>
      <c r="AF203" s="57"/>
      <c r="AG203" s="15"/>
      <c r="AH203" s="25"/>
      <c r="AI203" s="26"/>
      <c r="AJ203" s="26"/>
      <c r="AK203" s="27"/>
      <c r="AL203" s="28"/>
      <c r="AM203" s="29"/>
    </row>
    <row r="204" ht="12.75" customHeight="1">
      <c r="A204" s="26"/>
      <c r="B204" s="12"/>
      <c r="C204" s="240"/>
      <c r="D204" s="241"/>
      <c r="E204" s="5"/>
      <c r="F204" s="5"/>
      <c r="G204" s="5"/>
      <c r="H204" s="5"/>
      <c r="I204" s="5"/>
      <c r="J204" s="5"/>
      <c r="K204" s="8"/>
      <c r="L204" s="9"/>
      <c r="M204" s="10"/>
      <c r="N204" s="12"/>
      <c r="O204" s="242"/>
      <c r="P204" s="243"/>
      <c r="Q204" s="243"/>
      <c r="R204" s="14"/>
      <c r="S204" s="242"/>
      <c r="T204" s="15"/>
      <c r="U204" s="15"/>
      <c r="V204" s="15"/>
      <c r="W204" s="8"/>
      <c r="X204" s="8"/>
      <c r="Y204" s="56"/>
      <c r="Z204" s="56"/>
      <c r="AA204" s="15"/>
      <c r="AB204" s="15"/>
      <c r="AC204" s="15"/>
      <c r="AD204" s="15"/>
      <c r="AE204" s="57"/>
      <c r="AF204" s="57"/>
      <c r="AG204" s="15"/>
      <c r="AH204" s="25"/>
      <c r="AI204" s="26"/>
      <c r="AJ204" s="26"/>
      <c r="AK204" s="27"/>
      <c r="AL204" s="28"/>
      <c r="AM204" s="29"/>
    </row>
    <row r="205" ht="12.75" customHeight="1">
      <c r="A205" s="26"/>
      <c r="B205" s="12"/>
      <c r="C205" s="240"/>
      <c r="D205" s="241"/>
      <c r="E205" s="5"/>
      <c r="F205" s="5"/>
      <c r="G205" s="5"/>
      <c r="H205" s="5"/>
      <c r="I205" s="5"/>
      <c r="J205" s="5"/>
      <c r="K205" s="8"/>
      <c r="L205" s="9"/>
      <c r="M205" s="10"/>
      <c r="N205" s="12"/>
      <c r="O205" s="242"/>
      <c r="P205" s="243"/>
      <c r="Q205" s="243"/>
      <c r="R205" s="14"/>
      <c r="S205" s="242"/>
      <c r="T205" s="15"/>
      <c r="U205" s="15"/>
      <c r="V205" s="15"/>
      <c r="W205" s="8"/>
      <c r="X205" s="8"/>
      <c r="Y205" s="56"/>
      <c r="Z205" s="56"/>
      <c r="AA205" s="15"/>
      <c r="AB205" s="15"/>
      <c r="AC205" s="15"/>
      <c r="AD205" s="15"/>
      <c r="AE205" s="57"/>
      <c r="AF205" s="57"/>
      <c r="AG205" s="15"/>
      <c r="AH205" s="25"/>
      <c r="AI205" s="26"/>
      <c r="AJ205" s="26"/>
      <c r="AK205" s="27"/>
      <c r="AL205" s="28"/>
      <c r="AM205" s="29"/>
    </row>
    <row r="206" ht="12.75" customHeight="1">
      <c r="A206" s="26"/>
      <c r="B206" s="12"/>
      <c r="C206" s="240"/>
      <c r="D206" s="241"/>
      <c r="E206" s="5"/>
      <c r="F206" s="5"/>
      <c r="G206" s="5"/>
      <c r="H206" s="5"/>
      <c r="I206" s="5"/>
      <c r="J206" s="5"/>
      <c r="K206" s="8"/>
      <c r="L206" s="9"/>
      <c r="M206" s="10"/>
      <c r="N206" s="12"/>
      <c r="O206" s="242"/>
      <c r="P206" s="243"/>
      <c r="Q206" s="243"/>
      <c r="R206" s="14"/>
      <c r="S206" s="242"/>
      <c r="T206" s="15"/>
      <c r="U206" s="15"/>
      <c r="V206" s="15"/>
      <c r="W206" s="8"/>
      <c r="X206" s="8"/>
      <c r="Y206" s="56"/>
      <c r="Z206" s="56"/>
      <c r="AA206" s="15"/>
      <c r="AB206" s="15"/>
      <c r="AC206" s="15"/>
      <c r="AD206" s="15"/>
      <c r="AE206" s="57"/>
      <c r="AF206" s="57"/>
      <c r="AG206" s="15"/>
      <c r="AH206" s="25"/>
      <c r="AI206" s="26"/>
      <c r="AJ206" s="26"/>
      <c r="AK206" s="27"/>
      <c r="AL206" s="28"/>
      <c r="AM206" s="29"/>
    </row>
    <row r="207" ht="12.75" customHeight="1">
      <c r="A207" s="26"/>
      <c r="B207" s="12"/>
      <c r="C207" s="240"/>
      <c r="D207" s="241"/>
      <c r="E207" s="5"/>
      <c r="F207" s="5"/>
      <c r="G207" s="5"/>
      <c r="H207" s="5"/>
      <c r="I207" s="5"/>
      <c r="J207" s="5"/>
      <c r="K207" s="8"/>
      <c r="L207" s="9"/>
      <c r="M207" s="10"/>
      <c r="N207" s="12"/>
      <c r="O207" s="242"/>
      <c r="P207" s="243"/>
      <c r="Q207" s="243"/>
      <c r="R207" s="14"/>
      <c r="S207" s="242"/>
      <c r="T207" s="15"/>
      <c r="U207" s="15"/>
      <c r="V207" s="15"/>
      <c r="W207" s="8"/>
      <c r="X207" s="8"/>
      <c r="Y207" s="56"/>
      <c r="Z207" s="56"/>
      <c r="AA207" s="15"/>
      <c r="AB207" s="15"/>
      <c r="AC207" s="15"/>
      <c r="AD207" s="15"/>
      <c r="AE207" s="57"/>
      <c r="AF207" s="57"/>
      <c r="AG207" s="15"/>
      <c r="AH207" s="25"/>
      <c r="AI207" s="26"/>
      <c r="AJ207" s="26"/>
      <c r="AK207" s="27"/>
      <c r="AL207" s="28"/>
      <c r="AM207" s="29"/>
    </row>
    <row r="208" ht="12.75" customHeight="1">
      <c r="A208" s="26"/>
      <c r="B208" s="12"/>
      <c r="C208" s="240"/>
      <c r="D208" s="241"/>
      <c r="E208" s="5"/>
      <c r="F208" s="5"/>
      <c r="G208" s="5"/>
      <c r="H208" s="5"/>
      <c r="I208" s="5"/>
      <c r="J208" s="5"/>
      <c r="K208" s="8"/>
      <c r="L208" s="9"/>
      <c r="M208" s="10"/>
      <c r="N208" s="12"/>
      <c r="O208" s="242"/>
      <c r="P208" s="243"/>
      <c r="Q208" s="243"/>
      <c r="R208" s="14"/>
      <c r="S208" s="242"/>
      <c r="T208" s="15"/>
      <c r="U208" s="15"/>
      <c r="V208" s="15"/>
      <c r="W208" s="8"/>
      <c r="X208" s="8"/>
      <c r="Y208" s="56"/>
      <c r="Z208" s="56"/>
      <c r="AA208" s="15"/>
      <c r="AB208" s="15"/>
      <c r="AC208" s="15"/>
      <c r="AD208" s="15"/>
      <c r="AE208" s="57"/>
      <c r="AF208" s="57"/>
      <c r="AG208" s="15"/>
      <c r="AH208" s="25"/>
      <c r="AI208" s="26"/>
      <c r="AJ208" s="26"/>
      <c r="AK208" s="27"/>
      <c r="AL208" s="28"/>
      <c r="AM208" s="29"/>
    </row>
    <row r="209" ht="12.75" customHeight="1">
      <c r="A209" s="26"/>
      <c r="B209" s="12"/>
      <c r="C209" s="240"/>
      <c r="D209" s="241"/>
      <c r="E209" s="5"/>
      <c r="F209" s="5"/>
      <c r="G209" s="5"/>
      <c r="H209" s="5"/>
      <c r="I209" s="5"/>
      <c r="J209" s="5"/>
      <c r="K209" s="8"/>
      <c r="L209" s="9"/>
      <c r="M209" s="10"/>
      <c r="N209" s="12"/>
      <c r="O209" s="242"/>
      <c r="P209" s="243"/>
      <c r="Q209" s="243"/>
      <c r="R209" s="14"/>
      <c r="S209" s="242"/>
      <c r="T209" s="15"/>
      <c r="U209" s="15"/>
      <c r="V209" s="15"/>
      <c r="W209" s="8"/>
      <c r="X209" s="8"/>
      <c r="Y209" s="56"/>
      <c r="Z209" s="56"/>
      <c r="AA209" s="15"/>
      <c r="AB209" s="15"/>
      <c r="AC209" s="15"/>
      <c r="AD209" s="15"/>
      <c r="AE209" s="57"/>
      <c r="AF209" s="57"/>
      <c r="AG209" s="15"/>
      <c r="AH209" s="25"/>
      <c r="AI209" s="26"/>
      <c r="AJ209" s="26"/>
      <c r="AK209" s="27"/>
      <c r="AL209" s="28"/>
      <c r="AM209" s="29"/>
    </row>
    <row r="210" ht="12.75" customHeight="1">
      <c r="A210" s="26"/>
      <c r="B210" s="12"/>
      <c r="C210" s="240"/>
      <c r="D210" s="241"/>
      <c r="E210" s="5"/>
      <c r="F210" s="5"/>
      <c r="G210" s="5"/>
      <c r="H210" s="5"/>
      <c r="I210" s="5"/>
      <c r="J210" s="5"/>
      <c r="K210" s="8"/>
      <c r="L210" s="9"/>
      <c r="M210" s="10"/>
      <c r="N210" s="12"/>
      <c r="O210" s="242"/>
      <c r="P210" s="243"/>
      <c r="Q210" s="243"/>
      <c r="R210" s="14"/>
      <c r="S210" s="242"/>
      <c r="T210" s="15"/>
      <c r="U210" s="15"/>
      <c r="V210" s="15"/>
      <c r="W210" s="8"/>
      <c r="X210" s="8"/>
      <c r="Y210" s="56"/>
      <c r="Z210" s="56"/>
      <c r="AA210" s="15"/>
      <c r="AB210" s="15"/>
      <c r="AC210" s="15"/>
      <c r="AD210" s="15"/>
      <c r="AE210" s="57"/>
      <c r="AF210" s="57"/>
      <c r="AG210" s="15"/>
      <c r="AH210" s="25"/>
      <c r="AI210" s="26"/>
      <c r="AJ210" s="26"/>
      <c r="AK210" s="27"/>
      <c r="AL210" s="28"/>
      <c r="AM210" s="29"/>
    </row>
    <row r="211" ht="12.75" customHeight="1">
      <c r="A211" s="26"/>
      <c r="B211" s="12"/>
      <c r="C211" s="240"/>
      <c r="D211" s="241"/>
      <c r="E211" s="5"/>
      <c r="F211" s="5"/>
      <c r="G211" s="5"/>
      <c r="H211" s="5"/>
      <c r="I211" s="5"/>
      <c r="J211" s="5"/>
      <c r="K211" s="8"/>
      <c r="L211" s="9"/>
      <c r="M211" s="10"/>
      <c r="N211" s="12"/>
      <c r="O211" s="242"/>
      <c r="P211" s="243"/>
      <c r="Q211" s="243"/>
      <c r="R211" s="14"/>
      <c r="S211" s="242"/>
      <c r="T211" s="15"/>
      <c r="U211" s="15"/>
      <c r="V211" s="15"/>
      <c r="W211" s="8"/>
      <c r="X211" s="8"/>
      <c r="Y211" s="56"/>
      <c r="Z211" s="56"/>
      <c r="AA211" s="15"/>
      <c r="AB211" s="15"/>
      <c r="AC211" s="15"/>
      <c r="AD211" s="15"/>
      <c r="AE211" s="57"/>
      <c r="AF211" s="57"/>
      <c r="AG211" s="15"/>
      <c r="AH211" s="25"/>
      <c r="AI211" s="26"/>
      <c r="AJ211" s="26"/>
      <c r="AK211" s="27"/>
      <c r="AL211" s="28"/>
      <c r="AM211" s="29"/>
    </row>
    <row r="212" ht="12.75" customHeight="1">
      <c r="A212" s="26"/>
      <c r="B212" s="12"/>
      <c r="C212" s="240"/>
      <c r="D212" s="241"/>
      <c r="E212" s="5"/>
      <c r="F212" s="5"/>
      <c r="G212" s="5"/>
      <c r="H212" s="5"/>
      <c r="I212" s="5"/>
      <c r="J212" s="5"/>
      <c r="K212" s="8"/>
      <c r="L212" s="9"/>
      <c r="M212" s="10"/>
      <c r="N212" s="12"/>
      <c r="O212" s="242"/>
      <c r="P212" s="243"/>
      <c r="Q212" s="243"/>
      <c r="R212" s="14"/>
      <c r="S212" s="242"/>
      <c r="T212" s="15"/>
      <c r="U212" s="15"/>
      <c r="V212" s="15"/>
      <c r="W212" s="8"/>
      <c r="X212" s="8"/>
      <c r="Y212" s="56"/>
      <c r="Z212" s="56"/>
      <c r="AA212" s="15"/>
      <c r="AB212" s="15"/>
      <c r="AC212" s="15"/>
      <c r="AD212" s="15"/>
      <c r="AE212" s="57"/>
      <c r="AF212" s="57"/>
      <c r="AG212" s="15"/>
      <c r="AH212" s="25"/>
      <c r="AI212" s="26"/>
      <c r="AJ212" s="26"/>
      <c r="AK212" s="27"/>
      <c r="AL212" s="28"/>
      <c r="AM212" s="29"/>
    </row>
    <row r="213" ht="12.75" customHeight="1">
      <c r="A213" s="26"/>
      <c r="B213" s="12"/>
      <c r="C213" s="240"/>
      <c r="D213" s="241"/>
      <c r="E213" s="5"/>
      <c r="F213" s="5"/>
      <c r="G213" s="5"/>
      <c r="H213" s="5"/>
      <c r="I213" s="5"/>
      <c r="J213" s="5"/>
      <c r="K213" s="8"/>
      <c r="L213" s="9"/>
      <c r="M213" s="10"/>
      <c r="N213" s="12"/>
      <c r="O213" s="242"/>
      <c r="P213" s="243"/>
      <c r="Q213" s="243"/>
      <c r="R213" s="14"/>
      <c r="S213" s="242"/>
      <c r="T213" s="15"/>
      <c r="U213" s="15"/>
      <c r="V213" s="15"/>
      <c r="W213" s="8"/>
      <c r="X213" s="8"/>
      <c r="Y213" s="56"/>
      <c r="Z213" s="56"/>
      <c r="AA213" s="15"/>
      <c r="AB213" s="15"/>
      <c r="AC213" s="15"/>
      <c r="AD213" s="15"/>
      <c r="AE213" s="57"/>
      <c r="AF213" s="57"/>
      <c r="AG213" s="15"/>
      <c r="AH213" s="25"/>
      <c r="AI213" s="26"/>
      <c r="AJ213" s="26"/>
      <c r="AK213" s="27"/>
      <c r="AL213" s="28"/>
      <c r="AM213" s="29"/>
    </row>
    <row r="214" ht="12.75" customHeight="1">
      <c r="A214" s="26"/>
      <c r="B214" s="12"/>
      <c r="C214" s="240"/>
      <c r="D214" s="241"/>
      <c r="E214" s="5"/>
      <c r="F214" s="5"/>
      <c r="G214" s="5"/>
      <c r="H214" s="5"/>
      <c r="I214" s="5"/>
      <c r="J214" s="5"/>
      <c r="K214" s="8"/>
      <c r="L214" s="9"/>
      <c r="M214" s="10"/>
      <c r="N214" s="12"/>
      <c r="O214" s="242"/>
      <c r="P214" s="243"/>
      <c r="Q214" s="243"/>
      <c r="R214" s="14"/>
      <c r="S214" s="242"/>
      <c r="T214" s="15"/>
      <c r="U214" s="15"/>
      <c r="V214" s="15"/>
      <c r="W214" s="8"/>
      <c r="X214" s="8"/>
      <c r="Y214" s="56"/>
      <c r="Z214" s="56"/>
      <c r="AA214" s="15"/>
      <c r="AB214" s="15"/>
      <c r="AC214" s="15"/>
      <c r="AD214" s="15"/>
      <c r="AE214" s="57"/>
      <c r="AF214" s="57"/>
      <c r="AG214" s="15"/>
      <c r="AH214" s="25"/>
      <c r="AI214" s="26"/>
      <c r="AJ214" s="26"/>
      <c r="AK214" s="27"/>
      <c r="AL214" s="28"/>
      <c r="AM214" s="29"/>
    </row>
    <row r="215" ht="12.75" customHeight="1">
      <c r="A215" s="26"/>
      <c r="B215" s="12"/>
      <c r="C215" s="240"/>
      <c r="D215" s="241"/>
      <c r="E215" s="5"/>
      <c r="F215" s="5"/>
      <c r="G215" s="5"/>
      <c r="H215" s="5"/>
      <c r="I215" s="5"/>
      <c r="J215" s="5"/>
      <c r="K215" s="8"/>
      <c r="L215" s="9"/>
      <c r="M215" s="10"/>
      <c r="N215" s="12"/>
      <c r="O215" s="242"/>
      <c r="P215" s="243"/>
      <c r="Q215" s="243"/>
      <c r="R215" s="14"/>
      <c r="S215" s="242"/>
      <c r="T215" s="15"/>
      <c r="U215" s="15"/>
      <c r="V215" s="15"/>
      <c r="W215" s="8"/>
      <c r="X215" s="8"/>
      <c r="Y215" s="56"/>
      <c r="Z215" s="56"/>
      <c r="AA215" s="15"/>
      <c r="AB215" s="15"/>
      <c r="AC215" s="15"/>
      <c r="AD215" s="15"/>
      <c r="AE215" s="57"/>
      <c r="AF215" s="57"/>
      <c r="AG215" s="15"/>
      <c r="AH215" s="25"/>
      <c r="AI215" s="26"/>
      <c r="AJ215" s="26"/>
      <c r="AK215" s="27"/>
      <c r="AL215" s="28"/>
      <c r="AM215" s="29"/>
    </row>
    <row r="216" ht="12.75" customHeight="1">
      <c r="A216" s="26"/>
      <c r="B216" s="12"/>
      <c r="C216" s="240"/>
      <c r="D216" s="241"/>
      <c r="E216" s="5"/>
      <c r="F216" s="5"/>
      <c r="G216" s="5"/>
      <c r="H216" s="5"/>
      <c r="I216" s="5"/>
      <c r="J216" s="5"/>
      <c r="K216" s="8"/>
      <c r="L216" s="9"/>
      <c r="M216" s="10"/>
      <c r="N216" s="12"/>
      <c r="O216" s="242"/>
      <c r="P216" s="243"/>
      <c r="Q216" s="243"/>
      <c r="R216" s="14"/>
      <c r="S216" s="242"/>
      <c r="T216" s="15"/>
      <c r="U216" s="15"/>
      <c r="V216" s="15"/>
      <c r="W216" s="8"/>
      <c r="X216" s="8"/>
      <c r="Y216" s="56"/>
      <c r="Z216" s="56"/>
      <c r="AA216" s="15"/>
      <c r="AB216" s="15"/>
      <c r="AC216" s="15"/>
      <c r="AD216" s="15"/>
      <c r="AE216" s="57"/>
      <c r="AF216" s="57"/>
      <c r="AG216" s="15"/>
      <c r="AH216" s="25"/>
      <c r="AI216" s="26"/>
      <c r="AJ216" s="26"/>
      <c r="AK216" s="27"/>
      <c r="AL216" s="28"/>
      <c r="AM216" s="29"/>
    </row>
    <row r="217" ht="12.75" customHeight="1">
      <c r="A217" s="26"/>
      <c r="B217" s="12"/>
      <c r="C217" s="240"/>
      <c r="D217" s="241"/>
      <c r="E217" s="5"/>
      <c r="F217" s="5"/>
      <c r="G217" s="5"/>
      <c r="H217" s="5"/>
      <c r="I217" s="5"/>
      <c r="J217" s="5"/>
      <c r="K217" s="8"/>
      <c r="L217" s="9"/>
      <c r="M217" s="10"/>
      <c r="N217" s="12"/>
      <c r="O217" s="242"/>
      <c r="P217" s="243"/>
      <c r="Q217" s="243"/>
      <c r="R217" s="14"/>
      <c r="S217" s="242"/>
      <c r="T217" s="15"/>
      <c r="U217" s="15"/>
      <c r="V217" s="15"/>
      <c r="W217" s="8"/>
      <c r="X217" s="8"/>
      <c r="Y217" s="56"/>
      <c r="Z217" s="56"/>
      <c r="AA217" s="15"/>
      <c r="AB217" s="15"/>
      <c r="AC217" s="15"/>
      <c r="AD217" s="15"/>
      <c r="AE217" s="57"/>
      <c r="AF217" s="57"/>
      <c r="AG217" s="15"/>
      <c r="AH217" s="25"/>
      <c r="AI217" s="26"/>
      <c r="AJ217" s="26"/>
      <c r="AK217" s="27"/>
      <c r="AL217" s="28"/>
      <c r="AM217" s="29"/>
    </row>
    <row r="218" ht="12.75" customHeight="1">
      <c r="A218" s="26"/>
      <c r="B218" s="12"/>
      <c r="C218" s="240"/>
      <c r="D218" s="241"/>
      <c r="E218" s="5"/>
      <c r="F218" s="5"/>
      <c r="G218" s="5"/>
      <c r="H218" s="5"/>
      <c r="I218" s="5"/>
      <c r="J218" s="5"/>
      <c r="K218" s="8"/>
      <c r="L218" s="9"/>
      <c r="M218" s="10"/>
      <c r="N218" s="12"/>
      <c r="O218" s="242"/>
      <c r="P218" s="243"/>
      <c r="Q218" s="243"/>
      <c r="R218" s="14"/>
      <c r="S218" s="242"/>
      <c r="T218" s="15"/>
      <c r="U218" s="15"/>
      <c r="V218" s="15"/>
      <c r="W218" s="8"/>
      <c r="X218" s="8"/>
      <c r="Y218" s="56"/>
      <c r="Z218" s="56"/>
      <c r="AA218" s="15"/>
      <c r="AB218" s="15"/>
      <c r="AC218" s="15"/>
      <c r="AD218" s="15"/>
      <c r="AE218" s="57"/>
      <c r="AF218" s="57"/>
      <c r="AG218" s="15"/>
      <c r="AH218" s="25"/>
      <c r="AI218" s="26"/>
      <c r="AJ218" s="26"/>
      <c r="AK218" s="27"/>
      <c r="AL218" s="28"/>
      <c r="AM218" s="29"/>
    </row>
    <row r="219" ht="12.75" customHeight="1">
      <c r="A219" s="26"/>
      <c r="B219" s="12"/>
      <c r="C219" s="240"/>
      <c r="D219" s="241"/>
      <c r="E219" s="5"/>
      <c r="F219" s="5"/>
      <c r="G219" s="5"/>
      <c r="H219" s="5"/>
      <c r="I219" s="5"/>
      <c r="J219" s="5"/>
      <c r="K219" s="8"/>
      <c r="L219" s="9"/>
      <c r="M219" s="10"/>
      <c r="N219" s="12"/>
      <c r="O219" s="242"/>
      <c r="P219" s="243"/>
      <c r="Q219" s="243"/>
      <c r="R219" s="14"/>
      <c r="S219" s="242"/>
      <c r="T219" s="15"/>
      <c r="U219" s="15"/>
      <c r="V219" s="15"/>
      <c r="W219" s="8"/>
      <c r="X219" s="8"/>
      <c r="Y219" s="56"/>
      <c r="Z219" s="56"/>
      <c r="AA219" s="15"/>
      <c r="AB219" s="15"/>
      <c r="AC219" s="15"/>
      <c r="AD219" s="15"/>
      <c r="AE219" s="57"/>
      <c r="AF219" s="57"/>
      <c r="AG219" s="15"/>
      <c r="AH219" s="25"/>
      <c r="AI219" s="26"/>
      <c r="AJ219" s="26"/>
      <c r="AK219" s="27"/>
      <c r="AL219" s="28"/>
      <c r="AM219" s="29"/>
    </row>
    <row r="220" ht="12.75" customHeight="1">
      <c r="A220" s="26"/>
      <c r="B220" s="12"/>
      <c r="C220" s="240"/>
      <c r="D220" s="241"/>
      <c r="E220" s="5"/>
      <c r="F220" s="5"/>
      <c r="G220" s="5"/>
      <c r="H220" s="5"/>
      <c r="I220" s="5"/>
      <c r="J220" s="5"/>
      <c r="K220" s="8"/>
      <c r="L220" s="9"/>
      <c r="M220" s="10"/>
      <c r="N220" s="12"/>
      <c r="O220" s="242"/>
      <c r="P220" s="243"/>
      <c r="Q220" s="243"/>
      <c r="R220" s="14"/>
      <c r="S220" s="242"/>
      <c r="T220" s="15"/>
      <c r="U220" s="15"/>
      <c r="V220" s="15"/>
      <c r="W220" s="8"/>
      <c r="X220" s="8"/>
      <c r="Y220" s="56"/>
      <c r="Z220" s="56"/>
      <c r="AA220" s="15"/>
      <c r="AB220" s="15"/>
      <c r="AC220" s="15"/>
      <c r="AD220" s="15"/>
      <c r="AE220" s="57"/>
      <c r="AF220" s="57"/>
      <c r="AG220" s="15"/>
      <c r="AH220" s="25"/>
      <c r="AI220" s="26"/>
      <c r="AJ220" s="26"/>
      <c r="AK220" s="27"/>
      <c r="AL220" s="28"/>
      <c r="AM220" s="29"/>
    </row>
    <row r="221" ht="12.75" customHeight="1">
      <c r="A221" s="26"/>
      <c r="B221" s="12"/>
      <c r="C221" s="240"/>
      <c r="D221" s="241"/>
      <c r="E221" s="5"/>
      <c r="F221" s="5"/>
      <c r="G221" s="5"/>
      <c r="H221" s="5"/>
      <c r="I221" s="5"/>
      <c r="J221" s="5"/>
      <c r="K221" s="8"/>
      <c r="L221" s="9"/>
      <c r="M221" s="10"/>
      <c r="N221" s="12"/>
      <c r="O221" s="242"/>
      <c r="P221" s="243"/>
      <c r="Q221" s="243"/>
      <c r="R221" s="14"/>
      <c r="S221" s="242"/>
      <c r="T221" s="15"/>
      <c r="U221" s="15"/>
      <c r="V221" s="15"/>
      <c r="W221" s="8"/>
      <c r="X221" s="8"/>
      <c r="Y221" s="56"/>
      <c r="Z221" s="56"/>
      <c r="AA221" s="15"/>
      <c r="AB221" s="15"/>
      <c r="AC221" s="15"/>
      <c r="AD221" s="15"/>
      <c r="AE221" s="57"/>
      <c r="AF221" s="57"/>
      <c r="AG221" s="15"/>
      <c r="AH221" s="25"/>
      <c r="AI221" s="26"/>
      <c r="AJ221" s="26"/>
      <c r="AK221" s="27"/>
      <c r="AL221" s="28"/>
      <c r="AM221" s="29"/>
    </row>
    <row r="222" ht="12.75" customHeight="1">
      <c r="A222" s="26"/>
      <c r="B222" s="12"/>
      <c r="C222" s="240"/>
      <c r="D222" s="241"/>
      <c r="E222" s="5"/>
      <c r="F222" s="5"/>
      <c r="G222" s="5"/>
      <c r="H222" s="5"/>
      <c r="I222" s="5"/>
      <c r="J222" s="5"/>
      <c r="K222" s="8"/>
      <c r="L222" s="9"/>
      <c r="M222" s="10"/>
      <c r="N222" s="12"/>
      <c r="O222" s="242"/>
      <c r="P222" s="243"/>
      <c r="Q222" s="243"/>
      <c r="R222" s="14"/>
      <c r="S222" s="242"/>
      <c r="T222" s="15"/>
      <c r="U222" s="15"/>
      <c r="V222" s="15"/>
      <c r="W222" s="8"/>
      <c r="X222" s="8"/>
      <c r="Y222" s="56"/>
      <c r="Z222" s="56"/>
      <c r="AA222" s="15"/>
      <c r="AB222" s="15"/>
      <c r="AC222" s="15"/>
      <c r="AD222" s="15"/>
      <c r="AE222" s="57"/>
      <c r="AF222" s="57"/>
      <c r="AG222" s="15"/>
      <c r="AH222" s="25"/>
      <c r="AI222" s="26"/>
      <c r="AJ222" s="26"/>
      <c r="AK222" s="27"/>
      <c r="AL222" s="28"/>
      <c r="AM222" s="29"/>
    </row>
    <row r="223" ht="12.75" customHeight="1">
      <c r="A223" s="26"/>
      <c r="B223" s="12"/>
      <c r="C223" s="240"/>
      <c r="D223" s="241"/>
      <c r="E223" s="5"/>
      <c r="F223" s="5"/>
      <c r="G223" s="5"/>
      <c r="H223" s="5"/>
      <c r="I223" s="5"/>
      <c r="J223" s="5"/>
      <c r="K223" s="8"/>
      <c r="L223" s="9"/>
      <c r="M223" s="10"/>
      <c r="N223" s="12"/>
      <c r="O223" s="242"/>
      <c r="P223" s="243"/>
      <c r="Q223" s="243"/>
      <c r="R223" s="14"/>
      <c r="S223" s="242"/>
      <c r="T223" s="15"/>
      <c r="U223" s="15"/>
      <c r="V223" s="15"/>
      <c r="W223" s="8"/>
      <c r="X223" s="8"/>
      <c r="Y223" s="56"/>
      <c r="Z223" s="56"/>
      <c r="AA223" s="15"/>
      <c r="AB223" s="15"/>
      <c r="AC223" s="15"/>
      <c r="AD223" s="15"/>
      <c r="AE223" s="57"/>
      <c r="AF223" s="57"/>
      <c r="AG223" s="15"/>
      <c r="AH223" s="25"/>
      <c r="AI223" s="26"/>
      <c r="AJ223" s="26"/>
      <c r="AK223" s="27"/>
      <c r="AL223" s="28"/>
      <c r="AM223" s="29"/>
    </row>
    <row r="224" ht="12.75" customHeight="1">
      <c r="A224" s="26"/>
      <c r="B224" s="12"/>
      <c r="C224" s="240"/>
      <c r="D224" s="241"/>
      <c r="E224" s="5"/>
      <c r="F224" s="5"/>
      <c r="G224" s="5"/>
      <c r="H224" s="5"/>
      <c r="I224" s="5"/>
      <c r="J224" s="5"/>
      <c r="K224" s="8"/>
      <c r="L224" s="9"/>
      <c r="M224" s="10"/>
      <c r="N224" s="12"/>
      <c r="O224" s="242"/>
      <c r="P224" s="243"/>
      <c r="Q224" s="243"/>
      <c r="R224" s="14"/>
      <c r="S224" s="242"/>
      <c r="T224" s="15"/>
      <c r="U224" s="15"/>
      <c r="V224" s="15"/>
      <c r="W224" s="8"/>
      <c r="X224" s="8"/>
      <c r="Y224" s="56"/>
      <c r="Z224" s="56"/>
      <c r="AA224" s="15"/>
      <c r="AB224" s="15"/>
      <c r="AC224" s="15"/>
      <c r="AD224" s="15"/>
      <c r="AE224" s="57"/>
      <c r="AF224" s="57"/>
      <c r="AG224" s="15"/>
      <c r="AH224" s="25"/>
      <c r="AI224" s="26"/>
      <c r="AJ224" s="26"/>
      <c r="AK224" s="27"/>
      <c r="AL224" s="28"/>
      <c r="AM224" s="29"/>
    </row>
    <row r="225" ht="12.75" customHeight="1">
      <c r="A225" s="26"/>
      <c r="B225" s="12"/>
      <c r="C225" s="240"/>
      <c r="D225" s="241"/>
      <c r="E225" s="5"/>
      <c r="F225" s="5"/>
      <c r="G225" s="5"/>
      <c r="H225" s="5"/>
      <c r="I225" s="5"/>
      <c r="J225" s="5"/>
      <c r="K225" s="8"/>
      <c r="L225" s="9"/>
      <c r="M225" s="10"/>
      <c r="N225" s="12"/>
      <c r="O225" s="242"/>
      <c r="P225" s="243"/>
      <c r="Q225" s="243"/>
      <c r="R225" s="14"/>
      <c r="S225" s="242"/>
      <c r="T225" s="15"/>
      <c r="U225" s="15"/>
      <c r="V225" s="15"/>
      <c r="W225" s="8"/>
      <c r="X225" s="8"/>
      <c r="Y225" s="56"/>
      <c r="Z225" s="56"/>
      <c r="AA225" s="15"/>
      <c r="AB225" s="15"/>
      <c r="AC225" s="15"/>
      <c r="AD225" s="15"/>
      <c r="AE225" s="57"/>
      <c r="AF225" s="57"/>
      <c r="AG225" s="15"/>
      <c r="AH225" s="25"/>
      <c r="AI225" s="26"/>
      <c r="AJ225" s="26"/>
      <c r="AK225" s="27"/>
      <c r="AL225" s="28"/>
      <c r="AM225" s="29"/>
    </row>
    <row r="226" ht="12.75" customHeight="1">
      <c r="A226" s="26"/>
      <c r="B226" s="12"/>
      <c r="C226" s="240"/>
      <c r="D226" s="241"/>
      <c r="E226" s="5"/>
      <c r="F226" s="5"/>
      <c r="G226" s="5"/>
      <c r="H226" s="5"/>
      <c r="I226" s="5"/>
      <c r="J226" s="5"/>
      <c r="K226" s="8"/>
      <c r="L226" s="9"/>
      <c r="M226" s="10"/>
      <c r="N226" s="12"/>
      <c r="O226" s="242"/>
      <c r="P226" s="243"/>
      <c r="Q226" s="243"/>
      <c r="R226" s="14"/>
      <c r="S226" s="242"/>
      <c r="T226" s="15"/>
      <c r="U226" s="15"/>
      <c r="V226" s="15"/>
      <c r="W226" s="8"/>
      <c r="X226" s="8"/>
      <c r="Y226" s="56"/>
      <c r="Z226" s="56"/>
      <c r="AA226" s="15"/>
      <c r="AB226" s="15"/>
      <c r="AC226" s="15"/>
      <c r="AD226" s="15"/>
      <c r="AE226" s="57"/>
      <c r="AF226" s="57"/>
      <c r="AG226" s="15"/>
      <c r="AH226" s="25"/>
      <c r="AI226" s="26"/>
      <c r="AJ226" s="26"/>
      <c r="AK226" s="27"/>
      <c r="AL226" s="28"/>
      <c r="AM226" s="29"/>
    </row>
    <row r="227" ht="12.75" customHeight="1">
      <c r="A227" s="26"/>
      <c r="B227" s="12"/>
      <c r="C227" s="240"/>
      <c r="D227" s="241"/>
      <c r="E227" s="5"/>
      <c r="F227" s="5"/>
      <c r="G227" s="5"/>
      <c r="H227" s="5"/>
      <c r="I227" s="5"/>
      <c r="J227" s="5"/>
      <c r="K227" s="8"/>
      <c r="L227" s="9"/>
      <c r="M227" s="10"/>
      <c r="N227" s="12"/>
      <c r="O227" s="242"/>
      <c r="P227" s="243"/>
      <c r="Q227" s="243"/>
      <c r="R227" s="14"/>
      <c r="S227" s="242"/>
      <c r="T227" s="15"/>
      <c r="U227" s="15"/>
      <c r="V227" s="15"/>
      <c r="W227" s="8"/>
      <c r="X227" s="8"/>
      <c r="Y227" s="56"/>
      <c r="Z227" s="56"/>
      <c r="AA227" s="15"/>
      <c r="AB227" s="15"/>
      <c r="AC227" s="15"/>
      <c r="AD227" s="15"/>
      <c r="AE227" s="57"/>
      <c r="AF227" s="57"/>
      <c r="AG227" s="15"/>
      <c r="AH227" s="25"/>
      <c r="AI227" s="26"/>
      <c r="AJ227" s="26"/>
      <c r="AK227" s="27"/>
      <c r="AL227" s="28"/>
      <c r="AM227" s="29"/>
    </row>
    <row r="228" ht="12.75" customHeight="1">
      <c r="A228" s="26"/>
      <c r="B228" s="12"/>
      <c r="C228" s="240"/>
      <c r="D228" s="241"/>
      <c r="E228" s="5"/>
      <c r="F228" s="5"/>
      <c r="G228" s="5"/>
      <c r="H228" s="5"/>
      <c r="I228" s="5"/>
      <c r="J228" s="5"/>
      <c r="K228" s="8"/>
      <c r="L228" s="9"/>
      <c r="M228" s="10"/>
      <c r="N228" s="12"/>
      <c r="O228" s="242"/>
      <c r="P228" s="243"/>
      <c r="Q228" s="243"/>
      <c r="R228" s="14"/>
      <c r="S228" s="242"/>
      <c r="T228" s="15"/>
      <c r="U228" s="15"/>
      <c r="V228" s="15"/>
      <c r="W228" s="8"/>
      <c r="X228" s="8"/>
      <c r="Y228" s="56"/>
      <c r="Z228" s="56"/>
      <c r="AA228" s="15"/>
      <c r="AB228" s="15"/>
      <c r="AC228" s="15"/>
      <c r="AD228" s="15"/>
      <c r="AE228" s="57"/>
      <c r="AF228" s="57"/>
      <c r="AG228" s="15"/>
      <c r="AH228" s="25"/>
      <c r="AI228" s="26"/>
      <c r="AJ228" s="26"/>
      <c r="AK228" s="27"/>
      <c r="AL228" s="28"/>
      <c r="AM228" s="29"/>
    </row>
    <row r="229" ht="12.75" customHeight="1">
      <c r="A229" s="26"/>
      <c r="B229" s="12"/>
      <c r="C229" s="240"/>
      <c r="D229" s="241"/>
      <c r="E229" s="5"/>
      <c r="F229" s="5"/>
      <c r="G229" s="5"/>
      <c r="H229" s="5"/>
      <c r="I229" s="5"/>
      <c r="J229" s="5"/>
      <c r="K229" s="8"/>
      <c r="L229" s="9"/>
      <c r="M229" s="10"/>
      <c r="N229" s="12"/>
      <c r="O229" s="242"/>
      <c r="P229" s="243"/>
      <c r="Q229" s="243"/>
      <c r="R229" s="14"/>
      <c r="S229" s="242"/>
      <c r="T229" s="15"/>
      <c r="U229" s="15"/>
      <c r="V229" s="15"/>
      <c r="W229" s="8"/>
      <c r="X229" s="8"/>
      <c r="Y229" s="56"/>
      <c r="Z229" s="56"/>
      <c r="AA229" s="15"/>
      <c r="AB229" s="15"/>
      <c r="AC229" s="15"/>
      <c r="AD229" s="15"/>
      <c r="AE229" s="57"/>
      <c r="AF229" s="57"/>
      <c r="AG229" s="15"/>
      <c r="AH229" s="25"/>
      <c r="AI229" s="26"/>
      <c r="AJ229" s="26"/>
      <c r="AK229" s="27"/>
      <c r="AL229" s="28"/>
      <c r="AM229" s="29"/>
    </row>
    <row r="230" ht="12.75" customHeight="1">
      <c r="A230" s="26"/>
      <c r="B230" s="12"/>
      <c r="C230" s="240"/>
      <c r="D230" s="241"/>
      <c r="E230" s="5"/>
      <c r="F230" s="5"/>
      <c r="G230" s="5"/>
      <c r="H230" s="5"/>
      <c r="I230" s="5"/>
      <c r="J230" s="5"/>
      <c r="K230" s="8"/>
      <c r="L230" s="9"/>
      <c r="M230" s="10"/>
      <c r="N230" s="12"/>
      <c r="O230" s="242"/>
      <c r="P230" s="243"/>
      <c r="Q230" s="243"/>
      <c r="R230" s="14"/>
      <c r="S230" s="242"/>
      <c r="T230" s="15"/>
      <c r="U230" s="15"/>
      <c r="V230" s="15"/>
      <c r="W230" s="8"/>
      <c r="X230" s="8"/>
      <c r="Y230" s="56"/>
      <c r="Z230" s="56"/>
      <c r="AA230" s="15"/>
      <c r="AB230" s="15"/>
      <c r="AC230" s="15"/>
      <c r="AD230" s="15"/>
      <c r="AE230" s="57"/>
      <c r="AF230" s="57"/>
      <c r="AG230" s="15"/>
      <c r="AH230" s="25"/>
      <c r="AI230" s="26"/>
      <c r="AJ230" s="26"/>
      <c r="AK230" s="27"/>
      <c r="AL230" s="28"/>
      <c r="AM230" s="29"/>
    </row>
    <row r="231" ht="12.75" customHeight="1">
      <c r="A231" s="26"/>
      <c r="B231" s="12"/>
      <c r="C231" s="240"/>
      <c r="D231" s="241"/>
      <c r="E231" s="5"/>
      <c r="F231" s="5"/>
      <c r="G231" s="5"/>
      <c r="H231" s="5"/>
      <c r="I231" s="5"/>
      <c r="J231" s="5"/>
      <c r="K231" s="8"/>
      <c r="L231" s="9"/>
      <c r="M231" s="10"/>
      <c r="N231" s="12"/>
      <c r="O231" s="242"/>
      <c r="P231" s="243"/>
      <c r="Q231" s="243"/>
      <c r="R231" s="14"/>
      <c r="S231" s="242"/>
      <c r="T231" s="15"/>
      <c r="U231" s="15"/>
      <c r="V231" s="15"/>
      <c r="W231" s="8"/>
      <c r="X231" s="8"/>
      <c r="Y231" s="56"/>
      <c r="Z231" s="56"/>
      <c r="AA231" s="15"/>
      <c r="AB231" s="15"/>
      <c r="AC231" s="15"/>
      <c r="AD231" s="15"/>
      <c r="AE231" s="57"/>
      <c r="AF231" s="57"/>
      <c r="AG231" s="15"/>
      <c r="AH231" s="25"/>
      <c r="AI231" s="26"/>
      <c r="AJ231" s="26"/>
      <c r="AK231" s="27"/>
      <c r="AL231" s="28"/>
      <c r="AM231" s="29"/>
    </row>
    <row r="232" ht="12.75" customHeight="1">
      <c r="A232" s="26"/>
      <c r="B232" s="12"/>
      <c r="C232" s="240"/>
      <c r="D232" s="241"/>
      <c r="E232" s="5"/>
      <c r="F232" s="5"/>
      <c r="G232" s="5"/>
      <c r="H232" s="5"/>
      <c r="I232" s="5"/>
      <c r="J232" s="5"/>
      <c r="K232" s="8"/>
      <c r="L232" s="9"/>
      <c r="M232" s="10"/>
      <c r="N232" s="12"/>
      <c r="O232" s="242"/>
      <c r="P232" s="243"/>
      <c r="Q232" s="243"/>
      <c r="R232" s="14"/>
      <c r="S232" s="242"/>
      <c r="T232" s="15"/>
      <c r="U232" s="15"/>
      <c r="V232" s="15"/>
      <c r="W232" s="8"/>
      <c r="X232" s="8"/>
      <c r="Y232" s="56"/>
      <c r="Z232" s="56"/>
      <c r="AA232" s="15"/>
      <c r="AB232" s="15"/>
      <c r="AC232" s="15"/>
      <c r="AD232" s="15"/>
      <c r="AE232" s="57"/>
      <c r="AF232" s="57"/>
      <c r="AG232" s="15"/>
      <c r="AH232" s="25"/>
      <c r="AI232" s="26"/>
      <c r="AJ232" s="26"/>
      <c r="AK232" s="27"/>
      <c r="AL232" s="28"/>
      <c r="AM232" s="29"/>
    </row>
    <row r="233" ht="12.75" customHeight="1">
      <c r="A233" s="26"/>
      <c r="B233" s="12"/>
      <c r="C233" s="240"/>
      <c r="D233" s="241"/>
      <c r="E233" s="5"/>
      <c r="F233" s="5"/>
      <c r="G233" s="5"/>
      <c r="H233" s="5"/>
      <c r="I233" s="5"/>
      <c r="J233" s="5"/>
      <c r="K233" s="8"/>
      <c r="L233" s="9"/>
      <c r="M233" s="10"/>
      <c r="N233" s="12"/>
      <c r="O233" s="242"/>
      <c r="P233" s="243"/>
      <c r="Q233" s="243"/>
      <c r="R233" s="14"/>
      <c r="S233" s="242"/>
      <c r="T233" s="15"/>
      <c r="U233" s="15"/>
      <c r="V233" s="15"/>
      <c r="W233" s="8"/>
      <c r="X233" s="8"/>
      <c r="Y233" s="56"/>
      <c r="Z233" s="56"/>
      <c r="AA233" s="15"/>
      <c r="AB233" s="15"/>
      <c r="AC233" s="15"/>
      <c r="AD233" s="15"/>
      <c r="AE233" s="57"/>
      <c r="AF233" s="57"/>
      <c r="AG233" s="15"/>
      <c r="AH233" s="25"/>
      <c r="AI233" s="26"/>
      <c r="AJ233" s="26"/>
      <c r="AK233" s="27"/>
      <c r="AL233" s="28"/>
      <c r="AM233" s="29"/>
    </row>
    <row r="234" ht="12.75" customHeight="1">
      <c r="A234" s="26"/>
      <c r="B234" s="12"/>
      <c r="C234" s="240"/>
      <c r="D234" s="241"/>
      <c r="E234" s="5"/>
      <c r="F234" s="5"/>
      <c r="G234" s="5"/>
      <c r="H234" s="5"/>
      <c r="I234" s="5"/>
      <c r="J234" s="5"/>
      <c r="K234" s="8"/>
      <c r="L234" s="9"/>
      <c r="M234" s="10"/>
      <c r="N234" s="12"/>
      <c r="O234" s="242"/>
      <c r="P234" s="243"/>
      <c r="Q234" s="243"/>
      <c r="R234" s="14"/>
      <c r="S234" s="242"/>
      <c r="T234" s="15"/>
      <c r="U234" s="15"/>
      <c r="V234" s="15"/>
      <c r="W234" s="8"/>
      <c r="X234" s="8"/>
      <c r="Y234" s="56"/>
      <c r="Z234" s="56"/>
      <c r="AA234" s="15"/>
      <c r="AB234" s="15"/>
      <c r="AC234" s="15"/>
      <c r="AD234" s="15"/>
      <c r="AE234" s="57"/>
      <c r="AF234" s="57"/>
      <c r="AG234" s="15"/>
      <c r="AH234" s="25"/>
      <c r="AI234" s="26"/>
      <c r="AJ234" s="26"/>
      <c r="AK234" s="27"/>
      <c r="AL234" s="28"/>
      <c r="AM234" s="29"/>
    </row>
    <row r="235" ht="12.75" customHeight="1">
      <c r="A235" s="26"/>
      <c r="B235" s="12"/>
      <c r="C235" s="240"/>
      <c r="D235" s="241"/>
      <c r="E235" s="5"/>
      <c r="F235" s="5"/>
      <c r="G235" s="5"/>
      <c r="H235" s="5"/>
      <c r="I235" s="5"/>
      <c r="J235" s="5"/>
      <c r="K235" s="8"/>
      <c r="L235" s="9"/>
      <c r="M235" s="10"/>
      <c r="N235" s="12"/>
      <c r="O235" s="242"/>
      <c r="P235" s="243"/>
      <c r="Q235" s="243"/>
      <c r="R235" s="14"/>
      <c r="S235" s="242"/>
      <c r="T235" s="15"/>
      <c r="U235" s="15"/>
      <c r="V235" s="15"/>
      <c r="W235" s="8"/>
      <c r="X235" s="8"/>
      <c r="Y235" s="56"/>
      <c r="Z235" s="56"/>
      <c r="AA235" s="15"/>
      <c r="AB235" s="15"/>
      <c r="AC235" s="15"/>
      <c r="AD235" s="15"/>
      <c r="AE235" s="57"/>
      <c r="AF235" s="57"/>
      <c r="AG235" s="15"/>
      <c r="AH235" s="25"/>
      <c r="AI235" s="26"/>
      <c r="AJ235" s="26"/>
      <c r="AK235" s="27"/>
      <c r="AL235" s="28"/>
      <c r="AM235" s="29"/>
    </row>
    <row r="236" ht="12.75" customHeight="1">
      <c r="A236" s="26"/>
      <c r="B236" s="12"/>
      <c r="C236" s="240"/>
      <c r="D236" s="241"/>
      <c r="E236" s="5"/>
      <c r="F236" s="5"/>
      <c r="G236" s="5"/>
      <c r="H236" s="5"/>
      <c r="I236" s="5"/>
      <c r="J236" s="5"/>
      <c r="K236" s="8"/>
      <c r="L236" s="9"/>
      <c r="M236" s="10"/>
      <c r="N236" s="12"/>
      <c r="O236" s="242"/>
      <c r="P236" s="243"/>
      <c r="Q236" s="243"/>
      <c r="R236" s="14"/>
      <c r="S236" s="242"/>
      <c r="T236" s="15"/>
      <c r="U236" s="15"/>
      <c r="V236" s="15"/>
      <c r="W236" s="8"/>
      <c r="X236" s="8"/>
      <c r="Y236" s="56"/>
      <c r="Z236" s="56"/>
      <c r="AA236" s="15"/>
      <c r="AB236" s="15"/>
      <c r="AC236" s="15"/>
      <c r="AD236" s="15"/>
      <c r="AE236" s="57"/>
      <c r="AF236" s="57"/>
      <c r="AG236" s="15"/>
      <c r="AH236" s="25"/>
      <c r="AI236" s="26"/>
      <c r="AJ236" s="26"/>
      <c r="AK236" s="27"/>
      <c r="AL236" s="28"/>
      <c r="AM236" s="29"/>
    </row>
    <row r="237" ht="12.75" customHeight="1">
      <c r="A237" s="26"/>
      <c r="B237" s="12"/>
      <c r="C237" s="240"/>
      <c r="D237" s="241"/>
      <c r="E237" s="5"/>
      <c r="F237" s="5"/>
      <c r="G237" s="5"/>
      <c r="H237" s="5"/>
      <c r="I237" s="5"/>
      <c r="J237" s="5"/>
      <c r="K237" s="8"/>
      <c r="L237" s="9"/>
      <c r="M237" s="10"/>
      <c r="N237" s="12"/>
      <c r="O237" s="242"/>
      <c r="P237" s="243"/>
      <c r="Q237" s="243"/>
      <c r="R237" s="14"/>
      <c r="S237" s="242"/>
      <c r="T237" s="15"/>
      <c r="U237" s="15"/>
      <c r="V237" s="15"/>
      <c r="W237" s="8"/>
      <c r="X237" s="8"/>
      <c r="Y237" s="56"/>
      <c r="Z237" s="56"/>
      <c r="AA237" s="15"/>
      <c r="AB237" s="15"/>
      <c r="AC237" s="15"/>
      <c r="AD237" s="15"/>
      <c r="AE237" s="57"/>
      <c r="AF237" s="57"/>
      <c r="AG237" s="15"/>
      <c r="AH237" s="25"/>
      <c r="AI237" s="26"/>
      <c r="AJ237" s="26"/>
      <c r="AK237" s="27"/>
      <c r="AL237" s="28"/>
      <c r="AM237" s="29"/>
    </row>
    <row r="238" ht="12.75" customHeight="1">
      <c r="A238" s="26"/>
      <c r="B238" s="12"/>
      <c r="C238" s="240"/>
      <c r="D238" s="241"/>
      <c r="E238" s="5"/>
      <c r="F238" s="5"/>
      <c r="G238" s="5"/>
      <c r="H238" s="5"/>
      <c r="I238" s="5"/>
      <c r="J238" s="5"/>
      <c r="K238" s="8"/>
      <c r="L238" s="9"/>
      <c r="M238" s="10"/>
      <c r="N238" s="12"/>
      <c r="O238" s="242"/>
      <c r="P238" s="243"/>
      <c r="Q238" s="243"/>
      <c r="R238" s="14"/>
      <c r="S238" s="242"/>
      <c r="T238" s="15"/>
      <c r="U238" s="15"/>
      <c r="V238" s="15"/>
      <c r="W238" s="8"/>
      <c r="X238" s="8"/>
      <c r="Y238" s="56"/>
      <c r="Z238" s="56"/>
      <c r="AA238" s="15"/>
      <c r="AB238" s="15"/>
      <c r="AC238" s="15"/>
      <c r="AD238" s="15"/>
      <c r="AE238" s="57"/>
      <c r="AF238" s="57"/>
      <c r="AG238" s="15"/>
      <c r="AH238" s="25"/>
      <c r="AI238" s="26"/>
      <c r="AJ238" s="26"/>
      <c r="AK238" s="27"/>
      <c r="AL238" s="28"/>
      <c r="AM238" s="29"/>
    </row>
    <row r="239" ht="12.75" customHeight="1">
      <c r="A239" s="26"/>
      <c r="B239" s="12"/>
      <c r="C239" s="240"/>
      <c r="D239" s="241"/>
      <c r="E239" s="5"/>
      <c r="F239" s="5"/>
      <c r="G239" s="5"/>
      <c r="H239" s="5"/>
      <c r="I239" s="5"/>
      <c r="J239" s="5"/>
      <c r="K239" s="8"/>
      <c r="L239" s="9"/>
      <c r="M239" s="10"/>
      <c r="N239" s="12"/>
      <c r="O239" s="242"/>
      <c r="P239" s="243"/>
      <c r="Q239" s="243"/>
      <c r="R239" s="14"/>
      <c r="S239" s="242"/>
      <c r="T239" s="15"/>
      <c r="U239" s="15"/>
      <c r="V239" s="15"/>
      <c r="W239" s="8"/>
      <c r="X239" s="8"/>
      <c r="Y239" s="56"/>
      <c r="Z239" s="56"/>
      <c r="AA239" s="15"/>
      <c r="AB239" s="15"/>
      <c r="AC239" s="15"/>
      <c r="AD239" s="15"/>
      <c r="AE239" s="57"/>
      <c r="AF239" s="57"/>
      <c r="AG239" s="15"/>
      <c r="AH239" s="25"/>
      <c r="AI239" s="26"/>
      <c r="AJ239" s="26"/>
      <c r="AK239" s="27"/>
      <c r="AL239" s="28"/>
      <c r="AM239" s="29"/>
    </row>
    <row r="240" ht="12.75" customHeight="1">
      <c r="A240" s="26"/>
      <c r="B240" s="12"/>
      <c r="C240" s="240"/>
      <c r="D240" s="241"/>
      <c r="E240" s="5"/>
      <c r="F240" s="5"/>
      <c r="G240" s="5"/>
      <c r="H240" s="5"/>
      <c r="I240" s="5"/>
      <c r="J240" s="5"/>
      <c r="K240" s="8"/>
      <c r="L240" s="9"/>
      <c r="M240" s="10"/>
      <c r="N240" s="12"/>
      <c r="O240" s="242"/>
      <c r="P240" s="243"/>
      <c r="Q240" s="243"/>
      <c r="R240" s="14"/>
      <c r="S240" s="242"/>
      <c r="T240" s="15"/>
      <c r="U240" s="15"/>
      <c r="V240" s="15"/>
      <c r="W240" s="8"/>
      <c r="X240" s="8"/>
      <c r="Y240" s="56"/>
      <c r="Z240" s="56"/>
      <c r="AA240" s="15"/>
      <c r="AB240" s="15"/>
      <c r="AC240" s="15"/>
      <c r="AD240" s="15"/>
      <c r="AE240" s="57"/>
      <c r="AF240" s="57"/>
      <c r="AG240" s="15"/>
      <c r="AH240" s="25"/>
      <c r="AI240" s="26"/>
      <c r="AJ240" s="26"/>
      <c r="AK240" s="27"/>
      <c r="AL240" s="28"/>
      <c r="AM240" s="29"/>
    </row>
    <row r="241" ht="12.75" customHeight="1">
      <c r="A241" s="26"/>
      <c r="B241" s="12"/>
      <c r="C241" s="240"/>
      <c r="D241" s="241"/>
      <c r="E241" s="5"/>
      <c r="F241" s="5"/>
      <c r="G241" s="5"/>
      <c r="H241" s="5"/>
      <c r="I241" s="5"/>
      <c r="J241" s="5"/>
      <c r="K241" s="8"/>
      <c r="L241" s="9"/>
      <c r="M241" s="10"/>
      <c r="N241" s="12"/>
      <c r="O241" s="242"/>
      <c r="P241" s="243"/>
      <c r="Q241" s="243"/>
      <c r="R241" s="14"/>
      <c r="S241" s="242"/>
      <c r="T241" s="15"/>
      <c r="U241" s="15"/>
      <c r="V241" s="15"/>
      <c r="W241" s="8"/>
      <c r="X241" s="8"/>
      <c r="Y241" s="56"/>
      <c r="Z241" s="56"/>
      <c r="AA241" s="15"/>
      <c r="AB241" s="15"/>
      <c r="AC241" s="15"/>
      <c r="AD241" s="15"/>
      <c r="AE241" s="57"/>
      <c r="AF241" s="57"/>
      <c r="AG241" s="15"/>
      <c r="AH241" s="25"/>
      <c r="AI241" s="26"/>
      <c r="AJ241" s="26"/>
      <c r="AK241" s="27"/>
      <c r="AL241" s="28"/>
      <c r="AM241" s="29"/>
    </row>
    <row r="242" ht="12.75" customHeight="1">
      <c r="A242" s="26"/>
      <c r="B242" s="12"/>
      <c r="C242" s="240"/>
      <c r="D242" s="241"/>
      <c r="E242" s="5"/>
      <c r="F242" s="5"/>
      <c r="G242" s="5"/>
      <c r="H242" s="5"/>
      <c r="I242" s="5"/>
      <c r="J242" s="5"/>
      <c r="K242" s="8"/>
      <c r="L242" s="9"/>
      <c r="M242" s="10"/>
      <c r="N242" s="12"/>
      <c r="O242" s="242"/>
      <c r="P242" s="243"/>
      <c r="Q242" s="243"/>
      <c r="R242" s="14"/>
      <c r="S242" s="242"/>
      <c r="T242" s="15"/>
      <c r="U242" s="15"/>
      <c r="V242" s="15"/>
      <c r="W242" s="8"/>
      <c r="X242" s="8"/>
      <c r="Y242" s="56"/>
      <c r="Z242" s="56"/>
      <c r="AA242" s="15"/>
      <c r="AB242" s="15"/>
      <c r="AC242" s="15"/>
      <c r="AD242" s="15"/>
      <c r="AE242" s="57"/>
      <c r="AF242" s="57"/>
      <c r="AG242" s="15"/>
      <c r="AH242" s="25"/>
      <c r="AI242" s="26"/>
      <c r="AJ242" s="26"/>
      <c r="AK242" s="27"/>
      <c r="AL242" s="28"/>
      <c r="AM242" s="29"/>
    </row>
    <row r="243" ht="12.75" customHeight="1">
      <c r="A243" s="26"/>
      <c r="B243" s="12"/>
      <c r="C243" s="240"/>
      <c r="D243" s="241"/>
      <c r="E243" s="5"/>
      <c r="F243" s="5"/>
      <c r="G243" s="5"/>
      <c r="H243" s="5"/>
      <c r="I243" s="5"/>
      <c r="J243" s="5"/>
      <c r="K243" s="8"/>
      <c r="L243" s="9"/>
      <c r="M243" s="10"/>
      <c r="N243" s="12"/>
      <c r="O243" s="242"/>
      <c r="P243" s="243"/>
      <c r="Q243" s="243"/>
      <c r="R243" s="14"/>
      <c r="S243" s="242"/>
      <c r="T243" s="15"/>
      <c r="U243" s="15"/>
      <c r="V243" s="15"/>
      <c r="W243" s="8"/>
      <c r="X243" s="8"/>
      <c r="Y243" s="56"/>
      <c r="Z243" s="56"/>
      <c r="AA243" s="15"/>
      <c r="AB243" s="15"/>
      <c r="AC243" s="15"/>
      <c r="AD243" s="15"/>
      <c r="AE243" s="57"/>
      <c r="AF243" s="57"/>
      <c r="AG243" s="15"/>
      <c r="AH243" s="25"/>
      <c r="AI243" s="26"/>
      <c r="AJ243" s="26"/>
      <c r="AK243" s="27"/>
      <c r="AL243" s="28"/>
      <c r="AM243" s="29"/>
    </row>
  </sheetData>
  <mergeCells count="8">
    <mergeCell ref="H1:I1"/>
    <mergeCell ref="J4:J5"/>
    <mergeCell ref="AJ7:AM8"/>
    <mergeCell ref="F8:K8"/>
    <mergeCell ref="O8:S8"/>
    <mergeCell ref="T8:V8"/>
    <mergeCell ref="X8:AD8"/>
    <mergeCell ref="AG8:AH8"/>
  </mergeCells>
  <conditionalFormatting sqref="AH1:AH7 AH9:AH243">
    <cfRule type="cellIs" dxfId="0" priority="1" operator="lessThan">
      <formula>0</formula>
    </cfRule>
  </conditionalFormatting>
  <conditionalFormatting sqref="AH1:AH7 AH9:AH243">
    <cfRule type="cellIs" dxfId="1" priority="2" operator="greaterThan">
      <formula>0.300001</formula>
    </cfRule>
  </conditionalFormatting>
  <conditionalFormatting sqref="AH1:AH7 AH9:AH243">
    <cfRule type="cellIs" dxfId="2" priority="3" operator="between">
      <formula>0.250001</formula>
      <formula>0.3</formula>
    </cfRule>
  </conditionalFormatting>
  <conditionalFormatting sqref="AH1:AH7 AH9:AH243">
    <cfRule type="cellIs" dxfId="3" priority="4" operator="between">
      <formula>0.200001</formula>
      <formula>0.25</formula>
    </cfRule>
  </conditionalFormatting>
  <conditionalFormatting sqref="AH1:AH7 AH9:AH243">
    <cfRule type="cellIs" dxfId="4" priority="5" operator="between">
      <formula>0.1500001</formula>
      <formula>0.2</formula>
    </cfRule>
  </conditionalFormatting>
  <conditionalFormatting sqref="AH1:AH7 AH9:AH243">
    <cfRule type="cellIs" dxfId="5" priority="6" operator="between">
      <formula>0.0000001</formula>
      <formula>0.15</formula>
    </cfRule>
  </conditionalFormatting>
  <printOptions/>
  <pageMargins bottom="0.7875" footer="0.0" header="0.0" left="0.7875" right="0.7875" top="0.78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4.43" defaultRowHeight="15.0"/>
  <cols>
    <col customWidth="1" min="1" max="1" width="1.43"/>
    <col customWidth="1" hidden="1" min="2" max="2" width="8.71"/>
    <col customWidth="1" min="3" max="3" width="22.14"/>
    <col customWidth="1" min="4" max="4" width="60.29"/>
    <col customWidth="1" min="5" max="5" width="5.43"/>
    <col customWidth="1" hidden="1" min="6" max="6" width="7.71"/>
    <col customWidth="1" hidden="1" min="7" max="7" width="9.57"/>
    <col customWidth="1" hidden="1" min="8" max="9" width="8.0"/>
    <col customWidth="1" hidden="1" min="10" max="10" width="8.14"/>
    <col customWidth="1" hidden="1" min="11" max="11" width="9.86"/>
    <col customWidth="1" hidden="1" min="12" max="13" width="8.14"/>
    <col customWidth="1" min="14" max="14" width="19.29"/>
    <col customWidth="1" min="15" max="15" width="9.0"/>
    <col customWidth="1" hidden="1" min="16" max="17" width="10.14"/>
    <col customWidth="1" hidden="1" min="18" max="22" width="9.0"/>
    <col customWidth="1" hidden="1" min="23" max="23" width="7.14"/>
    <col customWidth="1" hidden="1" min="24" max="30" width="9.0"/>
    <col customWidth="1" hidden="1" min="31" max="31" width="7.43"/>
    <col customWidth="1" hidden="1" min="32" max="32" width="9.0"/>
    <col customWidth="1" min="33" max="33" width="9.0"/>
    <col customWidth="1" min="34" max="34" width="37.29"/>
    <col customWidth="1" hidden="1" min="35" max="35" width="2.0"/>
    <col customWidth="1" hidden="1" min="36" max="37" width="9.0"/>
    <col customWidth="1" hidden="1" min="38" max="38" width="10.14"/>
    <col customWidth="1" hidden="1" min="39" max="39" width="9.0"/>
  </cols>
  <sheetData>
    <row r="1" ht="12.75" customHeight="1">
      <c r="A1" s="26"/>
      <c r="B1" s="2"/>
      <c r="C1" s="3">
        <v>60.0</v>
      </c>
      <c r="D1" s="4" t="s">
        <v>0</v>
      </c>
      <c r="E1" s="5"/>
      <c r="F1" s="5"/>
      <c r="G1" s="5"/>
      <c r="H1" s="6">
        <v>45712.0</v>
      </c>
      <c r="I1" s="7"/>
      <c r="J1" s="5"/>
      <c r="K1" s="8"/>
      <c r="L1" s="9"/>
      <c r="M1" s="10"/>
      <c r="N1" s="10"/>
      <c r="O1" s="12" t="s">
        <v>1</v>
      </c>
      <c r="P1" s="13"/>
      <c r="Q1" s="13"/>
      <c r="R1" s="14"/>
      <c r="S1" s="15" t="s">
        <v>2</v>
      </c>
      <c r="T1" s="15"/>
      <c r="U1" s="15"/>
      <c r="V1" s="15"/>
      <c r="W1" s="8"/>
      <c r="X1" s="16" t="s">
        <v>3</v>
      </c>
      <c r="Y1" s="17">
        <v>1.7</v>
      </c>
      <c r="Z1" s="18" t="s">
        <v>4</v>
      </c>
      <c r="AA1" s="19"/>
      <c r="AB1" s="20"/>
      <c r="AC1" s="15"/>
      <c r="AD1" s="21">
        <v>0.29</v>
      </c>
      <c r="AE1" s="22" t="s">
        <v>5</v>
      </c>
      <c r="AF1" s="23"/>
      <c r="AG1" s="24"/>
      <c r="AH1" s="25"/>
      <c r="AI1" s="26"/>
      <c r="AJ1" s="26"/>
      <c r="AK1" s="27"/>
      <c r="AL1" s="28"/>
      <c r="AM1" s="29"/>
    </row>
    <row r="2" ht="12.75" customHeight="1">
      <c r="A2" s="26"/>
      <c r="B2" s="12"/>
      <c r="C2" s="30">
        <v>0.1</v>
      </c>
      <c r="D2" s="31" t="s">
        <v>6</v>
      </c>
      <c r="E2" s="5"/>
      <c r="F2" s="5"/>
      <c r="G2" s="5"/>
      <c r="H2" s="32" t="s">
        <v>7</v>
      </c>
      <c r="I2" s="32">
        <v>5.6E-4</v>
      </c>
      <c r="J2" s="5"/>
      <c r="K2" s="8"/>
      <c r="L2" s="9"/>
      <c r="M2" s="10"/>
      <c r="N2" s="10" t="s">
        <v>8</v>
      </c>
      <c r="O2" s="33">
        <v>170.0</v>
      </c>
      <c r="P2" s="34">
        <v>64.6</v>
      </c>
      <c r="Q2" s="34"/>
      <c r="R2" s="35">
        <v>16.15</v>
      </c>
      <c r="S2" s="36">
        <v>170.0</v>
      </c>
      <c r="T2" s="36">
        <v>0.14</v>
      </c>
      <c r="U2" s="36">
        <v>0.14</v>
      </c>
      <c r="V2" s="15"/>
      <c r="W2" s="8"/>
      <c r="X2" s="37" t="s">
        <v>9</v>
      </c>
      <c r="Y2" s="38">
        <v>1.7</v>
      </c>
      <c r="Z2" s="39" t="s">
        <v>10</v>
      </c>
      <c r="AA2" s="38"/>
      <c r="AB2" s="40"/>
      <c r="AC2" s="15"/>
      <c r="AD2" s="41">
        <v>6.0</v>
      </c>
      <c r="AE2" s="22" t="s">
        <v>11</v>
      </c>
      <c r="AF2" s="23"/>
      <c r="AG2" s="24"/>
      <c r="AH2" s="25"/>
      <c r="AI2" s="26"/>
      <c r="AJ2" s="26"/>
      <c r="AK2" s="27"/>
      <c r="AL2" s="28"/>
      <c r="AM2" s="29"/>
    </row>
    <row r="3" ht="12.75" customHeight="1">
      <c r="A3" s="26"/>
      <c r="B3" s="12"/>
      <c r="C3" s="42">
        <v>0.0</v>
      </c>
      <c r="D3" s="43" t="s">
        <v>12</v>
      </c>
      <c r="E3" s="5"/>
      <c r="F3" s="5"/>
      <c r="G3" s="5"/>
      <c r="H3" s="44" t="s">
        <v>13</v>
      </c>
      <c r="I3" s="44">
        <v>86.0</v>
      </c>
      <c r="J3" s="5"/>
      <c r="K3" s="8"/>
      <c r="L3" s="9"/>
      <c r="M3" s="10"/>
      <c r="N3" s="10" t="s">
        <v>14</v>
      </c>
      <c r="O3" s="33">
        <v>160.0</v>
      </c>
      <c r="P3" s="34">
        <v>60.8</v>
      </c>
      <c r="Q3" s="34"/>
      <c r="R3" s="35">
        <v>15.2</v>
      </c>
      <c r="S3" s="36">
        <v>160.0</v>
      </c>
      <c r="T3" s="36">
        <v>0.13</v>
      </c>
      <c r="U3" s="36">
        <v>0.13</v>
      </c>
      <c r="V3" s="15"/>
      <c r="W3" s="8"/>
      <c r="X3" s="8"/>
      <c r="Y3" s="45">
        <v>50.0</v>
      </c>
      <c r="Z3" s="46" t="s">
        <v>15</v>
      </c>
      <c r="AA3" s="38"/>
      <c r="AB3" s="40"/>
      <c r="AC3" s="15"/>
      <c r="AD3" s="47">
        <v>0.0</v>
      </c>
      <c r="AE3" s="48" t="s">
        <v>16</v>
      </c>
      <c r="AF3" s="49"/>
      <c r="AG3" s="50"/>
      <c r="AH3" s="25"/>
      <c r="AI3" s="26"/>
      <c r="AJ3" s="26"/>
      <c r="AK3" s="27"/>
      <c r="AL3" s="28"/>
      <c r="AM3" s="29"/>
    </row>
    <row r="4" ht="12.75" customHeight="1">
      <c r="A4" s="26"/>
      <c r="B4" s="12"/>
      <c r="C4" s="51">
        <v>76.0</v>
      </c>
      <c r="D4" s="52" t="s">
        <v>17</v>
      </c>
      <c r="E4" s="5"/>
      <c r="F4" s="5"/>
      <c r="G4" s="53"/>
      <c r="H4" s="54" t="s">
        <v>18</v>
      </c>
      <c r="I4" s="32"/>
      <c r="J4" s="55">
        <v>0.3</v>
      </c>
      <c r="K4" s="8"/>
      <c r="L4" s="9"/>
      <c r="M4" s="10"/>
      <c r="N4" s="10" t="s">
        <v>19</v>
      </c>
      <c r="O4" s="33">
        <v>115.0</v>
      </c>
      <c r="P4" s="34">
        <v>43.7</v>
      </c>
      <c r="Q4" s="34"/>
      <c r="R4" s="35">
        <v>10.93</v>
      </c>
      <c r="S4" s="36">
        <v>115.0</v>
      </c>
      <c r="T4" s="36">
        <v>0.09</v>
      </c>
      <c r="U4" s="36">
        <v>0.09</v>
      </c>
      <c r="V4" s="15"/>
      <c r="W4" s="8"/>
      <c r="X4" s="8"/>
      <c r="Y4" s="15">
        <v>38.0</v>
      </c>
      <c r="Z4" s="56" t="s">
        <v>20</v>
      </c>
      <c r="AA4" s="15"/>
      <c r="AB4" s="15"/>
      <c r="AC4" s="15"/>
      <c r="AD4" s="15"/>
      <c r="AE4" s="57"/>
      <c r="AF4" s="57"/>
      <c r="AG4" s="15"/>
      <c r="AH4" s="25"/>
      <c r="AI4" s="26"/>
      <c r="AJ4" s="26"/>
      <c r="AK4" s="27"/>
      <c r="AL4" s="28"/>
      <c r="AM4" s="29"/>
    </row>
    <row r="5" ht="12.75" customHeight="1">
      <c r="A5" s="26"/>
      <c r="B5" s="12"/>
      <c r="C5" s="58">
        <v>19.0</v>
      </c>
      <c r="D5" s="59" t="s">
        <v>21</v>
      </c>
      <c r="E5" s="5"/>
      <c r="F5" s="5"/>
      <c r="G5" s="53"/>
      <c r="H5" s="54" t="s">
        <v>22</v>
      </c>
      <c r="I5" s="32"/>
      <c r="J5" s="60"/>
      <c r="K5" s="8"/>
      <c r="L5" s="9"/>
      <c r="M5" s="10"/>
      <c r="N5" s="10" t="s">
        <v>23</v>
      </c>
      <c r="O5" s="61">
        <v>200.0</v>
      </c>
      <c r="P5" s="62">
        <v>76.0</v>
      </c>
      <c r="Q5" s="62"/>
      <c r="R5" s="63">
        <v>19.0</v>
      </c>
      <c r="S5" s="36">
        <v>200.0</v>
      </c>
      <c r="T5" s="64">
        <v>0.16</v>
      </c>
      <c r="U5" s="64">
        <v>0.16</v>
      </c>
      <c r="V5" s="15"/>
      <c r="W5" s="8"/>
      <c r="X5" s="8"/>
      <c r="Y5" s="15">
        <v>9.5</v>
      </c>
      <c r="Z5" s="56" t="s">
        <v>24</v>
      </c>
      <c r="AA5" s="15"/>
      <c r="AB5" s="15"/>
      <c r="AC5" s="15"/>
      <c r="AD5" s="15"/>
      <c r="AE5" s="57"/>
      <c r="AF5" s="57"/>
      <c r="AG5" s="15"/>
      <c r="AH5" s="25"/>
      <c r="AI5" s="26"/>
      <c r="AJ5" s="26"/>
      <c r="AK5" s="27"/>
      <c r="AL5" s="28"/>
      <c r="AM5" s="29"/>
    </row>
    <row r="6" ht="12.75" customHeight="1">
      <c r="A6" s="26"/>
      <c r="B6" s="12"/>
      <c r="C6" s="51">
        <v>0.16</v>
      </c>
      <c r="D6" s="52" t="s">
        <v>25</v>
      </c>
      <c r="E6" s="5"/>
      <c r="F6" s="5"/>
      <c r="G6" s="5"/>
      <c r="H6" s="5"/>
      <c r="I6" s="5"/>
      <c r="J6" s="5"/>
      <c r="K6" s="8"/>
      <c r="L6" s="9"/>
      <c r="M6" s="10"/>
      <c r="N6" s="10" t="s">
        <v>26</v>
      </c>
      <c r="O6" s="33">
        <v>165.0</v>
      </c>
      <c r="P6" s="34">
        <v>62.7</v>
      </c>
      <c r="Q6" s="34"/>
      <c r="R6" s="35">
        <v>15.68</v>
      </c>
      <c r="S6" s="36">
        <v>165.0</v>
      </c>
      <c r="T6" s="36">
        <v>0.13</v>
      </c>
      <c r="U6" s="36">
        <v>0.13</v>
      </c>
      <c r="V6" s="15"/>
      <c r="W6" s="8"/>
      <c r="X6" s="8"/>
      <c r="Y6" s="65">
        <v>0.325</v>
      </c>
      <c r="Z6" s="66" t="s">
        <v>27</v>
      </c>
      <c r="AA6" s="19"/>
      <c r="AB6" s="20"/>
      <c r="AC6" s="15"/>
      <c r="AD6" s="15"/>
      <c r="AE6" s="57"/>
      <c r="AF6" s="57"/>
      <c r="AG6" s="15"/>
      <c r="AH6" s="25"/>
      <c r="AI6" s="26"/>
      <c r="AJ6" s="26"/>
      <c r="AK6" s="27"/>
      <c r="AL6" s="28"/>
      <c r="AM6" s="29"/>
    </row>
    <row r="7" ht="12.75" customHeight="1">
      <c r="A7" s="26"/>
      <c r="B7" s="12"/>
      <c r="C7" s="67">
        <v>30.0</v>
      </c>
      <c r="D7" s="59" t="s">
        <v>28</v>
      </c>
      <c r="E7" s="5"/>
      <c r="F7" s="5"/>
      <c r="G7" s="5"/>
      <c r="H7" s="5"/>
      <c r="I7" s="5"/>
      <c r="J7" s="5"/>
      <c r="K7" s="8"/>
      <c r="L7" s="9"/>
      <c r="M7" s="10"/>
      <c r="N7" s="10" t="s">
        <v>29</v>
      </c>
      <c r="O7" s="33">
        <v>220.0</v>
      </c>
      <c r="P7" s="34">
        <v>83.6</v>
      </c>
      <c r="Q7" s="34"/>
      <c r="R7" s="68">
        <v>20.9</v>
      </c>
      <c r="S7" s="35">
        <v>220.0</v>
      </c>
      <c r="T7" s="36">
        <v>0.18</v>
      </c>
      <c r="U7" s="36">
        <v>0.18</v>
      </c>
      <c r="V7" s="15"/>
      <c r="W7" s="69"/>
      <c r="X7" s="8"/>
      <c r="Y7" s="70">
        <v>0.0356</v>
      </c>
      <c r="Z7" s="71" t="s">
        <v>30</v>
      </c>
      <c r="AA7" s="72"/>
      <c r="AB7" s="73"/>
      <c r="AC7" s="15"/>
      <c r="AD7" s="15"/>
      <c r="AE7" s="57"/>
      <c r="AF7" s="57"/>
      <c r="AG7" s="15"/>
      <c r="AH7" s="25"/>
      <c r="AI7" s="26"/>
      <c r="AJ7" s="74" t="s">
        <v>31</v>
      </c>
      <c r="AK7" s="75"/>
      <c r="AL7" s="75"/>
      <c r="AM7" s="76"/>
    </row>
    <row r="8" ht="12.75" customHeight="1">
      <c r="A8" s="26"/>
      <c r="B8" s="77"/>
      <c r="C8" s="78">
        <v>0.08</v>
      </c>
      <c r="D8" s="79" t="s">
        <v>32</v>
      </c>
      <c r="E8" s="80"/>
      <c r="F8" s="81" t="s">
        <v>33</v>
      </c>
      <c r="G8" s="82"/>
      <c r="H8" s="82"/>
      <c r="I8" s="82"/>
      <c r="J8" s="82"/>
      <c r="K8" s="83"/>
      <c r="L8" s="84"/>
      <c r="M8" s="85"/>
      <c r="N8" s="12"/>
      <c r="O8" s="87" t="s">
        <v>34</v>
      </c>
      <c r="P8" s="88"/>
      <c r="Q8" s="88"/>
      <c r="R8" s="88"/>
      <c r="S8" s="89"/>
      <c r="T8" s="90" t="s">
        <v>35</v>
      </c>
      <c r="U8" s="88"/>
      <c r="V8" s="89"/>
      <c r="W8" s="8"/>
      <c r="X8" s="91" t="s">
        <v>36</v>
      </c>
      <c r="Y8" s="75"/>
      <c r="Z8" s="75"/>
      <c r="AA8" s="75"/>
      <c r="AB8" s="75"/>
      <c r="AC8" s="75"/>
      <c r="AD8" s="76"/>
      <c r="AE8" s="57"/>
      <c r="AF8" s="57"/>
      <c r="AG8" s="92" t="s">
        <v>37</v>
      </c>
      <c r="AH8" s="83"/>
      <c r="AI8" s="26"/>
      <c r="AJ8" s="93"/>
      <c r="AK8" s="94"/>
      <c r="AL8" s="94"/>
      <c r="AM8" s="95"/>
    </row>
    <row r="9" ht="52.5" customHeight="1">
      <c r="A9" s="26"/>
      <c r="B9" s="96" t="s">
        <v>38</v>
      </c>
      <c r="C9" s="96" t="s">
        <v>39</v>
      </c>
      <c r="D9" s="97" t="s">
        <v>40</v>
      </c>
      <c r="E9" s="98" t="s">
        <v>41</v>
      </c>
      <c r="F9" s="99" t="s">
        <v>42</v>
      </c>
      <c r="G9" s="100" t="s">
        <v>43</v>
      </c>
      <c r="H9" s="101" t="s">
        <v>44</v>
      </c>
      <c r="I9" s="101" t="s">
        <v>45</v>
      </c>
      <c r="J9" s="101" t="s">
        <v>46</v>
      </c>
      <c r="K9" s="102" t="s">
        <v>47</v>
      </c>
      <c r="L9" s="103" t="s">
        <v>48</v>
      </c>
      <c r="M9" s="104" t="s">
        <v>49</v>
      </c>
      <c r="N9" s="259" t="s">
        <v>656</v>
      </c>
      <c r="O9" s="106" t="s">
        <v>51</v>
      </c>
      <c r="P9" s="107" t="s">
        <v>820</v>
      </c>
      <c r="Q9" s="108" t="s">
        <v>53</v>
      </c>
      <c r="R9" s="109" t="s">
        <v>54</v>
      </c>
      <c r="S9" s="110" t="s">
        <v>55</v>
      </c>
      <c r="T9" s="111" t="s">
        <v>56</v>
      </c>
      <c r="U9" s="379" t="s">
        <v>766</v>
      </c>
      <c r="V9" s="112" t="s">
        <v>58</v>
      </c>
      <c r="W9" s="113" t="s">
        <v>59</v>
      </c>
      <c r="X9" s="114" t="s">
        <v>60</v>
      </c>
      <c r="Y9" s="115" t="s">
        <v>821</v>
      </c>
      <c r="Z9" s="115" t="s">
        <v>822</v>
      </c>
      <c r="AA9" s="116" t="s">
        <v>63</v>
      </c>
      <c r="AB9" s="116" t="s">
        <v>64</v>
      </c>
      <c r="AC9" s="116" t="s">
        <v>65</v>
      </c>
      <c r="AD9" s="117" t="s">
        <v>823</v>
      </c>
      <c r="AE9" s="118" t="s">
        <v>67</v>
      </c>
      <c r="AF9" s="119" t="s">
        <v>68</v>
      </c>
      <c r="AG9" s="120" t="s">
        <v>69</v>
      </c>
      <c r="AH9" s="121" t="s">
        <v>70</v>
      </c>
      <c r="AI9" s="26"/>
      <c r="AJ9" s="122" t="s">
        <v>71</v>
      </c>
      <c r="AK9" s="123" t="s">
        <v>72</v>
      </c>
      <c r="AL9" s="107" t="s">
        <v>824</v>
      </c>
      <c r="AM9" s="124" t="s">
        <v>74</v>
      </c>
    </row>
    <row r="10" ht="12.75" customHeight="1">
      <c r="A10" s="26"/>
      <c r="B10" s="125" t="s">
        <v>75</v>
      </c>
      <c r="C10" s="126"/>
      <c r="D10" s="126"/>
      <c r="E10" s="128"/>
      <c r="F10" s="129"/>
      <c r="G10" s="128"/>
      <c r="H10" s="128"/>
      <c r="I10" s="128"/>
      <c r="J10" s="128"/>
      <c r="K10" s="130"/>
      <c r="L10" s="131"/>
      <c r="M10" s="132"/>
      <c r="N10" s="320"/>
      <c r="O10" s="134"/>
      <c r="P10" s="135"/>
      <c r="Q10" s="135"/>
      <c r="R10" s="136"/>
      <c r="S10" s="137"/>
      <c r="T10" s="138"/>
      <c r="U10" s="139"/>
      <c r="V10" s="140"/>
      <c r="W10" s="141"/>
      <c r="X10" s="142"/>
      <c r="Y10" s="143"/>
      <c r="Z10" s="143"/>
      <c r="AA10" s="139"/>
      <c r="AB10" s="139"/>
      <c r="AC10" s="139"/>
      <c r="AD10" s="140"/>
      <c r="AE10" s="144"/>
      <c r="AF10" s="145"/>
      <c r="AG10" s="138"/>
      <c r="AH10" s="146"/>
      <c r="AI10" s="26"/>
      <c r="AJ10" s="147"/>
      <c r="AK10" s="148"/>
      <c r="AL10" s="149"/>
      <c r="AM10" s="150"/>
    </row>
    <row r="11" ht="12.75" customHeight="1">
      <c r="A11" s="26"/>
      <c r="C11" s="383">
        <v>8.809700320812E12</v>
      </c>
      <c r="D11" s="384" t="s">
        <v>825</v>
      </c>
      <c r="E11" s="53" t="s">
        <v>77</v>
      </c>
      <c r="F11" s="154">
        <v>1.0</v>
      </c>
      <c r="G11" s="53">
        <v>8800.0</v>
      </c>
      <c r="H11" s="53" t="str">
        <f t="shared" ref="H11:H24" si="1">$I$2</f>
        <v>0.00056</v>
      </c>
      <c r="I11" s="53" t="str">
        <f t="shared" ref="I11:I24" si="2">$I$3</f>
        <v>86</v>
      </c>
      <c r="J11" s="53">
        <v>495.0</v>
      </c>
      <c r="K11" s="155" t="str">
        <f t="shared" ref="K11:K24" si="3">J11*$J$4</f>
        <v>148.50</v>
      </c>
      <c r="L11" s="156" t="str">
        <f t="shared" ref="L11:L24" si="4">K11+J11</f>
        <v>643.50 </v>
      </c>
      <c r="M11" s="132">
        <v>90.0</v>
      </c>
      <c r="N11" s="325">
        <v>655.0</v>
      </c>
      <c r="O11" s="158">
        <v>2300.0</v>
      </c>
      <c r="P11" s="159" t="str">
        <f t="shared" ref="P11:P26" si="5">O11</f>
        <v>2,300.00</v>
      </c>
      <c r="Q11" s="160">
        <v>2108.0</v>
      </c>
      <c r="R11" s="161">
        <v>0.35</v>
      </c>
      <c r="S11" s="162" t="str">
        <f t="shared" ref="S11:S26" si="6">O11-(O11*R11)</f>
        <v>1,495.00</v>
      </c>
      <c r="T11" s="163" t="str">
        <f t="shared" ref="T11:T17" si="7">$C$1</f>
        <v>60.00</v>
      </c>
      <c r="U11" s="164" t="str">
        <f t="shared" ref="U11:U26" si="8">S11*$C$8</f>
        <v>119.60</v>
      </c>
      <c r="V11" s="165" t="str">
        <f t="shared" ref="V11:V26" si="9">N11*$C$3*(M11/30)</f>
        <v>0.00</v>
      </c>
      <c r="W11" s="166">
        <v>0.4</v>
      </c>
      <c r="X11" s="167">
        <v>95.0</v>
      </c>
      <c r="Y11" s="168" t="str">
        <f t="shared" ref="Y11:Y26" si="10">O11*$Y$6</f>
        <v>747.500</v>
      </c>
      <c r="Z11" s="168" t="str">
        <f t="shared" ref="Z11:Z26" si="11">S11*$Y$7</f>
        <v>53.222</v>
      </c>
      <c r="AA11" s="164" t="str">
        <f t="shared" ref="AA11:AA26" si="12">$Y$3*((100-AB11)/100)</f>
        <v>3.91</v>
      </c>
      <c r="AB11" s="164">
        <v>92.19</v>
      </c>
      <c r="AC11" s="164" t="str">
        <f t="shared" ref="AC11:AC14" si="13">$C$6*$C$7</f>
        <v>4.80</v>
      </c>
      <c r="AD11" s="165" t="str">
        <f t="shared" ref="AD11:AD26" si="14">O11*$C$2</f>
        <v>230.00</v>
      </c>
      <c r="AE11" s="23"/>
      <c r="AF11" s="169" t="str">
        <f t="shared" ref="AF11:AF26" si="15">(_xlfn.CEILING.MATH(W11))*$Y$1*$AD$2</f>
        <v>10.2</v>
      </c>
      <c r="AG11" s="163" t="str">
        <f t="shared" ref="AG11:AG26" si="16">O11-T11-U11-V11-X11-Y11-Z11-AA11-AC11-AD11-N11</f>
        <v>330.97</v>
      </c>
      <c r="AH11" s="170" t="str">
        <f t="shared" ref="AH11:AH26" si="17">AG11/N11</f>
        <v>50.53%</v>
      </c>
      <c r="AI11" s="26"/>
      <c r="AJ11" s="171">
        <v>0.25</v>
      </c>
      <c r="AK11" s="172" t="str">
        <f t="shared" ref="AK11:AK24" si="18">N11*AJ11</f>
        <v>163.75</v>
      </c>
      <c r="AL11" s="173" t="str">
        <f t="shared" ref="AL11:AL24" si="19">(N11+T11+V11+X11+AA11+AC11+AF11+AK11)/(100%-($C$2+$C$8+$Y$6+$Y$7))</f>
        <v>2,160.76</v>
      </c>
      <c r="AM11" s="174" t="str">
        <f t="shared" ref="AM11:AM24" si="20">AL11-(AL11*$AD$1)</f>
        <v>1,534.14</v>
      </c>
    </row>
    <row r="12" ht="12.75" customHeight="1">
      <c r="A12" s="26"/>
      <c r="C12" s="383">
        <v>8.809606850505E12</v>
      </c>
      <c r="D12" s="384" t="s">
        <v>826</v>
      </c>
      <c r="E12" s="53" t="s">
        <v>77</v>
      </c>
      <c r="F12" s="154">
        <v>1.0</v>
      </c>
      <c r="G12" s="53">
        <v>11500.0</v>
      </c>
      <c r="H12" s="53" t="str">
        <f t="shared" si="1"/>
        <v>0.00056</v>
      </c>
      <c r="I12" s="53" t="str">
        <f t="shared" si="2"/>
        <v>86</v>
      </c>
      <c r="J12" s="53">
        <v>647.0</v>
      </c>
      <c r="K12" s="155" t="str">
        <f t="shared" si="3"/>
        <v>194.10</v>
      </c>
      <c r="L12" s="156" t="str">
        <f t="shared" si="4"/>
        <v>841.10 </v>
      </c>
      <c r="M12" s="132">
        <v>90.0</v>
      </c>
      <c r="N12" s="325">
        <v>808.0</v>
      </c>
      <c r="O12" s="158">
        <v>2846.0</v>
      </c>
      <c r="P12" s="159" t="str">
        <f t="shared" si="5"/>
        <v>2,846.00</v>
      </c>
      <c r="Q12" s="160">
        <v>2900.0</v>
      </c>
      <c r="R12" s="161">
        <v>0.35</v>
      </c>
      <c r="S12" s="162" t="str">
        <f t="shared" si="6"/>
        <v>1,849.90</v>
      </c>
      <c r="T12" s="163" t="str">
        <f t="shared" si="7"/>
        <v>60.00</v>
      </c>
      <c r="U12" s="164" t="str">
        <f t="shared" si="8"/>
        <v>147.99</v>
      </c>
      <c r="V12" s="165" t="str">
        <f t="shared" si="9"/>
        <v>0.00</v>
      </c>
      <c r="W12" s="166">
        <v>0.45</v>
      </c>
      <c r="X12" s="167">
        <v>95.0</v>
      </c>
      <c r="Y12" s="168" t="str">
        <f t="shared" si="10"/>
        <v>924.950</v>
      </c>
      <c r="Z12" s="168" t="str">
        <f t="shared" si="11"/>
        <v>65.856</v>
      </c>
      <c r="AA12" s="164" t="str">
        <f t="shared" si="12"/>
        <v>5.23</v>
      </c>
      <c r="AB12" s="164">
        <v>89.55</v>
      </c>
      <c r="AC12" s="164" t="str">
        <f t="shared" si="13"/>
        <v>4.80</v>
      </c>
      <c r="AD12" s="165" t="str">
        <f t="shared" si="14"/>
        <v>284.60</v>
      </c>
      <c r="AE12" s="23"/>
      <c r="AF12" s="169" t="str">
        <f t="shared" si="15"/>
        <v>10.2</v>
      </c>
      <c r="AG12" s="163" t="str">
        <f t="shared" si="16"/>
        <v>449.58</v>
      </c>
      <c r="AH12" s="170" t="str">
        <f t="shared" si="17"/>
        <v>55.64%</v>
      </c>
      <c r="AI12" s="26"/>
      <c r="AJ12" s="171">
        <v>0.25</v>
      </c>
      <c r="AK12" s="172" t="str">
        <f t="shared" si="18"/>
        <v>202.00</v>
      </c>
      <c r="AL12" s="173" t="str">
        <f t="shared" si="19"/>
        <v>2,579.94</v>
      </c>
      <c r="AM12" s="174" t="str">
        <f t="shared" si="20"/>
        <v>1,831.76</v>
      </c>
    </row>
    <row r="13" ht="12.75" customHeight="1">
      <c r="A13" s="26"/>
      <c r="C13" s="385">
        <v>8.809971484503E12</v>
      </c>
      <c r="D13" s="386" t="s">
        <v>827</v>
      </c>
      <c r="E13" s="53" t="s">
        <v>77</v>
      </c>
      <c r="F13" s="154">
        <v>1.0</v>
      </c>
      <c r="G13" s="53">
        <v>8800.0</v>
      </c>
      <c r="H13" s="53" t="str">
        <f t="shared" si="1"/>
        <v>0.00056</v>
      </c>
      <c r="I13" s="53" t="str">
        <f t="shared" si="2"/>
        <v>86</v>
      </c>
      <c r="J13" s="53">
        <v>495.0</v>
      </c>
      <c r="K13" s="155" t="str">
        <f t="shared" si="3"/>
        <v>148.50</v>
      </c>
      <c r="L13" s="156" t="str">
        <f t="shared" si="4"/>
        <v>643.50 </v>
      </c>
      <c r="M13" s="132">
        <v>90.0</v>
      </c>
      <c r="N13" s="325">
        <v>546.0</v>
      </c>
      <c r="O13" s="158">
        <v>2542.0</v>
      </c>
      <c r="P13" s="159" t="str">
        <f t="shared" si="5"/>
        <v>2,542.00</v>
      </c>
      <c r="Q13" s="160">
        <v>2542.0</v>
      </c>
      <c r="R13" s="161">
        <v>0.35</v>
      </c>
      <c r="S13" s="162" t="str">
        <f t="shared" si="6"/>
        <v>1,652.30</v>
      </c>
      <c r="T13" s="163" t="str">
        <f t="shared" si="7"/>
        <v>60.00</v>
      </c>
      <c r="U13" s="164" t="str">
        <f t="shared" si="8"/>
        <v>132.18</v>
      </c>
      <c r="V13" s="165" t="str">
        <f t="shared" si="9"/>
        <v>0.00</v>
      </c>
      <c r="W13" s="166">
        <v>0.68</v>
      </c>
      <c r="X13" s="167">
        <v>95.0</v>
      </c>
      <c r="Y13" s="168" t="str">
        <f t="shared" si="10"/>
        <v>826.150</v>
      </c>
      <c r="Z13" s="168" t="str">
        <f t="shared" si="11"/>
        <v>58.822</v>
      </c>
      <c r="AA13" s="164" t="str">
        <f t="shared" si="12"/>
        <v>1.47</v>
      </c>
      <c r="AB13" s="164">
        <v>97.07</v>
      </c>
      <c r="AC13" s="164" t="str">
        <f t="shared" si="13"/>
        <v>4.80</v>
      </c>
      <c r="AD13" s="165" t="str">
        <f t="shared" si="14"/>
        <v>254.20</v>
      </c>
      <c r="AE13" s="23"/>
      <c r="AF13" s="169" t="str">
        <f t="shared" si="15"/>
        <v>10.2</v>
      </c>
      <c r="AG13" s="163" t="str">
        <f t="shared" si="16"/>
        <v>563.38</v>
      </c>
      <c r="AH13" s="170" t="str">
        <f t="shared" si="17"/>
        <v>103.18%</v>
      </c>
      <c r="AI13" s="26"/>
      <c r="AJ13" s="171">
        <v>0.25</v>
      </c>
      <c r="AK13" s="172" t="str">
        <f t="shared" si="18"/>
        <v>136.50</v>
      </c>
      <c r="AL13" s="173" t="str">
        <f t="shared" si="19"/>
        <v>1,858.87</v>
      </c>
      <c r="AM13" s="174" t="str">
        <f t="shared" si="20"/>
        <v>1,319.80</v>
      </c>
    </row>
    <row r="14" ht="12.75" customHeight="1">
      <c r="A14" s="26"/>
      <c r="C14" s="383">
        <v>8.809700320805E12</v>
      </c>
      <c r="D14" s="384" t="s">
        <v>828</v>
      </c>
      <c r="E14" s="53" t="s">
        <v>77</v>
      </c>
      <c r="F14" s="154">
        <v>1.0</v>
      </c>
      <c r="G14" s="53">
        <v>9000.0</v>
      </c>
      <c r="H14" s="53" t="str">
        <f t="shared" si="1"/>
        <v>0.00056</v>
      </c>
      <c r="I14" s="53" t="str">
        <f t="shared" si="2"/>
        <v>86</v>
      </c>
      <c r="J14" s="53">
        <v>506.0</v>
      </c>
      <c r="K14" s="155" t="str">
        <f t="shared" si="3"/>
        <v>151.80</v>
      </c>
      <c r="L14" s="156" t="str">
        <f t="shared" si="4"/>
        <v>657.80 </v>
      </c>
      <c r="M14" s="132">
        <v>90.0</v>
      </c>
      <c r="N14" s="325">
        <v>674.0</v>
      </c>
      <c r="O14" s="158">
        <v>2523.0</v>
      </c>
      <c r="P14" s="159" t="str">
        <f t="shared" si="5"/>
        <v>2,523.00</v>
      </c>
      <c r="Q14" s="160">
        <v>2489.0</v>
      </c>
      <c r="R14" s="161">
        <v>0.35</v>
      </c>
      <c r="S14" s="162" t="str">
        <f t="shared" si="6"/>
        <v>1,639.95</v>
      </c>
      <c r="T14" s="163" t="str">
        <f t="shared" si="7"/>
        <v>60.00</v>
      </c>
      <c r="U14" s="164" t="str">
        <f t="shared" si="8"/>
        <v>131.20</v>
      </c>
      <c r="V14" s="165" t="str">
        <f t="shared" si="9"/>
        <v>0.00</v>
      </c>
      <c r="W14" s="166">
        <v>0.63</v>
      </c>
      <c r="X14" s="167">
        <v>95.0</v>
      </c>
      <c r="Y14" s="168" t="str">
        <f t="shared" si="10"/>
        <v>819.975</v>
      </c>
      <c r="Z14" s="168" t="str">
        <f t="shared" si="11"/>
        <v>58.382</v>
      </c>
      <c r="AA14" s="164" t="str">
        <f t="shared" si="12"/>
        <v>0.00</v>
      </c>
      <c r="AB14" s="164">
        <v>100.0</v>
      </c>
      <c r="AC14" s="164" t="str">
        <f t="shared" si="13"/>
        <v>4.80</v>
      </c>
      <c r="AD14" s="165" t="str">
        <f t="shared" si="14"/>
        <v>252.30</v>
      </c>
      <c r="AE14" s="23"/>
      <c r="AF14" s="169" t="str">
        <f t="shared" si="15"/>
        <v>10.2</v>
      </c>
      <c r="AG14" s="163" t="str">
        <f t="shared" si="16"/>
        <v>427.35</v>
      </c>
      <c r="AH14" s="170" t="str">
        <f t="shared" si="17"/>
        <v>63.40%</v>
      </c>
      <c r="AI14" s="26"/>
      <c r="AJ14" s="171">
        <v>0.25</v>
      </c>
      <c r="AK14" s="172" t="str">
        <f t="shared" si="18"/>
        <v>168.50</v>
      </c>
      <c r="AL14" s="173" t="str">
        <f t="shared" si="19"/>
        <v>2,203.96</v>
      </c>
      <c r="AM14" s="174" t="str">
        <f t="shared" si="20"/>
        <v>1,564.81</v>
      </c>
    </row>
    <row r="15" ht="12.75" customHeight="1">
      <c r="A15" s="26"/>
      <c r="B15" s="190" t="s">
        <v>83</v>
      </c>
      <c r="C15" s="383">
        <v>8.809875907795E12</v>
      </c>
      <c r="D15" s="384" t="s">
        <v>829</v>
      </c>
      <c r="E15" s="53" t="s">
        <v>77</v>
      </c>
      <c r="F15" s="154">
        <v>1.0</v>
      </c>
      <c r="G15" s="53">
        <v>10600.0</v>
      </c>
      <c r="H15" s="53" t="str">
        <f t="shared" si="1"/>
        <v>0.00056</v>
      </c>
      <c r="I15" s="53" t="str">
        <f t="shared" si="2"/>
        <v>86</v>
      </c>
      <c r="J15" s="53">
        <v>597.0</v>
      </c>
      <c r="K15" s="155" t="str">
        <f t="shared" si="3"/>
        <v>179.10</v>
      </c>
      <c r="L15" s="156" t="str">
        <f t="shared" si="4"/>
        <v>776.10 </v>
      </c>
      <c r="M15" s="132">
        <v>90.0</v>
      </c>
      <c r="N15" s="325">
        <v>773.0</v>
      </c>
      <c r="O15" s="158">
        <v>2452.0</v>
      </c>
      <c r="P15" s="159" t="str">
        <f t="shared" si="5"/>
        <v>2,452.00</v>
      </c>
      <c r="Q15" s="160">
        <v>2413.0</v>
      </c>
      <c r="R15" s="161">
        <v>0.35</v>
      </c>
      <c r="S15" s="162" t="str">
        <f t="shared" si="6"/>
        <v>1,593.80</v>
      </c>
      <c r="T15" s="163" t="str">
        <f t="shared" si="7"/>
        <v>60.00</v>
      </c>
      <c r="U15" s="164" t="str">
        <f t="shared" si="8"/>
        <v>127.50</v>
      </c>
      <c r="V15" s="165" t="str">
        <f t="shared" si="9"/>
        <v>0.00</v>
      </c>
      <c r="W15" s="166">
        <v>0.7</v>
      </c>
      <c r="X15" s="167">
        <v>95.0</v>
      </c>
      <c r="Y15" s="168" t="str">
        <f t="shared" si="10"/>
        <v>796.900</v>
      </c>
      <c r="Z15" s="168" t="str">
        <f t="shared" si="11"/>
        <v>56.739</v>
      </c>
      <c r="AA15" s="164" t="str">
        <f t="shared" si="12"/>
        <v>0.00</v>
      </c>
      <c r="AB15" s="164">
        <v>100.0</v>
      </c>
      <c r="AC15" s="164" t="str">
        <f t="shared" ref="AC15:AC26" si="21">$C$6*$C$7*_xlfn.CEILING.MATH(W15)</f>
        <v>4.80</v>
      </c>
      <c r="AD15" s="165" t="str">
        <f t="shared" si="14"/>
        <v>245.20</v>
      </c>
      <c r="AE15" s="23"/>
      <c r="AF15" s="169" t="str">
        <f t="shared" si="15"/>
        <v>10.2</v>
      </c>
      <c r="AG15" s="163" t="str">
        <f t="shared" si="16"/>
        <v>292.86</v>
      </c>
      <c r="AH15" s="170" t="str">
        <f t="shared" si="17"/>
        <v>37.89%</v>
      </c>
      <c r="AI15" s="26"/>
      <c r="AJ15" s="171">
        <v>0.25</v>
      </c>
      <c r="AK15" s="172" t="str">
        <f t="shared" si="18"/>
        <v>193.25</v>
      </c>
      <c r="AL15" s="173" t="str">
        <f t="shared" si="19"/>
        <v>2,473.33</v>
      </c>
      <c r="AM15" s="174" t="str">
        <f t="shared" si="20"/>
        <v>1,756.07</v>
      </c>
    </row>
    <row r="16" ht="12.75" customHeight="1">
      <c r="A16" s="26"/>
      <c r="B16" s="190" t="s">
        <v>85</v>
      </c>
      <c r="C16" s="383">
        <v>8.809875907412E12</v>
      </c>
      <c r="D16" s="384" t="s">
        <v>830</v>
      </c>
      <c r="E16" s="53" t="s">
        <v>77</v>
      </c>
      <c r="F16" s="154">
        <v>1.0</v>
      </c>
      <c r="G16" s="53">
        <v>9400.0</v>
      </c>
      <c r="H16" s="53" t="str">
        <f t="shared" si="1"/>
        <v>0.00056</v>
      </c>
      <c r="I16" s="53" t="str">
        <f t="shared" si="2"/>
        <v>86</v>
      </c>
      <c r="J16" s="53">
        <v>529.0</v>
      </c>
      <c r="K16" s="155" t="str">
        <f t="shared" si="3"/>
        <v>158.70</v>
      </c>
      <c r="L16" s="156" t="str">
        <f t="shared" si="4"/>
        <v>687.70 </v>
      </c>
      <c r="M16" s="132">
        <v>90.0</v>
      </c>
      <c r="N16" s="325">
        <v>702.0</v>
      </c>
      <c r="O16" s="158">
        <v>2507.0</v>
      </c>
      <c r="P16" s="159" t="str">
        <f t="shared" si="5"/>
        <v>2,507.00</v>
      </c>
      <c r="Q16" s="160">
        <v>2385.0</v>
      </c>
      <c r="R16" s="161">
        <v>0.35</v>
      </c>
      <c r="S16" s="162" t="str">
        <f t="shared" si="6"/>
        <v>1,629.55</v>
      </c>
      <c r="T16" s="163" t="str">
        <f t="shared" si="7"/>
        <v>60.00</v>
      </c>
      <c r="U16" s="164" t="str">
        <f t="shared" si="8"/>
        <v>130.36</v>
      </c>
      <c r="V16" s="165" t="str">
        <f t="shared" si="9"/>
        <v>0.00</v>
      </c>
      <c r="W16" s="166">
        <v>0.7</v>
      </c>
      <c r="X16" s="167">
        <v>95.0</v>
      </c>
      <c r="Y16" s="168" t="str">
        <f t="shared" si="10"/>
        <v>814.775</v>
      </c>
      <c r="Z16" s="168" t="str">
        <f t="shared" si="11"/>
        <v>58.012</v>
      </c>
      <c r="AA16" s="164" t="str">
        <f t="shared" si="12"/>
        <v>2.50</v>
      </c>
      <c r="AB16" s="164">
        <v>95.0</v>
      </c>
      <c r="AC16" s="164" t="str">
        <f t="shared" si="21"/>
        <v>4.80</v>
      </c>
      <c r="AD16" s="165" t="str">
        <f t="shared" si="14"/>
        <v>250.70</v>
      </c>
      <c r="AE16" s="23"/>
      <c r="AF16" s="169" t="str">
        <f t="shared" si="15"/>
        <v>10.2</v>
      </c>
      <c r="AG16" s="163" t="str">
        <f t="shared" si="16"/>
        <v>388.85</v>
      </c>
      <c r="AH16" s="170" t="str">
        <f t="shared" si="17"/>
        <v>55.39%</v>
      </c>
      <c r="AI16" s="26"/>
      <c r="AJ16" s="171">
        <v>0.25</v>
      </c>
      <c r="AK16" s="172" t="str">
        <f t="shared" si="18"/>
        <v>175.50</v>
      </c>
      <c r="AL16" s="173" t="str">
        <f t="shared" si="19"/>
        <v>2,285.59</v>
      </c>
      <c r="AM16" s="174" t="str">
        <f t="shared" si="20"/>
        <v>1,622.77</v>
      </c>
    </row>
    <row r="17" ht="12.75" customHeight="1">
      <c r="A17" s="26"/>
      <c r="B17" s="190" t="s">
        <v>87</v>
      </c>
      <c r="C17" s="385">
        <v>8.80997148039E12</v>
      </c>
      <c r="D17" s="386" t="s">
        <v>830</v>
      </c>
      <c r="E17" s="53" t="s">
        <v>77</v>
      </c>
      <c r="F17" s="154">
        <v>1.0</v>
      </c>
      <c r="G17" s="53">
        <v>3800.0</v>
      </c>
      <c r="H17" s="53" t="str">
        <f t="shared" si="1"/>
        <v>0.00056</v>
      </c>
      <c r="I17" s="53" t="str">
        <f t="shared" si="2"/>
        <v>86</v>
      </c>
      <c r="J17" s="53">
        <v>214.0</v>
      </c>
      <c r="K17" s="155" t="str">
        <f t="shared" si="3"/>
        <v>64.20</v>
      </c>
      <c r="L17" s="156" t="str">
        <f t="shared" si="4"/>
        <v>278.20 </v>
      </c>
      <c r="M17" s="132">
        <v>90.0</v>
      </c>
      <c r="N17" s="325">
        <v>192.0</v>
      </c>
      <c r="O17" s="158">
        <v>2199.0</v>
      </c>
      <c r="P17" s="159" t="str">
        <f t="shared" si="5"/>
        <v>2,199.00</v>
      </c>
      <c r="Q17" s="160">
        <v>2199.0</v>
      </c>
      <c r="R17" s="161">
        <v>0.35</v>
      </c>
      <c r="S17" s="162" t="str">
        <f t="shared" si="6"/>
        <v>1,429.35</v>
      </c>
      <c r="T17" s="163" t="str">
        <f t="shared" si="7"/>
        <v>60.00</v>
      </c>
      <c r="U17" s="164" t="str">
        <f t="shared" si="8"/>
        <v>114.35</v>
      </c>
      <c r="V17" s="165" t="str">
        <f t="shared" si="9"/>
        <v>0.00</v>
      </c>
      <c r="W17" s="166">
        <v>0.45</v>
      </c>
      <c r="X17" s="167">
        <v>95.0</v>
      </c>
      <c r="Y17" s="168" t="str">
        <f t="shared" si="10"/>
        <v>714.675</v>
      </c>
      <c r="Z17" s="168" t="str">
        <f t="shared" si="11"/>
        <v>50.885</v>
      </c>
      <c r="AA17" s="164" t="str">
        <f t="shared" si="12"/>
        <v>3.38</v>
      </c>
      <c r="AB17" s="164">
        <v>93.24</v>
      </c>
      <c r="AC17" s="164" t="str">
        <f t="shared" si="21"/>
        <v>4.80</v>
      </c>
      <c r="AD17" s="165" t="str">
        <f t="shared" si="14"/>
        <v>219.90</v>
      </c>
      <c r="AE17" s="23"/>
      <c r="AF17" s="169" t="str">
        <f t="shared" si="15"/>
        <v>10.2</v>
      </c>
      <c r="AG17" s="163" t="str">
        <f t="shared" si="16"/>
        <v>744.01</v>
      </c>
      <c r="AH17" s="170" t="str">
        <f t="shared" si="17"/>
        <v>387.51%</v>
      </c>
      <c r="AI17" s="26"/>
      <c r="AJ17" s="171">
        <v>0.25</v>
      </c>
      <c r="AK17" s="172" t="str">
        <f t="shared" si="18"/>
        <v>48.00</v>
      </c>
      <c r="AL17" s="173" t="str">
        <f t="shared" si="19"/>
        <v>899.83</v>
      </c>
      <c r="AM17" s="174" t="str">
        <f t="shared" si="20"/>
        <v>638.88</v>
      </c>
    </row>
    <row r="18" ht="12.75" customHeight="1">
      <c r="A18" s="26"/>
      <c r="C18" s="383">
        <v>8.809606850475E12</v>
      </c>
      <c r="D18" s="384" t="s">
        <v>831</v>
      </c>
      <c r="E18" s="53" t="s">
        <v>77</v>
      </c>
      <c r="F18" s="154">
        <v>1.0</v>
      </c>
      <c r="G18" s="53">
        <v>10100.0</v>
      </c>
      <c r="H18" s="53" t="str">
        <f t="shared" si="1"/>
        <v>0.00056</v>
      </c>
      <c r="I18" s="53" t="str">
        <f t="shared" si="2"/>
        <v>86</v>
      </c>
      <c r="J18" s="53">
        <v>568.0</v>
      </c>
      <c r="K18" s="155" t="str">
        <f t="shared" si="3"/>
        <v>170.40</v>
      </c>
      <c r="L18" s="156" t="str">
        <f t="shared" si="4"/>
        <v>738.40 </v>
      </c>
      <c r="M18" s="132">
        <v>0.0</v>
      </c>
      <c r="N18" s="325">
        <v>727.0</v>
      </c>
      <c r="O18" s="158">
        <v>2368.0</v>
      </c>
      <c r="P18" s="159" t="str">
        <f t="shared" si="5"/>
        <v>2,368.00</v>
      </c>
      <c r="Q18" s="160">
        <v>2354.0</v>
      </c>
      <c r="R18" s="161">
        <v>0.35</v>
      </c>
      <c r="S18" s="162" t="str">
        <f t="shared" si="6"/>
        <v>1,539.20</v>
      </c>
      <c r="T18" s="163">
        <v>0.0</v>
      </c>
      <c r="U18" s="164" t="str">
        <f t="shared" si="8"/>
        <v>123.14</v>
      </c>
      <c r="V18" s="165" t="str">
        <f t="shared" si="9"/>
        <v>0.00</v>
      </c>
      <c r="W18" s="166">
        <v>0.45</v>
      </c>
      <c r="X18" s="167">
        <v>95.0</v>
      </c>
      <c r="Y18" s="168" t="str">
        <f t="shared" si="10"/>
        <v>769.600</v>
      </c>
      <c r="Z18" s="168" t="str">
        <f t="shared" si="11"/>
        <v>54.796</v>
      </c>
      <c r="AA18" s="164" t="str">
        <f t="shared" si="12"/>
        <v>0.00</v>
      </c>
      <c r="AB18" s="164">
        <v>100.0</v>
      </c>
      <c r="AC18" s="164" t="str">
        <f t="shared" si="21"/>
        <v>4.80</v>
      </c>
      <c r="AD18" s="165" t="str">
        <f t="shared" si="14"/>
        <v>236.80</v>
      </c>
      <c r="AE18" s="23"/>
      <c r="AF18" s="169" t="str">
        <f t="shared" si="15"/>
        <v>10.2</v>
      </c>
      <c r="AG18" s="163" t="str">
        <f t="shared" si="16"/>
        <v>356.87</v>
      </c>
      <c r="AH18" s="170" t="str">
        <f t="shared" si="17"/>
        <v>49.09%</v>
      </c>
      <c r="AI18" s="26"/>
      <c r="AJ18" s="171">
        <v>0.25</v>
      </c>
      <c r="AK18" s="172" t="str">
        <f t="shared" si="18"/>
        <v>181.75</v>
      </c>
      <c r="AL18" s="173" t="str">
        <f t="shared" si="19"/>
        <v>2,217.57</v>
      </c>
      <c r="AM18" s="174" t="str">
        <f t="shared" si="20"/>
        <v>1,574.47</v>
      </c>
    </row>
    <row r="19" ht="12.75" customHeight="1">
      <c r="A19" s="26"/>
      <c r="B19" s="190" t="s">
        <v>90</v>
      </c>
      <c r="C19" s="383">
        <v>8.809954940132E12</v>
      </c>
      <c r="D19" s="384" t="s">
        <v>832</v>
      </c>
      <c r="E19" s="53" t="s">
        <v>77</v>
      </c>
      <c r="F19" s="154">
        <v>1.0</v>
      </c>
      <c r="G19" s="53">
        <v>1400.0</v>
      </c>
      <c r="H19" s="53" t="str">
        <f t="shared" si="1"/>
        <v>0.00056</v>
      </c>
      <c r="I19" s="53" t="str">
        <f t="shared" si="2"/>
        <v>86</v>
      </c>
      <c r="J19" s="53">
        <v>79.0</v>
      </c>
      <c r="K19" s="155" t="str">
        <f t="shared" si="3"/>
        <v>23.70</v>
      </c>
      <c r="L19" s="156" t="str">
        <f t="shared" si="4"/>
        <v>102.70 </v>
      </c>
      <c r="M19" s="132">
        <v>90.0</v>
      </c>
      <c r="N19" s="325">
        <v>727.0</v>
      </c>
      <c r="O19" s="158">
        <v>2189.0</v>
      </c>
      <c r="P19" s="159" t="str">
        <f t="shared" si="5"/>
        <v>2,189.00</v>
      </c>
      <c r="Q19" s="160">
        <v>2189.0</v>
      </c>
      <c r="R19" s="161">
        <v>0.35</v>
      </c>
      <c r="S19" s="162" t="str">
        <f t="shared" si="6"/>
        <v>1,422.85</v>
      </c>
      <c r="T19" s="163" t="str">
        <f t="shared" ref="T19:T26" si="22">$C$1</f>
        <v>60.00</v>
      </c>
      <c r="U19" s="164" t="str">
        <f t="shared" si="8"/>
        <v>113.83</v>
      </c>
      <c r="V19" s="165" t="str">
        <f t="shared" si="9"/>
        <v>0.00</v>
      </c>
      <c r="W19" s="166">
        <v>0.7</v>
      </c>
      <c r="X19" s="167">
        <v>95.0</v>
      </c>
      <c r="Y19" s="168" t="str">
        <f t="shared" si="10"/>
        <v>711.425</v>
      </c>
      <c r="Z19" s="168" t="str">
        <f t="shared" si="11"/>
        <v>50.653</v>
      </c>
      <c r="AA19" s="164" t="str">
        <f t="shared" si="12"/>
        <v>2.42</v>
      </c>
      <c r="AB19" s="164">
        <v>95.16</v>
      </c>
      <c r="AC19" s="164" t="str">
        <f t="shared" si="21"/>
        <v>4.80</v>
      </c>
      <c r="AD19" s="165" t="str">
        <f t="shared" si="14"/>
        <v>218.90</v>
      </c>
      <c r="AE19" s="23"/>
      <c r="AF19" s="169" t="str">
        <f t="shared" si="15"/>
        <v>10.2</v>
      </c>
      <c r="AG19" s="163" t="str">
        <f t="shared" si="16"/>
        <v>204.97</v>
      </c>
      <c r="AH19" s="170" t="str">
        <f t="shared" si="17"/>
        <v>28.19%</v>
      </c>
      <c r="AI19" s="26"/>
      <c r="AJ19" s="171">
        <v>0.25</v>
      </c>
      <c r="AK19" s="172" t="str">
        <f t="shared" si="18"/>
        <v>181.75</v>
      </c>
      <c r="AL19" s="173" t="str">
        <f t="shared" si="19"/>
        <v>2,353.44</v>
      </c>
      <c r="AM19" s="174" t="str">
        <f t="shared" si="20"/>
        <v>1,670.94</v>
      </c>
    </row>
    <row r="20" ht="12.75" customHeight="1">
      <c r="A20" s="26"/>
      <c r="B20" s="190" t="s">
        <v>92</v>
      </c>
      <c r="C20" s="383">
        <v>8.809743546323E12</v>
      </c>
      <c r="D20" s="384" t="s">
        <v>833</v>
      </c>
      <c r="E20" s="53" t="s">
        <v>77</v>
      </c>
      <c r="F20" s="154">
        <v>1.0</v>
      </c>
      <c r="G20" s="53">
        <v>7600.0</v>
      </c>
      <c r="H20" s="53" t="str">
        <f t="shared" si="1"/>
        <v>0.00056</v>
      </c>
      <c r="I20" s="53" t="str">
        <f t="shared" si="2"/>
        <v>86</v>
      </c>
      <c r="J20" s="53">
        <v>428.0</v>
      </c>
      <c r="K20" s="155" t="str">
        <f t="shared" si="3"/>
        <v>128.40</v>
      </c>
      <c r="L20" s="156" t="str">
        <f t="shared" si="4"/>
        <v>556.40 </v>
      </c>
      <c r="M20" s="132">
        <v>90.0</v>
      </c>
      <c r="N20" s="325">
        <v>571.0</v>
      </c>
      <c r="O20" s="158">
        <v>1900.0</v>
      </c>
      <c r="P20" s="159" t="str">
        <f t="shared" si="5"/>
        <v>1,900.00</v>
      </c>
      <c r="Q20" s="160">
        <v>2189.0</v>
      </c>
      <c r="R20" s="161">
        <v>0.35</v>
      </c>
      <c r="S20" s="162" t="str">
        <f t="shared" si="6"/>
        <v>1,235.00</v>
      </c>
      <c r="T20" s="163" t="str">
        <f t="shared" si="22"/>
        <v>60.00</v>
      </c>
      <c r="U20" s="164" t="str">
        <f t="shared" si="8"/>
        <v>98.80</v>
      </c>
      <c r="V20" s="165" t="str">
        <f t="shared" si="9"/>
        <v>0.00</v>
      </c>
      <c r="W20" s="166">
        <v>0.7</v>
      </c>
      <c r="X20" s="167">
        <v>95.0</v>
      </c>
      <c r="Y20" s="168" t="str">
        <f t="shared" si="10"/>
        <v>617.500</v>
      </c>
      <c r="Z20" s="168" t="str">
        <f t="shared" si="11"/>
        <v>43.966</v>
      </c>
      <c r="AA20" s="164" t="str">
        <f t="shared" si="12"/>
        <v>0.00</v>
      </c>
      <c r="AB20" s="164">
        <v>100.0</v>
      </c>
      <c r="AC20" s="164" t="str">
        <f t="shared" si="21"/>
        <v>4.80</v>
      </c>
      <c r="AD20" s="165" t="str">
        <f t="shared" si="14"/>
        <v>190.00</v>
      </c>
      <c r="AE20" s="23"/>
      <c r="AF20" s="169" t="str">
        <f t="shared" si="15"/>
        <v>10.2</v>
      </c>
      <c r="AG20" s="163" t="str">
        <f t="shared" si="16"/>
        <v>218.93</v>
      </c>
      <c r="AH20" s="170" t="str">
        <f t="shared" si="17"/>
        <v>38.34%</v>
      </c>
      <c r="AI20" s="26"/>
      <c r="AJ20" s="171">
        <v>0.25</v>
      </c>
      <c r="AK20" s="172" t="str">
        <f t="shared" si="18"/>
        <v>142.75</v>
      </c>
      <c r="AL20" s="173" t="str">
        <f t="shared" si="19"/>
        <v>1,923.70</v>
      </c>
      <c r="AM20" s="174" t="str">
        <f t="shared" si="20"/>
        <v>1,365.83</v>
      </c>
    </row>
    <row r="21" ht="12.75" customHeight="1">
      <c r="A21" s="26"/>
      <c r="B21" s="190" t="s">
        <v>94</v>
      </c>
      <c r="C21" s="383">
        <v>8.809783321225E12</v>
      </c>
      <c r="D21" s="384" t="s">
        <v>834</v>
      </c>
      <c r="E21" s="53" t="s">
        <v>77</v>
      </c>
      <c r="F21" s="154">
        <v>1.0</v>
      </c>
      <c r="G21" s="53">
        <v>9400.0</v>
      </c>
      <c r="H21" s="53" t="str">
        <f t="shared" si="1"/>
        <v>0.00056</v>
      </c>
      <c r="I21" s="53" t="str">
        <f t="shared" si="2"/>
        <v>86</v>
      </c>
      <c r="J21" s="53">
        <v>529.0</v>
      </c>
      <c r="K21" s="155" t="str">
        <f t="shared" si="3"/>
        <v>158.70</v>
      </c>
      <c r="L21" s="156" t="str">
        <f t="shared" si="4"/>
        <v>687.70 </v>
      </c>
      <c r="M21" s="132">
        <v>90.0</v>
      </c>
      <c r="N21" s="325">
        <v>677.0</v>
      </c>
      <c r="O21" s="158">
        <v>2454.0</v>
      </c>
      <c r="P21" s="159" t="str">
        <f t="shared" si="5"/>
        <v>2,454.00</v>
      </c>
      <c r="Q21" s="160">
        <v>2454.0</v>
      </c>
      <c r="R21" s="161">
        <v>0.35</v>
      </c>
      <c r="S21" s="162" t="str">
        <f t="shared" si="6"/>
        <v>1,595.10</v>
      </c>
      <c r="T21" s="163" t="str">
        <f t="shared" si="22"/>
        <v>60.00</v>
      </c>
      <c r="U21" s="164" t="str">
        <f t="shared" si="8"/>
        <v>127.61</v>
      </c>
      <c r="V21" s="165" t="str">
        <f t="shared" si="9"/>
        <v>0.00</v>
      </c>
      <c r="W21" s="166">
        <v>0.7</v>
      </c>
      <c r="X21" s="167">
        <v>95.0</v>
      </c>
      <c r="Y21" s="168" t="str">
        <f t="shared" si="10"/>
        <v>797.550</v>
      </c>
      <c r="Z21" s="168" t="str">
        <f t="shared" si="11"/>
        <v>56.786</v>
      </c>
      <c r="AA21" s="164" t="str">
        <f t="shared" si="12"/>
        <v>2.38</v>
      </c>
      <c r="AB21" s="164">
        <v>95.24</v>
      </c>
      <c r="AC21" s="164" t="str">
        <f t="shared" si="21"/>
        <v>4.80</v>
      </c>
      <c r="AD21" s="165" t="str">
        <f t="shared" si="14"/>
        <v>245.40</v>
      </c>
      <c r="AE21" s="23"/>
      <c r="AF21" s="169" t="str">
        <f t="shared" si="15"/>
        <v>10.2</v>
      </c>
      <c r="AG21" s="163" t="str">
        <f t="shared" si="16"/>
        <v>387.48</v>
      </c>
      <c r="AH21" s="170" t="str">
        <f t="shared" si="17"/>
        <v>57.23%</v>
      </c>
      <c r="AI21" s="26"/>
      <c r="AJ21" s="171">
        <v>0.25</v>
      </c>
      <c r="AK21" s="172" t="str">
        <f t="shared" si="18"/>
        <v>169.25</v>
      </c>
      <c r="AL21" s="173" t="str">
        <f t="shared" si="19"/>
        <v>2,217.31</v>
      </c>
      <c r="AM21" s="174" t="str">
        <f t="shared" si="20"/>
        <v>1,574.29</v>
      </c>
    </row>
    <row r="22" ht="12.75" customHeight="1">
      <c r="A22" s="26"/>
      <c r="B22" s="190" t="s">
        <v>96</v>
      </c>
      <c r="C22" s="387">
        <v>8.809463992615E12</v>
      </c>
      <c r="D22" s="384" t="s">
        <v>835</v>
      </c>
      <c r="E22" s="53" t="s">
        <v>77</v>
      </c>
      <c r="F22" s="154">
        <v>1.0</v>
      </c>
      <c r="G22" s="53">
        <v>8300.0</v>
      </c>
      <c r="H22" s="53" t="str">
        <f t="shared" si="1"/>
        <v>0.00056</v>
      </c>
      <c r="I22" s="53" t="str">
        <f t="shared" si="2"/>
        <v>86</v>
      </c>
      <c r="J22" s="53">
        <v>467.0</v>
      </c>
      <c r="K22" s="155" t="str">
        <f t="shared" si="3"/>
        <v>140.10</v>
      </c>
      <c r="L22" s="156" t="str">
        <f t="shared" si="4"/>
        <v>607.10 </v>
      </c>
      <c r="M22" s="132">
        <v>90.0</v>
      </c>
      <c r="N22" s="325">
        <v>619.0</v>
      </c>
      <c r="O22" s="158">
        <v>1900.0</v>
      </c>
      <c r="P22" s="159" t="str">
        <f t="shared" si="5"/>
        <v>1,900.00</v>
      </c>
      <c r="Q22" s="160">
        <v>2043.0</v>
      </c>
      <c r="R22" s="161">
        <v>0.35</v>
      </c>
      <c r="S22" s="162" t="str">
        <f t="shared" si="6"/>
        <v>1,235.00</v>
      </c>
      <c r="T22" s="163" t="str">
        <f t="shared" si="22"/>
        <v>60.00</v>
      </c>
      <c r="U22" s="164" t="str">
        <f t="shared" si="8"/>
        <v>98.80</v>
      </c>
      <c r="V22" s="165" t="str">
        <f t="shared" si="9"/>
        <v>0.00</v>
      </c>
      <c r="W22" s="166">
        <v>0.7</v>
      </c>
      <c r="X22" s="167">
        <v>95.0</v>
      </c>
      <c r="Y22" s="168" t="str">
        <f t="shared" si="10"/>
        <v>617.500</v>
      </c>
      <c r="Z22" s="168" t="str">
        <f t="shared" si="11"/>
        <v>43.966</v>
      </c>
      <c r="AA22" s="164" t="str">
        <f t="shared" si="12"/>
        <v>1.78</v>
      </c>
      <c r="AB22" s="164">
        <v>96.44</v>
      </c>
      <c r="AC22" s="164" t="str">
        <f t="shared" si="21"/>
        <v>4.80</v>
      </c>
      <c r="AD22" s="165" t="str">
        <f t="shared" si="14"/>
        <v>190.00</v>
      </c>
      <c r="AE22" s="23"/>
      <c r="AF22" s="169" t="str">
        <f t="shared" si="15"/>
        <v>10.2</v>
      </c>
      <c r="AG22" s="163" t="str">
        <f t="shared" si="16"/>
        <v>169.15</v>
      </c>
      <c r="AH22" s="170" t="str">
        <f t="shared" si="17"/>
        <v>27.33%</v>
      </c>
      <c r="AI22" s="26"/>
      <c r="AJ22" s="171">
        <v>0.25</v>
      </c>
      <c r="AK22" s="172" t="str">
        <f t="shared" si="18"/>
        <v>154.75</v>
      </c>
      <c r="AL22" s="173" t="str">
        <f t="shared" si="19"/>
        <v>2,058.18</v>
      </c>
      <c r="AM22" s="174" t="str">
        <f t="shared" si="20"/>
        <v>1,461.31</v>
      </c>
    </row>
    <row r="23" ht="12.75" customHeight="1">
      <c r="A23" s="26"/>
      <c r="B23" s="190" t="s">
        <v>98</v>
      </c>
      <c r="C23" s="387">
        <v>8.809971482349E12</v>
      </c>
      <c r="D23" s="384" t="s">
        <v>836</v>
      </c>
      <c r="E23" s="53" t="s">
        <v>77</v>
      </c>
      <c r="F23" s="154">
        <v>1.0</v>
      </c>
      <c r="G23" s="53">
        <v>9000.0</v>
      </c>
      <c r="H23" s="53" t="str">
        <f t="shared" si="1"/>
        <v>0.00056</v>
      </c>
      <c r="I23" s="53" t="str">
        <f t="shared" si="2"/>
        <v>86</v>
      </c>
      <c r="J23" s="53">
        <v>506.0</v>
      </c>
      <c r="K23" s="155" t="str">
        <f t="shared" si="3"/>
        <v>151.80</v>
      </c>
      <c r="L23" s="156" t="str">
        <f t="shared" si="4"/>
        <v>657.80 </v>
      </c>
      <c r="M23" s="132">
        <v>90.0</v>
      </c>
      <c r="N23" s="325">
        <v>603.0</v>
      </c>
      <c r="O23" s="158">
        <v>1991.0</v>
      </c>
      <c r="P23" s="159" t="str">
        <f t="shared" si="5"/>
        <v>1,991.00</v>
      </c>
      <c r="Q23" s="160">
        <v>2003.0</v>
      </c>
      <c r="R23" s="161">
        <v>0.35</v>
      </c>
      <c r="S23" s="162" t="str">
        <f t="shared" si="6"/>
        <v>1,294.15</v>
      </c>
      <c r="T23" s="163" t="str">
        <f t="shared" si="22"/>
        <v>60.00</v>
      </c>
      <c r="U23" s="164" t="str">
        <f t="shared" si="8"/>
        <v>103.53</v>
      </c>
      <c r="V23" s="165" t="str">
        <f t="shared" si="9"/>
        <v>0.00</v>
      </c>
      <c r="W23" s="166">
        <v>0.7</v>
      </c>
      <c r="X23" s="167">
        <v>95.0</v>
      </c>
      <c r="Y23" s="168" t="str">
        <f t="shared" si="10"/>
        <v>647.075</v>
      </c>
      <c r="Z23" s="168" t="str">
        <f t="shared" si="11"/>
        <v>46.072</v>
      </c>
      <c r="AA23" s="164" t="str">
        <f t="shared" si="12"/>
        <v>3.13</v>
      </c>
      <c r="AB23" s="164">
        <v>93.75</v>
      </c>
      <c r="AC23" s="164" t="str">
        <f t="shared" si="21"/>
        <v>4.80</v>
      </c>
      <c r="AD23" s="165" t="str">
        <f t="shared" si="14"/>
        <v>199.10</v>
      </c>
      <c r="AE23" s="23"/>
      <c r="AF23" s="169" t="str">
        <f t="shared" si="15"/>
        <v>10.2</v>
      </c>
      <c r="AG23" s="163" t="str">
        <f t="shared" si="16"/>
        <v>229.30</v>
      </c>
      <c r="AH23" s="170" t="str">
        <f t="shared" si="17"/>
        <v>38.03%</v>
      </c>
      <c r="AI23" s="26"/>
      <c r="AJ23" s="171">
        <v>0.25</v>
      </c>
      <c r="AK23" s="172" t="str">
        <f t="shared" si="18"/>
        <v>150.75</v>
      </c>
      <c r="AL23" s="173" t="str">
        <f t="shared" si="19"/>
        <v>2,017.58</v>
      </c>
      <c r="AM23" s="174" t="str">
        <f t="shared" si="20"/>
        <v>1,432.48</v>
      </c>
    </row>
    <row r="24" ht="12.75" customHeight="1">
      <c r="A24" s="26"/>
      <c r="B24" s="190" t="s">
        <v>100</v>
      </c>
      <c r="C24" s="387">
        <v>8.809606852332E12</v>
      </c>
      <c r="D24" s="384" t="s">
        <v>837</v>
      </c>
      <c r="E24" s="53" t="s">
        <v>77</v>
      </c>
      <c r="F24" s="154">
        <v>1.0</v>
      </c>
      <c r="G24" s="53">
        <v>6100.0</v>
      </c>
      <c r="H24" s="53" t="str">
        <f t="shared" si="1"/>
        <v>0.00056</v>
      </c>
      <c r="I24" s="53" t="str">
        <f t="shared" si="2"/>
        <v>86</v>
      </c>
      <c r="J24" s="53">
        <v>344.0</v>
      </c>
      <c r="K24" s="155" t="str">
        <f t="shared" si="3"/>
        <v>103.20</v>
      </c>
      <c r="L24" s="156" t="str">
        <f t="shared" si="4"/>
        <v>447.20 </v>
      </c>
      <c r="M24" s="132">
        <v>90.0</v>
      </c>
      <c r="N24" s="325">
        <v>437.0</v>
      </c>
      <c r="O24" s="158">
        <v>1414.0</v>
      </c>
      <c r="P24" s="159" t="str">
        <f t="shared" si="5"/>
        <v>1,414.00</v>
      </c>
      <c r="Q24" s="160">
        <v>1414.0</v>
      </c>
      <c r="R24" s="161">
        <v>0.35</v>
      </c>
      <c r="S24" s="162" t="str">
        <f t="shared" si="6"/>
        <v>919.10</v>
      </c>
      <c r="T24" s="163" t="str">
        <f t="shared" si="22"/>
        <v>60.00</v>
      </c>
      <c r="U24" s="164" t="str">
        <f t="shared" si="8"/>
        <v>73.53</v>
      </c>
      <c r="V24" s="165" t="str">
        <f t="shared" si="9"/>
        <v>0.00</v>
      </c>
      <c r="W24" s="166">
        <v>0.7</v>
      </c>
      <c r="X24" s="167">
        <v>95.0</v>
      </c>
      <c r="Y24" s="168" t="str">
        <f t="shared" si="10"/>
        <v>459.550</v>
      </c>
      <c r="Z24" s="168" t="str">
        <f t="shared" si="11"/>
        <v>32.720</v>
      </c>
      <c r="AA24" s="164" t="str">
        <f t="shared" si="12"/>
        <v>3.95</v>
      </c>
      <c r="AB24" s="164">
        <v>92.11</v>
      </c>
      <c r="AC24" s="164" t="str">
        <f t="shared" si="21"/>
        <v>4.80</v>
      </c>
      <c r="AD24" s="165" t="str">
        <f t="shared" si="14"/>
        <v>141.40</v>
      </c>
      <c r="AE24" s="23"/>
      <c r="AF24" s="169" t="str">
        <f t="shared" si="15"/>
        <v>10.2</v>
      </c>
      <c r="AG24" s="163" t="str">
        <f t="shared" si="16"/>
        <v>106.06</v>
      </c>
      <c r="AH24" s="170" t="str">
        <f t="shared" si="17"/>
        <v>24.27%</v>
      </c>
      <c r="AI24" s="26"/>
      <c r="AJ24" s="171">
        <v>0.25</v>
      </c>
      <c r="AK24" s="172" t="str">
        <f t="shared" si="18"/>
        <v>109.25</v>
      </c>
      <c r="AL24" s="173" t="str">
        <f t="shared" si="19"/>
        <v>1,567.69</v>
      </c>
      <c r="AM24" s="174" t="str">
        <f t="shared" si="20"/>
        <v>1,113.06</v>
      </c>
    </row>
    <row r="25" ht="12.75" customHeight="1">
      <c r="A25" s="26"/>
      <c r="B25" s="12"/>
      <c r="C25" s="388"/>
      <c r="D25" s="384" t="s">
        <v>838</v>
      </c>
      <c r="E25" s="53" t="s">
        <v>77</v>
      </c>
      <c r="F25" s="154">
        <v>1.0</v>
      </c>
      <c r="G25" s="53"/>
      <c r="H25" s="53"/>
      <c r="I25" s="53"/>
      <c r="J25" s="53"/>
      <c r="K25" s="155"/>
      <c r="L25" s="156"/>
      <c r="M25" s="132">
        <v>90.0</v>
      </c>
      <c r="N25" s="325">
        <v>609.0</v>
      </c>
      <c r="O25" s="158">
        <v>1900.0</v>
      </c>
      <c r="P25" s="159" t="str">
        <f t="shared" si="5"/>
        <v>1,900.00</v>
      </c>
      <c r="Q25" s="160">
        <v>1414.0</v>
      </c>
      <c r="R25" s="161">
        <v>0.35</v>
      </c>
      <c r="S25" s="162" t="str">
        <f t="shared" si="6"/>
        <v>1,235.00</v>
      </c>
      <c r="T25" s="163" t="str">
        <f t="shared" si="22"/>
        <v>60.00</v>
      </c>
      <c r="U25" s="164" t="str">
        <f t="shared" si="8"/>
        <v>98.80</v>
      </c>
      <c r="V25" s="165" t="str">
        <f t="shared" si="9"/>
        <v>0.00</v>
      </c>
      <c r="W25" s="166">
        <v>0.7</v>
      </c>
      <c r="X25" s="167">
        <v>95.0</v>
      </c>
      <c r="Y25" s="168" t="str">
        <f t="shared" si="10"/>
        <v>617.500</v>
      </c>
      <c r="Z25" s="168" t="str">
        <f t="shared" si="11"/>
        <v>43.966</v>
      </c>
      <c r="AA25" s="164" t="str">
        <f t="shared" si="12"/>
        <v>3.95</v>
      </c>
      <c r="AB25" s="164">
        <v>92.11</v>
      </c>
      <c r="AC25" s="164" t="str">
        <f t="shared" si="21"/>
        <v>4.80</v>
      </c>
      <c r="AD25" s="165" t="str">
        <f t="shared" si="14"/>
        <v>190.00</v>
      </c>
      <c r="AE25" s="23"/>
      <c r="AF25" s="169" t="str">
        <f t="shared" si="15"/>
        <v>10.2</v>
      </c>
      <c r="AG25" s="163" t="str">
        <f t="shared" si="16"/>
        <v>176.99</v>
      </c>
      <c r="AH25" s="170" t="str">
        <f t="shared" si="17"/>
        <v>29.06%</v>
      </c>
      <c r="AI25" s="26"/>
      <c r="AJ25" s="389"/>
      <c r="AK25" s="8"/>
      <c r="AL25" s="390"/>
      <c r="AM25" s="391"/>
    </row>
    <row r="26" ht="12.75" customHeight="1">
      <c r="A26" s="26"/>
      <c r="B26" s="12"/>
      <c r="C26" s="388"/>
      <c r="D26" s="384" t="s">
        <v>839</v>
      </c>
      <c r="E26" s="53" t="s">
        <v>77</v>
      </c>
      <c r="F26" s="154">
        <v>1.0</v>
      </c>
      <c r="G26" s="53"/>
      <c r="H26" s="53"/>
      <c r="I26" s="53"/>
      <c r="J26" s="53"/>
      <c r="K26" s="155"/>
      <c r="L26" s="156"/>
      <c r="M26" s="132">
        <v>90.0</v>
      </c>
      <c r="N26" s="325">
        <v>580.0</v>
      </c>
      <c r="O26" s="158">
        <v>2584.0</v>
      </c>
      <c r="P26" s="159" t="str">
        <f t="shared" si="5"/>
        <v>2,584.00</v>
      </c>
      <c r="Q26" s="160">
        <v>1414.0</v>
      </c>
      <c r="R26" s="161">
        <v>0.35</v>
      </c>
      <c r="S26" s="162" t="str">
        <f t="shared" si="6"/>
        <v>1,679.60</v>
      </c>
      <c r="T26" s="163" t="str">
        <f t="shared" si="22"/>
        <v>60.00</v>
      </c>
      <c r="U26" s="164" t="str">
        <f t="shared" si="8"/>
        <v>134.37</v>
      </c>
      <c r="V26" s="165" t="str">
        <f t="shared" si="9"/>
        <v>0.00</v>
      </c>
      <c r="W26" s="166">
        <v>0.7</v>
      </c>
      <c r="X26" s="167">
        <v>95.0</v>
      </c>
      <c r="Y26" s="168" t="str">
        <f t="shared" si="10"/>
        <v>839.800</v>
      </c>
      <c r="Z26" s="168" t="str">
        <f t="shared" si="11"/>
        <v>59.794</v>
      </c>
      <c r="AA26" s="164" t="str">
        <f t="shared" si="12"/>
        <v>3.95</v>
      </c>
      <c r="AB26" s="164">
        <v>92.11</v>
      </c>
      <c r="AC26" s="164" t="str">
        <f t="shared" si="21"/>
        <v>4.80</v>
      </c>
      <c r="AD26" s="165" t="str">
        <f t="shared" si="14"/>
        <v>258.40</v>
      </c>
      <c r="AE26" s="23"/>
      <c r="AF26" s="169" t="str">
        <f t="shared" si="15"/>
        <v>10.2</v>
      </c>
      <c r="AG26" s="163" t="str">
        <f t="shared" si="16"/>
        <v>547.89</v>
      </c>
      <c r="AH26" s="170" t="str">
        <f t="shared" si="17"/>
        <v>94.46%</v>
      </c>
      <c r="AI26" s="26"/>
      <c r="AJ26" s="389"/>
      <c r="AK26" s="8"/>
      <c r="AL26" s="390"/>
      <c r="AM26" s="391"/>
    </row>
    <row r="27" ht="12.75" customHeight="1">
      <c r="A27" s="26"/>
      <c r="B27" s="12"/>
      <c r="C27" s="392"/>
      <c r="D27" s="393"/>
      <c r="E27" s="5"/>
      <c r="F27" s="5"/>
      <c r="G27" s="5"/>
      <c r="H27" s="5"/>
      <c r="I27" s="5"/>
      <c r="J27" s="5"/>
      <c r="K27" s="8"/>
      <c r="L27" s="9"/>
      <c r="M27" s="394"/>
      <c r="N27" s="395"/>
      <c r="O27" s="396"/>
      <c r="P27" s="390"/>
      <c r="Q27" s="397"/>
      <c r="R27" s="398"/>
      <c r="S27" s="15"/>
      <c r="T27" s="15"/>
      <c r="U27" s="15"/>
      <c r="V27" s="15"/>
      <c r="W27" s="8"/>
      <c r="X27" s="80"/>
      <c r="Y27" s="56"/>
      <c r="Z27" s="56"/>
      <c r="AA27" s="15"/>
      <c r="AB27" s="15"/>
      <c r="AC27" s="15"/>
      <c r="AD27" s="15"/>
      <c r="AE27" s="57"/>
      <c r="AF27" s="80"/>
      <c r="AG27" s="15"/>
      <c r="AH27" s="25"/>
      <c r="AI27" s="26"/>
      <c r="AJ27" s="389"/>
      <c r="AK27" s="8"/>
      <c r="AL27" s="390"/>
      <c r="AM27" s="39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H1:I1"/>
    <mergeCell ref="J4:J5"/>
    <mergeCell ref="AJ7:AM8"/>
    <mergeCell ref="F8:K8"/>
    <mergeCell ref="O8:S8"/>
    <mergeCell ref="T8:V8"/>
    <mergeCell ref="X8:AD8"/>
    <mergeCell ref="AG8:AH8"/>
  </mergeCells>
  <conditionalFormatting sqref="AH1:AH7 AH9:AH27">
    <cfRule type="cellIs" dxfId="0" priority="1" operator="lessThan">
      <formula>0</formula>
    </cfRule>
  </conditionalFormatting>
  <conditionalFormatting sqref="AH1:AH7 AH9:AH27">
    <cfRule type="cellIs" dxfId="1" priority="2" operator="greaterThan">
      <formula>0.300001</formula>
    </cfRule>
  </conditionalFormatting>
  <conditionalFormatting sqref="AH1:AH7 AH9:AH27">
    <cfRule type="cellIs" dxfId="2" priority="3" operator="between">
      <formula>0.250001</formula>
      <formula>0.3</formula>
    </cfRule>
  </conditionalFormatting>
  <conditionalFormatting sqref="AH1:AH7 AH9:AH27">
    <cfRule type="cellIs" dxfId="3" priority="4" operator="between">
      <formula>0.200001</formula>
      <formula>0.25</formula>
    </cfRule>
  </conditionalFormatting>
  <conditionalFormatting sqref="AH1:AH7 AH9:AH27">
    <cfRule type="cellIs" dxfId="4" priority="5" operator="between">
      <formula>0.1500001</formula>
      <formula>0.2</formula>
    </cfRule>
  </conditionalFormatting>
  <conditionalFormatting sqref="AH1:AH7 AH9:AH27">
    <cfRule type="cellIs" dxfId="5" priority="6" operator="between">
      <formula>0.0000001</formula>
      <formula>0.15</formula>
    </cfRule>
  </conditionalFormatting>
  <hyperlinks>
    <hyperlink r:id="rId1" ref="D11"/>
    <hyperlink r:id="rId2" ref="D12"/>
    <hyperlink r:id="rId3" ref="D14"/>
    <hyperlink r:id="rId4" ref="D15"/>
    <hyperlink r:id="rId5" ref="D16"/>
    <hyperlink r:id="rId6" ref="D18"/>
    <hyperlink r:id="rId7" ref="D19"/>
    <hyperlink r:id="rId8" ref="D20"/>
    <hyperlink r:id="rId9" ref="D21"/>
    <hyperlink r:id="rId10" ref="D22"/>
    <hyperlink r:id="rId11" ref="D23"/>
    <hyperlink r:id="rId12" ref="D24"/>
    <hyperlink r:id="rId13" ref="D25"/>
    <hyperlink r:id="rId14" ref="D26"/>
  </hyperlinks>
  <printOptions/>
  <pageMargins bottom="0.7875" footer="0.0" header="0.0" left="0.7875" right="0.7875" top="0.7875"/>
  <pageSetup paperSize="9" orientation="landscape"/>
  <drawing r:id="rId1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61.71"/>
    <col customWidth="1" min="3" max="3" width="58.71"/>
    <col customWidth="1" min="4" max="6" width="14.43"/>
    <col customWidth="1" min="7" max="7" width="10.0"/>
    <col customWidth="1" min="8" max="8" width="9.0"/>
    <col customWidth="1" min="10" max="10" width="8.57"/>
    <col customWidth="1" min="11" max="11" width="9.57"/>
    <col customWidth="1" min="13" max="13" width="8.43"/>
    <col customWidth="1" min="14" max="14" width="10.43"/>
    <col customWidth="1" min="15" max="15" width="13.14"/>
  </cols>
  <sheetData>
    <row r="1" ht="15.0" customHeight="1">
      <c r="A1" s="399" t="s">
        <v>840</v>
      </c>
      <c r="B1" s="399" t="s">
        <v>841</v>
      </c>
      <c r="C1" s="399" t="s">
        <v>842</v>
      </c>
      <c r="D1" s="399" t="s">
        <v>843</v>
      </c>
      <c r="E1" s="399" t="s">
        <v>844</v>
      </c>
      <c r="F1" s="399" t="s">
        <v>845</v>
      </c>
      <c r="G1" s="399" t="s">
        <v>846</v>
      </c>
      <c r="H1" s="399" t="s">
        <v>42</v>
      </c>
      <c r="I1" s="399" t="s">
        <v>847</v>
      </c>
      <c r="J1" s="399" t="s">
        <v>846</v>
      </c>
      <c r="K1" s="399" t="s">
        <v>42</v>
      </c>
      <c r="L1" s="399" t="s">
        <v>848</v>
      </c>
      <c r="M1" s="399" t="s">
        <v>846</v>
      </c>
      <c r="N1" s="399" t="s">
        <v>42</v>
      </c>
      <c r="O1" s="399" t="s">
        <v>849</v>
      </c>
      <c r="P1" s="400"/>
      <c r="Q1" s="400"/>
    </row>
    <row r="2" ht="15.0" customHeight="1">
      <c r="A2" s="401">
        <v>2.08202076E8</v>
      </c>
      <c r="B2" s="400" t="s">
        <v>850</v>
      </c>
      <c r="C2" s="400" t="s">
        <v>851</v>
      </c>
      <c r="D2" s="392" t="s">
        <v>852</v>
      </c>
      <c r="E2" s="392">
        <v>570.3</v>
      </c>
      <c r="F2" s="402" t="s">
        <v>853</v>
      </c>
      <c r="G2" s="399">
        <v>524.0</v>
      </c>
      <c r="H2" s="392">
        <v>150.0</v>
      </c>
      <c r="I2" s="400"/>
      <c r="J2" s="400"/>
      <c r="K2" s="400"/>
      <c r="L2" s="400"/>
      <c r="M2" s="400"/>
      <c r="N2" s="400"/>
      <c r="O2" s="399">
        <v>360.0</v>
      </c>
      <c r="P2" s="400"/>
      <c r="Q2" s="400"/>
    </row>
    <row r="3" ht="15.0" customHeight="1">
      <c r="A3" s="401">
        <v>1.90160197E8</v>
      </c>
      <c r="B3" s="400" t="s">
        <v>854</v>
      </c>
      <c r="C3" s="400" t="s">
        <v>855</v>
      </c>
      <c r="D3" s="392" t="s">
        <v>852</v>
      </c>
      <c r="E3" s="392">
        <v>900.0</v>
      </c>
      <c r="F3" s="402" t="s">
        <v>856</v>
      </c>
      <c r="G3" s="399">
        <v>1484.0</v>
      </c>
      <c r="H3" s="392">
        <v>240.0</v>
      </c>
      <c r="I3" s="402" t="s">
        <v>857</v>
      </c>
      <c r="J3" s="399">
        <v>923.0</v>
      </c>
      <c r="K3" s="392">
        <v>420.0</v>
      </c>
      <c r="L3" s="400"/>
      <c r="M3" s="400"/>
      <c r="N3" s="400"/>
      <c r="O3" s="399">
        <v>90.0</v>
      </c>
      <c r="P3" s="400"/>
      <c r="Q3" s="400"/>
    </row>
    <row r="4" ht="15.0" customHeight="1">
      <c r="A4" s="401">
        <v>2.07479264E8</v>
      </c>
      <c r="B4" s="400" t="s">
        <v>858</v>
      </c>
      <c r="C4" s="400" t="s">
        <v>859</v>
      </c>
      <c r="D4" s="392" t="s">
        <v>852</v>
      </c>
      <c r="E4" s="392">
        <v>900.0</v>
      </c>
      <c r="F4" s="402" t="s">
        <v>860</v>
      </c>
      <c r="G4" s="399">
        <v>909.0</v>
      </c>
      <c r="H4" s="392">
        <v>100.0</v>
      </c>
      <c r="I4" s="400"/>
      <c r="J4" s="400"/>
      <c r="K4" s="400"/>
      <c r="L4" s="400"/>
      <c r="M4" s="400"/>
      <c r="N4" s="400"/>
      <c r="O4" s="399">
        <v>315.0</v>
      </c>
      <c r="P4" s="400"/>
      <c r="Q4" s="400"/>
    </row>
    <row r="5" ht="15.0" customHeight="1">
      <c r="A5" s="401">
        <v>2.38415286E8</v>
      </c>
      <c r="B5" s="400" t="s">
        <v>861</v>
      </c>
      <c r="C5" s="400" t="s">
        <v>862</v>
      </c>
      <c r="D5" s="392" t="s">
        <v>863</v>
      </c>
      <c r="E5" s="392">
        <v>630.0</v>
      </c>
      <c r="F5" s="402" t="s">
        <v>864</v>
      </c>
      <c r="G5" s="399">
        <v>536.0</v>
      </c>
      <c r="H5" s="392">
        <v>660.0</v>
      </c>
      <c r="I5" s="402" t="s">
        <v>865</v>
      </c>
      <c r="J5" s="399">
        <v>549.0</v>
      </c>
      <c r="K5" s="392">
        <v>700.0</v>
      </c>
      <c r="L5" s="400"/>
      <c r="M5" s="400"/>
      <c r="N5" s="400"/>
      <c r="O5" s="399">
        <v>3600.0</v>
      </c>
      <c r="P5" s="400"/>
      <c r="Q5" s="400"/>
    </row>
    <row r="6" ht="15.0" customHeight="1">
      <c r="A6" s="401">
        <v>2.3841601E8</v>
      </c>
      <c r="B6" s="400" t="s">
        <v>866</v>
      </c>
      <c r="C6" s="400" t="s">
        <v>867</v>
      </c>
      <c r="D6" s="392" t="s">
        <v>863</v>
      </c>
      <c r="E6" s="392">
        <v>618.0</v>
      </c>
      <c r="F6" s="402" t="s">
        <v>868</v>
      </c>
      <c r="G6" s="399">
        <v>552.0</v>
      </c>
      <c r="H6" s="392">
        <v>3200.0</v>
      </c>
      <c r="I6" s="400"/>
      <c r="J6" s="400"/>
      <c r="K6" s="400"/>
      <c r="L6" s="400"/>
      <c r="M6" s="400"/>
      <c r="N6" s="400"/>
      <c r="O6" s="399">
        <v>1350.0</v>
      </c>
      <c r="P6" s="400"/>
      <c r="Q6" s="400"/>
    </row>
    <row r="7" ht="15.0" customHeight="1">
      <c r="A7" s="401">
        <v>2.38358954E8</v>
      </c>
      <c r="B7" s="400" t="s">
        <v>869</v>
      </c>
      <c r="C7" s="400" t="s">
        <v>870</v>
      </c>
      <c r="D7" s="392" t="s">
        <v>863</v>
      </c>
      <c r="E7" s="392">
        <v>624.0</v>
      </c>
      <c r="F7" s="402" t="s">
        <v>871</v>
      </c>
      <c r="G7" s="399">
        <v>680.0</v>
      </c>
      <c r="H7" s="392">
        <v>1700.0</v>
      </c>
      <c r="I7" s="402" t="s">
        <v>872</v>
      </c>
      <c r="J7" s="399">
        <v>470.0</v>
      </c>
      <c r="K7" s="392">
        <v>1000.0</v>
      </c>
      <c r="L7" s="402" t="s">
        <v>873</v>
      </c>
      <c r="M7" s="399">
        <v>523.0</v>
      </c>
      <c r="N7" s="392">
        <v>1000.0</v>
      </c>
      <c r="O7" s="399">
        <v>1800.0</v>
      </c>
      <c r="P7" s="400"/>
      <c r="Q7" s="400"/>
    </row>
    <row r="8" ht="15.0" customHeight="1">
      <c r="A8" s="401">
        <v>1.51132051E8</v>
      </c>
      <c r="B8" s="400" t="s">
        <v>874</v>
      </c>
      <c r="C8" s="400" t="s">
        <v>875</v>
      </c>
      <c r="D8" s="392" t="s">
        <v>863</v>
      </c>
      <c r="E8" s="392">
        <v>999.0</v>
      </c>
      <c r="F8" s="402" t="s">
        <v>876</v>
      </c>
      <c r="G8" s="399">
        <v>1058.0</v>
      </c>
      <c r="H8" s="392">
        <v>400.0</v>
      </c>
      <c r="I8" s="400"/>
      <c r="J8" s="400"/>
      <c r="K8" s="400"/>
      <c r="L8" s="400"/>
      <c r="M8" s="400"/>
      <c r="N8" s="400"/>
      <c r="O8" s="399">
        <v>270.0</v>
      </c>
      <c r="P8" s="400"/>
      <c r="Q8" s="400"/>
    </row>
    <row r="9" ht="15.0" customHeight="1">
      <c r="A9" s="401">
        <v>1.51132052E8</v>
      </c>
      <c r="B9" s="400" t="s">
        <v>877</v>
      </c>
      <c r="C9" s="400" t="s">
        <v>878</v>
      </c>
      <c r="D9" s="392" t="s">
        <v>863</v>
      </c>
      <c r="E9" s="392">
        <v>900.0</v>
      </c>
      <c r="F9" s="402" t="s">
        <v>879</v>
      </c>
      <c r="G9" s="399">
        <v>917.0</v>
      </c>
      <c r="H9" s="392">
        <v>270.0</v>
      </c>
      <c r="I9" s="402" t="s">
        <v>880</v>
      </c>
      <c r="J9" s="399">
        <v>957.0</v>
      </c>
      <c r="K9" s="392">
        <v>220.0</v>
      </c>
      <c r="L9" s="400"/>
      <c r="M9" s="400"/>
      <c r="N9" s="400"/>
      <c r="O9" s="399">
        <v>270.0</v>
      </c>
      <c r="P9" s="400"/>
      <c r="Q9" s="400"/>
    </row>
    <row r="10" ht="15.0" customHeight="1">
      <c r="A10" s="401">
        <v>1.50925322E8</v>
      </c>
      <c r="B10" s="400" t="s">
        <v>881</v>
      </c>
      <c r="C10" s="400" t="s">
        <v>882</v>
      </c>
      <c r="D10" s="392" t="s">
        <v>863</v>
      </c>
      <c r="E10" s="392">
        <v>750.0</v>
      </c>
      <c r="F10" s="402" t="s">
        <v>883</v>
      </c>
      <c r="G10" s="399">
        <v>708.0</v>
      </c>
      <c r="H10" s="392">
        <v>1400.0</v>
      </c>
      <c r="I10" s="402" t="s">
        <v>884</v>
      </c>
      <c r="J10" s="399">
        <v>801.0</v>
      </c>
      <c r="K10" s="392">
        <v>615.0</v>
      </c>
      <c r="L10" s="400"/>
      <c r="M10" s="400"/>
      <c r="N10" s="400"/>
      <c r="O10" s="399">
        <v>540.0</v>
      </c>
      <c r="P10" s="400"/>
      <c r="Q10" s="400"/>
    </row>
    <row r="11" ht="15.0" customHeight="1">
      <c r="A11" s="401">
        <v>2.07796789E8</v>
      </c>
      <c r="B11" s="400" t="s">
        <v>885</v>
      </c>
      <c r="C11" s="400" t="s">
        <v>886</v>
      </c>
      <c r="D11" s="392" t="s">
        <v>863</v>
      </c>
      <c r="E11" s="392">
        <v>840.0</v>
      </c>
      <c r="F11" s="402" t="s">
        <v>887</v>
      </c>
      <c r="G11" s="399">
        <v>847.0</v>
      </c>
      <c r="H11" s="392">
        <v>385.0</v>
      </c>
      <c r="I11" s="400"/>
      <c r="J11" s="400"/>
      <c r="K11" s="400"/>
      <c r="L11" s="400"/>
      <c r="M11" s="400"/>
      <c r="N11" s="400"/>
      <c r="O11" s="399">
        <v>315.0</v>
      </c>
      <c r="P11" s="400"/>
      <c r="Q11" s="400"/>
    </row>
    <row r="12" ht="15.0" customHeight="1">
      <c r="A12" s="401">
        <v>2.07796898E8</v>
      </c>
      <c r="B12" s="400" t="s">
        <v>888</v>
      </c>
      <c r="C12" s="400" t="s">
        <v>886</v>
      </c>
      <c r="D12" s="392" t="s">
        <v>863</v>
      </c>
      <c r="E12" s="392">
        <v>840.0</v>
      </c>
      <c r="F12" s="402" t="s">
        <v>889</v>
      </c>
      <c r="G12" s="399">
        <v>919.0</v>
      </c>
      <c r="H12" s="392">
        <v>170.0</v>
      </c>
      <c r="I12" s="402" t="s">
        <v>890</v>
      </c>
      <c r="J12" s="399">
        <v>781.0</v>
      </c>
      <c r="K12" s="392">
        <v>250.0</v>
      </c>
      <c r="L12" s="400"/>
      <c r="M12" s="400"/>
      <c r="N12" s="400"/>
      <c r="O12" s="399">
        <v>135.0</v>
      </c>
      <c r="P12" s="400"/>
      <c r="Q12" s="400"/>
    </row>
    <row r="13" ht="15.0" customHeight="1">
      <c r="A13" s="401">
        <v>1.70198337E8</v>
      </c>
      <c r="B13" s="400" t="s">
        <v>891</v>
      </c>
      <c r="C13" s="400" t="s">
        <v>892</v>
      </c>
      <c r="D13" s="392" t="s">
        <v>863</v>
      </c>
      <c r="E13" s="392">
        <v>825.6</v>
      </c>
      <c r="F13" s="402" t="s">
        <v>893</v>
      </c>
      <c r="G13" s="399">
        <v>741.0</v>
      </c>
      <c r="H13" s="392">
        <v>350.0</v>
      </c>
      <c r="I13" s="402" t="s">
        <v>894</v>
      </c>
      <c r="J13" s="399">
        <v>781.0</v>
      </c>
      <c r="K13" s="392">
        <v>260.0</v>
      </c>
      <c r="L13" s="400"/>
      <c r="M13" s="400"/>
      <c r="N13" s="400"/>
      <c r="O13" s="399">
        <v>270.0</v>
      </c>
      <c r="P13" s="400"/>
      <c r="Q13" s="400"/>
    </row>
    <row r="14" ht="15.0" customHeight="1">
      <c r="A14" s="401">
        <v>1.7019818E8</v>
      </c>
      <c r="B14" s="400" t="s">
        <v>895</v>
      </c>
      <c r="C14" s="400" t="s">
        <v>896</v>
      </c>
      <c r="D14" s="392" t="s">
        <v>863</v>
      </c>
      <c r="E14" s="392">
        <v>945.0</v>
      </c>
      <c r="F14" s="402" t="s">
        <v>897</v>
      </c>
      <c r="G14" s="399">
        <v>815.0</v>
      </c>
      <c r="H14" s="392">
        <v>140.0</v>
      </c>
      <c r="I14" s="402" t="s">
        <v>898</v>
      </c>
      <c r="J14" s="399">
        <v>1095.0</v>
      </c>
      <c r="K14" s="392">
        <v>230.0</v>
      </c>
      <c r="L14" s="400"/>
      <c r="M14" s="400"/>
      <c r="N14" s="400"/>
      <c r="O14" s="399">
        <v>180.0</v>
      </c>
      <c r="P14" s="400"/>
      <c r="Q14" s="400"/>
    </row>
    <row r="15" ht="15.0" customHeight="1">
      <c r="A15" s="401">
        <v>1.70198835E8</v>
      </c>
      <c r="B15" s="400" t="s">
        <v>899</v>
      </c>
      <c r="C15" s="400" t="s">
        <v>900</v>
      </c>
      <c r="D15" s="392" t="s">
        <v>863</v>
      </c>
      <c r="E15" s="392">
        <v>852.0</v>
      </c>
      <c r="F15" s="402" t="s">
        <v>901</v>
      </c>
      <c r="G15" s="399">
        <v>953.0</v>
      </c>
      <c r="H15" s="392">
        <v>460.0</v>
      </c>
      <c r="I15" s="402" t="s">
        <v>902</v>
      </c>
      <c r="J15" s="399">
        <v>777.0</v>
      </c>
      <c r="K15" s="392">
        <v>215.0</v>
      </c>
      <c r="L15" s="400"/>
      <c r="M15" s="400"/>
      <c r="N15" s="400"/>
      <c r="O15" s="399">
        <v>90.0</v>
      </c>
      <c r="P15" s="400"/>
      <c r="Q15" s="400"/>
    </row>
    <row r="16" ht="15.0" customHeight="1">
      <c r="A16" s="401">
        <v>1.68956391E8</v>
      </c>
      <c r="B16" s="400" t="s">
        <v>903</v>
      </c>
      <c r="C16" s="400" t="s">
        <v>904</v>
      </c>
      <c r="D16" s="392" t="s">
        <v>905</v>
      </c>
      <c r="E16" s="392">
        <v>1035.0</v>
      </c>
      <c r="F16" s="400"/>
      <c r="G16" s="400"/>
      <c r="H16" s="400"/>
      <c r="I16" s="400"/>
      <c r="J16" s="400"/>
      <c r="K16" s="400"/>
      <c r="L16" s="400"/>
      <c r="M16" s="400"/>
      <c r="N16" s="400"/>
      <c r="O16" s="399">
        <v>2700.0</v>
      </c>
      <c r="P16" s="400"/>
      <c r="Q16" s="400"/>
    </row>
    <row r="17" ht="15.0" customHeight="1">
      <c r="A17" s="401">
        <v>1.6907615E8</v>
      </c>
      <c r="B17" s="400" t="s">
        <v>906</v>
      </c>
      <c r="C17" s="400" t="s">
        <v>907</v>
      </c>
      <c r="D17" s="392" t="s">
        <v>905</v>
      </c>
      <c r="E17" s="392">
        <v>1012.1</v>
      </c>
      <c r="F17" s="400"/>
      <c r="G17" s="400"/>
      <c r="H17" s="400"/>
      <c r="I17" s="400"/>
      <c r="J17" s="400"/>
      <c r="K17" s="400"/>
      <c r="L17" s="400"/>
      <c r="M17" s="400"/>
      <c r="N17" s="400"/>
      <c r="O17" s="399">
        <v>630.0</v>
      </c>
      <c r="P17" s="400"/>
      <c r="Q17" s="400"/>
    </row>
    <row r="18" ht="15.0" customHeight="1">
      <c r="A18" s="401">
        <v>4.19630142E8</v>
      </c>
      <c r="B18" s="400" t="s">
        <v>908</v>
      </c>
      <c r="C18" s="400" t="s">
        <v>909</v>
      </c>
      <c r="D18" s="392" t="s">
        <v>905</v>
      </c>
      <c r="E18" s="392">
        <v>1035.0</v>
      </c>
      <c r="F18" s="400"/>
      <c r="G18" s="400"/>
      <c r="H18" s="400"/>
      <c r="I18" s="400"/>
      <c r="J18" s="400"/>
      <c r="K18" s="400"/>
      <c r="L18" s="400"/>
      <c r="M18" s="400"/>
      <c r="N18" s="400"/>
      <c r="O18" s="399">
        <v>500.0</v>
      </c>
      <c r="P18" s="400"/>
      <c r="Q18" s="400"/>
    </row>
    <row r="19" ht="15.0" customHeight="1">
      <c r="A19" s="401">
        <v>2.0746976E8</v>
      </c>
      <c r="B19" s="400" t="s">
        <v>910</v>
      </c>
      <c r="C19" s="400" t="s">
        <v>911</v>
      </c>
      <c r="D19" s="392" t="s">
        <v>905</v>
      </c>
      <c r="E19" s="392">
        <v>1224.44</v>
      </c>
      <c r="F19" s="400"/>
      <c r="G19" s="400"/>
      <c r="H19" s="400"/>
      <c r="I19" s="400"/>
      <c r="J19" s="400"/>
      <c r="K19" s="400"/>
      <c r="L19" s="400"/>
      <c r="M19" s="400"/>
      <c r="N19" s="400"/>
      <c r="O19" s="399">
        <v>450.0</v>
      </c>
      <c r="P19" s="400"/>
      <c r="Q19" s="400"/>
    </row>
    <row r="20" ht="15.0" customHeight="1">
      <c r="A20" s="401">
        <v>2.07472742E8</v>
      </c>
      <c r="B20" s="400" t="s">
        <v>912</v>
      </c>
      <c r="C20" s="400" t="s">
        <v>913</v>
      </c>
      <c r="D20" s="392" t="s">
        <v>905</v>
      </c>
      <c r="E20" s="392">
        <v>1050.0</v>
      </c>
      <c r="F20" s="400"/>
      <c r="G20" s="400"/>
      <c r="H20" s="400"/>
      <c r="I20" s="400"/>
      <c r="J20" s="400"/>
      <c r="K20" s="400"/>
      <c r="L20" s="400"/>
      <c r="M20" s="400"/>
      <c r="N20" s="400"/>
      <c r="O20" s="399">
        <v>630.0</v>
      </c>
      <c r="P20" s="400"/>
      <c r="Q20" s="400"/>
    </row>
    <row r="21" ht="15.0" customHeight="1">
      <c r="A21" s="401">
        <v>2.12885914E8</v>
      </c>
      <c r="B21" s="400" t="s">
        <v>914</v>
      </c>
      <c r="C21" s="400" t="s">
        <v>915</v>
      </c>
      <c r="D21" s="392" t="s">
        <v>905</v>
      </c>
      <c r="E21" s="392">
        <v>750.0</v>
      </c>
      <c r="F21" s="400"/>
      <c r="G21" s="400"/>
      <c r="H21" s="400"/>
      <c r="I21" s="400"/>
      <c r="J21" s="400"/>
      <c r="K21" s="400"/>
      <c r="L21" s="400"/>
      <c r="M21" s="400"/>
      <c r="N21" s="400"/>
      <c r="O21" s="399">
        <v>135.0</v>
      </c>
      <c r="P21" s="400"/>
      <c r="Q21" s="400"/>
    </row>
    <row r="22" ht="15.0" customHeight="1">
      <c r="A22" s="401">
        <v>2.07476777E8</v>
      </c>
      <c r="B22" s="400" t="s">
        <v>916</v>
      </c>
      <c r="C22" s="400" t="s">
        <v>917</v>
      </c>
      <c r="D22" s="392" t="s">
        <v>905</v>
      </c>
      <c r="E22" s="392">
        <v>580.0</v>
      </c>
      <c r="F22" s="400"/>
      <c r="G22" s="400"/>
      <c r="H22" s="400"/>
      <c r="I22" s="400"/>
      <c r="J22" s="400"/>
      <c r="K22" s="400"/>
      <c r="L22" s="400"/>
      <c r="M22" s="400"/>
      <c r="N22" s="400"/>
      <c r="O22" s="399">
        <v>90.0</v>
      </c>
      <c r="P22" s="400"/>
      <c r="Q22" s="400"/>
    </row>
    <row r="23" ht="15.0" customHeight="1">
      <c r="A23" s="401">
        <v>2.07482718E8</v>
      </c>
      <c r="B23" s="400" t="s">
        <v>918</v>
      </c>
      <c r="C23" s="400" t="s">
        <v>919</v>
      </c>
      <c r="D23" s="392" t="s">
        <v>920</v>
      </c>
      <c r="E23" s="392">
        <v>600.0</v>
      </c>
      <c r="F23" s="402" t="s">
        <v>921</v>
      </c>
      <c r="G23" s="399">
        <v>538.0</v>
      </c>
      <c r="H23" s="392">
        <v>440.0</v>
      </c>
      <c r="I23" s="402" t="s">
        <v>922</v>
      </c>
      <c r="J23" s="399">
        <v>530.0</v>
      </c>
      <c r="K23" s="392">
        <v>550.0</v>
      </c>
      <c r="L23" s="400"/>
      <c r="M23" s="400"/>
      <c r="N23" s="400"/>
      <c r="O23" s="399">
        <v>3600.0</v>
      </c>
      <c r="P23" s="400"/>
      <c r="Q23" s="400"/>
    </row>
    <row r="24" ht="15.0" customHeight="1">
      <c r="A24" s="401">
        <v>2.0748378E8</v>
      </c>
      <c r="B24" s="400" t="s">
        <v>923</v>
      </c>
      <c r="C24" s="400" t="s">
        <v>924</v>
      </c>
      <c r="D24" s="392" t="s">
        <v>920</v>
      </c>
      <c r="E24" s="392">
        <v>600.0</v>
      </c>
      <c r="F24" s="402" t="s">
        <v>925</v>
      </c>
      <c r="G24" s="399">
        <v>515.0</v>
      </c>
      <c r="H24" s="392">
        <v>230.0</v>
      </c>
      <c r="I24" s="400"/>
      <c r="J24" s="400"/>
      <c r="K24" s="400"/>
      <c r="L24" s="400"/>
      <c r="M24" s="400"/>
      <c r="N24" s="400"/>
      <c r="O24" s="399">
        <v>270.0</v>
      </c>
      <c r="P24" s="400"/>
      <c r="Q24" s="400"/>
    </row>
    <row r="25" ht="15.0" customHeight="1">
      <c r="A25" s="401">
        <v>2.07483179E8</v>
      </c>
      <c r="B25" s="400" t="s">
        <v>926</v>
      </c>
      <c r="C25" s="400" t="s">
        <v>927</v>
      </c>
      <c r="D25" s="392" t="s">
        <v>920</v>
      </c>
      <c r="E25" s="392">
        <v>600.0</v>
      </c>
      <c r="F25" s="402" t="s">
        <v>928</v>
      </c>
      <c r="G25" s="399">
        <v>537.0</v>
      </c>
      <c r="H25" s="392">
        <v>250.0</v>
      </c>
      <c r="I25" s="402" t="s">
        <v>929</v>
      </c>
      <c r="J25" s="399">
        <v>669.0</v>
      </c>
      <c r="K25" s="392">
        <v>300.0</v>
      </c>
      <c r="L25" s="400"/>
      <c r="M25" s="400"/>
      <c r="N25" s="400"/>
      <c r="O25" s="399">
        <v>270.0</v>
      </c>
      <c r="P25" s="400"/>
      <c r="Q25" s="403"/>
    </row>
    <row r="26" ht="15.0" customHeight="1">
      <c r="A26" s="401">
        <v>2.55574453E8</v>
      </c>
      <c r="B26" s="400" t="s">
        <v>930</v>
      </c>
      <c r="C26" s="400" t="s">
        <v>931</v>
      </c>
      <c r="D26" s="392" t="s">
        <v>920</v>
      </c>
      <c r="E26" s="392">
        <v>780.0</v>
      </c>
      <c r="F26" s="402" t="s">
        <v>932</v>
      </c>
      <c r="G26" s="399">
        <v>1015.0</v>
      </c>
      <c r="H26" s="392">
        <v>69.0</v>
      </c>
      <c r="I26" s="400"/>
      <c r="J26" s="400"/>
      <c r="K26" s="400"/>
      <c r="L26" s="400"/>
      <c r="M26" s="400"/>
      <c r="N26" s="400"/>
      <c r="O26" s="399">
        <v>360.0</v>
      </c>
      <c r="P26" s="400"/>
      <c r="Q26" s="400"/>
    </row>
    <row r="27" ht="15.0" customHeight="1">
      <c r="A27" s="401">
        <v>2.1288309E8</v>
      </c>
      <c r="B27" s="400" t="s">
        <v>933</v>
      </c>
      <c r="C27" s="400" t="s">
        <v>934</v>
      </c>
      <c r="D27" s="392" t="s">
        <v>920</v>
      </c>
      <c r="E27" s="392">
        <v>675.0</v>
      </c>
      <c r="F27" s="402" t="s">
        <v>935</v>
      </c>
      <c r="G27" s="399">
        <v>636.0</v>
      </c>
      <c r="H27" s="392">
        <v>277.0</v>
      </c>
      <c r="I27" s="402" t="s">
        <v>936</v>
      </c>
      <c r="J27" s="399">
        <v>683.0</v>
      </c>
      <c r="K27" s="392">
        <v>200.0</v>
      </c>
      <c r="L27" s="402" t="s">
        <v>937</v>
      </c>
      <c r="M27" s="399">
        <v>780.0</v>
      </c>
      <c r="N27" s="392">
        <v>200.0</v>
      </c>
      <c r="O27" s="399">
        <v>360.0</v>
      </c>
      <c r="P27" s="400"/>
      <c r="Q27" s="400"/>
    </row>
    <row r="28" ht="15.0" customHeight="1">
      <c r="A28" s="401">
        <v>2.12759698E8</v>
      </c>
      <c r="B28" s="400" t="s">
        <v>938</v>
      </c>
      <c r="C28" s="400" t="s">
        <v>939</v>
      </c>
      <c r="D28" s="392" t="s">
        <v>920</v>
      </c>
      <c r="E28" s="392">
        <v>675.0</v>
      </c>
      <c r="F28" s="402" t="s">
        <v>940</v>
      </c>
      <c r="G28" s="399">
        <v>720.0</v>
      </c>
      <c r="H28" s="392">
        <v>100.0</v>
      </c>
      <c r="I28" s="402" t="s">
        <v>941</v>
      </c>
      <c r="J28" s="399">
        <v>636.0</v>
      </c>
      <c r="K28" s="392">
        <v>50.0</v>
      </c>
      <c r="L28" s="400"/>
      <c r="M28" s="400"/>
      <c r="N28" s="400"/>
      <c r="O28" s="399">
        <v>360.0</v>
      </c>
      <c r="P28" s="400"/>
      <c r="Q28" s="400"/>
    </row>
    <row r="29" ht="15.0" customHeight="1">
      <c r="A29" s="401">
        <v>2.12760119E8</v>
      </c>
      <c r="B29" s="400" t="s">
        <v>942</v>
      </c>
      <c r="C29" s="400" t="s">
        <v>943</v>
      </c>
      <c r="D29" s="392" t="s">
        <v>920</v>
      </c>
      <c r="E29" s="392">
        <v>675.0</v>
      </c>
      <c r="F29" s="402" t="s">
        <v>944</v>
      </c>
      <c r="G29" s="399">
        <v>594.0</v>
      </c>
      <c r="H29" s="392">
        <v>230.0</v>
      </c>
      <c r="I29" s="402" t="s">
        <v>945</v>
      </c>
      <c r="J29" s="399">
        <v>634.0</v>
      </c>
      <c r="K29" s="392">
        <v>100.0</v>
      </c>
      <c r="L29" s="400"/>
      <c r="M29" s="400"/>
      <c r="N29" s="400"/>
      <c r="O29" s="399">
        <v>360.0</v>
      </c>
      <c r="P29" s="400"/>
      <c r="Q29" s="400"/>
    </row>
    <row r="30" ht="15.0" customHeight="1">
      <c r="A30" s="401">
        <v>2.10575566E8</v>
      </c>
      <c r="B30" s="400" t="s">
        <v>946</v>
      </c>
      <c r="C30" s="400" t="s">
        <v>947</v>
      </c>
      <c r="D30" s="392" t="s">
        <v>948</v>
      </c>
      <c r="E30" s="392">
        <v>675.0</v>
      </c>
      <c r="F30" s="402" t="s">
        <v>949</v>
      </c>
      <c r="G30" s="399">
        <v>683.0</v>
      </c>
      <c r="H30" s="392">
        <v>135.0</v>
      </c>
      <c r="I30" s="402" t="s">
        <v>950</v>
      </c>
      <c r="J30" s="399">
        <v>691.0</v>
      </c>
      <c r="K30" s="392">
        <v>240.0</v>
      </c>
      <c r="L30" s="400"/>
      <c r="M30" s="400"/>
      <c r="N30" s="400"/>
      <c r="O30" s="399">
        <v>243.0</v>
      </c>
      <c r="P30" s="400"/>
      <c r="Q30" s="400"/>
    </row>
    <row r="31" ht="15.0" customHeight="1">
      <c r="A31" s="401">
        <v>2.07818642E8</v>
      </c>
      <c r="B31" s="400" t="s">
        <v>951</v>
      </c>
      <c r="C31" s="400" t="s">
        <v>947</v>
      </c>
      <c r="D31" s="392" t="s">
        <v>948</v>
      </c>
      <c r="E31" s="392">
        <v>600.0</v>
      </c>
      <c r="F31" s="402" t="s">
        <v>952</v>
      </c>
      <c r="G31" s="399">
        <v>534.0</v>
      </c>
      <c r="H31" s="392">
        <v>80.0</v>
      </c>
      <c r="I31" s="400"/>
      <c r="J31" s="400"/>
      <c r="K31" s="400"/>
      <c r="L31" s="400"/>
      <c r="M31" s="400"/>
      <c r="N31" s="400"/>
      <c r="O31" s="399">
        <v>135.0</v>
      </c>
      <c r="P31" s="400"/>
      <c r="Q31" s="400"/>
    </row>
    <row r="32" ht="15.0" customHeight="1">
      <c r="A32" s="401">
        <v>2.10579932E8</v>
      </c>
      <c r="B32" s="400" t="s">
        <v>953</v>
      </c>
      <c r="C32" s="400" t="s">
        <v>947</v>
      </c>
      <c r="D32" s="392" t="s">
        <v>948</v>
      </c>
      <c r="E32" s="392">
        <v>600.0</v>
      </c>
      <c r="F32" s="402" t="s">
        <v>954</v>
      </c>
      <c r="G32" s="399">
        <v>573.0</v>
      </c>
      <c r="H32" s="392">
        <v>285.0</v>
      </c>
      <c r="I32" s="402" t="s">
        <v>955</v>
      </c>
      <c r="J32" s="399">
        <v>639.0</v>
      </c>
      <c r="K32" s="392">
        <v>115.0</v>
      </c>
      <c r="L32" s="400"/>
      <c r="M32" s="400"/>
      <c r="N32" s="400"/>
      <c r="O32" s="399">
        <v>243.0</v>
      </c>
      <c r="P32" s="400"/>
      <c r="Q32" s="400"/>
    </row>
    <row r="33" ht="15.0" customHeight="1">
      <c r="A33" s="401">
        <v>2.1271782E8</v>
      </c>
      <c r="B33" s="400" t="s">
        <v>956</v>
      </c>
      <c r="C33" s="400" t="s">
        <v>957</v>
      </c>
      <c r="D33" s="392" t="s">
        <v>958</v>
      </c>
      <c r="E33" s="392">
        <v>1311.0</v>
      </c>
      <c r="F33" s="402" t="s">
        <v>959</v>
      </c>
      <c r="G33" s="399">
        <v>1440.0</v>
      </c>
      <c r="H33" s="392">
        <v>22.0</v>
      </c>
      <c r="I33" s="402" t="s">
        <v>960</v>
      </c>
      <c r="J33" s="399">
        <v>1637.0</v>
      </c>
      <c r="K33" s="392">
        <v>22.0</v>
      </c>
      <c r="L33" s="400"/>
      <c r="M33" s="400"/>
      <c r="N33" s="400"/>
      <c r="O33" s="399">
        <v>45.0</v>
      </c>
      <c r="P33" s="400"/>
      <c r="Q33" s="400"/>
    </row>
    <row r="34" ht="15.0" customHeight="1">
      <c r="A34" s="401">
        <v>2.12713617E8</v>
      </c>
      <c r="B34" s="400" t="s">
        <v>961</v>
      </c>
      <c r="C34" s="400" t="s">
        <v>962</v>
      </c>
      <c r="D34" s="392" t="s">
        <v>958</v>
      </c>
      <c r="E34" s="392">
        <v>1177.5</v>
      </c>
      <c r="F34" s="402" t="s">
        <v>963</v>
      </c>
      <c r="G34" s="399">
        <v>1188.0</v>
      </c>
      <c r="H34" s="392">
        <v>15.0</v>
      </c>
      <c r="I34" s="402" t="s">
        <v>964</v>
      </c>
      <c r="J34" s="399">
        <v>1309.0</v>
      </c>
      <c r="K34" s="392">
        <v>16.0</v>
      </c>
      <c r="L34" s="400"/>
      <c r="M34" s="400"/>
      <c r="N34" s="400"/>
      <c r="O34" s="399">
        <v>45.0</v>
      </c>
      <c r="P34" s="400"/>
      <c r="Q34" s="400"/>
    </row>
    <row r="35" ht="15.0" customHeight="1">
      <c r="A35" s="401">
        <v>2.12713941E8</v>
      </c>
      <c r="B35" s="400" t="s">
        <v>965</v>
      </c>
      <c r="C35" s="400" t="s">
        <v>966</v>
      </c>
      <c r="D35" s="392" t="s">
        <v>958</v>
      </c>
      <c r="E35" s="392">
        <v>1179.0</v>
      </c>
      <c r="F35" s="402" t="s">
        <v>967</v>
      </c>
      <c r="G35" s="399">
        <v>1229.0</v>
      </c>
      <c r="H35" s="392">
        <v>14.0</v>
      </c>
      <c r="I35" s="402" t="s">
        <v>968</v>
      </c>
      <c r="J35" s="399">
        <v>1296.0</v>
      </c>
      <c r="K35" s="392">
        <v>15.0</v>
      </c>
      <c r="L35" s="402" t="s">
        <v>969</v>
      </c>
      <c r="M35" s="399">
        <v>1763.0</v>
      </c>
      <c r="N35" s="392">
        <v>14.0</v>
      </c>
      <c r="O35" s="399">
        <v>27.0</v>
      </c>
      <c r="P35" s="400"/>
      <c r="Q35" s="400"/>
    </row>
    <row r="36" ht="15.0" customHeight="1">
      <c r="A36" s="401">
        <v>2.07464799E8</v>
      </c>
      <c r="B36" s="400" t="s">
        <v>970</v>
      </c>
      <c r="C36" s="400" t="s">
        <v>971</v>
      </c>
      <c r="D36" s="392" t="s">
        <v>972</v>
      </c>
      <c r="E36" s="392">
        <v>1710.0</v>
      </c>
      <c r="F36" s="402" t="s">
        <v>973</v>
      </c>
      <c r="G36" s="399">
        <v>1649.0</v>
      </c>
      <c r="H36" s="392">
        <v>530.0</v>
      </c>
      <c r="I36" s="402" t="s">
        <v>974</v>
      </c>
      <c r="J36" s="399">
        <v>1625.0</v>
      </c>
      <c r="K36" s="392">
        <v>375.0</v>
      </c>
      <c r="L36" s="400"/>
      <c r="M36" s="400"/>
      <c r="N36" s="400"/>
      <c r="O36" s="399">
        <v>450.0</v>
      </c>
      <c r="P36" s="400"/>
      <c r="Q36" s="400"/>
    </row>
    <row r="37" ht="15.0" customHeight="1">
      <c r="A37" s="401">
        <v>2.07465786E8</v>
      </c>
      <c r="B37" s="400" t="s">
        <v>975</v>
      </c>
      <c r="C37" s="400" t="s">
        <v>971</v>
      </c>
      <c r="D37" s="392" t="s">
        <v>972</v>
      </c>
      <c r="E37" s="392">
        <v>1650.0</v>
      </c>
      <c r="F37" s="402" t="s">
        <v>976</v>
      </c>
      <c r="G37" s="399">
        <v>1623.0</v>
      </c>
      <c r="H37" s="392">
        <v>150.0</v>
      </c>
      <c r="I37" s="402" t="s">
        <v>977</v>
      </c>
      <c r="J37" s="399">
        <v>1500.0</v>
      </c>
      <c r="K37" s="392">
        <v>140.0</v>
      </c>
      <c r="L37" s="400"/>
      <c r="M37" s="400"/>
      <c r="N37" s="400"/>
      <c r="O37" s="399">
        <v>270.0</v>
      </c>
      <c r="P37" s="400"/>
      <c r="Q37" s="400"/>
    </row>
    <row r="38" ht="15.0" customHeight="1">
      <c r="A38" s="401">
        <v>2.07466866E8</v>
      </c>
      <c r="B38" s="400" t="s">
        <v>978</v>
      </c>
      <c r="C38" s="400" t="s">
        <v>979</v>
      </c>
      <c r="D38" s="392" t="s">
        <v>972</v>
      </c>
      <c r="E38" s="392">
        <v>1548.68</v>
      </c>
      <c r="F38" s="402" t="s">
        <v>980</v>
      </c>
      <c r="G38" s="399">
        <v>1407.0</v>
      </c>
      <c r="H38" s="392">
        <v>350.0</v>
      </c>
      <c r="I38" s="402" t="s">
        <v>981</v>
      </c>
      <c r="J38" s="399">
        <v>1453.0</v>
      </c>
      <c r="K38" s="392">
        <v>260.0</v>
      </c>
      <c r="L38" s="400"/>
      <c r="M38" s="400"/>
      <c r="N38" s="400"/>
      <c r="O38" s="399">
        <v>360.0</v>
      </c>
      <c r="P38" s="400"/>
      <c r="Q38" s="400"/>
    </row>
    <row r="39" ht="15.0" customHeight="1">
      <c r="A39" s="401">
        <v>1.54163936E8</v>
      </c>
      <c r="B39" s="400" t="s">
        <v>982</v>
      </c>
      <c r="C39" s="400" t="s">
        <v>983</v>
      </c>
      <c r="D39" s="392" t="s">
        <v>984</v>
      </c>
      <c r="E39" s="392">
        <v>954.24</v>
      </c>
      <c r="F39" s="402" t="s">
        <v>985</v>
      </c>
      <c r="G39" s="399">
        <v>894.0</v>
      </c>
      <c r="H39" s="392">
        <v>250.0</v>
      </c>
      <c r="I39" s="402" t="s">
        <v>986</v>
      </c>
      <c r="J39" s="399">
        <v>900.0</v>
      </c>
      <c r="K39" s="392">
        <v>105.0</v>
      </c>
      <c r="L39" s="400"/>
      <c r="M39" s="400"/>
      <c r="N39" s="400"/>
      <c r="O39" s="399">
        <v>360.0</v>
      </c>
      <c r="P39" s="400"/>
      <c r="Q39" s="400"/>
    </row>
    <row r="40" ht="15.0" customHeight="1">
      <c r="A40" s="401">
        <v>2.0779635E8</v>
      </c>
      <c r="B40" s="400" t="s">
        <v>987</v>
      </c>
      <c r="C40" s="400" t="s">
        <v>988</v>
      </c>
      <c r="D40" s="392" t="s">
        <v>984</v>
      </c>
      <c r="E40" s="392">
        <v>810.0</v>
      </c>
      <c r="F40" s="402" t="s">
        <v>989</v>
      </c>
      <c r="G40" s="399">
        <v>814.0</v>
      </c>
      <c r="H40" s="392">
        <v>50.0</v>
      </c>
      <c r="I40" s="400"/>
      <c r="J40" s="400"/>
      <c r="K40" s="400"/>
      <c r="L40" s="400"/>
      <c r="M40" s="400"/>
      <c r="N40" s="400"/>
      <c r="O40" s="399">
        <v>90.0</v>
      </c>
      <c r="P40" s="400"/>
      <c r="Q40" s="400"/>
    </row>
    <row r="41" ht="15.0" customHeight="1">
      <c r="A41" s="401">
        <v>1.90160008E8</v>
      </c>
      <c r="B41" s="400" t="s">
        <v>990</v>
      </c>
      <c r="C41" s="400" t="s">
        <v>991</v>
      </c>
      <c r="D41" s="392" t="s">
        <v>984</v>
      </c>
      <c r="E41" s="392">
        <v>1246.84</v>
      </c>
      <c r="F41" s="402" t="s">
        <v>992</v>
      </c>
      <c r="G41" s="399">
        <v>1023.0</v>
      </c>
      <c r="H41" s="392">
        <v>90.0</v>
      </c>
      <c r="I41" s="400"/>
      <c r="J41" s="400"/>
      <c r="K41" s="400"/>
      <c r="L41" s="400"/>
      <c r="M41" s="400"/>
      <c r="N41" s="400"/>
      <c r="O41" s="399">
        <v>63.0</v>
      </c>
      <c r="P41" s="400"/>
      <c r="Q41" s="400"/>
    </row>
    <row r="42" ht="15.0" customHeight="1">
      <c r="A42" s="401">
        <v>2.07796439E8</v>
      </c>
      <c r="B42" s="400" t="s">
        <v>993</v>
      </c>
      <c r="C42" s="400" t="s">
        <v>994</v>
      </c>
      <c r="D42" s="392" t="s">
        <v>984</v>
      </c>
      <c r="E42" s="392">
        <v>1425.0</v>
      </c>
      <c r="F42" s="402" t="s">
        <v>995</v>
      </c>
      <c r="G42" s="399">
        <v>1349.0</v>
      </c>
      <c r="H42" s="392">
        <v>150.0</v>
      </c>
      <c r="I42" s="402" t="s">
        <v>996</v>
      </c>
      <c r="J42" s="399">
        <v>1391.0</v>
      </c>
      <c r="K42" s="392">
        <v>25.0</v>
      </c>
      <c r="L42" s="400"/>
      <c r="M42" s="400"/>
      <c r="N42" s="400"/>
      <c r="O42" s="399">
        <v>63.0</v>
      </c>
      <c r="P42" s="400"/>
      <c r="Q42" s="400"/>
    </row>
    <row r="43" ht="15.0" customHeight="1">
      <c r="A43" s="401">
        <v>1.51298064E8</v>
      </c>
      <c r="B43" s="400" t="s">
        <v>997</v>
      </c>
      <c r="C43" s="400" t="s">
        <v>998</v>
      </c>
      <c r="D43" s="392" t="s">
        <v>984</v>
      </c>
      <c r="E43" s="392">
        <v>390.0</v>
      </c>
      <c r="F43" s="402" t="s">
        <v>999</v>
      </c>
      <c r="G43" s="399">
        <v>315.0</v>
      </c>
      <c r="H43" s="392">
        <v>1450.0</v>
      </c>
      <c r="I43" s="402" t="s">
        <v>1000</v>
      </c>
      <c r="J43" s="399">
        <v>300.0</v>
      </c>
      <c r="K43" s="392">
        <v>1000.0</v>
      </c>
      <c r="L43" s="402" t="s">
        <v>1001</v>
      </c>
      <c r="M43" s="399">
        <v>312.0</v>
      </c>
      <c r="N43" s="392">
        <v>1300.0</v>
      </c>
      <c r="O43" s="399">
        <v>1350.0</v>
      </c>
      <c r="P43" s="400"/>
      <c r="Q43" s="400"/>
    </row>
    <row r="44" ht="15.0" customHeight="1">
      <c r="A44" s="401">
        <v>2.26322576E8</v>
      </c>
      <c r="B44" s="400" t="s">
        <v>1002</v>
      </c>
      <c r="C44" s="400" t="s">
        <v>1003</v>
      </c>
      <c r="D44" s="392" t="s">
        <v>984</v>
      </c>
      <c r="E44" s="392">
        <v>675.0</v>
      </c>
      <c r="F44" s="402" t="s">
        <v>1004</v>
      </c>
      <c r="G44" s="399">
        <v>648.0</v>
      </c>
      <c r="H44" s="392">
        <v>1200.0</v>
      </c>
      <c r="I44" s="402" t="s">
        <v>1005</v>
      </c>
      <c r="J44" s="399">
        <v>600.0</v>
      </c>
      <c r="K44" s="392">
        <v>280.0</v>
      </c>
      <c r="L44" s="400"/>
      <c r="M44" s="400"/>
      <c r="N44" s="400"/>
      <c r="O44" s="399">
        <v>900.0</v>
      </c>
      <c r="P44" s="400"/>
      <c r="Q44" s="400"/>
    </row>
    <row r="45" ht="15.0" customHeight="1">
      <c r="A45" s="401">
        <v>2.06057411E8</v>
      </c>
      <c r="B45" s="400" t="s">
        <v>1006</v>
      </c>
      <c r="C45" s="400" t="s">
        <v>1007</v>
      </c>
      <c r="D45" s="392" t="s">
        <v>984</v>
      </c>
      <c r="E45" s="392">
        <v>923.7</v>
      </c>
      <c r="F45" s="402" t="s">
        <v>1008</v>
      </c>
      <c r="G45" s="399">
        <v>859.0</v>
      </c>
      <c r="H45" s="392">
        <v>500.0</v>
      </c>
      <c r="I45" s="400"/>
      <c r="J45" s="400"/>
      <c r="K45" s="400"/>
      <c r="L45" s="400"/>
      <c r="M45" s="400"/>
      <c r="N45" s="400"/>
      <c r="O45" s="399">
        <v>153.0</v>
      </c>
      <c r="P45" s="400"/>
      <c r="Q45" s="400"/>
    </row>
    <row r="46" ht="15.0" customHeight="1">
      <c r="A46" s="401">
        <v>2.07796563E8</v>
      </c>
      <c r="B46" s="400" t="s">
        <v>1009</v>
      </c>
      <c r="C46" s="400" t="s">
        <v>1010</v>
      </c>
      <c r="D46" s="392" t="s">
        <v>984</v>
      </c>
      <c r="E46" s="392">
        <v>900.0</v>
      </c>
      <c r="F46" s="402" t="s">
        <v>1011</v>
      </c>
      <c r="G46" s="399">
        <v>780.0</v>
      </c>
      <c r="H46" s="392">
        <v>156.0</v>
      </c>
      <c r="I46" s="402" t="s">
        <v>1012</v>
      </c>
      <c r="J46" s="399">
        <v>843.0</v>
      </c>
      <c r="K46" s="392">
        <v>110.0</v>
      </c>
      <c r="L46" s="400"/>
      <c r="M46" s="400"/>
      <c r="N46" s="400"/>
      <c r="O46" s="399">
        <v>90.0</v>
      </c>
      <c r="P46" s="400"/>
      <c r="Q46" s="400"/>
    </row>
    <row r="47" ht="15.0" customHeight="1">
      <c r="A47" s="401">
        <v>1.90159348E8</v>
      </c>
      <c r="B47" s="400" t="s">
        <v>1013</v>
      </c>
      <c r="C47" s="400" t="s">
        <v>1014</v>
      </c>
      <c r="D47" s="392" t="s">
        <v>984</v>
      </c>
      <c r="E47" s="392">
        <v>760.09</v>
      </c>
      <c r="F47" s="402" t="s">
        <v>1015</v>
      </c>
      <c r="G47" s="399">
        <v>357.0</v>
      </c>
      <c r="H47" s="392">
        <v>158.0</v>
      </c>
      <c r="I47" s="402" t="s">
        <v>1016</v>
      </c>
      <c r="J47" s="399">
        <v>704.0</v>
      </c>
      <c r="K47" s="392">
        <v>15.0</v>
      </c>
      <c r="L47" s="402" t="s">
        <v>1017</v>
      </c>
      <c r="M47" s="399">
        <v>674.0</v>
      </c>
      <c r="N47" s="392">
        <v>22.0</v>
      </c>
      <c r="O47" s="399">
        <v>90.0</v>
      </c>
      <c r="P47" s="400"/>
      <c r="Q47" s="400"/>
    </row>
    <row r="48" ht="15.0" customHeight="1">
      <c r="A48" s="401">
        <v>1.51313163E8</v>
      </c>
      <c r="B48" s="400" t="s">
        <v>1018</v>
      </c>
      <c r="C48" s="400" t="s">
        <v>1019</v>
      </c>
      <c r="D48" s="392" t="s">
        <v>1020</v>
      </c>
      <c r="E48" s="392">
        <v>857.53</v>
      </c>
      <c r="F48" s="402" t="s">
        <v>1021</v>
      </c>
      <c r="G48" s="399">
        <v>800.0</v>
      </c>
      <c r="H48" s="392">
        <v>339.0</v>
      </c>
      <c r="I48" s="402" t="s">
        <v>1022</v>
      </c>
      <c r="J48" s="399">
        <v>783.0</v>
      </c>
      <c r="K48" s="392">
        <v>217.0</v>
      </c>
      <c r="L48" s="402" t="s">
        <v>1023</v>
      </c>
      <c r="M48" s="399">
        <v>932.0</v>
      </c>
      <c r="N48" s="392">
        <v>141.0</v>
      </c>
      <c r="O48" s="399">
        <v>900.0</v>
      </c>
      <c r="P48" s="400"/>
      <c r="Q48" s="400"/>
    </row>
    <row r="49" ht="15.0" customHeight="1">
      <c r="A49" s="401">
        <v>1.54159632E8</v>
      </c>
      <c r="B49" s="400" t="s">
        <v>1024</v>
      </c>
      <c r="C49" s="400" t="s">
        <v>1025</v>
      </c>
      <c r="D49" s="392" t="s">
        <v>1020</v>
      </c>
      <c r="E49" s="392">
        <v>601.0</v>
      </c>
      <c r="F49" s="402" t="s">
        <v>1026</v>
      </c>
      <c r="G49" s="399">
        <v>329.0</v>
      </c>
      <c r="H49" s="392">
        <v>129.0</v>
      </c>
      <c r="I49" s="400"/>
      <c r="J49" s="400"/>
      <c r="K49" s="400"/>
      <c r="L49" s="400"/>
      <c r="M49" s="400"/>
      <c r="N49" s="400"/>
      <c r="O49" s="399">
        <v>270.0</v>
      </c>
      <c r="P49" s="400"/>
      <c r="Q49" s="400"/>
    </row>
    <row r="50" ht="15.0" customHeight="1">
      <c r="A50" s="401">
        <v>3.07073881E8</v>
      </c>
      <c r="B50" s="400" t="s">
        <v>1027</v>
      </c>
      <c r="C50" s="400" t="s">
        <v>1028</v>
      </c>
      <c r="D50" s="392" t="s">
        <v>1020</v>
      </c>
      <c r="E50" s="392">
        <v>903.3</v>
      </c>
      <c r="F50" s="402" t="s">
        <v>1029</v>
      </c>
      <c r="G50" s="399">
        <v>919.0</v>
      </c>
      <c r="H50" s="392">
        <v>257.0</v>
      </c>
      <c r="I50" s="402" t="s">
        <v>1030</v>
      </c>
      <c r="J50" s="399">
        <v>745.0</v>
      </c>
      <c r="K50" s="392">
        <v>222.0</v>
      </c>
      <c r="L50" s="400"/>
      <c r="M50" s="400"/>
      <c r="N50" s="400"/>
      <c r="O50" s="399">
        <v>153.0</v>
      </c>
      <c r="P50" s="400"/>
      <c r="Q50" s="400"/>
    </row>
    <row r="51" ht="15.0" customHeight="1">
      <c r="A51" s="401">
        <v>1.54160085E8</v>
      </c>
      <c r="B51" s="400" t="s">
        <v>1031</v>
      </c>
      <c r="C51" s="400" t="s">
        <v>1032</v>
      </c>
      <c r="D51" s="392" t="s">
        <v>1020</v>
      </c>
      <c r="E51" s="392">
        <v>1106.4</v>
      </c>
      <c r="F51" s="402" t="s">
        <v>1033</v>
      </c>
      <c r="G51" s="399">
        <v>900.0</v>
      </c>
      <c r="H51" s="392">
        <v>378.0</v>
      </c>
      <c r="I51" s="402" t="s">
        <v>1034</v>
      </c>
      <c r="J51" s="399">
        <v>1220.0</v>
      </c>
      <c r="K51" s="392">
        <v>69.0</v>
      </c>
      <c r="L51" s="400"/>
      <c r="M51" s="400"/>
      <c r="N51" s="400"/>
      <c r="O51" s="399">
        <v>135.0</v>
      </c>
      <c r="P51" s="400"/>
      <c r="Q51" s="400"/>
    </row>
    <row r="52" ht="15.0" customHeight="1">
      <c r="A52" s="401">
        <v>1.69198316E8</v>
      </c>
      <c r="B52" s="400" t="s">
        <v>1035</v>
      </c>
      <c r="C52" s="400" t="s">
        <v>1036</v>
      </c>
      <c r="D52" s="392" t="s">
        <v>1020</v>
      </c>
      <c r="E52" s="392">
        <v>870.0</v>
      </c>
      <c r="F52" s="402" t="s">
        <v>1037</v>
      </c>
      <c r="G52" s="399">
        <v>839.0</v>
      </c>
      <c r="H52" s="392">
        <v>187.0</v>
      </c>
      <c r="I52" s="400"/>
      <c r="J52" s="400"/>
      <c r="K52" s="400"/>
      <c r="L52" s="400"/>
      <c r="M52" s="400"/>
      <c r="N52" s="400"/>
      <c r="O52" s="399">
        <v>360.0</v>
      </c>
      <c r="P52" s="400"/>
      <c r="Q52" s="400"/>
    </row>
    <row r="53" ht="15.0" customHeight="1">
      <c r="A53" s="401">
        <v>1.80709801E8</v>
      </c>
      <c r="B53" s="400" t="s">
        <v>1038</v>
      </c>
      <c r="C53" s="400" t="s">
        <v>1039</v>
      </c>
      <c r="D53" s="392" t="s">
        <v>1040</v>
      </c>
      <c r="E53" s="392">
        <v>1290.0</v>
      </c>
      <c r="F53" s="402" t="s">
        <v>1041</v>
      </c>
      <c r="G53" s="399">
        <v>1290.0</v>
      </c>
      <c r="H53" s="392">
        <v>50.0</v>
      </c>
      <c r="I53" s="400"/>
      <c r="J53" s="400"/>
      <c r="K53" s="400"/>
      <c r="L53" s="400"/>
      <c r="M53" s="400"/>
      <c r="N53" s="400"/>
      <c r="O53" s="399">
        <v>45.0</v>
      </c>
      <c r="P53" s="400"/>
      <c r="Q53" s="400"/>
    </row>
    <row r="54" ht="15.0" customHeight="1">
      <c r="A54" s="401">
        <v>1.79611284E8</v>
      </c>
      <c r="B54" s="400" t="s">
        <v>1042</v>
      </c>
      <c r="C54" s="400" t="s">
        <v>1043</v>
      </c>
      <c r="D54" s="392" t="s">
        <v>1040</v>
      </c>
      <c r="E54" s="392">
        <v>1290.0</v>
      </c>
      <c r="F54" s="400" t="s">
        <v>78</v>
      </c>
      <c r="G54" s="399" t="s">
        <v>78</v>
      </c>
      <c r="H54" s="392" t="s">
        <v>78</v>
      </c>
      <c r="I54" s="400"/>
      <c r="J54" s="400"/>
      <c r="K54" s="400"/>
      <c r="L54" s="400"/>
      <c r="M54" s="400"/>
      <c r="N54" s="400"/>
      <c r="O54" s="399">
        <v>135.0</v>
      </c>
      <c r="P54" s="400"/>
      <c r="Q54" s="400"/>
    </row>
    <row r="55" ht="15.0" customHeight="1">
      <c r="A55" s="401">
        <v>1.5117588E8</v>
      </c>
      <c r="B55" s="400" t="s">
        <v>1044</v>
      </c>
      <c r="C55" s="400" t="s">
        <v>1045</v>
      </c>
      <c r="D55" s="392" t="s">
        <v>1046</v>
      </c>
      <c r="E55" s="392">
        <v>1140.0</v>
      </c>
      <c r="F55" s="402" t="s">
        <v>1047</v>
      </c>
      <c r="G55" s="399">
        <v>1074.0</v>
      </c>
      <c r="H55" s="392">
        <v>190.0</v>
      </c>
      <c r="I55" s="402" t="s">
        <v>1048</v>
      </c>
      <c r="J55" s="399">
        <v>1049.0</v>
      </c>
      <c r="K55" s="392">
        <v>110.0</v>
      </c>
      <c r="L55" s="402" t="s">
        <v>1049</v>
      </c>
      <c r="M55" s="399">
        <v>1242.0</v>
      </c>
      <c r="N55" s="392">
        <v>160.0</v>
      </c>
      <c r="O55" s="399">
        <v>450.0</v>
      </c>
      <c r="P55" s="400"/>
      <c r="Q55" s="400"/>
    </row>
    <row r="56" ht="15.0" customHeight="1">
      <c r="A56" s="401">
        <v>1.51175877E8</v>
      </c>
      <c r="B56" s="400" t="s">
        <v>1050</v>
      </c>
      <c r="C56" s="400" t="s">
        <v>1051</v>
      </c>
      <c r="D56" s="392" t="s">
        <v>1046</v>
      </c>
      <c r="E56" s="392">
        <v>1200.0</v>
      </c>
      <c r="F56" s="402" t="s">
        <v>1052</v>
      </c>
      <c r="G56" s="399">
        <v>1070.0</v>
      </c>
      <c r="H56" s="392">
        <v>500.0</v>
      </c>
      <c r="I56" s="402" t="s">
        <v>1053</v>
      </c>
      <c r="J56" s="399">
        <v>1242.0</v>
      </c>
      <c r="K56" s="392">
        <v>270.0</v>
      </c>
      <c r="L56" s="402" t="s">
        <v>1054</v>
      </c>
      <c r="M56" s="399">
        <v>1141.0</v>
      </c>
      <c r="N56" s="392">
        <v>400.0</v>
      </c>
      <c r="O56" s="399">
        <v>450.0</v>
      </c>
      <c r="P56" s="400"/>
      <c r="Q56" s="400"/>
    </row>
    <row r="57" ht="15.0" customHeight="1">
      <c r="A57" s="401">
        <v>1.79611231E8</v>
      </c>
      <c r="B57" s="400" t="s">
        <v>1050</v>
      </c>
      <c r="C57" s="400" t="s">
        <v>1055</v>
      </c>
      <c r="D57" s="392" t="s">
        <v>1046</v>
      </c>
      <c r="E57" s="392">
        <v>1275.0</v>
      </c>
      <c r="F57" s="402" t="s">
        <v>1056</v>
      </c>
      <c r="G57" s="399">
        <v>1049.0</v>
      </c>
      <c r="H57" s="392">
        <v>180.0</v>
      </c>
      <c r="I57" s="402" t="s">
        <v>1057</v>
      </c>
      <c r="J57" s="399">
        <v>1400.0</v>
      </c>
      <c r="K57" s="392">
        <v>190.0</v>
      </c>
      <c r="L57" s="402" t="s">
        <v>1058</v>
      </c>
      <c r="M57" s="399">
        <v>1242.0</v>
      </c>
      <c r="N57" s="392">
        <v>336.0</v>
      </c>
      <c r="O57" s="399">
        <v>270.0</v>
      </c>
      <c r="P57" s="400"/>
      <c r="Q57" s="400"/>
    </row>
    <row r="58" ht="15.75" customHeight="1">
      <c r="A58" s="401">
        <v>1.79611207E8</v>
      </c>
      <c r="B58" s="400" t="s">
        <v>1059</v>
      </c>
      <c r="C58" s="400" t="s">
        <v>1060</v>
      </c>
      <c r="D58" s="392" t="s">
        <v>1046</v>
      </c>
      <c r="E58" s="392">
        <v>1117.5</v>
      </c>
      <c r="F58" s="402" t="s">
        <v>1061</v>
      </c>
      <c r="G58" s="399">
        <v>1051.0</v>
      </c>
      <c r="H58" s="392">
        <v>105.0</v>
      </c>
      <c r="I58" s="402" t="s">
        <v>1062</v>
      </c>
      <c r="J58" s="399">
        <v>1109.0</v>
      </c>
      <c r="K58" s="392">
        <v>55.0</v>
      </c>
      <c r="L58" s="400"/>
      <c r="M58" s="400"/>
      <c r="N58" s="400"/>
      <c r="O58" s="399">
        <v>135.0</v>
      </c>
      <c r="P58" s="400"/>
      <c r="Q58" s="400"/>
    </row>
    <row r="59" ht="15.75" customHeight="1">
      <c r="A59" s="401">
        <v>1.80988755E8</v>
      </c>
      <c r="B59" s="400" t="s">
        <v>1063</v>
      </c>
      <c r="C59" s="400" t="s">
        <v>1064</v>
      </c>
      <c r="D59" s="392" t="s">
        <v>1046</v>
      </c>
      <c r="E59" s="392">
        <v>1440.0</v>
      </c>
      <c r="F59" s="402" t="s">
        <v>1065</v>
      </c>
      <c r="G59" s="399">
        <v>1499.0</v>
      </c>
      <c r="H59" s="392">
        <v>61.0</v>
      </c>
      <c r="I59" s="400"/>
      <c r="J59" s="400"/>
      <c r="K59" s="400"/>
      <c r="L59" s="400"/>
      <c r="M59" s="400"/>
      <c r="N59" s="400"/>
      <c r="O59" s="399">
        <v>45.0</v>
      </c>
      <c r="P59" s="400"/>
      <c r="Q59" s="400"/>
    </row>
    <row r="60" ht="15.75" customHeight="1">
      <c r="A60" s="401">
        <v>1.79611304E8</v>
      </c>
      <c r="B60" s="400" t="s">
        <v>1066</v>
      </c>
      <c r="C60" s="400" t="s">
        <v>1067</v>
      </c>
      <c r="D60" s="392" t="s">
        <v>1046</v>
      </c>
      <c r="E60" s="392">
        <v>1140.0</v>
      </c>
      <c r="F60" s="402" t="s">
        <v>1068</v>
      </c>
      <c r="G60" s="399">
        <v>1100.0</v>
      </c>
      <c r="H60" s="392">
        <v>157.0</v>
      </c>
      <c r="I60" s="402" t="s">
        <v>1069</v>
      </c>
      <c r="J60" s="399">
        <v>1109.0</v>
      </c>
      <c r="K60" s="392">
        <v>60.0</v>
      </c>
      <c r="L60" s="400"/>
      <c r="M60" s="400"/>
      <c r="N60" s="400"/>
      <c r="O60" s="399">
        <v>135.0</v>
      </c>
      <c r="P60" s="400"/>
      <c r="Q60" s="400"/>
    </row>
    <row r="61" ht="15.75" customHeight="1">
      <c r="A61" s="401">
        <v>1.80987509E8</v>
      </c>
      <c r="B61" s="400" t="s">
        <v>1070</v>
      </c>
      <c r="C61" s="400" t="s">
        <v>1071</v>
      </c>
      <c r="D61" s="392" t="s">
        <v>1046</v>
      </c>
      <c r="E61" s="392">
        <v>1380.0</v>
      </c>
      <c r="F61" s="402" t="s">
        <v>1072</v>
      </c>
      <c r="G61" s="399">
        <v>1119.0</v>
      </c>
      <c r="H61" s="392">
        <v>60.0</v>
      </c>
      <c r="I61" s="400"/>
      <c r="J61" s="400"/>
      <c r="K61" s="400"/>
      <c r="L61" s="400"/>
      <c r="M61" s="400"/>
      <c r="N61" s="400"/>
      <c r="O61" s="399">
        <v>90.0</v>
      </c>
      <c r="P61" s="400"/>
      <c r="Q61" s="400"/>
    </row>
    <row r="62" ht="15.75" customHeight="1">
      <c r="A62" s="401">
        <v>1.80992464E8</v>
      </c>
      <c r="B62" s="400" t="s">
        <v>1073</v>
      </c>
      <c r="C62" s="400" t="s">
        <v>1074</v>
      </c>
      <c r="D62" s="392" t="s">
        <v>1046</v>
      </c>
      <c r="E62" s="392">
        <v>1740.0</v>
      </c>
      <c r="F62" s="402" t="s">
        <v>1075</v>
      </c>
      <c r="G62" s="399">
        <v>1733.0</v>
      </c>
      <c r="H62" s="392">
        <v>38.0</v>
      </c>
      <c r="I62" s="400"/>
      <c r="J62" s="400"/>
      <c r="K62" s="400"/>
      <c r="L62" s="400"/>
      <c r="M62" s="400"/>
      <c r="N62" s="400"/>
      <c r="O62" s="399">
        <v>90.0</v>
      </c>
      <c r="P62" s="400"/>
      <c r="Q62" s="400"/>
    </row>
    <row r="63" ht="15.75" customHeight="1">
      <c r="A63" s="401">
        <v>1.79611318E8</v>
      </c>
      <c r="B63" s="400" t="s">
        <v>1076</v>
      </c>
      <c r="C63" s="400" t="s">
        <v>1077</v>
      </c>
      <c r="D63" s="392" t="s">
        <v>1046</v>
      </c>
      <c r="E63" s="392">
        <v>1200.0</v>
      </c>
      <c r="F63" s="402" t="s">
        <v>1078</v>
      </c>
      <c r="G63" s="399">
        <v>1100.0</v>
      </c>
      <c r="H63" s="392">
        <v>86.0</v>
      </c>
      <c r="I63" s="402" t="s">
        <v>1079</v>
      </c>
      <c r="J63" s="399">
        <v>1109.0</v>
      </c>
      <c r="K63" s="392">
        <v>85.0</v>
      </c>
      <c r="L63" s="402" t="s">
        <v>1080</v>
      </c>
      <c r="M63" s="399">
        <v>1345.0</v>
      </c>
      <c r="N63" s="392">
        <v>52.0</v>
      </c>
      <c r="O63" s="399">
        <v>315.0</v>
      </c>
      <c r="P63" s="400"/>
      <c r="Q63" s="400"/>
    </row>
    <row r="64" ht="15.75" customHeight="1">
      <c r="A64" s="401">
        <v>1.80711104E8</v>
      </c>
      <c r="B64" s="400" t="s">
        <v>1081</v>
      </c>
      <c r="C64" s="400" t="s">
        <v>1082</v>
      </c>
      <c r="D64" s="392" t="s">
        <v>1046</v>
      </c>
      <c r="E64" s="392">
        <v>1139.04</v>
      </c>
      <c r="F64" s="402" t="s">
        <v>1083</v>
      </c>
      <c r="G64" s="399">
        <v>1136.0</v>
      </c>
      <c r="H64" s="392">
        <v>430.0</v>
      </c>
      <c r="I64" s="402" t="s">
        <v>1084</v>
      </c>
      <c r="J64" s="399">
        <v>1100.0</v>
      </c>
      <c r="K64" s="392">
        <v>170.0</v>
      </c>
      <c r="L64" s="400"/>
      <c r="M64" s="400"/>
      <c r="N64" s="400"/>
      <c r="O64" s="399">
        <v>270.0</v>
      </c>
      <c r="P64" s="400"/>
      <c r="Q64" s="400"/>
    </row>
    <row r="65" ht="15.75" customHeight="1">
      <c r="A65" s="401">
        <v>1.80711041E8</v>
      </c>
      <c r="B65" s="400" t="s">
        <v>1085</v>
      </c>
      <c r="C65" s="400" t="s">
        <v>1086</v>
      </c>
      <c r="D65" s="392" t="s">
        <v>1046</v>
      </c>
      <c r="E65" s="392">
        <v>1350.0</v>
      </c>
      <c r="F65" s="402" t="s">
        <v>1087</v>
      </c>
      <c r="G65" s="399">
        <v>1274.0</v>
      </c>
      <c r="H65" s="392">
        <v>29.0</v>
      </c>
      <c r="I65" s="402" t="s">
        <v>1088</v>
      </c>
      <c r="J65" s="399">
        <v>1428.0</v>
      </c>
      <c r="K65" s="392">
        <v>9.0</v>
      </c>
      <c r="L65" s="400"/>
      <c r="M65" s="400"/>
      <c r="N65" s="400"/>
      <c r="O65" s="399">
        <v>90.0</v>
      </c>
      <c r="P65" s="400"/>
      <c r="Q65" s="400"/>
    </row>
    <row r="66" ht="15.75" customHeight="1">
      <c r="A66" s="401">
        <v>2.26115478E8</v>
      </c>
      <c r="B66" s="400" t="s">
        <v>1089</v>
      </c>
      <c r="C66" s="400" t="s">
        <v>1090</v>
      </c>
      <c r="D66" s="392" t="s">
        <v>1046</v>
      </c>
      <c r="E66" s="392">
        <v>1410.0</v>
      </c>
      <c r="F66" s="402" t="s">
        <v>1091</v>
      </c>
      <c r="G66" s="399">
        <v>1400.0</v>
      </c>
      <c r="H66" s="392">
        <v>230.0</v>
      </c>
      <c r="I66" s="400"/>
      <c r="J66" s="400"/>
      <c r="K66" s="400"/>
      <c r="L66" s="400"/>
      <c r="M66" s="400"/>
      <c r="N66" s="400"/>
      <c r="O66" s="399">
        <v>270.0</v>
      </c>
      <c r="P66" s="400"/>
      <c r="Q66" s="400"/>
    </row>
    <row r="67" ht="15.75" customHeight="1">
      <c r="A67" s="401">
        <v>2.26114935E8</v>
      </c>
      <c r="B67" s="400" t="s">
        <v>1092</v>
      </c>
      <c r="C67" s="400" t="s">
        <v>1093</v>
      </c>
      <c r="D67" s="392" t="s">
        <v>1046</v>
      </c>
      <c r="E67" s="392">
        <v>1425.0</v>
      </c>
      <c r="F67" s="402" t="s">
        <v>1094</v>
      </c>
      <c r="G67" s="399">
        <v>1407.0</v>
      </c>
      <c r="H67" s="392">
        <v>43.0</v>
      </c>
      <c r="I67" s="400"/>
      <c r="J67" s="400"/>
      <c r="K67" s="400"/>
      <c r="L67" s="400"/>
      <c r="M67" s="400"/>
      <c r="N67" s="400"/>
      <c r="O67" s="399">
        <v>225.0</v>
      </c>
      <c r="P67" s="400"/>
      <c r="Q67" s="400"/>
    </row>
    <row r="68" ht="15.75" customHeight="1">
      <c r="A68" s="401">
        <v>2.26115141E8</v>
      </c>
      <c r="B68" s="400" t="s">
        <v>1095</v>
      </c>
      <c r="C68" s="400" t="s">
        <v>1096</v>
      </c>
      <c r="D68" s="392" t="s">
        <v>1046</v>
      </c>
      <c r="E68" s="392">
        <v>1410.0</v>
      </c>
      <c r="F68" s="402" t="s">
        <v>1097</v>
      </c>
      <c r="G68" s="399">
        <v>1450.0</v>
      </c>
      <c r="H68" s="392">
        <v>26.0</v>
      </c>
      <c r="I68" s="400"/>
      <c r="J68" s="400"/>
      <c r="K68" s="400"/>
      <c r="L68" s="400"/>
      <c r="M68" s="400"/>
      <c r="N68" s="400"/>
      <c r="O68" s="399">
        <v>315.0</v>
      </c>
      <c r="P68" s="400"/>
      <c r="Q68" s="400"/>
    </row>
    <row r="69" ht="15.75" customHeight="1">
      <c r="A69" s="401">
        <v>2.26115248E8</v>
      </c>
      <c r="B69" s="400" t="s">
        <v>1098</v>
      </c>
      <c r="C69" s="400" t="s">
        <v>1099</v>
      </c>
      <c r="D69" s="392" t="s">
        <v>1046</v>
      </c>
      <c r="E69" s="392">
        <v>1363.8</v>
      </c>
      <c r="F69" s="402" t="s">
        <v>1100</v>
      </c>
      <c r="G69" s="399">
        <v>1346.0</v>
      </c>
      <c r="H69" s="392">
        <v>100.0</v>
      </c>
      <c r="I69" s="400"/>
      <c r="J69" s="400"/>
      <c r="K69" s="400"/>
      <c r="L69" s="400"/>
      <c r="M69" s="400"/>
      <c r="N69" s="400"/>
      <c r="O69" s="399">
        <v>315.0</v>
      </c>
      <c r="P69" s="400"/>
      <c r="Q69" s="400"/>
    </row>
    <row r="70" ht="15.75" customHeight="1">
      <c r="A70" s="401">
        <v>1.79611278E8</v>
      </c>
      <c r="B70" s="400" t="s">
        <v>1101</v>
      </c>
      <c r="C70" s="400" t="s">
        <v>1102</v>
      </c>
      <c r="D70" s="392" t="s">
        <v>1046</v>
      </c>
      <c r="E70" s="392">
        <v>1110.0</v>
      </c>
      <c r="F70" s="402" t="s">
        <v>1103</v>
      </c>
      <c r="G70" s="399">
        <v>1057.0</v>
      </c>
      <c r="H70" s="392">
        <v>270.0</v>
      </c>
      <c r="I70" s="402" t="s">
        <v>1104</v>
      </c>
      <c r="J70" s="399">
        <v>1029.0</v>
      </c>
      <c r="K70" s="392">
        <v>177.0</v>
      </c>
      <c r="L70" s="402" t="s">
        <v>1105</v>
      </c>
      <c r="M70" s="399">
        <v>1074.0</v>
      </c>
      <c r="N70" s="392">
        <v>137.0</v>
      </c>
      <c r="O70" s="399">
        <v>225.0</v>
      </c>
      <c r="P70" s="400"/>
      <c r="Q70" s="400"/>
    </row>
    <row r="71" ht="15.75" customHeight="1">
      <c r="A71" s="401">
        <v>2.26114831E8</v>
      </c>
      <c r="B71" s="400" t="s">
        <v>1106</v>
      </c>
      <c r="C71" s="400" t="s">
        <v>1107</v>
      </c>
      <c r="D71" s="392" t="s">
        <v>1046</v>
      </c>
      <c r="E71" s="392">
        <v>1455.0</v>
      </c>
      <c r="F71" s="402" t="s">
        <v>1108</v>
      </c>
      <c r="G71" s="399">
        <v>1454.0</v>
      </c>
      <c r="H71" s="392">
        <v>60.0</v>
      </c>
      <c r="I71" s="402" t="s">
        <v>1109</v>
      </c>
      <c r="J71" s="399">
        <v>1400.0</v>
      </c>
      <c r="K71" s="392">
        <v>260.0</v>
      </c>
      <c r="L71" s="400"/>
      <c r="M71" s="400"/>
      <c r="N71" s="400"/>
      <c r="O71" s="399">
        <v>315.0</v>
      </c>
      <c r="P71" s="400"/>
      <c r="Q71" s="400"/>
    </row>
    <row r="72" ht="15.75" customHeight="1">
      <c r="A72" s="401">
        <v>2.26117746E8</v>
      </c>
      <c r="B72" s="400" t="s">
        <v>1110</v>
      </c>
      <c r="C72" s="400" t="s">
        <v>1111</v>
      </c>
      <c r="D72" s="392" t="s">
        <v>1046</v>
      </c>
      <c r="E72" s="392">
        <v>1318.34</v>
      </c>
      <c r="F72" s="402" t="s">
        <v>1112</v>
      </c>
      <c r="G72" s="399">
        <v>1283.0</v>
      </c>
      <c r="H72" s="392">
        <v>60.0</v>
      </c>
      <c r="I72" s="400"/>
      <c r="J72" s="400"/>
      <c r="K72" s="400"/>
      <c r="L72" s="400"/>
      <c r="M72" s="400"/>
      <c r="N72" s="400"/>
      <c r="O72" s="399">
        <v>135.0</v>
      </c>
      <c r="P72" s="400"/>
      <c r="Q72" s="400"/>
    </row>
    <row r="73" ht="15.75" customHeight="1">
      <c r="A73" s="401">
        <v>2.26115324E8</v>
      </c>
      <c r="B73" s="400" t="s">
        <v>1113</v>
      </c>
      <c r="C73" s="400" t="s">
        <v>1114</v>
      </c>
      <c r="D73" s="392" t="s">
        <v>1046</v>
      </c>
      <c r="E73" s="392">
        <v>1440.0</v>
      </c>
      <c r="F73" s="402" t="s">
        <v>1115</v>
      </c>
      <c r="G73" s="399">
        <v>1406.0</v>
      </c>
      <c r="H73" s="392">
        <v>380.0</v>
      </c>
      <c r="I73" s="400"/>
      <c r="J73" s="400"/>
      <c r="K73" s="400"/>
      <c r="L73" s="400"/>
      <c r="M73" s="400"/>
      <c r="N73" s="400"/>
      <c r="O73" s="399">
        <v>135.0</v>
      </c>
      <c r="P73" s="399"/>
      <c r="Q73" s="399"/>
    </row>
    <row r="74" ht="15.75" customHeight="1">
      <c r="A74" s="401">
        <v>4.37154709E8</v>
      </c>
      <c r="B74" s="400" t="s">
        <v>1116</v>
      </c>
      <c r="C74" s="400" t="s">
        <v>1117</v>
      </c>
      <c r="D74" s="392" t="s">
        <v>1118</v>
      </c>
      <c r="E74" s="404" t="str">
        <f t="shared" ref="E74:E89" si="1">AVERAGE(G74,J74,M74)</f>
        <v>1334</v>
      </c>
      <c r="F74" s="402" t="s">
        <v>1119</v>
      </c>
      <c r="G74" s="399">
        <v>1577.0</v>
      </c>
      <c r="H74" s="392">
        <v>2100.0</v>
      </c>
      <c r="I74" s="402" t="s">
        <v>1120</v>
      </c>
      <c r="J74" s="399">
        <v>1366.0</v>
      </c>
      <c r="K74" s="392">
        <v>870.0</v>
      </c>
      <c r="L74" s="402" t="s">
        <v>1121</v>
      </c>
      <c r="M74" s="399">
        <v>1060.0</v>
      </c>
      <c r="N74" s="392">
        <v>250.0</v>
      </c>
      <c r="O74" s="399"/>
      <c r="P74" s="399"/>
      <c r="Q74" s="399"/>
    </row>
    <row r="75" ht="15.75" customHeight="1">
      <c r="A75" s="401">
        <v>4.37190353E8</v>
      </c>
      <c r="B75" s="400" t="s">
        <v>1122</v>
      </c>
      <c r="C75" s="400" t="s">
        <v>1123</v>
      </c>
      <c r="D75" s="392" t="s">
        <v>1118</v>
      </c>
      <c r="E75" s="404" t="str">
        <f t="shared" si="1"/>
        <v>2458</v>
      </c>
      <c r="F75" s="402" t="s">
        <v>1124</v>
      </c>
      <c r="G75" s="399">
        <v>2716.0</v>
      </c>
      <c r="H75" s="392">
        <v>570.0</v>
      </c>
      <c r="I75" s="402" t="s">
        <v>1125</v>
      </c>
      <c r="J75" s="399">
        <v>2171.0</v>
      </c>
      <c r="K75" s="392">
        <v>117.0</v>
      </c>
      <c r="L75" s="402" t="s">
        <v>1126</v>
      </c>
      <c r="M75" s="399">
        <v>2487.0</v>
      </c>
      <c r="N75" s="392">
        <v>190.0</v>
      </c>
      <c r="O75" s="399"/>
      <c r="P75" s="399"/>
      <c r="Q75" s="399"/>
    </row>
    <row r="76" ht="15.75" customHeight="1">
      <c r="A76" s="401">
        <v>4.37203627E8</v>
      </c>
      <c r="B76" s="400" t="s">
        <v>1127</v>
      </c>
      <c r="C76" s="400" t="s">
        <v>1128</v>
      </c>
      <c r="D76" s="392" t="s">
        <v>1118</v>
      </c>
      <c r="E76" s="404" t="str">
        <f t="shared" si="1"/>
        <v>1799</v>
      </c>
      <c r="F76" s="402" t="s">
        <v>1129</v>
      </c>
      <c r="G76" s="399">
        <v>1998.0</v>
      </c>
      <c r="H76" s="392">
        <v>400.0</v>
      </c>
      <c r="I76" s="402" t="s">
        <v>1130</v>
      </c>
      <c r="J76" s="399">
        <v>1600.0</v>
      </c>
      <c r="K76" s="392">
        <v>130.0</v>
      </c>
      <c r="L76" s="400"/>
      <c r="M76" s="400"/>
      <c r="N76" s="400"/>
      <c r="O76" s="399"/>
      <c r="P76" s="399"/>
      <c r="Q76" s="399"/>
    </row>
    <row r="77" ht="15.75" customHeight="1">
      <c r="A77" s="401">
        <v>4.37231408E8</v>
      </c>
      <c r="B77" s="400" t="s">
        <v>1131</v>
      </c>
      <c r="C77" s="400" t="s">
        <v>1132</v>
      </c>
      <c r="D77" s="392" t="s">
        <v>1118</v>
      </c>
      <c r="E77" s="404" t="str">
        <f t="shared" si="1"/>
        <v>1287</v>
      </c>
      <c r="F77" s="402" t="s">
        <v>1133</v>
      </c>
      <c r="G77" s="399">
        <v>1270.0</v>
      </c>
      <c r="H77" s="392">
        <v>600.0</v>
      </c>
      <c r="I77" s="402" t="s">
        <v>1134</v>
      </c>
      <c r="J77" s="399">
        <v>1303.0</v>
      </c>
      <c r="K77" s="392">
        <v>450.0</v>
      </c>
      <c r="L77" s="400"/>
      <c r="M77" s="400"/>
      <c r="N77" s="400"/>
      <c r="O77" s="399"/>
      <c r="P77" s="399"/>
      <c r="Q77" s="399"/>
    </row>
    <row r="78" ht="15.75" customHeight="1">
      <c r="A78" s="401">
        <v>4.37238521E8</v>
      </c>
      <c r="B78" s="400" t="s">
        <v>1135</v>
      </c>
      <c r="C78" s="400" t="s">
        <v>1136</v>
      </c>
      <c r="D78" s="392" t="s">
        <v>1118</v>
      </c>
      <c r="E78" s="404" t="str">
        <f t="shared" si="1"/>
        <v>2289</v>
      </c>
      <c r="F78" s="402" t="s">
        <v>1137</v>
      </c>
      <c r="G78" s="399">
        <v>2289.0</v>
      </c>
      <c r="H78" s="392">
        <v>218.0</v>
      </c>
      <c r="I78" s="400"/>
      <c r="J78" s="400"/>
      <c r="K78" s="400"/>
      <c r="L78" s="400"/>
      <c r="M78" s="400"/>
      <c r="N78" s="400"/>
      <c r="O78" s="399"/>
      <c r="P78" s="399"/>
      <c r="Q78" s="399"/>
    </row>
    <row r="79" ht="15.75" customHeight="1">
      <c r="A79" s="401">
        <v>4.3724264E8</v>
      </c>
      <c r="B79" s="400" t="s">
        <v>1138</v>
      </c>
      <c r="C79" s="400" t="s">
        <v>1139</v>
      </c>
      <c r="D79" s="392" t="s">
        <v>1118</v>
      </c>
      <c r="E79" s="404" t="str">
        <f t="shared" si="1"/>
        <v>1290</v>
      </c>
      <c r="F79" s="402" t="s">
        <v>1140</v>
      </c>
      <c r="G79" s="399">
        <v>1590.0</v>
      </c>
      <c r="H79" s="392">
        <v>640.0</v>
      </c>
      <c r="I79" s="402" t="s">
        <v>1141</v>
      </c>
      <c r="J79" s="399">
        <v>1164.0</v>
      </c>
      <c r="K79" s="392">
        <v>85.0</v>
      </c>
      <c r="L79" s="402" t="s">
        <v>1142</v>
      </c>
      <c r="M79" s="399">
        <v>1116.0</v>
      </c>
      <c r="N79" s="392">
        <v>65.0</v>
      </c>
      <c r="O79" s="399"/>
      <c r="P79" s="399"/>
      <c r="Q79" s="399"/>
    </row>
    <row r="80" ht="15.75" customHeight="1">
      <c r="A80" s="401">
        <v>4.3724887E8</v>
      </c>
      <c r="B80" s="400" t="s">
        <v>1143</v>
      </c>
      <c r="C80" s="400" t="s">
        <v>1144</v>
      </c>
      <c r="D80" s="392" t="s">
        <v>1118</v>
      </c>
      <c r="E80" s="404" t="str">
        <f t="shared" si="1"/>
        <v>1704</v>
      </c>
      <c r="F80" s="402" t="s">
        <v>1145</v>
      </c>
      <c r="G80" s="399">
        <v>1704.0</v>
      </c>
      <c r="H80" s="392">
        <v>350.0</v>
      </c>
      <c r="I80" s="400"/>
      <c r="J80" s="400"/>
      <c r="K80" s="400"/>
      <c r="L80" s="400"/>
      <c r="M80" s="400"/>
      <c r="N80" s="400"/>
      <c r="O80" s="399"/>
      <c r="P80" s="399"/>
      <c r="Q80" s="399"/>
    </row>
    <row r="81" ht="15.75" customHeight="1">
      <c r="A81" s="401">
        <v>4.37254254E8</v>
      </c>
      <c r="B81" s="400" t="s">
        <v>1146</v>
      </c>
      <c r="C81" s="400" t="s">
        <v>1147</v>
      </c>
      <c r="D81" s="392" t="s">
        <v>1118</v>
      </c>
      <c r="E81" s="404" t="str">
        <f t="shared" si="1"/>
        <v>2669</v>
      </c>
      <c r="F81" s="402" t="s">
        <v>1148</v>
      </c>
      <c r="G81" s="399">
        <v>2669.0</v>
      </c>
      <c r="H81" s="392">
        <v>150.0</v>
      </c>
      <c r="I81" s="400"/>
      <c r="J81" s="400"/>
      <c r="K81" s="400"/>
      <c r="L81" s="400"/>
      <c r="M81" s="400"/>
      <c r="N81" s="400"/>
      <c r="O81" s="399"/>
      <c r="P81" s="399"/>
      <c r="Q81" s="399"/>
    </row>
    <row r="82" ht="15.75" customHeight="1">
      <c r="A82" s="401">
        <v>4.37776835E8</v>
      </c>
      <c r="B82" s="400" t="s">
        <v>1149</v>
      </c>
      <c r="C82" s="400" t="s">
        <v>1150</v>
      </c>
      <c r="D82" s="392" t="s">
        <v>1118</v>
      </c>
      <c r="E82" s="404" t="str">
        <f t="shared" si="1"/>
        <v>2167</v>
      </c>
      <c r="F82" s="402" t="s">
        <v>1151</v>
      </c>
      <c r="G82" s="399">
        <v>2289.0</v>
      </c>
      <c r="H82" s="392">
        <v>420.0</v>
      </c>
      <c r="I82" s="402" t="s">
        <v>1152</v>
      </c>
      <c r="J82" s="399">
        <v>2044.0</v>
      </c>
      <c r="K82" s="392">
        <v>170.0</v>
      </c>
      <c r="L82" s="400"/>
      <c r="M82" s="400"/>
      <c r="N82" s="400"/>
      <c r="O82" s="399"/>
      <c r="P82" s="399"/>
      <c r="Q82" s="399"/>
    </row>
    <row r="83" ht="15.75" customHeight="1">
      <c r="A83" s="401">
        <v>4.37797551E8</v>
      </c>
      <c r="B83" s="400" t="s">
        <v>1153</v>
      </c>
      <c r="C83" s="400" t="s">
        <v>1154</v>
      </c>
      <c r="D83" s="392" t="s">
        <v>1118</v>
      </c>
      <c r="E83" s="404" t="str">
        <f t="shared" si="1"/>
        <v>1963</v>
      </c>
      <c r="F83" s="402" t="s">
        <v>1155</v>
      </c>
      <c r="G83" s="399">
        <v>2289.0</v>
      </c>
      <c r="H83" s="392">
        <v>900.0</v>
      </c>
      <c r="I83" s="402" t="s">
        <v>1156</v>
      </c>
      <c r="J83" s="399">
        <v>2099.0</v>
      </c>
      <c r="K83" s="392">
        <v>240.0</v>
      </c>
      <c r="L83" s="402" t="s">
        <v>1157</v>
      </c>
      <c r="M83" s="399">
        <v>1501.0</v>
      </c>
      <c r="N83" s="392">
        <v>180.0</v>
      </c>
      <c r="O83" s="399"/>
      <c r="P83" s="399"/>
      <c r="Q83" s="399"/>
    </row>
    <row r="84" ht="15.75" customHeight="1">
      <c r="A84" s="401">
        <v>4.37845041E8</v>
      </c>
      <c r="B84" s="400" t="s">
        <v>1158</v>
      </c>
      <c r="C84" s="400" t="s">
        <v>1159</v>
      </c>
      <c r="D84" s="392" t="s">
        <v>1118</v>
      </c>
      <c r="E84" s="404" t="str">
        <f t="shared" si="1"/>
        <v>2243</v>
      </c>
      <c r="F84" s="402" t="s">
        <v>1160</v>
      </c>
      <c r="G84" s="399">
        <v>2289.0</v>
      </c>
      <c r="H84" s="392">
        <v>700.0</v>
      </c>
      <c r="I84" s="402" t="s">
        <v>1161</v>
      </c>
      <c r="J84" s="399">
        <v>2197.0</v>
      </c>
      <c r="K84" s="392">
        <v>220.0</v>
      </c>
      <c r="L84" s="400"/>
      <c r="M84" s="400"/>
      <c r="N84" s="400"/>
      <c r="O84" s="399"/>
      <c r="P84" s="399"/>
      <c r="Q84" s="399"/>
    </row>
    <row r="85" ht="15.75" customHeight="1">
      <c r="A85" s="401">
        <v>4.37850261E8</v>
      </c>
      <c r="B85" s="400" t="s">
        <v>1162</v>
      </c>
      <c r="C85" s="400" t="s">
        <v>1163</v>
      </c>
      <c r="D85" s="392" t="s">
        <v>1118</v>
      </c>
      <c r="E85" s="404" t="str">
        <f t="shared" si="1"/>
        <v>1604</v>
      </c>
      <c r="F85" s="402" t="s">
        <v>1164</v>
      </c>
      <c r="G85" s="399">
        <v>2044.0</v>
      </c>
      <c r="H85" s="392">
        <v>100.0</v>
      </c>
      <c r="I85" s="402" t="s">
        <v>1165</v>
      </c>
      <c r="J85" s="399">
        <v>1164.0</v>
      </c>
      <c r="K85" s="392">
        <v>70.0</v>
      </c>
      <c r="L85" s="400"/>
      <c r="M85" s="400"/>
      <c r="N85" s="400"/>
      <c r="O85" s="399"/>
      <c r="P85" s="399"/>
      <c r="Q85" s="399"/>
    </row>
    <row r="86" ht="15.75" customHeight="1">
      <c r="A86" s="401">
        <v>1.98156472E8</v>
      </c>
      <c r="B86" s="400" t="s">
        <v>1166</v>
      </c>
      <c r="C86" s="400" t="s">
        <v>1167</v>
      </c>
      <c r="D86" s="392" t="s">
        <v>1168</v>
      </c>
      <c r="E86" s="404" t="str">
        <f t="shared" si="1"/>
        <v>2071</v>
      </c>
      <c r="F86" s="402" t="s">
        <v>1169</v>
      </c>
      <c r="G86" s="399">
        <v>2131.0</v>
      </c>
      <c r="H86" s="392">
        <v>30.0</v>
      </c>
      <c r="I86" s="402" t="s">
        <v>1170</v>
      </c>
      <c r="J86" s="399">
        <v>2010.0</v>
      </c>
      <c r="K86" s="392">
        <v>15.0</v>
      </c>
      <c r="L86" s="400"/>
      <c r="M86" s="400"/>
      <c r="N86" s="400"/>
      <c r="O86" s="399"/>
      <c r="P86" s="399"/>
      <c r="Q86" s="399"/>
    </row>
    <row r="87" ht="15.75" customHeight="1">
      <c r="A87" s="401">
        <v>1.98156358E8</v>
      </c>
      <c r="B87" s="400" t="s">
        <v>1171</v>
      </c>
      <c r="C87" s="400" t="s">
        <v>1172</v>
      </c>
      <c r="D87" s="392" t="s">
        <v>1168</v>
      </c>
      <c r="E87" s="404" t="str">
        <f t="shared" si="1"/>
        <v>1303</v>
      </c>
      <c r="F87" s="402" t="s">
        <v>1173</v>
      </c>
      <c r="G87" s="399">
        <v>1500.0</v>
      </c>
      <c r="H87" s="392">
        <v>70.0</v>
      </c>
      <c r="I87" s="402" t="s">
        <v>1174</v>
      </c>
      <c r="J87" s="399">
        <v>1106.0</v>
      </c>
      <c r="K87" s="392">
        <v>80.0</v>
      </c>
      <c r="L87" s="400"/>
      <c r="M87" s="400"/>
      <c r="N87" s="400"/>
      <c r="O87" s="400"/>
      <c r="P87" s="400"/>
      <c r="Q87" s="400"/>
    </row>
    <row r="88" ht="15.75" customHeight="1">
      <c r="A88" s="401">
        <v>1.98147185E8</v>
      </c>
      <c r="B88" s="400" t="s">
        <v>1175</v>
      </c>
      <c r="C88" s="400" t="s">
        <v>1176</v>
      </c>
      <c r="D88" s="392" t="s">
        <v>1168</v>
      </c>
      <c r="E88" s="404" t="str">
        <f t="shared" si="1"/>
        <v>3604</v>
      </c>
      <c r="F88" s="402" t="s">
        <v>1177</v>
      </c>
      <c r="G88" s="399">
        <v>3604.0</v>
      </c>
      <c r="H88" s="392">
        <v>40.0</v>
      </c>
      <c r="I88" s="400"/>
      <c r="J88" s="400"/>
      <c r="K88" s="400"/>
      <c r="L88" s="400"/>
      <c r="M88" s="400"/>
      <c r="N88" s="400"/>
      <c r="O88" s="400"/>
      <c r="P88" s="400"/>
      <c r="Q88" s="400"/>
    </row>
    <row r="89" ht="15.75" customHeight="1">
      <c r="A89" s="401">
        <v>1.98148122E8</v>
      </c>
      <c r="B89" s="400" t="s">
        <v>1178</v>
      </c>
      <c r="C89" s="400" t="s">
        <v>1179</v>
      </c>
      <c r="D89" s="392" t="s">
        <v>1168</v>
      </c>
      <c r="E89" s="404" t="str">
        <f t="shared" si="1"/>
        <v>3347</v>
      </c>
      <c r="F89" s="402" t="s">
        <v>1180</v>
      </c>
      <c r="G89" s="399">
        <v>3347.0</v>
      </c>
      <c r="H89" s="392">
        <v>60.0</v>
      </c>
      <c r="I89" s="400"/>
      <c r="J89" s="400"/>
      <c r="K89" s="400"/>
      <c r="L89" s="400"/>
      <c r="M89" s="400"/>
      <c r="N89" s="400"/>
      <c r="O89" s="400"/>
      <c r="P89" s="400"/>
      <c r="Q89" s="400"/>
    </row>
    <row r="90" ht="15.75" customHeight="1">
      <c r="A90" s="401">
        <v>1.98156698E8</v>
      </c>
      <c r="B90" s="400" t="s">
        <v>1181</v>
      </c>
      <c r="C90" s="400" t="s">
        <v>1182</v>
      </c>
      <c r="D90" s="392" t="s">
        <v>1168</v>
      </c>
      <c r="E90" s="405"/>
      <c r="F90" s="400" t="s">
        <v>78</v>
      </c>
      <c r="G90" s="399" t="s">
        <v>78</v>
      </c>
      <c r="H90" s="392" t="s">
        <v>78</v>
      </c>
      <c r="I90" s="400"/>
      <c r="J90" s="400"/>
      <c r="K90" s="400"/>
      <c r="L90" s="400"/>
      <c r="M90" s="400"/>
      <c r="N90" s="400"/>
      <c r="O90" s="400"/>
      <c r="P90" s="400"/>
      <c r="Q90" s="400"/>
    </row>
    <row r="91" ht="15.75" customHeight="1">
      <c r="A91" s="401">
        <v>2.05054338E8</v>
      </c>
      <c r="B91" s="400" t="s">
        <v>1183</v>
      </c>
      <c r="C91" s="400" t="s">
        <v>1184</v>
      </c>
      <c r="D91" s="392" t="s">
        <v>1168</v>
      </c>
      <c r="E91" s="404" t="str">
        <f t="shared" ref="E91:E92" si="2">AVERAGE(G91,J91,M91)</f>
        <v>3641</v>
      </c>
      <c r="F91" s="402" t="s">
        <v>1185</v>
      </c>
      <c r="G91" s="399">
        <v>3641.0</v>
      </c>
      <c r="H91" s="392">
        <v>35.0</v>
      </c>
      <c r="I91" s="400"/>
      <c r="J91" s="400"/>
      <c r="K91" s="400"/>
      <c r="L91" s="400"/>
      <c r="M91" s="400"/>
      <c r="N91" s="400"/>
      <c r="O91" s="400"/>
      <c r="P91" s="400"/>
      <c r="Q91" s="400"/>
    </row>
    <row r="92" ht="15.75" customHeight="1">
      <c r="A92" s="401">
        <v>1.98143251E8</v>
      </c>
      <c r="B92" s="400" t="s">
        <v>1186</v>
      </c>
      <c r="C92" s="400" t="s">
        <v>1187</v>
      </c>
      <c r="D92" s="392" t="s">
        <v>1168</v>
      </c>
      <c r="E92" s="404" t="str">
        <f t="shared" si="2"/>
        <v>2153</v>
      </c>
      <c r="F92" s="402" t="s">
        <v>1188</v>
      </c>
      <c r="G92" s="399">
        <v>2153.0</v>
      </c>
      <c r="H92" s="392">
        <v>20.0</v>
      </c>
      <c r="I92" s="400"/>
      <c r="J92" s="400"/>
      <c r="K92" s="400"/>
      <c r="L92" s="400"/>
      <c r="M92" s="400"/>
      <c r="N92" s="400"/>
      <c r="O92" s="400"/>
      <c r="P92" s="400"/>
      <c r="Q92" s="400"/>
    </row>
    <row r="93" ht="15.75" customHeight="1">
      <c r="A93" s="401">
        <v>2.14312259E8</v>
      </c>
      <c r="B93" s="400" t="s">
        <v>1189</v>
      </c>
      <c r="C93" s="400" t="s">
        <v>1190</v>
      </c>
      <c r="D93" s="392" t="s">
        <v>1191</v>
      </c>
      <c r="E93" s="405"/>
      <c r="F93" s="400" t="s">
        <v>78</v>
      </c>
      <c r="G93" s="399" t="s">
        <v>78</v>
      </c>
      <c r="H93" s="392" t="s">
        <v>78</v>
      </c>
      <c r="I93" s="400"/>
      <c r="J93" s="400"/>
      <c r="K93" s="400"/>
      <c r="L93" s="400"/>
      <c r="M93" s="400"/>
      <c r="N93" s="400"/>
      <c r="O93" s="400"/>
      <c r="P93" s="400"/>
      <c r="Q93" s="400"/>
    </row>
    <row r="94" ht="15.75" customHeight="1">
      <c r="A94" s="401">
        <v>2.14312149E8</v>
      </c>
      <c r="B94" s="400" t="s">
        <v>1192</v>
      </c>
      <c r="C94" s="400" t="s">
        <v>1193</v>
      </c>
      <c r="D94" s="392" t="s">
        <v>1191</v>
      </c>
      <c r="E94" s="405"/>
      <c r="F94" s="400" t="s">
        <v>78</v>
      </c>
      <c r="G94" s="399" t="s">
        <v>78</v>
      </c>
      <c r="H94" s="392" t="s">
        <v>78</v>
      </c>
      <c r="I94" s="400"/>
      <c r="J94" s="400"/>
      <c r="K94" s="400"/>
      <c r="L94" s="400"/>
      <c r="M94" s="400"/>
      <c r="N94" s="400"/>
      <c r="O94" s="400"/>
      <c r="P94" s="400"/>
      <c r="Q94" s="400"/>
    </row>
    <row r="95" ht="15.75" customHeight="1">
      <c r="A95" s="401">
        <v>2.14311963E8</v>
      </c>
      <c r="B95" s="400" t="s">
        <v>1194</v>
      </c>
      <c r="C95" s="400" t="s">
        <v>1195</v>
      </c>
      <c r="D95" s="392" t="s">
        <v>1191</v>
      </c>
      <c r="E95" s="404" t="str">
        <f t="shared" ref="E95:E96" si="3">AVERAGE(G95,J95,M95)</f>
        <v>1968</v>
      </c>
      <c r="F95" s="402" t="s">
        <v>1196</v>
      </c>
      <c r="G95" s="399">
        <v>1968.0</v>
      </c>
      <c r="H95" s="392">
        <v>300.0</v>
      </c>
      <c r="I95" s="400"/>
      <c r="J95" s="400"/>
      <c r="K95" s="400"/>
      <c r="L95" s="400"/>
      <c r="M95" s="400"/>
      <c r="N95" s="400"/>
      <c r="O95" s="400"/>
      <c r="P95" s="400"/>
      <c r="Q95" s="400"/>
    </row>
    <row r="96" ht="15.75" customHeight="1">
      <c r="A96" s="401">
        <v>1.50925321E8</v>
      </c>
      <c r="B96" s="400" t="s">
        <v>1197</v>
      </c>
      <c r="C96" s="400" t="s">
        <v>1198</v>
      </c>
      <c r="D96" s="392" t="s">
        <v>863</v>
      </c>
      <c r="E96" s="404" t="str">
        <f t="shared" si="3"/>
        <v>920</v>
      </c>
      <c r="F96" s="402" t="s">
        <v>1199</v>
      </c>
      <c r="G96" s="399">
        <v>855.0</v>
      </c>
      <c r="H96" s="392">
        <v>1200.0</v>
      </c>
      <c r="I96" s="402" t="s">
        <v>1200</v>
      </c>
      <c r="J96" s="399">
        <v>986.0</v>
      </c>
      <c r="K96" s="392">
        <v>1100.0</v>
      </c>
      <c r="L96" s="402" t="s">
        <v>1201</v>
      </c>
      <c r="M96" s="399">
        <v>919.0</v>
      </c>
      <c r="N96" s="392">
        <v>550.0</v>
      </c>
      <c r="O96" s="400"/>
      <c r="P96" s="400"/>
      <c r="Q96" s="400"/>
    </row>
    <row r="97" ht="15.75" customHeight="1">
      <c r="A97" s="401">
        <v>1.70198738E8</v>
      </c>
      <c r="B97" s="400" t="s">
        <v>1202</v>
      </c>
      <c r="C97" s="400" t="s">
        <v>1203</v>
      </c>
      <c r="D97" s="392" t="s">
        <v>863</v>
      </c>
      <c r="E97" s="404">
        <v>957.0</v>
      </c>
      <c r="F97" s="402" t="s">
        <v>1204</v>
      </c>
      <c r="G97" s="399">
        <v>935.0</v>
      </c>
      <c r="H97" s="392">
        <v>200.0</v>
      </c>
      <c r="I97" s="402" t="s">
        <v>1205</v>
      </c>
      <c r="J97" s="399">
        <v>1395.0</v>
      </c>
      <c r="K97" s="392">
        <v>170.0</v>
      </c>
      <c r="L97" s="402" t="s">
        <v>1206</v>
      </c>
      <c r="M97" s="399">
        <v>980.0</v>
      </c>
      <c r="N97" s="392">
        <v>115.0</v>
      </c>
      <c r="O97" s="400"/>
      <c r="P97" s="400"/>
      <c r="Q97" s="400"/>
    </row>
    <row r="98" ht="15.75" customHeight="1">
      <c r="A98" s="401">
        <v>1.70198109E8</v>
      </c>
      <c r="B98" s="400" t="s">
        <v>1207</v>
      </c>
      <c r="C98" s="400" t="s">
        <v>896</v>
      </c>
      <c r="D98" s="392" t="s">
        <v>863</v>
      </c>
      <c r="E98" s="404" t="str">
        <f t="shared" ref="E98:E104" si="4">AVERAGE(G98,J98,M98)</f>
        <v>1026</v>
      </c>
      <c r="F98" s="402" t="s">
        <v>1208</v>
      </c>
      <c r="G98" s="399">
        <v>907.0</v>
      </c>
      <c r="H98" s="392">
        <v>300.0</v>
      </c>
      <c r="I98" s="402" t="s">
        <v>898</v>
      </c>
      <c r="J98" s="399">
        <v>1144.0</v>
      </c>
      <c r="K98" s="392">
        <v>150.0</v>
      </c>
      <c r="L98" s="400"/>
      <c r="M98" s="400"/>
      <c r="N98" s="400"/>
      <c r="O98" s="400"/>
      <c r="P98" s="400"/>
      <c r="Q98" s="400"/>
    </row>
    <row r="99" ht="15.75" customHeight="1">
      <c r="A99" s="401">
        <v>1.70198876E8</v>
      </c>
      <c r="B99" s="400" t="s">
        <v>1209</v>
      </c>
      <c r="C99" s="400" t="s">
        <v>900</v>
      </c>
      <c r="D99" s="392" t="s">
        <v>863</v>
      </c>
      <c r="E99" s="404" t="str">
        <f t="shared" si="4"/>
        <v>920</v>
      </c>
      <c r="F99" s="402" t="s">
        <v>1210</v>
      </c>
      <c r="G99" s="399">
        <v>920.0</v>
      </c>
      <c r="H99" s="392">
        <v>230.0</v>
      </c>
      <c r="I99" s="400"/>
      <c r="J99" s="400"/>
      <c r="K99" s="400"/>
      <c r="L99" s="400"/>
      <c r="M99" s="400"/>
      <c r="N99" s="400"/>
      <c r="O99" s="400"/>
      <c r="P99" s="400"/>
      <c r="Q99" s="400"/>
    </row>
    <row r="100" ht="15.75" customHeight="1">
      <c r="A100" s="401">
        <v>2.06125905E8</v>
      </c>
      <c r="B100" s="400" t="s">
        <v>1211</v>
      </c>
      <c r="C100" s="400" t="s">
        <v>1212</v>
      </c>
      <c r="D100" s="392" t="s">
        <v>1213</v>
      </c>
      <c r="E100" s="404" t="str">
        <f t="shared" si="4"/>
        <v>1812</v>
      </c>
      <c r="F100" s="402" t="s">
        <v>1214</v>
      </c>
      <c r="G100" s="399">
        <v>1812.0</v>
      </c>
      <c r="H100" s="392">
        <v>50.0</v>
      </c>
      <c r="I100" s="400"/>
      <c r="J100" s="400"/>
      <c r="K100" s="400"/>
      <c r="L100" s="400"/>
      <c r="M100" s="400"/>
      <c r="N100" s="400"/>
      <c r="O100" s="400"/>
      <c r="P100" s="400"/>
      <c r="Q100" s="400"/>
    </row>
    <row r="101" ht="15.75" customHeight="1">
      <c r="A101" s="401">
        <v>2.06135397E8</v>
      </c>
      <c r="B101" s="400" t="s">
        <v>1215</v>
      </c>
      <c r="C101" s="400" t="s">
        <v>1216</v>
      </c>
      <c r="D101" s="392" t="s">
        <v>1213</v>
      </c>
      <c r="E101" s="404" t="str">
        <f t="shared" si="4"/>
        <v>1325</v>
      </c>
      <c r="F101" s="402" t="s">
        <v>1217</v>
      </c>
      <c r="G101" s="399">
        <v>1325.0</v>
      </c>
      <c r="H101" s="392">
        <v>70.0</v>
      </c>
      <c r="I101" s="400"/>
      <c r="J101" s="400"/>
      <c r="K101" s="400"/>
      <c r="L101" s="400"/>
      <c r="M101" s="400"/>
      <c r="N101" s="400"/>
      <c r="O101" s="400"/>
      <c r="P101" s="400"/>
      <c r="Q101" s="400"/>
    </row>
    <row r="102" ht="15.75" customHeight="1">
      <c r="A102" s="401">
        <v>2.06122859E8</v>
      </c>
      <c r="B102" s="400" t="s">
        <v>1218</v>
      </c>
      <c r="C102" s="400" t="s">
        <v>1219</v>
      </c>
      <c r="D102" s="392" t="s">
        <v>1213</v>
      </c>
      <c r="E102" s="404" t="str">
        <f t="shared" si="4"/>
        <v>1828</v>
      </c>
      <c r="F102" s="402" t="s">
        <v>1220</v>
      </c>
      <c r="G102" s="399">
        <v>1828.0</v>
      </c>
      <c r="H102" s="392">
        <v>30.0</v>
      </c>
      <c r="I102" s="400"/>
      <c r="J102" s="400"/>
      <c r="K102" s="400"/>
      <c r="L102" s="400"/>
      <c r="M102" s="400"/>
      <c r="N102" s="400"/>
      <c r="O102" s="400"/>
      <c r="P102" s="400"/>
      <c r="Q102" s="400"/>
    </row>
    <row r="103" ht="15.75" customHeight="1">
      <c r="A103" s="401">
        <v>2.06126372E8</v>
      </c>
      <c r="B103" s="400" t="s">
        <v>1221</v>
      </c>
      <c r="C103" s="400" t="s">
        <v>1222</v>
      </c>
      <c r="D103" s="392" t="s">
        <v>1213</v>
      </c>
      <c r="E103" s="404" t="str">
        <f t="shared" si="4"/>
        <v>1599</v>
      </c>
      <c r="F103" s="402" t="s">
        <v>1223</v>
      </c>
      <c r="G103" s="399">
        <v>1599.0</v>
      </c>
      <c r="H103" s="392">
        <v>70.0</v>
      </c>
      <c r="I103" s="400"/>
      <c r="J103" s="400"/>
      <c r="K103" s="400"/>
      <c r="L103" s="400"/>
      <c r="M103" s="400"/>
      <c r="N103" s="400"/>
      <c r="O103" s="400"/>
      <c r="P103" s="400"/>
      <c r="Q103" s="400"/>
    </row>
    <row r="104" ht="15.75" customHeight="1">
      <c r="A104" s="401">
        <v>2.0425006E8</v>
      </c>
      <c r="B104" s="400" t="s">
        <v>1224</v>
      </c>
      <c r="C104" s="400" t="s">
        <v>1225</v>
      </c>
      <c r="D104" s="392" t="s">
        <v>1226</v>
      </c>
      <c r="E104" s="404" t="str">
        <f t="shared" si="4"/>
        <v>1478</v>
      </c>
      <c r="F104" s="402" t="s">
        <v>1227</v>
      </c>
      <c r="G104" s="399">
        <v>973.0</v>
      </c>
      <c r="H104" s="392">
        <v>150.0</v>
      </c>
      <c r="I104" s="402" t="s">
        <v>1228</v>
      </c>
      <c r="J104" s="399">
        <v>1942.0</v>
      </c>
      <c r="K104" s="392">
        <v>130.0</v>
      </c>
      <c r="L104" s="402" t="s">
        <v>1229</v>
      </c>
      <c r="M104" s="399">
        <v>1520.0</v>
      </c>
      <c r="N104" s="392">
        <v>80.0</v>
      </c>
      <c r="O104" s="400"/>
      <c r="P104" s="400"/>
      <c r="Q104" s="400"/>
    </row>
    <row r="105" ht="15.75" customHeight="1">
      <c r="A105" s="401">
        <v>2.07481251E8</v>
      </c>
      <c r="B105" s="400" t="s">
        <v>1230</v>
      </c>
      <c r="C105" s="400" t="s">
        <v>1231</v>
      </c>
      <c r="D105" s="392" t="s">
        <v>1226</v>
      </c>
      <c r="E105" s="405"/>
      <c r="F105" s="400" t="s">
        <v>78</v>
      </c>
      <c r="G105" s="399" t="s">
        <v>78</v>
      </c>
      <c r="H105" s="392" t="s">
        <v>78</v>
      </c>
      <c r="I105" s="400"/>
      <c r="J105" s="400"/>
      <c r="K105" s="400"/>
      <c r="L105" s="400"/>
      <c r="M105" s="400"/>
      <c r="N105" s="400"/>
      <c r="O105" s="400"/>
      <c r="P105" s="400"/>
      <c r="Q105" s="400"/>
    </row>
    <row r="106" ht="15.75" customHeight="1">
      <c r="A106" s="401">
        <v>2.07481714E8</v>
      </c>
      <c r="B106" s="400" t="s">
        <v>1232</v>
      </c>
      <c r="C106" s="400" t="s">
        <v>1233</v>
      </c>
      <c r="D106" s="392" t="s">
        <v>1226</v>
      </c>
      <c r="E106" s="404" t="str">
        <f t="shared" ref="E106:E115" si="5">AVERAGE(G106,J106,M106)</f>
        <v>1847</v>
      </c>
      <c r="F106" s="402" t="s">
        <v>1234</v>
      </c>
      <c r="G106" s="399">
        <v>1847.0</v>
      </c>
      <c r="H106" s="392">
        <v>170.0</v>
      </c>
      <c r="I106" s="400"/>
      <c r="J106" s="400"/>
      <c r="K106" s="400"/>
      <c r="L106" s="400"/>
      <c r="M106" s="400"/>
      <c r="N106" s="400"/>
      <c r="O106" s="400"/>
      <c r="P106" s="400"/>
      <c r="Q106" s="400"/>
    </row>
    <row r="107" ht="15.75" customHeight="1">
      <c r="A107" s="401">
        <v>2.04258828E8</v>
      </c>
      <c r="B107" s="400" t="s">
        <v>1235</v>
      </c>
      <c r="C107" s="400" t="s">
        <v>1236</v>
      </c>
      <c r="D107" s="392" t="s">
        <v>1226</v>
      </c>
      <c r="E107" s="404" t="str">
        <f t="shared" si="5"/>
        <v>1920</v>
      </c>
      <c r="F107" s="402" t="s">
        <v>1237</v>
      </c>
      <c r="G107" s="399">
        <v>1920.0</v>
      </c>
      <c r="H107" s="392">
        <v>50.0</v>
      </c>
      <c r="I107" s="400"/>
      <c r="J107" s="400"/>
      <c r="K107" s="400"/>
      <c r="L107" s="400"/>
      <c r="M107" s="400"/>
      <c r="N107" s="400"/>
      <c r="O107" s="400"/>
      <c r="P107" s="400"/>
      <c r="Q107" s="400"/>
    </row>
    <row r="108" ht="15.75" customHeight="1">
      <c r="A108" s="401">
        <v>1.9942606E8</v>
      </c>
      <c r="B108" s="400" t="s">
        <v>1238</v>
      </c>
      <c r="C108" s="400" t="s">
        <v>1239</v>
      </c>
      <c r="D108" s="392" t="s">
        <v>1240</v>
      </c>
      <c r="E108" s="404" t="str">
        <f t="shared" si="5"/>
        <v>2228</v>
      </c>
      <c r="F108" s="402" t="s">
        <v>1241</v>
      </c>
      <c r="G108" s="399">
        <v>2518.0</v>
      </c>
      <c r="H108" s="392">
        <v>150.0</v>
      </c>
      <c r="I108" s="402" t="s">
        <v>1242</v>
      </c>
      <c r="J108" s="399">
        <v>1937.0</v>
      </c>
      <c r="K108" s="392">
        <v>120.0</v>
      </c>
      <c r="L108" s="400"/>
      <c r="M108" s="400"/>
      <c r="N108" s="400"/>
      <c r="O108" s="400"/>
      <c r="P108" s="400"/>
      <c r="Q108" s="400"/>
    </row>
    <row r="109" ht="15.75" customHeight="1">
      <c r="A109" s="401">
        <v>1.99425671E8</v>
      </c>
      <c r="B109" s="400" t="s">
        <v>1243</v>
      </c>
      <c r="C109" s="400" t="s">
        <v>1244</v>
      </c>
      <c r="D109" s="392" t="s">
        <v>1240</v>
      </c>
      <c r="E109" s="404" t="str">
        <f t="shared" si="5"/>
        <v>2041</v>
      </c>
      <c r="F109" s="402" t="s">
        <v>1245</v>
      </c>
      <c r="G109" s="399">
        <v>2138.0</v>
      </c>
      <c r="H109" s="392">
        <v>270.0</v>
      </c>
      <c r="I109" s="402" t="s">
        <v>1246</v>
      </c>
      <c r="J109" s="399">
        <v>1944.0</v>
      </c>
      <c r="K109" s="392">
        <v>150.0</v>
      </c>
      <c r="L109" s="400"/>
      <c r="M109" s="400"/>
      <c r="N109" s="400"/>
      <c r="O109" s="400"/>
      <c r="P109" s="400"/>
      <c r="Q109" s="400"/>
    </row>
    <row r="110" ht="15.75" customHeight="1">
      <c r="A110" s="401">
        <v>1.99427475E8</v>
      </c>
      <c r="B110" s="400" t="s">
        <v>1247</v>
      </c>
      <c r="C110" s="400" t="s">
        <v>1248</v>
      </c>
      <c r="D110" s="392" t="s">
        <v>1240</v>
      </c>
      <c r="E110" s="404" t="str">
        <f t="shared" si="5"/>
        <v>1606</v>
      </c>
      <c r="F110" s="402" t="s">
        <v>1249</v>
      </c>
      <c r="G110" s="399">
        <v>1920.0</v>
      </c>
      <c r="H110" s="392">
        <v>120.0</v>
      </c>
      <c r="I110" s="402" t="s">
        <v>1250</v>
      </c>
      <c r="J110" s="399">
        <v>1292.0</v>
      </c>
      <c r="K110" s="392">
        <v>110.0</v>
      </c>
      <c r="L110" s="400"/>
      <c r="M110" s="400"/>
      <c r="N110" s="400"/>
      <c r="O110" s="400"/>
      <c r="P110" s="400"/>
      <c r="Q110" s="400"/>
    </row>
    <row r="111" ht="15.75" customHeight="1">
      <c r="A111" s="401">
        <v>1.99367159E8</v>
      </c>
      <c r="B111" s="400" t="s">
        <v>1251</v>
      </c>
      <c r="C111" s="400" t="s">
        <v>1252</v>
      </c>
      <c r="D111" s="392" t="s">
        <v>1240</v>
      </c>
      <c r="E111" s="404" t="str">
        <f t="shared" si="5"/>
        <v>1919</v>
      </c>
      <c r="F111" s="402" t="s">
        <v>1253</v>
      </c>
      <c r="G111" s="399">
        <v>1889.0</v>
      </c>
      <c r="H111" s="392">
        <v>220.0</v>
      </c>
      <c r="I111" s="402" t="s">
        <v>1254</v>
      </c>
      <c r="J111" s="399">
        <v>1949.0</v>
      </c>
      <c r="K111" s="392">
        <v>110.0</v>
      </c>
      <c r="L111" s="400"/>
      <c r="M111" s="400"/>
      <c r="N111" s="400"/>
      <c r="O111" s="400"/>
      <c r="P111" s="400"/>
      <c r="Q111" s="400"/>
    </row>
    <row r="112" ht="15.75" customHeight="1">
      <c r="A112" s="401">
        <v>2.12719009E8</v>
      </c>
      <c r="B112" s="400" t="s">
        <v>1255</v>
      </c>
      <c r="C112" s="400" t="s">
        <v>1256</v>
      </c>
      <c r="D112" s="392" t="s">
        <v>1240</v>
      </c>
      <c r="E112" s="404" t="str">
        <f t="shared" si="5"/>
        <v>3829</v>
      </c>
      <c r="F112" s="402" t="s">
        <v>1257</v>
      </c>
      <c r="G112" s="399">
        <v>3829.0</v>
      </c>
      <c r="H112" s="392">
        <v>50.0</v>
      </c>
      <c r="I112" s="400"/>
      <c r="J112" s="400"/>
      <c r="K112" s="400"/>
      <c r="L112" s="400"/>
      <c r="M112" s="400"/>
      <c r="N112" s="400"/>
      <c r="O112" s="400"/>
      <c r="P112" s="400"/>
      <c r="Q112" s="400"/>
    </row>
    <row r="113" ht="15.75" customHeight="1">
      <c r="A113" s="406">
        <v>2.47275092E8</v>
      </c>
      <c r="B113" s="400" t="s">
        <v>1258</v>
      </c>
      <c r="C113" s="400" t="s">
        <v>1259</v>
      </c>
      <c r="D113" s="392" t="s">
        <v>1260</v>
      </c>
      <c r="E113" s="404" t="str">
        <f t="shared" si="5"/>
        <v>2603</v>
      </c>
      <c r="F113" s="402" t="s">
        <v>1261</v>
      </c>
      <c r="G113" s="399">
        <v>2729.0</v>
      </c>
      <c r="H113" s="392">
        <v>380.0</v>
      </c>
      <c r="I113" s="402" t="s">
        <v>1262</v>
      </c>
      <c r="J113" s="399">
        <v>2477.0</v>
      </c>
      <c r="K113" s="392">
        <v>190.0</v>
      </c>
      <c r="L113" s="400"/>
      <c r="M113" s="400"/>
      <c r="N113" s="400"/>
      <c r="O113" s="400"/>
      <c r="P113" s="400"/>
      <c r="Q113" s="400"/>
    </row>
    <row r="114" ht="15.75" customHeight="1">
      <c r="A114" s="406">
        <v>2.14312426E8</v>
      </c>
      <c r="B114" s="400" t="s">
        <v>1263</v>
      </c>
      <c r="C114" s="400" t="s">
        <v>1259</v>
      </c>
      <c r="D114" s="392" t="s">
        <v>1260</v>
      </c>
      <c r="E114" s="404" t="str">
        <f t="shared" si="5"/>
        <v>2603</v>
      </c>
      <c r="F114" s="402" t="s">
        <v>1261</v>
      </c>
      <c r="G114" s="399">
        <v>2729.0</v>
      </c>
      <c r="H114" s="392">
        <v>380.0</v>
      </c>
      <c r="I114" s="402" t="s">
        <v>1262</v>
      </c>
      <c r="J114" s="399">
        <v>2477.0</v>
      </c>
      <c r="K114" s="392">
        <v>190.0</v>
      </c>
      <c r="L114" s="400"/>
      <c r="M114" s="400"/>
      <c r="N114" s="400"/>
      <c r="O114" s="400"/>
      <c r="P114" s="400"/>
      <c r="Q114" s="400"/>
    </row>
    <row r="115" ht="15.75" customHeight="1">
      <c r="A115" s="401">
        <v>2.07477077E8</v>
      </c>
      <c r="B115" s="400" t="s">
        <v>1264</v>
      </c>
      <c r="C115" s="400" t="s">
        <v>1265</v>
      </c>
      <c r="D115" s="392" t="s">
        <v>905</v>
      </c>
      <c r="E115" s="404" t="str">
        <f t="shared" si="5"/>
        <v>391</v>
      </c>
      <c r="F115" s="402" t="s">
        <v>1266</v>
      </c>
      <c r="G115" s="399">
        <v>391.0</v>
      </c>
      <c r="H115" s="392">
        <v>60.0</v>
      </c>
      <c r="I115" s="400"/>
      <c r="J115" s="400"/>
      <c r="K115" s="400"/>
      <c r="L115" s="400"/>
      <c r="M115" s="400"/>
      <c r="N115" s="400"/>
      <c r="O115" s="400"/>
      <c r="P115" s="400"/>
      <c r="Q115" s="400"/>
    </row>
    <row r="116" ht="15.75" customHeight="1">
      <c r="A116" s="401">
        <v>2.36822518E8</v>
      </c>
      <c r="B116" s="400" t="s">
        <v>1267</v>
      </c>
      <c r="C116" s="400" t="s">
        <v>1268</v>
      </c>
      <c r="D116" s="392" t="s">
        <v>958</v>
      </c>
      <c r="E116" s="405"/>
      <c r="F116" s="400" t="s">
        <v>78</v>
      </c>
      <c r="G116" s="399" t="s">
        <v>78</v>
      </c>
      <c r="H116" s="392" t="s">
        <v>78</v>
      </c>
      <c r="I116" s="400"/>
      <c r="J116" s="400"/>
      <c r="K116" s="400"/>
      <c r="L116" s="400"/>
      <c r="M116" s="400"/>
      <c r="N116" s="400"/>
      <c r="O116" s="400"/>
      <c r="P116" s="400"/>
      <c r="Q116" s="400"/>
    </row>
    <row r="117" ht="15.75" customHeight="1">
      <c r="A117" s="401">
        <v>2.36825103E8</v>
      </c>
      <c r="B117" s="400" t="s">
        <v>1269</v>
      </c>
      <c r="C117" s="400" t="s">
        <v>1270</v>
      </c>
      <c r="D117" s="392" t="s">
        <v>958</v>
      </c>
      <c r="E117" s="405"/>
      <c r="F117" s="400" t="s">
        <v>78</v>
      </c>
      <c r="G117" s="399" t="s">
        <v>78</v>
      </c>
      <c r="H117" s="392" t="s">
        <v>78</v>
      </c>
      <c r="I117" s="400"/>
      <c r="J117" s="400"/>
      <c r="K117" s="400"/>
      <c r="L117" s="400"/>
      <c r="M117" s="400"/>
      <c r="N117" s="400"/>
      <c r="O117" s="400"/>
      <c r="P117" s="400"/>
      <c r="Q117" s="400"/>
    </row>
    <row r="118" ht="15.75" customHeight="1">
      <c r="A118" s="401">
        <v>2.14977901E8</v>
      </c>
      <c r="B118" s="400" t="s">
        <v>1271</v>
      </c>
      <c r="C118" s="400" t="s">
        <v>1272</v>
      </c>
      <c r="D118" s="392" t="s">
        <v>958</v>
      </c>
      <c r="E118" s="405"/>
      <c r="F118" s="402" t="s">
        <v>1273</v>
      </c>
      <c r="G118" s="399">
        <v>1108.0</v>
      </c>
      <c r="H118" s="392">
        <v>80.0</v>
      </c>
      <c r="I118" s="400"/>
      <c r="J118" s="400"/>
      <c r="K118" s="400"/>
      <c r="L118" s="400"/>
      <c r="M118" s="400"/>
      <c r="N118" s="400"/>
      <c r="O118" s="400"/>
      <c r="P118" s="400"/>
      <c r="Q118" s="400"/>
    </row>
    <row r="119" ht="15.75" customHeight="1">
      <c r="A119" s="401">
        <v>2.12757456E8</v>
      </c>
      <c r="B119" s="400" t="s">
        <v>1274</v>
      </c>
      <c r="C119" s="400" t="s">
        <v>1275</v>
      </c>
      <c r="D119" s="392" t="s">
        <v>1276</v>
      </c>
      <c r="E119" s="404" t="str">
        <f>AVERAGE(G119,J119,M119)</f>
        <v>623</v>
      </c>
      <c r="F119" s="402" t="s">
        <v>1277</v>
      </c>
      <c r="G119" s="399">
        <v>644.0</v>
      </c>
      <c r="H119" s="392">
        <v>350.0</v>
      </c>
      <c r="I119" s="402" t="s">
        <v>1278</v>
      </c>
      <c r="J119" s="399">
        <v>601.0</v>
      </c>
      <c r="K119" s="392">
        <v>600.0</v>
      </c>
      <c r="L119" s="400"/>
      <c r="M119" s="400"/>
      <c r="N119" s="400"/>
      <c r="O119" s="400"/>
      <c r="P119" s="400"/>
      <c r="Q119" s="400"/>
    </row>
    <row r="120" ht="15.75" customHeight="1">
      <c r="A120" s="400"/>
      <c r="B120" s="400"/>
      <c r="C120" s="400"/>
      <c r="D120" s="400"/>
      <c r="E120" s="400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</row>
    <row r="121" ht="15.75" customHeight="1">
      <c r="A121" s="400"/>
      <c r="B121" s="400"/>
      <c r="C121" s="400"/>
      <c r="D121" s="400"/>
      <c r="E121" s="400"/>
      <c r="F121" s="400"/>
      <c r="G121" s="400"/>
      <c r="H121" s="400"/>
      <c r="I121" s="400"/>
      <c r="J121" s="400"/>
      <c r="K121" s="400"/>
      <c r="L121" s="400"/>
      <c r="M121" s="400"/>
      <c r="N121" s="400"/>
      <c r="O121" s="400"/>
      <c r="P121" s="400"/>
      <c r="Q121" s="400"/>
    </row>
    <row r="122" ht="15.75" customHeight="1">
      <c r="A122" s="400"/>
      <c r="B122" s="400"/>
      <c r="C122" s="400"/>
      <c r="D122" s="400"/>
      <c r="E122" s="400"/>
      <c r="F122" s="400"/>
      <c r="G122" s="400"/>
      <c r="H122" s="400"/>
      <c r="I122" s="400"/>
      <c r="J122" s="400"/>
      <c r="K122" s="400"/>
      <c r="L122" s="400"/>
      <c r="M122" s="400"/>
      <c r="N122" s="400"/>
      <c r="O122" s="400"/>
      <c r="P122" s="400"/>
      <c r="Q122" s="400"/>
    </row>
    <row r="123" ht="15.75" customHeight="1">
      <c r="A123" s="400"/>
      <c r="B123" s="400"/>
      <c r="C123" s="400"/>
      <c r="D123" s="400"/>
      <c r="E123" s="400"/>
      <c r="F123" s="400"/>
      <c r="G123" s="400"/>
      <c r="H123" s="400"/>
      <c r="I123" s="400"/>
      <c r="J123" s="400"/>
      <c r="K123" s="400"/>
      <c r="L123" s="400"/>
      <c r="M123" s="400"/>
      <c r="N123" s="400"/>
      <c r="O123" s="400"/>
      <c r="P123" s="400"/>
      <c r="Q123" s="400"/>
    </row>
    <row r="124" ht="15.75" customHeight="1">
      <c r="A124" s="400"/>
      <c r="B124" s="400"/>
      <c r="C124" s="400"/>
      <c r="D124" s="400"/>
      <c r="E124" s="400"/>
      <c r="F124" s="400"/>
      <c r="G124" s="400"/>
      <c r="H124" s="400"/>
      <c r="I124" s="400"/>
      <c r="J124" s="400"/>
      <c r="K124" s="400"/>
      <c r="L124" s="400"/>
      <c r="M124" s="400"/>
      <c r="N124" s="400"/>
      <c r="O124" s="400"/>
      <c r="P124" s="400"/>
      <c r="Q124" s="400"/>
    </row>
    <row r="125" ht="15.75" customHeight="1">
      <c r="A125" s="400"/>
      <c r="B125" s="400"/>
      <c r="C125" s="400"/>
      <c r="D125" s="400"/>
      <c r="E125" s="400"/>
      <c r="F125" s="400"/>
      <c r="G125" s="400"/>
      <c r="H125" s="400"/>
      <c r="I125" s="400"/>
      <c r="J125" s="400"/>
      <c r="K125" s="400"/>
      <c r="L125" s="400"/>
      <c r="M125" s="400"/>
      <c r="N125" s="400"/>
      <c r="O125" s="400"/>
      <c r="P125" s="400"/>
      <c r="Q125" s="400"/>
    </row>
    <row r="126" ht="15.75" customHeight="1">
      <c r="A126" s="400"/>
      <c r="B126" s="400"/>
      <c r="C126" s="400"/>
      <c r="D126" s="400"/>
      <c r="E126" s="400"/>
      <c r="F126" s="400"/>
      <c r="G126" s="400"/>
      <c r="H126" s="400"/>
      <c r="I126" s="400"/>
      <c r="J126" s="400"/>
      <c r="K126" s="400"/>
      <c r="L126" s="400"/>
      <c r="M126" s="400"/>
      <c r="N126" s="400"/>
      <c r="O126" s="400"/>
      <c r="P126" s="400"/>
      <c r="Q126" s="400"/>
    </row>
    <row r="127" ht="15.75" customHeight="1">
      <c r="A127" s="400"/>
      <c r="B127" s="400"/>
      <c r="C127" s="400"/>
      <c r="D127" s="400"/>
      <c r="E127" s="400"/>
      <c r="F127" s="400"/>
      <c r="G127" s="400"/>
      <c r="H127" s="400"/>
      <c r="I127" s="400"/>
      <c r="J127" s="400"/>
      <c r="K127" s="400"/>
      <c r="L127" s="400"/>
      <c r="M127" s="400"/>
      <c r="N127" s="400"/>
      <c r="O127" s="400"/>
      <c r="P127" s="400"/>
      <c r="Q127" s="400"/>
    </row>
    <row r="128" ht="15.75" customHeight="1">
      <c r="A128" s="400"/>
      <c r="B128" s="400"/>
      <c r="C128" s="400"/>
      <c r="D128" s="400"/>
      <c r="E128" s="400"/>
      <c r="F128" s="400"/>
      <c r="G128" s="400"/>
      <c r="H128" s="400"/>
      <c r="I128" s="400"/>
      <c r="J128" s="400"/>
      <c r="K128" s="400"/>
      <c r="L128" s="400"/>
      <c r="M128" s="400"/>
      <c r="N128" s="400"/>
      <c r="O128" s="400"/>
      <c r="P128" s="400"/>
      <c r="Q128" s="400"/>
    </row>
    <row r="129" ht="15.75" customHeight="1">
      <c r="A129" s="400"/>
      <c r="B129" s="400"/>
      <c r="C129" s="400"/>
      <c r="D129" s="400"/>
      <c r="E129" s="400"/>
      <c r="F129" s="400"/>
      <c r="G129" s="400"/>
      <c r="H129" s="400"/>
      <c r="I129" s="400"/>
      <c r="J129" s="400"/>
      <c r="K129" s="400"/>
      <c r="L129" s="400"/>
      <c r="M129" s="400"/>
      <c r="N129" s="400"/>
      <c r="O129" s="400"/>
      <c r="P129" s="400"/>
      <c r="Q129" s="400"/>
    </row>
    <row r="130" ht="15.75" customHeight="1">
      <c r="A130" s="400"/>
      <c r="B130" s="400"/>
      <c r="C130" s="400"/>
      <c r="D130" s="400"/>
      <c r="E130" s="400"/>
      <c r="F130" s="400"/>
      <c r="G130" s="400"/>
      <c r="H130" s="400"/>
      <c r="I130" s="400"/>
      <c r="J130" s="400"/>
      <c r="K130" s="400"/>
      <c r="L130" s="400"/>
      <c r="M130" s="400"/>
      <c r="N130" s="400"/>
      <c r="O130" s="400"/>
      <c r="P130" s="400"/>
      <c r="Q130" s="400"/>
    </row>
    <row r="131" ht="15.75" customHeight="1">
      <c r="A131" s="400"/>
      <c r="B131" s="400"/>
      <c r="C131" s="400"/>
      <c r="D131" s="400"/>
      <c r="E131" s="400"/>
      <c r="F131" s="400"/>
      <c r="G131" s="400"/>
      <c r="H131" s="400"/>
      <c r="I131" s="400"/>
      <c r="J131" s="400"/>
      <c r="K131" s="400"/>
      <c r="L131" s="400"/>
      <c r="M131" s="400"/>
      <c r="N131" s="400"/>
      <c r="O131" s="400"/>
      <c r="P131" s="400"/>
      <c r="Q131" s="400"/>
    </row>
    <row r="132" ht="15.75" customHeight="1">
      <c r="A132" s="400"/>
      <c r="B132" s="400"/>
      <c r="C132" s="400"/>
      <c r="D132" s="400"/>
      <c r="E132" s="400"/>
      <c r="F132" s="400"/>
      <c r="G132" s="400"/>
      <c r="H132" s="400"/>
      <c r="I132" s="400"/>
      <c r="J132" s="400"/>
      <c r="K132" s="400"/>
      <c r="L132" s="400"/>
      <c r="M132" s="400"/>
      <c r="N132" s="400"/>
      <c r="O132" s="400"/>
      <c r="P132" s="400"/>
      <c r="Q132" s="400"/>
    </row>
    <row r="133" ht="15.75" customHeight="1">
      <c r="A133" s="400"/>
      <c r="B133" s="400"/>
      <c r="C133" s="400"/>
      <c r="D133" s="400"/>
      <c r="E133" s="400"/>
      <c r="F133" s="400"/>
      <c r="G133" s="400"/>
      <c r="H133" s="400"/>
      <c r="I133" s="400"/>
      <c r="J133" s="400"/>
      <c r="K133" s="400"/>
      <c r="L133" s="400"/>
      <c r="M133" s="400"/>
      <c r="N133" s="400"/>
      <c r="O133" s="400"/>
      <c r="P133" s="400"/>
      <c r="Q133" s="400"/>
    </row>
    <row r="134" ht="15.75" customHeight="1">
      <c r="A134" s="400"/>
      <c r="B134" s="400"/>
      <c r="C134" s="400"/>
      <c r="D134" s="400"/>
      <c r="E134" s="400"/>
      <c r="F134" s="400"/>
      <c r="G134" s="400"/>
      <c r="H134" s="400"/>
      <c r="I134" s="400"/>
      <c r="J134" s="400"/>
      <c r="K134" s="400"/>
      <c r="L134" s="400"/>
      <c r="M134" s="400"/>
      <c r="N134" s="400"/>
      <c r="O134" s="400"/>
      <c r="P134" s="400"/>
      <c r="Q134" s="400"/>
    </row>
    <row r="135" ht="15.75" customHeight="1">
      <c r="A135" s="400"/>
      <c r="B135" s="400"/>
      <c r="C135" s="400"/>
      <c r="D135" s="400"/>
      <c r="E135" s="400"/>
      <c r="F135" s="400"/>
      <c r="G135" s="400"/>
      <c r="H135" s="400"/>
      <c r="I135" s="400"/>
      <c r="J135" s="400"/>
      <c r="K135" s="400"/>
      <c r="L135" s="400"/>
      <c r="M135" s="400"/>
      <c r="N135" s="400"/>
      <c r="O135" s="400"/>
      <c r="P135" s="400"/>
      <c r="Q135" s="400"/>
    </row>
    <row r="136" ht="15.75" customHeight="1">
      <c r="A136" s="400"/>
      <c r="B136" s="400"/>
      <c r="C136" s="400"/>
      <c r="D136" s="400"/>
      <c r="E136" s="400"/>
      <c r="F136" s="400"/>
      <c r="G136" s="400"/>
      <c r="H136" s="400"/>
      <c r="I136" s="400"/>
      <c r="J136" s="400"/>
      <c r="K136" s="400"/>
      <c r="L136" s="400"/>
      <c r="M136" s="400"/>
      <c r="N136" s="400"/>
      <c r="O136" s="400"/>
      <c r="P136" s="400"/>
      <c r="Q136" s="400"/>
    </row>
    <row r="137" ht="15.75" customHeight="1">
      <c r="A137" s="400"/>
      <c r="B137" s="400"/>
      <c r="C137" s="400"/>
      <c r="D137" s="400"/>
      <c r="E137" s="400"/>
      <c r="F137" s="400"/>
      <c r="G137" s="400"/>
      <c r="H137" s="400"/>
      <c r="I137" s="400"/>
      <c r="J137" s="400"/>
      <c r="K137" s="400"/>
      <c r="L137" s="400"/>
      <c r="M137" s="400"/>
      <c r="N137" s="400"/>
      <c r="O137" s="400"/>
      <c r="P137" s="400"/>
      <c r="Q137" s="400"/>
    </row>
    <row r="138" ht="15.75" customHeight="1">
      <c r="A138" s="400"/>
      <c r="B138" s="400"/>
      <c r="C138" s="400"/>
      <c r="D138" s="400"/>
      <c r="E138" s="400"/>
      <c r="F138" s="400"/>
      <c r="G138" s="400"/>
      <c r="H138" s="400"/>
      <c r="I138" s="400"/>
      <c r="J138" s="400"/>
      <c r="K138" s="400"/>
      <c r="L138" s="400"/>
      <c r="M138" s="400"/>
      <c r="N138" s="400"/>
      <c r="O138" s="400"/>
      <c r="P138" s="400"/>
      <c r="Q138" s="400"/>
    </row>
    <row r="139" ht="15.75" customHeight="1">
      <c r="A139" s="400"/>
      <c r="B139" s="400"/>
      <c r="C139" s="400"/>
      <c r="D139" s="400"/>
      <c r="E139" s="400"/>
      <c r="F139" s="400"/>
      <c r="G139" s="400"/>
      <c r="H139" s="400"/>
      <c r="I139" s="400"/>
      <c r="J139" s="400"/>
      <c r="K139" s="400"/>
      <c r="L139" s="400"/>
      <c r="M139" s="400"/>
      <c r="N139" s="400"/>
      <c r="O139" s="400"/>
      <c r="P139" s="400"/>
      <c r="Q139" s="400"/>
    </row>
    <row r="140" ht="15.75" customHeight="1">
      <c r="A140" s="400"/>
      <c r="B140" s="400"/>
      <c r="C140" s="400"/>
      <c r="D140" s="400"/>
      <c r="E140" s="400"/>
      <c r="F140" s="400"/>
      <c r="G140" s="400"/>
      <c r="H140" s="400"/>
      <c r="I140" s="400"/>
      <c r="J140" s="400"/>
      <c r="K140" s="400"/>
      <c r="L140" s="400"/>
      <c r="M140" s="400"/>
      <c r="N140" s="400"/>
      <c r="O140" s="400"/>
      <c r="P140" s="400"/>
      <c r="Q140" s="400"/>
    </row>
    <row r="141" ht="15.75" customHeight="1">
      <c r="A141" s="400"/>
      <c r="B141" s="400"/>
      <c r="C141" s="400"/>
      <c r="D141" s="400"/>
      <c r="E141" s="400"/>
      <c r="F141" s="400"/>
      <c r="G141" s="400"/>
      <c r="H141" s="400"/>
      <c r="I141" s="400"/>
      <c r="J141" s="400"/>
      <c r="K141" s="400"/>
      <c r="L141" s="400"/>
      <c r="M141" s="400"/>
      <c r="N141" s="400"/>
      <c r="O141" s="400"/>
      <c r="P141" s="400"/>
      <c r="Q141" s="400"/>
    </row>
    <row r="142" ht="15.75" customHeight="1">
      <c r="A142" s="400"/>
      <c r="B142" s="400"/>
      <c r="C142" s="400"/>
      <c r="D142" s="400"/>
      <c r="E142" s="400"/>
      <c r="F142" s="400"/>
      <c r="G142" s="400"/>
      <c r="H142" s="400"/>
      <c r="I142" s="400"/>
      <c r="J142" s="400"/>
      <c r="K142" s="400"/>
      <c r="L142" s="400"/>
      <c r="M142" s="400"/>
      <c r="N142" s="400"/>
      <c r="O142" s="400"/>
      <c r="P142" s="400"/>
      <c r="Q142" s="400"/>
    </row>
    <row r="143" ht="15.75" customHeight="1">
      <c r="A143" s="400"/>
      <c r="B143" s="400"/>
      <c r="C143" s="400"/>
      <c r="D143" s="400"/>
      <c r="E143" s="400"/>
      <c r="F143" s="400"/>
      <c r="G143" s="400"/>
      <c r="H143" s="400"/>
      <c r="I143" s="400"/>
      <c r="J143" s="400"/>
      <c r="K143" s="400"/>
      <c r="L143" s="400"/>
      <c r="M143" s="400"/>
      <c r="N143" s="400"/>
      <c r="O143" s="400"/>
      <c r="P143" s="400"/>
      <c r="Q143" s="400"/>
    </row>
    <row r="144" ht="15.75" customHeight="1">
      <c r="A144" s="400"/>
      <c r="B144" s="400"/>
      <c r="C144" s="400"/>
      <c r="D144" s="400"/>
      <c r="E144" s="400"/>
      <c r="F144" s="400"/>
      <c r="G144" s="400"/>
      <c r="H144" s="400"/>
      <c r="I144" s="400"/>
      <c r="J144" s="400"/>
      <c r="K144" s="400"/>
      <c r="L144" s="400"/>
      <c r="M144" s="400"/>
      <c r="N144" s="400"/>
      <c r="O144" s="400"/>
      <c r="P144" s="400"/>
      <c r="Q144" s="400"/>
    </row>
    <row r="145" ht="15.75" customHeight="1">
      <c r="A145" s="400"/>
      <c r="B145" s="400"/>
      <c r="C145" s="400"/>
      <c r="D145" s="400"/>
      <c r="E145" s="400"/>
      <c r="F145" s="400"/>
      <c r="G145" s="400"/>
      <c r="H145" s="400"/>
      <c r="I145" s="400"/>
      <c r="J145" s="400"/>
      <c r="K145" s="400"/>
      <c r="L145" s="400"/>
      <c r="M145" s="400"/>
      <c r="N145" s="400"/>
      <c r="O145" s="400"/>
      <c r="P145" s="400"/>
      <c r="Q145" s="400"/>
    </row>
    <row r="146" ht="15.75" customHeight="1">
      <c r="A146" s="400"/>
      <c r="B146" s="400"/>
      <c r="C146" s="400"/>
      <c r="D146" s="400"/>
      <c r="E146" s="400"/>
      <c r="F146" s="400"/>
      <c r="G146" s="400"/>
      <c r="H146" s="400"/>
      <c r="I146" s="400"/>
      <c r="J146" s="400"/>
      <c r="K146" s="400"/>
      <c r="L146" s="400"/>
      <c r="M146" s="400"/>
      <c r="N146" s="400"/>
      <c r="O146" s="400"/>
      <c r="P146" s="400"/>
      <c r="Q146" s="400"/>
    </row>
    <row r="147" ht="15.75" customHeight="1">
      <c r="A147" s="400"/>
      <c r="B147" s="400"/>
      <c r="C147" s="400"/>
      <c r="D147" s="400"/>
      <c r="E147" s="400"/>
      <c r="F147" s="400"/>
      <c r="G147" s="400"/>
      <c r="H147" s="400"/>
      <c r="I147" s="400"/>
      <c r="J147" s="400"/>
      <c r="K147" s="400"/>
      <c r="L147" s="400"/>
      <c r="M147" s="400"/>
      <c r="N147" s="400"/>
      <c r="O147" s="400"/>
      <c r="P147" s="400"/>
      <c r="Q147" s="400"/>
    </row>
    <row r="148" ht="15.75" customHeight="1">
      <c r="A148" s="400"/>
      <c r="B148" s="400"/>
      <c r="C148" s="400"/>
      <c r="D148" s="400"/>
      <c r="E148" s="400"/>
      <c r="F148" s="400"/>
      <c r="G148" s="400"/>
      <c r="H148" s="400"/>
      <c r="I148" s="400"/>
      <c r="J148" s="400"/>
      <c r="K148" s="400"/>
      <c r="L148" s="400"/>
      <c r="M148" s="400"/>
      <c r="N148" s="400"/>
      <c r="O148" s="400"/>
      <c r="P148" s="400"/>
      <c r="Q148" s="400"/>
    </row>
    <row r="149" ht="15.75" customHeight="1">
      <c r="A149" s="400"/>
      <c r="B149" s="400"/>
      <c r="C149" s="400"/>
      <c r="D149" s="400"/>
      <c r="E149" s="400"/>
      <c r="F149" s="400"/>
      <c r="G149" s="400"/>
      <c r="H149" s="400"/>
      <c r="I149" s="400"/>
      <c r="J149" s="400"/>
      <c r="K149" s="400"/>
      <c r="L149" s="400"/>
      <c r="M149" s="400"/>
      <c r="N149" s="400"/>
      <c r="O149" s="400"/>
      <c r="P149" s="400"/>
      <c r="Q149" s="400"/>
    </row>
    <row r="150" ht="15.75" customHeight="1">
      <c r="A150" s="400"/>
      <c r="B150" s="400"/>
      <c r="C150" s="400"/>
      <c r="D150" s="400"/>
      <c r="E150" s="400"/>
      <c r="F150" s="400"/>
      <c r="G150" s="400"/>
      <c r="H150" s="400"/>
      <c r="I150" s="400"/>
      <c r="J150" s="400"/>
      <c r="K150" s="400"/>
      <c r="L150" s="400"/>
      <c r="M150" s="400"/>
      <c r="N150" s="400"/>
      <c r="O150" s="400"/>
      <c r="P150" s="400"/>
      <c r="Q150" s="400"/>
    </row>
    <row r="151" ht="15.75" customHeight="1">
      <c r="A151" s="400"/>
      <c r="B151" s="400"/>
      <c r="C151" s="400"/>
      <c r="D151" s="400"/>
      <c r="E151" s="400"/>
      <c r="F151" s="400"/>
      <c r="G151" s="400"/>
      <c r="H151" s="400"/>
      <c r="I151" s="400"/>
      <c r="J151" s="400"/>
      <c r="K151" s="400"/>
      <c r="L151" s="400"/>
      <c r="M151" s="400"/>
      <c r="N151" s="400"/>
      <c r="O151" s="400"/>
      <c r="P151" s="400"/>
      <c r="Q151" s="400"/>
    </row>
    <row r="152" ht="15.75" customHeight="1">
      <c r="A152" s="400"/>
      <c r="B152" s="400"/>
      <c r="C152" s="400"/>
      <c r="D152" s="400"/>
      <c r="E152" s="400"/>
      <c r="F152" s="400"/>
      <c r="G152" s="400"/>
      <c r="H152" s="400"/>
      <c r="I152" s="400"/>
      <c r="J152" s="400"/>
      <c r="K152" s="400"/>
      <c r="L152" s="400"/>
      <c r="M152" s="400"/>
      <c r="N152" s="400"/>
      <c r="O152" s="400"/>
      <c r="P152" s="400"/>
      <c r="Q152" s="400"/>
    </row>
    <row r="153" ht="15.75" customHeight="1">
      <c r="A153" s="400"/>
      <c r="B153" s="400"/>
      <c r="C153" s="400"/>
      <c r="D153" s="400"/>
      <c r="E153" s="400"/>
      <c r="F153" s="400"/>
      <c r="G153" s="400"/>
      <c r="H153" s="400"/>
      <c r="I153" s="400"/>
      <c r="J153" s="400"/>
      <c r="K153" s="400"/>
      <c r="L153" s="400"/>
      <c r="M153" s="400"/>
      <c r="N153" s="400"/>
      <c r="O153" s="400"/>
      <c r="P153" s="400"/>
      <c r="Q153" s="400"/>
    </row>
    <row r="154" ht="15.75" customHeight="1">
      <c r="A154" s="400"/>
      <c r="B154" s="400"/>
      <c r="C154" s="400"/>
      <c r="D154" s="400"/>
      <c r="E154" s="400"/>
      <c r="F154" s="400"/>
      <c r="G154" s="400"/>
      <c r="H154" s="400"/>
      <c r="I154" s="400"/>
      <c r="J154" s="400"/>
      <c r="K154" s="400"/>
      <c r="L154" s="400"/>
      <c r="M154" s="400"/>
      <c r="N154" s="400"/>
      <c r="O154" s="400"/>
      <c r="P154" s="400"/>
      <c r="Q154" s="400"/>
    </row>
    <row r="155" ht="15.75" customHeight="1">
      <c r="A155" s="400"/>
      <c r="B155" s="400"/>
      <c r="C155" s="400"/>
      <c r="D155" s="400"/>
      <c r="E155" s="400"/>
      <c r="F155" s="400"/>
      <c r="G155" s="400"/>
      <c r="H155" s="400"/>
      <c r="I155" s="400"/>
      <c r="J155" s="400"/>
      <c r="K155" s="400"/>
      <c r="L155" s="400"/>
      <c r="M155" s="400"/>
      <c r="N155" s="400"/>
      <c r="O155" s="400"/>
      <c r="P155" s="400"/>
      <c r="Q155" s="400"/>
    </row>
    <row r="156" ht="15.75" customHeight="1">
      <c r="A156" s="400"/>
      <c r="B156" s="400"/>
      <c r="C156" s="400"/>
      <c r="D156" s="400"/>
      <c r="E156" s="400"/>
      <c r="F156" s="400"/>
      <c r="G156" s="400"/>
      <c r="H156" s="400"/>
      <c r="I156" s="400"/>
      <c r="J156" s="400"/>
      <c r="K156" s="400"/>
      <c r="L156" s="400"/>
      <c r="M156" s="400"/>
      <c r="N156" s="400"/>
      <c r="O156" s="400"/>
      <c r="P156" s="400"/>
      <c r="Q156" s="400"/>
    </row>
    <row r="157" ht="15.75" customHeight="1">
      <c r="A157" s="400"/>
      <c r="B157" s="400"/>
      <c r="C157" s="400"/>
      <c r="D157" s="400"/>
      <c r="E157" s="400"/>
      <c r="F157" s="400"/>
      <c r="G157" s="400"/>
      <c r="H157" s="400"/>
      <c r="I157" s="400"/>
      <c r="J157" s="400"/>
      <c r="K157" s="400"/>
      <c r="L157" s="400"/>
      <c r="M157" s="400"/>
      <c r="N157" s="400"/>
      <c r="O157" s="400"/>
      <c r="P157" s="400"/>
      <c r="Q157" s="400"/>
    </row>
    <row r="158" ht="15.75" customHeight="1">
      <c r="A158" s="400"/>
      <c r="B158" s="400"/>
      <c r="C158" s="400"/>
      <c r="D158" s="400"/>
      <c r="E158" s="400"/>
      <c r="F158" s="400"/>
      <c r="G158" s="400"/>
      <c r="H158" s="400"/>
      <c r="I158" s="400"/>
      <c r="J158" s="400"/>
      <c r="K158" s="400"/>
      <c r="L158" s="400"/>
      <c r="M158" s="400"/>
      <c r="N158" s="400"/>
      <c r="O158" s="400"/>
      <c r="P158" s="400"/>
      <c r="Q158" s="400"/>
    </row>
    <row r="159" ht="15.75" customHeight="1">
      <c r="A159" s="400"/>
      <c r="B159" s="400"/>
      <c r="C159" s="400"/>
      <c r="D159" s="400"/>
      <c r="E159" s="400"/>
      <c r="F159" s="400"/>
      <c r="G159" s="400"/>
      <c r="H159" s="400"/>
      <c r="I159" s="400"/>
      <c r="J159" s="400"/>
      <c r="K159" s="400"/>
      <c r="L159" s="400"/>
      <c r="M159" s="400"/>
      <c r="N159" s="400"/>
      <c r="O159" s="400"/>
      <c r="P159" s="400"/>
      <c r="Q159" s="400"/>
    </row>
    <row r="160" ht="15.75" customHeight="1">
      <c r="A160" s="400"/>
      <c r="B160" s="400"/>
      <c r="C160" s="400"/>
      <c r="D160" s="400"/>
      <c r="E160" s="400"/>
      <c r="F160" s="400"/>
      <c r="G160" s="400"/>
      <c r="H160" s="400"/>
      <c r="I160" s="400"/>
      <c r="J160" s="400"/>
      <c r="K160" s="400"/>
      <c r="L160" s="400"/>
      <c r="M160" s="400"/>
      <c r="N160" s="400"/>
      <c r="O160" s="400"/>
      <c r="P160" s="400"/>
      <c r="Q160" s="400"/>
    </row>
    <row r="161" ht="15.75" customHeight="1">
      <c r="A161" s="400"/>
      <c r="B161" s="400"/>
      <c r="C161" s="400"/>
      <c r="D161" s="400"/>
      <c r="E161" s="400"/>
      <c r="F161" s="400"/>
      <c r="G161" s="400"/>
      <c r="H161" s="400"/>
      <c r="I161" s="400"/>
      <c r="J161" s="400"/>
      <c r="K161" s="400"/>
      <c r="L161" s="400"/>
      <c r="M161" s="400"/>
      <c r="N161" s="400"/>
      <c r="O161" s="400"/>
      <c r="P161" s="400"/>
      <c r="Q161" s="400"/>
    </row>
    <row r="162" ht="15.75" customHeight="1">
      <c r="A162" s="400"/>
      <c r="B162" s="400"/>
      <c r="C162" s="400"/>
      <c r="D162" s="400"/>
      <c r="E162" s="400"/>
      <c r="F162" s="400"/>
      <c r="G162" s="400"/>
      <c r="H162" s="400"/>
      <c r="I162" s="400"/>
      <c r="J162" s="400"/>
      <c r="K162" s="400"/>
      <c r="L162" s="400"/>
      <c r="M162" s="400"/>
      <c r="N162" s="400"/>
      <c r="O162" s="400"/>
      <c r="P162" s="400"/>
      <c r="Q162" s="400"/>
    </row>
    <row r="163" ht="15.75" customHeight="1">
      <c r="A163" s="400"/>
      <c r="B163" s="400"/>
      <c r="C163" s="400"/>
      <c r="D163" s="400"/>
      <c r="E163" s="400"/>
      <c r="F163" s="400"/>
      <c r="G163" s="400"/>
      <c r="H163" s="400"/>
      <c r="I163" s="400"/>
      <c r="J163" s="400"/>
      <c r="K163" s="400"/>
      <c r="L163" s="400"/>
      <c r="M163" s="400"/>
      <c r="N163" s="400"/>
      <c r="O163" s="400"/>
      <c r="P163" s="400"/>
      <c r="Q163" s="400"/>
    </row>
    <row r="164" ht="15.75" customHeight="1">
      <c r="A164" s="400"/>
      <c r="B164" s="400"/>
      <c r="C164" s="400"/>
      <c r="D164" s="400"/>
      <c r="E164" s="400"/>
      <c r="F164" s="400"/>
      <c r="G164" s="400"/>
      <c r="H164" s="400"/>
      <c r="I164" s="400"/>
      <c r="J164" s="400"/>
      <c r="K164" s="400"/>
      <c r="L164" s="400"/>
      <c r="M164" s="400"/>
      <c r="N164" s="400"/>
      <c r="O164" s="400"/>
      <c r="P164" s="400"/>
      <c r="Q164" s="400"/>
    </row>
    <row r="165" ht="15.75" customHeight="1">
      <c r="A165" s="400"/>
      <c r="B165" s="400"/>
      <c r="C165" s="400"/>
      <c r="D165" s="400"/>
      <c r="E165" s="400"/>
      <c r="F165" s="400"/>
      <c r="G165" s="400"/>
      <c r="H165" s="400"/>
      <c r="I165" s="400"/>
      <c r="J165" s="400"/>
      <c r="K165" s="400"/>
      <c r="L165" s="400"/>
      <c r="M165" s="400"/>
      <c r="N165" s="400"/>
      <c r="O165" s="400"/>
      <c r="P165" s="400"/>
      <c r="Q165" s="400"/>
    </row>
    <row r="166" ht="15.75" customHeight="1">
      <c r="A166" s="400"/>
      <c r="B166" s="400"/>
      <c r="C166" s="400"/>
      <c r="D166" s="400"/>
      <c r="E166" s="400"/>
      <c r="F166" s="400"/>
      <c r="G166" s="400"/>
      <c r="H166" s="400"/>
      <c r="I166" s="400"/>
      <c r="J166" s="400"/>
      <c r="K166" s="400"/>
      <c r="L166" s="400"/>
      <c r="M166" s="400"/>
      <c r="N166" s="400"/>
      <c r="O166" s="400"/>
      <c r="P166" s="400"/>
      <c r="Q166" s="400"/>
    </row>
    <row r="167" ht="15.75" customHeight="1">
      <c r="A167" s="400"/>
      <c r="B167" s="400"/>
      <c r="C167" s="400"/>
      <c r="D167" s="400"/>
      <c r="E167" s="400"/>
      <c r="F167" s="400"/>
      <c r="G167" s="400"/>
      <c r="H167" s="400"/>
      <c r="I167" s="400"/>
      <c r="J167" s="400"/>
      <c r="K167" s="400"/>
      <c r="L167" s="400"/>
      <c r="M167" s="400"/>
      <c r="N167" s="400"/>
      <c r="O167" s="400"/>
      <c r="P167" s="400"/>
      <c r="Q167" s="400"/>
    </row>
    <row r="168" ht="15.75" customHeight="1">
      <c r="A168" s="400"/>
      <c r="B168" s="400"/>
      <c r="C168" s="400"/>
      <c r="D168" s="400"/>
      <c r="E168" s="400"/>
      <c r="F168" s="400"/>
      <c r="G168" s="400"/>
      <c r="H168" s="400"/>
      <c r="I168" s="400"/>
      <c r="J168" s="400"/>
      <c r="K168" s="400"/>
      <c r="L168" s="400"/>
      <c r="M168" s="400"/>
      <c r="N168" s="400"/>
      <c r="O168" s="400"/>
      <c r="P168" s="400"/>
      <c r="Q168" s="400"/>
    </row>
    <row r="169" ht="15.75" customHeight="1">
      <c r="A169" s="400"/>
      <c r="B169" s="400"/>
      <c r="C169" s="400"/>
      <c r="D169" s="400"/>
      <c r="E169" s="400"/>
      <c r="F169" s="400"/>
      <c r="G169" s="400"/>
      <c r="H169" s="400"/>
      <c r="I169" s="400"/>
      <c r="J169" s="400"/>
      <c r="K169" s="400"/>
      <c r="L169" s="400"/>
      <c r="M169" s="400"/>
      <c r="N169" s="400"/>
      <c r="O169" s="400"/>
      <c r="P169" s="400"/>
      <c r="Q169" s="400"/>
    </row>
    <row r="170" ht="15.75" customHeight="1">
      <c r="A170" s="400"/>
      <c r="B170" s="400"/>
      <c r="C170" s="400"/>
      <c r="D170" s="400"/>
      <c r="E170" s="400"/>
      <c r="F170" s="400"/>
      <c r="G170" s="400"/>
      <c r="H170" s="400"/>
      <c r="I170" s="400"/>
      <c r="J170" s="400"/>
      <c r="K170" s="400"/>
      <c r="L170" s="400"/>
      <c r="M170" s="400"/>
      <c r="N170" s="400"/>
      <c r="O170" s="400"/>
      <c r="P170" s="400"/>
      <c r="Q170" s="400"/>
    </row>
    <row r="171" ht="15.75" customHeight="1">
      <c r="A171" s="400"/>
      <c r="B171" s="400"/>
      <c r="C171" s="400"/>
      <c r="D171" s="400"/>
      <c r="E171" s="400"/>
      <c r="F171" s="400"/>
      <c r="G171" s="400"/>
      <c r="H171" s="400"/>
      <c r="I171" s="400"/>
      <c r="J171" s="400"/>
      <c r="K171" s="400"/>
      <c r="L171" s="400"/>
      <c r="M171" s="400"/>
      <c r="N171" s="400"/>
      <c r="O171" s="400"/>
      <c r="P171" s="400"/>
      <c r="Q171" s="400"/>
    </row>
    <row r="172" ht="15.75" customHeight="1">
      <c r="A172" s="400"/>
      <c r="B172" s="400"/>
      <c r="C172" s="400"/>
      <c r="D172" s="400"/>
      <c r="E172" s="400"/>
      <c r="F172" s="400"/>
      <c r="G172" s="400"/>
      <c r="H172" s="400"/>
      <c r="I172" s="400"/>
      <c r="J172" s="400"/>
      <c r="K172" s="400"/>
      <c r="L172" s="400"/>
      <c r="M172" s="400"/>
      <c r="N172" s="400"/>
      <c r="O172" s="400"/>
      <c r="P172" s="400"/>
      <c r="Q172" s="400"/>
    </row>
    <row r="173" ht="15.75" customHeight="1">
      <c r="A173" s="400"/>
      <c r="B173" s="400"/>
      <c r="C173" s="400"/>
      <c r="D173" s="400"/>
      <c r="E173" s="400"/>
      <c r="F173" s="400"/>
      <c r="G173" s="400"/>
      <c r="H173" s="400"/>
      <c r="I173" s="400"/>
      <c r="J173" s="400"/>
      <c r="K173" s="400"/>
      <c r="L173" s="400"/>
      <c r="M173" s="400"/>
      <c r="N173" s="400"/>
      <c r="O173" s="400"/>
      <c r="P173" s="400"/>
      <c r="Q173" s="400"/>
    </row>
    <row r="174" ht="15.75" customHeight="1">
      <c r="A174" s="400"/>
      <c r="B174" s="400"/>
      <c r="C174" s="400"/>
      <c r="D174" s="400"/>
      <c r="E174" s="400"/>
      <c r="F174" s="400"/>
      <c r="G174" s="400"/>
      <c r="H174" s="400"/>
      <c r="I174" s="400"/>
      <c r="J174" s="400"/>
      <c r="K174" s="400"/>
      <c r="L174" s="400"/>
      <c r="M174" s="400"/>
      <c r="N174" s="400"/>
      <c r="O174" s="400"/>
      <c r="P174" s="400"/>
      <c r="Q174" s="400"/>
    </row>
    <row r="175" ht="15.75" customHeight="1">
      <c r="A175" s="400"/>
      <c r="B175" s="400"/>
      <c r="C175" s="400"/>
      <c r="D175" s="400"/>
      <c r="E175" s="400"/>
      <c r="F175" s="400"/>
      <c r="G175" s="400"/>
      <c r="H175" s="400"/>
      <c r="I175" s="400"/>
      <c r="J175" s="400"/>
      <c r="K175" s="400"/>
      <c r="L175" s="400"/>
      <c r="M175" s="400"/>
      <c r="N175" s="400"/>
      <c r="O175" s="400"/>
      <c r="P175" s="400"/>
      <c r="Q175" s="400"/>
    </row>
    <row r="176" ht="15.75" customHeight="1">
      <c r="A176" s="400"/>
      <c r="B176" s="400"/>
      <c r="C176" s="400"/>
      <c r="D176" s="400"/>
      <c r="E176" s="400"/>
      <c r="F176" s="400"/>
      <c r="G176" s="400"/>
      <c r="H176" s="400"/>
      <c r="I176" s="400"/>
      <c r="J176" s="400"/>
      <c r="K176" s="400"/>
      <c r="L176" s="400"/>
      <c r="M176" s="400"/>
      <c r="N176" s="400"/>
      <c r="O176" s="400"/>
      <c r="P176" s="400"/>
      <c r="Q176" s="400"/>
    </row>
    <row r="177" ht="15.75" customHeight="1">
      <c r="A177" s="400"/>
      <c r="B177" s="400"/>
      <c r="C177" s="400"/>
      <c r="D177" s="400"/>
      <c r="E177" s="400"/>
      <c r="F177" s="400"/>
      <c r="G177" s="400"/>
      <c r="H177" s="400"/>
      <c r="I177" s="400"/>
      <c r="J177" s="400"/>
      <c r="K177" s="400"/>
      <c r="L177" s="400"/>
      <c r="M177" s="400"/>
      <c r="N177" s="400"/>
      <c r="O177" s="400"/>
      <c r="P177" s="400"/>
      <c r="Q177" s="400"/>
    </row>
    <row r="178" ht="15.75" customHeight="1">
      <c r="A178" s="400"/>
      <c r="B178" s="400"/>
      <c r="C178" s="400"/>
      <c r="D178" s="400"/>
      <c r="E178" s="400"/>
      <c r="F178" s="400"/>
      <c r="G178" s="400"/>
      <c r="H178" s="400"/>
      <c r="I178" s="400"/>
      <c r="J178" s="400"/>
      <c r="K178" s="400"/>
      <c r="L178" s="400"/>
      <c r="M178" s="400"/>
      <c r="N178" s="400"/>
      <c r="O178" s="400"/>
      <c r="P178" s="400"/>
      <c r="Q178" s="400"/>
    </row>
    <row r="179" ht="15.75" customHeight="1">
      <c r="A179" s="400"/>
      <c r="B179" s="400"/>
      <c r="C179" s="400"/>
      <c r="D179" s="400"/>
      <c r="E179" s="400"/>
      <c r="F179" s="400"/>
      <c r="G179" s="400"/>
      <c r="H179" s="400"/>
      <c r="I179" s="400"/>
      <c r="J179" s="400"/>
      <c r="K179" s="400"/>
      <c r="L179" s="400"/>
      <c r="M179" s="400"/>
      <c r="N179" s="400"/>
      <c r="O179" s="400"/>
      <c r="P179" s="400"/>
      <c r="Q179" s="400"/>
    </row>
    <row r="180" ht="15.75" customHeight="1">
      <c r="A180" s="400"/>
      <c r="B180" s="400"/>
      <c r="C180" s="400"/>
      <c r="D180" s="400"/>
      <c r="E180" s="400"/>
      <c r="F180" s="400"/>
      <c r="G180" s="400"/>
      <c r="H180" s="400"/>
      <c r="I180" s="400"/>
      <c r="J180" s="400"/>
      <c r="K180" s="400"/>
      <c r="L180" s="400"/>
      <c r="M180" s="400"/>
      <c r="N180" s="400"/>
      <c r="O180" s="400"/>
      <c r="P180" s="400"/>
      <c r="Q180" s="400"/>
    </row>
    <row r="181" ht="15.75" customHeight="1">
      <c r="A181" s="400"/>
      <c r="B181" s="400"/>
      <c r="C181" s="400"/>
      <c r="D181" s="400"/>
      <c r="E181" s="400"/>
      <c r="F181" s="400"/>
      <c r="G181" s="400"/>
      <c r="H181" s="400"/>
      <c r="I181" s="400"/>
      <c r="J181" s="400"/>
      <c r="K181" s="400"/>
      <c r="L181" s="400"/>
      <c r="M181" s="400"/>
      <c r="N181" s="400"/>
      <c r="O181" s="400"/>
      <c r="P181" s="400"/>
      <c r="Q181" s="400"/>
    </row>
    <row r="182" ht="15.75" customHeight="1">
      <c r="A182" s="400"/>
      <c r="B182" s="400"/>
      <c r="C182" s="400"/>
      <c r="D182" s="400"/>
      <c r="E182" s="400"/>
      <c r="F182" s="400"/>
      <c r="G182" s="400"/>
      <c r="H182" s="400"/>
      <c r="I182" s="400"/>
      <c r="J182" s="400"/>
      <c r="K182" s="400"/>
      <c r="L182" s="400"/>
      <c r="M182" s="400"/>
      <c r="N182" s="400"/>
      <c r="O182" s="400"/>
      <c r="P182" s="400"/>
      <c r="Q182" s="400"/>
    </row>
    <row r="183" ht="15.75" customHeight="1">
      <c r="A183" s="400"/>
      <c r="B183" s="400"/>
      <c r="C183" s="400"/>
      <c r="D183" s="400"/>
      <c r="E183" s="400"/>
      <c r="F183" s="400"/>
      <c r="G183" s="400"/>
      <c r="H183" s="400"/>
      <c r="I183" s="400"/>
      <c r="J183" s="400"/>
      <c r="K183" s="400"/>
      <c r="L183" s="400"/>
      <c r="M183" s="400"/>
      <c r="N183" s="400"/>
      <c r="O183" s="400"/>
      <c r="P183" s="400"/>
      <c r="Q183" s="400"/>
    </row>
    <row r="184" ht="15.75" customHeight="1">
      <c r="A184" s="400"/>
      <c r="B184" s="400"/>
      <c r="C184" s="400"/>
      <c r="D184" s="400"/>
      <c r="E184" s="400"/>
      <c r="F184" s="400"/>
      <c r="G184" s="400"/>
      <c r="H184" s="400"/>
      <c r="I184" s="400"/>
      <c r="J184" s="400"/>
      <c r="K184" s="400"/>
      <c r="L184" s="400"/>
      <c r="M184" s="400"/>
      <c r="N184" s="400"/>
      <c r="O184" s="400"/>
      <c r="P184" s="400"/>
      <c r="Q184" s="400"/>
    </row>
    <row r="185" ht="15.75" customHeight="1">
      <c r="A185" s="400"/>
      <c r="B185" s="400"/>
      <c r="C185" s="400"/>
      <c r="D185" s="400"/>
      <c r="E185" s="400"/>
      <c r="F185" s="400"/>
      <c r="G185" s="400"/>
      <c r="H185" s="400"/>
      <c r="I185" s="400"/>
      <c r="J185" s="400"/>
      <c r="K185" s="400"/>
      <c r="L185" s="400"/>
      <c r="M185" s="400"/>
      <c r="N185" s="400"/>
      <c r="O185" s="400"/>
      <c r="P185" s="400"/>
      <c r="Q185" s="400"/>
    </row>
    <row r="186" ht="15.75" customHeight="1">
      <c r="A186" s="400"/>
      <c r="B186" s="400"/>
      <c r="C186" s="400"/>
      <c r="D186" s="400"/>
      <c r="E186" s="400"/>
      <c r="F186" s="400"/>
      <c r="G186" s="400"/>
      <c r="H186" s="400"/>
      <c r="I186" s="400"/>
      <c r="J186" s="400"/>
      <c r="K186" s="400"/>
      <c r="L186" s="400"/>
      <c r="M186" s="400"/>
      <c r="N186" s="400"/>
      <c r="O186" s="400"/>
      <c r="P186" s="400"/>
      <c r="Q186" s="400"/>
    </row>
    <row r="187" ht="15.75" customHeight="1">
      <c r="A187" s="400"/>
      <c r="B187" s="400"/>
      <c r="C187" s="400"/>
      <c r="D187" s="400"/>
      <c r="E187" s="400"/>
      <c r="F187" s="400"/>
      <c r="G187" s="400"/>
      <c r="H187" s="400"/>
      <c r="I187" s="400"/>
      <c r="J187" s="400"/>
      <c r="K187" s="400"/>
      <c r="L187" s="400"/>
      <c r="M187" s="400"/>
      <c r="N187" s="400"/>
      <c r="O187" s="400"/>
      <c r="P187" s="400"/>
      <c r="Q187" s="400"/>
    </row>
    <row r="188" ht="15.75" customHeight="1">
      <c r="A188" s="400"/>
      <c r="B188" s="400"/>
      <c r="C188" s="400"/>
      <c r="D188" s="400"/>
      <c r="E188" s="400"/>
      <c r="F188" s="400"/>
      <c r="G188" s="400"/>
      <c r="H188" s="400"/>
      <c r="I188" s="400"/>
      <c r="J188" s="400"/>
      <c r="K188" s="400"/>
      <c r="L188" s="400"/>
      <c r="M188" s="400"/>
      <c r="N188" s="400"/>
      <c r="O188" s="400"/>
      <c r="P188" s="400"/>
      <c r="Q188" s="400"/>
    </row>
    <row r="189" ht="15.75" customHeight="1">
      <c r="A189" s="400"/>
      <c r="B189" s="400"/>
      <c r="C189" s="400"/>
      <c r="D189" s="400"/>
      <c r="E189" s="400"/>
      <c r="F189" s="400"/>
      <c r="G189" s="400"/>
      <c r="H189" s="400"/>
      <c r="I189" s="400"/>
      <c r="J189" s="400"/>
      <c r="K189" s="400"/>
      <c r="L189" s="400"/>
      <c r="M189" s="400"/>
      <c r="N189" s="400"/>
      <c r="O189" s="400"/>
      <c r="P189" s="400"/>
      <c r="Q189" s="400"/>
    </row>
    <row r="190" ht="15.75" customHeight="1">
      <c r="A190" s="400"/>
      <c r="B190" s="400"/>
      <c r="C190" s="400"/>
      <c r="D190" s="400"/>
      <c r="E190" s="400"/>
      <c r="F190" s="400"/>
      <c r="G190" s="400"/>
      <c r="H190" s="400"/>
      <c r="I190" s="400"/>
      <c r="J190" s="400"/>
      <c r="K190" s="400"/>
      <c r="L190" s="400"/>
      <c r="M190" s="400"/>
      <c r="N190" s="400"/>
      <c r="O190" s="400"/>
      <c r="P190" s="400"/>
      <c r="Q190" s="400"/>
    </row>
    <row r="191" ht="15.75" customHeight="1">
      <c r="A191" s="400"/>
      <c r="B191" s="400"/>
      <c r="C191" s="400"/>
      <c r="D191" s="400"/>
      <c r="E191" s="400"/>
      <c r="F191" s="400"/>
      <c r="G191" s="400"/>
      <c r="H191" s="400"/>
      <c r="I191" s="400"/>
      <c r="J191" s="400"/>
      <c r="K191" s="400"/>
      <c r="L191" s="400"/>
      <c r="M191" s="400"/>
      <c r="N191" s="400"/>
      <c r="O191" s="400"/>
      <c r="P191" s="400"/>
      <c r="Q191" s="400"/>
    </row>
    <row r="192" ht="15.75" customHeight="1">
      <c r="A192" s="400"/>
      <c r="B192" s="400"/>
      <c r="C192" s="400"/>
      <c r="D192" s="400"/>
      <c r="E192" s="400"/>
      <c r="F192" s="400"/>
      <c r="G192" s="400"/>
      <c r="H192" s="400"/>
      <c r="I192" s="400"/>
      <c r="J192" s="400"/>
      <c r="K192" s="400"/>
      <c r="L192" s="400"/>
      <c r="M192" s="400"/>
      <c r="N192" s="400"/>
      <c r="O192" s="400"/>
      <c r="P192" s="400"/>
      <c r="Q192" s="400"/>
    </row>
    <row r="193" ht="15.75" customHeight="1">
      <c r="A193" s="400"/>
      <c r="B193" s="400"/>
      <c r="C193" s="400"/>
      <c r="D193" s="400"/>
      <c r="E193" s="400"/>
      <c r="F193" s="400"/>
      <c r="G193" s="400"/>
      <c r="H193" s="400"/>
      <c r="I193" s="400"/>
      <c r="J193" s="400"/>
      <c r="K193" s="400"/>
      <c r="L193" s="400"/>
      <c r="M193" s="400"/>
      <c r="N193" s="400"/>
      <c r="O193" s="400"/>
      <c r="P193" s="400"/>
      <c r="Q193" s="400"/>
    </row>
    <row r="194" ht="15.75" customHeight="1">
      <c r="A194" s="400"/>
      <c r="B194" s="400"/>
      <c r="C194" s="400"/>
      <c r="D194" s="400"/>
      <c r="E194" s="400"/>
      <c r="F194" s="400"/>
      <c r="G194" s="400"/>
      <c r="H194" s="400"/>
      <c r="I194" s="400"/>
      <c r="J194" s="400"/>
      <c r="K194" s="400"/>
      <c r="L194" s="400"/>
      <c r="M194" s="400"/>
      <c r="N194" s="400"/>
      <c r="O194" s="400"/>
      <c r="P194" s="400"/>
      <c r="Q194" s="400"/>
    </row>
    <row r="195" ht="15.75" customHeight="1">
      <c r="A195" s="400"/>
      <c r="B195" s="400"/>
      <c r="C195" s="400"/>
      <c r="D195" s="400"/>
      <c r="E195" s="400"/>
      <c r="F195" s="400"/>
      <c r="G195" s="400"/>
      <c r="H195" s="400"/>
      <c r="I195" s="400"/>
      <c r="J195" s="400"/>
      <c r="K195" s="400"/>
      <c r="L195" s="400"/>
      <c r="M195" s="400"/>
      <c r="N195" s="400"/>
      <c r="O195" s="400"/>
      <c r="P195" s="400"/>
      <c r="Q195" s="400"/>
    </row>
    <row r="196" ht="15.75" customHeight="1">
      <c r="A196" s="400"/>
      <c r="B196" s="400"/>
      <c r="C196" s="400"/>
      <c r="D196" s="400"/>
      <c r="E196" s="400"/>
      <c r="F196" s="400"/>
      <c r="G196" s="400"/>
      <c r="H196" s="400"/>
      <c r="I196" s="400"/>
      <c r="J196" s="400"/>
      <c r="K196" s="400"/>
      <c r="L196" s="400"/>
      <c r="M196" s="400"/>
      <c r="N196" s="400"/>
      <c r="O196" s="400"/>
      <c r="P196" s="400"/>
      <c r="Q196" s="400"/>
    </row>
    <row r="197" ht="15.75" customHeight="1">
      <c r="A197" s="400"/>
      <c r="B197" s="400"/>
      <c r="C197" s="400"/>
      <c r="D197" s="400"/>
      <c r="E197" s="400"/>
      <c r="F197" s="400"/>
      <c r="G197" s="400"/>
      <c r="H197" s="400"/>
      <c r="I197" s="400"/>
      <c r="J197" s="400"/>
      <c r="K197" s="400"/>
      <c r="L197" s="400"/>
      <c r="M197" s="400"/>
      <c r="N197" s="400"/>
      <c r="O197" s="400"/>
      <c r="P197" s="400"/>
      <c r="Q197" s="400"/>
    </row>
    <row r="198" ht="15.75" customHeight="1">
      <c r="A198" s="400"/>
      <c r="B198" s="400"/>
      <c r="C198" s="400"/>
      <c r="D198" s="400"/>
      <c r="E198" s="400"/>
      <c r="F198" s="400"/>
      <c r="G198" s="400"/>
      <c r="H198" s="400"/>
      <c r="I198" s="400"/>
      <c r="J198" s="400"/>
      <c r="K198" s="400"/>
      <c r="L198" s="400"/>
      <c r="M198" s="400"/>
      <c r="N198" s="400"/>
      <c r="O198" s="400"/>
      <c r="P198" s="400"/>
      <c r="Q198" s="400"/>
    </row>
    <row r="199" ht="15.75" customHeight="1">
      <c r="A199" s="400"/>
      <c r="B199" s="400"/>
      <c r="C199" s="400"/>
      <c r="D199" s="400"/>
      <c r="E199" s="400"/>
      <c r="F199" s="400"/>
      <c r="G199" s="400"/>
      <c r="H199" s="400"/>
      <c r="I199" s="400"/>
      <c r="J199" s="400"/>
      <c r="K199" s="400"/>
      <c r="L199" s="400"/>
      <c r="M199" s="400"/>
      <c r="N199" s="400"/>
      <c r="O199" s="400"/>
      <c r="P199" s="400"/>
      <c r="Q199" s="400"/>
    </row>
    <row r="200" ht="15.75" customHeight="1">
      <c r="A200" s="400"/>
      <c r="B200" s="400"/>
      <c r="C200" s="400"/>
      <c r="D200" s="400"/>
      <c r="E200" s="400"/>
      <c r="F200" s="400"/>
      <c r="G200" s="400"/>
      <c r="H200" s="400"/>
      <c r="I200" s="400"/>
      <c r="J200" s="400"/>
      <c r="K200" s="400"/>
      <c r="L200" s="400"/>
      <c r="M200" s="400"/>
      <c r="N200" s="400"/>
      <c r="O200" s="400"/>
      <c r="P200" s="400"/>
      <c r="Q200" s="400"/>
    </row>
    <row r="201" ht="15.75" customHeight="1">
      <c r="A201" s="400"/>
      <c r="B201" s="400"/>
      <c r="C201" s="400"/>
      <c r="D201" s="400"/>
      <c r="E201" s="400"/>
      <c r="F201" s="400"/>
      <c r="G201" s="400"/>
      <c r="H201" s="400"/>
      <c r="I201" s="400"/>
      <c r="J201" s="400"/>
      <c r="K201" s="400"/>
      <c r="L201" s="400"/>
      <c r="M201" s="400"/>
      <c r="N201" s="400"/>
      <c r="O201" s="400"/>
      <c r="P201" s="400"/>
      <c r="Q201" s="400"/>
    </row>
    <row r="202" ht="15.75" customHeight="1">
      <c r="A202" s="400"/>
      <c r="B202" s="400"/>
      <c r="C202" s="400"/>
      <c r="D202" s="400"/>
      <c r="E202" s="400"/>
      <c r="F202" s="400"/>
      <c r="G202" s="400"/>
      <c r="H202" s="400"/>
      <c r="I202" s="400"/>
      <c r="J202" s="400"/>
      <c r="K202" s="400"/>
      <c r="L202" s="400"/>
      <c r="M202" s="400"/>
      <c r="N202" s="400"/>
      <c r="O202" s="400"/>
      <c r="P202" s="400"/>
      <c r="Q202" s="400"/>
    </row>
    <row r="203" ht="15.75" customHeight="1">
      <c r="A203" s="400"/>
      <c r="B203" s="400"/>
      <c r="C203" s="400"/>
      <c r="D203" s="400"/>
      <c r="E203" s="400"/>
      <c r="F203" s="400"/>
      <c r="G203" s="400"/>
      <c r="H203" s="400"/>
      <c r="I203" s="400"/>
      <c r="J203" s="400"/>
      <c r="K203" s="400"/>
      <c r="L203" s="400"/>
      <c r="M203" s="400"/>
      <c r="N203" s="400"/>
      <c r="O203" s="400"/>
      <c r="P203" s="400"/>
      <c r="Q203" s="400"/>
    </row>
    <row r="204" ht="15.75" customHeight="1">
      <c r="A204" s="400"/>
      <c r="B204" s="400"/>
      <c r="C204" s="400"/>
      <c r="D204" s="400"/>
      <c r="E204" s="400"/>
      <c r="F204" s="400"/>
      <c r="G204" s="400"/>
      <c r="H204" s="400"/>
      <c r="I204" s="400"/>
      <c r="J204" s="400"/>
      <c r="K204" s="400"/>
      <c r="L204" s="400"/>
      <c r="M204" s="400"/>
      <c r="N204" s="400"/>
      <c r="O204" s="400"/>
      <c r="P204" s="400"/>
      <c r="Q204" s="400"/>
    </row>
    <row r="205" ht="15.75" customHeight="1">
      <c r="A205" s="400"/>
      <c r="B205" s="400"/>
      <c r="C205" s="400"/>
      <c r="D205" s="400"/>
      <c r="E205" s="400"/>
      <c r="F205" s="400"/>
      <c r="G205" s="400"/>
      <c r="H205" s="400"/>
      <c r="I205" s="400"/>
      <c r="J205" s="400"/>
      <c r="K205" s="400"/>
      <c r="L205" s="400"/>
      <c r="M205" s="400"/>
      <c r="N205" s="400"/>
      <c r="O205" s="400"/>
      <c r="P205" s="400"/>
      <c r="Q205" s="400"/>
    </row>
    <row r="206" ht="15.75" customHeight="1">
      <c r="A206" s="400"/>
      <c r="B206" s="400"/>
      <c r="C206" s="400"/>
      <c r="D206" s="400"/>
      <c r="E206" s="400"/>
      <c r="F206" s="400"/>
      <c r="G206" s="400"/>
      <c r="H206" s="400"/>
      <c r="I206" s="400"/>
      <c r="J206" s="400"/>
      <c r="K206" s="400"/>
      <c r="L206" s="400"/>
      <c r="M206" s="400"/>
      <c r="N206" s="400"/>
      <c r="O206" s="400"/>
      <c r="P206" s="400"/>
      <c r="Q206" s="400"/>
    </row>
    <row r="207" ht="15.75" customHeight="1">
      <c r="A207" s="400"/>
      <c r="B207" s="400"/>
      <c r="C207" s="400"/>
      <c r="D207" s="400"/>
      <c r="E207" s="400"/>
      <c r="F207" s="400"/>
      <c r="G207" s="400"/>
      <c r="H207" s="400"/>
      <c r="I207" s="400"/>
      <c r="J207" s="400"/>
      <c r="K207" s="400"/>
      <c r="L207" s="400"/>
      <c r="M207" s="400"/>
      <c r="N207" s="400"/>
      <c r="O207" s="400"/>
      <c r="P207" s="400"/>
      <c r="Q207" s="400"/>
    </row>
    <row r="208" ht="15.75" customHeight="1">
      <c r="A208" s="400"/>
      <c r="B208" s="400"/>
      <c r="C208" s="400"/>
      <c r="D208" s="400"/>
      <c r="E208" s="400"/>
      <c r="F208" s="400"/>
      <c r="G208" s="400"/>
      <c r="H208" s="400"/>
      <c r="I208" s="400"/>
      <c r="J208" s="400"/>
      <c r="K208" s="400"/>
      <c r="L208" s="400"/>
      <c r="M208" s="400"/>
      <c r="N208" s="400"/>
      <c r="O208" s="400"/>
      <c r="P208" s="400"/>
      <c r="Q208" s="400"/>
    </row>
    <row r="209" ht="15.75" customHeight="1">
      <c r="A209" s="400"/>
      <c r="B209" s="400"/>
      <c r="C209" s="400"/>
      <c r="D209" s="400"/>
      <c r="E209" s="400"/>
      <c r="F209" s="400"/>
      <c r="G209" s="400"/>
      <c r="H209" s="400"/>
      <c r="I209" s="400"/>
      <c r="J209" s="400"/>
      <c r="K209" s="400"/>
      <c r="L209" s="400"/>
      <c r="M209" s="400"/>
      <c r="N209" s="400"/>
      <c r="O209" s="400"/>
      <c r="P209" s="400"/>
      <c r="Q209" s="400"/>
    </row>
    <row r="210" ht="15.75" customHeight="1">
      <c r="A210" s="400"/>
      <c r="B210" s="400"/>
      <c r="C210" s="400"/>
      <c r="D210" s="400"/>
      <c r="E210" s="400"/>
      <c r="F210" s="400"/>
      <c r="G210" s="400"/>
      <c r="H210" s="400"/>
      <c r="I210" s="400"/>
      <c r="J210" s="400"/>
      <c r="K210" s="400"/>
      <c r="L210" s="400"/>
      <c r="M210" s="400"/>
      <c r="N210" s="400"/>
      <c r="O210" s="400"/>
      <c r="P210" s="400"/>
      <c r="Q210" s="400"/>
    </row>
    <row r="211" ht="15.75" customHeight="1">
      <c r="A211" s="400"/>
      <c r="B211" s="400"/>
      <c r="C211" s="400"/>
      <c r="D211" s="400"/>
      <c r="E211" s="400"/>
      <c r="F211" s="400"/>
      <c r="G211" s="400"/>
      <c r="H211" s="400"/>
      <c r="I211" s="400"/>
      <c r="J211" s="400"/>
      <c r="K211" s="400"/>
      <c r="L211" s="400"/>
      <c r="M211" s="400"/>
      <c r="N211" s="400"/>
      <c r="O211" s="400"/>
      <c r="P211" s="400"/>
      <c r="Q211" s="400"/>
    </row>
    <row r="212" ht="15.75" customHeight="1">
      <c r="A212" s="400"/>
      <c r="B212" s="400"/>
      <c r="C212" s="400"/>
      <c r="D212" s="400"/>
      <c r="E212" s="400"/>
      <c r="F212" s="400"/>
      <c r="G212" s="400"/>
      <c r="H212" s="400"/>
      <c r="I212" s="400"/>
      <c r="J212" s="400"/>
      <c r="K212" s="400"/>
      <c r="L212" s="400"/>
      <c r="M212" s="400"/>
      <c r="N212" s="400"/>
      <c r="O212" s="400"/>
      <c r="P212" s="400"/>
      <c r="Q212" s="400"/>
    </row>
    <row r="213" ht="15.75" customHeight="1">
      <c r="A213" s="400"/>
      <c r="B213" s="400"/>
      <c r="C213" s="400"/>
      <c r="D213" s="400"/>
      <c r="E213" s="400"/>
      <c r="F213" s="400"/>
      <c r="G213" s="400"/>
      <c r="H213" s="400"/>
      <c r="I213" s="400"/>
      <c r="J213" s="400"/>
      <c r="K213" s="400"/>
      <c r="L213" s="400"/>
      <c r="M213" s="400"/>
      <c r="N213" s="400"/>
      <c r="O213" s="400"/>
      <c r="P213" s="400"/>
      <c r="Q213" s="400"/>
    </row>
    <row r="214" ht="15.75" customHeight="1">
      <c r="A214" s="400"/>
      <c r="B214" s="400"/>
      <c r="C214" s="400"/>
      <c r="D214" s="400"/>
      <c r="E214" s="400"/>
      <c r="F214" s="400"/>
      <c r="G214" s="400"/>
      <c r="H214" s="400"/>
      <c r="I214" s="400"/>
      <c r="J214" s="400"/>
      <c r="K214" s="400"/>
      <c r="L214" s="400"/>
      <c r="M214" s="400"/>
      <c r="N214" s="400"/>
      <c r="O214" s="400"/>
      <c r="P214" s="400"/>
      <c r="Q214" s="400"/>
    </row>
    <row r="215" ht="15.75" customHeight="1">
      <c r="A215" s="400"/>
      <c r="B215" s="400"/>
      <c r="C215" s="400"/>
      <c r="D215" s="400"/>
      <c r="E215" s="400"/>
      <c r="F215" s="400"/>
      <c r="G215" s="400"/>
      <c r="H215" s="400"/>
      <c r="I215" s="400"/>
      <c r="J215" s="400"/>
      <c r="K215" s="400"/>
      <c r="L215" s="400"/>
      <c r="M215" s="400"/>
      <c r="N215" s="400"/>
      <c r="O215" s="400"/>
      <c r="P215" s="400"/>
      <c r="Q215" s="400"/>
    </row>
    <row r="216" ht="15.75" customHeight="1">
      <c r="A216" s="400"/>
      <c r="B216" s="400"/>
      <c r="C216" s="400"/>
      <c r="D216" s="400"/>
      <c r="E216" s="400"/>
      <c r="F216" s="400"/>
      <c r="G216" s="400"/>
      <c r="H216" s="400"/>
      <c r="I216" s="400"/>
      <c r="J216" s="400"/>
      <c r="K216" s="400"/>
      <c r="L216" s="400"/>
      <c r="M216" s="400"/>
      <c r="N216" s="400"/>
      <c r="O216" s="400"/>
      <c r="P216" s="400"/>
      <c r="Q216" s="400"/>
    </row>
    <row r="217" ht="15.75" customHeight="1">
      <c r="A217" s="400"/>
      <c r="B217" s="400"/>
      <c r="C217" s="400"/>
      <c r="D217" s="400"/>
      <c r="E217" s="400"/>
      <c r="F217" s="400"/>
      <c r="G217" s="400"/>
      <c r="H217" s="400"/>
      <c r="I217" s="400"/>
      <c r="J217" s="400"/>
      <c r="K217" s="400"/>
      <c r="L217" s="400"/>
      <c r="M217" s="400"/>
      <c r="N217" s="400"/>
      <c r="O217" s="400"/>
      <c r="P217" s="400"/>
      <c r="Q217" s="400"/>
    </row>
    <row r="218" ht="15.75" customHeight="1">
      <c r="A218" s="400"/>
      <c r="B218" s="400"/>
      <c r="C218" s="400"/>
      <c r="D218" s="400"/>
      <c r="E218" s="400"/>
      <c r="F218" s="400"/>
      <c r="G218" s="400"/>
      <c r="H218" s="400"/>
      <c r="I218" s="400"/>
      <c r="J218" s="400"/>
      <c r="K218" s="400"/>
      <c r="L218" s="400"/>
      <c r="M218" s="400"/>
      <c r="N218" s="400"/>
      <c r="O218" s="400"/>
      <c r="P218" s="400"/>
      <c r="Q218" s="400"/>
    </row>
    <row r="219" ht="15.75" customHeight="1">
      <c r="A219" s="400"/>
      <c r="B219" s="400"/>
      <c r="C219" s="400"/>
      <c r="D219" s="400"/>
      <c r="E219" s="400"/>
      <c r="F219" s="400"/>
      <c r="G219" s="400"/>
      <c r="H219" s="400"/>
      <c r="I219" s="400"/>
      <c r="J219" s="400"/>
      <c r="K219" s="400"/>
      <c r="L219" s="400"/>
      <c r="M219" s="400"/>
      <c r="N219" s="400"/>
      <c r="O219" s="400"/>
      <c r="P219" s="400"/>
      <c r="Q219" s="400"/>
    </row>
    <row r="220" ht="15.75" customHeight="1">
      <c r="A220" s="400"/>
      <c r="B220" s="400"/>
      <c r="C220" s="400"/>
      <c r="D220" s="400"/>
      <c r="E220" s="400"/>
      <c r="F220" s="400"/>
      <c r="G220" s="400"/>
      <c r="H220" s="400"/>
      <c r="I220" s="400"/>
      <c r="J220" s="400"/>
      <c r="K220" s="400"/>
      <c r="L220" s="400"/>
      <c r="M220" s="400"/>
      <c r="N220" s="400"/>
      <c r="O220" s="400"/>
      <c r="P220" s="400"/>
      <c r="Q220" s="400"/>
    </row>
    <row r="221" ht="15.75" customHeight="1">
      <c r="A221" s="400"/>
      <c r="B221" s="400"/>
      <c r="C221" s="400"/>
      <c r="D221" s="400"/>
      <c r="E221" s="400"/>
      <c r="F221" s="400"/>
      <c r="G221" s="400"/>
      <c r="H221" s="400"/>
      <c r="I221" s="400"/>
      <c r="J221" s="400"/>
      <c r="K221" s="400"/>
      <c r="L221" s="400"/>
      <c r="M221" s="400"/>
      <c r="N221" s="400"/>
      <c r="O221" s="400"/>
      <c r="P221" s="400"/>
      <c r="Q221" s="400"/>
    </row>
    <row r="222" ht="15.75" customHeight="1">
      <c r="A222" s="400"/>
      <c r="B222" s="400"/>
      <c r="C222" s="400"/>
      <c r="D222" s="400"/>
      <c r="E222" s="400"/>
      <c r="F222" s="400"/>
      <c r="G222" s="400"/>
      <c r="H222" s="400"/>
      <c r="I222" s="400"/>
      <c r="J222" s="400"/>
      <c r="K222" s="400"/>
      <c r="L222" s="400"/>
      <c r="M222" s="400"/>
      <c r="N222" s="400"/>
      <c r="O222" s="400"/>
      <c r="P222" s="400"/>
      <c r="Q222" s="400"/>
    </row>
    <row r="223" ht="15.75" customHeight="1">
      <c r="A223" s="400"/>
      <c r="B223" s="400"/>
      <c r="C223" s="400"/>
      <c r="D223" s="400"/>
      <c r="E223" s="400"/>
      <c r="F223" s="400"/>
      <c r="G223" s="400"/>
      <c r="H223" s="400"/>
      <c r="I223" s="400"/>
      <c r="J223" s="400"/>
      <c r="K223" s="400"/>
      <c r="L223" s="400"/>
      <c r="M223" s="400"/>
      <c r="N223" s="400"/>
      <c r="O223" s="400"/>
      <c r="P223" s="400"/>
      <c r="Q223" s="400"/>
    </row>
    <row r="224" ht="15.75" customHeight="1">
      <c r="A224" s="400"/>
      <c r="B224" s="400"/>
      <c r="C224" s="400"/>
      <c r="D224" s="400"/>
      <c r="E224" s="400"/>
      <c r="F224" s="400"/>
      <c r="G224" s="400"/>
      <c r="H224" s="400"/>
      <c r="I224" s="400"/>
      <c r="J224" s="400"/>
      <c r="K224" s="400"/>
      <c r="L224" s="400"/>
      <c r="M224" s="400"/>
      <c r="N224" s="400"/>
      <c r="O224" s="400"/>
      <c r="P224" s="400"/>
      <c r="Q224" s="400"/>
    </row>
    <row r="225" ht="15.75" customHeight="1">
      <c r="A225" s="400"/>
      <c r="B225" s="400"/>
      <c r="C225" s="400"/>
      <c r="D225" s="400"/>
      <c r="E225" s="400"/>
      <c r="F225" s="400"/>
      <c r="G225" s="400"/>
      <c r="H225" s="400"/>
      <c r="I225" s="400"/>
      <c r="J225" s="400"/>
      <c r="K225" s="400"/>
      <c r="L225" s="400"/>
      <c r="M225" s="400"/>
      <c r="N225" s="400"/>
      <c r="O225" s="400"/>
      <c r="P225" s="400"/>
      <c r="Q225" s="400"/>
    </row>
    <row r="226" ht="15.75" customHeight="1">
      <c r="A226" s="400"/>
      <c r="B226" s="400"/>
      <c r="C226" s="400"/>
      <c r="D226" s="400"/>
      <c r="E226" s="400"/>
      <c r="F226" s="400"/>
      <c r="G226" s="400"/>
      <c r="H226" s="400"/>
      <c r="I226" s="400"/>
      <c r="J226" s="400"/>
      <c r="K226" s="400"/>
      <c r="L226" s="400"/>
      <c r="M226" s="400"/>
      <c r="N226" s="400"/>
      <c r="O226" s="400"/>
      <c r="P226" s="400"/>
      <c r="Q226" s="400"/>
    </row>
    <row r="227" ht="15.75" customHeight="1">
      <c r="A227" s="400"/>
      <c r="B227" s="400"/>
      <c r="C227" s="400"/>
      <c r="D227" s="400"/>
      <c r="E227" s="400"/>
      <c r="F227" s="400"/>
      <c r="G227" s="400"/>
      <c r="H227" s="400"/>
      <c r="I227" s="400"/>
      <c r="J227" s="400"/>
      <c r="K227" s="400"/>
      <c r="L227" s="400"/>
      <c r="M227" s="400"/>
      <c r="N227" s="400"/>
      <c r="O227" s="400"/>
      <c r="P227" s="400"/>
      <c r="Q227" s="400"/>
    </row>
    <row r="228" ht="15.75" customHeight="1">
      <c r="A228" s="400"/>
      <c r="B228" s="400"/>
      <c r="C228" s="400"/>
      <c r="D228" s="400"/>
      <c r="E228" s="400"/>
      <c r="F228" s="400"/>
      <c r="G228" s="400"/>
      <c r="H228" s="400"/>
      <c r="I228" s="400"/>
      <c r="J228" s="400"/>
      <c r="K228" s="400"/>
      <c r="L228" s="400"/>
      <c r="M228" s="400"/>
      <c r="N228" s="400"/>
      <c r="O228" s="400"/>
      <c r="P228" s="400"/>
      <c r="Q228" s="400"/>
    </row>
    <row r="229" ht="15.75" customHeight="1">
      <c r="A229" s="400"/>
      <c r="B229" s="400"/>
      <c r="C229" s="400"/>
      <c r="D229" s="400"/>
      <c r="E229" s="400"/>
      <c r="F229" s="400"/>
      <c r="G229" s="400"/>
      <c r="H229" s="400"/>
      <c r="I229" s="400"/>
      <c r="J229" s="400"/>
      <c r="K229" s="400"/>
      <c r="L229" s="400"/>
      <c r="M229" s="400"/>
      <c r="N229" s="400"/>
      <c r="O229" s="400"/>
      <c r="P229" s="400"/>
      <c r="Q229" s="400"/>
    </row>
    <row r="230" ht="15.75" customHeight="1">
      <c r="A230" s="400"/>
      <c r="B230" s="400"/>
      <c r="C230" s="400"/>
      <c r="D230" s="400"/>
      <c r="E230" s="400"/>
      <c r="F230" s="400"/>
      <c r="G230" s="400"/>
      <c r="H230" s="400"/>
      <c r="I230" s="400"/>
      <c r="J230" s="400"/>
      <c r="K230" s="400"/>
      <c r="L230" s="400"/>
      <c r="M230" s="400"/>
      <c r="N230" s="400"/>
      <c r="O230" s="400"/>
      <c r="P230" s="400"/>
      <c r="Q230" s="400"/>
    </row>
    <row r="231" ht="15.75" customHeight="1">
      <c r="A231" s="400"/>
      <c r="B231" s="400"/>
      <c r="C231" s="400"/>
      <c r="D231" s="400"/>
      <c r="E231" s="400"/>
      <c r="F231" s="400"/>
      <c r="G231" s="400"/>
      <c r="H231" s="400"/>
      <c r="I231" s="400"/>
      <c r="J231" s="400"/>
      <c r="K231" s="400"/>
      <c r="L231" s="400"/>
      <c r="M231" s="400"/>
      <c r="N231" s="400"/>
      <c r="O231" s="400"/>
      <c r="P231" s="400"/>
      <c r="Q231" s="400"/>
    </row>
    <row r="232" ht="15.75" customHeight="1">
      <c r="A232" s="400"/>
      <c r="B232" s="400"/>
      <c r="C232" s="400"/>
      <c r="D232" s="400"/>
      <c r="E232" s="400"/>
      <c r="F232" s="400"/>
      <c r="G232" s="400"/>
      <c r="H232" s="400"/>
      <c r="I232" s="400"/>
      <c r="J232" s="400"/>
      <c r="K232" s="400"/>
      <c r="L232" s="400"/>
      <c r="M232" s="400"/>
      <c r="N232" s="400"/>
      <c r="O232" s="400"/>
      <c r="P232" s="400"/>
      <c r="Q232" s="400"/>
    </row>
    <row r="233" ht="15.75" customHeight="1">
      <c r="A233" s="400"/>
      <c r="B233" s="400"/>
      <c r="C233" s="400"/>
      <c r="D233" s="400"/>
      <c r="E233" s="400"/>
      <c r="F233" s="400"/>
      <c r="G233" s="400"/>
      <c r="H233" s="400"/>
      <c r="I233" s="400"/>
      <c r="J233" s="400"/>
      <c r="K233" s="400"/>
      <c r="L233" s="400"/>
      <c r="M233" s="400"/>
      <c r="N233" s="400"/>
      <c r="O233" s="400"/>
      <c r="P233" s="400"/>
      <c r="Q233" s="400"/>
    </row>
    <row r="234" ht="15.75" customHeight="1">
      <c r="A234" s="400"/>
      <c r="B234" s="400"/>
      <c r="C234" s="400"/>
      <c r="D234" s="400"/>
      <c r="E234" s="400"/>
      <c r="F234" s="400"/>
      <c r="G234" s="400"/>
      <c r="H234" s="400"/>
      <c r="I234" s="400"/>
      <c r="J234" s="400"/>
      <c r="K234" s="400"/>
      <c r="L234" s="400"/>
      <c r="M234" s="400"/>
      <c r="N234" s="400"/>
      <c r="O234" s="400"/>
      <c r="P234" s="400"/>
      <c r="Q234" s="400"/>
    </row>
    <row r="235" ht="15.75" customHeight="1">
      <c r="A235" s="400"/>
      <c r="B235" s="400"/>
      <c r="C235" s="400"/>
      <c r="D235" s="400"/>
      <c r="E235" s="400"/>
      <c r="F235" s="400"/>
      <c r="G235" s="400"/>
      <c r="H235" s="400"/>
      <c r="I235" s="400"/>
      <c r="J235" s="400"/>
      <c r="K235" s="400"/>
      <c r="L235" s="400"/>
      <c r="M235" s="400"/>
      <c r="N235" s="400"/>
      <c r="O235" s="400"/>
      <c r="P235" s="400"/>
      <c r="Q235" s="400"/>
    </row>
    <row r="236" ht="15.75" customHeight="1">
      <c r="A236" s="400"/>
      <c r="B236" s="400"/>
      <c r="C236" s="400"/>
      <c r="D236" s="400"/>
      <c r="E236" s="400"/>
      <c r="F236" s="400"/>
      <c r="G236" s="400"/>
      <c r="H236" s="400"/>
      <c r="I236" s="400"/>
      <c r="J236" s="400"/>
      <c r="K236" s="400"/>
      <c r="L236" s="400"/>
      <c r="M236" s="400"/>
      <c r="N236" s="400"/>
      <c r="O236" s="400"/>
      <c r="P236" s="400"/>
      <c r="Q236" s="400"/>
    </row>
    <row r="237" ht="15.75" customHeight="1">
      <c r="A237" s="400"/>
      <c r="B237" s="400"/>
      <c r="C237" s="400"/>
      <c r="D237" s="400"/>
      <c r="E237" s="400"/>
      <c r="F237" s="400"/>
      <c r="G237" s="400"/>
      <c r="H237" s="400"/>
      <c r="I237" s="400"/>
      <c r="J237" s="400"/>
      <c r="K237" s="400"/>
      <c r="L237" s="400"/>
      <c r="M237" s="400"/>
      <c r="N237" s="400"/>
      <c r="O237" s="400"/>
      <c r="P237" s="400"/>
      <c r="Q237" s="400"/>
    </row>
    <row r="238" ht="15.75" customHeight="1">
      <c r="A238" s="400"/>
      <c r="B238" s="400"/>
      <c r="C238" s="400"/>
      <c r="D238" s="400"/>
      <c r="E238" s="400"/>
      <c r="F238" s="400"/>
      <c r="G238" s="400"/>
      <c r="H238" s="400"/>
      <c r="I238" s="400"/>
      <c r="J238" s="400"/>
      <c r="K238" s="400"/>
      <c r="L238" s="400"/>
      <c r="M238" s="400"/>
      <c r="N238" s="400"/>
      <c r="O238" s="400"/>
      <c r="P238" s="400"/>
      <c r="Q238" s="400"/>
    </row>
    <row r="239" ht="15.75" customHeight="1">
      <c r="A239" s="400"/>
      <c r="B239" s="400"/>
      <c r="C239" s="400"/>
      <c r="D239" s="400"/>
      <c r="E239" s="400"/>
      <c r="F239" s="400"/>
      <c r="G239" s="400"/>
      <c r="H239" s="400"/>
      <c r="I239" s="400"/>
      <c r="J239" s="400"/>
      <c r="K239" s="400"/>
      <c r="L239" s="400"/>
      <c r="M239" s="400"/>
      <c r="N239" s="400"/>
      <c r="O239" s="400"/>
      <c r="P239" s="400"/>
      <c r="Q239" s="400"/>
    </row>
    <row r="240" ht="15.75" customHeight="1">
      <c r="A240" s="400"/>
      <c r="B240" s="400"/>
      <c r="C240" s="400"/>
      <c r="D240" s="400"/>
      <c r="E240" s="400"/>
      <c r="F240" s="400"/>
      <c r="G240" s="400"/>
      <c r="H240" s="400"/>
      <c r="I240" s="400"/>
      <c r="J240" s="400"/>
      <c r="K240" s="400"/>
      <c r="L240" s="400"/>
      <c r="M240" s="400"/>
      <c r="N240" s="400"/>
      <c r="O240" s="400"/>
      <c r="P240" s="400"/>
      <c r="Q240" s="400"/>
    </row>
    <row r="241" ht="15.75" customHeight="1">
      <c r="A241" s="400"/>
      <c r="B241" s="400"/>
      <c r="C241" s="400"/>
      <c r="D241" s="400"/>
      <c r="E241" s="400"/>
      <c r="F241" s="400"/>
      <c r="G241" s="400"/>
      <c r="H241" s="400"/>
      <c r="I241" s="400"/>
      <c r="J241" s="400"/>
      <c r="K241" s="400"/>
      <c r="L241" s="400"/>
      <c r="M241" s="400"/>
      <c r="N241" s="400"/>
      <c r="O241" s="400"/>
      <c r="P241" s="400"/>
      <c r="Q241" s="400"/>
    </row>
    <row r="242" ht="15.75" customHeight="1">
      <c r="A242" s="400"/>
      <c r="B242" s="400"/>
      <c r="C242" s="400"/>
      <c r="D242" s="400"/>
      <c r="E242" s="400"/>
      <c r="F242" s="400"/>
      <c r="G242" s="400"/>
      <c r="H242" s="400"/>
      <c r="I242" s="400"/>
      <c r="J242" s="400"/>
      <c r="K242" s="400"/>
      <c r="L242" s="400"/>
      <c r="M242" s="400"/>
      <c r="N242" s="400"/>
      <c r="O242" s="400"/>
      <c r="P242" s="400"/>
      <c r="Q242" s="400"/>
    </row>
    <row r="243" ht="15.75" customHeight="1">
      <c r="A243" s="400"/>
      <c r="B243" s="400"/>
      <c r="C243" s="400"/>
      <c r="D243" s="400"/>
      <c r="E243" s="400"/>
      <c r="F243" s="400"/>
      <c r="G243" s="400"/>
      <c r="H243" s="400"/>
      <c r="I243" s="400"/>
      <c r="J243" s="400"/>
      <c r="K243" s="400"/>
      <c r="L243" s="400"/>
      <c r="M243" s="400"/>
      <c r="N243" s="400"/>
      <c r="O243" s="400"/>
      <c r="P243" s="400"/>
      <c r="Q243" s="400"/>
    </row>
    <row r="244" ht="15.75" customHeight="1">
      <c r="A244" s="400"/>
      <c r="B244" s="400"/>
      <c r="C244" s="400"/>
      <c r="D244" s="400"/>
      <c r="E244" s="400"/>
      <c r="F244" s="400"/>
      <c r="G244" s="400"/>
      <c r="H244" s="400"/>
      <c r="I244" s="400"/>
      <c r="J244" s="400"/>
      <c r="K244" s="400"/>
      <c r="L244" s="400"/>
      <c r="M244" s="400"/>
      <c r="N244" s="400"/>
      <c r="O244" s="400"/>
      <c r="P244" s="400"/>
      <c r="Q244" s="400"/>
    </row>
    <row r="245" ht="15.75" customHeight="1">
      <c r="A245" s="400"/>
      <c r="B245" s="400"/>
      <c r="C245" s="400"/>
      <c r="D245" s="400"/>
      <c r="E245" s="400"/>
      <c r="F245" s="400"/>
      <c r="G245" s="400"/>
      <c r="H245" s="400"/>
      <c r="I245" s="400"/>
      <c r="J245" s="400"/>
      <c r="K245" s="400"/>
      <c r="L245" s="400"/>
      <c r="M245" s="400"/>
      <c r="N245" s="400"/>
      <c r="O245" s="400"/>
      <c r="P245" s="400"/>
      <c r="Q245" s="400"/>
    </row>
    <row r="246" ht="15.75" customHeight="1">
      <c r="A246" s="400"/>
      <c r="B246" s="400"/>
      <c r="C246" s="400"/>
      <c r="D246" s="400"/>
      <c r="E246" s="400"/>
      <c r="F246" s="400"/>
      <c r="G246" s="400"/>
      <c r="H246" s="400"/>
      <c r="I246" s="400"/>
      <c r="J246" s="400"/>
      <c r="K246" s="400"/>
      <c r="L246" s="400"/>
      <c r="M246" s="400"/>
      <c r="N246" s="400"/>
      <c r="O246" s="400"/>
      <c r="P246" s="400"/>
      <c r="Q246" s="400"/>
    </row>
    <row r="247" ht="15.75" customHeight="1">
      <c r="A247" s="400"/>
      <c r="B247" s="400"/>
      <c r="C247" s="400"/>
      <c r="D247" s="400"/>
      <c r="E247" s="400"/>
      <c r="F247" s="400"/>
      <c r="G247" s="400"/>
      <c r="H247" s="400"/>
      <c r="I247" s="400"/>
      <c r="J247" s="400"/>
      <c r="K247" s="400"/>
      <c r="L247" s="400"/>
      <c r="M247" s="400"/>
      <c r="N247" s="400"/>
      <c r="O247" s="400"/>
      <c r="P247" s="400"/>
      <c r="Q247" s="400"/>
    </row>
    <row r="248" ht="15.75" customHeight="1">
      <c r="A248" s="400"/>
      <c r="B248" s="400"/>
      <c r="C248" s="400"/>
      <c r="D248" s="400"/>
      <c r="E248" s="400"/>
      <c r="F248" s="400"/>
      <c r="G248" s="400"/>
      <c r="H248" s="400"/>
      <c r="I248" s="400"/>
      <c r="J248" s="400"/>
      <c r="K248" s="400"/>
      <c r="L248" s="400"/>
      <c r="M248" s="400"/>
      <c r="N248" s="400"/>
      <c r="O248" s="400"/>
      <c r="P248" s="400"/>
      <c r="Q248" s="400"/>
    </row>
    <row r="249" ht="15.75" customHeight="1">
      <c r="A249" s="400"/>
      <c r="B249" s="400"/>
      <c r="C249" s="400"/>
      <c r="D249" s="400"/>
      <c r="E249" s="400"/>
      <c r="F249" s="400"/>
      <c r="G249" s="400"/>
      <c r="H249" s="400"/>
      <c r="I249" s="400"/>
      <c r="J249" s="400"/>
      <c r="K249" s="400"/>
      <c r="L249" s="400"/>
      <c r="M249" s="400"/>
      <c r="N249" s="400"/>
      <c r="O249" s="400"/>
      <c r="P249" s="400"/>
      <c r="Q249" s="400"/>
    </row>
    <row r="250" ht="15.75" customHeight="1">
      <c r="A250" s="400"/>
      <c r="B250" s="400"/>
      <c r="C250" s="400"/>
      <c r="D250" s="400"/>
      <c r="E250" s="400"/>
      <c r="F250" s="400"/>
      <c r="G250" s="400"/>
      <c r="H250" s="400"/>
      <c r="I250" s="400"/>
      <c r="J250" s="400"/>
      <c r="K250" s="400"/>
      <c r="L250" s="400"/>
      <c r="M250" s="400"/>
      <c r="N250" s="400"/>
      <c r="O250" s="400"/>
      <c r="P250" s="400"/>
      <c r="Q250" s="400"/>
    </row>
    <row r="251" ht="15.75" customHeight="1">
      <c r="A251" s="400"/>
      <c r="B251" s="400"/>
      <c r="C251" s="400"/>
      <c r="D251" s="400"/>
      <c r="E251" s="400"/>
      <c r="F251" s="400"/>
      <c r="G251" s="400"/>
      <c r="H251" s="400"/>
      <c r="I251" s="400"/>
      <c r="J251" s="400"/>
      <c r="K251" s="400"/>
      <c r="L251" s="400"/>
      <c r="M251" s="400"/>
      <c r="N251" s="400"/>
      <c r="O251" s="400"/>
      <c r="P251" s="400"/>
      <c r="Q251" s="400"/>
    </row>
    <row r="252" ht="15.75" customHeight="1">
      <c r="A252" s="400"/>
      <c r="B252" s="400"/>
      <c r="C252" s="400"/>
      <c r="D252" s="400"/>
      <c r="E252" s="400"/>
      <c r="F252" s="400"/>
      <c r="G252" s="400"/>
      <c r="H252" s="400"/>
      <c r="I252" s="400"/>
      <c r="J252" s="400"/>
      <c r="K252" s="400"/>
      <c r="L252" s="400"/>
      <c r="M252" s="400"/>
      <c r="N252" s="400"/>
      <c r="O252" s="400"/>
      <c r="P252" s="400"/>
      <c r="Q252" s="400"/>
    </row>
    <row r="253" ht="15.75" customHeight="1">
      <c r="A253" s="400"/>
      <c r="B253" s="400"/>
      <c r="C253" s="400"/>
      <c r="D253" s="400"/>
      <c r="E253" s="400"/>
      <c r="F253" s="400"/>
      <c r="G253" s="400"/>
      <c r="H253" s="400"/>
      <c r="I253" s="400"/>
      <c r="J253" s="400"/>
      <c r="K253" s="400"/>
      <c r="L253" s="400"/>
      <c r="M253" s="400"/>
      <c r="N253" s="400"/>
      <c r="O253" s="400"/>
      <c r="P253" s="400"/>
      <c r="Q253" s="400"/>
    </row>
    <row r="254" ht="15.75" customHeight="1">
      <c r="A254" s="400"/>
      <c r="B254" s="400"/>
      <c r="C254" s="400"/>
      <c r="D254" s="400"/>
      <c r="E254" s="400"/>
      <c r="F254" s="400"/>
      <c r="G254" s="400"/>
      <c r="H254" s="400"/>
      <c r="I254" s="400"/>
      <c r="J254" s="400"/>
      <c r="K254" s="400"/>
      <c r="L254" s="400"/>
      <c r="M254" s="400"/>
      <c r="N254" s="400"/>
      <c r="O254" s="400"/>
      <c r="P254" s="400"/>
      <c r="Q254" s="400"/>
    </row>
    <row r="255" ht="15.75" customHeight="1">
      <c r="A255" s="400"/>
      <c r="B255" s="400"/>
      <c r="C255" s="400"/>
      <c r="D255" s="400"/>
      <c r="E255" s="400"/>
      <c r="F255" s="400"/>
      <c r="G255" s="400"/>
      <c r="H255" s="400"/>
      <c r="I255" s="400"/>
      <c r="J255" s="400"/>
      <c r="K255" s="400"/>
      <c r="L255" s="400"/>
      <c r="M255" s="400"/>
      <c r="N255" s="400"/>
      <c r="O255" s="400"/>
      <c r="P255" s="400"/>
      <c r="Q255" s="400"/>
    </row>
    <row r="256" ht="15.75" customHeight="1">
      <c r="A256" s="400"/>
      <c r="B256" s="400"/>
      <c r="C256" s="400"/>
      <c r="D256" s="400"/>
      <c r="E256" s="400"/>
      <c r="F256" s="400"/>
      <c r="G256" s="400"/>
      <c r="H256" s="400"/>
      <c r="I256" s="400"/>
      <c r="J256" s="400"/>
      <c r="K256" s="400"/>
      <c r="L256" s="400"/>
      <c r="M256" s="400"/>
      <c r="N256" s="400"/>
      <c r="O256" s="400"/>
      <c r="P256" s="400"/>
      <c r="Q256" s="400"/>
    </row>
    <row r="257" ht="15.75" customHeight="1">
      <c r="A257" s="400"/>
      <c r="B257" s="400"/>
      <c r="C257" s="400"/>
      <c r="D257" s="400"/>
      <c r="E257" s="400"/>
      <c r="F257" s="400"/>
      <c r="G257" s="400"/>
      <c r="H257" s="400"/>
      <c r="I257" s="400"/>
      <c r="J257" s="400"/>
      <c r="K257" s="400"/>
      <c r="L257" s="400"/>
      <c r="M257" s="400"/>
      <c r="N257" s="400"/>
      <c r="O257" s="400"/>
      <c r="P257" s="400"/>
      <c r="Q257" s="400"/>
    </row>
    <row r="258" ht="15.75" customHeight="1">
      <c r="A258" s="400"/>
      <c r="B258" s="400"/>
      <c r="C258" s="400"/>
      <c r="D258" s="400"/>
      <c r="E258" s="400"/>
      <c r="F258" s="400"/>
      <c r="G258" s="400"/>
      <c r="H258" s="400"/>
      <c r="I258" s="400"/>
      <c r="J258" s="400"/>
      <c r="K258" s="400"/>
      <c r="L258" s="400"/>
      <c r="M258" s="400"/>
      <c r="N258" s="400"/>
      <c r="O258" s="400"/>
      <c r="P258" s="400"/>
      <c r="Q258" s="400"/>
    </row>
    <row r="259" ht="15.75" customHeight="1">
      <c r="A259" s="400"/>
      <c r="B259" s="400"/>
      <c r="C259" s="400"/>
      <c r="D259" s="400"/>
      <c r="E259" s="400"/>
      <c r="F259" s="400"/>
      <c r="G259" s="400"/>
      <c r="H259" s="400"/>
      <c r="I259" s="400"/>
      <c r="J259" s="400"/>
      <c r="K259" s="400"/>
      <c r="L259" s="400"/>
      <c r="M259" s="400"/>
      <c r="N259" s="400"/>
      <c r="O259" s="400"/>
      <c r="P259" s="400"/>
      <c r="Q259" s="400"/>
    </row>
    <row r="260" ht="15.75" customHeight="1">
      <c r="A260" s="400"/>
      <c r="B260" s="400"/>
      <c r="C260" s="400"/>
      <c r="D260" s="400"/>
      <c r="E260" s="400"/>
      <c r="F260" s="400"/>
      <c r="G260" s="400"/>
      <c r="H260" s="400"/>
      <c r="I260" s="400"/>
      <c r="J260" s="400"/>
      <c r="K260" s="400"/>
      <c r="L260" s="400"/>
      <c r="M260" s="400"/>
      <c r="N260" s="400"/>
      <c r="O260" s="400"/>
      <c r="P260" s="400"/>
      <c r="Q260" s="400"/>
    </row>
    <row r="261" ht="15.75" customHeight="1">
      <c r="A261" s="400"/>
      <c r="B261" s="400"/>
      <c r="C261" s="400"/>
      <c r="D261" s="400"/>
      <c r="E261" s="400"/>
      <c r="F261" s="400"/>
      <c r="G261" s="400"/>
      <c r="H261" s="400"/>
      <c r="I261" s="400"/>
      <c r="J261" s="400"/>
      <c r="K261" s="400"/>
      <c r="L261" s="400"/>
      <c r="M261" s="400"/>
      <c r="N261" s="400"/>
      <c r="O261" s="400"/>
      <c r="P261" s="400"/>
      <c r="Q261" s="400"/>
    </row>
    <row r="262" ht="15.75" customHeight="1">
      <c r="A262" s="400"/>
      <c r="B262" s="400"/>
      <c r="C262" s="400"/>
      <c r="D262" s="400"/>
      <c r="E262" s="400"/>
      <c r="F262" s="400"/>
      <c r="G262" s="400"/>
      <c r="H262" s="400"/>
      <c r="I262" s="400"/>
      <c r="J262" s="400"/>
      <c r="K262" s="400"/>
      <c r="L262" s="400"/>
      <c r="M262" s="400"/>
      <c r="N262" s="400"/>
      <c r="O262" s="400"/>
      <c r="P262" s="400"/>
      <c r="Q262" s="400"/>
    </row>
    <row r="263" ht="15.75" customHeight="1">
      <c r="A263" s="400"/>
      <c r="B263" s="400"/>
      <c r="C263" s="400"/>
      <c r="D263" s="400"/>
      <c r="E263" s="400"/>
      <c r="F263" s="400"/>
      <c r="G263" s="400"/>
      <c r="H263" s="400"/>
      <c r="I263" s="400"/>
      <c r="J263" s="400"/>
      <c r="K263" s="400"/>
      <c r="L263" s="400"/>
      <c r="M263" s="400"/>
      <c r="N263" s="400"/>
      <c r="O263" s="400"/>
      <c r="P263" s="400"/>
      <c r="Q263" s="400"/>
    </row>
    <row r="264" ht="15.75" customHeight="1">
      <c r="A264" s="400"/>
      <c r="B264" s="400"/>
      <c r="C264" s="400"/>
      <c r="D264" s="400"/>
      <c r="E264" s="400"/>
      <c r="F264" s="400"/>
      <c r="G264" s="400"/>
      <c r="H264" s="400"/>
      <c r="I264" s="400"/>
      <c r="J264" s="400"/>
      <c r="K264" s="400"/>
      <c r="L264" s="400"/>
      <c r="M264" s="400"/>
      <c r="N264" s="400"/>
      <c r="O264" s="400"/>
      <c r="P264" s="400"/>
      <c r="Q264" s="400"/>
    </row>
    <row r="265" ht="15.75" customHeight="1">
      <c r="A265" s="400"/>
      <c r="B265" s="400"/>
      <c r="C265" s="400"/>
      <c r="D265" s="400"/>
      <c r="E265" s="400"/>
      <c r="F265" s="400"/>
      <c r="G265" s="400"/>
      <c r="H265" s="400"/>
      <c r="I265" s="400"/>
      <c r="J265" s="400"/>
      <c r="K265" s="400"/>
      <c r="L265" s="400"/>
      <c r="M265" s="400"/>
      <c r="N265" s="400"/>
      <c r="O265" s="400"/>
      <c r="P265" s="400"/>
      <c r="Q265" s="400"/>
    </row>
    <row r="266" ht="15.75" customHeight="1">
      <c r="A266" s="400"/>
      <c r="B266" s="400"/>
      <c r="C266" s="400"/>
      <c r="D266" s="400"/>
      <c r="E266" s="400"/>
      <c r="F266" s="400"/>
      <c r="G266" s="400"/>
      <c r="H266" s="400"/>
      <c r="I266" s="400"/>
      <c r="J266" s="400"/>
      <c r="K266" s="400"/>
      <c r="L266" s="400"/>
      <c r="M266" s="400"/>
      <c r="N266" s="400"/>
      <c r="O266" s="400"/>
      <c r="P266" s="400"/>
      <c r="Q266" s="400"/>
    </row>
    <row r="267" ht="15.75" customHeight="1">
      <c r="A267" s="400"/>
      <c r="B267" s="400"/>
      <c r="C267" s="400"/>
      <c r="D267" s="400"/>
      <c r="E267" s="400"/>
      <c r="F267" s="400"/>
      <c r="G267" s="400"/>
      <c r="H267" s="400"/>
      <c r="I267" s="400"/>
      <c r="J267" s="400"/>
      <c r="K267" s="400"/>
      <c r="L267" s="400"/>
      <c r="M267" s="400"/>
      <c r="N267" s="400"/>
      <c r="O267" s="400"/>
      <c r="P267" s="400"/>
      <c r="Q267" s="400"/>
    </row>
    <row r="268" ht="15.75" customHeight="1">
      <c r="A268" s="400"/>
      <c r="B268" s="400"/>
      <c r="C268" s="400"/>
      <c r="D268" s="400"/>
      <c r="E268" s="400"/>
      <c r="F268" s="400"/>
      <c r="G268" s="400"/>
      <c r="H268" s="400"/>
      <c r="I268" s="400"/>
      <c r="J268" s="400"/>
      <c r="K268" s="400"/>
      <c r="L268" s="400"/>
      <c r="M268" s="400"/>
      <c r="N268" s="400"/>
      <c r="O268" s="400"/>
      <c r="P268" s="400"/>
      <c r="Q268" s="400"/>
    </row>
    <row r="269" ht="15.75" customHeight="1">
      <c r="A269" s="400"/>
      <c r="B269" s="400"/>
      <c r="C269" s="400"/>
      <c r="D269" s="400"/>
      <c r="E269" s="400"/>
      <c r="F269" s="400"/>
      <c r="G269" s="400"/>
      <c r="H269" s="400"/>
      <c r="I269" s="400"/>
      <c r="J269" s="400"/>
      <c r="K269" s="400"/>
      <c r="L269" s="400"/>
      <c r="M269" s="400"/>
      <c r="N269" s="400"/>
      <c r="O269" s="400"/>
      <c r="P269" s="400"/>
      <c r="Q269" s="400"/>
    </row>
    <row r="270" ht="15.75" customHeight="1">
      <c r="A270" s="400"/>
      <c r="B270" s="400"/>
      <c r="C270" s="400"/>
      <c r="D270" s="400"/>
      <c r="E270" s="400"/>
      <c r="F270" s="400"/>
      <c r="G270" s="400"/>
      <c r="H270" s="400"/>
      <c r="I270" s="400"/>
      <c r="J270" s="400"/>
      <c r="K270" s="400"/>
      <c r="L270" s="400"/>
      <c r="M270" s="400"/>
      <c r="N270" s="400"/>
      <c r="O270" s="400"/>
      <c r="P270" s="400"/>
      <c r="Q270" s="400"/>
    </row>
    <row r="271" ht="15.75" customHeight="1">
      <c r="A271" s="400"/>
      <c r="B271" s="400"/>
      <c r="C271" s="400"/>
      <c r="D271" s="400"/>
      <c r="E271" s="400"/>
      <c r="F271" s="400"/>
      <c r="G271" s="400"/>
      <c r="H271" s="400"/>
      <c r="I271" s="400"/>
      <c r="J271" s="400"/>
      <c r="K271" s="400"/>
      <c r="L271" s="400"/>
      <c r="M271" s="400"/>
      <c r="N271" s="400"/>
      <c r="O271" s="400"/>
      <c r="P271" s="400"/>
      <c r="Q271" s="400"/>
    </row>
    <row r="272" ht="15.75" customHeight="1">
      <c r="A272" s="400"/>
      <c r="B272" s="400"/>
      <c r="C272" s="400"/>
      <c r="D272" s="400"/>
      <c r="E272" s="400"/>
      <c r="F272" s="400"/>
      <c r="G272" s="400"/>
      <c r="H272" s="400"/>
      <c r="I272" s="400"/>
      <c r="J272" s="400"/>
      <c r="K272" s="400"/>
      <c r="L272" s="400"/>
      <c r="M272" s="400"/>
      <c r="N272" s="400"/>
      <c r="O272" s="400"/>
      <c r="P272" s="400"/>
      <c r="Q272" s="400"/>
    </row>
    <row r="273" ht="15.75" customHeight="1">
      <c r="A273" s="400"/>
      <c r="B273" s="400"/>
      <c r="C273" s="400"/>
      <c r="D273" s="400"/>
      <c r="E273" s="400"/>
      <c r="F273" s="400"/>
      <c r="G273" s="400"/>
      <c r="H273" s="400"/>
      <c r="I273" s="400"/>
      <c r="J273" s="400"/>
      <c r="K273" s="400"/>
      <c r="L273" s="400"/>
      <c r="M273" s="400"/>
      <c r="N273" s="400"/>
      <c r="O273" s="400"/>
      <c r="P273" s="400"/>
      <c r="Q273" s="400"/>
    </row>
    <row r="274" ht="15.75" customHeight="1">
      <c r="A274" s="400"/>
      <c r="B274" s="400"/>
      <c r="C274" s="400"/>
      <c r="D274" s="400"/>
      <c r="E274" s="400"/>
      <c r="F274" s="400"/>
      <c r="G274" s="400"/>
      <c r="H274" s="400"/>
      <c r="I274" s="400"/>
      <c r="J274" s="400"/>
      <c r="K274" s="400"/>
      <c r="L274" s="400"/>
      <c r="M274" s="400"/>
      <c r="N274" s="400"/>
      <c r="O274" s="400"/>
      <c r="P274" s="400"/>
      <c r="Q274" s="400"/>
    </row>
    <row r="275" ht="15.75" customHeight="1">
      <c r="A275" s="400"/>
      <c r="B275" s="400"/>
      <c r="C275" s="400"/>
      <c r="D275" s="400"/>
      <c r="E275" s="400"/>
      <c r="F275" s="400"/>
      <c r="G275" s="400"/>
      <c r="H275" s="400"/>
      <c r="I275" s="400"/>
      <c r="J275" s="400"/>
      <c r="K275" s="400"/>
      <c r="L275" s="400"/>
      <c r="M275" s="400"/>
      <c r="N275" s="400"/>
      <c r="O275" s="400"/>
      <c r="P275" s="400"/>
      <c r="Q275" s="400"/>
    </row>
    <row r="276" ht="15.75" customHeight="1">
      <c r="A276" s="400"/>
      <c r="B276" s="400"/>
      <c r="C276" s="400"/>
      <c r="D276" s="400"/>
      <c r="E276" s="400"/>
      <c r="F276" s="400"/>
      <c r="G276" s="400"/>
      <c r="H276" s="400"/>
      <c r="I276" s="400"/>
      <c r="J276" s="400"/>
      <c r="K276" s="400"/>
      <c r="L276" s="400"/>
      <c r="M276" s="400"/>
      <c r="N276" s="400"/>
      <c r="O276" s="400"/>
      <c r="P276" s="400"/>
      <c r="Q276" s="400"/>
    </row>
    <row r="277" ht="15.75" customHeight="1">
      <c r="A277" s="400"/>
      <c r="B277" s="400"/>
      <c r="C277" s="400"/>
      <c r="D277" s="400"/>
      <c r="E277" s="400"/>
      <c r="F277" s="400"/>
      <c r="G277" s="400"/>
      <c r="H277" s="400"/>
      <c r="I277" s="400"/>
      <c r="J277" s="400"/>
      <c r="K277" s="400"/>
      <c r="L277" s="400"/>
      <c r="M277" s="400"/>
      <c r="N277" s="400"/>
      <c r="O277" s="400"/>
      <c r="P277" s="400"/>
      <c r="Q277" s="400"/>
    </row>
    <row r="278" ht="15.75" customHeight="1">
      <c r="A278" s="400"/>
      <c r="B278" s="400"/>
      <c r="C278" s="400"/>
      <c r="D278" s="400"/>
      <c r="E278" s="400"/>
      <c r="F278" s="400"/>
      <c r="G278" s="400"/>
      <c r="H278" s="400"/>
      <c r="I278" s="400"/>
      <c r="J278" s="400"/>
      <c r="K278" s="400"/>
      <c r="L278" s="400"/>
      <c r="M278" s="400"/>
      <c r="N278" s="400"/>
      <c r="O278" s="400"/>
      <c r="P278" s="400"/>
      <c r="Q278" s="400"/>
    </row>
    <row r="279" ht="15.75" customHeight="1">
      <c r="A279" s="400"/>
      <c r="B279" s="400"/>
      <c r="C279" s="400"/>
      <c r="D279" s="400"/>
      <c r="E279" s="400"/>
      <c r="F279" s="400"/>
      <c r="G279" s="400"/>
      <c r="H279" s="400"/>
      <c r="I279" s="400"/>
      <c r="J279" s="400"/>
      <c r="K279" s="400"/>
      <c r="L279" s="400"/>
      <c r="M279" s="400"/>
      <c r="N279" s="400"/>
      <c r="O279" s="400"/>
      <c r="P279" s="400"/>
      <c r="Q279" s="400"/>
    </row>
    <row r="280" ht="15.75" customHeight="1">
      <c r="A280" s="400"/>
      <c r="B280" s="400"/>
      <c r="C280" s="400"/>
      <c r="D280" s="400"/>
      <c r="E280" s="400"/>
      <c r="F280" s="400"/>
      <c r="G280" s="400"/>
      <c r="H280" s="400"/>
      <c r="I280" s="400"/>
      <c r="J280" s="400"/>
      <c r="K280" s="400"/>
      <c r="L280" s="400"/>
      <c r="M280" s="400"/>
      <c r="N280" s="400"/>
      <c r="O280" s="400"/>
      <c r="P280" s="400"/>
      <c r="Q280" s="400"/>
    </row>
    <row r="281" ht="15.75" customHeight="1">
      <c r="A281" s="400"/>
      <c r="B281" s="400"/>
      <c r="C281" s="400"/>
      <c r="D281" s="400"/>
      <c r="E281" s="400"/>
      <c r="F281" s="400"/>
      <c r="G281" s="400"/>
      <c r="H281" s="400"/>
      <c r="I281" s="400"/>
      <c r="J281" s="400"/>
      <c r="K281" s="400"/>
      <c r="L281" s="400"/>
      <c r="M281" s="400"/>
      <c r="N281" s="400"/>
      <c r="O281" s="400"/>
      <c r="P281" s="400"/>
      <c r="Q281" s="400"/>
    </row>
    <row r="282" ht="15.75" customHeight="1">
      <c r="A282" s="400"/>
      <c r="B282" s="400"/>
      <c r="C282" s="400"/>
      <c r="D282" s="400"/>
      <c r="E282" s="400"/>
      <c r="F282" s="400"/>
      <c r="G282" s="400"/>
      <c r="H282" s="400"/>
      <c r="I282" s="400"/>
      <c r="J282" s="400"/>
      <c r="K282" s="400"/>
      <c r="L282" s="400"/>
      <c r="M282" s="400"/>
      <c r="N282" s="400"/>
      <c r="O282" s="400"/>
      <c r="P282" s="400"/>
      <c r="Q282" s="400"/>
    </row>
    <row r="283" ht="15.75" customHeight="1">
      <c r="A283" s="400"/>
      <c r="B283" s="400"/>
      <c r="C283" s="400"/>
      <c r="D283" s="400"/>
      <c r="E283" s="400"/>
      <c r="F283" s="400"/>
      <c r="G283" s="400"/>
      <c r="H283" s="400"/>
      <c r="I283" s="400"/>
      <c r="J283" s="400"/>
      <c r="K283" s="400"/>
      <c r="L283" s="400"/>
      <c r="M283" s="400"/>
      <c r="N283" s="400"/>
      <c r="O283" s="400"/>
      <c r="P283" s="400"/>
      <c r="Q283" s="400"/>
    </row>
    <row r="284" ht="15.75" customHeight="1">
      <c r="A284" s="400"/>
      <c r="B284" s="400"/>
      <c r="C284" s="400"/>
      <c r="D284" s="400"/>
      <c r="E284" s="400"/>
      <c r="F284" s="400"/>
      <c r="G284" s="400"/>
      <c r="H284" s="400"/>
      <c r="I284" s="400"/>
      <c r="J284" s="400"/>
      <c r="K284" s="400"/>
      <c r="L284" s="400"/>
      <c r="M284" s="400"/>
      <c r="N284" s="400"/>
      <c r="O284" s="400"/>
      <c r="P284" s="400"/>
      <c r="Q284" s="400"/>
    </row>
    <row r="285" ht="15.75" customHeight="1">
      <c r="A285" s="400"/>
      <c r="B285" s="400"/>
      <c r="C285" s="400"/>
      <c r="D285" s="400"/>
      <c r="E285" s="400"/>
      <c r="F285" s="400"/>
      <c r="G285" s="400"/>
      <c r="H285" s="400"/>
      <c r="I285" s="400"/>
      <c r="J285" s="400"/>
      <c r="K285" s="400"/>
      <c r="L285" s="400"/>
      <c r="M285" s="400"/>
      <c r="N285" s="400"/>
      <c r="O285" s="400"/>
      <c r="P285" s="400"/>
      <c r="Q285" s="400"/>
    </row>
    <row r="286" ht="15.75" customHeight="1">
      <c r="A286" s="400"/>
      <c r="B286" s="400"/>
      <c r="C286" s="400"/>
      <c r="D286" s="400"/>
      <c r="E286" s="400"/>
      <c r="F286" s="400"/>
      <c r="G286" s="400"/>
      <c r="H286" s="400"/>
      <c r="I286" s="400"/>
      <c r="J286" s="400"/>
      <c r="K286" s="400"/>
      <c r="L286" s="400"/>
      <c r="M286" s="400"/>
      <c r="N286" s="400"/>
      <c r="O286" s="400"/>
      <c r="P286" s="400"/>
      <c r="Q286" s="400"/>
    </row>
    <row r="287" ht="15.75" customHeight="1">
      <c r="A287" s="400"/>
      <c r="B287" s="400"/>
      <c r="C287" s="400"/>
      <c r="D287" s="400"/>
      <c r="E287" s="400"/>
      <c r="F287" s="400"/>
      <c r="G287" s="400"/>
      <c r="H287" s="400"/>
      <c r="I287" s="400"/>
      <c r="J287" s="400"/>
      <c r="K287" s="400"/>
      <c r="L287" s="400"/>
      <c r="M287" s="400"/>
      <c r="N287" s="400"/>
      <c r="O287" s="400"/>
      <c r="P287" s="400"/>
      <c r="Q287" s="400"/>
    </row>
    <row r="288" ht="15.75" customHeight="1">
      <c r="A288" s="400"/>
      <c r="B288" s="400"/>
      <c r="C288" s="400"/>
      <c r="D288" s="400"/>
      <c r="E288" s="400"/>
      <c r="F288" s="400"/>
      <c r="G288" s="400"/>
      <c r="H288" s="400"/>
      <c r="I288" s="400"/>
      <c r="J288" s="400"/>
      <c r="K288" s="400"/>
      <c r="L288" s="400"/>
      <c r="M288" s="400"/>
      <c r="N288" s="400"/>
      <c r="O288" s="400"/>
      <c r="P288" s="400"/>
      <c r="Q288" s="400"/>
    </row>
    <row r="289" ht="15.75" customHeight="1">
      <c r="A289" s="400"/>
      <c r="B289" s="400"/>
      <c r="C289" s="400"/>
      <c r="D289" s="400"/>
      <c r="E289" s="400"/>
      <c r="F289" s="400"/>
      <c r="G289" s="400"/>
      <c r="H289" s="400"/>
      <c r="I289" s="400"/>
      <c r="J289" s="400"/>
      <c r="K289" s="400"/>
      <c r="L289" s="400"/>
      <c r="M289" s="400"/>
      <c r="N289" s="400"/>
      <c r="O289" s="400"/>
      <c r="P289" s="400"/>
      <c r="Q289" s="400"/>
    </row>
    <row r="290" ht="15.75" customHeight="1">
      <c r="A290" s="400"/>
      <c r="B290" s="400"/>
      <c r="C290" s="400"/>
      <c r="D290" s="400"/>
      <c r="E290" s="400"/>
      <c r="F290" s="400"/>
      <c r="G290" s="400"/>
      <c r="H290" s="400"/>
      <c r="I290" s="400"/>
      <c r="J290" s="400"/>
      <c r="K290" s="400"/>
      <c r="L290" s="400"/>
      <c r="M290" s="400"/>
      <c r="N290" s="400"/>
      <c r="O290" s="400"/>
      <c r="P290" s="400"/>
      <c r="Q290" s="400"/>
    </row>
    <row r="291" ht="15.75" customHeight="1">
      <c r="A291" s="400"/>
      <c r="B291" s="400"/>
      <c r="C291" s="400"/>
      <c r="D291" s="400"/>
      <c r="E291" s="400"/>
      <c r="F291" s="400"/>
      <c r="G291" s="400"/>
      <c r="H291" s="400"/>
      <c r="I291" s="400"/>
      <c r="J291" s="400"/>
      <c r="K291" s="400"/>
      <c r="L291" s="400"/>
      <c r="M291" s="400"/>
      <c r="N291" s="400"/>
      <c r="O291" s="400"/>
      <c r="P291" s="400"/>
      <c r="Q291" s="400"/>
    </row>
    <row r="292" ht="15.75" customHeight="1">
      <c r="A292" s="400"/>
      <c r="B292" s="400"/>
      <c r="C292" s="400"/>
      <c r="D292" s="400"/>
      <c r="E292" s="400"/>
      <c r="F292" s="400"/>
      <c r="G292" s="400"/>
      <c r="H292" s="400"/>
      <c r="I292" s="400"/>
      <c r="J292" s="400"/>
      <c r="K292" s="400"/>
      <c r="L292" s="400"/>
      <c r="M292" s="400"/>
      <c r="N292" s="400"/>
      <c r="O292" s="400"/>
      <c r="P292" s="400"/>
      <c r="Q292" s="400"/>
    </row>
    <row r="293" ht="15.75" customHeight="1">
      <c r="A293" s="400"/>
      <c r="B293" s="400"/>
      <c r="C293" s="400"/>
      <c r="D293" s="400"/>
      <c r="E293" s="400"/>
      <c r="F293" s="400"/>
      <c r="G293" s="400"/>
      <c r="H293" s="400"/>
      <c r="I293" s="400"/>
      <c r="J293" s="400"/>
      <c r="K293" s="400"/>
      <c r="L293" s="400"/>
      <c r="M293" s="400"/>
      <c r="N293" s="400"/>
      <c r="O293" s="400"/>
      <c r="P293" s="400"/>
      <c r="Q293" s="400"/>
    </row>
    <row r="294" ht="15.75" customHeight="1">
      <c r="A294" s="400"/>
      <c r="B294" s="400"/>
      <c r="C294" s="400"/>
      <c r="D294" s="400"/>
      <c r="E294" s="400"/>
      <c r="F294" s="400"/>
      <c r="G294" s="400"/>
      <c r="H294" s="400"/>
      <c r="I294" s="400"/>
      <c r="J294" s="400"/>
      <c r="K294" s="400"/>
      <c r="L294" s="400"/>
      <c r="M294" s="400"/>
      <c r="N294" s="400"/>
      <c r="O294" s="400"/>
      <c r="P294" s="400"/>
      <c r="Q294" s="400"/>
    </row>
    <row r="295" ht="15.75" customHeight="1">
      <c r="A295" s="400"/>
      <c r="B295" s="400"/>
      <c r="C295" s="400"/>
      <c r="D295" s="400"/>
      <c r="E295" s="400"/>
      <c r="F295" s="400"/>
      <c r="G295" s="400"/>
      <c r="H295" s="400"/>
      <c r="I295" s="400"/>
      <c r="J295" s="400"/>
      <c r="K295" s="400"/>
      <c r="L295" s="400"/>
      <c r="M295" s="400"/>
      <c r="N295" s="400"/>
      <c r="O295" s="400"/>
      <c r="P295" s="400"/>
      <c r="Q295" s="400"/>
    </row>
    <row r="296" ht="15.75" customHeight="1">
      <c r="A296" s="400"/>
      <c r="B296" s="400"/>
      <c r="C296" s="400"/>
      <c r="D296" s="400"/>
      <c r="E296" s="400"/>
      <c r="F296" s="400"/>
      <c r="G296" s="400"/>
      <c r="H296" s="400"/>
      <c r="I296" s="400"/>
      <c r="J296" s="400"/>
      <c r="K296" s="400"/>
      <c r="L296" s="400"/>
      <c r="M296" s="400"/>
      <c r="N296" s="400"/>
      <c r="O296" s="400"/>
      <c r="P296" s="400"/>
      <c r="Q296" s="400"/>
    </row>
    <row r="297" ht="15.75" customHeight="1">
      <c r="A297" s="400"/>
      <c r="B297" s="400"/>
      <c r="C297" s="400"/>
      <c r="D297" s="400"/>
      <c r="E297" s="400"/>
      <c r="F297" s="400"/>
      <c r="G297" s="400"/>
      <c r="H297" s="400"/>
      <c r="I297" s="400"/>
      <c r="J297" s="400"/>
      <c r="K297" s="400"/>
      <c r="L297" s="400"/>
      <c r="M297" s="400"/>
      <c r="N297" s="400"/>
      <c r="O297" s="400"/>
      <c r="P297" s="400"/>
      <c r="Q297" s="400"/>
    </row>
    <row r="298" ht="15.75" customHeight="1">
      <c r="A298" s="400"/>
      <c r="B298" s="400"/>
      <c r="C298" s="400"/>
      <c r="D298" s="400"/>
      <c r="E298" s="400"/>
      <c r="F298" s="400"/>
      <c r="G298" s="400"/>
      <c r="H298" s="400"/>
      <c r="I298" s="400"/>
      <c r="J298" s="400"/>
      <c r="K298" s="400"/>
      <c r="L298" s="400"/>
      <c r="M298" s="400"/>
      <c r="N298" s="400"/>
      <c r="O298" s="400"/>
      <c r="P298" s="400"/>
      <c r="Q298" s="400"/>
    </row>
    <row r="299" ht="15.75" customHeight="1">
      <c r="A299" s="400"/>
      <c r="B299" s="400"/>
      <c r="C299" s="400"/>
      <c r="D299" s="400"/>
      <c r="E299" s="400"/>
      <c r="F299" s="400"/>
      <c r="G299" s="400"/>
      <c r="H299" s="400"/>
      <c r="I299" s="400"/>
      <c r="J299" s="400"/>
      <c r="K299" s="400"/>
      <c r="L299" s="400"/>
      <c r="M299" s="400"/>
      <c r="N299" s="400"/>
      <c r="O299" s="400"/>
      <c r="P299" s="400"/>
      <c r="Q299" s="400"/>
    </row>
    <row r="300" ht="15.75" customHeight="1">
      <c r="A300" s="400"/>
      <c r="B300" s="400"/>
      <c r="C300" s="400"/>
      <c r="D300" s="400"/>
      <c r="E300" s="400"/>
      <c r="F300" s="400"/>
      <c r="G300" s="400"/>
      <c r="H300" s="400"/>
      <c r="I300" s="400"/>
      <c r="J300" s="400"/>
      <c r="K300" s="400"/>
      <c r="L300" s="400"/>
      <c r="M300" s="400"/>
      <c r="N300" s="400"/>
      <c r="O300" s="400"/>
      <c r="P300" s="400"/>
      <c r="Q300" s="400"/>
    </row>
    <row r="301" ht="15.75" customHeight="1">
      <c r="A301" s="400"/>
      <c r="B301" s="400"/>
      <c r="C301" s="400"/>
      <c r="D301" s="400"/>
      <c r="E301" s="400"/>
      <c r="F301" s="400"/>
      <c r="G301" s="400"/>
      <c r="H301" s="400"/>
      <c r="I301" s="400"/>
      <c r="J301" s="400"/>
      <c r="K301" s="400"/>
      <c r="L301" s="400"/>
      <c r="M301" s="400"/>
      <c r="N301" s="400"/>
      <c r="O301" s="400"/>
      <c r="P301" s="400"/>
      <c r="Q301" s="400"/>
    </row>
    <row r="302" ht="15.75" customHeight="1">
      <c r="A302" s="400"/>
      <c r="B302" s="400"/>
      <c r="C302" s="400"/>
      <c r="D302" s="400"/>
      <c r="E302" s="400"/>
      <c r="F302" s="400"/>
      <c r="G302" s="400"/>
      <c r="H302" s="400"/>
      <c r="I302" s="400"/>
      <c r="J302" s="400"/>
      <c r="K302" s="400"/>
      <c r="L302" s="400"/>
      <c r="M302" s="400"/>
      <c r="N302" s="400"/>
      <c r="O302" s="400"/>
      <c r="P302" s="400"/>
      <c r="Q302" s="400"/>
    </row>
    <row r="303" ht="15.75" customHeight="1">
      <c r="A303" s="400"/>
      <c r="B303" s="400"/>
      <c r="C303" s="400"/>
      <c r="D303" s="400"/>
      <c r="E303" s="400"/>
      <c r="F303" s="400"/>
      <c r="G303" s="400"/>
      <c r="H303" s="400"/>
      <c r="I303" s="400"/>
      <c r="J303" s="400"/>
      <c r="K303" s="400"/>
      <c r="L303" s="400"/>
      <c r="M303" s="400"/>
      <c r="N303" s="400"/>
      <c r="O303" s="400"/>
      <c r="P303" s="400"/>
      <c r="Q303" s="400"/>
    </row>
    <row r="304" ht="15.75" customHeight="1">
      <c r="A304" s="400"/>
      <c r="B304" s="400"/>
      <c r="C304" s="400"/>
      <c r="D304" s="400"/>
      <c r="E304" s="400"/>
      <c r="F304" s="400"/>
      <c r="G304" s="400"/>
      <c r="H304" s="400"/>
      <c r="I304" s="400"/>
      <c r="J304" s="400"/>
      <c r="K304" s="400"/>
      <c r="L304" s="400"/>
      <c r="M304" s="400"/>
      <c r="N304" s="400"/>
      <c r="O304" s="400"/>
      <c r="P304" s="400"/>
      <c r="Q304" s="400"/>
    </row>
    <row r="305" ht="15.75" customHeight="1">
      <c r="A305" s="400"/>
      <c r="B305" s="400"/>
      <c r="C305" s="400"/>
      <c r="D305" s="400"/>
      <c r="E305" s="400"/>
      <c r="F305" s="400"/>
      <c r="G305" s="400"/>
      <c r="H305" s="400"/>
      <c r="I305" s="400"/>
      <c r="J305" s="400"/>
      <c r="K305" s="400"/>
      <c r="L305" s="400"/>
      <c r="M305" s="400"/>
      <c r="N305" s="400"/>
      <c r="O305" s="400"/>
      <c r="P305" s="400"/>
      <c r="Q305" s="400"/>
    </row>
    <row r="306" ht="15.75" customHeight="1">
      <c r="A306" s="400"/>
      <c r="B306" s="400"/>
      <c r="C306" s="400"/>
      <c r="D306" s="400"/>
      <c r="E306" s="400"/>
      <c r="F306" s="400"/>
      <c r="G306" s="400"/>
      <c r="H306" s="400"/>
      <c r="I306" s="400"/>
      <c r="J306" s="400"/>
      <c r="K306" s="400"/>
      <c r="L306" s="400"/>
      <c r="M306" s="400"/>
      <c r="N306" s="400"/>
      <c r="O306" s="400"/>
      <c r="P306" s="400"/>
      <c r="Q306" s="400"/>
    </row>
    <row r="307" ht="15.75" customHeight="1">
      <c r="A307" s="400"/>
      <c r="B307" s="400"/>
      <c r="C307" s="400"/>
      <c r="D307" s="400"/>
      <c r="E307" s="400"/>
      <c r="F307" s="400"/>
      <c r="G307" s="400"/>
      <c r="H307" s="400"/>
      <c r="I307" s="400"/>
      <c r="J307" s="400"/>
      <c r="K307" s="400"/>
      <c r="L307" s="400"/>
      <c r="M307" s="400"/>
      <c r="N307" s="400"/>
      <c r="O307" s="400"/>
      <c r="P307" s="400"/>
      <c r="Q307" s="400"/>
    </row>
    <row r="308" ht="15.75" customHeight="1">
      <c r="A308" s="400"/>
      <c r="B308" s="400"/>
      <c r="C308" s="400"/>
      <c r="D308" s="400"/>
      <c r="E308" s="400"/>
      <c r="F308" s="400"/>
      <c r="G308" s="400"/>
      <c r="H308" s="400"/>
      <c r="I308" s="400"/>
      <c r="J308" s="400"/>
      <c r="K308" s="400"/>
      <c r="L308" s="400"/>
      <c r="M308" s="400"/>
      <c r="N308" s="400"/>
      <c r="O308" s="400"/>
      <c r="P308" s="400"/>
      <c r="Q308" s="400"/>
    </row>
    <row r="309" ht="15.75" customHeight="1">
      <c r="A309" s="400"/>
      <c r="B309" s="400"/>
      <c r="C309" s="400"/>
      <c r="D309" s="400"/>
      <c r="E309" s="400"/>
      <c r="F309" s="400"/>
      <c r="G309" s="400"/>
      <c r="H309" s="400"/>
      <c r="I309" s="400"/>
      <c r="J309" s="400"/>
      <c r="K309" s="400"/>
      <c r="L309" s="400"/>
      <c r="M309" s="400"/>
      <c r="N309" s="400"/>
      <c r="O309" s="400"/>
      <c r="P309" s="400"/>
      <c r="Q309" s="400"/>
    </row>
    <row r="310" ht="15.75" customHeight="1">
      <c r="A310" s="400"/>
      <c r="B310" s="400"/>
      <c r="C310" s="400"/>
      <c r="D310" s="400"/>
      <c r="E310" s="400"/>
      <c r="F310" s="400"/>
      <c r="G310" s="400"/>
      <c r="H310" s="400"/>
      <c r="I310" s="400"/>
      <c r="J310" s="400"/>
      <c r="K310" s="400"/>
      <c r="L310" s="400"/>
      <c r="M310" s="400"/>
      <c r="N310" s="400"/>
      <c r="O310" s="400"/>
      <c r="P310" s="400"/>
      <c r="Q310" s="400"/>
    </row>
    <row r="311" ht="15.75" customHeight="1">
      <c r="A311" s="400"/>
      <c r="B311" s="400"/>
      <c r="C311" s="400"/>
      <c r="D311" s="400"/>
      <c r="E311" s="400"/>
      <c r="F311" s="400"/>
      <c r="G311" s="400"/>
      <c r="H311" s="400"/>
      <c r="I311" s="400"/>
      <c r="J311" s="400"/>
      <c r="K311" s="400"/>
      <c r="L311" s="400"/>
      <c r="M311" s="400"/>
      <c r="N311" s="400"/>
      <c r="O311" s="400"/>
      <c r="P311" s="400"/>
      <c r="Q311" s="400"/>
    </row>
    <row r="312" ht="15.75" customHeight="1">
      <c r="A312" s="400"/>
      <c r="B312" s="400"/>
      <c r="C312" s="400"/>
      <c r="D312" s="400"/>
      <c r="E312" s="400"/>
      <c r="F312" s="400"/>
      <c r="G312" s="400"/>
      <c r="H312" s="400"/>
      <c r="I312" s="400"/>
      <c r="J312" s="400"/>
      <c r="K312" s="400"/>
      <c r="L312" s="400"/>
      <c r="M312" s="400"/>
      <c r="N312" s="400"/>
      <c r="O312" s="400"/>
      <c r="P312" s="400"/>
      <c r="Q312" s="400"/>
    </row>
    <row r="313" ht="15.75" customHeight="1">
      <c r="A313" s="400"/>
      <c r="B313" s="400"/>
      <c r="C313" s="400"/>
      <c r="D313" s="400"/>
      <c r="E313" s="400"/>
      <c r="F313" s="400"/>
      <c r="G313" s="400"/>
      <c r="H313" s="400"/>
      <c r="I313" s="400"/>
      <c r="J313" s="400"/>
      <c r="K313" s="400"/>
      <c r="L313" s="400"/>
      <c r="M313" s="400"/>
      <c r="N313" s="400"/>
      <c r="O313" s="400"/>
      <c r="P313" s="400"/>
      <c r="Q313" s="400"/>
    </row>
    <row r="314" ht="15.75" customHeight="1">
      <c r="A314" s="400"/>
      <c r="B314" s="400"/>
      <c r="C314" s="400"/>
      <c r="D314" s="400"/>
      <c r="E314" s="400"/>
      <c r="F314" s="400"/>
      <c r="G314" s="400"/>
      <c r="H314" s="400"/>
      <c r="I314" s="400"/>
      <c r="J314" s="400"/>
      <c r="K314" s="400"/>
      <c r="L314" s="400"/>
      <c r="M314" s="400"/>
      <c r="N314" s="400"/>
      <c r="O314" s="400"/>
      <c r="P314" s="400"/>
      <c r="Q314" s="400"/>
    </row>
    <row r="315" ht="15.75" customHeight="1">
      <c r="A315" s="400"/>
      <c r="B315" s="400"/>
      <c r="C315" s="400"/>
      <c r="D315" s="400"/>
      <c r="E315" s="400"/>
      <c r="F315" s="400"/>
      <c r="G315" s="400"/>
      <c r="H315" s="400"/>
      <c r="I315" s="400"/>
      <c r="J315" s="400"/>
      <c r="K315" s="400"/>
      <c r="L315" s="400"/>
      <c r="M315" s="400"/>
      <c r="N315" s="400"/>
      <c r="O315" s="400"/>
      <c r="P315" s="400"/>
      <c r="Q315" s="400"/>
    </row>
    <row r="316" ht="15.75" customHeight="1">
      <c r="A316" s="400"/>
      <c r="B316" s="400"/>
      <c r="C316" s="400"/>
      <c r="D316" s="400"/>
      <c r="E316" s="400"/>
      <c r="F316" s="400"/>
      <c r="G316" s="400"/>
      <c r="H316" s="400"/>
      <c r="I316" s="400"/>
      <c r="J316" s="400"/>
      <c r="K316" s="400"/>
      <c r="L316" s="400"/>
      <c r="M316" s="400"/>
      <c r="N316" s="400"/>
      <c r="O316" s="400"/>
      <c r="P316" s="400"/>
      <c r="Q316" s="400"/>
    </row>
    <row r="317" ht="15.75" customHeight="1">
      <c r="A317" s="400"/>
      <c r="B317" s="400"/>
      <c r="C317" s="400"/>
      <c r="D317" s="400"/>
      <c r="E317" s="400"/>
      <c r="F317" s="400"/>
      <c r="G317" s="400"/>
      <c r="H317" s="400"/>
      <c r="I317" s="400"/>
      <c r="J317" s="400"/>
      <c r="K317" s="400"/>
      <c r="L317" s="400"/>
      <c r="M317" s="400"/>
      <c r="N317" s="400"/>
      <c r="O317" s="400"/>
      <c r="P317" s="400"/>
      <c r="Q317" s="400"/>
    </row>
    <row r="318" ht="15.75" customHeight="1">
      <c r="A318" s="400"/>
      <c r="B318" s="400"/>
      <c r="C318" s="400"/>
      <c r="D318" s="400"/>
      <c r="E318" s="400"/>
      <c r="F318" s="400"/>
      <c r="G318" s="400"/>
      <c r="H318" s="400"/>
      <c r="I318" s="400"/>
      <c r="J318" s="400"/>
      <c r="K318" s="400"/>
      <c r="L318" s="400"/>
      <c r="M318" s="400"/>
      <c r="N318" s="400"/>
      <c r="O318" s="400"/>
      <c r="P318" s="400"/>
      <c r="Q318" s="400"/>
    </row>
    <row r="319" ht="15.75" customHeight="1">
      <c r="A319" s="400"/>
      <c r="B319" s="400"/>
      <c r="C319" s="400"/>
      <c r="D319" s="400"/>
      <c r="E319" s="400"/>
      <c r="F319" s="400"/>
      <c r="G319" s="400"/>
      <c r="H319" s="400"/>
      <c r="I319" s="400"/>
      <c r="J319" s="400"/>
      <c r="K319" s="400"/>
      <c r="L319" s="400"/>
      <c r="M319" s="400"/>
      <c r="N319" s="400"/>
      <c r="O319" s="400"/>
      <c r="P319" s="400"/>
      <c r="Q319" s="400"/>
    </row>
  </sheetData>
  <hyperlinks>
    <hyperlink r:id="rId1" ref="A2"/>
    <hyperlink r:id="rId2" ref="F2"/>
    <hyperlink r:id="rId3" ref="A3"/>
    <hyperlink r:id="rId4" ref="F3"/>
    <hyperlink r:id="rId5" ref="I3"/>
    <hyperlink r:id="rId6" ref="A4"/>
    <hyperlink r:id="rId7" ref="F4"/>
    <hyperlink r:id="rId8" ref="A5"/>
    <hyperlink r:id="rId9" ref="F5"/>
    <hyperlink r:id="rId10" ref="I5"/>
    <hyperlink r:id="rId11" ref="A6"/>
    <hyperlink r:id="rId12" ref="F6"/>
    <hyperlink r:id="rId13" ref="A7"/>
    <hyperlink r:id="rId14" ref="F7"/>
    <hyperlink r:id="rId15" ref="I7"/>
    <hyperlink r:id="rId16" ref="L7"/>
    <hyperlink r:id="rId17" ref="A8"/>
    <hyperlink r:id="rId18" ref="F8"/>
    <hyperlink r:id="rId19" ref="A9"/>
    <hyperlink r:id="rId20" ref="F9"/>
    <hyperlink r:id="rId21" ref="I9"/>
    <hyperlink r:id="rId22" ref="A10"/>
    <hyperlink r:id="rId23" ref="F10"/>
    <hyperlink r:id="rId24" ref="I10"/>
    <hyperlink r:id="rId25" ref="A11"/>
    <hyperlink r:id="rId26" ref="F11"/>
    <hyperlink r:id="rId27" ref="A12"/>
    <hyperlink r:id="rId28" ref="F12"/>
    <hyperlink r:id="rId29" ref="I12"/>
    <hyperlink r:id="rId30" ref="A13"/>
    <hyperlink r:id="rId31" ref="F13"/>
    <hyperlink r:id="rId32" ref="I13"/>
    <hyperlink r:id="rId33" ref="A14"/>
    <hyperlink r:id="rId34" ref="F14"/>
    <hyperlink r:id="rId35" ref="I14"/>
    <hyperlink r:id="rId36" ref="A15"/>
    <hyperlink r:id="rId37" ref="F15"/>
    <hyperlink r:id="rId38" ref="I15"/>
    <hyperlink r:id="rId39" ref="A16"/>
    <hyperlink r:id="rId40" ref="A17"/>
    <hyperlink r:id="rId41" ref="A18"/>
    <hyperlink r:id="rId42" ref="A19"/>
    <hyperlink r:id="rId43" ref="A20"/>
    <hyperlink r:id="rId44" ref="A21"/>
    <hyperlink r:id="rId45" ref="A22"/>
    <hyperlink r:id="rId46" ref="A23"/>
    <hyperlink r:id="rId47" ref="F23"/>
    <hyperlink r:id="rId48" ref="I23"/>
    <hyperlink r:id="rId49" ref="A24"/>
    <hyperlink r:id="rId50" ref="F24"/>
    <hyperlink r:id="rId51" ref="A25"/>
    <hyperlink r:id="rId52" ref="F25"/>
    <hyperlink r:id="rId53" ref="I25"/>
    <hyperlink r:id="rId54" ref="A26"/>
    <hyperlink r:id="rId55" ref="F26"/>
    <hyperlink r:id="rId56" ref="A27"/>
    <hyperlink r:id="rId57" ref="F27"/>
    <hyperlink r:id="rId58" ref="I27"/>
    <hyperlink r:id="rId59" ref="L27"/>
    <hyperlink r:id="rId60" ref="A28"/>
    <hyperlink r:id="rId61" ref="F28"/>
    <hyperlink r:id="rId62" ref="I28"/>
    <hyperlink r:id="rId63" ref="A29"/>
    <hyperlink r:id="rId64" ref="F29"/>
    <hyperlink r:id="rId65" ref="I29"/>
    <hyperlink r:id="rId66" ref="A30"/>
    <hyperlink r:id="rId67" ref="F30"/>
    <hyperlink r:id="rId68" ref="I30"/>
    <hyperlink r:id="rId69" ref="A31"/>
    <hyperlink r:id="rId70" ref="F31"/>
    <hyperlink r:id="rId71" ref="A32"/>
    <hyperlink r:id="rId72" ref="F32"/>
    <hyperlink r:id="rId73" ref="I32"/>
    <hyperlink r:id="rId74" ref="A33"/>
    <hyperlink r:id="rId75" ref="F33"/>
    <hyperlink r:id="rId76" ref="I33"/>
    <hyperlink r:id="rId77" ref="A34"/>
    <hyperlink r:id="rId78" ref="F34"/>
    <hyperlink r:id="rId79" ref="I34"/>
    <hyperlink r:id="rId80" ref="A35"/>
    <hyperlink r:id="rId81" ref="F35"/>
    <hyperlink r:id="rId82" ref="I35"/>
    <hyperlink r:id="rId83" ref="L35"/>
    <hyperlink r:id="rId84" ref="A36"/>
    <hyperlink r:id="rId85" ref="F36"/>
    <hyperlink r:id="rId86" ref="I36"/>
    <hyperlink r:id="rId87" ref="A37"/>
    <hyperlink r:id="rId88" ref="F37"/>
    <hyperlink r:id="rId89" ref="I37"/>
    <hyperlink r:id="rId90" ref="A38"/>
    <hyperlink r:id="rId91" ref="F38"/>
    <hyperlink r:id="rId92" ref="I38"/>
    <hyperlink r:id="rId93" ref="A39"/>
    <hyperlink r:id="rId94" ref="F39"/>
    <hyperlink r:id="rId95" ref="I39"/>
    <hyperlink r:id="rId96" ref="A40"/>
    <hyperlink r:id="rId97" ref="F40"/>
    <hyperlink r:id="rId98" ref="A41"/>
    <hyperlink r:id="rId99" ref="F41"/>
    <hyperlink r:id="rId100" ref="A42"/>
    <hyperlink r:id="rId101" ref="F42"/>
    <hyperlink r:id="rId102" ref="I42"/>
    <hyperlink r:id="rId103" ref="A43"/>
    <hyperlink r:id="rId104" ref="F43"/>
    <hyperlink r:id="rId105" ref="I43"/>
    <hyperlink r:id="rId106" ref="L43"/>
    <hyperlink r:id="rId107" ref="A44"/>
    <hyperlink r:id="rId108" ref="F44"/>
    <hyperlink r:id="rId109" ref="I44"/>
    <hyperlink r:id="rId110" ref="A45"/>
    <hyperlink r:id="rId111" ref="F45"/>
    <hyperlink r:id="rId112" ref="A46"/>
    <hyperlink r:id="rId113" ref="F46"/>
    <hyperlink r:id="rId114" ref="I46"/>
    <hyperlink r:id="rId115" ref="A47"/>
    <hyperlink r:id="rId116" ref="F47"/>
    <hyperlink r:id="rId117" ref="I47"/>
    <hyperlink r:id="rId118" ref="L47"/>
    <hyperlink r:id="rId119" ref="A48"/>
    <hyperlink r:id="rId120" ref="F48"/>
    <hyperlink r:id="rId121" ref="I48"/>
    <hyperlink r:id="rId122" ref="L48"/>
    <hyperlink r:id="rId123" ref="A49"/>
    <hyperlink r:id="rId124" ref="F49"/>
    <hyperlink r:id="rId125" ref="A50"/>
    <hyperlink r:id="rId126" ref="F50"/>
    <hyperlink r:id="rId127" ref="I50"/>
    <hyperlink r:id="rId128" ref="A51"/>
    <hyperlink r:id="rId129" ref="F51"/>
    <hyperlink r:id="rId130" ref="I51"/>
    <hyperlink r:id="rId131" ref="A52"/>
    <hyperlink r:id="rId132" ref="F52"/>
    <hyperlink r:id="rId133" ref="A53"/>
    <hyperlink r:id="rId134" ref="F53"/>
    <hyperlink r:id="rId135" ref="A54"/>
    <hyperlink r:id="rId136" ref="A55"/>
    <hyperlink r:id="rId137" ref="F55"/>
    <hyperlink r:id="rId138" ref="I55"/>
    <hyperlink r:id="rId139" ref="L55"/>
    <hyperlink r:id="rId140" ref="A56"/>
    <hyperlink r:id="rId141" ref="F56"/>
    <hyperlink r:id="rId142" ref="I56"/>
    <hyperlink r:id="rId143" ref="L56"/>
    <hyperlink r:id="rId144" ref="A57"/>
    <hyperlink r:id="rId145" ref="F57"/>
    <hyperlink r:id="rId146" ref="I57"/>
    <hyperlink r:id="rId147" ref="L57"/>
    <hyperlink r:id="rId148" ref="A58"/>
    <hyperlink r:id="rId149" ref="F58"/>
    <hyperlink r:id="rId150" ref="I58"/>
    <hyperlink r:id="rId151" ref="A59"/>
    <hyperlink r:id="rId152" ref="F59"/>
    <hyperlink r:id="rId153" ref="A60"/>
    <hyperlink r:id="rId154" ref="F60"/>
    <hyperlink r:id="rId155" ref="I60"/>
    <hyperlink r:id="rId156" ref="A61"/>
    <hyperlink r:id="rId157" ref="F61"/>
    <hyperlink r:id="rId158" ref="A62"/>
    <hyperlink r:id="rId159" ref="F62"/>
    <hyperlink r:id="rId160" ref="A63"/>
    <hyperlink r:id="rId161" ref="F63"/>
    <hyperlink r:id="rId162" ref="I63"/>
    <hyperlink r:id="rId163" ref="L63"/>
    <hyperlink r:id="rId164" ref="A64"/>
    <hyperlink r:id="rId165" ref="F64"/>
    <hyperlink r:id="rId166" ref="I64"/>
    <hyperlink r:id="rId167" ref="A65"/>
    <hyperlink r:id="rId168" ref="F65"/>
    <hyperlink r:id="rId169" ref="I65"/>
    <hyperlink r:id="rId170" ref="A66"/>
    <hyperlink r:id="rId171" ref="F66"/>
    <hyperlink r:id="rId172" ref="A67"/>
    <hyperlink r:id="rId173" ref="F67"/>
    <hyperlink r:id="rId174" ref="A68"/>
    <hyperlink r:id="rId175" ref="F68"/>
    <hyperlink r:id="rId176" ref="A69"/>
    <hyperlink r:id="rId177" ref="F69"/>
    <hyperlink r:id="rId178" ref="A70"/>
    <hyperlink r:id="rId179" ref="F70"/>
    <hyperlink r:id="rId180" ref="I70"/>
    <hyperlink r:id="rId181" ref="L70"/>
    <hyperlink r:id="rId182" ref="A71"/>
    <hyperlink r:id="rId183" ref="F71"/>
    <hyperlink r:id="rId184" ref="I71"/>
    <hyperlink r:id="rId185" ref="A72"/>
    <hyperlink r:id="rId186" ref="F72"/>
    <hyperlink r:id="rId187" ref="A73"/>
    <hyperlink r:id="rId188" ref="F73"/>
    <hyperlink r:id="rId189" ref="A74"/>
    <hyperlink r:id="rId190" ref="F74"/>
    <hyperlink r:id="rId191" ref="I74"/>
    <hyperlink r:id="rId192" ref="L74"/>
    <hyperlink r:id="rId193" ref="A75"/>
    <hyperlink r:id="rId194" ref="F75"/>
    <hyperlink r:id="rId195" ref="I75"/>
    <hyperlink r:id="rId196" ref="L75"/>
    <hyperlink r:id="rId197" ref="A76"/>
    <hyperlink r:id="rId198" ref="F76"/>
    <hyperlink r:id="rId199" ref="I76"/>
    <hyperlink r:id="rId200" ref="A77"/>
    <hyperlink r:id="rId201" ref="F77"/>
    <hyperlink r:id="rId202" ref="I77"/>
    <hyperlink r:id="rId203" ref="A78"/>
    <hyperlink r:id="rId204" ref="F78"/>
    <hyperlink r:id="rId205" ref="A79"/>
    <hyperlink r:id="rId206" ref="F79"/>
    <hyperlink r:id="rId207" ref="I79"/>
    <hyperlink r:id="rId208" ref="L79"/>
    <hyperlink r:id="rId209" ref="A80"/>
    <hyperlink r:id="rId210" ref="F80"/>
    <hyperlink r:id="rId211" ref="A81"/>
    <hyperlink r:id="rId212" ref="F81"/>
    <hyperlink r:id="rId213" ref="A82"/>
    <hyperlink r:id="rId214" ref="F82"/>
    <hyperlink r:id="rId215" ref="I82"/>
    <hyperlink r:id="rId216" ref="A83"/>
    <hyperlink r:id="rId217" ref="F83"/>
    <hyperlink r:id="rId218" ref="I83"/>
    <hyperlink r:id="rId219" ref="L83"/>
    <hyperlink r:id="rId220" ref="A84"/>
    <hyperlink r:id="rId221" ref="F84"/>
    <hyperlink r:id="rId222" ref="I84"/>
    <hyperlink r:id="rId223" ref="A85"/>
    <hyperlink r:id="rId224" ref="F85"/>
    <hyperlink r:id="rId225" ref="I85"/>
    <hyperlink r:id="rId226" ref="A86"/>
    <hyperlink r:id="rId227" ref="F86"/>
    <hyperlink r:id="rId228" ref="I86"/>
    <hyperlink r:id="rId229" ref="A87"/>
    <hyperlink r:id="rId230" ref="F87"/>
    <hyperlink r:id="rId231" ref="I87"/>
    <hyperlink r:id="rId232" ref="A88"/>
    <hyperlink r:id="rId233" ref="F88"/>
    <hyperlink r:id="rId234" ref="A89"/>
    <hyperlink r:id="rId235" ref="F89"/>
    <hyperlink r:id="rId236" ref="A90"/>
    <hyperlink r:id="rId237" ref="A91"/>
    <hyperlink r:id="rId238" ref="F91"/>
    <hyperlink r:id="rId239" ref="A92"/>
    <hyperlink r:id="rId240" ref="F92"/>
    <hyperlink r:id="rId241" ref="A93"/>
    <hyperlink r:id="rId242" ref="A94"/>
    <hyperlink r:id="rId243" ref="A95"/>
    <hyperlink r:id="rId244" ref="F95"/>
    <hyperlink r:id="rId245" ref="A96"/>
    <hyperlink r:id="rId246" ref="F96"/>
    <hyperlink r:id="rId247" ref="I96"/>
    <hyperlink r:id="rId248" ref="L96"/>
    <hyperlink r:id="rId249" ref="A97"/>
    <hyperlink r:id="rId250" ref="F97"/>
    <hyperlink r:id="rId251" ref="I97"/>
    <hyperlink r:id="rId252" ref="L97"/>
    <hyperlink r:id="rId253" ref="A98"/>
    <hyperlink r:id="rId254" ref="F98"/>
    <hyperlink r:id="rId255" ref="I98"/>
    <hyperlink r:id="rId256" ref="A99"/>
    <hyperlink r:id="rId257" ref="F99"/>
    <hyperlink r:id="rId258" ref="A100"/>
    <hyperlink r:id="rId259" ref="F100"/>
    <hyperlink r:id="rId260" ref="A101"/>
    <hyperlink r:id="rId261" ref="F101"/>
    <hyperlink r:id="rId262" ref="A102"/>
    <hyperlink r:id="rId263" ref="F102"/>
    <hyperlink r:id="rId264" ref="A103"/>
    <hyperlink r:id="rId265" ref="F103"/>
    <hyperlink r:id="rId266" ref="A104"/>
    <hyperlink r:id="rId267" ref="F104"/>
    <hyperlink r:id="rId268" ref="I104"/>
    <hyperlink r:id="rId269" ref="L104"/>
    <hyperlink r:id="rId270" ref="A105"/>
    <hyperlink r:id="rId271" ref="A106"/>
    <hyperlink r:id="rId272" ref="F106"/>
    <hyperlink r:id="rId273" ref="A107"/>
    <hyperlink r:id="rId274" ref="F107"/>
    <hyperlink r:id="rId275" ref="A108"/>
    <hyperlink r:id="rId276" ref="F108"/>
    <hyperlink r:id="rId277" ref="I108"/>
    <hyperlink r:id="rId278" ref="A109"/>
    <hyperlink r:id="rId279" ref="F109"/>
    <hyperlink r:id="rId280" ref="I109"/>
    <hyperlink r:id="rId281" ref="A110"/>
    <hyperlink r:id="rId282" ref="F110"/>
    <hyperlink r:id="rId283" ref="I110"/>
    <hyperlink r:id="rId284" ref="A111"/>
    <hyperlink r:id="rId285" ref="F111"/>
    <hyperlink r:id="rId286" ref="I111"/>
    <hyperlink r:id="rId287" ref="A112"/>
    <hyperlink r:id="rId288" ref="F112"/>
    <hyperlink r:id="rId289" ref="A113"/>
    <hyperlink r:id="rId290" ref="F113"/>
    <hyperlink r:id="rId291" ref="I113"/>
    <hyperlink r:id="rId292" ref="A114"/>
    <hyperlink r:id="rId293" ref="F114"/>
    <hyperlink r:id="rId294" ref="I114"/>
    <hyperlink r:id="rId295" ref="A115"/>
    <hyperlink r:id="rId296" ref="F115"/>
    <hyperlink r:id="rId297" ref="A116"/>
    <hyperlink r:id="rId298" ref="A117"/>
    <hyperlink r:id="rId299" ref="A118"/>
    <hyperlink r:id="rId300" ref="F118"/>
    <hyperlink r:id="rId301" ref="A119"/>
    <hyperlink r:id="rId302" ref="F119"/>
    <hyperlink r:id="rId303" ref="I119"/>
  </hyperlinks>
  <printOptions/>
  <pageMargins bottom="0.75" footer="0.0" header="0.0" left="0.7" right="0.7" top="0.75"/>
  <pageSetup orientation="landscape"/>
  <drawing r:id="rId30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66.57"/>
    <col customWidth="1" min="3" max="3" width="53.86"/>
    <col customWidth="1" min="4" max="6" width="14.43"/>
  </cols>
  <sheetData>
    <row r="1" ht="15.0" customHeight="1">
      <c r="A1" s="407" t="s">
        <v>1279</v>
      </c>
      <c r="B1" s="408"/>
      <c r="C1" s="408" t="s">
        <v>1280</v>
      </c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</row>
    <row r="2" ht="15.0" customHeight="1">
      <c r="A2" s="410" t="s">
        <v>1281</v>
      </c>
      <c r="B2" s="411" t="s">
        <v>1282</v>
      </c>
      <c r="C2" s="412" t="s">
        <v>1283</v>
      </c>
    </row>
    <row r="3" ht="15.0" customHeight="1">
      <c r="A3" s="410" t="s">
        <v>1284</v>
      </c>
      <c r="B3" s="411" t="s">
        <v>1285</v>
      </c>
      <c r="C3" s="412" t="s">
        <v>1286</v>
      </c>
    </row>
    <row r="4" ht="15.0" customHeight="1">
      <c r="A4" s="410" t="s">
        <v>1287</v>
      </c>
      <c r="B4" s="411" t="s">
        <v>1288</v>
      </c>
      <c r="C4" s="412" t="s">
        <v>1289</v>
      </c>
    </row>
    <row r="5" ht="15.0" customHeight="1">
      <c r="A5" s="410" t="s">
        <v>1290</v>
      </c>
      <c r="B5" s="411" t="s">
        <v>1291</v>
      </c>
      <c r="C5" s="412" t="s">
        <v>1292</v>
      </c>
    </row>
    <row r="6" ht="15.0" customHeight="1">
      <c r="A6" s="410" t="s">
        <v>1293</v>
      </c>
      <c r="B6" s="411" t="s">
        <v>1294</v>
      </c>
      <c r="C6" s="412" t="s">
        <v>1295</v>
      </c>
    </row>
    <row r="7" ht="15.0" customHeight="1">
      <c r="A7" s="410" t="s">
        <v>1296</v>
      </c>
      <c r="B7" s="411" t="s">
        <v>1297</v>
      </c>
      <c r="C7" s="412" t="s">
        <v>1298</v>
      </c>
    </row>
    <row r="8" ht="15.0" customHeight="1">
      <c r="A8" s="410" t="s">
        <v>1299</v>
      </c>
      <c r="B8" s="411" t="s">
        <v>1300</v>
      </c>
      <c r="C8" s="412" t="s">
        <v>1301</v>
      </c>
    </row>
    <row r="9" ht="15.0" customHeight="1">
      <c r="A9" s="410" t="s">
        <v>1302</v>
      </c>
      <c r="B9" s="411" t="s">
        <v>1303</v>
      </c>
      <c r="C9" s="412" t="s">
        <v>1304</v>
      </c>
    </row>
    <row r="10" ht="15.0" customHeight="1">
      <c r="A10" s="410" t="s">
        <v>1305</v>
      </c>
      <c r="B10" s="411" t="s">
        <v>1306</v>
      </c>
      <c r="C10" s="412" t="s">
        <v>1307</v>
      </c>
    </row>
    <row r="11" ht="15.0" customHeight="1">
      <c r="A11" s="410"/>
      <c r="B11" s="411"/>
      <c r="C11" s="411"/>
    </row>
    <row r="12" ht="15.0" customHeight="1">
      <c r="A12" s="410"/>
      <c r="B12" s="411"/>
      <c r="C12" s="411"/>
    </row>
    <row r="13" ht="15.0" customHeight="1">
      <c r="A13" s="410"/>
      <c r="B13" s="411"/>
      <c r="C13" s="411"/>
    </row>
    <row r="14" ht="15.0" customHeight="1">
      <c r="A14" s="410"/>
      <c r="B14" s="411"/>
      <c r="C14" s="411"/>
    </row>
    <row r="15" ht="15.0" customHeight="1">
      <c r="A15" s="410"/>
      <c r="B15" s="411"/>
      <c r="C15" s="411"/>
    </row>
    <row r="16" ht="15.0" customHeight="1">
      <c r="A16" s="413" t="s">
        <v>1308</v>
      </c>
      <c r="B16" s="414" t="s">
        <v>1309</v>
      </c>
      <c r="C16" s="415" t="s">
        <v>1310</v>
      </c>
      <c r="D16" s="416"/>
      <c r="E16" s="416"/>
      <c r="F16" s="416"/>
      <c r="G16" s="416"/>
      <c r="H16" s="416"/>
      <c r="I16" s="416"/>
      <c r="J16" s="416"/>
      <c r="K16" s="416"/>
      <c r="L16" s="416"/>
      <c r="M16" s="416"/>
      <c r="N16" s="416"/>
      <c r="O16" s="416"/>
      <c r="P16" s="416"/>
      <c r="Q16" s="416"/>
      <c r="R16" s="416"/>
      <c r="S16" s="416"/>
      <c r="T16" s="416"/>
      <c r="U16" s="416"/>
      <c r="V16" s="416"/>
      <c r="W16" s="416"/>
    </row>
    <row r="17" ht="15.0" customHeight="1">
      <c r="A17" s="410"/>
      <c r="B17" s="411"/>
      <c r="C17" s="411"/>
    </row>
    <row r="18" ht="15.0" customHeight="1">
      <c r="A18" s="410"/>
      <c r="B18" s="411"/>
      <c r="C18" s="411"/>
    </row>
    <row r="19" ht="15.0" customHeight="1">
      <c r="A19" s="410"/>
      <c r="B19" s="411"/>
      <c r="C19" s="411"/>
    </row>
    <row r="20" ht="15.0" customHeight="1">
      <c r="A20" s="410"/>
      <c r="B20" s="411"/>
      <c r="C20" s="411"/>
    </row>
    <row r="21" ht="15.0" customHeight="1">
      <c r="A21" s="410"/>
      <c r="B21" s="411"/>
      <c r="C21" s="411"/>
    </row>
    <row r="22" ht="15.0" customHeight="1">
      <c r="A22" s="410"/>
      <c r="B22" s="411"/>
      <c r="C22" s="411"/>
    </row>
    <row r="23" ht="15.0" customHeight="1">
      <c r="A23" s="417"/>
    </row>
    <row r="24" ht="15.0" customHeight="1">
      <c r="A24" s="417"/>
    </row>
    <row r="25" ht="15.0" customHeight="1">
      <c r="A25" s="417"/>
    </row>
    <row r="26" ht="15.0" customHeight="1">
      <c r="A26" s="417"/>
    </row>
    <row r="27" ht="15.0" customHeight="1">
      <c r="A27" s="417"/>
    </row>
    <row r="28" ht="15.0" customHeight="1">
      <c r="A28" s="417"/>
    </row>
    <row r="29" ht="15.0" customHeight="1">
      <c r="A29" s="417"/>
    </row>
    <row r="30" ht="15.0" customHeight="1">
      <c r="A30" s="417"/>
    </row>
    <row r="31" ht="15.0" customHeight="1">
      <c r="A31" s="417"/>
    </row>
    <row r="32" ht="15.0" customHeight="1">
      <c r="A32" s="417"/>
    </row>
    <row r="33" ht="15.0" customHeight="1">
      <c r="A33" s="417"/>
    </row>
    <row r="34" ht="15.0" customHeight="1">
      <c r="A34" s="417"/>
    </row>
    <row r="35" ht="15.0" customHeight="1">
      <c r="A35" s="417"/>
    </row>
    <row r="36" ht="15.0" customHeight="1">
      <c r="A36" s="417"/>
    </row>
    <row r="37" ht="15.0" customHeight="1">
      <c r="A37" s="417"/>
    </row>
    <row r="38" ht="15.0" customHeight="1">
      <c r="A38" s="417"/>
    </row>
    <row r="39" ht="15.0" customHeight="1">
      <c r="A39" s="417"/>
    </row>
    <row r="40" ht="15.0" customHeight="1">
      <c r="A40" s="417"/>
    </row>
    <row r="41" ht="15.0" customHeight="1">
      <c r="A41" s="417"/>
    </row>
    <row r="42" ht="15.0" customHeight="1">
      <c r="A42" s="417"/>
    </row>
    <row r="43" ht="15.0" customHeight="1">
      <c r="A43" s="417"/>
    </row>
    <row r="44" ht="15.0" customHeight="1">
      <c r="A44" s="417"/>
    </row>
    <row r="45" ht="15.0" customHeight="1">
      <c r="A45" s="417"/>
    </row>
    <row r="46" ht="15.0" customHeight="1">
      <c r="A46" s="417"/>
    </row>
    <row r="47" ht="15.0" customHeight="1">
      <c r="A47" s="417"/>
    </row>
    <row r="48" ht="15.0" customHeight="1">
      <c r="A48" s="417"/>
    </row>
    <row r="49" ht="15.0" customHeight="1">
      <c r="A49" s="417"/>
    </row>
    <row r="50" ht="15.0" customHeight="1">
      <c r="A50" s="417"/>
    </row>
    <row r="51" ht="15.0" customHeight="1">
      <c r="A51" s="417"/>
    </row>
    <row r="52" ht="15.0" customHeight="1">
      <c r="A52" s="417"/>
    </row>
    <row r="53" ht="15.0" customHeight="1">
      <c r="A53" s="417"/>
    </row>
    <row r="54" ht="15.0" customHeight="1">
      <c r="A54" s="417"/>
    </row>
    <row r="55" ht="15.0" customHeight="1">
      <c r="A55" s="417"/>
    </row>
    <row r="56" ht="15.0" customHeight="1">
      <c r="A56" s="417"/>
    </row>
    <row r="57" ht="15.0" customHeight="1">
      <c r="A57" s="417"/>
    </row>
    <row r="58" ht="15.75" customHeight="1">
      <c r="A58" s="417"/>
    </row>
    <row r="59" ht="15.75" customHeight="1">
      <c r="A59" s="417"/>
    </row>
    <row r="60" ht="15.75" customHeight="1">
      <c r="A60" s="417"/>
    </row>
    <row r="61" ht="15.75" customHeight="1">
      <c r="A61" s="417"/>
    </row>
    <row r="62" ht="15.75" customHeight="1">
      <c r="A62" s="417"/>
    </row>
    <row r="63" ht="15.75" customHeight="1">
      <c r="A63" s="417"/>
    </row>
    <row r="64" ht="15.75" customHeight="1">
      <c r="A64" s="417"/>
    </row>
    <row r="65" ht="15.75" customHeight="1">
      <c r="A65" s="417"/>
    </row>
    <row r="66" ht="15.75" customHeight="1">
      <c r="A66" s="417"/>
    </row>
    <row r="67" ht="15.75" customHeight="1">
      <c r="A67" s="417"/>
    </row>
    <row r="68" ht="15.75" customHeight="1">
      <c r="A68" s="417"/>
    </row>
    <row r="69" ht="15.75" customHeight="1">
      <c r="A69" s="417"/>
    </row>
    <row r="70" ht="15.75" customHeight="1">
      <c r="A70" s="417"/>
    </row>
    <row r="71" ht="15.75" customHeight="1">
      <c r="A71" s="417"/>
    </row>
    <row r="72" ht="15.75" customHeight="1">
      <c r="A72" s="417"/>
    </row>
    <row r="73" ht="15.75" customHeight="1">
      <c r="A73" s="417"/>
    </row>
    <row r="74" ht="15.75" customHeight="1">
      <c r="A74" s="417"/>
    </row>
    <row r="75" ht="15.75" customHeight="1">
      <c r="A75" s="417"/>
    </row>
    <row r="76" ht="15.75" customHeight="1">
      <c r="A76" s="417"/>
    </row>
    <row r="77" ht="15.75" customHeight="1">
      <c r="A77" s="417"/>
    </row>
    <row r="78" ht="15.75" customHeight="1">
      <c r="A78" s="417"/>
    </row>
    <row r="79" ht="15.75" customHeight="1">
      <c r="A79" s="417"/>
    </row>
    <row r="80" ht="15.75" customHeight="1">
      <c r="A80" s="417"/>
    </row>
    <row r="81" ht="15.75" customHeight="1">
      <c r="A81" s="417"/>
    </row>
    <row r="82" ht="15.75" customHeight="1">
      <c r="A82" s="417"/>
    </row>
    <row r="83" ht="15.75" customHeight="1">
      <c r="A83" s="417"/>
    </row>
    <row r="84" ht="15.75" customHeight="1">
      <c r="A84" s="417"/>
    </row>
    <row r="85" ht="15.75" customHeight="1">
      <c r="A85" s="417"/>
    </row>
    <row r="86" ht="15.75" customHeight="1">
      <c r="A86" s="417"/>
    </row>
    <row r="87" ht="15.75" customHeight="1">
      <c r="A87" s="417"/>
    </row>
    <row r="88" ht="15.75" customHeight="1">
      <c r="A88" s="417"/>
    </row>
    <row r="89" ht="15.75" customHeight="1">
      <c r="A89" s="417"/>
    </row>
    <row r="90" ht="15.75" customHeight="1">
      <c r="A90" s="417"/>
    </row>
    <row r="91" ht="15.75" customHeight="1">
      <c r="A91" s="417"/>
    </row>
    <row r="92" ht="15.75" customHeight="1">
      <c r="A92" s="417"/>
    </row>
    <row r="93" ht="15.75" customHeight="1">
      <c r="A93" s="417"/>
    </row>
    <row r="94" ht="15.75" customHeight="1">
      <c r="A94" s="417"/>
    </row>
    <row r="95" ht="15.75" customHeight="1">
      <c r="A95" s="417"/>
    </row>
    <row r="96" ht="15.75" customHeight="1">
      <c r="A96" s="417"/>
    </row>
    <row r="97" ht="15.75" customHeight="1">
      <c r="A97" s="417"/>
    </row>
    <row r="98" ht="15.75" customHeight="1">
      <c r="A98" s="417"/>
    </row>
    <row r="99" ht="15.75" customHeight="1">
      <c r="A99" s="417"/>
    </row>
    <row r="100" ht="15.75" customHeight="1">
      <c r="A100" s="417"/>
    </row>
    <row r="101" ht="15.75" customHeight="1">
      <c r="A101" s="417"/>
    </row>
    <row r="102" ht="15.75" customHeight="1">
      <c r="A102" s="417"/>
    </row>
    <row r="103" ht="15.75" customHeight="1">
      <c r="A103" s="417"/>
    </row>
    <row r="104" ht="15.75" customHeight="1">
      <c r="A104" s="417"/>
    </row>
    <row r="105" ht="15.75" customHeight="1">
      <c r="A105" s="417"/>
    </row>
    <row r="106" ht="15.75" customHeight="1">
      <c r="A106" s="417"/>
    </row>
    <row r="107" ht="15.75" customHeight="1">
      <c r="A107" s="417"/>
    </row>
    <row r="108" ht="15.75" customHeight="1">
      <c r="A108" s="417"/>
    </row>
    <row r="109" ht="15.75" customHeight="1">
      <c r="A109" s="417"/>
    </row>
    <row r="110" ht="15.75" customHeight="1">
      <c r="A110" s="417"/>
    </row>
    <row r="111" ht="15.75" customHeight="1">
      <c r="A111" s="417"/>
    </row>
    <row r="112" ht="15.75" customHeight="1">
      <c r="A112" s="417"/>
    </row>
    <row r="113" ht="15.75" customHeight="1">
      <c r="A113" s="417"/>
    </row>
    <row r="114" ht="15.75" customHeight="1">
      <c r="A114" s="417"/>
    </row>
    <row r="115" ht="15.75" customHeight="1">
      <c r="A115" s="417"/>
    </row>
    <row r="116" ht="15.75" customHeight="1">
      <c r="A116" s="417"/>
    </row>
    <row r="117" ht="15.75" customHeight="1">
      <c r="A117" s="417"/>
    </row>
    <row r="118" ht="15.75" customHeight="1">
      <c r="A118" s="417"/>
    </row>
    <row r="119" ht="15.75" customHeight="1">
      <c r="A119" s="417"/>
    </row>
    <row r="120" ht="15.75" customHeight="1">
      <c r="A120" s="417"/>
    </row>
    <row r="121" ht="15.75" customHeight="1">
      <c r="A121" s="417"/>
    </row>
    <row r="122" ht="15.75" customHeight="1">
      <c r="A122" s="417"/>
    </row>
    <row r="123" ht="15.75" customHeight="1">
      <c r="A123" s="417"/>
    </row>
    <row r="124" ht="15.75" customHeight="1">
      <c r="A124" s="417"/>
    </row>
    <row r="125" ht="15.75" customHeight="1">
      <c r="A125" s="417"/>
    </row>
    <row r="126" ht="15.75" customHeight="1">
      <c r="A126" s="417"/>
    </row>
    <row r="127" ht="15.75" customHeight="1">
      <c r="A127" s="417"/>
    </row>
    <row r="128" ht="15.75" customHeight="1">
      <c r="A128" s="417"/>
    </row>
    <row r="129" ht="15.75" customHeight="1">
      <c r="A129" s="417"/>
    </row>
    <row r="130" ht="15.75" customHeight="1">
      <c r="A130" s="417"/>
    </row>
    <row r="131" ht="15.75" customHeight="1">
      <c r="A131" s="417"/>
    </row>
    <row r="132" ht="15.75" customHeight="1">
      <c r="A132" s="417"/>
    </row>
    <row r="133" ht="15.75" customHeight="1">
      <c r="A133" s="417"/>
    </row>
    <row r="134" ht="15.75" customHeight="1">
      <c r="A134" s="417"/>
    </row>
    <row r="135" ht="15.75" customHeight="1">
      <c r="A135" s="417"/>
    </row>
    <row r="136" ht="15.75" customHeight="1">
      <c r="A136" s="417"/>
    </row>
    <row r="137" ht="15.75" customHeight="1">
      <c r="A137" s="417"/>
    </row>
    <row r="138" ht="15.75" customHeight="1">
      <c r="A138" s="417"/>
    </row>
    <row r="139" ht="15.75" customHeight="1">
      <c r="A139" s="417"/>
    </row>
    <row r="140" ht="15.75" customHeight="1">
      <c r="A140" s="417"/>
    </row>
    <row r="141" ht="15.75" customHeight="1">
      <c r="A141" s="417"/>
    </row>
    <row r="142" ht="15.75" customHeight="1">
      <c r="A142" s="417"/>
    </row>
    <row r="143" ht="15.75" customHeight="1">
      <c r="A143" s="417"/>
    </row>
    <row r="144" ht="15.75" customHeight="1">
      <c r="A144" s="417"/>
    </row>
    <row r="145" ht="15.75" customHeight="1">
      <c r="A145" s="417"/>
    </row>
    <row r="146" ht="15.75" customHeight="1">
      <c r="A146" s="417"/>
    </row>
    <row r="147" ht="15.75" customHeight="1">
      <c r="A147" s="417"/>
    </row>
    <row r="148" ht="15.75" customHeight="1">
      <c r="A148" s="417"/>
    </row>
    <row r="149" ht="15.75" customHeight="1">
      <c r="A149" s="417"/>
    </row>
    <row r="150" ht="15.75" customHeight="1">
      <c r="A150" s="417"/>
    </row>
    <row r="151" ht="15.75" customHeight="1">
      <c r="A151" s="417"/>
    </row>
    <row r="152" ht="15.75" customHeight="1">
      <c r="A152" s="417"/>
    </row>
    <row r="153" ht="15.75" customHeight="1">
      <c r="A153" s="417"/>
    </row>
    <row r="154" ht="15.75" customHeight="1">
      <c r="A154" s="417"/>
    </row>
    <row r="155" ht="15.75" customHeight="1">
      <c r="A155" s="417"/>
    </row>
    <row r="156" ht="15.75" customHeight="1">
      <c r="A156" s="417"/>
    </row>
    <row r="157" ht="15.75" customHeight="1">
      <c r="A157" s="417"/>
    </row>
    <row r="158" ht="15.75" customHeight="1">
      <c r="A158" s="417"/>
    </row>
    <row r="159" ht="15.75" customHeight="1">
      <c r="A159" s="417"/>
    </row>
    <row r="160" ht="15.75" customHeight="1">
      <c r="A160" s="417"/>
    </row>
    <row r="161" ht="15.75" customHeight="1">
      <c r="A161" s="417"/>
    </row>
    <row r="162" ht="15.75" customHeight="1">
      <c r="A162" s="417"/>
    </row>
    <row r="163" ht="15.75" customHeight="1">
      <c r="A163" s="417"/>
    </row>
    <row r="164" ht="15.75" customHeight="1">
      <c r="A164" s="417"/>
    </row>
    <row r="165" ht="15.75" customHeight="1">
      <c r="A165" s="417"/>
    </row>
    <row r="166" ht="15.75" customHeight="1">
      <c r="A166" s="417"/>
    </row>
    <row r="167" ht="15.75" customHeight="1">
      <c r="A167" s="417"/>
    </row>
    <row r="168" ht="15.75" customHeight="1">
      <c r="A168" s="417"/>
    </row>
    <row r="169" ht="15.75" customHeight="1">
      <c r="A169" s="417"/>
    </row>
    <row r="170" ht="15.75" customHeight="1">
      <c r="A170" s="417"/>
    </row>
    <row r="171" ht="15.75" customHeight="1">
      <c r="A171" s="417"/>
    </row>
    <row r="172" ht="15.75" customHeight="1">
      <c r="A172" s="417"/>
    </row>
    <row r="173" ht="15.75" customHeight="1">
      <c r="A173" s="417"/>
    </row>
    <row r="174" ht="15.75" customHeight="1">
      <c r="A174" s="417"/>
    </row>
    <row r="175" ht="15.75" customHeight="1">
      <c r="A175" s="417"/>
    </row>
    <row r="176" ht="15.75" customHeight="1">
      <c r="A176" s="417"/>
    </row>
    <row r="177" ht="15.75" customHeight="1">
      <c r="A177" s="417"/>
    </row>
    <row r="178" ht="15.75" customHeight="1">
      <c r="A178" s="417"/>
    </row>
    <row r="179" ht="15.75" customHeight="1">
      <c r="A179" s="417"/>
    </row>
    <row r="180" ht="15.75" customHeight="1">
      <c r="A180" s="417"/>
    </row>
    <row r="181" ht="15.75" customHeight="1">
      <c r="A181" s="417"/>
    </row>
    <row r="182" ht="15.75" customHeight="1">
      <c r="A182" s="417"/>
    </row>
    <row r="183" ht="15.75" customHeight="1">
      <c r="A183" s="417"/>
    </row>
    <row r="184" ht="15.75" customHeight="1">
      <c r="A184" s="417"/>
    </row>
    <row r="185" ht="15.75" customHeight="1">
      <c r="A185" s="417"/>
    </row>
    <row r="186" ht="15.75" customHeight="1">
      <c r="A186" s="417"/>
    </row>
    <row r="187" ht="15.75" customHeight="1">
      <c r="A187" s="417"/>
    </row>
    <row r="188" ht="15.75" customHeight="1">
      <c r="A188" s="417"/>
    </row>
    <row r="189" ht="15.75" customHeight="1">
      <c r="A189" s="417"/>
    </row>
    <row r="190" ht="15.75" customHeight="1">
      <c r="A190" s="417"/>
    </row>
    <row r="191" ht="15.75" customHeight="1">
      <c r="A191" s="417"/>
    </row>
    <row r="192" ht="15.75" customHeight="1">
      <c r="A192" s="417"/>
    </row>
    <row r="193" ht="15.75" customHeight="1">
      <c r="A193" s="417"/>
    </row>
    <row r="194" ht="15.75" customHeight="1">
      <c r="A194" s="417"/>
    </row>
    <row r="195" ht="15.75" customHeight="1">
      <c r="A195" s="417"/>
    </row>
    <row r="196" ht="15.75" customHeight="1">
      <c r="A196" s="417"/>
    </row>
    <row r="197" ht="15.75" customHeight="1">
      <c r="A197" s="417"/>
    </row>
    <row r="198" ht="15.75" customHeight="1">
      <c r="A198" s="417"/>
    </row>
    <row r="199" ht="15.75" customHeight="1">
      <c r="A199" s="417"/>
    </row>
    <row r="200" ht="15.75" customHeight="1">
      <c r="A200" s="417"/>
    </row>
    <row r="201" ht="15.75" customHeight="1">
      <c r="A201" s="417"/>
    </row>
    <row r="202" ht="15.75" customHeight="1">
      <c r="A202" s="417"/>
    </row>
    <row r="203" ht="15.75" customHeight="1">
      <c r="A203" s="417"/>
    </row>
    <row r="204" ht="15.75" customHeight="1">
      <c r="A204" s="417"/>
    </row>
    <row r="205" ht="15.75" customHeight="1">
      <c r="A205" s="417"/>
    </row>
    <row r="206" ht="15.75" customHeight="1">
      <c r="A206" s="417"/>
    </row>
    <row r="207" ht="15.75" customHeight="1">
      <c r="A207" s="417"/>
    </row>
    <row r="208" ht="15.75" customHeight="1">
      <c r="A208" s="417"/>
    </row>
    <row r="209" ht="15.75" customHeight="1">
      <c r="A209" s="417"/>
    </row>
    <row r="210" ht="15.75" customHeight="1">
      <c r="A210" s="417"/>
    </row>
    <row r="211" ht="15.75" customHeight="1">
      <c r="A211" s="417"/>
    </row>
    <row r="212" ht="15.75" customHeight="1">
      <c r="A212" s="417"/>
    </row>
    <row r="213" ht="15.75" customHeight="1">
      <c r="A213" s="417"/>
    </row>
    <row r="214" ht="15.75" customHeight="1">
      <c r="A214" s="417"/>
    </row>
    <row r="215" ht="15.75" customHeight="1">
      <c r="A215" s="417"/>
    </row>
    <row r="216" ht="15.75" customHeight="1">
      <c r="A216" s="417"/>
    </row>
    <row r="217" ht="15.75" customHeight="1">
      <c r="A217" s="417"/>
    </row>
    <row r="218" ht="15.75" customHeight="1">
      <c r="A218" s="417"/>
    </row>
    <row r="219" ht="15.75" customHeight="1">
      <c r="A219" s="417"/>
    </row>
    <row r="220" ht="15.75" customHeight="1">
      <c r="A220" s="41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6"/>
  </hyperlinks>
  <printOptions/>
  <pageMargins bottom="0.75" footer="0.0" header="0.0" left="0.7" right="0.7" top="0.75"/>
  <pageSetup orientation="landscape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Листы</vt:lpstr>
      </vt:variant>
      <vt:variant>
        <vt:i4>12</vt:i4>
      </vt:variant>
    </vt:vector>
  </HeadingPairs>
  <TitlesOfParts>
    <vt:vector baseType="lpstr" size="12">
      <vt:lpstr>КОРЕЯ</vt:lpstr>
      <vt:lpstr>КОРЕЯ (ДРР)</vt:lpstr>
      <vt:lpstr>КИТАЙ</vt:lpstr>
      <vt:lpstr>расчет нового товара</vt:lpstr>
      <vt:lpstr>КОРЕЯ (копия)</vt:lpstr>
      <vt:lpstr>MASIL ДРР =5%</vt:lpstr>
      <vt:lpstr>MASIL  ДРР =10 %</vt:lpstr>
      <vt:lpstr>MASIL ФФ= 15 руб.</vt:lpstr>
      <vt:lpstr>MASIL ДРР =3%</vt:lpstr>
      <vt:lpstr>CELIMAX</vt:lpstr>
      <vt:lpstr>Конкуренты КОРЕЯ</vt:lpstr>
      <vt:lpstr>Конкуренты Корея по продавцам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2024-05-15T09:54:09Z</dcterms:created>
  <dc:creator>Z</dc:creator>
  <cp:lastModifiedBy>PC</cp:lastModifiedBy>
  <dcterms:modified xsi:type="dcterms:W3CDTF">2026-09-21T12:51:16Z</dcterms:modified>
</cp:coreProperties>
</file>
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юнитка " sheetId="1" r:id="rId4"/>
    <sheet state="visible" name="себес Киргизия  " sheetId="2" r:id="rId5"/>
    <sheet state="visible" name="заказ вес , объем " sheetId="3" r:id="rId6"/>
    <sheet state="visible" name="Лист2" sheetId="4" r:id="rId7"/>
    <sheet state="visible" name="новые позиции под закуп" sheetId="5" r:id="rId8"/>
    <sheet state="visible" name="Cream.Shop MG" sheetId="6" r:id="rId9"/>
    <sheet state="visible" name="крем шоп мп менеджер" sheetId="7" r:id="rId10"/>
    <sheet state="visible" name="Celimax Кремшоп" sheetId="8" r:id="rId11"/>
    <sheet state="visible" name="Round Lab Кремшоп" sheetId="9" r:id="rId12"/>
  </sheets>
  <definedNames>
    <definedName hidden="1" localSheetId="2" name="_xlnm._FilterDatabase">'заказ вес , объем '!$A$1:$Z$1014</definedName>
  </definedNames>
  <calcPr/>
  <extLst>
    <ext uri="GoogleSheetsCustomDataVersion2">
      <go:sheetsCustomData xmlns:go="http://customooxmlschemas.google.com/" r:id="rId13" roundtripDataChecksum="0MLNKLjLQ5l/CQCw729xbkjiyCor3t2DOB23wVHEEvs="/>
    </ext>
  </extLst>
</workbook>
</file>

<file path=xl/sharedStrings.xml><?xml version="1.0" encoding="utf-8"?>
<sst xmlns="http://schemas.openxmlformats.org/spreadsheetml/2006/main" count="2023" uniqueCount="1077">
  <si>
    <t>Доп.обработка на складе+хоз</t>
  </si>
  <si>
    <t>логис</t>
  </si>
  <si>
    <t>Хранен</t>
  </si>
  <si>
    <t>короб</t>
  </si>
  <si>
    <t>Базовая приемка Р/л.ед.товара</t>
  </si>
  <si>
    <t>% СПП по категории Красота</t>
  </si>
  <si>
    <t>Коэф. Рекламы (10%)</t>
  </si>
  <si>
    <t>Курс Вона</t>
  </si>
  <si>
    <t>Электросталь</t>
  </si>
  <si>
    <t>суперсейф</t>
  </si>
  <si>
    <t>Базовая приемка Р/ед.товара</t>
  </si>
  <si>
    <t>Коэффициент платной приемки</t>
  </si>
  <si>
    <t>Ставка рефинансирования (21%) = 1,75/месяц</t>
  </si>
  <si>
    <t>Курс $</t>
  </si>
  <si>
    <t>Тула</t>
  </si>
  <si>
    <t>Обратная логистика для всего</t>
  </si>
  <si>
    <t>% Минимальной маржи для РРЦ</t>
  </si>
  <si>
    <t>Цена логистики за литр</t>
  </si>
  <si>
    <t>Транспортные</t>
  </si>
  <si>
    <t>Невинномыск</t>
  </si>
  <si>
    <t>Базовая Логистика за 1литр</t>
  </si>
  <si>
    <t>Цена логистики сверх литра</t>
  </si>
  <si>
    <t>Растаможка</t>
  </si>
  <si>
    <t>Коледино</t>
  </si>
  <si>
    <t>Базовая Логистика за доп.литр</t>
  </si>
  <si>
    <t>Цена хранения литр/день</t>
  </si>
  <si>
    <t>Краснодар</t>
  </si>
  <si>
    <t>Комиссия ВБ по категории</t>
  </si>
  <si>
    <t>Количество дней хранения</t>
  </si>
  <si>
    <t>Казань</t>
  </si>
  <si>
    <t>Эквайринг 1,5%</t>
  </si>
  <si>
    <t>Налог УСН 1%</t>
  </si>
  <si>
    <t>КОРЕЯ</t>
  </si>
  <si>
    <t>Текущая цена продажи</t>
  </si>
  <si>
    <t>Доп.Расход</t>
  </si>
  <si>
    <t>РАСХОДЫ WB</t>
  </si>
  <si>
    <t>МАРЖА</t>
  </si>
  <si>
    <t>Код WB Коротич, Скляров, Крона</t>
  </si>
  <si>
    <t>Код WB Коротич</t>
  </si>
  <si>
    <t>Наименование</t>
  </si>
  <si>
    <t>Ед.изм.</t>
  </si>
  <si>
    <t>Кол-во</t>
  </si>
  <si>
    <t>ЗАКУП</t>
  </si>
  <si>
    <t xml:space="preserve">Курс KWR / $ </t>
  </si>
  <si>
    <t>КУРС $ / руб + 10%</t>
  </si>
  <si>
    <t>Сумма рубли</t>
  </si>
  <si>
    <t>Расход до МСК</t>
  </si>
  <si>
    <t>ИТОГО приход</t>
  </si>
  <si>
    <t>Плановый период продажи</t>
  </si>
  <si>
    <t xml:space="preserve">Себ-ть </t>
  </si>
  <si>
    <t>Цена продажи на WB</t>
  </si>
  <si>
    <r>
      <rPr>
        <rFont val="Arial"/>
        <b/>
        <color theme="1"/>
        <sz val="14.0"/>
      </rPr>
      <t>РРЦ</t>
    </r>
    <r>
      <rPr>
        <rFont val="Arial"/>
        <b/>
        <color theme="1"/>
        <sz val="10.0"/>
      </rPr>
      <t xml:space="preserve"> плановая без СПП</t>
    </r>
  </si>
  <si>
    <t>Цена Конкурента</t>
  </si>
  <si>
    <t>% СПП</t>
  </si>
  <si>
    <t>Цена с СПП</t>
  </si>
  <si>
    <t>Доп обработка склад</t>
  </si>
  <si>
    <t>Налог УСН+НДС</t>
  </si>
  <si>
    <t>Стоимость денег</t>
  </si>
  <si>
    <t>Объем, литр</t>
  </si>
  <si>
    <t>Логистика WB</t>
  </si>
  <si>
    <r>
      <rPr>
        <rFont val="Calibri"/>
        <color theme="1"/>
        <sz val="9.0"/>
      </rPr>
      <t xml:space="preserve">Комиссия </t>
    </r>
    <r>
      <rPr>
        <rFont val="Calibri"/>
        <b/>
        <color theme="1"/>
        <sz val="12.0"/>
      </rPr>
      <t>WB 32,5%</t>
    </r>
  </si>
  <si>
    <r>
      <rPr>
        <rFont val="Calibri"/>
        <color theme="1"/>
        <sz val="9.0"/>
      </rPr>
      <t xml:space="preserve">Эквайринг </t>
    </r>
    <r>
      <rPr>
        <rFont val="Calibri"/>
        <b/>
        <color theme="1"/>
        <sz val="12.0"/>
      </rPr>
      <t>2,17%</t>
    </r>
  </si>
  <si>
    <t>Обратная логистика от % выкупа</t>
  </si>
  <si>
    <t>% выкупа</t>
  </si>
  <si>
    <t>Хранение</t>
  </si>
  <si>
    <r>
      <rPr>
        <rFont val="Calibri"/>
        <b/>
        <color theme="1"/>
        <sz val="9.0"/>
      </rPr>
      <t>Рекламные</t>
    </r>
    <r>
      <rPr>
        <rFont val="Calibri"/>
        <color theme="1"/>
        <sz val="9.0"/>
      </rPr>
      <t xml:space="preserve"> расходы от продажи</t>
    </r>
  </si>
  <si>
    <t>Брак</t>
  </si>
  <si>
    <t>Платная приемка</t>
  </si>
  <si>
    <t>МАРЖА с ед.</t>
  </si>
  <si>
    <t>ROI %</t>
  </si>
  <si>
    <t xml:space="preserve">оборачиваемость </t>
  </si>
  <si>
    <t xml:space="preserve"> закуп , шт </t>
  </si>
  <si>
    <t xml:space="preserve">себес итого </t>
  </si>
  <si>
    <t xml:space="preserve">маржа итого </t>
  </si>
  <si>
    <t>Косметика/COSRX</t>
  </si>
  <si>
    <t>COSRX - Advanced Snail 96 Mucin Power Essence [100ml] / Высокоактивная эссенция для лица с 96% муцина улитки</t>
  </si>
  <si>
    <t>шт</t>
  </si>
  <si>
    <t>-</t>
  </si>
  <si>
    <t>214305705, 000, 000</t>
  </si>
  <si>
    <t>DEOPROCE SHAMPOO - ARGAN SILKY MOISTURE [1000ml] / Шампунь для волос с аргановым маслом</t>
  </si>
  <si>
    <t xml:space="preserve">4мес </t>
  </si>
  <si>
    <t>214305722, 000, 000</t>
  </si>
  <si>
    <t>DEOPROCE SHAMPOO BLACK GARLIC[1000ml]</t>
  </si>
  <si>
    <t>Manyo BIFIDA BIOME AMPOULE TONER 210 мл</t>
  </si>
  <si>
    <t>4мес</t>
  </si>
  <si>
    <t>207796789, 000, 000</t>
  </si>
  <si>
    <t>ENOUGH - Gold Snail Moisture Foundation [Tone 13] / Тональный крем с муцином улитки 13 тон</t>
  </si>
  <si>
    <t>207796898, 000, 000</t>
  </si>
  <si>
    <t>ENOUGH - Gold Snail Moisture Foundation [Tone 21] / Тональный крем с муцином улитки 21 тон</t>
  </si>
  <si>
    <t>170198180, 000, 000</t>
  </si>
  <si>
    <t>ENOUGH - Premium Rich Gold Double Wear Radiance Foundation [Tone 13] / Тональный крем с частичками золота 13 тон</t>
  </si>
  <si>
    <t>170198109, 000, 000</t>
  </si>
  <si>
    <t>ENOUGH - Premium Rich Gold Double Wear Radiance Foundation [Tone 21] / Тональный крем с частичками золота 21 тон</t>
  </si>
  <si>
    <t>170198835, 000, 000</t>
  </si>
  <si>
    <t>ENOUGH - Premium Ultra X10 Cover Up Collagen Foundation [Tone 13] / Тональный крем с коллагеном 13 тон</t>
  </si>
  <si>
    <t>170198876, 000, 000</t>
  </si>
  <si>
    <t>ENOUGH - Premium Ultra X10 Cover Up Collagen Foundation [Tone 21] / Тональный крем с коллагеном 21 тон</t>
  </si>
  <si>
    <t>206122859, 000, 000</t>
  </si>
  <si>
    <t>I'm Sorry For My Skin - Age Capture Firming Enriched Cream / Увлажняющий капсульный крем</t>
  </si>
  <si>
    <t>206135397, 000, 000</t>
  </si>
  <si>
    <t>I'm Sorry For My Skin - Age Capture Hydrating Cream / Увлажняющий капсульный крем</t>
  </si>
  <si>
    <t>206125905, 000, 000</t>
  </si>
  <si>
    <t>I'm Sorry For My Skin - Age Capture Skin Relief Cream / Увлажняющий капсульный крем</t>
  </si>
  <si>
    <t>206126372, 000, 000</t>
  </si>
  <si>
    <t>I'm Sorry For My Skin - Age Capture Vitalizer Cream / Увлажняющий капсульный крем</t>
  </si>
  <si>
    <t>-.</t>
  </si>
  <si>
    <t>VT COSMETICS</t>
  </si>
  <si>
    <t>Блеск Плампер для губ VT REEDLE SHOT LIP PLUMPER EXPERT</t>
  </si>
  <si>
    <t>212885914, 000, 000</t>
  </si>
  <si>
    <t>VT REEDLE SHOT LIFTING EYE CREAM,15 мл, 8809695679544</t>
  </si>
  <si>
    <t>ROUND LAB 1025 DOKDO CLEANSER_150ml [150ml]</t>
  </si>
  <si>
    <t>8,3 мес</t>
  </si>
  <si>
    <t>ROUND LAB</t>
  </si>
  <si>
    <t>Крем для лица увлажняющий для проблемной кожи с сосной,8809783325674</t>
  </si>
  <si>
    <t>Пенка очищающая для лица от прыщей с сосной и кислотами,8809864754126</t>
  </si>
  <si>
    <t>Гель для душа от прыщей с кислотами,8809849802408</t>
  </si>
  <si>
    <t>1025 DOKDO BUBBLE FOAM_150ml (дозатор ) 8809738599044</t>
  </si>
  <si>
    <t>DERMA FACTORY</t>
  </si>
  <si>
    <t>Интенсивная антивозрастная сыворотка для лица PDRN 4%, 30 мл 8809331319360</t>
  </si>
  <si>
    <t>Осветляющий Крем от пигментации с Транексамовой Кислотой, 8809563068258</t>
  </si>
  <si>
    <t>Крем для лица укрепляющий с ретиналем 300ppm, 30 мл 8809563066773</t>
  </si>
  <si>
    <t>Сыворотка для лица осветляющая от пигментации, 30 мл '8809331319193</t>
  </si>
  <si>
    <t>Сыворотка с Ниацинамидом для лица от прыщей Niacinamide,30 мл 8809563066797</t>
  </si>
  <si>
    <t>Антивозрастная сыворотка-стик для лица с волюфилином8809563067923</t>
  </si>
  <si>
    <t>Крем для лица c Бакучиолом и Микроиглами от морщин,8809331313818</t>
  </si>
  <si>
    <t>Увлажняющий тонер-эссенция для лица с аденозином 7500 ppm.150 мл 8809563068081</t>
  </si>
  <si>
    <t>Сыворотка с пептидами Матриксил 15% от морщин,30 мл 8809331317182</t>
  </si>
  <si>
    <t>214312259, 000, 000</t>
  </si>
  <si>
    <t>SKIN1004 Madagascar Centella Soothing Cream 75ml 8809576261134</t>
  </si>
  <si>
    <t>214312149, 000, 000</t>
  </si>
  <si>
    <t>SKIN1004 Madagascar Centella Ampoule 55ml 8809576260601</t>
  </si>
  <si>
    <t>214312110, 000, 000</t>
  </si>
  <si>
    <t>SKIN1004 Madagascar Centella Tone Brightening Capsule Ampoule 100ml 8809576261172</t>
  </si>
  <si>
    <t>Косметика/SOME BY MI</t>
  </si>
  <si>
    <t>214312385, 000, 000</t>
  </si>
  <si>
    <t xml:space="preserve">Anua </t>
  </si>
  <si>
    <t>Сыворотка с азелаиновой кислотой от покраснений и купероза,30 мл 8809640737190</t>
  </si>
  <si>
    <t>Anua сыворотка персиковая для лица с ниацинамидом 30 мл 8809640733550</t>
  </si>
  <si>
    <t>Сыворотка для лица с ниацинамидом Niacinamide 10% 30 мл 8809640734526</t>
  </si>
  <si>
    <t>214312426, 000, 000</t>
  </si>
  <si>
    <t>крем персиковый с ниацинамидом Peach 77 Niacin Enriched Cream 50 мл8809640734373</t>
  </si>
  <si>
    <t>Крем с ПДРН и гиалуроновой кислотой,60 мл 8809640738135</t>
  </si>
  <si>
    <t>Medicube</t>
  </si>
  <si>
    <t>Сыворотка-лифтинг с ПДРН и пептидами Medicube, 30 мл,8800256108053</t>
  </si>
  <si>
    <t>Сыворотка для лица от морщин с микроиглами 7500 и пдрн 8800256115549</t>
  </si>
  <si>
    <t>Сыворотка для лица от морщин с микроиглами 2000 и пдрн 8800256115532</t>
  </si>
  <si>
    <t>Тоник для лица увлажняющий от прыщей Корея,210 мл 8800256112159</t>
  </si>
  <si>
    <t>Отбеливающий крем для лица от пигментации Корея 8800256119660</t>
  </si>
  <si>
    <t>Крем для лица с коллагеном желе Medicube, 50 мл 8800256112227</t>
  </si>
  <si>
    <t xml:space="preserve">CELIMAX </t>
  </si>
  <si>
    <t>Гидрофильное масло 8806050298525</t>
  </si>
  <si>
    <t>CELIMAX DUAL BARRIER CREAMY TONER [150ml]</t>
  </si>
  <si>
    <t>5,8 мес</t>
  </si>
  <si>
    <t>Пенка для умывания Noni Acne Bubble Cleanser,8809541379468</t>
  </si>
  <si>
    <t>CELIMAX DUAL BARRIER TRIAL KIT [20ml+10ml]</t>
  </si>
  <si>
    <t>Тонер пэды для лица тонизирующие Ji Woo Gae Heartleaf</t>
  </si>
  <si>
    <t>CELIMAX THE REAL NONI STARTER KIT (NEW) [30ml+10ml+10ml]</t>
  </si>
  <si>
    <t xml:space="preserve">Итого : </t>
  </si>
  <si>
    <t xml:space="preserve">Курс USD/RUB= 72,45 +10% </t>
  </si>
  <si>
    <t>Курс USDT/KRW</t>
  </si>
  <si>
    <t>Логистика+таможня USD/кг</t>
  </si>
  <si>
    <t>Бренд</t>
  </si>
  <si>
    <t>Название</t>
  </si>
  <si>
    <t>Баркод</t>
  </si>
  <si>
    <t>Примерное кол-во для заказа</t>
  </si>
  <si>
    <t xml:space="preserve">цена </t>
  </si>
  <si>
    <t xml:space="preserve">итого </t>
  </si>
  <si>
    <t>в коробе</t>
  </si>
  <si>
    <t>Объем короба</t>
  </si>
  <si>
    <t>Вес короба кг</t>
  </si>
  <si>
    <t>Коробок в заказ</t>
  </si>
  <si>
    <t>Объем</t>
  </si>
  <si>
    <t>Вес кг</t>
  </si>
  <si>
    <t>Вес 1 шт, кг</t>
  </si>
  <si>
    <t>Закупка, руб/шт</t>
  </si>
  <si>
    <t>Логистика+таможня, руб/шт</t>
  </si>
  <si>
    <t>Себестоимость, руб/шт</t>
  </si>
  <si>
    <t>Себестоимость, руб итого</t>
  </si>
  <si>
    <t>CELIMAX</t>
  </si>
  <si>
    <t>Celimax Dual Barrier Creamy Toner, тонер 150 мл</t>
  </si>
  <si>
    <t>Увлажняющий набор уходовых средств для лица</t>
  </si>
  <si>
    <t>Набор уходовых средств для лица для защиты барьера</t>
  </si>
  <si>
    <t>Пенка для умывания Noni Acne Bubble Cleanser</t>
  </si>
  <si>
    <t>Гидрофильное масло</t>
  </si>
  <si>
    <t>DEOPROCE</t>
  </si>
  <si>
    <t>DEOPROCE SHAMPOO - BLACK GARLIC INTENSME ENERGY [1000ml]</t>
  </si>
  <si>
    <t>P2-501-DEO01350A</t>
  </si>
  <si>
    <t>DEOPROCE SHAMPOO - ARGAN SILKY MOISTURE</t>
  </si>
  <si>
    <t>P2-501-DEO01352A</t>
  </si>
  <si>
    <t>Round Lab</t>
  </si>
  <si>
    <t>ROUND LAB 1025 DOKDO CLEANSER_150ml</t>
  </si>
  <si>
    <t xml:space="preserve">1025 DOKDO BUBBLE FOAM_150ml (дозатор ) </t>
  </si>
  <si>
    <t>Пенка очищающая для лица от прыщей с сосной и кислотами</t>
  </si>
  <si>
    <t>Гель для душа от прыщей с кислотами</t>
  </si>
  <si>
    <t>Крем для лица увлажняющий для проблемной кожи с сосной</t>
  </si>
  <si>
    <t>SKIN1004</t>
  </si>
  <si>
    <t>SKIN1004 Madagascar Centella Ampoule 55ml</t>
  </si>
  <si>
    <t>SKIN1004 Madagascar Centella Tone Brightening Capsule Ampoule 100ml</t>
  </si>
  <si>
    <t>SKIN1004 Madagascar Centella Soothing Cream 75ml</t>
  </si>
  <si>
    <t>ANUA</t>
  </si>
  <si>
    <t>Сыворотка с азелаиновой кислотой от покраснений и купероза</t>
  </si>
  <si>
    <t>Anua сыворотка персиковая для лица с ниацинамидом 30 мл</t>
  </si>
  <si>
    <t>Сыворотка для лица с ниацинамидом Niacinamide 10% 30 мл</t>
  </si>
  <si>
    <t>крем персиковый с ниацинамидом Peach 77 Niacin Enriched Cream 50 мл</t>
  </si>
  <si>
    <t>Крем с ПДРН и гиалуроновой кислотой</t>
  </si>
  <si>
    <t>MEDICUBE</t>
  </si>
  <si>
    <t>Сыворотка-лифтинг с ПДРН и пептидами Medicube, 30 мл</t>
  </si>
  <si>
    <t>Сыворотка для лица от морщин с микроиглами 7500 и пдрн</t>
  </si>
  <si>
    <t>Сыворотка для лица от морщин с микроиглами 2000 и пдрн</t>
  </si>
  <si>
    <t>Тоник для лица увлажняющий от прыщей Корея</t>
  </si>
  <si>
    <t>Отбеливающий крем для лица от пигментации Корея</t>
  </si>
  <si>
    <t>Крем для лица с коллагеном желе Medicube, 50 мл</t>
  </si>
  <si>
    <t>VT REEDLE SHOT LIFTING EYE CREAM,15 мл</t>
  </si>
  <si>
    <t>Интенсивная антивозрастная сыворотка для лица PDRN 4%, 30 мл</t>
  </si>
  <si>
    <t>Осветляющий Крем от пигментации с Транексамовой Кислотой</t>
  </si>
  <si>
    <t>Крем для лица укрепляющий с ретиналем 300ppm</t>
  </si>
  <si>
    <t>Сыворотка для лица осветляющая от пигментации</t>
  </si>
  <si>
    <t>Сыворотка с Ниацинамидом для лица от прыщей Niacinamide</t>
  </si>
  <si>
    <t>Антивозрастная сыворотка-стик для лица с волюфилином</t>
  </si>
  <si>
    <t>Крем для лица c Бакучиолом и Микроиглами от морщин</t>
  </si>
  <si>
    <t>Увлажняющий тонер-эссенция для лица с аденозином 7500 ppm</t>
  </si>
  <si>
    <t>Сыворотка с пептидами Матриксил 15% от морщин</t>
  </si>
  <si>
    <t>ENOUGH</t>
  </si>
  <si>
    <t>ENOUGH - Premium Ultra X10 Cover Up Collagen Foundation [Tone 13]</t>
  </si>
  <si>
    <t>ENOUGH - Premium Ultra X10 Cover Up Collagen Foundation [Tone 21]</t>
  </si>
  <si>
    <t>ENOUGH - Premium Rich Gold Double Wear Radiance Foundation [Tone 13]</t>
  </si>
  <si>
    <t>ENOUGH - Premium Rich Gold Double Wear Radiance Foundation [Tone 21]</t>
  </si>
  <si>
    <t>ENOUGH - Gold Snail Moisture Foundation [Tone 13]</t>
  </si>
  <si>
    <t>ENOUGH - Gold Snail Moisture Foundation [Tone 21]</t>
  </si>
  <si>
    <t>I'm Sorry for My</t>
  </si>
  <si>
    <t>m Sorry for My Skin Age Крем Capture Firming Enriched</t>
  </si>
  <si>
    <t>I'm Sorry For My Skin Age Capture Hydrating</t>
  </si>
  <si>
    <t>I'm Sorry for My Skin Крем Age Capture Skin Relief</t>
  </si>
  <si>
    <t>I'm Sorry for My Skin Крем Age Capture Vitalizer</t>
  </si>
  <si>
    <t>Manyo</t>
  </si>
  <si>
    <t>BIFIDA BIOME AMPOULE TONER 210 мл</t>
  </si>
  <si>
    <t>Итого:</t>
  </si>
  <si>
    <t>Пенка для умывания</t>
  </si>
  <si>
    <t>VT REEDLE SHOT LIFTING EYE CREAM</t>
  </si>
  <si>
    <t>Ссылка/артикул</t>
  </si>
  <si>
    <t>Баркод из прайса</t>
  </si>
  <si>
    <t>Расч. выручка топ карточки, руб/мес</t>
  </si>
  <si>
    <t>Расч. заказы топ карточки, шт/мес</t>
  </si>
  <si>
    <t>ROI без ДРР, %</t>
  </si>
  <si>
    <t>Маржа/шт без ДРР, руб.</t>
  </si>
  <si>
    <t>Цена с СПП топ карточки, ₽</t>
  </si>
  <si>
    <t>Себестоимость, ₽</t>
  </si>
  <si>
    <t>ROI при ДРР 10%, %</t>
  </si>
  <si>
    <t>Цена конкурентов  до СПП</t>
  </si>
  <si>
    <t>Медианная цена</t>
  </si>
  <si>
    <t>Заказы конкурентов</t>
  </si>
  <si>
    <t>Закупка на 4 месяца</t>
  </si>
  <si>
    <t>рой от медианной цены с ДРР 10%</t>
  </si>
  <si>
    <t>Крем для век и кожи вокруг глаз с микроиглами Reedle Shot</t>
  </si>
  <si>
    <t>1890 - 4208 ₽</t>
  </si>
  <si>
    <t>2442 ₽</t>
  </si>
  <si>
    <t>76,3 - 2033,7 шт/мес</t>
  </si>
  <si>
    <t>уже закуплен</t>
  </si>
  <si>
    <t>Сыворотка PDRN 100 VT REEDLE</t>
  </si>
  <si>
    <t>4444 - 6267 ₽</t>
  </si>
  <si>
    <t>5059 ₽</t>
  </si>
  <si>
    <t>56,0 - 775,0 шт/мес</t>
  </si>
  <si>
    <t>Крем VT PDRN REEDLE SHOT EYE LIFTER</t>
  </si>
  <si>
    <t>2030 - 4368 ₽</t>
  </si>
  <si>
    <t>3685 ₽</t>
  </si>
  <si>
    <t>8,0 - 324,0 шт/мес</t>
  </si>
  <si>
    <t>Сыворотка VT REEDLE SHOT 300</t>
  </si>
  <si>
    <t>1420 - 5531 ₽</t>
  </si>
  <si>
    <t>3394 ₽</t>
  </si>
  <si>
    <t>8,3 - 275,7 шт/мес</t>
  </si>
  <si>
    <t>1650 - 2272 ₽</t>
  </si>
  <si>
    <t>2125 ₽</t>
  </si>
  <si>
    <t>37,7 - 301,0 шт/мес</t>
  </si>
  <si>
    <t>1901 - 2890 ₽</t>
  </si>
  <si>
    <t>2287 ₽</t>
  </si>
  <si>
    <t>14,7 - 964,0 шт/мес</t>
  </si>
  <si>
    <t>1541 - 2993 ₽</t>
  </si>
  <si>
    <t>1519 ₽</t>
  </si>
  <si>
    <t>3,7 - 916,0 шт/мес</t>
  </si>
  <si>
    <t>1483 - 2056 ₽</t>
  </si>
  <si>
    <t>1579 ₽</t>
  </si>
  <si>
    <t>57,0 - 794,3 шт/мес</t>
  </si>
  <si>
    <t>1300 - 1749 ₽</t>
  </si>
  <si>
    <t>1388 ₽</t>
  </si>
  <si>
    <t>59,7 - 756,3 шт/мес</t>
  </si>
  <si>
    <t>930 - 1020 ₽</t>
  </si>
  <si>
    <t>969 ₽</t>
  </si>
  <si>
    <t>232,3 - 4629,3 шт/мес</t>
  </si>
  <si>
    <t>1603 - 2585 ₽</t>
  </si>
  <si>
    <t>2032 ₽</t>
  </si>
  <si>
    <t>121,0 - 682,0 шт/мес</t>
  </si>
  <si>
    <t>1623 - 2349 ₽</t>
  </si>
  <si>
    <t>1520 ₽</t>
  </si>
  <si>
    <t>5,0 - 489,7 шт/мес</t>
  </si>
  <si>
    <t>1530 - 1963 ₽</t>
  </si>
  <si>
    <t>1493 ₽</t>
  </si>
  <si>
    <t>11,3 - 338,7 шт/мес</t>
  </si>
  <si>
    <t>2369 - 3588 ₽</t>
  </si>
  <si>
    <t>2836 ₽</t>
  </si>
  <si>
    <t>26,3 - 246,0 шт/мес</t>
  </si>
  <si>
    <t>Увлажняющий тонер для лица с морской водой</t>
  </si>
  <si>
    <t>1061 - 2172 ₽</t>
  </si>
  <si>
    <t>1710 ₽</t>
  </si>
  <si>
    <t>17 - 584 шт/мес</t>
  </si>
  <si>
    <t>1666 - 2113 ₽</t>
  </si>
  <si>
    <t>1890 ₽</t>
  </si>
  <si>
    <t>120 - 354 шт/мес</t>
  </si>
  <si>
    <t>1398 - 2803 ₽</t>
  </si>
  <si>
    <t>2602 ₽</t>
  </si>
  <si>
    <t>0,3 - 248 шт/мес</t>
  </si>
  <si>
    <t>Сыворотка для лица от прыщей с сосной</t>
  </si>
  <si>
    <t>1400 - 2630 ₽</t>
  </si>
  <si>
    <t>1760 ₽</t>
  </si>
  <si>
    <t>41 - 240,7 шт/мес</t>
  </si>
  <si>
    <t>1596 - 3209 ₽</t>
  </si>
  <si>
    <t>2522 ₽</t>
  </si>
  <si>
    <t>17,7 - 248 шт/мес</t>
  </si>
  <si>
    <t>AXIS-Y</t>
  </si>
  <si>
    <t>Сыворотка осветляющая против пигментных пятен</t>
  </si>
  <si>
    <t>Сыворотка для лица от темных кругов под глазами с коллагеном</t>
  </si>
  <si>
    <t>Осветляющая сыворотка для лица и для век набор Корея</t>
  </si>
  <si>
    <t>Осветляющий тонер Dark Spot Correcting Glow Toner</t>
  </si>
  <si>
    <t>Глиняная маска axis y очищает и сужает поры с полынью</t>
  </si>
  <si>
    <t>Крем для лица с транексамовой кислотой, TXA 2.5%</t>
  </si>
  <si>
    <t>Набор Тонер Сыворотка Гель-крем для лица The Mini Glow Trio</t>
  </si>
  <si>
    <t>осветляющий крем для лица</t>
  </si>
  <si>
    <t>Набор масок для лица глиняная и гелевая для проблемной кожи</t>
  </si>
  <si>
    <t>Пенка для умывания для лица увлажняющая</t>
  </si>
  <si>
    <t>Сыворотка для лица с каламином для сужения пор 50 мл</t>
  </si>
  <si>
    <t>Набор Сывороток Гель Тоник The Mini Glow Set</t>
  </si>
  <si>
    <t>Успокаивающая маска для лица гелевая с хауттюйнией 100 мл</t>
  </si>
  <si>
    <t>Глиняная маска для лица очищающая с полынью 50 мл</t>
  </si>
  <si>
    <t>Сыворотка axis y увлажняющая с артишоками корея</t>
  </si>
  <si>
    <t>Тонер axis y отшелушивающий тоник успокаивающий</t>
  </si>
  <si>
    <t>Крем для лица успокаивающий с пантенолом и центеллой</t>
  </si>
  <si>
    <t>Успокаивающий крем-гель для лица с хауттюйнией</t>
  </si>
  <si>
    <t>Блеск для губ увлажняющий Vita Glow Lip Oil Chilled Berry</t>
  </si>
  <si>
    <t>Крем для лица увлажняющий для сужения пор двойной Duo Cream</t>
  </si>
  <si>
    <t>Пилинг гель кислотный скатка Корея Axis y</t>
  </si>
  <si>
    <t>Крем для лица увлажняющий для сужения пор 50 мл</t>
  </si>
  <si>
    <t>Солнцезащитный крем для лица СПФ 50+</t>
  </si>
  <si>
    <t>Тоник для проблемной кожи с центеллой 80 мл</t>
  </si>
  <si>
    <t>Блеск для губ Vita Glow Lip Oil Cozy Fig</t>
  </si>
  <si>
    <t>Барьерный тонер восстанавливающий Axis y</t>
  </si>
  <si>
    <t>Успокаивающая маска для лица гелевая с хауттюйнией 50 мл</t>
  </si>
  <si>
    <t>Сыворотка ампульная для лица с бакучиолом 5% и кофеином 1%</t>
  </si>
  <si>
    <t>Крем интенсивный увлажняющий с церамидами 1% и пантенолом 7%</t>
  </si>
  <si>
    <t>Интенсивный увлажняющий крем для лица Аквапорин, 70 мл</t>
  </si>
  <si>
    <t>Увлажняющий тонер-эссенция для лица с экстрактом центеллы</t>
  </si>
  <si>
    <t>Антивозрастной крем для лица с бакучиолом от морщин, 30 мл</t>
  </si>
  <si>
    <t>Крем для лица увлажняющий с экстрактом центеллы 53.2%</t>
  </si>
  <si>
    <t>Сыворотка для лица с ниацинамидом и транексамовой кислотой</t>
  </si>
  <si>
    <t>Увлажняющий питательный тонер для лица с экстрактом комбучи</t>
  </si>
  <si>
    <t>Сыворотка-порошок ниацинамид для лица, 7 г</t>
  </si>
  <si>
    <t>Осветляющий крем для лица с ниацинамидом и каламином, 30 мл</t>
  </si>
  <si>
    <t>Увлажняющий крем для восстановления барьера</t>
  </si>
  <si>
    <t>Сыворотка-мист для лица Collagen Serum Mist, 80 мл</t>
  </si>
  <si>
    <t>Сыворотка для ресниц Peptide Eyelash Ampoule, 8,5 мл</t>
  </si>
  <si>
    <t>Антивозрастная сыворотка с ретиналем и центеллой от морщин</t>
  </si>
  <si>
    <t>Отбеливающий крем от пигментных пятен на лице осветляющий</t>
  </si>
  <si>
    <t>Солнцезащитный крем для лица осветляющий SPF 50+, 30 мл</t>
  </si>
  <si>
    <t>Увлажняющая сыворотка для лица</t>
  </si>
  <si>
    <t>Коллаген сыворотка для лица от морщин, 5 г</t>
  </si>
  <si>
    <t>Осветляющий крем-дезодорант для тела с ниацинамидом, 50 гр</t>
  </si>
  <si>
    <t>Крем для лица и кожи вокруг глаз с пептидами</t>
  </si>
  <si>
    <t>Кушон солнцезащитный SPF 50 Inorganic Mild Sun Cusion</t>
  </si>
  <si>
    <t>Косметический порошок-концентрат Vita-C 80 Powder, 4.5 г</t>
  </si>
  <si>
    <t>Крем для лица увлажняющий солнцезащитный с уф защитой spf 50</t>
  </si>
  <si>
    <t>Солнцезащитный крем Spf 40 с центеллой Cica 66% Sun 30ml</t>
  </si>
  <si>
    <t>Тонер для очищения пор Daily Pore Toner, 150 мл</t>
  </si>
  <si>
    <t>Пенка для умывания лица для очищения пор</t>
  </si>
  <si>
    <t>Солнцезащитный крем для лица спф 50 Корея</t>
  </si>
  <si>
    <t>Солнцезащитный стик для лица 50 спф с березой</t>
  </si>
  <si>
    <t>Солнцезащитный крем для лица 50 спф тональный</t>
  </si>
  <si>
    <t>Солнцезащитная сыворотка для лица спф 50 с коллагеном</t>
  </si>
  <si>
    <t>Мицеллярная вода для снятия макияжа с морской водой</t>
  </si>
  <si>
    <t>Солнцезащитный крем для лица 50 спф на физических фильтрах</t>
  </si>
  <si>
    <t>Крем для рук увлажняющий для сухой кожи с берёзовым соком</t>
  </si>
  <si>
    <t>Лосьон для лица мужской с березовым соком</t>
  </si>
  <si>
    <t>Увлажняющий капсульный крем с ПДРН PDRN Capsule Cream 100</t>
  </si>
  <si>
    <t>Стик - бальзам для лица против морщин с пептидами и ПДРН</t>
  </si>
  <si>
    <t>Набор уходовой косметики VT Spring box cпикулы 100 и pdrn</t>
  </si>
  <si>
    <t>Омолаживающая сыворотка R5 FIRMING AMPOULE</t>
  </si>
  <si>
    <t>Мист для лица с эффектом glass skin с PDRN Корея, 100 мл</t>
  </si>
  <si>
    <t>Сыворотка для лица с микроиглами для сужения пор</t>
  </si>
  <si>
    <t>Крем для лица с ретинолом и центеллой Reti-A Cream 0.05</t>
  </si>
  <si>
    <t>Сыворотки для лица, набор 45 шт, с микроиглами от морщин Кор…</t>
  </si>
  <si>
    <t>VT Эссенция для лица Cica Reti-A Essence 0.5, 30 мл</t>
  </si>
  <si>
    <t>Пузырьковая сыворотка с ретинолом Retinol Collagen Pink Micr…</t>
  </si>
  <si>
    <t>Ночная маска-плёнка для увлажнения и сияния кожи с ПДРН PDRN…</t>
  </si>
  <si>
    <t>Крем для век массажный с коллагеном Cica Collagen Eye Cream</t>
  </si>
  <si>
    <t>Крем для век и кожи вокруг глаз с микроиглами и витамином B3</t>
  </si>
  <si>
    <t>Крем для лица локальный с микроиглами и чесноком, 15 мл</t>
  </si>
  <si>
    <t>Сыворотка со спикулами и центеллой, Pro Cica Reedle Shot 100</t>
  </si>
  <si>
    <t>Бустер сыворотка для лица с микроиглами и коллагеном 50 мл</t>
  </si>
  <si>
    <t>Сыворотка с микроиглами для лица Корея Reedle Shot 100</t>
  </si>
  <si>
    <t>Бустер сыворотка с микроиглами и антиоксидантами 50 мл</t>
  </si>
  <si>
    <t>VT Сыворотка для лица Reedle Shot 50, 30 мл</t>
  </si>
  <si>
    <t>Крем для лица увлажняющий с коллагеном Cica Collagen Cream</t>
  </si>
  <si>
    <t>Ампула сыворотка от воспалений с азелаиновой кислотой 30 мл</t>
  </si>
  <si>
    <t>Гидрофильный бальзам с ПДРН PDRN Grinding Cleansing Balm</t>
  </si>
  <si>
    <t>Пузырьковая сыворотка с ПДРН PDRN Hyaluronic Mint Micro Bubb…</t>
  </si>
  <si>
    <t>VT Сыворотка для лица Reedle Shot 100, 30 мл</t>
  </si>
  <si>
    <t>Набор тканевых масок с ретинолом для сужения пор 30 шт</t>
  </si>
  <si>
    <t>Сыворотка с микроиглами Reedle Shot 50, Корея</t>
  </si>
  <si>
    <t>Сыворотка с микроиглами и смолой драконового дерева 300</t>
  </si>
  <si>
    <t>Сыворотка для лица с микроиглами 100 и витамином С</t>
  </si>
  <si>
    <t>Артикул WB</t>
  </si>
  <si>
    <t>Выручка/мес Маркет гуру</t>
  </si>
  <si>
    <t>Заказы/мес МГ</t>
  </si>
  <si>
    <t>МПСТАТ выручка</t>
  </si>
  <si>
    <t>Цена с СПП, ₽</t>
  </si>
  <si>
    <t>Тонер-пэды для лица успокаивающие The Real Noni Calming Glow</t>
  </si>
  <si>
    <t>186 000</t>
  </si>
  <si>
    <t>Успокаивающий крем для лица с центеллой The Real Cica, 50 мл</t>
  </si>
  <si>
    <t>369 320</t>
  </si>
  <si>
    <t>Успокаивающая сыворотка с ниацинамидом и центеллой The Real</t>
  </si>
  <si>
    <t>409 287</t>
  </si>
  <si>
    <t>Крем для лица восстанавливающий с экстрактом нони Real Noni</t>
  </si>
  <si>
    <t>244 639</t>
  </si>
  <si>
    <t>Себорегулирующий крем для жирной кожи лица Oil Control Moist</t>
  </si>
  <si>
    <t>188 620</t>
  </si>
  <si>
    <t>Осветляющий набор миниатюр Pore+Dark Spot</t>
  </si>
  <si>
    <t>Осветляющие пэды для тела Ji Woo Gae One Step Body Brightening</t>
  </si>
  <si>
    <t>Очищающая пенка для умывания проблемной кожи с центеллой</t>
  </si>
  <si>
    <t>Эссенция для контроля себума и сужения пор Oil Control Capsule</t>
  </si>
  <si>
    <t>Очищающие тонер-пэды для снятия макияжа Ji Woo Gae One Step</t>
  </si>
  <si>
    <t>Кремовый гель-пенка для умывания с керамидами Dual Barrier</t>
  </si>
  <si>
    <t>Маска глиняная очищающая для лица The Real Noni Refresh Clay</t>
  </si>
  <si>
    <t>Осветляющий крем для лица с глутатионом Derma Nature</t>
  </si>
  <si>
    <t>Балансирующая пенка для умывания Derma Nature Relief Madecica</t>
  </si>
  <si>
    <t>Тонер-пэды Pore+Dark Spot Brightening мини-формат</t>
  </si>
  <si>
    <t>Крем для лица увлажняющий для упругости кожи с камелией</t>
  </si>
  <si>
    <t>246 972</t>
  </si>
  <si>
    <t>839 456</t>
  </si>
  <si>
    <t>Тонер пэды диски для лица от прыщей 50 шт</t>
  </si>
  <si>
    <t>161 749</t>
  </si>
  <si>
    <t>Сыворотка для лица увлажняющая от морщин с соей</t>
  </si>
  <si>
    <t>131 708</t>
  </si>
  <si>
    <t>Набор саше миниатюр для лица 12 шт</t>
  </si>
  <si>
    <t>161 001</t>
  </si>
  <si>
    <t>Набор миниатюр для лица с коллагеном и морской водой 4 шт</t>
  </si>
  <si>
    <t>Набор уходовых средств с экстрактом сосны и центеллы Корея</t>
  </si>
  <si>
    <t>Крем для лица увлажняющий с церамидами</t>
  </si>
  <si>
    <t>Гель для умывания лица с коллагеном и камелией</t>
  </si>
  <si>
    <t>Крем для лица увлажняющий капсульный Корея 55 г</t>
  </si>
  <si>
    <t>283 713</t>
  </si>
  <si>
    <t>Осветляющая сыворотка для лица с ниацинамидом Корея 30 мл</t>
  </si>
  <si>
    <t>271 981</t>
  </si>
  <si>
    <t>Крем для лица увлажняющий с PDRN и пептидами Корея 50 мл</t>
  </si>
  <si>
    <t>372 001</t>
  </si>
  <si>
    <t>Товар</t>
  </si>
  <si>
    <t>Артикул</t>
  </si>
  <si>
    <t>Предмет</t>
  </si>
  <si>
    <t>Позиция</t>
  </si>
  <si>
    <t>Приоритетный склад</t>
  </si>
  <si>
    <t>Время доставки</t>
  </si>
  <si>
    <t>Рейтинг</t>
  </si>
  <si>
    <t>Оценки</t>
  </si>
  <si>
    <t>Цена (с СПП)</t>
  </si>
  <si>
    <t>Скидка WB клуба</t>
  </si>
  <si>
    <t>Расч. выручка
по заказам (с СПП)</t>
  </si>
  <si>
    <t>Упущенная выручка</t>
  </si>
  <si>
    <t>Наличие</t>
  </si>
  <si>
    <t>Расч. заказы</t>
  </si>
  <si>
    <t>Возраст товара</t>
  </si>
  <si>
    <t>Кол-во полок в ТОП-10</t>
  </si>
  <si>
    <t>Кол-во полок в ТОП-100</t>
  </si>
  <si>
    <t>Продавец</t>
  </si>
  <si>
    <t>Акция</t>
  </si>
  <si>
    <t>Крем гель для лица увлажняющий для жирной кожи без масел</t>
  </si>
  <si>
    <t>Кремы</t>
  </si>
  <si>
    <t>Владимир WB</t>
  </si>
  <si>
    <t>43+</t>
  </si>
  <si>
    <t>Celimax</t>
  </si>
  <si>
    <t>Cream.Shop</t>
  </si>
  <si>
    <t>РАСПРОДАЖА</t>
  </si>
  <si>
    <t>Увлажняющий солнцезащитный крем для лица спф 50+</t>
  </si>
  <si>
    <t>Коледино WB</t>
  </si>
  <si>
    <t>round lab</t>
  </si>
  <si>
    <t>TENDERNESS</t>
  </si>
  <si>
    <t>Дорожный набор уходовой косметики для лица с сосной 4 шт</t>
  </si>
  <si>
    <t>Косметические наборы для ухода</t>
  </si>
  <si>
    <t>Котовск WB</t>
  </si>
  <si>
    <t>Осветляющий крем для лица от пигментации</t>
  </si>
  <si>
    <t>Кремовый тонер для лица увлажняющий миниатюра</t>
  </si>
  <si>
    <t>Тоники</t>
  </si>
  <si>
    <t>Кремовый тонер для лица увлажняющий 150 мл</t>
  </si>
  <si>
    <t>Солнцезащитный крем для лица спф 50 для жирной кожи</t>
  </si>
  <si>
    <t>Воронеж WB</t>
  </si>
  <si>
    <t>41+</t>
  </si>
  <si>
    <t>Крем для лица питательный увлажняющий с церамидами</t>
  </si>
  <si>
    <t>Сыворотка для лица с ретинолом и микроиглами Корея</t>
  </si>
  <si>
    <t>Сыворотки</t>
  </si>
  <si>
    <t>38+</t>
  </si>
  <si>
    <t>Крем для лица с ПДРН PDRN, пептидами, антивозрастной Корея</t>
  </si>
  <si>
    <t>склад продавца СК Шушары</t>
  </si>
  <si>
    <t>Подарочный набор для тела скраб и крем "Вишнёвый побег"</t>
  </si>
  <si>
    <t>Электросталь WB</t>
  </si>
  <si>
    <t>Organic shop</t>
  </si>
  <si>
    <t>НАТУРА СИБЕРИКА</t>
  </si>
  <si>
    <t>Крем для лица с ретинолом и микроиглами</t>
  </si>
  <si>
    <t>Тонер пэды для лица, 40 шт, от пигментации осветляющие</t>
  </si>
  <si>
    <t>Пэды косметические</t>
  </si>
  <si>
    <t>Увлажняющий крем для лица облегченная версия миниатюра</t>
  </si>
  <si>
    <t>Real Barrier</t>
  </si>
  <si>
    <t>Сыворотка для лица с микроиглами и коллагеном</t>
  </si>
  <si>
    <t>Пенка для умывания лица, очищение пор с морской водой</t>
  </si>
  <si>
    <t>Пенки</t>
  </si>
  <si>
    <t>Подарочный набор миниатюр для лица с морской водой 4 шт</t>
  </si>
  <si>
    <t>Крем гель для лица увлажняющий от воспалений</t>
  </si>
  <si>
    <t>Гели</t>
  </si>
  <si>
    <t>Крем стик для кожи вокруг глаз от отёков</t>
  </si>
  <si>
    <t>Склад СПБ Шушары Московское</t>
  </si>
  <si>
    <t>Микротоковый аппарат для лица от морщин</t>
  </si>
  <si>
    <t>Массажеры косметические</t>
  </si>
  <si>
    <t>Крем для лица обновляющий с ПДРН PDRN, для увлажнения и сиян…</t>
  </si>
  <si>
    <t>Крем для лица капсульный осветляющий с витамином С</t>
  </si>
  <si>
    <t>Набор косметики уходовой, миниатюры, Корея</t>
  </si>
  <si>
    <t>Крем воск от трещин для сухой кожи</t>
  </si>
  <si>
    <t>Без названия</t>
  </si>
  <si>
    <t>LIVSI SHOP</t>
  </si>
  <si>
    <t>Рязанская обл. WB</t>
  </si>
  <si>
    <t>Крем для век и глаз с микроиглами и микротоками Корея</t>
  </si>
  <si>
    <t>Тонер для лица увлажняющий с морской водой</t>
  </si>
  <si>
    <t>Солнцезащитный SPF крем против пигментации, 50 мл</t>
  </si>
  <si>
    <t>Гель для умывания с церамидами увлажняющий</t>
  </si>
  <si>
    <t>Невинномысск WB</t>
  </si>
  <si>
    <t>Крем для лица, миниатюра 10 мл, увлажняющий с ПДРН PDRN</t>
  </si>
  <si>
    <t>Крем с витаминами увлажняющий</t>
  </si>
  <si>
    <t>BestKorea shop</t>
  </si>
  <si>
    <t>—</t>
  </si>
  <si>
    <t>Сыворотка для лица с ниацинамидом 5% для сужения пор</t>
  </si>
  <si>
    <t>Крем для лица 345 увлажняющий с ПДРН и ресвератролом</t>
  </si>
  <si>
    <t>Dr.Althea</t>
  </si>
  <si>
    <t>Уходовый набор кремов для лица</t>
  </si>
  <si>
    <t>Свердловская обл. WB</t>
  </si>
  <si>
    <t>Крем для ног от трещин и сухости с маслом ши</t>
  </si>
  <si>
    <t>Sungboon Editor</t>
  </si>
  <si>
    <t>Осветляющий крем для лица dark spot correcting glow cream</t>
  </si>
  <si>
    <t>JM 14</t>
  </si>
  <si>
    <t>Сыворотка для лица от прыщей с азелаиновой кислотой 10%</t>
  </si>
  <si>
    <t>Anua</t>
  </si>
  <si>
    <t>Тоник для роста волос от выпадения с сосной</t>
  </si>
  <si>
    <t>Увлажняющая сыворотка для лица с чёрной соей и пантенолом</t>
  </si>
  <si>
    <t>Крем для век от морщин с пептидами и золотом Корея</t>
  </si>
  <si>
    <t>Солнцезащитный матирующий стик для лица спф 50+</t>
  </si>
  <si>
    <t>Крем для лица питательный с бакучиолом, 30мл</t>
  </si>
  <si>
    <t>Бальзамы</t>
  </si>
  <si>
    <t>MAP Shop</t>
  </si>
  <si>
    <t>Крем для век и глаз с микроиглами, микротоками и ПДРН PDRN К…</t>
  </si>
  <si>
    <t>Сыворотка для лица с нони увлажняющая пробник мини формат</t>
  </si>
  <si>
    <t>Сыворотка мист для лица 2 в 1 с коллагеном 80% и ПДРН PDRN</t>
  </si>
  <si>
    <t>Очищающая пенка для лица с морской водой 150 мл</t>
  </si>
  <si>
    <t>Краснодар WB</t>
  </si>
  <si>
    <t>Тонер пэды для лица, 10 шт, от пигментации осветляющие</t>
  </si>
  <si>
    <t>Сыворотка для лица от пигментации c витамином С</t>
  </si>
  <si>
    <t>Крем для лица, миниатюра, увлажняющий с ПДРН</t>
  </si>
  <si>
    <t>Увлажняющий крем для лица миниатюра от морщин с коллагеном</t>
  </si>
  <si>
    <t>Восстанавливающий крем для лица миниатюра с черной соей</t>
  </si>
  <si>
    <t>Солнцезащитный крем стик для лица</t>
  </si>
  <si>
    <t>Солнцезащитный крем для лица с ретинолом</t>
  </si>
  <si>
    <t>APLB</t>
  </si>
  <si>
    <t>Тканевая маска для лица, Корея, от прыщей, успокаивающая</t>
  </si>
  <si>
    <t>Маски тканевые косметические</t>
  </si>
  <si>
    <t>APRILSKIN</t>
  </si>
  <si>
    <t>Тонер пэды диски для лица с кислотами миниатюра 10 шт</t>
  </si>
  <si>
    <t>Крем для глаз с пептидами и эффектом лифтинга - Lifting pept…</t>
  </si>
  <si>
    <t>Centellian24</t>
  </si>
  <si>
    <t>Meow Shop</t>
  </si>
  <si>
    <t>Барьерный крем с комплексом церамидов</t>
  </si>
  <si>
    <t>MD Shop</t>
  </si>
  <si>
    <t>Скраб для лица и тела Кокос и кофе, 500 мл</t>
  </si>
  <si>
    <t>Скрабы</t>
  </si>
  <si>
    <t>Алексин WB</t>
  </si>
  <si>
    <t>Healthy Shop</t>
  </si>
  <si>
    <t>Счастье</t>
  </si>
  <si>
    <t>Антивозрастной крем-лифтинг для лица, 50 мл</t>
  </si>
  <si>
    <t>склад продавца Обухово</t>
  </si>
  <si>
    <t>Крем сыворотка для лица 2 шт набор</t>
  </si>
  <si>
    <t>Beauty industry Shop</t>
  </si>
  <si>
    <t>Гидрофильный бальзам для снятия макияжа</t>
  </si>
  <si>
    <t>Гидрофильные масла</t>
  </si>
  <si>
    <t>AROCELL</t>
  </si>
  <si>
    <t>Солнцезащитный крем кушон для лица спф 50</t>
  </si>
  <si>
    <t>Скраб для лица и тела клубника, 500 мл</t>
  </si>
  <si>
    <t>Крем для лица осветляющий</t>
  </si>
  <si>
    <t>Cosmetical miracle</t>
  </si>
  <si>
    <t>Полоски для носа от черных точек с сосной и кислотами 5 шт</t>
  </si>
  <si>
    <t>Очищающие полоски</t>
  </si>
  <si>
    <t>Сыворотка для лица с витамином С миниатюра 10 мл</t>
  </si>
  <si>
    <t>Сыворотка для лица с пдрн и пептидами омолаживающая</t>
  </si>
  <si>
    <t>Виртуальный Москва Видное WB</t>
  </si>
  <si>
    <t>Гидрофильное масло для снятия макияжа с черной соей</t>
  </si>
  <si>
    <t>Парфюмерная вода женская и мужская стойкая “Крем-карамель” 1…</t>
  </si>
  <si>
    <t>Туалетная вода</t>
  </si>
  <si>
    <t>37+</t>
  </si>
  <si>
    <t>Библиотека ароматов</t>
  </si>
  <si>
    <t>Biblioteka shop</t>
  </si>
  <si>
    <t>Крем для лица увлажняющий с нони пробник, мини формат</t>
  </si>
  <si>
    <t>Увлажняющий крем для лица с защитным барьером 80 мл</t>
  </si>
  <si>
    <t>склад продавца Коледино</t>
  </si>
  <si>
    <t>исаб</t>
  </si>
  <si>
    <t>ЛЮМЕРА ШОП- вдохновляйся каждый день!</t>
  </si>
  <si>
    <t>Крем для лица увлажняющий питательный с нони Корея</t>
  </si>
  <si>
    <t>Арабские масляные духи Cream Caramel Карамель 6 мл</t>
  </si>
  <si>
    <t>Пробники парфюмерные</t>
  </si>
  <si>
    <t>ДУХИ МАСЛЯНЫЕ</t>
  </si>
  <si>
    <t>Datka shop</t>
  </si>
  <si>
    <t>Крем для лица с витамином С осветляющий</t>
  </si>
  <si>
    <t>Маски для лица гидрогелевые, набор 4 шт, с пептидами, Корея</t>
  </si>
  <si>
    <t>Маски гидрогелевые</t>
  </si>
  <si>
    <t>Самарская обл. WB</t>
  </si>
  <si>
    <t>Увлажняющий крем для тела с мочевиной парфюмированный</t>
  </si>
  <si>
    <t>Body Sisters</t>
  </si>
  <si>
    <t>Shop GLORIA</t>
  </si>
  <si>
    <t>Масляные духи Cream Caramel Карамель 6 мл</t>
  </si>
  <si>
    <t>Духи масляные стойкие</t>
  </si>
  <si>
    <t>BAKAI SHOP</t>
  </si>
  <si>
    <t>Крем для Лица увлажняющий, отбеливающий Молочный 115г</t>
  </si>
  <si>
    <t>Склад продавца СЦ Софьино</t>
  </si>
  <si>
    <t>Matin shop</t>
  </si>
  <si>
    <t>MATIN</t>
  </si>
  <si>
    <t>Набор кремов для рук 5шт увлажняющий питательный</t>
  </si>
  <si>
    <t>Наборы декоративной косметики</t>
  </si>
  <si>
    <t>THE SHOP</t>
  </si>
  <si>
    <t>Тонер мист спрей для лица кремовый 345 с рисом 2 в 1</t>
  </si>
  <si>
    <t>Крем для лица увлажняющий с берёзовым соком</t>
  </si>
  <si>
    <t>Крем для лица увлажняющий лёгкий с ПДРН и бамбуковой водой</t>
  </si>
  <si>
    <t>Восстанавливающий увлажняющий крем для лица</t>
  </si>
  <si>
    <t>Абухан</t>
  </si>
  <si>
    <t>Крем для лица увлажняющий восстанавливающий с ресвератролом</t>
  </si>
  <si>
    <t>Dr Althea</t>
  </si>
  <si>
    <t>Bora23</t>
  </si>
  <si>
    <t>id бренда</t>
  </si>
  <si>
    <t>% Выкупа</t>
  </si>
  <si>
    <t>Товаров (Среднее)</t>
  </si>
  <si>
    <t>Товаров с заказами (Среднее)</t>
  </si>
  <si>
    <t>Товаров с заказами (По датам)</t>
  </si>
  <si>
    <t>Товаров (Среднее) → Товаров с заказами (Среднее)</t>
  </si>
  <si>
    <t>Категорий (Среднее)</t>
  </si>
  <si>
    <t>Категорий с заказами (Среднее)</t>
  </si>
  <si>
    <t>Категорий (Среднее) → Категорий с заказами (Среднее)</t>
  </si>
  <si>
    <t>Предметов (Среднее)</t>
  </si>
  <si>
    <t>Предметов с заказами (Среднее)</t>
  </si>
  <si>
    <t>Предметов (Среднее) → Предметов с заказами (Среднее)</t>
  </si>
  <si>
    <t>Заказов</t>
  </si>
  <si>
    <t>Заказов (Динамика)</t>
  </si>
  <si>
    <t>Заказов (Среднее)</t>
  </si>
  <si>
    <t>Заказов (Упущено)</t>
  </si>
  <si>
    <t>Заказов (По датам)</t>
  </si>
  <si>
    <t>Сумма заказов</t>
  </si>
  <si>
    <t>Сумма заказов (Динамика)</t>
  </si>
  <si>
    <t>Сумма заказов (Средняя)</t>
  </si>
  <si>
    <t>Сумма заказов (Упущено)</t>
  </si>
  <si>
    <t>Сумма заказов (По датам)</t>
  </si>
  <si>
    <t>Оборачиваемость</t>
  </si>
  <si>
    <t>Остатков</t>
  </si>
  <si>
    <t>Сумма остатков</t>
  </si>
  <si>
    <t>Складов (Среднее)</t>
  </si>
  <si>
    <t>Складов с заказами (Среднее)</t>
  </si>
  <si>
    <t>Складов (Среднее) → Складов с заказами (Среднее)</t>
  </si>
  <si>
    <t>Чек (Средний)</t>
  </si>
  <si>
    <t>Отзывов (Среднее)</t>
  </si>
  <si>
    <t>Фото (Среднее)</t>
  </si>
  <si>
    <t>Рейтинг (Средний)</t>
  </si>
  <si>
    <t>Размеров (Среднее)</t>
  </si>
  <si>
    <t>35,14,39,37,38,47,41,37,38,43,39,44,15,35,41,37,23,11,35,38,39,11,42,41,38,27,38,35,43,23,40</t>
  </si>
  <si>
    <t>1403,57,1681,1860,1262,1968,2867,1436,1765,3052,1444,3242,57,3541,1929,1881,86,58,1234,2590,3393,53,2304,2044,2561,80,2041,1489,2257,70,1886</t>
  </si>
  <si>
    <t>1580573,52314,1873671,2141509,1386861,2685916,3207882,1547152,1999680,3587020,1603122,3654133,45579,3956662,2153461,2112045,87459,54433,1310578,3664541,3808279,46428,2546673,2343130,3732337,90287,2328743,2006370,2492335,67770,2686455</t>
  </si>
  <si>
    <t>94,96,85,99,94,31,88,81,15,95,50,101,40,97,100,91,94,97,88,94,90,22,28,42,98,101,72,88,101,88,98</t>
  </si>
  <si>
    <t>2572,2339,2224,2665,2939,162,3351,2360,73,4250,190,4835,183,3709,3693,1631,2318,2131,2764,3060,1980,86,93,217,4198,2789,4191,2527,3146,1856,4240</t>
  </si>
  <si>
    <t>4133294,3733793,3377608,4117339,4693176,258411,5410392,3641434,118195,6828286,289185,7891552,294613,5958533,5901441,2486963,3570815,3258037,4290850,4640681,3080292,129108,157330,346201,6532902,4429225,6278458,3822704,5070050,2881523,6838429</t>
  </si>
  <si>
    <t>28,16,21,22,16,24,18,20,20,25,27,18,15,25,25,26,17,16,18,9,16,17,10,23,24,10,25,20,24,21,27</t>
  </si>
  <si>
    <t>244,134,84,130,30,159,47,99,142,124,193,51,59,87,268,192,67,37,34,21,72,70,20,223,132,15,176,80,69,74,209</t>
  </si>
  <si>
    <t>450229,191119,130657,217191,58233,296135,74006,148201,241879,228870,293477,75121,100550,140477,514520,340319,111610,67787,60068,42143,90489,109003,40603,444436,236754,31686,334196,135790,113096,112055,381920</t>
  </si>
  <si>
    <t>id товара</t>
  </si>
  <si>
    <t>360,1,340,540,0,350,252,0,241,370,280,536,360,0,0,1,301,431,380,191,301,180,241,230,311,201,220,180,250,200,0</t>
  </si>
  <si>
    <t>560880,1384,530740,764640,0,571200,411264,0,335954,515780,390320,747184,580280,0,0,1417,491232,709426,628900,288983,498155,272340,396686,320620,440376,280194,311520,293760,354000,283200,0</t>
  </si>
  <si>
    <t>234,136,3,478,315,13,298,27,306,378,271,8,243,225,145,433,342,353,135,243,315,270,200,281,433,252,4,2,8,225,261</t>
  </si>
  <si>
    <t>361215,184688,4233,649124,497070,18343,423756,37496,487152,596484,368018,11288,345546,355050,196910,699704,525312,557034,191970,383454,476280,366660,306094,399538,616293,342216,5602,2822,11288,345600,402984</t>
  </si>
  <si>
    <t>315,136,234,0,225,243,270,0,315,433,0,495,0,379,198,261,252,145,0,243,0,342,0,225,433,351,306,271,137,279,297</t>
  </si>
  <si>
    <t>525105,206856,381357,0,375075,369603,394200,0,503055,739131,0,722700,0,631793,319968,424908,367920,211700,0,405081,0,555066,0,365175,658593,585117,514386,395660,200020,424359,451737</t>
  </si>
  <si>
    <t>226,178,4,224,391,189,5,179,156,205,354,0,175,315,182,226,163,1,182,176,410,0,162,0,271,289,0,163,254,472,342</t>
  </si>
  <si>
    <t>355272,258278,6042,330304,567341,287658,7432,264025,226356,297455,556488,0,258501,495180,288470,333350,240425,1488,277004,255376,604750,0,238950,0,393221,439945,0,256236,392913,759424,529074</t>
  </si>
  <si>
    <t>190,269,437,242,112,112,136,312,0,378,157,203,0,0,302,255,309,136,146,177,487,279,203,293,106,181,0,231</t>
  </si>
  <si>
    <t>263910,397044,597816,336138,165312,153216,194888,467064,0,525042,235029,299628,0,0,417567,376380,422712,188904,215496,242136,718812,411804,281967,432468,145008,247608,0,340956</t>
  </si>
  <si>
    <t>140,215,0,137,127,0,176,276,0,472,218,133,150,434,145,133,246,118,258,337,264,168,330,323,245,256,0,133</t>
  </si>
  <si>
    <t>184380,307450,0,193855,179705,0,256080,369564,0,674960,317165,193515,214500,631470,194155,188391,351780,168740,377712,443829,347688,221256,469260,461890,322665,364032,0,193515</t>
  </si>
  <si>
    <t>229,242,224,312,250,120,153,210,7,157,499,14,121,166,5,205,186,41,182,195,28,192,199,440,17,192,266,168,20,244,120</t>
  </si>
  <si>
    <t>305028,450162,300608,428688,346412,157200,205326,288540,9904,215718,664668,19852,166254,228084,7090,273060,255564,58138,242424,261462,39704,257664,265068,590480,24178,257664,356972,220080,28360,335256,159840</t>
  </si>
  <si>
    <t>199,154,220,320,360,201,240,0,113,356,140,1,0,154,149,163,137,275,162,387,169,224,355,0,173,184,242,0,3,0,182</t>
  </si>
  <si>
    <t>316410,224196,327140,491200,552240,285219,356880,0,160347,555004,222600,1449,0,218526,232291,250042,203719,437250,263711,549153,251303,333088,527885,0,277319,292560,343398,0,4347,0,270634</t>
  </si>
  <si>
    <t>310,144,559,0,279,188,200,74,255,81,244,274,243,80,135,121,161,148,362,135,144,0,331,162,75,502</t>
  </si>
  <si>
    <t>364560,169344,668005,0,333405,231428,246200,90446,313905,99711,300364,337294,290385,98480,158760,134750,176543,176860,425712,161325,169344,0,407461,164430,93750,590352</t>
  </si>
  <si>
    <t>24,5,193,161,126,336,222,192,9,294,157,294,0,232,212,176,138,305,19,291,201,0,161,120,147,0,278,209,217,175,198</t>
  </si>
  <si>
    <t>7200,1500,57702,47173,36918,98448,63936,55296,2700,88788,47414,88788,0,68208,62116,51744,39744,91195,5528,83808,58838,0,49749,35169,44394,0,83956,60192,63581,52850,57024</t>
  </si>
  <si>
    <t>187,149,9,11,115,231,317,177,149,327,7,211,142,254,283,13,86,246,11,445,217,305,157,234,7,179,134,162,183,109,2</t>
  </si>
  <si>
    <t>234685,186995,11251,13992,148235,303751,401639,228153,183121,421503,8904,264805,174790,312166,363097,16536,105694,307497,13992,571825,276019,390187,192953,301626,8904,224645,164686,208818,237267,133961,2549</t>
  </si>
  <si>
    <t>239,135,108,137,245,162,264,154,340,1,181,299,154,0,212,390,233,135,258,154,117,0,199,2,353,3,191,176,196</t>
  </si>
  <si>
    <t>428288,241975,180792,253039,433895,301806,487608,275198,602140,1717,320551,542685,291186,0,384640,652860,390042,239085,476526,272734,195858,0,333126,3388,630811,5151,319734,325072,362012</t>
  </si>
  <si>
    <t>6,264,7,144,130,256,349,274,185,13,339,12,169,140,2,169,103,136,308,3,153,108,179,152,6,217,280,177,175,310,269</t>
  </si>
  <si>
    <t>5604,253604,6510,140688,121030,256256,331899,267698,180745,12255,315609,11364,164522,130340,1860,160719,95893,129336,300916,2790,149065,102708,171840,141512,5580,204796,273560,168313,162925,301940,264965</t>
  </si>
  <si>
    <t>0,217,245,0,175,196,259,126,238,336,385,140,224,140,266,168,105,196,238,141,133,294,301,161,217,105</t>
  </si>
  <si>
    <t>0,324415,377790,0,269850,288512,381248,188370,366996,502320,566720,215880,329728,209300,397670,251160,154560,288512,350336,207552,198835,453348,464142,240695,334614,186690</t>
  </si>
  <si>
    <t>0,140,127,246,239,105,105,259,0,141,220,217,0,0,336,385,0,175,164,134,336,295,266,224,238,197,176,140,140</t>
  </si>
  <si>
    <t>0,216440,205740,407130,399130,200935,167475,413105,0,224895,356350,359135,0,0,544320,614075,0,292250,265680,217080,556080,492650,412741,354144,379610,314215,285120,219940,231700</t>
  </si>
  <si>
    <t>231,213,174,141,127,116,2,0,0,277,241,305,117,105,170,169,309,0,197,214,119,278,185,0,332,252,2,1,147,103,299</t>
  </si>
  <si>
    <t>392700,351211,249342,210606,181991,192096,2978,0,0,456773,402456,505080,170352,150465,281210,274287,501584,0,286832,309997,173264,398374,269360,0,498332,417312,2916,1489,210651,147599,435344</t>
  </si>
  <si>
    <t>162,228,168,288,198,210,228,180,168,305,126,1,10,90,186,186,168,187,109,15,204,0,6,276,114,204,289,198,120,114</t>
  </si>
  <si>
    <t>196668,280212,194544,349632,240768,254940,284316,200700,203952,340075,145908,1165,11650,106860,218178,224478,194544,219351,126985,17099,254388,0,6990,344172,138624,247656,351424,225414,147480,138624</t>
  </si>
  <si>
    <t>120,102,289,84,324,217,6,132,77,123,158,1,144,171,238,158,245,18,5,301,147,292,6,156,296,283,18,114,6,331,162</t>
  </si>
  <si>
    <t>182880,160038,440436,128016,520568,340473,9118,198132,115577,184623,242846,1512,219456,260558,373422,237158,382200,27216,7560,472269,220647,438292,9072,239634,461760,444027,27216,173736,9234,509097,256180</t>
  </si>
  <si>
    <t>125,264,198,212,110,164,171,1,248,275,87,154,128,142,138,307,259,122,6,153,311,3,5,4,163,2,369,189,89,306,2</t>
  </si>
  <si>
    <t>155920,340032,243144,273056,137280,211232,213528,1278,319424,343200,106836,201565,159744,177216,172224,376996,333592,149816,7668,197064,407099,3834,6390,5112,209944,2556,475272,232092,109292,394128,2562</t>
  </si>
  <si>
    <t>174,330,180,347,199,96,112,241,288,0,272,296,120,240,155,0,168,0,130,90,150,0,119,119,0,0,186,208,0,231,213</t>
  </si>
  <si>
    <t>229680,435600,237600,509998,280178,126720,154560,343781,385920,0,375360,422392,160800,320040,213900,0,221760,0,180900,118800,201000,0,159460,159500,0,0,249240,292448,0,318780,293940</t>
  </si>
  <si>
    <t>146,1,185,317,108,285,235,188,0,161,218,3,1,229,164,207,245,132,99,232,112,122,70,180,235,176,330,0,172</t>
  </si>
  <si>
    <t>175784,1212,233840,388008,136512,519270,362884,226352,0,293342,316814,3636,1212,280256,210412,253368,309680,158928,119196,297656,137088,149328,123550,220320,297040,320672,397320,0,207088</t>
  </si>
  <si>
    <t>289,211,120,114,210,132,0,150,168,300,1,276,0,92,332,102,144,233,299,126,174,130,150,181,204,204,176,0</t>
  </si>
  <si>
    <t>383889,284196,161640,153558,291690,177762,0,202050,222768,404100,1326,383364,0,147348,440232,141678,190944,309525,415311,167076,241686,172380,198900,240006,283356,283356,237156,0</t>
  </si>
  <si>
    <t>313,210,186,140,1,85,241,148,168,182,180,295,123,231,122,170,110,325,182,307,178,231,153,107,94,0</t>
  </si>
  <si>
    <t>524275,348390,311550,231000,1671,138805,412110,247317,278712,297206,307800,516545,204057,395010,208620,277610,179630,530725,301938,509313,293700,377223,261630,177513,162056,0</t>
  </si>
  <si>
    <t>132,180,162,212,1,331,150,144,121,271,194,168,1,1,114,144,216,276,138,200,228,300,195,144,132,0,168,2,132</t>
  </si>
  <si>
    <t>162756,254160,196668,299344,1202,376678,210600,163872,149193,334143,220772,191184,1202,1184,129732,168774,296352,335064,194856,254719,263568,369900,225366,181722,186384,0,191184,2404,162756</t>
  </si>
  <si>
    <t>144,330,204,108,96,204,228,0,150,0,0,90,216,120,114,168,360,210,0,169,288,186,122,162,0,246,0,96,162,126</t>
  </si>
  <si>
    <t>166608,381810,237048,120312,111072,248880,277704,0,182550,0,0,109848,263586,146628,126996,198264,454320,256578,0,197440,351360,226920,142617,197154,0,284622,0,118824,197154,145782</t>
  </si>
  <si>
    <t>275,198,155,140,75,0,163,120,182,180,115,138,210,168,0,0,408,228,120,150,174,96,258,90,210,204,186</t>
  </si>
  <si>
    <t>389995,295218,224365,202160,108300,0,250205,173280,271362,268380,166060,211302,376110,313992,0,0,608328,426132,221040,230250,314388,171936,396030,134190,376110,304164,289794</t>
  </si>
  <si>
    <t>123,122,0,214,165,0,0,119,127,0,214,275,226,186,79,0,0,337,263,106,144,115,169,233,163,200,84,297,128,151,0</t>
  </si>
  <si>
    <t>195545,188490,0,350532,272363,0,0,183855,199263,0,340133,424875,370188,304668,123951,0,0,532593,440788,168434,225936,188370,261105,381654,255579,322775,129780,479358,203392,233295,0</t>
  </si>
  <si>
    <t>4,163,100,209,160,159,277,110,211,1,1,144,157,0,110,290,148,181,215,100,135,3,205,275,132,2,1,177,207,235,125</t>
  </si>
  <si>
    <t>5168,202283,126200,272327,208480,207177,366471,136510,264959,1292,1292,181728,198134,0,138820,365980,186776,239443,280145,130300,175905,3876,254405,341275,171996,2584,1272,219657,256887,306205,162875</t>
  </si>
  <si>
    <t>205,57,146,153,121,119,116,1,155,215,306,129,188,297,212,300,154,129,128,284,124,191,250,85,4,149,0,5</t>
  </si>
  <si>
    <t>358545,96614,247762,242046,211629,202047,196852,1594,271095,376035,519282,204078,297416,504009,370788,507500,264545,218913,225762,449288,209684,342054,429500,134470,6489,235718,0,8070</t>
  </si>
  <si>
    <t>134,170,111,151,115,109,214,115,217,223,186,1,220,98,0,101,290,2,333,230,128,175,170,150,123,171,256</t>
  </si>
  <si>
    <t>195774,244120,162171,220611,165140,218699,323354,217627,436387,320228,271746,1448,332420,148078,0,145036,423690,2872,478188,462530,196408,264791,244120,301650,179703,258381,392960</t>
  </si>
  <si>
    <t>162,0,126,222,126,110,321,157,3,165,181,141,211,203,294,181,151,0,153,185,0,151,174,228,186,0,121,96,132</t>
  </si>
  <si>
    <t>219996,0,171108,315240,173754,156200,435918,213206,4230,224070,257020,191478,299620,279937,405426,245798,214420,0,207774,275665,0,208229,239946,309246,256473,0,171820,136320,182028</t>
  </si>
  <si>
    <t>196,321,123,111,123,85,2,128,223,81,7,219,6,216,157,164,189,138,2,147,217,154,127,5,224,1,170,219,277,119</t>
  </si>
  <si>
    <t>230496,358557,137391,123987,137391,99960,2372,150528,262248,90477,8302,257544,7116,258336,187732,192864,214893,161703,2283,164199,246729,175098,144339,5930,263424,1186,199920,257544,314949,135303</t>
  </si>
  <si>
    <t>128,80,258,5,121,5,227,261,136,261,199,8,152,127,7,1,292,211,113,141,126,79,67,125,203,146,175,2,173,288,4</t>
  </si>
  <si>
    <t>236800,146080,478332,9321,224334,9340,433343,482850,248336,510226,363374,14895,285400,244092,12999,1857,548376,402799,209502,269169,233604,144254,122342,231750,387527,266596,332315,3714,320602,549792,7428</t>
  </si>
  <si>
    <t>1,84,60,10,132,277,0,312,191,324,126,288,219,90,0,211,228,240,179,187,192,96,113,0,1,1,150,228,108</t>
  </si>
  <si>
    <t>1385,116874,77664,13340,208164,424366,0,406224,241424,409536,159264,393168,292146,113760,0,289281,364800,329040,250600,249270,307200,131616,150742,0,1385,1364,195300,296856,136512</t>
  </si>
  <si>
    <t>0,126,256,281,0,254,118,184,206,97,131,155,100,193,156,241,231,201,166,75,251,121,2,2,105,152,0,121,102</t>
  </si>
  <si>
    <t>0,158130,338412,350126,0,321818,147028,237544,256676,121735,165665,200105,125500,249163,197166,302455,298221,258285,213256,93450,324041,157531,2502,2546,133035,189392,0,150766,128010</t>
  </si>
  <si>
    <t>3,76,225,199,45,0,294,125,1,0,378,45,139,307,282,128,0,0,138,34,44,230,158,78,100,0,219,342,104,115,205</t>
  </si>
  <si>
    <t>3642,90724,273825,240119,55530,0,345744,152690,1229,0,453978,55530,163464,361032,331632,153728,0,0,162288,40936,55028,283820,189758,98016,122750,0,260829,402192,125306,135720,256620</t>
  </si>
  <si>
    <t>194,224,2,239,86,2,179,181,80,111,217,174,51,6,7,71,100,257,150,239,228,155,121,2,106,344,161,134,5,161,9</t>
  </si>
  <si>
    <t>77794,89824,822,97512,33454,824,69631,73841,30640,44511,87017,66642,19791,2466,2744,27193,38900,99973,60150,91537,91428,62155,46343,822,42386,133816,64561,51322,2055,64561,3634</t>
  </si>
  <si>
    <t>150,98,150,121,93,120,0,143,108,174,114,105,258,29,0,330,7,108,183,210,175,0,169,120,0,196,108,186,7,226,288</t>
  </si>
  <si>
    <t>187200,118286,192000,149193,114322,147960,0,174746,133164,214542,142272,126735,330240,36569,0,411840,8827,134784,220881,258930,224000,0,203983,149760,0,236572,133164,227292,8827,272782,359424</t>
  </si>
  <si>
    <t>120,175,175,0,120,185,240,0,120,210,310,120,0,75,211,275,81,170,120,125,155,150,135,215,100,132,0,121</t>
  </si>
  <si>
    <t>168000,243775,228200,0,170640,259740,381515,0,170640,279090,440820,171765,0,105000,295400,385000,113400,236810,167160,182150,220410,210000,188440,284875,132500,187704,0,172062</t>
  </si>
  <si>
    <t>145,275,90,120,175,120,340,190,130,200,125,120,95,95,165,0,100,175,100,125,165,190,0,185,240,165</t>
  </si>
  <si>
    <t>179220,348425,117540,156720,228550,156720,420240,248140,164710,261200,154500,145680,119985,117420,203940,0,121400,228550,132800,163250,203940,252320,0,234395,313440,200310</t>
  </si>
  <si>
    <t>128,208,276,168,159,117,1,78,111,115,111,193,139,1,157,165,152,80,222,186,0,0,110,241,231,1,186,131,147</t>
  </si>
  <si>
    <t>55040,91104,112884,72240,69634,47853,409,32448,46176,47840,47730,82990,57824,420,67510,68640,65360,34400,95460,76074,0,0,45760,100256,99330,420,76074,53579,60123</t>
  </si>
  <si>
    <t>204,120,80,0,126,114,234,135,140,75,252,150,0,288,138,0,228,120,120,108,228,42,138,0,210,182,275,90</t>
  </si>
  <si>
    <t>317526,216840,114720,0,186858,169062,357786,192035,200760,107550,452004,229350,0,427104,245502,0,417924,172080,219960,160164,348612,62286,241470,0,361830,269906,386665,133470</t>
  </si>
  <si>
    <t>215,194,190,175,108,138,1,186,0,191,100,150,155,220,160,0,288,136,27,0,90,125,100,0,211,100,82,17,114,170,143</t>
  </si>
  <si>
    <t>291970,254916,257450,237650,144180,184230,1366,248310,0,250974,135800,200250,210490,289080,207360,0,384480,178704,36567,0,142860,172000,135120,0,287904,129600,107748,23222,152190,233920,187902</t>
  </si>
  <si>
    <t>220,90,185,131,245,0,160,241,155,110,100,275,116,126,180,116,211,185,151,0,81,140,0,0,91,225,110,120</t>
  </si>
  <si>
    <t>298980,128455,265290,182221,348635,0,227680,335231,215605,153010,135900,376750,158920,172620,258120,158920,289070,265290,210041,0,115263,193340,0,0,126581,310725,153655,164400</t>
  </si>
  <si>
    <t>130,242,157,275,105,105,200,215,135,80,180,0,150,240,135,75,165,80,95,140,210,135,175,100,0,215,0</t>
  </si>
  <si>
    <t>199290,376794,244449,421575,160965,163485,306600,329595,216675,122640,288900,0,240750,385200,210195,137925,256905,128400,147915,217980,321930,206955,280875,160500,0,334755,0</t>
  </si>
  <si>
    <t>158,160,2,4,348,106,183,221,101,156,135,134,124,209,102,90,101,221,122,162,107,170,87,139,1,153,4,1,234,0</t>
  </si>
  <si>
    <t>221355,223680,2732,5440,470148,148188,254553,289510,132310,207460,188730,175540,164920,292182,137922,117900,136451,314262,170922,215460,140170,222700,121626,187768,1360,217545,5350,1360,327132,0</t>
  </si>
  <si>
    <t>0,150,175,120,0,215,205,120,35,145,150,100,155,115,275,155,140,0,125,185,100,240,0,190,0,165,210,155,80</t>
  </si>
  <si>
    <t>0,63150,98525,65520,0,121045,115415,64440,19110,79170,63150,41400,87265,61755,147675,83235,75180,0,70375,99345,54600,131040,0,106970,0,90090,112770,84630,45040</t>
  </si>
  <si>
    <t>177,8,141,76,0,155,49,184,78,182,106,74,135,131,228,142,2,250,305,4,120,91,174,61,0,149,232,221,224,1</t>
  </si>
  <si>
    <t>208329,9840,173007,91352,0,197470,58261,221930,93756,227968,127412,87123,164430,163488,277704,172956,2430,309120,371490,4920,147287,107107,202710,73322,0,182823,267032,269178,260960,1230</t>
  </si>
  <si>
    <t>275,192,146,0,81,307,125,131,101,141,1,90,156,170,106,1,107,105,115,75,42,175,208,127,0,257,0,1,241,187,0</t>
  </si>
  <si>
    <t>306900,228864,171550,0,90396,360725,149000,146196,118675,157356,1158,102690,183300,199750,120946,1119,125725,119805,131215,83700,47569,205625,244400,149225,0,292197,0,1119,274981,208692,0</t>
  </si>
  <si>
    <t>222,1,97,145,168,133,78,151,0,169,182,2,169,223,95,131,80,0,310,202,5,59,4,106,1,104,259,71,231,137,78</t>
  </si>
  <si>
    <t>239982,1126,104857,155875,175728,143773,83460,161570,0,176774,190372,2252,184109,236380,102695,139058,83680,0,324260,215604,5356,63380,4484,113420,1126,110240,277130,76310,241626,146621,82680</t>
  </si>
  <si>
    <t>116,150,100,120,85,210,141,0,0,0,175,165,215,177,85,90,240,205,120,125,50,170,116,275,235,115,130</t>
  </si>
  <si>
    <t>125628,176700,117800,132120,92055,227430,168777,0,0,0,192675,194370,253270,208506,92055,99090,264240,239150,132120,147250,54150,200260,126348,297825,281295,135470,153140</t>
  </si>
  <si>
    <t>182,154,102,11,122,17,220,166,67,136,199,193,206,0,117,186,148,143,106,94,99,290,1,1,118,101,0,14,104,145,119</t>
  </si>
  <si>
    <t>233870,197890,132930,14762,151890,21375,282700,203350,86095,169120,243775,251865,264710,0,150345,227850,184260,183755,131970,115150,121275,361050,1342,1342,151630,125745,0,18185,133640,180645,145775</t>
  </si>
  <si>
    <t>1,192,0,168,80,160,0,132,64,0,0,116,112,155,100,1,200,78,151,82,208,95,110,330,158,252,144,140,0,200,125</t>
  </si>
  <si>
    <t>1282,235200,0,221760,93920,187840,0,161700,84480,0,0,154400,157136,189875,131980,1282,252400,95550,199320,108240,274560,111530,134750,387420,221674,295848,199152,164360,0,243830,153125</t>
  </si>
  <si>
    <t>0,12,193,190,186,0,64,55,270,150,112,89,120,0,120,212,120,114,288,220,162,116,0,1,180,108,0,228,77,164</t>
  </si>
  <si>
    <t>0,16944,281201,261820,256308,0,84992,75790,393390,218550,148736,120352,181560,0,174840,308884,179040,157092,396864,292160,236034,154048,0,1328,268560,148824,0,344964,102256,238948</t>
  </si>
  <si>
    <t>267,56,131,4,62,180,215,145,145,134,99,155,223,0,0,61,130,295,121,156,94,136,128,9,189,0,192,191</t>
  </si>
  <si>
    <t>344697,75096,160475,5056,83142,236528,275415,187195,187195,164150,121291,198555,291684,0,0,74725,159250,391866,158241,206544,116654,166600,171648,11619,245172,0,240392,233975</t>
  </si>
  <si>
    <t>72,275,170,0,250,74,129,210,118,170,110,0,90,240,95,168,0,165,135,177,116,136,150,0,125,92,0,140,76</t>
  </si>
  <si>
    <t>113457,436975,278630,0,409750,120877,208980,333690,193544,273775,177760,0,145800,377040,150955,276864,0,270090,218160,290280,182236,213656,238350,0,198625,144532,0,222460,122816</t>
  </si>
  <si>
    <t>96,0,121,147,251,1,159,203,86,89,83,117,124,119,121,150,219,68,165,153,252,203,225,93,96,126</t>
  </si>
  <si>
    <t>126816,0,159841,194166,326300,1374,206700,276892,117304,117612,137831,154557,169136,154700,165044,198087,298716,88400,214500,198900,332892,276892,297225,120900,124800,171864</t>
  </si>
  <si>
    <t>78,180,126,225,106,140,204,88,206,88,240,104,3,110,137,100,160,131,240,175,0,1,171,153,76,161,61</t>
  </si>
  <si>
    <t>101478,212400,163926,288225,145008,167860,279072,120384,268006,112728,283200,133224,3924,152455,178217,128100,231520,167811,287760,239400,0,1332,219051,201243,98876,199157,79361</t>
  </si>
  <si>
    <t>146,145,93,77,0,122,175,137,173,251,0,114,225,101,1,122,2,90,68,148,244,120,196,80,158,1,107,1,186,147</t>
  </si>
  <si>
    <t>188486,187195,120063,94402,0,157502,225925,176867,223343,313248,0,146701,295425,132613,1289,152256,2590,112320,83368,184704,299144,149760,253036,103280,193708,1302,131182,1289,228036,183456</t>
  </si>
  <si>
    <t>204,100,84,155,110,104,359,151,0,51,176,0,117,165,76,95,57,168,0,222,195,60,168,89,109,250,145</t>
  </si>
  <si>
    <t>301716,146600,119452,233275,162690,152464,530961,227255,0,73570,260304,0,168831,246345,112708,142975,83562,248472,0,328338,293475,86439,257544,128427,157287,376250,209235</t>
  </si>
  <si>
    <t>275,65,159,80,115,175,0,145,150,214,140,240,86,120,1,165,124,130,105,86,88,95,165,0,100,193,180</t>
  </si>
  <si>
    <t>325325,76895,188097,94640,137770,209650,0,171535,177450,253162,165620,287520,103028,143760,1205,202620,152272,153790,124215,102413,104104,113810,197670,0,119800,237004,215640</t>
  </si>
  <si>
    <t>108,76,211,128,105,27,9,14,145,98,87,51,103,167,9,137,148,238,154,89,129,100,92,218,35,114,204,6,230,130,7</t>
  </si>
  <si>
    <t>147744,98952,279364,175104,143640,36639,12213,18998,198360,129928,115188,66402,136372,228456,12213,181278,205753,325584,210672,115878,167958,132400,119784,298224,46538,150936,279072,8142,319930,169260,9615</t>
  </si>
  <si>
    <t>296,100,166,162,0,97,58,158,60,141,81,229,249,76,0,206,137,81,89,0,216,209,149,122,1,80,49,105</t>
  </si>
  <si>
    <t>320394,113200,193722,183384,0,114848,64670,160640,67920,164547,90315,259228,290583,86032,0,240402,155084,94527,99235,0,240840,218728,173883,142374,1087,93360,54635,117075</t>
  </si>
  <si>
    <t>119,137,6,200,177,89,94,58,108,259,122,0,67,82,1,1,246,139,132,225,208,1,107,112,100,121,217,99,1,83</t>
  </si>
  <si>
    <t>205772,235914,10065,329000,304794,153258,154630,95410,180468,432789,200690,0,111957,137022,1664,1664,420660,237664,219870,378979,366704,1664,176015,184240,167100,208362,373674,166716,1664,138693</t>
  </si>
  <si>
    <t>0,172,248,101,85,214,94,44,200,0,173,110,115,93,275,3,0,1,102,143,98,84,85,155,0,113,146,146,63,0,244</t>
  </si>
  <si>
    <t>0,236672,340008,132512,113815,285556,125866,58466,267800,0,243603,151360,150880,128925,360800,4002,0,1334,136578,196768,134848,112587,111520,213280,0,152776,191552,200166,82656,0,330002</t>
  </si>
  <si>
    <t>0,35,201,0,50,100,0,275,215,130,155,100,70,55,270,0,135,95,115,160,111,75,235,35,120,205,135,0,225</t>
  </si>
  <si>
    <t>0,13860,106530,0,19800,41500,0,113345,113950,52260,64325,41500,29050,22110,106920,0,53460,37740,47725,75330,43956,30150,97525,14525,47520,82410,53460,0,90450</t>
  </si>
  <si>
    <t>145,92,188,3,7,117,96,103,321,101,113,97,215,3,116,101,0,313,64,158,128,151,100,118,172,62,0,1,79,132,1</t>
  </si>
  <si>
    <t>40165,28336,57716,831,1939,35939,36576,30271,95337,31108,33561,26869,59555,831,35728,27977,0,86701,19712,43766,38326,46508,29700,36226,47644,23068,0,277,24332,36564,277</t>
  </si>
  <si>
    <t>77,125,81,0,105,229,6,125,60,207,146,171,196,258,179,80,179,123,9,112,2,203,101,128,92,66,97,122</t>
  </si>
  <si>
    <t>111265,177750,115182,0,149310,330905,9018,180579,85320,308637,217686,254961,278712,384678,266889,115600,254538,174906,12972,166992,3006,293335,145945,182016,137172,115938,140165,176290</t>
  </si>
  <si>
    <t>214,136,69,113,0,171,112,0,68,130,130,154,169,238,259,0,160,216,84,50,89,103,85,174,120,126,95</t>
  </si>
  <si>
    <t>361446,226440,96186,159895,0,284715,186480,0,94792,216450,219570,256410,235586,396270,361046,0,225644,305640,118860,82770,148185,143582,120275,289710,199800,175644,134425</t>
  </si>
  <si>
    <t>5,249,63,194,126,118,1,28,203,79,84,141,166,99,78,7,123,11,68,23,129,129,60,17,184,148,76,210,180,72,184</t>
  </si>
  <si>
    <t>8950,408111,104454,331506,203364,191160,1925,49388,339010,130982,139272,235470,275228,160173,129324,12662,199260,20416,110160,42223,217194,215430,97200,31632,298080,247160,123120,338940,295020,116640,307280</t>
  </si>
  <si>
    <t>150,162,82,68,2,0,175,134,186,61,108,102,112,80,214,104,227,0,100,274,104,132,0,100,121,116,201,0,123</t>
  </si>
  <si>
    <t>163350,176418,90610,77180,2254,0,198625,148070,211110,75665,119340,113490,127120,87120,242890,118040,247203,0,110500,302770,113256,145860,0,113500,131815,126324,222105,0,133947</t>
  </si>
  <si>
    <t>65,125,112,234,229,127,175,139,104,0,0,124,110,117,109,100,140,0,196,91,100,2,96,89,1,132,208,80,222</t>
  </si>
  <si>
    <t>105495,208934,202048,405756,403727,220218,313075,225597,180336,0,0,221836,196790,189891,189006,173400,242760,0,350644,147693,183200,3338,169248,159221,1665,228888,360672,138720,360306</t>
  </si>
  <si>
    <t>205,111,1,254,108,164,0,167,0,52,67,83,165,142,167,84,123,77,155,112,206,152,87,136,189,138,81</t>
  </si>
  <si>
    <t>368180,204906,1752,475742,185220,307172,0,323980,0,89180,128037,142345,304755,255032,308449,144060,233085,138292,278913,206864,390370,272992,149205,251150,324135,249522,145476</t>
  </si>
  <si>
    <t>16,106,136,51,0,185,106,53,66,210,270,138,160,12,2,66,120,111,0,123,277,60,210,171,8,102,171,69,12,111,101</t>
  </si>
  <si>
    <t>20944,139708,171496,64311,0,243830,139708,66833,84480,276780,345600,181884,204800,15572,2618,94020,151320,142080,0,157383,365086,75660,264810,218880,10472,130560,215631,88510,15708,146298,127361</t>
  </si>
  <si>
    <t>137,200,127,1,56,0,1,94,40,152,0,188,111,248,0,85,3,177,213,140,170,0,87,175,132,173,106,225,174</t>
  </si>
  <si>
    <t>165222,239310,149352,1191,63672,0,1162,106893,47640,175104,0,229548,126207,289986,0,96645,3486,216117,240906,170940,202470,0,98919,198975,155232,203448,125871,267975,204624</t>
  </si>
  <si>
    <t>94,100,236,47,95,92,147,98,75,50,282,0,173,34,214,2,0,212,17,171,69,163,161,0,35,153,1,156,179,121</t>
  </si>
  <si>
    <t>110859,126000,297360,55272,115235,116656,178311,115248,89325,60650,353460,0,219364,40458,259582,2456,0,263304,19992,201096,81144,191688,197869,0,44100,185589,1228,191724,217127,148709</t>
  </si>
  <si>
    <t>116,76,105,1,177,306,2,65,76,200,127,0,125,47,0,65,0,158,91,145,81,204,221,0,175,99,176,127,90,120</t>
  </si>
  <si>
    <t>139664,91504,106470,1060,179478,370284,2128,79235,87949,222400,141224,0,126750,47658,0,77285,0,175696,92274,161240,95337,212808,262769,0,205975,100659,214544,130429,109710,121680</t>
  </si>
  <si>
    <t>118,110,96,101,108,96,140,124,134,234,241,3,156,7,2,75,171,157,101,3,90,1,3,214,115,97,170,105,119,75</t>
  </si>
  <si>
    <t>99356,96800,83328,83224,88992,80832,115360,107632,110416,192816,202922,2565,135408,5902,1710,63150,148428,136276,87668,2565,75780,855,2565,188320,94760,84196,142072,88410,103292,65100</t>
  </si>
  <si>
    <t>126,8,7,104,118,68,188,8,187,59,84,125,197,53,204,15,166,187,12,238,248,96,127,82,68,79,54,11,121,8,111</t>
  </si>
  <si>
    <t>220374,14256,12432,183040,214288,119612,330781,14314,339592,103781,145404,219735,357752,91743,370464,26640,301456,347704,21542,416373,440696,166176,219837,144376,119612,144634,93474,19536,214933,14208,192141</t>
  </si>
  <si>
    <t>164,156,192,152,64,140,112,0,137,0,200,0,96,148,76,112,140,80,0,0,93,101,136,96,220,112,204,80,132</t>
  </si>
  <si>
    <t>217464,195780,240960,204896,84864,175700,138208,0,181662,0,265200,0,120480,190920,97508,148512,185640,100400,0,0,114762,133926,167824,123840,283800,150976,270504,106080,165660</t>
  </si>
  <si>
    <t>189,112,0,270,79,122,1,112,160,64,69,5,113,70,76,109,187,123,239,0,104,209,5,124,93,59,216,109,111</t>
  </si>
  <si>
    <t>76923,58688,0,114210,32153,53314,432,48944,66219,27968,35121,2160,49213,28490,30932,46107,81719,53751,97273,0,42328,91333,2103,51570,40641,24426,94392,46107,48507</t>
  </si>
  <si>
    <t>112,2,87,235,325,67,114,3,0,135,228,69,83,2,193,2,85,87,113,172,168,146,4,38,102,69,105,155,90,134,1</t>
  </si>
  <si>
    <t>151088,2622,109446,295630,408850,86260,143412,3894,0,169830,297768,93081,108398,2596,260357,2548,114665,113622,142154,232028,233520,196954,5192,51262,130458,93081,138248,209095,124888,171344,1298</t>
  </si>
  <si>
    <t>0,210,194,122,109,91,9,174,0,125,181,44,2,133,194,66,92,123,144,136,93,177,127,117,146,192,51,62,8</t>
  </si>
  <si>
    <t>0,274470,240948,148962,133089,113022,11355,227374,0,155250,232585,53724,2592,165144,249290,84810,112332,158055,185040,166056,115506,227445,163195,145357,187610,246720,63342,75702,10368</t>
  </si>
  <si>
    <t>171,79,143,151,107,1,190,110,76,119,177,57,112,220,93,1,137,160,103,2,59,210,73,0,104,160,168,94</t>
  </si>
  <si>
    <t>243846,103490,199582,207323,140170,1345,252890,144100,101198,158368,247092,74670,146720,321154,123783,1384,182347,223920,137093,2747,78529,275100,104868,0,142792,219767,230664,129062</t>
  </si>
  <si>
    <t>174,49,143,125,0,0,87,81,55,73,89,134,126,81,161,135,144,88,172,159,147,0,314,81,169,50,232,0</t>
  </si>
  <si>
    <t>250908,68066,195624,180250,0,0,119016,112590,75240,105660,121752,194568,181692,118746,234206,197910,215136,126896,252152,229278,215454,0,452788,117126,245388,68400,340112,0</t>
  </si>
  <si>
    <t>273,0,0,96,109,94,101,0,0,124,179,57,122,154,147,212,102,233,129,0,0,0,165,151,97,90,68,70,72,103,121</t>
  </si>
  <si>
    <t>394212,0,0,136512,157396,135736,150187,0,0,184388,260856,81054,176080,228998,220305,322804,151674,339714,185545,0,0,0,234630,224537,137934,129960,96696,101080,103968,146466,173877</t>
  </si>
  <si>
    <t>89,200,107,0,234,153,130,77,128,74,0,0,6,118,292,26,133,127,205,11,0,87,22,212,42,114,81,104,23,230,36</t>
  </si>
  <si>
    <t>123443,251200,133064,0,290160,199186,172087,103147,161444,96727,0,0,7770,157675,362080,36368,164920,166878,254200,14245,0,113448,30514,278568,58254,141360,103842,136656,32251,285200,45720</t>
  </si>
  <si>
    <t>139,9,129,179,0,193,203,136,221,2,136,64,152,92,84,176,102,0,224,104,124,61,194,146,65,2,79,44</t>
  </si>
  <si>
    <t>163881,10611,152073,243440,0,258490,284606,187712,260559,2412,190672,74304,176472,123188,97524,240240,118422,0,260064,138824,168640,71919,271988,207466,75465,2394,93141,51876</t>
  </si>
  <si>
    <t>25,156,136,61,167,122,0,106,142,95,116,112,174,0,73,125,92,38,18,58,0,125,202,183,211,67,230,171,36</t>
  </si>
  <si>
    <t>27952,172536,147832,72285,197895,144570,0,117236,171110,105070,126092,132720,206190,0,79351,148125,101752,41306,20034,63046,0,148125,223412,216855,254255,73380,272550,200256,39132</t>
  </si>
  <si>
    <t>69,57,101,81,163,12,12,60,74,208,132,18,33,109,81,213,88,188,5,151,14,187,145,131,51,17,57,16,294,98,169</t>
  </si>
  <si>
    <t>86385,76195,109080,85131,178811,13464,13572,76500,98790,228176,143274,20196,42315,146605,108945,233661,117480,203040,5610,163080,15708,207315,156600,141480,55169,19074,76095,17615,322518,105840,185393</t>
  </si>
  <si>
    <t>131,0,73,90,72,83,132,0,193,96,3,155,78,128,80,96,205,1,154,188,184,157,57,98,148,0,206,119,94</t>
  </si>
  <si>
    <t>124450,0,69350,85500,67320,77605,124965,0,193579,91200,2827,151745,76362,125312,76087,89760,194750,941,140602,175780,180136,153703,53295,91630,146206,0,191168,110402,85822</t>
  </si>
  <si>
    <t>77,149,60,7,148,101,0,82,218,97,61,196,72,193,2,125,2,166,0,121,117,5,101,98,114,167,153,137,80,148</t>
  </si>
  <si>
    <t>108955,217093,84900,9786,215636,142915,0,119474,293194,131726,81435,280880,101880,273095,2716,176801,2796,251158,0,176297,165597,6990,134207,148253,152574,243319,228276,199609,119360,200872</t>
  </si>
  <si>
    <t>64,80,232,160,0,96,196,120,84,148,108,120,96,112,152,124,0,0,140,0,60,168,136,140,136,92,140,0,88,0</t>
  </si>
  <si>
    <t>76864,107840,278632,215680,0,144768,277928,178440,124908,220076,153144,144120,136128,166544,229216,184388,0,0,208180,0,85080,249816,183328,198520,196248,136804,208180,0,124784,0</t>
  </si>
  <si>
    <t>70,197,98,125,120,86,83,164,0,118,1,129,101,81,77,150,5,120,192,114,87,0,131,227,146,124,68,168</t>
  </si>
  <si>
    <t>112267,302881,138082,195101,185784,132698,132053,260924,0,182074,1465,198903,160691,124983,108493,244275,7101,190920,296256,175218,122583,0,202133,354347,232286,182966,95812,236712</t>
  </si>
  <si>
    <t>106,117,3,169,52,67,163,95,103,4,73,55,1,226,4,129,176,111,93,134,1,9,172,58,158,93,127,222,88,164</t>
  </si>
  <si>
    <t>194722,229086,5532,340197,101816,135993,320621,180293,207339,7376,142934,101035,1844,450870,7435,254213,344608,218673,183304,246158,1844,16821,315964,106546,318054,182185,253365,457449,177144,330132</t>
  </si>
  <si>
    <t>160,0,0,89,156,0,272,100,108,108,0,200,60,112,132,184,132,68,0,80,110,104,88,120,96,52,117,100,220</t>
  </si>
  <si>
    <t>229280,0,0,127537,234000,0,395760,145500,162000,157140,0,300000,103120,160496,192060,276000,192060,102000,0,114640,164450,149032,132000,171960,140580,77460,167661,150000,315260</t>
  </si>
  <si>
    <t>126,148,60,65,114,73,118,2,187,115,67,68,194,186,109,80,2,127,0,96,108,225,2,3,2,92,124,142,161,139</t>
  </si>
  <si>
    <t>77112,93536,36720,39065,72048,44676,70918,1212,118184,73912,42344,40868,118728,119598,68888,48960,1212,77713,0,59152,68256,135225,1212,1798,1212,58144,74524,89744,96761,87848</t>
  </si>
  <si>
    <t>111,145,172,115,148,185,132,45,76,195,170,0,183,110,196,15,35,100,0,120,85,85,3,118,115,270</t>
  </si>
  <si>
    <t>137640,160515,217262,136735,180352,207385,165792,53505,92644,241800,198050,0,232563,121770,243920,17835,38745,124000,0,148800,94095,94095,3657,143842,127865,298890</t>
  </si>
  <si>
    <t>100,148,144,140,140,220,168,64,60,140,76,60,108,152,0,88,152,112,208,96,120,0,112,0,124,72,100</t>
  </si>
  <si>
    <t>121400,179672,190944,180648,178920,267080,203952,81792,72840,178920,98344,77640,139752,196688,0,112464,201552,144928,269152,116544,153360,0,144928,0,158472,93168,132600</t>
  </si>
  <si>
    <t>159,120,111,91,2,66,102,139,28,0,75,90,153,0,192,151,149,271,0,121,162,80,56,260,78,68,50,115</t>
  </si>
  <si>
    <t>144372,110880,106116,86996,1896,63096,94248,135108,26768,0,71700,83960,138924,0,177392,144356,135292,246068,0,109868,149688,72640,54416,240240,74568,65008,47800,106260</t>
  </si>
  <si>
    <t>211,0,110,385,158,0,92,0,285,210,193,78,0,79,105,90,306,300,0,96,285,136,169,106,107,0,210,49,240,182,0</t>
  </si>
  <si>
    <t>210744,0,134638,497420,155472,0,90528,0,280440,265020,189912,101712,0,97196,128205,109890,405576,355840,0,127008,377055,179928,213278,133772,141561,0,271320,65931,293040,179088,0</t>
  </si>
  <si>
    <t>204,0,142,176,115,64,203,118,135,216,124,178,0,117,163,0,235,64,77,142,128,88,91,119,89,0,108,116</t>
  </si>
  <si>
    <t>252552,0,181050,224400,146625,78080,262682,143960,167130,275400,151280,226950,0,144846,207825,0,286700,81600,95326,175796,163200,108944,116025,145180,108580,0,139752,143608</t>
  </si>
  <si>
    <t>1,98,74,205,76,73,128,149,110,186,171,207,0,32,85,138,108,105,213,79,102,176,1,164,94,132,1,166</t>
  </si>
  <si>
    <t>1771,166502,127798,348295,129572,126071,228480,265965,186890,321222,305235,369495,0,54368,151725,234462,195912,187425,380205,136433,177836,303952,1771,278636,167790,235620,1771,301124</t>
  </si>
  <si>
    <t>124,32,94,97,201,4,66,156,220,143,0,239,65,0,158,145,113,122,10,55,111,56,99,201,99,167,97,17,143,39,0</t>
  </si>
  <si>
    <t>135485,27744,102460,86233,221703,3916,57222,170040,239800,135771,0,264334,58955,0,172220,158050,123170,105774,9420,51810,103254,48552,109494,187464,107910,148463,104075,14739,130527,37131,0</t>
  </si>
  <si>
    <t>154,169,112,3,121,108,82,217,40,132,61,148,170,0,226,0,205,137,217,0,72,81,121,0,134,86,97,114</t>
  </si>
  <si>
    <t>195734,218348,138656,3756,153791,140616,105923,273203,49520,166188,76799,188108,210460,0,279788,0,260555,178374,273203,0,91512,102151,149798,0,174468,108274,120086,147126</t>
  </si>
  <si>
    <t>61,1,165,0,173,76,73,72,193,139,112,0,0,155,64,229,121,100,150,111,101,153,0,165,112,96,73,141,110</t>
  </si>
  <si>
    <t>59963,958,167805,0,167118,74708,74241,73224,189719,141363,113904,0,0,157635,61824,221214,123057,98300,144900,109113,102717,158049,0,159390,115696,92736,71759,138586,111870</t>
  </si>
  <si>
    <t>58,131,65,68,190,54,1,168,31,198,138,136,132,26,81,100,144,45,140,99,126,140,103,143,124,148,0,10,136</t>
  </si>
  <si>
    <t>88334,202263,104000,103564,308940,83592,1587,268800,49197,316800,214664,217600,201036,41262,125388,160000,222912,69660,216720,150777,191898,224000,164800,217789,198400,240440,0,15358,217600</t>
  </si>
  <si>
    <t>16,19,65,141,136,182,113,101,103,86,116,118,141,81,79,100,10,206,60,14,162,7,80,116,131,126,121,103,3,139,7</t>
  </si>
  <si>
    <t>22172,24890,82225,178365,166464,212150,142945,127765,129488,109564,141984,143886,178365,100283,100646,122400,13314,252144,76440,18340,204930,9170,98084,149040,164667,159390,153065,126072,3930,175835,9075</t>
  </si>
  <si>
    <t>81,1,116,140,88,112,0,220,100,66,100,168,160,89,124,128,152,96,77,193,76,60,165,76,0,1,105,112</t>
  </si>
  <si>
    <t>141993,1680,203348,245420,154264,196336,0,366960,175300,110088,169600,294504,266880,150944,210304,213504,270712,160128,130592,327328,126768,101760,289245,128896,0,1680,184065,199472</t>
  </si>
  <si>
    <t>118,0,2,108,72,112,152,100,72,133,90,129,72,121,0,56,140,116,164,152,105,3,58,112,76,136,185,3,187</t>
  </si>
  <si>
    <t>225380,0,3860,217512,140040,225568,306128,201400,145008,254030,175050,250905,145008,231110,0,106960,267400,233624,330296,311296,204225,5790,112810,229376,147820,273904,353350,5722,363715</t>
  </si>
  <si>
    <t>80,6,142,89,4,180,69,196,136,156,11,100,116,41,56,72,6,144,3,120,133,64,7,140,80,114,198,3,72,80,152</t>
  </si>
  <si>
    <t>133760,9846,226206,141777,6532,300960,108054,322616,223856,256776,17358,164600,184788,64206,87696,114696,9468,225504,4734,197520,208278,105344,11046,230440,131680,181602,315414,4708,118512,127440,238032</t>
  </si>
  <si>
    <t>165,153,124,129,192,118,104,74,87,1,59,9,123,102,140,1,91,91,124,15,109,53,82,202,57,95,118,0,1,131</t>
  </si>
  <si>
    <t>205590,193545,154504,157232,232128,149270,129584,92204,104400,663,70800,6075,147600,123318,174440,673,110019,113386,154504,10095,135814,63600,99138,183888,68913,114905,141600,0,673,163226</t>
  </si>
  <si>
    <t>110,125,50,156,67,7,135,4,181,78,119,68,109,165,77,5,73,129,87,117,169,3,145,0,49,116,91,197,80</t>
  </si>
  <si>
    <t>168630,191625,72850,239148,99361,10290,196695,5880,263717,119574,182427,100894,161595,244695,112189,7350,111909,187953,129021,182236,263302,4384,222285,0,72667,169012,139503,302001,118640</t>
  </si>
  <si>
    <t>144,288,11,0,6,198,240,162,198,84,0,222,195,126,278,156,0,4,7,198,95</t>
  </si>
  <si>
    <t>164592,334080,12809,0,6984,242748,292836,187920,233640,96012,0,265290,222885,150150,317754,178308,0,4656,8148,229680,108585</t>
  </si>
  <si>
    <t>0,193,102,124,100,122,61,113,77,84,93,99,116,113,194,0,91,67,97,86,125,96,6,46,35,85,77,3</t>
  </si>
  <si>
    <t>0,201492,104856,129456,109000,127368,65575,121475,82775,86352,99975,101772,121104,117972,199432,0,97825,73015,99716,92450,134375,98688,6386,49450,37625,88740,80388,3201</t>
  </si>
  <si>
    <t>0,115,88,0,131,122,0,80,0,99,75,70,36,92,132,74,94,136,115,68,196,107,102,40,104,64,84,0,148</t>
  </si>
  <si>
    <t>0,125695,101288,0,138860,133346,0,87440,0,109890,83250,80570,41436,97520,139920,85174,102742,148648,121900,78268,211654,120656,111486,43720,113672,73664,91812,0,170348</t>
  </si>
  <si>
    <t>14,88,136,121,92,67,61,41,86,0,123,146,3,83,0,157,52,27,0,98,70,118,80,44,235,0,127,80,0,167,0</t>
  </si>
  <si>
    <t>21602,135080,209848,176781,142372,102845,95054,63263,131236,0,189074,225278,4854,127405,0,234977,80236,42606,0,150430,106820,181130,123440,67144,367086,0,193802,122800,0,256345,0</t>
  </si>
  <si>
    <t>129,45,60,100,61,101,106,142,127,0,108,112,60,91,54,73,72,140,130,90,65,75,94,69,93</t>
  </si>
  <si>
    <t>166023,55110,77220,126500,74054,125846,134408,172388,161036,0,136944,135968,76080,115388,66528,92564,91080,175219,164840,109260,82225,95100,119192,87276,117645</t>
  </si>
  <si>
    <t>0,0,120,48,165,54,99,84,126,87,68,136,75,69,75,66,0,0,0,74,48,72,46,150,63,0,111,105,93,144</t>
  </si>
  <si>
    <t>0,0,116520,46608,160215,52380,98307,83412,128898,91554,72692,147560,74475,71346,76725,67518,0,0,0,80290,46608,69912,44666,156900,62763,0,113553,107415,91698,141681</t>
  </si>
  <si>
    <t>103,77,107,38,85,70,59,70,2,95,179,135,51,71,90,0,133,36,72,215,51,0,112,55,0,57,147,45,1</t>
  </si>
  <si>
    <t>137402,104412,142738,51484,113390,90370,74930,93380,2648,126730,231089,174285,65884,91661,114300,0,171703,48024,96048,273050,68034,0,142240,69850,0,73587,186690,60030,1324</t>
  </si>
  <si>
    <t>126,150,55,52,147,45,82,66,96,138,63,58,92,105,91,134,60,99,57,73,90,71,0,0,88,86</t>
  </si>
  <si>
    <t>223902,266550,97735,87776,252546,77310,145714,113388,164928,249366,111951,97904,163484,186585,153608,226192,101280,167112,97926,129721,162630,121978,0,0,156376,147748</t>
  </si>
  <si>
    <t>92,183,59,141,124,77,76,53,88,51,0,95,45,76,0,35,91,91,119,40,157,34,121,108,70,79</t>
  </si>
  <si>
    <t>128064,254736,82128,186825,172608,107184,100700,71391,118536,68697,0,134425,60705,105792,0,46375,126672,120575,168385,53000,218544,45798,162987,150336,92750,106413</t>
  </si>
  <si>
    <t>115,114,81,0,34,88,95,0,63,84,6,0,48,105,151,69,144,63,72,153,72,165,75,63,60,93,0,0</t>
  </si>
  <si>
    <t>144785,145806,98739,0,42126,109032,115805,0,79317,105756,7434,0,59472,132195,190109,86871,175536,76797,89208,186507,92088,204435,94425,79077,75540,117087,0,0</t>
  </si>
  <si>
    <t>78,120,120,48,46,87,33,91,96,71,60,0,99,70,60,132,105,107,129,139,0,45,32,0,52,30,141</t>
  </si>
  <si>
    <t>116688,177000,177000,70800,64906,128325,47289,128401,143616,100181,88500,0,146025,100310,85980,194700,154875,157825,182019,199187,0,64863,45152,0,73702,42330,202053</t>
  </si>
  <si>
    <t>36,29,75,40,55,158,37,0,1,151,71,71,93,6,182,2,62,67,1,79,92,54,95,52,90,247,56,1,53,31</t>
  </si>
  <si>
    <t>37728,30834,74100,41920,55770,156104,38776,0,1031,149188,74408,74408,97464,6186,184548,2062,64976,66196,1014,80106,92460,54756,96150,51376,91260,244036,59640,1031,55544,32488</t>
  </si>
  <si>
    <t>92,208,128,64,107,88,0,124,120,76,1,76,272,106,40,80,23,123,50,72,0,96</t>
  </si>
  <si>
    <t>82616,186784,126976,65856,100259,85536,0,121648,112440,73872,1029,78204,264384,106212,41160,74960,23667,113067,51180,69984,0,96000</t>
  </si>
  <si>
    <t>139,71,1,0,86,54,49,65,81,27,135,129,63,0,48,96,114,134,63,4,64,72,48,0,83,87,73,108,44</t>
  </si>
  <si>
    <t>182646,91874,1343,0,131838,70956,63406,84110,124173,35478,209925,197757,81522,0,63072,149280,174762,173396,82782,5334,82816,110376,73584,0,109062,133371,111909,155304,57816</t>
  </si>
  <si>
    <t>5,5,42,11,6,62,88,60,80,121,18,5,59,18,42,121,112,68,50,183,44,42,36,61,30,190,12,28,106,86,67</t>
  </si>
  <si>
    <t>8632,8735,71232,18378,10080,105152,154264,101760,140240,212113,30528,8480,103427,30240,71232,212113,199388,115328,84000,320799,73392,70056,60048,106933,50040,338390,20160,46704,185818,150758,111756</t>
  </si>
  <si>
    <t>55,120,58,168,81,20,52,66,20,0,0,0,114,110,38,71,49,74,39,82,52,146,97,20,135,114,0,57</t>
  </si>
  <si>
    <t>55770,128640,59661,180096,88290,21220,53196,67518,21220,0,0,0,116650,108900,38016,72633,50610,73260,40021,81647,53196,156512,99231,21240,147150,116622,0,57038</t>
  </si>
  <si>
    <t>0,71,37,83,37,68,36,61,97,72,112,41,113,60,0,87,92,122,32,75,53,0,107,88,74,86,64</t>
  </si>
  <si>
    <t>0,121978,66859,142594,64639,118796,62892,110227,175279,130104,202384,71627,197411,104820,0,151960,158056,209596,54976,137700,95771,0,196452,159016,127132,155402,115648</t>
  </si>
  <si>
    <t>72,0,69,59,51,0,75,0,54,45,109,32,39,65,63,127,76,36,0,114,0,85,128,34,63,53,61,88,68</t>
  </si>
  <si>
    <t>72864,0,73209,59708,48960,0,78250,0,51894,43200,117284,30752,39708,62465,65268,122047,73036,34596,0,115368,0,82960,124651,33422,63756,57028,59935,89056,66844</t>
  </si>
  <si>
    <t>48,50,62,30,93,1,44,0,89,32,0,71,42,128,70,66,5,77,109,50,91,38,80,48,45,6,42,105,56</t>
  </si>
  <si>
    <t>98304,98950,122698,58350,190464,1963,87076,0,182272,62240,0,145408,87451,253312,138530,128370,9815,157696,212005,99640,189553,75202,155600,93360,92160,11982,86016,215040,114688</t>
  </si>
  <si>
    <t>102,64,68,90,38,48,96,54,62,66,54,76,0,0,78,62,110,32,60,42,70,48,32,96,68,38</t>
  </si>
  <si>
    <t>128520,81856,85680,115110,45828,57888,117504,68040,75888,79596,66096,95760,0,0,95472,75888,132660,40320,75600,52920,88200,57888,38592,120960,83232,46512</t>
  </si>
  <si>
    <t>54,0,0,66,32,60,70,0,60,0,96,60,42,86,56,70,112,32,76,56,44,68,50,38,70,70,92,70,0</t>
  </si>
  <si>
    <t>58590,0,0,71610,35776,67080,78260,0,62000,0,104160,65100,45570,96148,63504,78260,107744,34208,86184,59864,49192,73780,54250,40622,74830,78260,102856,78260,0</t>
  </si>
  <si>
    <t>54,40,16,110,84,101,102,70,73,38,0,54,51,0,96,0,84,68,40,104,36,38,0,48,32,70,41,77</t>
  </si>
  <si>
    <t>76032,60160,22528,152570,116508,146450,143616,101500,108259,52288,0,78300,73950,0,133952,0,123252,93568,56320,150800,52200,52706,0,66576,44384,97090,59450,114345</t>
  </si>
  <si>
    <t>54,0,66,46,60,82,110,44,0,60,74,52,70,46,48,36,96,56,70,96,0,0,30,76,96,60,38,54</t>
  </si>
  <si>
    <t>75222,0,91938,64906,83580,114226,153230,61292,0,86820,107078,73372,98770,64078,66864,50796,133728,84336,97510,133728,0,0,42330,114456,135456,86820,53618,80298</t>
  </si>
  <si>
    <t>68,48,56,0,72,38,48,56,102,44,68,50,54,94,96,38,72,48,110,0,70,80,32,50,62,60</t>
  </si>
  <si>
    <t>96574,71952,72744,0,107928,50122,62352,73864,152898,65956,89692,65950,80946,142880,126624,49362,107928,62352,142890,0,104930,105000,41568,76000,81778,89940</t>
  </si>
  <si>
    <t>37,32,0,48,76,48,100,63,146,70,62,40,40,100,36,94,35,83,3,45,70,70,57,33,65,50,0</t>
  </si>
  <si>
    <t>43438,38080,0,60576,91884,59712,124400,76086,166440,84560,73502,46960,49760,117400,44784,118628,43190,94620,3488,55980,87080,87080,67830,39270,75350,58700,0</t>
  </si>
  <si>
    <t>104,40,50,84,48,36,80,0,70,0,110,60,96,48,44,0,38,36,72,50,52,46,58,58,50,104,62</t>
  </si>
  <si>
    <t>156416,59400,77050,124740,71280,53460,118800,0,103950,0,163350,90240,144384,71280,66176,0,56430,54144,110952,75200,78726,69184,89378,86130,74250,154440,93248</t>
  </si>
  <si>
    <t>76,51,52,68,0,1,42,66,68,60,78,36,46,76,110,96,84,30,76,36,0,41,54,45,42,70,70</t>
  </si>
  <si>
    <t>82460,50949,50492,66028,0,1008,40880,65538,67932,58260,77244,34128,48116,75924,106810,93618,81564,29130,79864,35964,0,42311,58590,44685,44898,69020,70938</t>
  </si>
  <si>
    <t>44,70,68,82,110,96,70,40,0,42,48,52,30,32,36,30,84,50,62,52,42,0,50,0,66,0,136,76</t>
  </si>
  <si>
    <t>50996,82030,83012,96238,120670,116064,82030,44760,0,48518,60432,65144,34530,40288,42924,37770,103956,60050,76738,60268,46998,0,55950,0,83094,0,158264,95564</t>
  </si>
  <si>
    <t>32,53,57,80,0,100,84,73,71,51,0,43,71,110,40,57,40,53,46,36,80,60,65,42,59,60</t>
  </si>
  <si>
    <t>51008,88828,92397,136240,0,162100,133896,118279,118996,82671,0,73202,118996,175340,64950,95532,67040,85913,73324,60336,127520,100560,108940,68082,98884,95640</t>
  </si>
  <si>
    <t>0,46,47,96,46,84,76,32,82,50,0,40,62,68,104,0,38,44,114,52,48,70,40,32,36,70,84</t>
  </si>
  <si>
    <t>0,51520,53439,109152,52302,114072,104728,43456,91840,67900,0,55120,70494,85238,141232,0,43206,59752,127680,58240,53760,95060,54320,35840,40932,79590,114072</t>
  </si>
  <si>
    <t>37,68,28,81,48,50,54,38,76,70,102,0,1,40,85,104,62,0,51,40,60,0,38,40,72,70,96,36</t>
  </si>
  <si>
    <t>48692,94316,36288,104976,64656,69350,71064,51186,114380,91278,144738,0,1349,59360,117895,135200,83514,0,68697,55992,79620,0,50426,60200,102696,97090,128134,49932</t>
  </si>
  <si>
    <t>74,38,0,96,54,36,70,62,30,38,79,96,80,0,58,0,50,110,78,40,40,44,30,48,32,90,66</t>
  </si>
  <si>
    <t>73482,37734,0,100784,58590,35748,73220,62496,30480,38608,80040,96662,83680,0,60668,0,52300,109230,81588,39720,42760,46024,29790,47664,33472,97650,65538</t>
  </si>
  <si>
    <t>54,110,104,56,0,72,41,31,36,46,97,70,36,62,0,56,52,51,41,37,54,77,46,58,68,82</t>
  </si>
  <si>
    <t>75114,154220,148632,79688,0,105480,62812,44113,50472,64492,145403,105458,52740,88226,0,78512,72904,74715,63692,51467,76842,118118,68138,81316,99620,120130</t>
  </si>
  <si>
    <t>52,30,102,34,0,48,78,42,70,22,58,0,104,110,62,42,94,44,102,30,0,56,70,40,0,32,56,50</t>
  </si>
  <si>
    <t>79300,45750,155550,54468,0,73200,124956,67284,112140,34276,90254,0,162032,167750,95914,67284,152656,68552,163404,46740,0,90944,112140,62408,0,48800,89712,80100</t>
  </si>
  <si>
    <t>90,56,45,0,33,52,77,40,54,0,31,92,84,56,110,58,56,64,28,34,57,0,0,43,82,86,51,38,0</t>
  </si>
  <si>
    <t>138780,82704,68445,0,48807,79092,117117,60840,78192,0,44888,139932,127764,81088,167310,83984,82264,98688,41412,50286,86697,0,0,62264,118736,127194,75429,57798,0</t>
  </si>
  <si>
    <t>22,88,52,76,44,68,52,42,0,58,66,52,56,62,40,30,50,76,0,84,58,0,0,110,40,62,32,96,0</t>
  </si>
  <si>
    <t>28820,118712,67080,102524,59356,91732,68120,56658,0,75980,85140,67080,73360,81220,53960,38700,67450,103968,0,108360,78242,0,0,141900,54720,81220,43168,125760,0</t>
  </si>
  <si>
    <t>105,15,126,45,42,33,123,6,63,0,69,54,63,0,57,21,15,93,51,75,24,48,3,102,84,96,0,0</t>
  </si>
  <si>
    <t>134295,19185,158646,53370,49098,40953,148848,7674,80577,0,80661,63126,80577,0,73929,24549,17535,118947,65229,87675,30696,59568,3507,126582,107436,124512,0,0</t>
  </si>
  <si>
    <t>37,32,67,67,61,56,5,77,71,12,12,17,28,48,15,37,131,26,75,37,2,37,13,45,28,34,48,25,155,62,40</t>
  </si>
  <si>
    <t>32604,28224,59094,63139,65793,60088,4790,66874,64002,11978,11496,16646,25281,51504,13680,39701,113577,23712,76772,32634,1916,32079,12454,39690,24696,30260,43776,26400,166315,55267,42920</t>
  </si>
  <si>
    <t>50,38,48,36,70,62,54,0,76,48,34,70,68,78,62,32,60,76,66,96,38,0,0,60,30,110,30</t>
  </si>
  <si>
    <t>50600,44802,49776,33336,69790,73098,60858,0,76912,49776,38318,78890,76636,77766,69874,33184,70740,75772,68442,102558,41610,0,0,67620,35370,114070,31110</t>
  </si>
  <si>
    <t>184,22,68,46,24,0,0,116,58,81,97,58,49,26,70,34,0,0,23,82,22,28,46,37,17,123,35,45</t>
  </si>
  <si>
    <t>175536,20966,64872,46092,23156,0,0,112182,56782,77274,94187,56510,48314,25142,66780,32878,0,0,22580,78548,21310,27188,45034,36795,16643,123246,34265,43695</t>
  </si>
  <si>
    <t>30,37,55,36,64,68,32,80,54,55,0,56,61,0,45,47,50,47,76,35,2,1,69,95,77,70,30,86</t>
  </si>
  <si>
    <t>49590,61161,95315,61416,105792,110568,54592,136480,87804,93830,0,95536,104066,0,74385,76422,82650,80182,129656,57855,3236,1636,117714,154470,133441,113820,48780,142158</t>
  </si>
  <si>
    <t>70,64,94,30,56,22,100,40,68,30,40,48,110,96,36,58,60,50,56,14,0,0,70,36,50,56,0</t>
  </si>
  <si>
    <t>105700,95296,154066,44670,83384,33462,159686,59560,109956,45630,64680,77616,163790,146016,58212,93786,97020,80850,91784,21294,0,0,113190,54756,74450,85176,0</t>
  </si>
  <si>
    <t>48,0,30,110,54,48,0,96,124,54,102,94,24,32,36,50,66,0,32,54,49,57,36,30,70,44</t>
  </si>
  <si>
    <t>63840,0,36120,130460,65016,56928,0,124260,149296,72846,122808,126806,28464,37952,47880,66500,78276,0,42560,71820,65170,75810,43344,35580,93100,52976</t>
  </si>
  <si>
    <t>50,21,57,111,64,99,2,14,77,6,72,32,51,87,105,4,82,77,0,35,2,0,44,56,21,49,34,35,25,22</t>
  </si>
  <si>
    <t>72400,30408,88236,174603,100672,153252,2866,19922,119196,9210,111456,45536,78948,134676,162540,5864,118736,119196,0,50680,2866,0,66072,86688,29883,70952,48382,50505,35575,31306</t>
  </si>
  <si>
    <t>75,108,72,3,31,14,69,2,50,33,30,62,45,41,15,46,48,5,55,58,47,33,50,35,44,87,36,84,8,25,14</t>
  </si>
  <si>
    <t>131325,191916,121392,5253,52266,24514,120819,3502,87550,56067,50580,108562,79861,71791,26265,80546,80928,8755,96305,98542,79242,56119,85522,61285,74795,152337,61164,142716,13826,42150,24578</t>
  </si>
  <si>
    <t>93,1,47,72,3,1,76,44,36,60,46,49,50,88,42,31,71,0,48,40,90,3,49,54,24,31,34,54,79</t>
  </si>
  <si>
    <t>106113,1171,64813,92524,3513,1171,106552,60676,41796,82740,53406,67571,57050,121352,48762,35371,82011,0,66192,56080,104490,3565,55909,61614,27864,35371,40674,74466,108941</t>
  </si>
  <si>
    <t>49,49,39,27,0,58,60,70,72,16,50,24,53,50,0,29,21,0,44,37,129,51,27,102,114,80,49</t>
  </si>
  <si>
    <t>93198,88494,74178,48762,0,110316,109832,126420,139248,28896,90300,44112,97414,95100,0,54902,37926,0,83688,70374,245358,97002,49626,194004,220476,147040,90062</t>
  </si>
  <si>
    <t>70,0,44,28,70,41,43,52,36,44,54,0,45,53,54,42,38,0,74,30,119,0,90,35,56,57,48,50</t>
  </si>
  <si>
    <t>73430,0,42460,26432,73430,39565,40592,54548,34740,46156,57456,0,42480,50704,56646,44058,36670,0,75206,28320,114835,0,95760,33775,58744,53808,45312,52450</t>
  </si>
  <si>
    <t>84,65,36,22,90,0,58,80,48,70,22,69,37,40,52,14,43,43,46,39,67,28,64,0,59,0,76</t>
  </si>
  <si>
    <t>122052,93015,55404,31966,128790,0,84274,123120,74976,107730,31482,106191,52947,61560,75556,20342,66177,66177,65826,56667,103113,40068,96905,0,85727,0,118712</t>
  </si>
  <si>
    <t>1,23,45,5,32,79,38,58,27,16,20,5,93,108,87,40,38,58,59,50,37,79,87,0,41,43,0,39,15</t>
  </si>
  <si>
    <t>1572,35880,73755,7744,49946,129481,60268,96628,42120,24960,31200,7860,152427,177012,142593,65560,60268,90480,98294,81950,58682,129481,140897,0,63960,68198,0,61854,24585</t>
  </si>
  <si>
    <t>74,10,0,70,58,0,74,36,27,90,36,23,35,63,60,32,47,43,0,33,40,41,0,84,0,98,68,57</t>
  </si>
  <si>
    <t>58312,7540,0,55160,45704,0,59200,28800,21276,68850,28368,17342,26775,48195,45240,24480,35438,33884,0,24882,31520,32308,0,64260,0,73892,53584,43605</t>
  </si>
  <si>
    <t>0,0,70,0,40,85,53,43,57,77,78,17,29,54,23,91,75,47,37,1,27,24,1,41,35,38,43,68,44</t>
  </si>
  <si>
    <t>0,0,108990,0,47680,134045,82521,67811,68692,93709,97422,20264,35293,64368,27991,141687,89400,57143,44104,1233,32184,37368,1233,51209,54495,46246,56171,105876,53548</t>
  </si>
  <si>
    <t>77,72,74,24,32,40,52,41,17,40,56,36,56,74,36,0,70,57,86,51,47,44,34,43,32</t>
  </si>
  <si>
    <t>120263,123336,98050,31800,42400,67600,69888,55473,22525,67600,94640,60840,74200,100122,60840,0,118300,75525,145340,69003,63591,75372,46002,72670,44360</t>
  </si>
  <si>
    <t>72,47,39,0,26,0,36,0,76,35,24,29,59,58,44,33,53,78,56,45,45,88,34,48,35,63,51</t>
  </si>
  <si>
    <t>96255,62933,48321,0,34814,0,44604,0,95124,43405,31016,34771,71701,73142,58916,44187,67907,98322,72744,53955,53955,104632,43766,63972,43845,83177,69139</t>
  </si>
  <si>
    <t>30,31,66,51,87,33,37,46,70,56,38,30,0,0,57,18,84,37,0,88,59,44,49,0,62,92,0,0</t>
  </si>
  <si>
    <t>37230,39649,84414,65229,112839,40953,45917,56212,89530,69496,48602,36660,0,0,72903,21996,104244,47323,0,109208,76523,56276,59878,0,79298,112424,0,0</t>
  </si>
  <si>
    <t>47,3,31,52,23,34,4,44,9,7,66,91,37,58,25,25,43,37,44,9,23,32,74,63,19,114,31,1,5,2,77</t>
  </si>
  <si>
    <t>89394,5469,56947,98904,42251,64668,7348,85096,16407,12761,125532,175994,66785,110316,45125,45925,78991,67969,83688,16296,41515,57760,140748,113715,34903,216828,55955,1823,9115,3790,146454</t>
  </si>
  <si>
    <t>108,4,2,83,57,41,3,29,9,33,30,38,43,1,72,24,31,35,64,49,58,1,44,23,23,30,28,102,43,22</t>
  </si>
  <si>
    <t>192348,6720,3360,145499,96672,71873,5040,48372,15045,55044,50880,66614,76527,1680,126216,40704,51708,59304,112192,81732,96744,1680,77132,39008,38364,52590,47488,178806,75379,37312</t>
  </si>
  <si>
    <t>4,22,48,100,23,3,4,23,51,32,6,42,26,33,55,23,29,51,27,64,93,11,17,5,35,62,38,67,14,75,38</t>
  </si>
  <si>
    <t>6132,32868,71712,157200,34362,4766,6185,34362,80172,47808,9198,66024,38844,50160,86460,34960,44080,80172,42444,100608,148707,16538,25840,7665,53174,99111,59736,101840,21462,117900,57760</t>
  </si>
  <si>
    <t>48,109,62,7,1,57,22,20,33,83,50,62,105,34,43,49,25,29,17,9,66,109,29,0,35,15,1</t>
  </si>
  <si>
    <t>51600,117175,67642,7245,1039,58995,22770,20700,34683,89225,52150,66650,114555,35462,46225,52675,25875,30015,17731,9483,70950,117175,30247,0,37625,15645,1039</t>
  </si>
  <si>
    <t>57,25,67,33,42,57,29,56,23,16,58,53,48,17,32,46,66,30,48,0,18,0,1,94,88,60,1,27</t>
  </si>
  <si>
    <t>85499,33575,89981,43032,54598,72675,37816,72408,29420,20400,73892,69112,62256,21675,40768,58650,84084,39666,61152,0,22950,0,1561,121542,112112,80580,1561,35208</t>
  </si>
  <si>
    <t>40,58,30,48,34,0,0,41,63,19,31,71,91,24,32,40,37,81,42,0,58,0,61,52,20,27,42,42</t>
  </si>
  <si>
    <t>48200,68672,36150,57840,39576,0,0,49801,75915,22116,36704,85555,111384,27936,37248,46560,43808,97605,50313,0,67512,0,74569,61568,23680,31968,50610,50610</t>
  </si>
  <si>
    <t>96,50,52,32,0,68,34,24,18,37,47,35,34,35,27,72,52,31,60,0,26,44,0,52,49,33,37</t>
  </si>
  <si>
    <t>168192,83400,89648,55168,0,111520,56712,39360,31032,63788,77892,57400,58616,58380,46548,124128,90992,53164,100080,0,44824,72160,0,89648,80360,54120,61716</t>
  </si>
  <si>
    <t>60,42,78,46,76,0,3,22,35,45,126,28,30,42,41,26,38,28,82,16,3,22,31,37,42,18,24</t>
  </si>
  <si>
    <t>75600,52920,92664,57960,92644,0,3534,26136,44100,54715,149688,35868,35640,52920,48708,32760,48678,34132,97416,20160,3594,27720,39060,45103,50631,21942,29461</t>
  </si>
  <si>
    <t>110,52,10,42,62,3,42,2,11,56,32,48,52,3,0,4,42,1,37,62,0,33,41,96,57,62,32,16,4,19</t>
  </si>
  <si>
    <t>103950,49140,10280,43176,59520,2943,40320,1962,11188,52920,30240,48238,49140,3177,0,3838,39690,981,37196,59520,0,35069,39416,92160,54720,59520,32496,15808,4072,19012</t>
  </si>
  <si>
    <t>0,70,64,76,27,44,25,26,0,35,16,28,24,58,28,32,36,28,112,0,72,35,55,21,57,17,31,0,0,0</t>
  </si>
  <si>
    <t>0,107310,81448,98872,33804,66572,37825,32552,0,52955,20032,42364,36312,72616,42924,40864,45972,35124,143024,0,101298,52955,68860,26292,86241,25721,39587,0,0,0</t>
  </si>
  <si>
    <t>35,35,2,71,35,0,47,26,34,29,27,27,56,42,0,16,69,67,60,56,0,32,69,24,40,45,37,35</t>
  </si>
  <si>
    <t>45395,43365,2554,87969,43365,0,62322,32214,45084,36482,32427,33966,70182,54474,0,20868,92874,82861,77820,72632,0,39648,89493,29736,48040,56610,49802,46410</t>
  </si>
  <si>
    <t>61,70,11,42,32,46,0,96,11,0,35,68,0,76,38,48,0,70,0,84,50,40,36,25,76</t>
  </si>
  <si>
    <t>81618,88976,14459,56196,39680,61548,0,119040,15026,0,48615,90372,0,90288,52825,59520,0,86800,0,112392,65450,50320,45864,34775,98434</t>
  </si>
  <si>
    <t>54,0,30,31,33,30,46,0,62,60,37,29,20,35,57,0,9,57,1,36,17,87,27,16,41,15,162,11</t>
  </si>
  <si>
    <t>61398,0,33840,36301,38643,33330,54648,0,70494,70260,42069,33959,23760,40985,63531,0,10539,62016,963,39996,19907,94458,29997,18736,47603,17565,179982,12507</t>
  </si>
  <si>
    <t>0,27,0,42,27,14,0,42,30,54,50,0,56,62,0,5,136,2,3,46,54,48,1,31,74,25,110,5,44</t>
  </si>
  <si>
    <t>0,30915,0,47670,30915,14560,0,43680,31200,56160,51200,0,57344,64480,0,5793,141440,2290,3486,47104,61830,49152,1145,35495,75776,28625,112640,5725,50380</t>
  </si>
  <si>
    <t>44,14,30,7,0,0,32,56,50,43,41,0,25,22,38,34,0,35,66,96,68,62,44,0,46,27,30,76</t>
  </si>
  <si>
    <t>51128,16578,34860,8435,0,0,37184,65072,58950,49966,48339,0,36850,32428,44802,50116,0,51590,77814,113184,90352,73098,64856,0,54234,39798,44220,88312</t>
  </si>
  <si>
    <t>26,64,18,1,57,42,65,53,46,20,1,15,40,31,30,34,43,9,50,22,24,6,56,59,76,44,31,19</t>
  </si>
  <si>
    <t>33670,78144,22554,1231,69597,54390,84175,68635,59570,25900,1231,18795,51800,38502,36630,42503,52503,10969,62650,26862,30282,7386,73696,76405,100016,56980,37851,23807</t>
  </si>
  <si>
    <t>24,44,34,18,27,43,42,8,48,29,5,33,37,12,15,25,3,38,32,46,10,48,48,31,33,59,58,11,5,60,45</t>
  </si>
  <si>
    <t>43212,77352,62832,32184,48276,79464,77616,14664,85824,50982,9210,59004,68376,21996,26820,46200,5499,66804,56256,85008,17970,89922,84384,55428,60984,110743,107184,20163,9165,105480,83160</t>
  </si>
  <si>
    <t>50,35,0,32,46,45,68,32,50,25,0,76,26,18,34,42,23,38,56,55,46,35,33,31,30,36</t>
  </si>
  <si>
    <t>79150,55405,0,48960,69184,67680,109480,48960,79150,39575,0,114304,39780,28494,53822,63168,35402,60154,88648,84150,69184,55405,50490,46624,45900,57879</t>
  </si>
  <si>
    <t>35,39,26,78,24,27,28,56,32,36,1,19,35,55,0,38,57,43,31,28,27,18,19,68,96,41</t>
  </si>
  <si>
    <t>56735,63219,40742,122226,36960,42309,43876,90776,50144,58356,1580,29773,56735,84700,0,62570,92397,69703,47740,43120,41580,27720,29773,110228,158208,66461</t>
  </si>
  <si>
    <t>15,32,37,71,30,37,17,53,61,33,16,44,59,55,27,48,62,53,16,0,33,38,0,35,44,16</t>
  </si>
  <si>
    <t>18875,42784,48026,98903,37440,48507,22066,73829,82982,41184,21100,60456,76582,68860,35046,62928,81282,71126,20464,0,41184,49324,0,45430,58828,21314</t>
  </si>
  <si>
    <t>66,35,23,86,74,33,0,44,0,1,9,3,44,66,21,61,31,39,2,66,20,0,0,14,42,88,16,26</t>
  </si>
  <si>
    <t>80124,48020,31119,103144,87246,45067,0,51876,0,1353,12177,4059,51876,75434,28413,68808,34968,43992,2428,75570,24280,0,0,15792,47376,102120,21648,29328</t>
  </si>
  <si>
    <t>48,24,36,41,37,25,21,31,71,21,41,42,43,55,53,37,0,36,36,33,0,55,21,31,23,38</t>
  </si>
  <si>
    <t>54240,25944,40680,44321,41810,27425,23037,34007,81366,22701,46330,47460,46483,59455,60738,39997,0,40680,40680,37290,0,60335,23037,34007,25990,41686</t>
  </si>
  <si>
    <t>21,20,8,25,12,23,7,14,50,5,17,46,34,25,13,3,6,27,0,18,12,28,81,46,59,45,44,37,37,109</t>
  </si>
  <si>
    <t>29862,28440,7418,22775,16512,32706,6643,19816,71100,4745,23392,65412,48348,34681,18486,3272,5694,37175,0,24768,16512,38276,113319,41906,82541,62505,61556,50634,50912,99299</t>
  </si>
  <si>
    <t>40,10,55,50,56,42,0,76,61,70,43,40,72,46,96,76,0,38,0</t>
  </si>
  <si>
    <t>59400,15040,99873,77050,103320,63168,0,117116,90585,103950,63855,60160,110952,68310,144384,140220,0,57152,0</t>
  </si>
  <si>
    <t>34,27,0,25,20,51,38,44,23,0,32,24,0,16,28,51,47,16,30,34,0,33,35,0,28,56,75,50,42</t>
  </si>
  <si>
    <t>45560,36747,0,35050,27220,77418,53276,66792,30820,0,43531,32160,0,23056,37609,68822,67351,21440,44198,46274,0,43890,49411,0,41888,75040,109875,71650,56280</t>
  </si>
  <si>
    <t>38,50,0,28,26,0,30,25,37,20,32,24,35,56,0,0,79,35,15,52,35,12,33,23,63,54,36,0,18</t>
  </si>
  <si>
    <t>65930,84250,0,46480,45110,0,52050,43375,62345,33700,53920,39840,61600,92960,0,0,137065,58975,24900,90220,60725,20820,54780,38180,110880,93690,60635,0,30330</t>
  </si>
  <si>
    <t>31,20,0,15,1,0,7,20,9,46,12,8,3,82,14,31,112,24,16,0,32,11,42,19,88,110,21,15,32,31</t>
  </si>
  <si>
    <t>42656,28260,0,21195,1255,0,9632,25100,12717,55798,15060,10006,4239,99466,20034,38130,135856,33912,22608,0,45792,13805,50946,26847,106744,133430,29673,21195,39616,38330</t>
  </si>
  <si>
    <t>2,22,27,28,50,21,1,31,35,41,31,52,61,50,57,26,38,0,1,27,20,4,40,39,31,20,27,36,1,33</t>
  </si>
  <si>
    <t>3654,38192,46872,49476,88350,39029,1827,54777,64015,74989,53816,95108,113460,91450,98952,45942,67115,0,1827,49383,34720,7252,73160,71331,56699,35340,49383,63612,1798,57288</t>
  </si>
  <si>
    <t>21,32,0,17,50,24,31,17,47,0,37,43,0,25,45,33,50,21,44,40,33,31,19,0,65,46,21,56</t>
  </si>
  <si>
    <t>16653,24928,0,13243,41000,19032,24149,13481,38540,0,30340,35260,0,20850,36900,26169,39650,16680,36080,32800,26155,24149,14801,0,54210,37720,17220,43624</t>
  </si>
  <si>
    <t>38,1,15,23,26,38,39,19,36,33,1,17,17,0,27,30,59,2,47,33,31,0,57,35,55,44,37,53,30</t>
  </si>
  <si>
    <t>52934,1457,21375,32775,36504,53352,60645,26467,52812,47004,1457,23868,25071,0,41391,45264,90742,2914,68949,49500,43524,0,83619,51345,77220,61776,54279,74917,42750</t>
  </si>
  <si>
    <t>69,0,24,15,20,36,2,22,58,49,38,18,22,50,0,2,18,49,33,54,42,58,9,0,30,29,0,23,52,16</t>
  </si>
  <si>
    <t>118059,0,43632,26280,35100,61704,3798,37708,101790,88690,66690,31536,39215,87456,0,3798,31536,85848,56679,94770,73710,105444,15426,0,52650,49826,0,40644,91260,28568</t>
  </si>
  <si>
    <t>15,30,33,32,44,0,33,2,33,23,48,48,59,47,34,27,41,25,30,26,27,23,34,1,33,3,52,34</t>
  </si>
  <si>
    <t>27195,54390,60819,61440,84480,0,63360,3770,61347,42879,92160,89232,106967,90240,66210,48951,78720,46475,54390,48302,51840,42757,65280,1900,63360,5700,101400,61642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</si>
</sst>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\.mm\.yyyy"/>
    <numFmt numFmtId="165" formatCode="#\ ##0.00"/>
    <numFmt numFmtId="166" formatCode="#\ ##0.00_ ;[Red]\-#\ ##0.00\ "/>
    <numFmt numFmtId="167" formatCode="#\ ##0_ ;[Red]\-#\ ##0\ "/>
    <numFmt numFmtId="168" formatCode="#\ ##0"/>
    <numFmt numFmtId="169" formatCode="#\ ##0.000"/>
    <numFmt numFmtId="170" formatCode="0.00_ "/>
    <numFmt numFmtId="171" formatCode="0_ "/>
    <numFmt numFmtId="172" formatCode="[$₩-412]#\ ##0.00;\-[$₩-412]#\ ##0.00"/>
    <numFmt numFmtId="173" formatCode="0.0000"/>
  </numFmts>
  <fonts count="36">
    <font>
      <sz val="10.0"/>
      <color rgb="FF000000"/>
      <name val="Calibri"/>
      <scheme val="minor"/>
    </font>
    <font>
      <sz val="10.0"/>
      <color rgb="FF77767E"/>
      <name val="&quot;WB Hauss VF&quot;"/>
    </font>
    <font>
      <b/>
      <i/>
      <sz val="16.0"/>
      <color theme="1"/>
      <name val="Arial"/>
    </font>
    <font>
      <sz val="9.0"/>
      <color theme="1"/>
      <name val="Arial"/>
    </font>
    <font>
      <sz val="8.0"/>
      <color theme="1"/>
      <name val="Arial"/>
    </font>
    <font/>
    <font>
      <b/>
      <sz val="8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theme="1"/>
      <name val="Calibri"/>
    </font>
    <font>
      <sz val="10.0"/>
      <color theme="1"/>
      <name val="Calibri"/>
    </font>
    <font>
      <b/>
      <sz val="11.0"/>
      <color theme="1"/>
      <name val="Arial"/>
    </font>
    <font>
      <i/>
      <sz val="10.0"/>
      <color theme="1"/>
      <name val="Calibri"/>
    </font>
    <font>
      <b/>
      <i/>
      <sz val="10.0"/>
      <color theme="1"/>
      <name val="Calibri"/>
    </font>
    <font>
      <b/>
      <sz val="10.0"/>
      <color theme="1"/>
      <name val="Arial"/>
    </font>
    <font>
      <b/>
      <sz val="8.0"/>
      <color theme="1"/>
      <name val="Teko"/>
    </font>
    <font>
      <b/>
      <sz val="10.0"/>
      <color theme="1"/>
      <name val="Times New Roman"/>
    </font>
    <font>
      <sz val="9.0"/>
      <color theme="1"/>
      <name val="Calibri"/>
    </font>
    <font>
      <b/>
      <i/>
      <sz val="10.0"/>
      <color rgb="FF000000"/>
      <name val="Arial"/>
    </font>
    <font>
      <sz val="8.0"/>
      <color rgb="FFFF0000"/>
      <name val="Arial"/>
    </font>
    <font>
      <sz val="8.0"/>
      <color rgb="FF000000"/>
      <name val="Arial"/>
    </font>
    <font>
      <sz val="10.0"/>
      <color rgb="FF000000"/>
      <name val="Calibri"/>
    </font>
    <font>
      <i/>
      <sz val="8.0"/>
      <color rgb="FF000000"/>
      <name val="Arial"/>
    </font>
    <font>
      <sz val="8.0"/>
      <color rgb="FF000000"/>
      <name val="Calibri"/>
    </font>
    <font>
      <b/>
      <sz val="10.0"/>
      <color rgb="FF000000"/>
      <name val="Arial"/>
    </font>
    <font>
      <sz val="11.0"/>
      <color theme="1"/>
      <name val="Calibri"/>
    </font>
    <font>
      <i/>
      <sz val="9.0"/>
      <color rgb="FF000000"/>
      <name val="Arial"/>
    </font>
    <font>
      <sz val="9.0"/>
      <color rgb="FF000000"/>
      <name val="Arial"/>
    </font>
    <font>
      <sz val="10.0"/>
      <color rgb="FFFF0000"/>
      <name val="Arial"/>
    </font>
    <font>
      <color theme="1"/>
      <name val="Calibri"/>
      <scheme val="minor"/>
    </font>
    <font>
      <b/>
      <sz val="11.0"/>
      <color theme="1"/>
      <name val="Calibri"/>
    </font>
    <font>
      <b/>
      <sz val="9.0"/>
      <color theme="1"/>
      <name val="Arial"/>
    </font>
    <font>
      <sz val="10.0"/>
      <color rgb="FF242429"/>
      <name val="&quot;WB Currency&quot;"/>
    </font>
    <font>
      <sz val="11.0"/>
      <color rgb="FF000000"/>
      <name val="-apple-system"/>
    </font>
    <font>
      <sz val="11.0"/>
      <color rgb="FF26282C"/>
      <name val="Roboto"/>
    </font>
    <font>
      <b/>
      <sz val="8.0"/>
      <color rgb="FF00000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F0F0F3"/>
        <bgColor rgb="FFF0F0F3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0C0C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BE4D5"/>
        <bgColor rgb="FFFBE4D5"/>
      </patternFill>
    </fill>
    <fill>
      <patternFill patternType="solid">
        <fgColor rgb="FFE6E6E6"/>
        <bgColor rgb="FFE6E6E6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9C9C9"/>
        <bgColor rgb="FFC9C9C9"/>
      </patternFill>
    </fill>
  </fills>
  <borders count="7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ck">
        <color rgb="FF000000"/>
      </left>
      <right style="medium">
        <color rgb="FF000000"/>
      </right>
      <top style="medium">
        <color rgb="FFCCCCCC"/>
      </top>
      <bottom/>
    </border>
    <border>
      <left style="medium">
        <color rgb="FF000000"/>
      </left>
      <right style="medium">
        <color rgb="FF000000"/>
      </right>
      <top style="medium">
        <color rgb="FFCCCCCC"/>
      </top>
      <bottom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</borders>
  <cellStyleXfs count="1">
    <xf borderId="0" fillId="0" fontId="0" numFmtId="0" applyAlignment="1" applyFont="1"/>
  </cellStyleXfs>
  <cellXfs count="46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vertical="center"/>
    </xf>
    <xf borderId="2" fillId="3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3" fillId="0" fontId="4" numFmtId="164" xfId="0" applyAlignment="1" applyBorder="1" applyFont="1" applyNumberFormat="1">
      <alignment horizontal="center" vertical="center"/>
    </xf>
    <xf borderId="4" fillId="0" fontId="5" numFmtId="0" xfId="0" applyBorder="1" applyFont="1"/>
    <xf borderId="0" fillId="0" fontId="4" numFmtId="165" xfId="0" applyAlignment="1" applyFont="1" applyNumberFormat="1">
      <alignment horizontal="center" vertical="center"/>
    </xf>
    <xf borderId="0" fillId="0" fontId="6" numFmtId="166" xfId="0" applyAlignment="1" applyFont="1" applyNumberFormat="1">
      <alignment horizontal="center" vertical="center"/>
    </xf>
    <xf borderId="0" fillId="0" fontId="6" numFmtId="167" xfId="0" applyAlignment="1" applyFont="1" applyNumberFormat="1">
      <alignment horizontal="center" vertical="center"/>
    </xf>
    <xf borderId="1" fillId="4" fontId="4" numFmtId="0" xfId="0" applyAlignment="1" applyBorder="1" applyFill="1" applyFont="1">
      <alignment shrinkToFit="0" vertical="center" wrapText="1"/>
    </xf>
    <xf borderId="0" fillId="4" fontId="4" numFmtId="165" xfId="0" applyAlignment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borderId="0" fillId="0" fontId="4" numFmtId="9" xfId="0" applyAlignment="1" applyFont="1" applyNumberFormat="1">
      <alignment shrinkToFit="0" vertical="center" wrapText="1"/>
    </xf>
    <xf borderId="0" fillId="0" fontId="4" numFmtId="165" xfId="0" applyAlignment="1" applyFont="1" applyNumberFormat="1">
      <alignment vertical="center"/>
    </xf>
    <xf borderId="5" fillId="0" fontId="6" numFmtId="165" xfId="0" applyAlignment="1" applyBorder="1" applyFont="1" applyNumberFormat="1">
      <alignment horizontal="center" vertical="center"/>
    </xf>
    <xf borderId="6" fillId="3" fontId="6" numFmtId="165" xfId="0" applyAlignment="1" applyBorder="1" applyFont="1" applyNumberFormat="1">
      <alignment vertical="center"/>
    </xf>
    <xf borderId="7" fillId="0" fontId="6" numFmtId="165" xfId="0" applyAlignment="1" applyBorder="1" applyFont="1" applyNumberFormat="1">
      <alignment horizontal="left" vertical="center"/>
    </xf>
    <xf borderId="7" fillId="0" fontId="4" numFmtId="165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vertical="center"/>
    </xf>
    <xf borderId="2" fillId="3" fontId="6" numFmtId="10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4" fillId="0" fontId="4" numFmtId="165" xfId="0" applyAlignment="1" applyBorder="1" applyFont="1" applyNumberFormat="1">
      <alignment vertical="center"/>
    </xf>
    <xf borderId="0" fillId="0" fontId="7" numFmtId="10" xfId="0" applyAlignment="1" applyFont="1" applyNumberFormat="1">
      <alignment vertical="center"/>
    </xf>
    <xf borderId="0" fillId="0" fontId="4" numFmtId="0" xfId="0" applyFont="1"/>
    <xf borderId="0" fillId="0" fontId="8" numFmtId="0" xfId="0" applyFont="1"/>
    <xf borderId="0" fillId="0" fontId="8" numFmtId="165" xfId="0" applyFont="1" applyNumberFormat="1"/>
    <xf borderId="0" fillId="0" fontId="4" numFmtId="0" xfId="0" applyAlignment="1" applyFont="1">
      <alignment shrinkToFit="0" vertical="center" wrapText="1"/>
    </xf>
    <xf borderId="2" fillId="3" fontId="9" numFmtId="9" xfId="0" applyAlignment="1" applyBorder="1" applyFont="1" applyNumberForma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right" shrinkToFit="0" wrapText="1"/>
    </xf>
    <xf borderId="0" fillId="4" fontId="4" numFmtId="165" xfId="0" applyAlignment="1" applyFont="1" applyNumberFormat="1">
      <alignment horizontal="center" shrinkToFit="0" wrapText="1"/>
    </xf>
    <xf borderId="0" fillId="0" fontId="4" numFmtId="165" xfId="0" applyAlignment="1" applyFont="1" applyNumberFormat="1">
      <alignment horizontal="center" shrinkToFit="0" wrapText="1"/>
    </xf>
    <xf borderId="0" fillId="0" fontId="4" numFmtId="165" xfId="0" applyAlignment="1" applyFont="1" applyNumberFormat="1">
      <alignment horizontal="right" shrinkToFit="0" wrapText="1"/>
    </xf>
    <xf borderId="0" fillId="0" fontId="4" numFmtId="165" xfId="0" applyAlignment="1" applyFont="1" applyNumberFormat="1">
      <alignment horizontal="right"/>
    </xf>
    <xf borderId="10" fillId="0" fontId="4" numFmtId="165" xfId="0" applyAlignment="1" applyBorder="1" applyFont="1" applyNumberFormat="1">
      <alignment horizontal="center" vertical="center"/>
    </xf>
    <xf borderId="11" fillId="0" fontId="4" numFmtId="165" xfId="0" applyAlignment="1" applyBorder="1" applyFont="1" applyNumberFormat="1">
      <alignment vertical="center"/>
    </xf>
    <xf borderId="11" fillId="0" fontId="4" numFmtId="165" xfId="0" applyAlignment="1" applyBorder="1" applyFont="1" applyNumberFormat="1">
      <alignment horizontal="left" vertical="center"/>
    </xf>
    <xf borderId="12" fillId="0" fontId="4" numFmtId="165" xfId="0" applyAlignment="1" applyBorder="1" applyFont="1" applyNumberFormat="1">
      <alignment vertical="center"/>
    </xf>
    <xf borderId="2" fillId="3" fontId="11" numFmtId="168" xfId="0" applyAlignment="1" applyBorder="1" applyFont="1" applyNumberFormat="1">
      <alignment horizontal="center" vertical="center"/>
    </xf>
    <xf borderId="13" fillId="3" fontId="10" numFmtId="10" xfId="0" applyAlignment="1" applyBorder="1" applyFont="1" applyNumberFormat="1">
      <alignment horizontal="center" shrinkToFit="0" vertical="center" wrapText="1"/>
    </xf>
    <xf borderId="14" fillId="0" fontId="10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vertical="center"/>
    </xf>
    <xf borderId="15" fillId="3" fontId="6" numFmtId="165" xfId="0" applyAlignment="1" applyBorder="1" applyFont="1" applyNumberFormat="1">
      <alignment vertical="center"/>
    </xf>
    <xf borderId="11" fillId="0" fontId="6" numFmtId="169" xfId="0" applyAlignment="1" applyBorder="1" applyFont="1" applyNumberFormat="1">
      <alignment vertical="center"/>
    </xf>
    <xf borderId="2" fillId="5" fontId="6" numFmtId="10" xfId="0" applyAlignment="1" applyBorder="1" applyFill="1" applyFont="1" applyNumberFormat="1">
      <alignment horizontal="center" vertical="center"/>
    </xf>
    <xf borderId="16" fillId="5" fontId="4" numFmtId="0" xfId="0" applyAlignment="1" applyBorder="1" applyFont="1">
      <alignment vertical="center"/>
    </xf>
    <xf borderId="17" fillId="5" fontId="4" numFmtId="0" xfId="0" applyAlignment="1" applyBorder="1" applyFont="1">
      <alignment vertical="center"/>
    </xf>
    <xf borderId="18" fillId="5" fontId="4" numFmtId="165" xfId="0" applyAlignment="1" applyBorder="1" applyFont="1" applyNumberFormat="1">
      <alignment vertical="center"/>
    </xf>
    <xf borderId="19" fillId="3" fontId="12" numFmtId="0" xfId="0" applyAlignment="1" applyBorder="1" applyFont="1">
      <alignment horizontal="center" shrinkToFit="0" vertical="center" wrapText="1"/>
    </xf>
    <xf borderId="20" fillId="0" fontId="12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right" vertical="center"/>
    </xf>
    <xf borderId="14" fillId="0" fontId="4" numFmtId="9" xfId="0" applyAlignment="1" applyBorder="1" applyFont="1" applyNumberFormat="1">
      <alignment horizontal="center" vertical="center"/>
    </xf>
    <xf borderId="0" fillId="0" fontId="4" numFmtId="169" xfId="0" applyAlignment="1" applyFont="1" applyNumberFormat="1">
      <alignment vertical="center"/>
    </xf>
    <xf borderId="0" fillId="0" fontId="4" numFmtId="0" xfId="0" applyAlignment="1" applyFont="1">
      <alignment vertical="center"/>
    </xf>
    <xf borderId="21" fillId="3" fontId="12" numFmtId="0" xfId="0" applyAlignment="1" applyBorder="1" applyFont="1">
      <alignment horizontal="center" shrinkToFit="0" vertical="center" wrapText="1"/>
    </xf>
    <xf borderId="22" fillId="0" fontId="12" numFmtId="0" xfId="0" applyAlignment="1" applyBorder="1" applyFont="1">
      <alignment horizontal="center" shrinkToFit="0" vertical="center" wrapText="1"/>
    </xf>
    <xf borderId="23" fillId="0" fontId="5" numFmtId="0" xfId="0" applyBorder="1" applyFont="1"/>
    <xf borderId="1" fillId="4" fontId="4" numFmtId="165" xfId="0" applyAlignment="1" applyBorder="1" applyFont="1" applyNumberFormat="1">
      <alignment horizontal="center" shrinkToFit="0" wrapText="1"/>
    </xf>
    <xf borderId="1" fillId="6" fontId="4" numFmtId="165" xfId="0" applyAlignment="1" applyBorder="1" applyFill="1" applyFont="1" applyNumberFormat="1">
      <alignment horizontal="center" shrinkToFit="0" wrapText="1"/>
    </xf>
    <xf borderId="1" fillId="6" fontId="4" numFmtId="165" xfId="0" applyAlignment="1" applyBorder="1" applyFont="1" applyNumberFormat="1">
      <alignment horizontal="right" shrinkToFit="0" wrapText="1"/>
    </xf>
    <xf borderId="1" fillId="6" fontId="4" numFmtId="165" xfId="0" applyAlignment="1" applyBorder="1" applyFont="1" applyNumberFormat="1">
      <alignment horizontal="right"/>
    </xf>
    <xf borderId="24" fillId="3" fontId="6" numFmtId="10" xfId="0" applyAlignment="1" applyBorder="1" applyFont="1" applyNumberFormat="1">
      <alignment vertical="center"/>
    </xf>
    <xf borderId="7" fillId="0" fontId="4" numFmtId="169" xfId="0" applyAlignment="1" applyBorder="1" applyFont="1" applyNumberFormat="1">
      <alignment vertical="center"/>
    </xf>
    <xf borderId="21" fillId="3" fontId="13" numFmtId="0" xfId="0" applyAlignment="1" applyBorder="1" applyFont="1">
      <alignment horizontal="center" shrinkToFit="0" vertical="center" wrapText="1"/>
    </xf>
    <xf borderId="0" fillId="0" fontId="4" numFmtId="2" xfId="0" applyAlignment="1" applyFont="1" applyNumberFormat="1">
      <alignment horizontal="right" shrinkToFit="0" wrapText="1"/>
    </xf>
    <xf borderId="11" fillId="0" fontId="4" numFmtId="165" xfId="0" applyAlignment="1" applyBorder="1" applyFont="1" applyNumberFormat="1">
      <alignment horizontal="center" vertical="center"/>
    </xf>
    <xf borderId="25" fillId="3" fontId="6" numFmtId="10" xfId="0" applyAlignment="1" applyBorder="1" applyFont="1" applyNumberFormat="1">
      <alignment vertical="center"/>
    </xf>
    <xf borderId="26" fillId="0" fontId="4" numFmtId="169" xfId="0" applyAlignment="1" applyBorder="1" applyFont="1" applyNumberFormat="1">
      <alignment vertical="center"/>
    </xf>
    <xf borderId="26" fillId="0" fontId="4" numFmtId="165" xfId="0" applyAlignment="1" applyBorder="1" applyFont="1" applyNumberFormat="1">
      <alignment vertical="center"/>
    </xf>
    <xf borderId="27" fillId="0" fontId="4" numFmtId="165" xfId="0" applyAlignment="1" applyBorder="1" applyFont="1" applyNumberFormat="1">
      <alignment vertical="center"/>
    </xf>
    <xf borderId="0" fillId="0" fontId="7" numFmtId="0" xfId="0" applyAlignment="1" applyFont="1">
      <alignment shrinkToFit="0" vertical="center" wrapText="1"/>
    </xf>
    <xf borderId="28" fillId="3" fontId="9" numFmtId="9" xfId="0" applyAlignment="1" applyBorder="1" applyFont="1" applyNumberFormat="1">
      <alignment horizontal="center" shrinkToFit="0" vertical="center" wrapText="1"/>
    </xf>
    <xf borderId="29" fillId="0" fontId="13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30" fillId="0" fontId="14" numFmtId="167" xfId="0" applyAlignment="1" applyBorder="1" applyFont="1" applyNumberFormat="1">
      <alignment horizontal="center" vertical="center"/>
    </xf>
    <xf borderId="31" fillId="0" fontId="5" numFmtId="0" xfId="0" applyBorder="1" applyFont="1"/>
    <xf borderId="32" fillId="0" fontId="5" numFmtId="0" xfId="0" applyBorder="1" applyFont="1"/>
    <xf borderId="0" fillId="0" fontId="14" numFmtId="166" xfId="0" applyAlignment="1" applyFont="1" applyNumberFormat="1">
      <alignment horizontal="center" vertical="center"/>
    </xf>
    <xf borderId="0" fillId="0" fontId="14" numFmtId="167" xfId="0" applyAlignment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33" fillId="4" fontId="6" numFmtId="165" xfId="0" applyAlignment="1" applyBorder="1" applyFont="1" applyNumberFormat="1">
      <alignment horizontal="center" shrinkToFit="0" vertical="center" wrapText="1"/>
    </xf>
    <xf borderId="34" fillId="0" fontId="5" numFmtId="0" xfId="0" applyBorder="1" applyFont="1"/>
    <xf borderId="35" fillId="0" fontId="5" numFmtId="0" xfId="0" applyBorder="1" applyFont="1"/>
    <xf borderId="33" fillId="0" fontId="4" numFmtId="165" xfId="0" applyAlignment="1" applyBorder="1" applyFont="1" applyNumberFormat="1">
      <alignment horizontal="center" vertical="center"/>
    </xf>
    <xf borderId="36" fillId="0" fontId="4" numFmtId="165" xfId="0" applyAlignment="1" applyBorder="1" applyFont="1" applyNumberFormat="1">
      <alignment horizontal="center" vertical="center"/>
    </xf>
    <xf borderId="37" fillId="0" fontId="5" numFmtId="0" xfId="0" applyBorder="1" applyFont="1"/>
    <xf borderId="38" fillId="0" fontId="5" numFmtId="0" xfId="0" applyBorder="1" applyFont="1"/>
    <xf borderId="30" fillId="0" fontId="4" numFmtId="165" xfId="0" applyAlignment="1" applyBorder="1" applyFont="1" applyNumberFormat="1">
      <alignment horizontal="center" vertical="center"/>
    </xf>
    <xf borderId="0" fillId="0" fontId="4" numFmtId="0" xfId="0" applyAlignment="1" applyFont="1">
      <alignment shrinkToFit="0" wrapText="1"/>
    </xf>
    <xf borderId="2" fillId="7" fontId="6" numFmtId="0" xfId="0" applyAlignment="1" applyBorder="1" applyFill="1" applyFont="1">
      <alignment horizontal="center" shrinkToFit="0" vertical="center" wrapText="1"/>
    </xf>
    <xf borderId="15" fillId="7" fontId="6" numFmtId="0" xfId="0" applyAlignment="1" applyBorder="1" applyFont="1">
      <alignment horizontal="center" shrinkToFit="0" wrapText="1"/>
    </xf>
    <xf borderId="16" fillId="7" fontId="6" numFmtId="0" xfId="0" applyAlignment="1" applyBorder="1" applyFont="1">
      <alignment horizontal="center" shrinkToFit="0" vertical="center" wrapText="1"/>
    </xf>
    <xf borderId="39" fillId="7" fontId="6" numFmtId="167" xfId="0" applyAlignment="1" applyBorder="1" applyFont="1" applyNumberFormat="1">
      <alignment horizontal="center" shrinkToFit="0" vertical="center" wrapText="1"/>
    </xf>
    <xf borderId="2" fillId="7" fontId="6" numFmtId="167" xfId="0" applyAlignment="1" applyBorder="1" applyFont="1" applyNumberFormat="1">
      <alignment horizontal="center" shrinkToFit="0" vertical="center" wrapText="1"/>
    </xf>
    <xf borderId="40" fillId="7" fontId="6" numFmtId="165" xfId="0" applyAlignment="1" applyBorder="1" applyFont="1" applyNumberFormat="1">
      <alignment horizontal="center" shrinkToFit="0" vertical="center" wrapText="1"/>
    </xf>
    <xf borderId="17" fillId="7" fontId="6" numFmtId="166" xfId="0" applyAlignment="1" applyBorder="1" applyFont="1" applyNumberFormat="1">
      <alignment horizontal="center" shrinkToFit="0" vertical="center" wrapText="1"/>
    </xf>
    <xf borderId="41" fillId="8" fontId="15" numFmtId="167" xfId="0" applyAlignment="1" applyBorder="1" applyFill="1" applyFont="1" applyNumberFormat="1">
      <alignment horizontal="center" shrinkToFit="0" vertical="center" wrapText="1"/>
    </xf>
    <xf borderId="18" fillId="9" fontId="6" numFmtId="0" xfId="0" applyAlignment="1" applyBorder="1" applyFill="1" applyFont="1">
      <alignment horizontal="center" shrinkToFit="0" vertical="center" wrapText="1"/>
    </xf>
    <xf borderId="42" fillId="4" fontId="16" numFmtId="165" xfId="0" applyAlignment="1" applyBorder="1" applyFont="1" applyNumberFormat="1">
      <alignment horizontal="center" shrinkToFit="0" vertical="center" wrapText="1"/>
    </xf>
    <xf borderId="2" fillId="4" fontId="14" numFmtId="165" xfId="0" applyAlignment="1" applyBorder="1" applyFont="1" applyNumberFormat="1">
      <alignment horizontal="center" shrinkToFit="0" vertical="center" wrapText="1"/>
    </xf>
    <xf borderId="43" fillId="10" fontId="14" numFmtId="165" xfId="0" applyAlignment="1" applyBorder="1" applyFill="1" applyFont="1" applyNumberFormat="1">
      <alignment horizontal="center" shrinkToFit="0" vertical="center" wrapText="1"/>
    </xf>
    <xf borderId="44" fillId="0" fontId="16" numFmtId="9" xfId="0" applyAlignment="1" applyBorder="1" applyFont="1" applyNumberFormat="1">
      <alignment horizontal="center" shrinkToFit="0" vertical="center" wrapText="1"/>
    </xf>
    <xf borderId="44" fillId="0" fontId="16" numFmtId="165" xfId="0" applyAlignment="1" applyBorder="1" applyFont="1" applyNumberFormat="1">
      <alignment horizontal="center" shrinkToFit="0" vertical="center" wrapText="1"/>
    </xf>
    <xf borderId="45" fillId="0" fontId="9" numFmtId="165" xfId="0" applyAlignment="1" applyBorder="1" applyFont="1" applyNumberFormat="1">
      <alignment horizontal="center" shrinkToFit="0" vertical="center" wrapText="1"/>
    </xf>
    <xf borderId="46" fillId="0" fontId="9" numFmtId="165" xfId="0" applyAlignment="1" applyBorder="1" applyFont="1" applyNumberFormat="1">
      <alignment horizontal="center" shrinkToFit="0" vertical="center" wrapText="1"/>
    </xf>
    <xf borderId="26" fillId="0" fontId="9" numFmtId="165" xfId="0" applyAlignment="1" applyBorder="1" applyFont="1" applyNumberFormat="1">
      <alignment horizontal="center" shrinkToFit="0" vertical="center" wrapText="1"/>
    </xf>
    <xf borderId="21" fillId="0" fontId="17" numFmtId="165" xfId="0" applyAlignment="1" applyBorder="1" applyFont="1" applyNumberFormat="1">
      <alignment horizontal="center" shrinkToFit="0" vertical="center" wrapText="1"/>
    </xf>
    <xf borderId="47" fillId="0" fontId="17" numFmtId="169" xfId="0" applyAlignment="1" applyBorder="1" applyFont="1" applyNumberFormat="1">
      <alignment horizontal="center" shrinkToFit="0" vertical="center" wrapText="1"/>
    </xf>
    <xf borderId="47" fillId="0" fontId="17" numFmtId="165" xfId="0" applyAlignment="1" applyBorder="1" applyFont="1" applyNumberFormat="1">
      <alignment horizontal="center" shrinkToFit="0" vertical="center" wrapText="1"/>
    </xf>
    <xf borderId="22" fillId="0" fontId="17" numFmtId="165" xfId="0" applyAlignment="1" applyBorder="1" applyFont="1" applyNumberForma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21" fillId="0" fontId="7" numFmtId="165" xfId="0" applyAlignment="1" applyBorder="1" applyFont="1" applyNumberFormat="1">
      <alignment horizontal="center" shrinkToFit="0" vertical="center" wrapText="1"/>
    </xf>
    <xf borderId="48" fillId="0" fontId="7" numFmtId="10" xfId="0" applyAlignment="1" applyBorder="1" applyFont="1" applyNumberFormat="1">
      <alignment horizontal="center" shrinkToFit="0" vertical="center" wrapText="1"/>
    </xf>
    <xf borderId="2" fillId="0" fontId="4" numFmtId="0" xfId="0" applyAlignment="1" applyBorder="1" applyFont="1">
      <alignment shrinkToFit="0" wrapText="1"/>
    </xf>
    <xf borderId="2" fillId="0" fontId="8" numFmtId="0" xfId="0" applyAlignment="1" applyBorder="1" applyFont="1">
      <alignment shrinkToFit="0" wrapText="1"/>
    </xf>
    <xf borderId="2" fillId="0" fontId="8" numFmtId="165" xfId="0" applyAlignment="1" applyBorder="1" applyFont="1" applyNumberFormat="1">
      <alignment shrinkToFit="0" wrapText="1"/>
    </xf>
    <xf borderId="2" fillId="11" fontId="18" numFmtId="0" xfId="0" applyAlignment="1" applyBorder="1" applyFill="1" applyFont="1">
      <alignment vertical="center"/>
    </xf>
    <xf borderId="2" fillId="11" fontId="4" numFmtId="0" xfId="0" applyAlignment="1" applyBorder="1" applyFont="1">
      <alignment horizontal="center" shrinkToFit="0" wrapText="1"/>
    </xf>
    <xf borderId="2" fillId="11" fontId="4" numFmtId="0" xfId="0" applyAlignment="1" applyBorder="1" applyFont="1">
      <alignment shrinkToFit="0" wrapText="1"/>
    </xf>
    <xf borderId="16" fillId="11" fontId="4" numFmtId="0" xfId="0" applyAlignment="1" applyBorder="1" applyFont="1">
      <alignment horizontal="center" vertical="center"/>
    </xf>
    <xf borderId="49" fillId="11" fontId="4" numFmtId="0" xfId="0" applyAlignment="1" applyBorder="1" applyFont="1">
      <alignment horizontal="center" vertical="center"/>
    </xf>
    <xf borderId="40" fillId="11" fontId="4" numFmtId="165" xfId="0" applyAlignment="1" applyBorder="1" applyFont="1" applyNumberFormat="1">
      <alignment horizontal="center" vertical="center"/>
    </xf>
    <xf borderId="17" fillId="11" fontId="6" numFmtId="166" xfId="0" applyAlignment="1" applyBorder="1" applyFont="1" applyNumberFormat="1">
      <alignment horizontal="center" vertical="center"/>
    </xf>
    <xf borderId="50" fillId="8" fontId="6" numFmtId="167" xfId="0" applyAlignment="1" applyBorder="1" applyFont="1" applyNumberFormat="1">
      <alignment horizontal="center" vertical="center"/>
    </xf>
    <xf borderId="18" fillId="8" fontId="11" numFmtId="0" xfId="0" applyAlignment="1" applyBorder="1" applyFont="1">
      <alignment horizontal="center" vertical="center"/>
    </xf>
    <xf borderId="2" fillId="4" fontId="11" numFmtId="165" xfId="0" applyAlignment="1" applyBorder="1" applyFont="1" applyNumberFormat="1">
      <alignment horizontal="left" vertical="center"/>
    </xf>
    <xf borderId="16" fillId="4" fontId="14" numFmtId="165" xfId="0" applyAlignment="1" applyBorder="1" applyFont="1" applyNumberFormat="1">
      <alignment horizontal="center" vertical="center"/>
    </xf>
    <xf borderId="16" fillId="8" fontId="14" numFmtId="165" xfId="0" applyAlignment="1" applyBorder="1" applyFont="1" applyNumberFormat="1">
      <alignment horizontal="center" vertical="center"/>
    </xf>
    <xf borderId="16" fillId="8" fontId="11" numFmtId="9" xfId="0" applyAlignment="1" applyBorder="1" applyFont="1" applyNumberFormat="1">
      <alignment horizontal="left" vertical="center"/>
    </xf>
    <xf borderId="16" fillId="8" fontId="11" numFmtId="165" xfId="0" applyAlignment="1" applyBorder="1" applyFont="1" applyNumberFormat="1">
      <alignment horizontal="left" vertical="center"/>
    </xf>
    <xf borderId="51" fillId="8" fontId="4" numFmtId="165" xfId="0" applyAlignment="1" applyBorder="1" applyFont="1" applyNumberFormat="1">
      <alignment vertical="center"/>
    </xf>
    <xf borderId="15" fillId="8" fontId="4" numFmtId="165" xfId="0" applyAlignment="1" applyBorder="1" applyFont="1" applyNumberFormat="1">
      <alignment vertical="center"/>
    </xf>
    <xf borderId="52" fillId="8" fontId="4" numFmtId="165" xfId="0" applyAlignment="1" applyBorder="1" applyFont="1" applyNumberFormat="1">
      <alignment vertical="center"/>
    </xf>
    <xf borderId="53" fillId="8" fontId="4" numFmtId="165" xfId="0" applyAlignment="1" applyBorder="1" applyFont="1" applyNumberFormat="1">
      <alignment horizontal="center" vertical="center"/>
    </xf>
    <xf borderId="51" fillId="8" fontId="4" numFmtId="165" xfId="0" applyAlignment="1" applyBorder="1" applyFont="1" applyNumberFormat="1">
      <alignment horizontal="center" vertical="center"/>
    </xf>
    <xf borderId="15" fillId="8" fontId="4" numFmtId="169" xfId="0" applyAlignment="1" applyBorder="1" applyFont="1" applyNumberFormat="1">
      <alignment vertical="center"/>
    </xf>
    <xf borderId="18" fillId="8" fontId="4" numFmtId="0" xfId="0" applyAlignment="1" applyBorder="1" applyFont="1">
      <alignment vertical="center"/>
    </xf>
    <xf borderId="16" fillId="8" fontId="4" numFmtId="0" xfId="0" applyAlignment="1" applyBorder="1" applyFont="1">
      <alignment vertical="center"/>
    </xf>
    <xf borderId="54" fillId="8" fontId="7" numFmtId="10" xfId="0" applyAlignment="1" applyBorder="1" applyFont="1" applyNumberFormat="1">
      <alignment vertical="center"/>
    </xf>
    <xf borderId="2" fillId="0" fontId="4" numFmtId="0" xfId="0" applyBorder="1" applyFont="1"/>
    <xf borderId="2" fillId="0" fontId="8" numFmtId="0" xfId="0" applyBorder="1" applyFont="1"/>
    <xf borderId="2" fillId="0" fontId="8" numFmtId="165" xfId="0" applyBorder="1" applyFont="1" applyNumberFormat="1"/>
    <xf borderId="2" fillId="12" fontId="4" numFmtId="0" xfId="0" applyAlignment="1" applyBorder="1" applyFill="1" applyFont="1">
      <alignment horizontal="center" shrinkToFit="0" vertical="center" wrapText="1"/>
    </xf>
    <xf borderId="3" fillId="0" fontId="19" numFmtId="0" xfId="0" applyAlignment="1" applyBorder="1" applyFont="1">
      <alignment horizontal="center" vertical="center"/>
    </xf>
    <xf borderId="55" fillId="0" fontId="4" numFmtId="0" xfId="0" applyAlignment="1" applyBorder="1" applyFont="1">
      <alignment horizontal="center" vertical="center"/>
    </xf>
    <xf borderId="40" fillId="0" fontId="4" numFmtId="165" xfId="0" applyAlignment="1" applyBorder="1" applyFont="1" applyNumberFormat="1">
      <alignment horizontal="center" vertical="center"/>
    </xf>
    <xf borderId="9" fillId="0" fontId="6" numFmtId="166" xfId="0" applyAlignment="1" applyBorder="1" applyFont="1" applyNumberFormat="1">
      <alignment horizontal="center" vertical="center"/>
    </xf>
    <xf borderId="56" fillId="5" fontId="4" numFmtId="165" xfId="0" applyAlignment="1" applyBorder="1" applyFont="1" applyNumberFormat="1">
      <alignment horizontal="center" vertical="center"/>
    </xf>
    <xf borderId="2" fillId="4" fontId="4" numFmtId="165" xfId="0" applyAlignment="1" applyBorder="1" applyFont="1" applyNumberFormat="1">
      <alignment vertical="center"/>
    </xf>
    <xf borderId="16" fillId="13" fontId="14" numFmtId="165" xfId="0" applyAlignment="1" applyBorder="1" applyFill="1" applyFont="1" applyNumberFormat="1">
      <alignment horizontal="center" vertical="center"/>
    </xf>
    <xf borderId="3" fillId="0" fontId="4" numFmtId="9" xfId="0" applyAlignment="1" applyBorder="1" applyFont="1" applyNumberFormat="1">
      <alignment vertical="center"/>
    </xf>
    <xf borderId="3" fillId="0" fontId="4" numFmtId="165" xfId="0" applyAlignment="1" applyBorder="1" applyFont="1" applyNumberFormat="1">
      <alignment vertical="center"/>
    </xf>
    <xf borderId="39" fillId="0" fontId="4" numFmtId="165" xfId="0" applyAlignment="1" applyBorder="1" applyFont="1" applyNumberFormat="1">
      <alignment vertical="center"/>
    </xf>
    <xf borderId="2" fillId="0" fontId="4" numFmtId="165" xfId="0" applyAlignment="1" applyBorder="1" applyFont="1" applyNumberFormat="1">
      <alignment vertical="center"/>
    </xf>
    <xf borderId="40" fillId="0" fontId="4" numFmtId="165" xfId="0" applyAlignment="1" applyBorder="1" applyFont="1" applyNumberFormat="1">
      <alignment vertical="center"/>
    </xf>
    <xf borderId="9" fillId="0" fontId="4" numFmtId="165" xfId="0" applyAlignment="1" applyBorder="1" applyFont="1" applyNumberFormat="1">
      <alignment horizontal="center" vertical="center"/>
    </xf>
    <xf borderId="39" fillId="0" fontId="7" numFmtId="0" xfId="0" applyAlignment="1" applyBorder="1" applyFont="1">
      <alignment horizontal="center" vertical="center"/>
    </xf>
    <xf borderId="2" fillId="0" fontId="4" numFmtId="169" xfId="0" applyAlignment="1" applyBorder="1" applyFont="1" applyNumberFormat="1">
      <alignment vertical="center"/>
    </xf>
    <xf borderId="57" fillId="0" fontId="20" numFmtId="170" xfId="0" applyAlignment="1" applyBorder="1" applyFont="1" applyNumberFormat="1">
      <alignment horizontal="right" readingOrder="1" shrinkToFit="0" vertical="center" wrapText="1"/>
    </xf>
    <xf borderId="40" fillId="0" fontId="7" numFmtId="0" xfId="0" applyAlignment="1" applyBorder="1" applyFont="1">
      <alignment horizontal="center" vertical="center"/>
    </xf>
    <xf borderId="3" fillId="0" fontId="7" numFmtId="10" xfId="0" applyAlignment="1" applyBorder="1" applyFont="1" applyNumberFormat="1">
      <alignment vertical="center"/>
    </xf>
    <xf borderId="1" fillId="4" fontId="4" numFmtId="0" xfId="0" applyBorder="1" applyFont="1"/>
    <xf borderId="2" fillId="4" fontId="4" numFmtId="0" xfId="0" applyAlignment="1" applyBorder="1" applyFont="1">
      <alignment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2" fillId="4" fontId="4" numFmtId="0" xfId="0" applyAlignment="1" applyBorder="1" applyFont="1">
      <alignment shrinkToFit="0" wrapText="1"/>
    </xf>
    <xf borderId="16" fillId="4" fontId="19" numFmtId="0" xfId="0" applyAlignment="1" applyBorder="1" applyFont="1">
      <alignment horizontal="center" vertical="center"/>
    </xf>
    <xf borderId="49" fillId="4" fontId="4" numFmtId="0" xfId="0" applyAlignment="1" applyBorder="1" applyFont="1">
      <alignment horizontal="center" vertical="center"/>
    </xf>
    <xf borderId="16" fillId="4" fontId="4" numFmtId="0" xfId="0" applyAlignment="1" applyBorder="1" applyFont="1">
      <alignment horizontal="center" vertical="center"/>
    </xf>
    <xf borderId="40" fillId="4" fontId="4" numFmtId="165" xfId="0" applyAlignment="1" applyBorder="1" applyFont="1" applyNumberFormat="1">
      <alignment horizontal="center" vertical="center"/>
    </xf>
    <xf borderId="17" fillId="4" fontId="6" numFmtId="166" xfId="0" applyAlignment="1" applyBorder="1" applyFont="1" applyNumberFormat="1">
      <alignment horizontal="center" vertical="center"/>
    </xf>
    <xf borderId="50" fillId="4" fontId="6" numFmtId="167" xfId="0" applyAlignment="1" applyBorder="1" applyFont="1" applyNumberFormat="1">
      <alignment horizontal="center" vertical="center"/>
    </xf>
    <xf borderId="56" fillId="4" fontId="4" numFmtId="165" xfId="0" applyAlignment="1" applyBorder="1" applyFont="1" applyNumberFormat="1">
      <alignment horizontal="center" vertical="center"/>
    </xf>
    <xf borderId="16" fillId="4" fontId="4" numFmtId="9" xfId="0" applyAlignment="1" applyBorder="1" applyFont="1" applyNumberFormat="1">
      <alignment vertical="center"/>
    </xf>
    <xf borderId="16" fillId="4" fontId="4" numFmtId="165" xfId="0" applyAlignment="1" applyBorder="1" applyFont="1" applyNumberFormat="1">
      <alignment vertical="center"/>
    </xf>
    <xf borderId="39" fillId="4" fontId="4" numFmtId="165" xfId="0" applyAlignment="1" applyBorder="1" applyFont="1" applyNumberFormat="1">
      <alignment vertical="center"/>
    </xf>
    <xf borderId="40" fillId="4" fontId="4" numFmtId="165" xfId="0" applyAlignment="1" applyBorder="1" applyFont="1" applyNumberFormat="1">
      <alignment vertical="center"/>
    </xf>
    <xf borderId="17" fillId="4" fontId="4" numFmtId="165" xfId="0" applyAlignment="1" applyBorder="1" applyFont="1" applyNumberFormat="1">
      <alignment horizontal="center" vertical="center"/>
    </xf>
    <xf borderId="39" fillId="4" fontId="7" numFmtId="0" xfId="0" applyAlignment="1" applyBorder="1" applyFont="1">
      <alignment horizontal="center" vertical="center"/>
    </xf>
    <xf borderId="2" fillId="4" fontId="4" numFmtId="169" xfId="0" applyAlignment="1" applyBorder="1" applyFont="1" applyNumberFormat="1">
      <alignment vertical="center"/>
    </xf>
    <xf borderId="58" fillId="4" fontId="20" numFmtId="170" xfId="0" applyAlignment="1" applyBorder="1" applyFont="1" applyNumberFormat="1">
      <alignment horizontal="right" readingOrder="1" shrinkToFit="0" vertical="center" wrapText="1"/>
    </xf>
    <xf borderId="17" fillId="4" fontId="4" numFmtId="0" xfId="0" applyAlignment="1" applyBorder="1" applyFont="1">
      <alignment vertical="center"/>
    </xf>
    <xf borderId="40" fillId="4" fontId="7" numFmtId="0" xfId="0" applyAlignment="1" applyBorder="1" applyFont="1">
      <alignment horizontal="center" vertical="center"/>
    </xf>
    <xf borderId="16" fillId="4" fontId="7" numFmtId="10" xfId="0" applyAlignment="1" applyBorder="1" applyFont="1" applyNumberFormat="1">
      <alignment vertical="center"/>
    </xf>
    <xf borderId="2" fillId="4" fontId="4" numFmtId="0" xfId="0" applyBorder="1" applyFont="1"/>
    <xf borderId="2" fillId="4" fontId="8" numFmtId="0" xfId="0" applyBorder="1" applyFont="1"/>
    <xf borderId="2" fillId="4" fontId="8" numFmtId="165" xfId="0" applyBorder="1" applyFont="1" applyNumberFormat="1"/>
    <xf borderId="0" fillId="4" fontId="10" numFmtId="0" xfId="0" applyFont="1"/>
    <xf borderId="1" fillId="8" fontId="4" numFmtId="0" xfId="0" applyBorder="1" applyFont="1"/>
    <xf borderId="2" fillId="8" fontId="4" numFmtId="0" xfId="0" applyAlignment="1" applyBorder="1" applyFont="1">
      <alignment shrinkToFit="0" vertical="center" wrapText="1"/>
    </xf>
    <xf borderId="15" fillId="8" fontId="4" numFmtId="0" xfId="0" applyAlignment="1" applyBorder="1" applyFont="1">
      <alignment horizontal="center" shrinkToFit="0" vertical="center" wrapText="1"/>
    </xf>
    <xf borderId="2" fillId="8" fontId="4" numFmtId="0" xfId="0" applyAlignment="1" applyBorder="1" applyFont="1">
      <alignment shrinkToFit="0" wrapText="1"/>
    </xf>
    <xf borderId="16" fillId="8" fontId="19" numFmtId="0" xfId="0" applyAlignment="1" applyBorder="1" applyFont="1">
      <alignment horizontal="center" vertical="center"/>
    </xf>
    <xf borderId="49" fillId="8" fontId="4" numFmtId="0" xfId="0" applyAlignment="1" applyBorder="1" applyFont="1">
      <alignment horizontal="center" vertical="center"/>
    </xf>
    <xf borderId="16" fillId="8" fontId="4" numFmtId="0" xfId="0" applyAlignment="1" applyBorder="1" applyFont="1">
      <alignment horizontal="center" vertical="center"/>
    </xf>
    <xf borderId="40" fillId="8" fontId="4" numFmtId="165" xfId="0" applyAlignment="1" applyBorder="1" applyFont="1" applyNumberFormat="1">
      <alignment horizontal="center" vertical="center"/>
    </xf>
    <xf borderId="17" fillId="8" fontId="6" numFmtId="166" xfId="0" applyAlignment="1" applyBorder="1" applyFont="1" applyNumberFormat="1">
      <alignment horizontal="center" vertical="center"/>
    </xf>
    <xf borderId="56" fillId="8" fontId="4" numFmtId="165" xfId="0" applyAlignment="1" applyBorder="1" applyFont="1" applyNumberFormat="1">
      <alignment horizontal="center" vertical="center"/>
    </xf>
    <xf borderId="16" fillId="8" fontId="4" numFmtId="9" xfId="0" applyAlignment="1" applyBorder="1" applyFont="1" applyNumberFormat="1">
      <alignment vertical="center"/>
    </xf>
    <xf borderId="16" fillId="8" fontId="4" numFmtId="165" xfId="0" applyAlignment="1" applyBorder="1" applyFont="1" applyNumberFormat="1">
      <alignment vertical="center"/>
    </xf>
    <xf borderId="39" fillId="8" fontId="4" numFmtId="165" xfId="0" applyAlignment="1" applyBorder="1" applyFont="1" applyNumberFormat="1">
      <alignment vertical="center"/>
    </xf>
    <xf borderId="2" fillId="8" fontId="4" numFmtId="165" xfId="0" applyAlignment="1" applyBorder="1" applyFont="1" applyNumberFormat="1">
      <alignment vertical="center"/>
    </xf>
    <xf borderId="40" fillId="8" fontId="4" numFmtId="165" xfId="0" applyAlignment="1" applyBorder="1" applyFont="1" applyNumberFormat="1">
      <alignment vertical="center"/>
    </xf>
    <xf borderId="17" fillId="8" fontId="4" numFmtId="165" xfId="0" applyAlignment="1" applyBorder="1" applyFont="1" applyNumberFormat="1">
      <alignment horizontal="center" vertical="center"/>
    </xf>
    <xf borderId="1" fillId="8" fontId="7" numFmtId="0" xfId="0" applyAlignment="1" applyBorder="1" applyFont="1">
      <alignment horizontal="center" vertical="center"/>
    </xf>
    <xf borderId="2" fillId="8" fontId="4" numFmtId="169" xfId="0" applyAlignment="1" applyBorder="1" applyFont="1" applyNumberFormat="1">
      <alignment vertical="center"/>
    </xf>
    <xf borderId="58" fillId="8" fontId="20" numFmtId="170" xfId="0" applyAlignment="1" applyBorder="1" applyFont="1" applyNumberFormat="1">
      <alignment horizontal="right" readingOrder="1" shrinkToFit="0" vertical="center" wrapText="1"/>
    </xf>
    <xf borderId="17" fillId="8" fontId="4" numFmtId="0" xfId="0" applyAlignment="1" applyBorder="1" applyFont="1">
      <alignment vertical="center"/>
    </xf>
    <xf borderId="40" fillId="8" fontId="7" numFmtId="0" xfId="0" applyAlignment="1" applyBorder="1" applyFont="1">
      <alignment horizontal="center" vertical="center"/>
    </xf>
    <xf borderId="16" fillId="8" fontId="7" numFmtId="10" xfId="0" applyAlignment="1" applyBorder="1" applyFont="1" applyNumberFormat="1">
      <alignment vertical="center"/>
    </xf>
    <xf borderId="2" fillId="8" fontId="4" numFmtId="0" xfId="0" applyBorder="1" applyFont="1"/>
    <xf borderId="2" fillId="8" fontId="8" numFmtId="0" xfId="0" applyBorder="1" applyFont="1"/>
    <xf borderId="15" fillId="4" fontId="20" numFmtId="0" xfId="0" applyAlignment="1" applyBorder="1" applyFont="1">
      <alignment horizontal="center"/>
    </xf>
    <xf borderId="59" fillId="4" fontId="8" numFmtId="0" xfId="0" applyAlignment="1" applyBorder="1" applyFont="1">
      <alignment horizontal="center" readingOrder="1" shrinkToFit="0" vertical="center" wrapText="1"/>
    </xf>
    <xf borderId="15" fillId="8" fontId="20" numFmtId="0" xfId="0" applyAlignment="1" applyBorder="1" applyFont="1">
      <alignment horizontal="center"/>
    </xf>
    <xf borderId="1" fillId="8" fontId="8" numFmtId="0" xfId="0" applyAlignment="1" applyBorder="1" applyFont="1">
      <alignment horizontal="center" readingOrder="1" shrinkToFit="0" vertical="center" wrapText="1"/>
    </xf>
    <xf borderId="60" fillId="4" fontId="8" numFmtId="0" xfId="0" applyAlignment="1" applyBorder="1" applyFont="1">
      <alignment horizontal="center" readingOrder="1" shrinkToFit="0" vertical="center" wrapText="1"/>
    </xf>
    <xf borderId="58" fillId="4" fontId="21" numFmtId="0" xfId="0" applyAlignment="1" applyBorder="1" applyFont="1">
      <alignment horizontal="left" readingOrder="1" shrinkToFit="0" vertical="center" wrapText="1"/>
    </xf>
    <xf borderId="2" fillId="4" fontId="22" numFmtId="0" xfId="0" applyAlignment="1" applyBorder="1" applyFont="1">
      <alignment vertical="center"/>
    </xf>
    <xf borderId="17" fillId="4" fontId="4" numFmtId="166" xfId="0" applyAlignment="1" applyBorder="1" applyFont="1" applyNumberFormat="1">
      <alignment horizontal="center" vertical="center"/>
    </xf>
    <xf borderId="50" fillId="4" fontId="4" numFmtId="167" xfId="0" applyAlignment="1" applyBorder="1" applyFont="1" applyNumberFormat="1">
      <alignment horizontal="center" vertical="center"/>
    </xf>
    <xf borderId="18" fillId="4" fontId="4" numFmtId="0" xfId="0" applyAlignment="1" applyBorder="1" applyFont="1">
      <alignment horizontal="center" vertical="center"/>
    </xf>
    <xf borderId="2" fillId="4" fontId="4" numFmtId="165" xfId="0" applyAlignment="1" applyBorder="1" applyFont="1" applyNumberFormat="1">
      <alignment horizontal="right" vertical="center"/>
    </xf>
    <xf borderId="16" fillId="4" fontId="4" numFmtId="165" xfId="0" applyAlignment="1" applyBorder="1" applyFont="1" applyNumberFormat="1">
      <alignment horizontal="center" vertical="center"/>
    </xf>
    <xf borderId="16" fillId="4" fontId="4" numFmtId="9" xfId="0" applyAlignment="1" applyBorder="1" applyFont="1" applyNumberFormat="1">
      <alignment horizontal="left" vertical="center"/>
    </xf>
    <xf borderId="16" fillId="4" fontId="4" numFmtId="165" xfId="0" applyAlignment="1" applyBorder="1" applyFont="1" applyNumberFormat="1">
      <alignment horizontal="left" vertical="center"/>
    </xf>
    <xf borderId="59" fillId="4" fontId="23" numFmtId="0" xfId="0" applyAlignment="1" applyBorder="1" applyFont="1">
      <alignment horizontal="left" readingOrder="1" shrinkToFit="0" vertical="center" wrapText="1"/>
    </xf>
    <xf borderId="58" fillId="4" fontId="23" numFmtId="170" xfId="0" applyAlignment="1" applyBorder="1" applyFont="1" applyNumberFormat="1">
      <alignment horizontal="left" readingOrder="1" shrinkToFit="0" vertical="center" wrapText="1"/>
    </xf>
    <xf borderId="40" fillId="4" fontId="4" numFmtId="0" xfId="0" applyAlignment="1" applyBorder="1" applyFont="1">
      <alignment horizontal="center" vertical="center"/>
    </xf>
    <xf borderId="16" fillId="4" fontId="4" numFmtId="10" xfId="0" applyAlignment="1" applyBorder="1" applyFont="1" applyNumberFormat="1">
      <alignment vertical="center"/>
    </xf>
    <xf borderId="2" fillId="4" fontId="20" numFmtId="0" xfId="0" applyBorder="1" applyFont="1"/>
    <xf borderId="2" fillId="8" fontId="22" numFmtId="0" xfId="0" applyAlignment="1" applyBorder="1" applyFont="1">
      <alignment vertical="center"/>
    </xf>
    <xf borderId="17" fillId="8" fontId="4" numFmtId="0" xfId="0" applyAlignment="1" applyBorder="1" applyFont="1">
      <alignment horizontal="center" vertical="center"/>
    </xf>
    <xf borderId="17" fillId="8" fontId="4" numFmtId="166" xfId="0" applyAlignment="1" applyBorder="1" applyFont="1" applyNumberFormat="1">
      <alignment horizontal="center" vertical="center"/>
    </xf>
    <xf borderId="50" fillId="8" fontId="4" numFmtId="167" xfId="0" applyAlignment="1" applyBorder="1" applyFont="1" applyNumberFormat="1">
      <alignment horizontal="center" vertical="center"/>
    </xf>
    <xf borderId="56" fillId="8" fontId="4" numFmtId="0" xfId="0" applyAlignment="1" applyBorder="1" applyFont="1">
      <alignment horizontal="center" vertical="center"/>
    </xf>
    <xf borderId="2" fillId="4" fontId="4" numFmtId="165" xfId="0" applyAlignment="1" applyBorder="1" applyFont="1" applyNumberFormat="1">
      <alignment horizontal="left" vertical="center"/>
    </xf>
    <xf borderId="16" fillId="8" fontId="4" numFmtId="165" xfId="0" applyAlignment="1" applyBorder="1" applyFont="1" applyNumberFormat="1">
      <alignment horizontal="center" vertical="center"/>
    </xf>
    <xf borderId="16" fillId="8" fontId="4" numFmtId="9" xfId="0" applyAlignment="1" applyBorder="1" applyFont="1" applyNumberFormat="1">
      <alignment horizontal="left" vertical="center"/>
    </xf>
    <xf borderId="16" fillId="8" fontId="4" numFmtId="165" xfId="0" applyAlignment="1" applyBorder="1" applyFont="1" applyNumberFormat="1">
      <alignment horizontal="left" vertical="center"/>
    </xf>
    <xf borderId="59" fillId="8" fontId="23" numFmtId="0" xfId="0" applyAlignment="1" applyBorder="1" applyFont="1">
      <alignment horizontal="left" readingOrder="1" shrinkToFit="0" vertical="center" wrapText="1"/>
    </xf>
    <xf borderId="58" fillId="8" fontId="23" numFmtId="170" xfId="0" applyAlignment="1" applyBorder="1" applyFont="1" applyNumberFormat="1">
      <alignment horizontal="left" readingOrder="1" shrinkToFit="0" vertical="center" wrapText="1"/>
    </xf>
    <xf borderId="40" fillId="8" fontId="4" numFmtId="0" xfId="0" applyAlignment="1" applyBorder="1" applyFont="1">
      <alignment horizontal="center" vertical="center"/>
    </xf>
    <xf borderId="16" fillId="8" fontId="4" numFmtId="10" xfId="0" applyAlignment="1" applyBorder="1" applyFont="1" applyNumberFormat="1">
      <alignment vertical="center"/>
    </xf>
    <xf borderId="2" fillId="8" fontId="20" numFmtId="0" xfId="0" applyBorder="1" applyFont="1"/>
    <xf borderId="2" fillId="4" fontId="19" numFmtId="165" xfId="0" applyAlignment="1" applyBorder="1" applyFont="1" applyNumberFormat="1">
      <alignment vertical="center"/>
    </xf>
    <xf borderId="59" fillId="8" fontId="8" numFmtId="0" xfId="0" applyAlignment="1" applyBorder="1" applyFont="1">
      <alignment horizontal="center" readingOrder="1" shrinkToFit="0" vertical="center" wrapText="1"/>
    </xf>
    <xf borderId="58" fillId="4" fontId="24" numFmtId="0" xfId="0" applyAlignment="1" applyBorder="1" applyFont="1">
      <alignment horizontal="center" readingOrder="1" shrinkToFit="0" vertical="center" wrapText="1"/>
    </xf>
    <xf borderId="2" fillId="8" fontId="18" numFmtId="0" xfId="0" applyAlignment="1" applyBorder="1" applyFont="1">
      <alignment vertical="center"/>
    </xf>
    <xf borderId="2" fillId="8" fontId="4" numFmtId="0" xfId="0" applyAlignment="1" applyBorder="1" applyFont="1">
      <alignment horizontal="center" shrinkToFit="0" wrapText="1"/>
    </xf>
    <xf borderId="59" fillId="8" fontId="21" numFmtId="0" xfId="0" applyAlignment="1" applyBorder="1" applyFont="1">
      <alignment horizontal="left" readingOrder="1" shrinkToFit="0" vertical="center" wrapText="1"/>
    </xf>
    <xf borderId="58" fillId="8" fontId="21" numFmtId="170" xfId="0" applyAlignment="1" applyBorder="1" applyFont="1" applyNumberFormat="1">
      <alignment horizontal="left" readingOrder="1" shrinkToFit="0" vertical="center" wrapText="1"/>
    </xf>
    <xf borderId="2" fillId="4" fontId="25" numFmtId="0" xfId="0" applyAlignment="1" applyBorder="1" applyFont="1">
      <alignment shrinkToFit="0" wrapText="1"/>
    </xf>
    <xf borderId="2" fillId="4" fontId="4" numFmtId="165" xfId="0" applyAlignment="1" applyBorder="1" applyFont="1" applyNumberFormat="1">
      <alignment readingOrder="0" vertical="center"/>
    </xf>
    <xf borderId="39" fillId="4" fontId="20" numFmtId="165" xfId="0" applyAlignment="1" applyBorder="1" applyFont="1" applyNumberFormat="1">
      <alignment vertical="center"/>
    </xf>
    <xf borderId="16" fillId="4" fontId="4" numFmtId="165" xfId="0" applyAlignment="1" applyBorder="1" applyFont="1" applyNumberFormat="1">
      <alignment readingOrder="0" vertical="center"/>
    </xf>
    <xf borderId="39" fillId="4" fontId="19" numFmtId="165" xfId="0" applyAlignment="1" applyBorder="1" applyFont="1" applyNumberFormat="1">
      <alignment vertical="center"/>
    </xf>
    <xf borderId="1" fillId="4" fontId="3" numFmtId="0" xfId="0" applyBorder="1" applyFont="1"/>
    <xf borderId="2" fillId="4" fontId="26" numFmtId="0" xfId="0" applyAlignment="1" applyBorder="1" applyFont="1">
      <alignment vertical="center"/>
    </xf>
    <xf borderId="15" fillId="4" fontId="27" numFmtId="0" xfId="0" applyAlignment="1" applyBorder="1" applyFont="1">
      <alignment horizontal="center"/>
    </xf>
    <xf borderId="2" fillId="4" fontId="3" numFmtId="0" xfId="0" applyAlignment="1" applyBorder="1" applyFont="1">
      <alignment shrinkToFit="0" wrapText="1"/>
    </xf>
    <xf borderId="16" fillId="4" fontId="3" numFmtId="0" xfId="0" applyAlignment="1" applyBorder="1" applyFont="1">
      <alignment horizontal="center" vertical="center"/>
    </xf>
    <xf borderId="49" fillId="4" fontId="3" numFmtId="0" xfId="0" applyAlignment="1" applyBorder="1" applyFont="1">
      <alignment horizontal="center" vertical="center"/>
    </xf>
    <xf borderId="40" fillId="4" fontId="3" numFmtId="165" xfId="0" applyAlignment="1" applyBorder="1" applyFont="1" applyNumberFormat="1">
      <alignment horizontal="center" vertical="center"/>
    </xf>
    <xf borderId="17" fillId="4" fontId="3" numFmtId="166" xfId="0" applyAlignment="1" applyBorder="1" applyFont="1" applyNumberFormat="1">
      <alignment horizontal="center" vertical="center"/>
    </xf>
    <xf borderId="50" fillId="4" fontId="3" numFmtId="167" xfId="0" applyAlignment="1" applyBorder="1" applyFont="1" applyNumberFormat="1">
      <alignment horizontal="center" vertical="center"/>
    </xf>
    <xf borderId="56" fillId="4" fontId="3" numFmtId="0" xfId="0" applyAlignment="1" applyBorder="1" applyFont="1">
      <alignment horizontal="center" vertical="center"/>
    </xf>
    <xf borderId="2" fillId="4" fontId="3" numFmtId="165" xfId="0" applyAlignment="1" applyBorder="1" applyFont="1" applyNumberFormat="1">
      <alignment horizontal="right" readingOrder="0" vertical="center"/>
    </xf>
    <xf borderId="16" fillId="4" fontId="3" numFmtId="165" xfId="0" applyAlignment="1" applyBorder="1" applyFont="1" applyNumberFormat="1">
      <alignment horizontal="center" vertical="center"/>
    </xf>
    <xf borderId="16" fillId="4" fontId="3" numFmtId="9" xfId="0" applyAlignment="1" applyBorder="1" applyFont="1" applyNumberFormat="1">
      <alignment horizontal="right" vertical="center"/>
    </xf>
    <xf borderId="17" fillId="4" fontId="3" numFmtId="0" xfId="0" applyAlignment="1" applyBorder="1" applyFont="1">
      <alignment vertical="center"/>
    </xf>
    <xf borderId="40" fillId="4" fontId="3" numFmtId="0" xfId="0" applyAlignment="1" applyBorder="1" applyFont="1">
      <alignment horizontal="center" vertical="center"/>
    </xf>
    <xf borderId="2" fillId="4" fontId="27" numFmtId="0" xfId="0" applyBorder="1" applyFont="1"/>
    <xf borderId="1" fillId="8" fontId="3" numFmtId="0" xfId="0" applyBorder="1" applyFont="1"/>
    <xf borderId="1" fillId="8" fontId="26" numFmtId="0" xfId="0" applyAlignment="1" applyBorder="1" applyFont="1">
      <alignment vertical="center"/>
    </xf>
    <xf borderId="15" fillId="8" fontId="27" numFmtId="0" xfId="0" applyAlignment="1" applyBorder="1" applyFont="1">
      <alignment horizontal="center"/>
    </xf>
    <xf borderId="18" fillId="8" fontId="3" numFmtId="0" xfId="0" applyAlignment="1" applyBorder="1" applyFont="1">
      <alignment shrinkToFit="0" wrapText="1"/>
    </xf>
    <xf borderId="24" fillId="8" fontId="3" numFmtId="0" xfId="0" applyAlignment="1" applyBorder="1" applyFont="1">
      <alignment horizontal="center" vertical="center"/>
    </xf>
    <xf borderId="49" fillId="8" fontId="3" numFmtId="0" xfId="0" applyAlignment="1" applyBorder="1" applyFont="1">
      <alignment horizontal="center" vertical="center"/>
    </xf>
    <xf borderId="16" fillId="8" fontId="3" numFmtId="0" xfId="0" applyAlignment="1" applyBorder="1" applyFont="1">
      <alignment horizontal="center" vertical="center"/>
    </xf>
    <xf borderId="40" fillId="8" fontId="3" numFmtId="165" xfId="0" applyAlignment="1" applyBorder="1" applyFont="1" applyNumberFormat="1">
      <alignment horizontal="center" vertical="center"/>
    </xf>
    <xf borderId="17" fillId="8" fontId="3" numFmtId="166" xfId="0" applyAlignment="1" applyBorder="1" applyFont="1" applyNumberFormat="1">
      <alignment horizontal="center" vertical="center"/>
    </xf>
    <xf borderId="50" fillId="8" fontId="3" numFmtId="167" xfId="0" applyAlignment="1" applyBorder="1" applyFont="1" applyNumberFormat="1">
      <alignment horizontal="center" vertical="center"/>
    </xf>
    <xf borderId="56" fillId="8" fontId="3" numFmtId="0" xfId="0" applyAlignment="1" applyBorder="1" applyFont="1">
      <alignment horizontal="center" vertical="center"/>
    </xf>
    <xf borderId="2" fillId="4" fontId="3" numFmtId="165" xfId="0" applyAlignment="1" applyBorder="1" applyFont="1" applyNumberFormat="1">
      <alignment horizontal="left" vertical="center"/>
    </xf>
    <xf borderId="16" fillId="8" fontId="3" numFmtId="165" xfId="0" applyAlignment="1" applyBorder="1" applyFont="1" applyNumberFormat="1">
      <alignment horizontal="center" vertical="center"/>
    </xf>
    <xf borderId="16" fillId="8" fontId="3" numFmtId="9" xfId="0" applyAlignment="1" applyBorder="1" applyFont="1" applyNumberFormat="1">
      <alignment horizontal="right" vertical="center"/>
    </xf>
    <xf borderId="61" fillId="8" fontId="4" numFmtId="165" xfId="0" applyAlignment="1" applyBorder="1" applyFont="1" applyNumberFormat="1">
      <alignment vertical="center"/>
    </xf>
    <xf borderId="62" fillId="8" fontId="4" numFmtId="165" xfId="0" applyAlignment="1" applyBorder="1" applyFont="1" applyNumberFormat="1">
      <alignment vertical="center"/>
    </xf>
    <xf borderId="63" fillId="8" fontId="8" numFmtId="0" xfId="0" applyAlignment="1" applyBorder="1" applyFont="1">
      <alignment horizontal="center" readingOrder="1" shrinkToFit="0" vertical="center" wrapText="1"/>
    </xf>
    <xf borderId="13" fillId="8" fontId="4" numFmtId="169" xfId="0" applyAlignment="1" applyBorder="1" applyFont="1" applyNumberFormat="1">
      <alignment vertical="center"/>
    </xf>
    <xf borderId="13" fillId="8" fontId="4" numFmtId="165" xfId="0" applyAlignment="1" applyBorder="1" applyFont="1" applyNumberFormat="1">
      <alignment vertical="center"/>
    </xf>
    <xf borderId="64" fillId="8" fontId="20" numFmtId="170" xfId="0" applyAlignment="1" applyBorder="1" applyFont="1" applyNumberFormat="1">
      <alignment horizontal="right" readingOrder="1" shrinkToFit="0" vertical="center" wrapText="1"/>
    </xf>
    <xf borderId="17" fillId="8" fontId="3" numFmtId="0" xfId="0" applyAlignment="1" applyBorder="1" applyFont="1">
      <alignment vertical="center"/>
    </xf>
    <xf borderId="40" fillId="8" fontId="3" numFmtId="0" xfId="0" applyAlignment="1" applyBorder="1" applyFont="1">
      <alignment horizontal="center" vertical="center"/>
    </xf>
    <xf borderId="24" fillId="8" fontId="7" numFmtId="10" xfId="0" applyAlignment="1" applyBorder="1" applyFont="1" applyNumberFormat="1">
      <alignment vertical="center"/>
    </xf>
    <xf borderId="2" fillId="8" fontId="27" numFmtId="0" xfId="0" applyBorder="1" applyFont="1"/>
    <xf borderId="18" fillId="4" fontId="4" numFmtId="0" xfId="0" applyBorder="1" applyFont="1"/>
    <xf borderId="24" fillId="4" fontId="4" numFmtId="0" xfId="0" applyAlignment="1" applyBorder="1" applyFont="1">
      <alignment horizontal="center" vertical="center"/>
    </xf>
    <xf borderId="21" fillId="4" fontId="4" numFmtId="165" xfId="0" applyAlignment="1" applyBorder="1" applyFont="1" applyNumberFormat="1">
      <alignment vertical="center"/>
    </xf>
    <xf borderId="22" fillId="4" fontId="4" numFmtId="165" xfId="0" applyAlignment="1" applyBorder="1" applyFont="1" applyNumberFormat="1">
      <alignment vertical="center"/>
    </xf>
    <xf borderId="65" fillId="4" fontId="8" numFmtId="0" xfId="0" applyAlignment="1" applyBorder="1" applyFont="1">
      <alignment horizontal="center" readingOrder="1" shrinkToFit="0" vertical="center" wrapText="1"/>
    </xf>
    <xf borderId="47" fillId="4" fontId="4" numFmtId="169" xfId="0" applyAlignment="1" applyBorder="1" applyFont="1" applyNumberFormat="1">
      <alignment vertical="center"/>
    </xf>
    <xf borderId="47" fillId="4" fontId="4" numFmtId="165" xfId="0" applyAlignment="1" applyBorder="1" applyFont="1" applyNumberFormat="1">
      <alignment vertical="center"/>
    </xf>
    <xf borderId="66" fillId="4" fontId="20" numFmtId="170" xfId="0" applyAlignment="1" applyBorder="1" applyFont="1" applyNumberFormat="1">
      <alignment horizontal="right" readingOrder="1" shrinkToFit="0" vertical="center" wrapText="1"/>
    </xf>
    <xf borderId="67" fillId="4" fontId="7" numFmtId="10" xfId="0" applyAlignment="1" applyBorder="1" applyFont="1" applyNumberFormat="1">
      <alignment vertical="center"/>
    </xf>
    <xf borderId="16" fillId="4" fontId="4" numFmtId="9" xfId="0" applyAlignment="1" applyBorder="1" applyFont="1" applyNumberFormat="1">
      <alignment readingOrder="0" vertical="center"/>
    </xf>
    <xf borderId="21" fillId="4" fontId="19" numFmtId="165" xfId="0" applyAlignment="1" applyBorder="1" applyFont="1" applyNumberFormat="1">
      <alignment vertical="center"/>
    </xf>
    <xf borderId="1" fillId="8" fontId="4" numFmtId="0" xfId="0" applyAlignment="1" applyBorder="1" applyFont="1">
      <alignment shrinkToFit="0" vertical="center" wrapText="1"/>
    </xf>
    <xf borderId="18" fillId="8" fontId="4" numFmtId="0" xfId="0" applyBorder="1" applyFont="1"/>
    <xf borderId="24" fillId="8" fontId="4" numFmtId="0" xfId="0" applyAlignment="1" applyBorder="1" applyFont="1">
      <alignment horizontal="center" vertical="center"/>
    </xf>
    <xf borderId="21" fillId="8" fontId="4" numFmtId="165" xfId="0" applyAlignment="1" applyBorder="1" applyFont="1" applyNumberFormat="1">
      <alignment vertical="center"/>
    </xf>
    <xf borderId="22" fillId="8" fontId="4" numFmtId="165" xfId="0" applyAlignment="1" applyBorder="1" applyFont="1" applyNumberFormat="1">
      <alignment vertical="center"/>
    </xf>
    <xf borderId="65" fillId="8" fontId="8" numFmtId="0" xfId="0" applyAlignment="1" applyBorder="1" applyFont="1">
      <alignment horizontal="center" readingOrder="1" shrinkToFit="0" vertical="center" wrapText="1"/>
    </xf>
    <xf borderId="47" fillId="8" fontId="4" numFmtId="169" xfId="0" applyAlignment="1" applyBorder="1" applyFont="1" applyNumberFormat="1">
      <alignment vertical="center"/>
    </xf>
    <xf borderId="47" fillId="8" fontId="4" numFmtId="165" xfId="0" applyAlignment="1" applyBorder="1" applyFont="1" applyNumberFormat="1">
      <alignment vertical="center"/>
    </xf>
    <xf borderId="66" fillId="8" fontId="20" numFmtId="170" xfId="0" applyAlignment="1" applyBorder="1" applyFont="1" applyNumberFormat="1">
      <alignment horizontal="right" readingOrder="1" shrinkToFit="0" vertical="center" wrapText="1"/>
    </xf>
    <xf borderId="67" fillId="8" fontId="7" numFmtId="10" xfId="0" applyAlignment="1" applyBorder="1" applyFont="1" applyNumberFormat="1">
      <alignment vertical="center"/>
    </xf>
    <xf borderId="17" fillId="4" fontId="19" numFmtId="165" xfId="0" applyAlignment="1" applyBorder="1" applyFont="1" applyNumberFormat="1">
      <alignment horizontal="center" vertical="center"/>
    </xf>
    <xf borderId="65" fillId="4" fontId="28" numFmtId="0" xfId="0" applyAlignment="1" applyBorder="1" applyFont="1">
      <alignment horizontal="center" readingOrder="1" shrinkToFit="0" vertical="center" wrapText="1"/>
    </xf>
    <xf borderId="24" fillId="4" fontId="7" numFmtId="10" xfId="0" applyAlignment="1" applyBorder="1" applyFont="1" applyNumberFormat="1">
      <alignment vertical="center"/>
    </xf>
    <xf borderId="13" fillId="4" fontId="4" numFmtId="0" xfId="0" applyBorder="1" applyFont="1"/>
    <xf borderId="13" fillId="4" fontId="8" numFmtId="0" xfId="0" applyBorder="1" applyFont="1"/>
    <xf borderId="13" fillId="4" fontId="8" numFmtId="165" xfId="0" applyBorder="1" applyFont="1" applyNumberFormat="1"/>
    <xf borderId="0" fillId="0" fontId="4" numFmtId="0" xfId="0" applyAlignment="1" applyFont="1">
      <alignment horizontal="center" shrinkToFit="0" wrapText="1"/>
    </xf>
    <xf borderId="1" fillId="4" fontId="4" numFmtId="165" xfId="0" applyAlignment="1" applyBorder="1" applyFont="1" applyNumberFormat="1">
      <alignment shrinkToFit="0" vertical="center" wrapText="1"/>
    </xf>
    <xf borderId="0" fillId="4" fontId="6" numFmtId="165" xfId="0" applyAlignment="1" applyFont="1" applyNumberFormat="1">
      <alignment horizontal="center" shrinkToFit="0" vertical="center" wrapText="1"/>
    </xf>
    <xf borderId="0" fillId="0" fontId="6" numFmtId="165" xfId="0" applyAlignment="1" applyFont="1" applyNumberFormat="1">
      <alignment horizontal="center" shrinkToFit="0" vertical="center" wrapText="1"/>
    </xf>
    <xf borderId="0" fillId="0" fontId="4" numFmtId="165" xfId="0" applyAlignment="1" applyFont="1" applyNumberFormat="1">
      <alignment shrinkToFit="0" vertical="center" wrapText="1"/>
    </xf>
    <xf borderId="2" fillId="0" fontId="14" numFmtId="10" xfId="0" applyAlignment="1" applyBorder="1" applyFont="1" applyNumberFormat="1">
      <alignment vertical="center"/>
    </xf>
    <xf borderId="2" fillId="0" fontId="6" numFmtId="0" xfId="0" applyBorder="1" applyFont="1"/>
    <xf borderId="2" fillId="0" fontId="24" numFmtId="0" xfId="0" applyBorder="1" applyFont="1"/>
    <xf borderId="2" fillId="0" fontId="24" numFmtId="165" xfId="0" applyBorder="1" applyFont="1" applyNumberFormat="1"/>
    <xf borderId="0" fillId="0" fontId="7" numFmtId="0" xfId="0" applyFont="1"/>
    <xf borderId="1" fillId="4" fontId="8" numFmtId="0" xfId="0" applyBorder="1" applyFont="1"/>
    <xf borderId="0" fillId="4" fontId="8" numFmtId="0" xfId="0" applyFont="1"/>
    <xf borderId="0" fillId="4" fontId="29" numFmtId="0" xfId="0" applyFont="1"/>
    <xf borderId="0" fillId="0" fontId="21" numFmtId="165" xfId="0" applyFont="1" applyNumberFormat="1"/>
    <xf borderId="0" fillId="0" fontId="25" numFmtId="0" xfId="0" applyFont="1"/>
    <xf borderId="0" fillId="0" fontId="30" numFmtId="164" xfId="0" applyFont="1" applyNumberFormat="1"/>
    <xf borderId="0" fillId="0" fontId="25" numFmtId="171" xfId="0" applyFont="1" applyNumberFormat="1"/>
    <xf borderId="0" fillId="0" fontId="25" numFmtId="170" xfId="0" applyFont="1" applyNumberFormat="1"/>
    <xf borderId="2" fillId="0" fontId="30" numFmtId="0" xfId="0" applyBorder="1" applyFont="1"/>
    <xf borderId="2" fillId="0" fontId="25" numFmtId="2" xfId="0" applyBorder="1" applyFont="1" applyNumberFormat="1"/>
    <xf borderId="2" fillId="0" fontId="25" numFmtId="171" xfId="0" applyBorder="1" applyFont="1" applyNumberFormat="1"/>
    <xf borderId="2" fillId="0" fontId="25" numFmtId="0" xfId="0" applyBorder="1" applyFont="1"/>
    <xf borderId="2" fillId="0" fontId="25" numFmtId="170" xfId="0" applyBorder="1" applyFont="1" applyNumberFormat="1"/>
    <xf borderId="2" fillId="0" fontId="30" numFmtId="0" xfId="0" applyAlignment="1" applyBorder="1" applyFont="1">
      <alignment horizontal="center" shrinkToFit="0" vertical="top" wrapText="1"/>
    </xf>
    <xf borderId="2" fillId="0" fontId="30" numFmtId="171" xfId="0" applyAlignment="1" applyBorder="1" applyFont="1" applyNumberFormat="1">
      <alignment horizontal="center" shrinkToFit="0" vertical="top" wrapText="1"/>
    </xf>
    <xf borderId="2" fillId="0" fontId="30" numFmtId="170" xfId="0" applyAlignment="1" applyBorder="1" applyFont="1" applyNumberFormat="1">
      <alignment shrinkToFit="0" vertical="top" wrapText="1"/>
    </xf>
    <xf borderId="2" fillId="0" fontId="30" numFmtId="171" xfId="0" applyBorder="1" applyFont="1" applyNumberFormat="1"/>
    <xf borderId="2" fillId="0" fontId="30" numFmtId="2" xfId="0" applyBorder="1" applyFont="1" applyNumberFormat="1"/>
    <xf borderId="2" fillId="0" fontId="30" numFmtId="170" xfId="0" applyBorder="1" applyFont="1" applyNumberFormat="1"/>
    <xf borderId="0" fillId="0" fontId="30" numFmtId="0" xfId="0" applyFont="1"/>
    <xf borderId="2" fillId="0" fontId="14" numFmtId="0" xfId="0" applyAlignment="1" applyBorder="1" applyFont="1">
      <alignment horizontal="center"/>
    </xf>
    <xf borderId="2" fillId="0" fontId="14" numFmtId="171" xfId="0" applyAlignment="1" applyBorder="1" applyFont="1" applyNumberFormat="1">
      <alignment horizontal="center"/>
    </xf>
    <xf borderId="2" fillId="0" fontId="14" numFmtId="0" xfId="0" applyAlignment="1" applyBorder="1" applyFont="1">
      <alignment horizontal="center" shrinkToFit="0" wrapText="1"/>
    </xf>
    <xf borderId="2" fillId="0" fontId="14" numFmtId="172" xfId="0" applyAlignment="1" applyBorder="1" applyFont="1" applyNumberFormat="1">
      <alignment horizontal="center" shrinkToFit="0" wrapText="1"/>
    </xf>
    <xf borderId="2" fillId="0" fontId="14" numFmtId="173" xfId="0" applyAlignment="1" applyBorder="1" applyFont="1" applyNumberFormat="1">
      <alignment horizontal="center" shrinkToFit="0" wrapText="1"/>
    </xf>
    <xf borderId="2" fillId="0" fontId="14" numFmtId="2" xfId="0" applyAlignment="1" applyBorder="1" applyFont="1" applyNumberFormat="1">
      <alignment horizontal="center" shrinkToFit="0" wrapText="1"/>
    </xf>
    <xf borderId="2" fillId="14" fontId="6" numFmtId="2" xfId="0" applyAlignment="1" applyBorder="1" applyFill="1" applyFont="1" applyNumberFormat="1">
      <alignment horizontal="center" shrinkToFit="0" wrapText="1"/>
    </xf>
    <xf borderId="2" fillId="0" fontId="31" numFmtId="173" xfId="0" applyAlignment="1" applyBorder="1" applyFont="1" applyNumberFormat="1">
      <alignment horizontal="center"/>
    </xf>
    <xf borderId="2" fillId="0" fontId="31" numFmtId="2" xfId="0" applyAlignment="1" applyBorder="1" applyFont="1" applyNumberFormat="1">
      <alignment horizontal="center"/>
    </xf>
    <xf borderId="0" fillId="0" fontId="14" numFmtId="0" xfId="0" applyAlignment="1" applyFont="1">
      <alignment horizontal="center"/>
    </xf>
    <xf borderId="2" fillId="12" fontId="7" numFmtId="0" xfId="0" applyBorder="1" applyFont="1"/>
    <xf borderId="2" fillId="12" fontId="4" numFmtId="165" xfId="0" applyBorder="1" applyFont="1" applyNumberFormat="1"/>
    <xf borderId="2" fillId="12" fontId="10" numFmtId="171" xfId="0" applyAlignment="1" applyBorder="1" applyFont="1" applyNumberFormat="1">
      <alignment horizontal="right"/>
    </xf>
    <xf borderId="2" fillId="12" fontId="7" numFmtId="0" xfId="0" applyAlignment="1" applyBorder="1" applyFont="1">
      <alignment horizontal="center"/>
    </xf>
    <xf borderId="2" fillId="12" fontId="7" numFmtId="172" xfId="0" applyAlignment="1" applyBorder="1" applyFont="1" applyNumberFormat="1">
      <alignment horizontal="center"/>
    </xf>
    <xf borderId="2" fillId="12" fontId="4" numFmtId="0" xfId="0" applyAlignment="1" applyBorder="1" applyFont="1">
      <alignment horizontal="center"/>
    </xf>
    <xf borderId="2" fillId="12" fontId="4" numFmtId="173" xfId="0" applyAlignment="1" applyBorder="1" applyFont="1" applyNumberFormat="1">
      <alignment horizontal="center"/>
    </xf>
    <xf borderId="2" fillId="12" fontId="4" numFmtId="2" xfId="0" applyAlignment="1" applyBorder="1" applyFont="1" applyNumberFormat="1">
      <alignment horizontal="center"/>
    </xf>
    <xf borderId="2" fillId="12" fontId="7" numFmtId="2" xfId="0" applyAlignment="1" applyBorder="1" applyFont="1" applyNumberFormat="1">
      <alignment horizontal="center"/>
    </xf>
    <xf borderId="2" fillId="12" fontId="7" numFmtId="173" xfId="0" applyAlignment="1" applyBorder="1" applyFont="1" applyNumberFormat="1">
      <alignment horizontal="center"/>
    </xf>
    <xf borderId="2" fillId="4" fontId="7" numFmtId="0" xfId="0" applyBorder="1" applyFont="1"/>
    <xf borderId="2" fillId="4" fontId="4" numFmtId="165" xfId="0" applyBorder="1" applyFont="1" applyNumberFormat="1"/>
    <xf borderId="2" fillId="4" fontId="10" numFmtId="171" xfId="0" applyAlignment="1" applyBorder="1" applyFont="1" applyNumberFormat="1">
      <alignment horizontal="right"/>
    </xf>
    <xf borderId="2" fillId="4" fontId="7" numFmtId="0" xfId="0" applyAlignment="1" applyBorder="1" applyFont="1">
      <alignment horizontal="center"/>
    </xf>
    <xf borderId="2" fillId="4" fontId="28" numFmtId="172" xfId="0" applyAlignment="1" applyBorder="1" applyFont="1" applyNumberFormat="1">
      <alignment horizontal="center"/>
    </xf>
    <xf borderId="2" fillId="4" fontId="7" numFmtId="173" xfId="0" applyAlignment="1" applyBorder="1" applyFont="1" applyNumberFormat="1">
      <alignment horizontal="center"/>
    </xf>
    <xf borderId="2" fillId="4" fontId="7" numFmtId="2" xfId="0" applyAlignment="1" applyBorder="1" applyFont="1" applyNumberFormat="1">
      <alignment horizontal="center"/>
    </xf>
    <xf borderId="1" fillId="4" fontId="7" numFmtId="0" xfId="0" applyBorder="1" applyFont="1"/>
    <xf borderId="2" fillId="4" fontId="7" numFmtId="172" xfId="0" applyAlignment="1" applyBorder="1" applyFont="1" applyNumberFormat="1">
      <alignment horizontal="center"/>
    </xf>
    <xf borderId="57" fillId="15" fontId="8" numFmtId="0" xfId="0" applyAlignment="1" applyBorder="1" applyFill="1" applyFont="1">
      <alignment horizontal="center" readingOrder="1" shrinkToFit="0" wrapText="1"/>
    </xf>
    <xf borderId="68" fillId="16" fontId="8" numFmtId="0" xfId="0" applyAlignment="1" applyBorder="1" applyFill="1" applyFont="1">
      <alignment horizontal="center" readingOrder="1" shrinkToFit="0" wrapText="1"/>
    </xf>
    <xf borderId="58" fillId="15" fontId="8" numFmtId="0" xfId="0" applyAlignment="1" applyBorder="1" applyFont="1">
      <alignment horizontal="center" readingOrder="1" shrinkToFit="0" wrapText="1"/>
    </xf>
    <xf borderId="69" fillId="16" fontId="8" numFmtId="0" xfId="0" applyAlignment="1" applyBorder="1" applyFont="1">
      <alignment horizontal="center" readingOrder="1" shrinkToFit="0" wrapText="1"/>
    </xf>
    <xf borderId="2" fillId="0" fontId="7" numFmtId="0" xfId="0" applyBorder="1" applyFont="1"/>
    <xf borderId="2" fillId="0" fontId="10" numFmtId="171" xfId="0" applyAlignment="1" applyBorder="1" applyFont="1" applyNumberFormat="1">
      <alignment horizontal="right"/>
    </xf>
    <xf borderId="2" fillId="0" fontId="7" numFmtId="0" xfId="0" applyAlignment="1" applyBorder="1" applyFont="1">
      <alignment horizontal="center"/>
    </xf>
    <xf borderId="2" fillId="0" fontId="28" numFmtId="172" xfId="0" applyAlignment="1" applyBorder="1" applyFont="1" applyNumberFormat="1">
      <alignment horizontal="center"/>
    </xf>
    <xf borderId="2" fillId="0" fontId="7" numFmtId="173" xfId="0" applyAlignment="1" applyBorder="1" applyFont="1" applyNumberFormat="1">
      <alignment horizontal="center"/>
    </xf>
    <xf borderId="2" fillId="0" fontId="7" numFmtId="2" xfId="0" applyAlignment="1" applyBorder="1" applyFont="1" applyNumberFormat="1">
      <alignment horizontal="center"/>
    </xf>
    <xf borderId="2" fillId="16" fontId="7" numFmtId="173" xfId="0" applyAlignment="1" applyBorder="1" applyFont="1" applyNumberFormat="1">
      <alignment horizontal="center"/>
    </xf>
    <xf borderId="2" fillId="16" fontId="7" numFmtId="2" xfId="0" applyAlignment="1" applyBorder="1" applyFont="1" applyNumberFormat="1">
      <alignment horizontal="center"/>
    </xf>
    <xf borderId="2" fillId="0" fontId="7" numFmtId="172" xfId="0" applyAlignment="1" applyBorder="1" applyFont="1" applyNumberFormat="1">
      <alignment horizontal="center"/>
    </xf>
    <xf borderId="2" fillId="16" fontId="7" numFmtId="0" xfId="0" applyAlignment="1" applyBorder="1" applyFont="1">
      <alignment horizontal="center"/>
    </xf>
    <xf borderId="2" fillId="16" fontId="7" numFmtId="0" xfId="0" applyBorder="1" applyFont="1"/>
    <xf borderId="2" fillId="16" fontId="4" numFmtId="0" xfId="0" applyAlignment="1" applyBorder="1" applyFont="1">
      <alignment shrinkToFit="0" wrapText="1"/>
    </xf>
    <xf borderId="2" fillId="16" fontId="10" numFmtId="171" xfId="0" applyAlignment="1" applyBorder="1" applyFont="1" applyNumberFormat="1">
      <alignment horizontal="right"/>
    </xf>
    <xf borderId="2" fillId="16" fontId="7" numFmtId="172" xfId="0" applyAlignment="1" applyBorder="1" applyFont="1" applyNumberFormat="1">
      <alignment horizontal="center"/>
    </xf>
    <xf borderId="1" fillId="16" fontId="8" numFmtId="0" xfId="0" applyBorder="1" applyFont="1"/>
    <xf quotePrefix="1" borderId="2" fillId="0" fontId="8" numFmtId="0" xfId="0" applyBorder="1" applyFont="1"/>
    <xf borderId="2" fillId="0" fontId="21" numFmtId="171" xfId="0" applyAlignment="1" applyBorder="1" applyFont="1" applyNumberFormat="1">
      <alignment horizontal="right"/>
    </xf>
    <xf borderId="2" fillId="0" fontId="8" numFmtId="168" xfId="0" applyAlignment="1" applyBorder="1" applyFont="1" applyNumberFormat="1">
      <alignment horizontal="center"/>
    </xf>
    <xf borderId="2" fillId="0" fontId="8" numFmtId="172" xfId="0" applyAlignment="1" applyBorder="1" applyFont="1" applyNumberFormat="1">
      <alignment horizontal="center"/>
    </xf>
    <xf borderId="57" fillId="0" fontId="8" numFmtId="0" xfId="0" applyAlignment="1" applyBorder="1" applyFont="1">
      <alignment horizontal="center" readingOrder="1" shrinkToFit="0" wrapText="1"/>
    </xf>
    <xf borderId="2" fillId="0" fontId="7" numFmtId="171" xfId="0" applyBorder="1" applyFont="1" applyNumberFormat="1"/>
    <xf borderId="2" fillId="0" fontId="14" numFmtId="168" xfId="0" applyAlignment="1" applyBorder="1" applyFont="1" applyNumberFormat="1">
      <alignment horizontal="center"/>
    </xf>
    <xf borderId="2" fillId="0" fontId="14" numFmtId="172" xfId="0" applyAlignment="1" applyBorder="1" applyFont="1" applyNumberFormat="1">
      <alignment horizontal="center"/>
    </xf>
    <xf borderId="0" fillId="0" fontId="8" numFmtId="171" xfId="0" applyFont="1" applyNumberFormat="1"/>
    <xf borderId="0" fillId="0" fontId="7" numFmtId="0" xfId="0" applyAlignment="1" applyFon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173" xfId="0" applyAlignment="1" applyFont="1" applyNumberFormat="1">
      <alignment horizontal="center"/>
    </xf>
    <xf borderId="0" fillId="0" fontId="7" numFmtId="2" xfId="0" applyAlignment="1" applyFont="1" applyNumberFormat="1">
      <alignment horizontal="center"/>
    </xf>
    <xf borderId="1" fillId="15" fontId="14" numFmtId="0" xfId="0" applyAlignment="1" applyBorder="1" applyFont="1">
      <alignment horizontal="right" shrinkToFit="0" wrapText="1"/>
    </xf>
    <xf borderId="1" fillId="15" fontId="14" numFmtId="171" xfId="0" applyAlignment="1" applyBorder="1" applyFont="1" applyNumberFormat="1">
      <alignment horizontal="right" shrinkToFit="0" wrapText="1"/>
    </xf>
    <xf borderId="1" fillId="15" fontId="14" numFmtId="0" xfId="0" applyAlignment="1" applyBorder="1" applyFont="1">
      <alignment horizontal="center" shrinkToFit="0" wrapText="1"/>
    </xf>
    <xf borderId="1" fillId="15" fontId="7" numFmtId="0" xfId="0" applyAlignment="1" applyBorder="1" applyFont="1">
      <alignment horizontal="right" shrinkToFit="0" wrapText="1"/>
    </xf>
    <xf borderId="1" fillId="15" fontId="4" numFmtId="171" xfId="0" applyAlignment="1" applyBorder="1" applyFont="1" applyNumberFormat="1">
      <alignment horizontal="right" shrinkToFit="0" wrapText="1"/>
    </xf>
    <xf borderId="1" fillId="15" fontId="7" numFmtId="0" xfId="0" applyAlignment="1" applyBorder="1" applyFont="1">
      <alignment horizontal="center" shrinkToFit="0" wrapText="1"/>
    </xf>
    <xf borderId="1" fillId="15" fontId="7" numFmtId="0" xfId="0" applyAlignment="1" applyBorder="1" applyFont="1">
      <alignment horizontal="center"/>
    </xf>
    <xf borderId="1" fillId="15" fontId="7" numFmtId="0" xfId="0" applyAlignment="1" applyBorder="1" applyFont="1">
      <alignment horizontal="right"/>
    </xf>
    <xf borderId="1" fillId="15" fontId="7" numFmtId="171" xfId="0" applyAlignment="1" applyBorder="1" applyFont="1" applyNumberFormat="1">
      <alignment horizontal="right" shrinkToFit="0" wrapText="1"/>
    </xf>
    <xf borderId="1" fillId="17" fontId="7" numFmtId="0" xfId="0" applyAlignment="1" applyBorder="1" applyFill="1" applyFont="1">
      <alignment horizontal="center" shrinkToFit="0" wrapText="1"/>
    </xf>
    <xf borderId="1" fillId="15" fontId="32" numFmtId="0" xfId="0" applyAlignment="1" applyBorder="1" applyFont="1">
      <alignment horizontal="right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right"/>
    </xf>
    <xf borderId="1" fillId="15" fontId="33" numFmtId="0" xfId="0" applyAlignment="1" applyBorder="1" applyFont="1">
      <alignment horizontal="right" shrinkToFit="0" wrapText="1"/>
    </xf>
    <xf borderId="1" fillId="15" fontId="4" numFmtId="165" xfId="0" applyAlignment="1" applyBorder="1" applyFont="1" applyNumberFormat="1">
      <alignment horizontal="right" shrinkToFit="0" wrapText="1"/>
    </xf>
    <xf borderId="0" fillId="0" fontId="7" numFmtId="0" xfId="0" applyAlignment="1" applyFont="1">
      <alignment horizontal="right" shrinkToFit="0" wrapText="1"/>
    </xf>
    <xf borderId="0" fillId="0" fontId="7" numFmtId="171" xfId="0" applyAlignment="1" applyFont="1" applyNumberFormat="1">
      <alignment horizontal="right" shrinkToFit="0" wrapText="1"/>
    </xf>
    <xf borderId="0" fillId="0" fontId="7" numFmtId="165" xfId="0" applyAlignment="1" applyFont="1" applyNumberFormat="1">
      <alignment horizontal="right" shrinkToFit="0" wrapText="1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right" shrinkToFit="0" wrapText="1"/>
    </xf>
    <xf borderId="0" fillId="0" fontId="7" numFmtId="0" xfId="0" applyAlignment="1" applyFont="1">
      <alignment shrinkToFit="0" wrapText="1"/>
    </xf>
    <xf borderId="1" fillId="15" fontId="34" numFmtId="0" xfId="0" applyAlignment="1" applyBorder="1" applyFont="1">
      <alignment horizontal="right" shrinkToFit="0" wrapText="1"/>
    </xf>
    <xf borderId="1" fillId="15" fontId="34" numFmtId="0" xfId="0" applyAlignment="1" applyBorder="1" applyFont="1">
      <alignment horizontal="right"/>
    </xf>
    <xf borderId="1" fillId="17" fontId="7" numFmtId="0" xfId="0" applyAlignment="1" applyBorder="1" applyFont="1">
      <alignment shrinkToFit="0" wrapText="1"/>
    </xf>
    <xf borderId="1" fillId="17" fontId="7" numFmtId="0" xfId="0" applyAlignment="1" applyBorder="1" applyFont="1">
      <alignment horizontal="right" shrinkToFit="0" wrapText="1"/>
    </xf>
    <xf borderId="70" fillId="15" fontId="35" numFmtId="0" xfId="0" applyAlignment="1" applyBorder="1" applyFont="1">
      <alignment horizontal="center"/>
    </xf>
    <xf borderId="70" fillId="15" fontId="23" numFmtId="0" xfId="0" applyBorder="1" applyFont="1"/>
    <xf borderId="71" fillId="18" fontId="35" numFmtId="0" xfId="0" applyAlignment="1" applyBorder="1" applyFill="1" applyFont="1">
      <alignment horizontal="center" shrinkToFit="0" wrapText="1"/>
    </xf>
    <xf borderId="72" fillId="18" fontId="35" numFmtId="0" xfId="0" applyAlignment="1" applyBorder="1" applyFont="1">
      <alignment horizontal="center" shrinkToFit="0" wrapText="1"/>
    </xf>
    <xf borderId="73" fillId="18" fontId="35" numFmtId="0" xfId="0" applyAlignment="1" applyBorder="1" applyFont="1">
      <alignment horizontal="center" shrinkToFit="0" wrapText="1"/>
    </xf>
    <xf borderId="74" fillId="0" fontId="23" numFmtId="0" xfId="0" applyAlignment="1" applyBorder="1" applyFont="1">
      <alignment shrinkToFit="0" wrapText="1"/>
    </xf>
    <xf borderId="74" fillId="0" fontId="8" numFmtId="0" xfId="0" applyAlignment="1" applyBorder="1" applyFont="1">
      <alignment shrinkToFit="0" wrapText="1"/>
    </xf>
    <xf borderId="70" fillId="0" fontId="23" numFmtId="0" xfId="0" applyAlignment="1" applyBorder="1" applyFont="1">
      <alignment shrinkToFit="0" wrapText="1"/>
    </xf>
    <xf borderId="70" fillId="0" fontId="8" numFmtId="0" xfId="0" applyAlignment="1" applyBorder="1" applyFont="1">
      <alignment shrinkToFit="0" wrapText="1"/>
    </xf>
    <xf borderId="74" fillId="0" fontId="23" numFmtId="0" xfId="0" applyBorder="1" applyFont="1"/>
    <xf borderId="74" fillId="0" fontId="8" numFmtId="0" xfId="0" applyBorder="1" applyFont="1"/>
    <xf borderId="70" fillId="0" fontId="23" numFmtId="0" xfId="0" applyBorder="1" applyFont="1"/>
    <xf borderId="70" fillId="0" fontId="8" numFmtId="0" xfId="0" applyBorder="1" applyFont="1"/>
    <xf borderId="71" fillId="18" fontId="35" numFmtId="0" xfId="0" applyAlignment="1" applyBorder="1" applyFont="1">
      <alignment horizontal="center"/>
    </xf>
    <xf borderId="72" fillId="18" fontId="35" numFmtId="0" xfId="0" applyAlignment="1" applyBorder="1" applyFont="1">
      <alignment horizontal="center"/>
    </xf>
    <xf borderId="73" fillId="18" fontId="35" numFmtId="0" xfId="0" applyAlignment="1" applyBorder="1" applyFont="1">
      <alignment horizontal="center"/>
    </xf>
  </cellXfs>
  <cellStyles count="1">
    <cellStyle xfId="0" name="Normal" builtinId="0"/>
  </cellStyles>
  <dxfs count="6">
    <dxf>
      <font/>
      <fill>
        <patternFill patternType="solid">
          <fgColor rgb="FFFA5858"/>
          <bgColor rgb="FFFA5858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5DCB65"/>
          <bgColor rgb="FF5DCB65"/>
        </patternFill>
      </fill>
      <border/>
    </dxf>
    <dxf>
      <font/>
      <fill>
        <patternFill patternType="solid">
          <fgColor rgb="FFDAE999"/>
          <bgColor rgb="FFDAE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4.43" defaultRowHeight="15.0"/>
  <cols>
    <col customWidth="1" min="1" max="1" width="1.43"/>
    <col customWidth="1" hidden="1" min="2" max="2" width="8.71"/>
    <col customWidth="1" min="3" max="3" width="16.0"/>
    <col customWidth="1" min="4" max="4" width="52.71"/>
    <col customWidth="1" min="5" max="5" width="5.71"/>
    <col customWidth="1" min="6" max="6" width="7.71"/>
    <col customWidth="1" min="7" max="7" width="8.29"/>
    <col customWidth="1" min="8" max="9" width="8.0"/>
    <col customWidth="1" min="10" max="10" width="8.14"/>
    <col customWidth="1" min="11" max="11" width="9.86"/>
    <col customWidth="1" min="12" max="12" width="9.71"/>
    <col customWidth="1" min="13" max="13" width="8.14"/>
    <col customWidth="1" min="14" max="15" width="9.0"/>
    <col customWidth="1" min="16" max="17" width="10.14"/>
    <col customWidth="1" min="18" max="22" width="9.0"/>
    <col customWidth="1" min="23" max="23" width="7.14"/>
    <col customWidth="1" min="24" max="30" width="9.0"/>
    <col customWidth="1" min="31" max="31" width="7.43"/>
    <col customWidth="1" min="32" max="34" width="9.0"/>
    <col customWidth="1" min="35" max="35" width="8.0"/>
    <col customWidth="1" min="36" max="36" width="8.43"/>
    <col customWidth="1" min="37" max="38" width="14.43"/>
  </cols>
  <sheetData>
    <row r="1" ht="12.75" customHeight="1">
      <c r="A1" s="1"/>
      <c r="B1" s="2"/>
      <c r="C1" s="3">
        <v>60.0</v>
      </c>
      <c r="D1" s="4" t="s">
        <v>0</v>
      </c>
      <c r="E1" s="5"/>
      <c r="F1" s="5"/>
      <c r="G1" s="5"/>
      <c r="H1" s="6">
        <v>46189.0</v>
      </c>
      <c r="I1" s="7"/>
      <c r="J1" s="5"/>
      <c r="K1" s="8"/>
      <c r="L1" s="9"/>
      <c r="M1" s="10"/>
      <c r="N1" s="10"/>
      <c r="O1" s="11" t="s">
        <v>1</v>
      </c>
      <c r="P1" s="12"/>
      <c r="Q1" s="13"/>
      <c r="R1" s="14"/>
      <c r="S1" s="15" t="s">
        <v>2</v>
      </c>
      <c r="T1" s="15"/>
      <c r="U1" s="15"/>
      <c r="V1" s="15"/>
      <c r="W1" s="8"/>
      <c r="X1" s="16" t="s">
        <v>3</v>
      </c>
      <c r="Y1" s="17">
        <v>1.7</v>
      </c>
      <c r="Z1" s="18" t="s">
        <v>4</v>
      </c>
      <c r="AA1" s="19"/>
      <c r="AB1" s="20"/>
      <c r="AC1" s="15"/>
      <c r="AD1" s="21">
        <v>0.29</v>
      </c>
      <c r="AE1" s="22" t="s">
        <v>5</v>
      </c>
      <c r="AF1" s="23"/>
      <c r="AG1" s="24"/>
      <c r="AH1" s="25"/>
      <c r="AI1" s="26"/>
      <c r="AJ1" s="27"/>
      <c r="AK1" s="27"/>
      <c r="AL1" s="28"/>
    </row>
    <row r="2" ht="12.75" customHeight="1">
      <c r="A2" s="26"/>
      <c r="B2" s="29"/>
      <c r="C2" s="30">
        <v>0.1</v>
      </c>
      <c r="D2" s="31" t="s">
        <v>6</v>
      </c>
      <c r="E2" s="5"/>
      <c r="F2" s="5"/>
      <c r="G2" s="5"/>
      <c r="H2" s="32" t="s">
        <v>7</v>
      </c>
      <c r="I2" s="32">
        <v>6.9E-4</v>
      </c>
      <c r="J2" s="5"/>
      <c r="K2" s="8"/>
      <c r="L2" s="9"/>
      <c r="M2" s="10"/>
      <c r="N2" s="10" t="s">
        <v>8</v>
      </c>
      <c r="O2" s="33">
        <v>170.0</v>
      </c>
      <c r="P2" s="34">
        <v>64.6</v>
      </c>
      <c r="Q2" s="35"/>
      <c r="R2" s="36">
        <v>16.15</v>
      </c>
      <c r="S2" s="37">
        <v>170.0</v>
      </c>
      <c r="T2" s="37">
        <v>0.14</v>
      </c>
      <c r="U2" s="37">
        <v>0.14</v>
      </c>
      <c r="V2" s="15"/>
      <c r="W2" s="8"/>
      <c r="X2" s="38" t="s">
        <v>9</v>
      </c>
      <c r="Y2" s="39">
        <v>1.7</v>
      </c>
      <c r="Z2" s="40" t="s">
        <v>10</v>
      </c>
      <c r="AA2" s="39"/>
      <c r="AB2" s="41"/>
      <c r="AC2" s="15"/>
      <c r="AD2" s="42">
        <v>0.0</v>
      </c>
      <c r="AE2" s="22" t="s">
        <v>11</v>
      </c>
      <c r="AF2" s="23"/>
      <c r="AG2" s="24"/>
      <c r="AH2" s="25"/>
      <c r="AI2" s="26"/>
      <c r="AJ2" s="27"/>
      <c r="AK2" s="27"/>
      <c r="AL2" s="28"/>
    </row>
    <row r="3" ht="12.75" customHeight="1">
      <c r="A3" s="26"/>
      <c r="B3" s="29"/>
      <c r="C3" s="43">
        <v>0.0</v>
      </c>
      <c r="D3" s="44" t="s">
        <v>12</v>
      </c>
      <c r="E3" s="5"/>
      <c r="F3" s="5"/>
      <c r="G3" s="5"/>
      <c r="H3" s="45" t="s">
        <v>13</v>
      </c>
      <c r="I3" s="45">
        <v>89.0</v>
      </c>
      <c r="J3" s="5"/>
      <c r="K3" s="8"/>
      <c r="L3" s="9"/>
      <c r="M3" s="10"/>
      <c r="N3" s="10" t="s">
        <v>14</v>
      </c>
      <c r="O3" s="33">
        <v>160.0</v>
      </c>
      <c r="P3" s="34">
        <v>60.8</v>
      </c>
      <c r="Q3" s="35"/>
      <c r="R3" s="36">
        <v>15.2</v>
      </c>
      <c r="S3" s="37">
        <v>160.0</v>
      </c>
      <c r="T3" s="37">
        <v>0.13</v>
      </c>
      <c r="U3" s="37">
        <v>0.13</v>
      </c>
      <c r="V3" s="15"/>
      <c r="W3" s="8"/>
      <c r="X3" s="8"/>
      <c r="Y3" s="46">
        <v>50.0</v>
      </c>
      <c r="Z3" s="47" t="s">
        <v>15</v>
      </c>
      <c r="AA3" s="39"/>
      <c r="AB3" s="41"/>
      <c r="AC3" s="15"/>
      <c r="AD3" s="48">
        <v>0.0</v>
      </c>
      <c r="AE3" s="49" t="s">
        <v>16</v>
      </c>
      <c r="AF3" s="50"/>
      <c r="AG3" s="51"/>
      <c r="AH3" s="25"/>
      <c r="AI3" s="26"/>
      <c r="AJ3" s="27"/>
      <c r="AK3" s="27"/>
      <c r="AL3" s="28"/>
    </row>
    <row r="4" ht="12.75" customHeight="1">
      <c r="A4" s="26"/>
      <c r="B4" s="29"/>
      <c r="C4" s="52">
        <v>76.0</v>
      </c>
      <c r="D4" s="53" t="s">
        <v>17</v>
      </c>
      <c r="E4" s="5"/>
      <c r="F4" s="5"/>
      <c r="G4" s="54"/>
      <c r="H4" s="55" t="s">
        <v>18</v>
      </c>
      <c r="I4" s="32"/>
      <c r="J4" s="56">
        <v>0.3</v>
      </c>
      <c r="K4" s="8"/>
      <c r="L4" s="9"/>
      <c r="M4" s="10"/>
      <c r="N4" s="10" t="s">
        <v>19</v>
      </c>
      <c r="O4" s="33">
        <v>115.0</v>
      </c>
      <c r="P4" s="34">
        <v>43.7</v>
      </c>
      <c r="Q4" s="35"/>
      <c r="R4" s="36">
        <v>10.93</v>
      </c>
      <c r="S4" s="37">
        <v>115.0</v>
      </c>
      <c r="T4" s="37">
        <v>0.09</v>
      </c>
      <c r="U4" s="37">
        <v>0.09</v>
      </c>
      <c r="V4" s="15"/>
      <c r="W4" s="8"/>
      <c r="X4" s="8"/>
      <c r="Y4" s="15">
        <v>38.0</v>
      </c>
      <c r="Z4" s="57" t="s">
        <v>20</v>
      </c>
      <c r="AA4" s="15"/>
      <c r="AB4" s="15"/>
      <c r="AC4" s="15"/>
      <c r="AD4" s="15"/>
      <c r="AE4" s="58"/>
      <c r="AF4" s="58"/>
      <c r="AG4" s="15"/>
      <c r="AH4" s="25"/>
      <c r="AI4" s="26"/>
      <c r="AJ4" s="27"/>
      <c r="AK4" s="27"/>
      <c r="AL4" s="28"/>
    </row>
    <row r="5" ht="12.75" customHeight="1">
      <c r="A5" s="26"/>
      <c r="B5" s="29"/>
      <c r="C5" s="59">
        <v>19.0</v>
      </c>
      <c r="D5" s="60" t="s">
        <v>21</v>
      </c>
      <c r="E5" s="5"/>
      <c r="F5" s="5"/>
      <c r="G5" s="54"/>
      <c r="H5" s="55" t="s">
        <v>22</v>
      </c>
      <c r="I5" s="32"/>
      <c r="J5" s="61"/>
      <c r="K5" s="8"/>
      <c r="L5" s="9"/>
      <c r="M5" s="10"/>
      <c r="N5" s="10" t="s">
        <v>23</v>
      </c>
      <c r="O5" s="33">
        <v>200.0</v>
      </c>
      <c r="P5" s="62">
        <v>76.0</v>
      </c>
      <c r="Q5" s="63"/>
      <c r="R5" s="64">
        <v>19.0</v>
      </c>
      <c r="S5" s="37">
        <v>200.0</v>
      </c>
      <c r="T5" s="65">
        <v>0.16</v>
      </c>
      <c r="U5" s="65">
        <v>0.16</v>
      </c>
      <c r="V5" s="15"/>
      <c r="W5" s="8"/>
      <c r="X5" s="8"/>
      <c r="Y5" s="15">
        <v>9.5</v>
      </c>
      <c r="Z5" s="57" t="s">
        <v>24</v>
      </c>
      <c r="AA5" s="15"/>
      <c r="AB5" s="15"/>
      <c r="AC5" s="15"/>
      <c r="AD5" s="15"/>
      <c r="AE5" s="58"/>
      <c r="AF5" s="58"/>
      <c r="AG5" s="15"/>
      <c r="AH5" s="25"/>
      <c r="AI5" s="26"/>
      <c r="AJ5" s="27"/>
      <c r="AK5" s="27"/>
      <c r="AL5" s="28"/>
    </row>
    <row r="6" ht="12.75" customHeight="1">
      <c r="A6" s="26"/>
      <c r="B6" s="29"/>
      <c r="C6" s="52">
        <v>0.16</v>
      </c>
      <c r="D6" s="53" t="s">
        <v>25</v>
      </c>
      <c r="E6" s="5"/>
      <c r="F6" s="5"/>
      <c r="G6" s="5"/>
      <c r="H6" s="5"/>
      <c r="I6" s="5"/>
      <c r="J6" s="5"/>
      <c r="K6" s="8"/>
      <c r="L6" s="9"/>
      <c r="M6" s="10"/>
      <c r="N6" s="10" t="s">
        <v>26</v>
      </c>
      <c r="O6" s="33">
        <v>165.0</v>
      </c>
      <c r="P6" s="34">
        <v>62.7</v>
      </c>
      <c r="Q6" s="35"/>
      <c r="R6" s="36">
        <v>15.68</v>
      </c>
      <c r="S6" s="37">
        <v>165.0</v>
      </c>
      <c r="T6" s="37">
        <v>0.13</v>
      </c>
      <c r="U6" s="37">
        <v>0.13</v>
      </c>
      <c r="V6" s="15"/>
      <c r="W6" s="8"/>
      <c r="X6" s="8"/>
      <c r="Y6" s="66">
        <v>0.325</v>
      </c>
      <c r="Z6" s="67" t="s">
        <v>27</v>
      </c>
      <c r="AA6" s="19"/>
      <c r="AB6" s="20"/>
      <c r="AC6" s="15"/>
      <c r="AD6" s="15"/>
      <c r="AE6" s="58"/>
      <c r="AF6" s="58"/>
      <c r="AG6" s="15"/>
      <c r="AH6" s="25"/>
      <c r="AI6" s="26"/>
      <c r="AJ6" s="27"/>
      <c r="AK6" s="27"/>
      <c r="AL6" s="28"/>
    </row>
    <row r="7" ht="12.75" customHeight="1">
      <c r="A7" s="26"/>
      <c r="B7" s="29"/>
      <c r="C7" s="68">
        <v>30.0</v>
      </c>
      <c r="D7" s="60" t="s">
        <v>28</v>
      </c>
      <c r="E7" s="5"/>
      <c r="F7" s="5"/>
      <c r="G7" s="5"/>
      <c r="H7" s="5"/>
      <c r="I7" s="5"/>
      <c r="J7" s="5"/>
      <c r="K7" s="8"/>
      <c r="L7" s="9"/>
      <c r="M7" s="10"/>
      <c r="N7" s="10" t="s">
        <v>29</v>
      </c>
      <c r="O7" s="33">
        <v>220.0</v>
      </c>
      <c r="P7" s="34">
        <v>83.6</v>
      </c>
      <c r="Q7" s="35"/>
      <c r="R7" s="69">
        <v>20.9</v>
      </c>
      <c r="S7" s="36">
        <v>220.0</v>
      </c>
      <c r="T7" s="37">
        <v>0.18</v>
      </c>
      <c r="U7" s="37">
        <v>0.18</v>
      </c>
      <c r="V7" s="15"/>
      <c r="W7" s="70"/>
      <c r="X7" s="8"/>
      <c r="Y7" s="71">
        <v>0.0399</v>
      </c>
      <c r="Z7" s="72" t="s">
        <v>30</v>
      </c>
      <c r="AA7" s="73"/>
      <c r="AB7" s="74"/>
      <c r="AC7" s="15"/>
      <c r="AD7" s="15"/>
      <c r="AE7" s="58"/>
      <c r="AF7" s="58"/>
      <c r="AG7" s="15"/>
      <c r="AH7" s="25"/>
      <c r="AI7" s="26"/>
      <c r="AJ7" s="27"/>
      <c r="AK7" s="27"/>
      <c r="AL7" s="28"/>
    </row>
    <row r="8" ht="12.75" customHeight="1">
      <c r="A8" s="26"/>
      <c r="B8" s="75"/>
      <c r="C8" s="76">
        <v>0.08</v>
      </c>
      <c r="D8" s="77" t="s">
        <v>31</v>
      </c>
      <c r="E8" s="78"/>
      <c r="F8" s="79" t="s">
        <v>32</v>
      </c>
      <c r="G8" s="80"/>
      <c r="H8" s="80"/>
      <c r="I8" s="80"/>
      <c r="J8" s="80"/>
      <c r="K8" s="81"/>
      <c r="L8" s="82"/>
      <c r="M8" s="83"/>
      <c r="N8" s="84"/>
      <c r="O8" s="85" t="s">
        <v>33</v>
      </c>
      <c r="P8" s="86"/>
      <c r="Q8" s="86"/>
      <c r="R8" s="86"/>
      <c r="S8" s="87"/>
      <c r="T8" s="88" t="s">
        <v>34</v>
      </c>
      <c r="U8" s="86"/>
      <c r="V8" s="87"/>
      <c r="W8" s="8"/>
      <c r="X8" s="89" t="s">
        <v>35</v>
      </c>
      <c r="Y8" s="90"/>
      <c r="Z8" s="90"/>
      <c r="AA8" s="90"/>
      <c r="AB8" s="90"/>
      <c r="AC8" s="90"/>
      <c r="AD8" s="91"/>
      <c r="AE8" s="58"/>
      <c r="AF8" s="58"/>
      <c r="AG8" s="92" t="s">
        <v>36</v>
      </c>
      <c r="AH8" s="81"/>
      <c r="AI8" s="26"/>
      <c r="AJ8" s="27"/>
      <c r="AK8" s="27"/>
      <c r="AL8" s="28"/>
    </row>
    <row r="9" ht="52.5" customHeight="1">
      <c r="A9" s="93"/>
      <c r="B9" s="94" t="s">
        <v>37</v>
      </c>
      <c r="C9" s="94" t="s">
        <v>38</v>
      </c>
      <c r="D9" s="95" t="s">
        <v>39</v>
      </c>
      <c r="E9" s="96" t="s">
        <v>40</v>
      </c>
      <c r="F9" s="97" t="s">
        <v>41</v>
      </c>
      <c r="G9" s="98" t="s">
        <v>42</v>
      </c>
      <c r="H9" s="98" t="s">
        <v>43</v>
      </c>
      <c r="I9" s="98" t="s">
        <v>44</v>
      </c>
      <c r="J9" s="98" t="s">
        <v>45</v>
      </c>
      <c r="K9" s="99" t="s">
        <v>46</v>
      </c>
      <c r="L9" s="100" t="s">
        <v>47</v>
      </c>
      <c r="M9" s="101" t="s">
        <v>48</v>
      </c>
      <c r="N9" s="102" t="s">
        <v>49</v>
      </c>
      <c r="O9" s="103" t="s">
        <v>50</v>
      </c>
      <c r="P9" s="104" t="s">
        <v>51</v>
      </c>
      <c r="Q9" s="105" t="s">
        <v>52</v>
      </c>
      <c r="R9" s="106" t="s">
        <v>53</v>
      </c>
      <c r="S9" s="107" t="s">
        <v>54</v>
      </c>
      <c r="T9" s="108" t="s">
        <v>55</v>
      </c>
      <c r="U9" s="108" t="s">
        <v>56</v>
      </c>
      <c r="V9" s="109" t="s">
        <v>57</v>
      </c>
      <c r="W9" s="110" t="s">
        <v>58</v>
      </c>
      <c r="X9" s="111" t="s">
        <v>59</v>
      </c>
      <c r="Y9" s="112" t="s">
        <v>60</v>
      </c>
      <c r="Z9" s="112" t="s">
        <v>61</v>
      </c>
      <c r="AA9" s="113" t="s">
        <v>62</v>
      </c>
      <c r="AB9" s="113" t="s">
        <v>63</v>
      </c>
      <c r="AC9" s="113" t="s">
        <v>64</v>
      </c>
      <c r="AD9" s="114" t="s">
        <v>65</v>
      </c>
      <c r="AE9" s="115" t="s">
        <v>66</v>
      </c>
      <c r="AF9" s="116" t="s">
        <v>67</v>
      </c>
      <c r="AG9" s="117" t="s">
        <v>68</v>
      </c>
      <c r="AH9" s="118" t="s">
        <v>69</v>
      </c>
      <c r="AI9" s="119" t="s">
        <v>70</v>
      </c>
      <c r="AJ9" s="120" t="s">
        <v>71</v>
      </c>
      <c r="AK9" s="120" t="s">
        <v>72</v>
      </c>
      <c r="AL9" s="121" t="s">
        <v>73</v>
      </c>
    </row>
    <row r="10" ht="12.75" customHeight="1">
      <c r="A10" s="26"/>
      <c r="B10" s="122" t="s">
        <v>74</v>
      </c>
      <c r="C10" s="123"/>
      <c r="D10" s="124"/>
      <c r="E10" s="125"/>
      <c r="F10" s="126"/>
      <c r="G10" s="125"/>
      <c r="H10" s="125"/>
      <c r="I10" s="125"/>
      <c r="J10" s="125"/>
      <c r="K10" s="127"/>
      <c r="L10" s="128"/>
      <c r="M10" s="129"/>
      <c r="N10" s="130"/>
      <c r="O10" s="131"/>
      <c r="P10" s="132"/>
      <c r="Q10" s="133"/>
      <c r="R10" s="134"/>
      <c r="S10" s="135"/>
      <c r="T10" s="136"/>
      <c r="U10" s="137"/>
      <c r="V10" s="138"/>
      <c r="W10" s="139"/>
      <c r="X10" s="140"/>
      <c r="Y10" s="141"/>
      <c r="Z10" s="141"/>
      <c r="AA10" s="137"/>
      <c r="AB10" s="137"/>
      <c r="AC10" s="137"/>
      <c r="AD10" s="138"/>
      <c r="AE10" s="142"/>
      <c r="AF10" s="143"/>
      <c r="AG10" s="136"/>
      <c r="AH10" s="144"/>
      <c r="AI10" s="145"/>
      <c r="AJ10" s="146"/>
      <c r="AK10" s="146"/>
      <c r="AL10" s="147"/>
    </row>
    <row r="11" ht="24.75" hidden="1" customHeight="1">
      <c r="A11" s="26"/>
      <c r="B11" s="27"/>
      <c r="C11" s="148">
        <v>2.07481251E8</v>
      </c>
      <c r="D11" s="119" t="s">
        <v>75</v>
      </c>
      <c r="E11" s="149" t="s">
        <v>76</v>
      </c>
      <c r="F11" s="150">
        <v>1.0</v>
      </c>
      <c r="G11" s="54">
        <v>0.0</v>
      </c>
      <c r="H11" s="54">
        <f t="shared" ref="H11:H13" si="1">$I$2</f>
        <v>0.00069</v>
      </c>
      <c r="I11" s="54">
        <f t="shared" ref="I11:I13" si="2">$I$3</f>
        <v>89</v>
      </c>
      <c r="J11" s="54">
        <f t="shared" ref="J11:J13" si="3">G11*H11*I11*F11</f>
        <v>0</v>
      </c>
      <c r="K11" s="151">
        <f t="shared" ref="K11:K13" si="4">J11*$J$4</f>
        <v>0</v>
      </c>
      <c r="L11" s="152">
        <f t="shared" ref="L11:L13" si="5">K11+J11</f>
        <v>0</v>
      </c>
      <c r="M11" s="129">
        <v>90.0</v>
      </c>
      <c r="N11" s="153">
        <v>756.59</v>
      </c>
      <c r="O11" s="154">
        <v>2200.0</v>
      </c>
      <c r="P11" s="132">
        <f t="shared" ref="P11:P13" si="6">O11</f>
        <v>2200</v>
      </c>
      <c r="Q11" s="155" t="s">
        <v>77</v>
      </c>
      <c r="R11" s="156">
        <v>0.26</v>
      </c>
      <c r="S11" s="157">
        <f t="shared" ref="S11:S13" si="7">O11-(O11*R11)</f>
        <v>1628</v>
      </c>
      <c r="T11" s="158">
        <f t="shared" ref="T11:T13" si="8">$C$1</f>
        <v>60</v>
      </c>
      <c r="U11" s="159">
        <f t="shared" ref="U11:U13" si="9">(S11*7/107)+((S11-(S11*7/107))*1%)</f>
        <v>121.7196262</v>
      </c>
      <c r="V11" s="160">
        <f t="shared" ref="V11:V13" si="10">N11*$C$3*(M11/30)</f>
        <v>0</v>
      </c>
      <c r="W11" s="161">
        <v>0.4</v>
      </c>
      <c r="X11" s="162">
        <v>76.0</v>
      </c>
      <c r="Y11" s="163">
        <f t="shared" ref="Y11:Y13" si="11">O11*$Y$6</f>
        <v>715</v>
      </c>
      <c r="Z11" s="163">
        <f t="shared" ref="Z11:Z13" si="12">S11*$Y$7</f>
        <v>64.9572</v>
      </c>
      <c r="AA11" s="159">
        <f t="shared" ref="AA11:AA13" si="13">$Y$3*((100-AB11)/100)</f>
        <v>3.905</v>
      </c>
      <c r="AB11" s="159">
        <v>92.19</v>
      </c>
      <c r="AC11" s="164">
        <v>4.8</v>
      </c>
      <c r="AD11" s="160">
        <f t="shared" ref="AD11:AD13" si="14">O11*$C$2</f>
        <v>220</v>
      </c>
      <c r="AE11" s="23"/>
      <c r="AF11" s="165">
        <v>0.0</v>
      </c>
      <c r="AG11" s="158">
        <f t="shared" ref="AG11:AG13" si="15">O11-T11-U11-V11-X11-Y11-Z11-AA11-AC11-AD11-N11</f>
        <v>177.0281738</v>
      </c>
      <c r="AH11" s="166">
        <f t="shared" ref="AH11:AH13" si="16">AG11/N11</f>
        <v>0.2339816464</v>
      </c>
      <c r="AI11" s="145"/>
      <c r="AJ11" s="146"/>
      <c r="AK11" s="146"/>
      <c r="AL11" s="147"/>
    </row>
    <row r="12" ht="24.75" customHeight="1">
      <c r="A12" s="167"/>
      <c r="B12" s="168" t="s">
        <v>78</v>
      </c>
      <c r="C12" s="169">
        <v>2.14305705E8</v>
      </c>
      <c r="D12" s="170" t="s">
        <v>79</v>
      </c>
      <c r="E12" s="171" t="s">
        <v>76</v>
      </c>
      <c r="F12" s="172">
        <v>1.0</v>
      </c>
      <c r="G12" s="173"/>
      <c r="H12" s="173">
        <f t="shared" si="1"/>
        <v>0.00069</v>
      </c>
      <c r="I12" s="173">
        <f t="shared" si="2"/>
        <v>89</v>
      </c>
      <c r="J12" s="173">
        <f t="shared" si="3"/>
        <v>0</v>
      </c>
      <c r="K12" s="174">
        <f t="shared" si="4"/>
        <v>0</v>
      </c>
      <c r="L12" s="175">
        <f t="shared" si="5"/>
        <v>0</v>
      </c>
      <c r="M12" s="176">
        <v>120.0</v>
      </c>
      <c r="N12" s="177">
        <v>392.84</v>
      </c>
      <c r="O12" s="154">
        <v>1410.0</v>
      </c>
      <c r="P12" s="132">
        <f t="shared" si="6"/>
        <v>1410</v>
      </c>
      <c r="Q12" s="132"/>
      <c r="R12" s="178">
        <v>0.37</v>
      </c>
      <c r="S12" s="179">
        <f t="shared" si="7"/>
        <v>888.3</v>
      </c>
      <c r="T12" s="180">
        <f t="shared" si="8"/>
        <v>60</v>
      </c>
      <c r="U12" s="154">
        <f t="shared" si="9"/>
        <v>66.41495327</v>
      </c>
      <c r="V12" s="181">
        <f t="shared" si="10"/>
        <v>0</v>
      </c>
      <c r="W12" s="182">
        <v>2.27</v>
      </c>
      <c r="X12" s="183">
        <v>135.0</v>
      </c>
      <c r="Y12" s="184">
        <f t="shared" si="11"/>
        <v>458.25</v>
      </c>
      <c r="Z12" s="184">
        <f t="shared" si="12"/>
        <v>35.44317</v>
      </c>
      <c r="AA12" s="154">
        <f t="shared" si="13"/>
        <v>1.28</v>
      </c>
      <c r="AB12" s="154">
        <v>97.44</v>
      </c>
      <c r="AC12" s="185">
        <v>14.4</v>
      </c>
      <c r="AD12" s="181">
        <f t="shared" si="14"/>
        <v>141</v>
      </c>
      <c r="AE12" s="186"/>
      <c r="AF12" s="187">
        <v>0.0</v>
      </c>
      <c r="AG12" s="180">
        <f t="shared" si="15"/>
        <v>105.3718767</v>
      </c>
      <c r="AH12" s="188">
        <f t="shared" si="16"/>
        <v>0.2682310272</v>
      </c>
      <c r="AI12" s="189" t="s">
        <v>80</v>
      </c>
      <c r="AJ12" s="190">
        <v>1000.0</v>
      </c>
      <c r="AK12" s="190">
        <f t="shared" ref="AK12:AK13" si="17">PRODUCT(AJ12*N12)</f>
        <v>392840</v>
      </c>
      <c r="AL12" s="191">
        <f t="shared" ref="AL12:AL56" si="18">PRODUCT(AG12*AJ12)</f>
        <v>105371.8767</v>
      </c>
    </row>
    <row r="13" ht="24.75" customHeight="1">
      <c r="A13" s="167"/>
      <c r="B13" s="168" t="s">
        <v>81</v>
      </c>
      <c r="C13" s="169"/>
      <c r="D13" s="170" t="s">
        <v>82</v>
      </c>
      <c r="E13" s="171" t="s">
        <v>76</v>
      </c>
      <c r="F13" s="172">
        <v>1.0</v>
      </c>
      <c r="G13" s="173"/>
      <c r="H13" s="173">
        <f t="shared" si="1"/>
        <v>0.00069</v>
      </c>
      <c r="I13" s="173">
        <f t="shared" si="2"/>
        <v>89</v>
      </c>
      <c r="J13" s="173">
        <f t="shared" si="3"/>
        <v>0</v>
      </c>
      <c r="K13" s="174">
        <f t="shared" si="4"/>
        <v>0</v>
      </c>
      <c r="L13" s="175">
        <f t="shared" si="5"/>
        <v>0</v>
      </c>
      <c r="M13" s="176">
        <v>120.0</v>
      </c>
      <c r="N13" s="177">
        <v>392.84</v>
      </c>
      <c r="O13" s="192">
        <v>1400.0</v>
      </c>
      <c r="P13" s="132">
        <f t="shared" si="6"/>
        <v>1400</v>
      </c>
      <c r="Q13" s="132"/>
      <c r="R13" s="178">
        <v>0.3</v>
      </c>
      <c r="S13" s="179">
        <f t="shared" si="7"/>
        <v>980</v>
      </c>
      <c r="T13" s="180">
        <f t="shared" si="8"/>
        <v>60</v>
      </c>
      <c r="U13" s="154">
        <f t="shared" si="9"/>
        <v>73.27102804</v>
      </c>
      <c r="V13" s="181">
        <f t="shared" si="10"/>
        <v>0</v>
      </c>
      <c r="W13" s="182">
        <v>2.27</v>
      </c>
      <c r="X13" s="183">
        <v>135.0</v>
      </c>
      <c r="Y13" s="184">
        <f t="shared" si="11"/>
        <v>455</v>
      </c>
      <c r="Z13" s="184">
        <f t="shared" si="12"/>
        <v>39.102</v>
      </c>
      <c r="AA13" s="154">
        <f t="shared" si="13"/>
        <v>0</v>
      </c>
      <c r="AB13" s="154">
        <v>100.0</v>
      </c>
      <c r="AC13" s="185">
        <v>14.4</v>
      </c>
      <c r="AD13" s="181">
        <f t="shared" si="14"/>
        <v>140</v>
      </c>
      <c r="AE13" s="186"/>
      <c r="AF13" s="187">
        <v>0.0</v>
      </c>
      <c r="AG13" s="180">
        <f t="shared" si="15"/>
        <v>90.38697196</v>
      </c>
      <c r="AH13" s="188">
        <f t="shared" si="16"/>
        <v>0.2300859687</v>
      </c>
      <c r="AI13" s="189" t="s">
        <v>80</v>
      </c>
      <c r="AJ13" s="190">
        <v>6000.0</v>
      </c>
      <c r="AK13" s="190">
        <f t="shared" si="17"/>
        <v>2357040</v>
      </c>
      <c r="AL13" s="191">
        <f t="shared" si="18"/>
        <v>542321.8318</v>
      </c>
    </row>
    <row r="14" ht="24.75" customHeight="1">
      <c r="A14" s="193"/>
      <c r="B14" s="194"/>
      <c r="C14" s="195"/>
      <c r="D14" s="196"/>
      <c r="E14" s="197"/>
      <c r="F14" s="198"/>
      <c r="G14" s="199"/>
      <c r="H14" s="199"/>
      <c r="I14" s="199"/>
      <c r="J14" s="199"/>
      <c r="K14" s="200"/>
      <c r="L14" s="201"/>
      <c r="M14" s="129"/>
      <c r="N14" s="202"/>
      <c r="O14" s="154"/>
      <c r="P14" s="132"/>
      <c r="Q14" s="133"/>
      <c r="R14" s="203"/>
      <c r="S14" s="204"/>
      <c r="T14" s="205"/>
      <c r="U14" s="206"/>
      <c r="V14" s="207"/>
      <c r="W14" s="208"/>
      <c r="X14" s="209"/>
      <c r="Y14" s="210"/>
      <c r="Z14" s="210"/>
      <c r="AA14" s="206"/>
      <c r="AB14" s="206"/>
      <c r="AC14" s="211"/>
      <c r="AD14" s="207"/>
      <c r="AE14" s="212"/>
      <c r="AF14" s="213"/>
      <c r="AG14" s="205"/>
      <c r="AH14" s="214"/>
      <c r="AI14" s="215"/>
      <c r="AJ14" s="216"/>
      <c r="AK14" s="216"/>
      <c r="AL14" s="191">
        <f t="shared" si="18"/>
        <v>0</v>
      </c>
    </row>
    <row r="15" ht="24.75" customHeight="1">
      <c r="A15" s="167"/>
      <c r="B15" s="168"/>
      <c r="C15" s="217"/>
      <c r="D15" s="170" t="s">
        <v>83</v>
      </c>
      <c r="E15" s="171" t="s">
        <v>76</v>
      </c>
      <c r="F15" s="172">
        <v>1.0</v>
      </c>
      <c r="G15" s="173"/>
      <c r="H15" s="173">
        <f>$I$2</f>
        <v>0.00069</v>
      </c>
      <c r="I15" s="173">
        <f>$I$3</f>
        <v>89</v>
      </c>
      <c r="J15" s="173">
        <f>G15*H15*I15*F15</f>
        <v>0</v>
      </c>
      <c r="K15" s="174">
        <f>J15*$J$4</f>
        <v>0</v>
      </c>
      <c r="L15" s="175">
        <f>K15+J15</f>
        <v>0</v>
      </c>
      <c r="M15" s="176">
        <v>120.0</v>
      </c>
      <c r="N15" s="177">
        <v>351.4</v>
      </c>
      <c r="O15" s="154">
        <v>1800.0</v>
      </c>
      <c r="P15" s="132">
        <v>1800.0</v>
      </c>
      <c r="Q15" s="132">
        <v>1856.0</v>
      </c>
      <c r="R15" s="178">
        <v>0.26</v>
      </c>
      <c r="S15" s="179">
        <f>O15-(O15*R15)</f>
        <v>1332</v>
      </c>
      <c r="T15" s="180">
        <f>$C$1</f>
        <v>60</v>
      </c>
      <c r="U15" s="154">
        <f>(S15*7/107)+((S15-(S15*7/107))*1%)</f>
        <v>99.58878505</v>
      </c>
      <c r="V15" s="181">
        <f>N15*$C$3*(M15/30)</f>
        <v>0</v>
      </c>
      <c r="W15" s="182">
        <v>0.38</v>
      </c>
      <c r="X15" s="218">
        <v>76.0</v>
      </c>
      <c r="Y15" s="184">
        <f>O15*$Y$6</f>
        <v>585</v>
      </c>
      <c r="Z15" s="184">
        <f>S15*$Y$7</f>
        <v>53.1468</v>
      </c>
      <c r="AA15" s="154">
        <f>$Y$3*((100-AB15)/100)</f>
        <v>3.225</v>
      </c>
      <c r="AB15" s="154">
        <v>93.55</v>
      </c>
      <c r="AC15" s="185">
        <v>4.8</v>
      </c>
      <c r="AD15" s="181">
        <f>O15*$C$2</f>
        <v>180</v>
      </c>
      <c r="AE15" s="186"/>
      <c r="AF15" s="187">
        <v>0.0</v>
      </c>
      <c r="AG15" s="180">
        <f>O15-T15-U15-V15-X15-Y15-Z15-AA15-AC15-AD15-N15</f>
        <v>386.839415</v>
      </c>
      <c r="AH15" s="188">
        <f>AG15/N15</f>
        <v>1.100852063</v>
      </c>
      <c r="AI15" s="189" t="s">
        <v>84</v>
      </c>
      <c r="AJ15" s="190">
        <v>1200.0</v>
      </c>
      <c r="AK15" s="190">
        <f>PRODUCT(AJ15*N15)</f>
        <v>421680</v>
      </c>
      <c r="AL15" s="191">
        <f t="shared" si="18"/>
        <v>464207.2979</v>
      </c>
    </row>
    <row r="16" ht="24.75" customHeight="1">
      <c r="A16" s="193"/>
      <c r="B16" s="194"/>
      <c r="C16" s="219"/>
      <c r="D16" s="196"/>
      <c r="E16" s="197"/>
      <c r="F16" s="198"/>
      <c r="G16" s="199"/>
      <c r="H16" s="199"/>
      <c r="I16" s="199"/>
      <c r="J16" s="199"/>
      <c r="K16" s="200"/>
      <c r="L16" s="201"/>
      <c r="M16" s="129"/>
      <c r="N16" s="202"/>
      <c r="O16" s="154"/>
      <c r="P16" s="132"/>
      <c r="Q16" s="133"/>
      <c r="R16" s="203"/>
      <c r="S16" s="204"/>
      <c r="T16" s="205"/>
      <c r="U16" s="206"/>
      <c r="V16" s="207"/>
      <c r="W16" s="208"/>
      <c r="X16" s="220"/>
      <c r="Y16" s="210"/>
      <c r="Z16" s="210"/>
      <c r="AA16" s="206"/>
      <c r="AB16" s="206"/>
      <c r="AC16" s="211"/>
      <c r="AD16" s="207"/>
      <c r="AE16" s="212"/>
      <c r="AF16" s="213"/>
      <c r="AG16" s="205"/>
      <c r="AH16" s="214"/>
      <c r="AI16" s="215"/>
      <c r="AJ16" s="216"/>
      <c r="AK16" s="216"/>
      <c r="AL16" s="191">
        <f t="shared" si="18"/>
        <v>0</v>
      </c>
    </row>
    <row r="17" ht="27.75" customHeight="1">
      <c r="A17" s="167"/>
      <c r="B17" s="168" t="s">
        <v>85</v>
      </c>
      <c r="C17" s="217">
        <v>2.07796789E8</v>
      </c>
      <c r="D17" s="170" t="s">
        <v>86</v>
      </c>
      <c r="E17" s="173" t="s">
        <v>76</v>
      </c>
      <c r="F17" s="172">
        <v>1.0</v>
      </c>
      <c r="G17" s="173"/>
      <c r="H17" s="173">
        <f t="shared" ref="H17:H22" si="19">$I$2</f>
        <v>0.00069</v>
      </c>
      <c r="I17" s="173">
        <f t="shared" ref="I17:I22" si="20">$I$3</f>
        <v>89</v>
      </c>
      <c r="J17" s="173">
        <f t="shared" ref="J17:J22" si="21">G17*H17*I17*F17</f>
        <v>0</v>
      </c>
      <c r="K17" s="174">
        <f t="shared" ref="K17:K22" si="22">J17*$J$4</f>
        <v>0</v>
      </c>
      <c r="L17" s="175">
        <f t="shared" ref="L17:L22" si="23">K17+J17</f>
        <v>0</v>
      </c>
      <c r="M17" s="176">
        <v>120.0</v>
      </c>
      <c r="N17" s="177">
        <v>230.34</v>
      </c>
      <c r="O17" s="154">
        <v>985.0</v>
      </c>
      <c r="P17" s="132">
        <f t="shared" ref="P17:P22" si="24">O17</f>
        <v>985</v>
      </c>
      <c r="Q17" s="132">
        <v>847.0</v>
      </c>
      <c r="R17" s="178">
        <v>0.26</v>
      </c>
      <c r="S17" s="179">
        <f t="shared" ref="S17:S22" si="25">O17-(O17*R17)</f>
        <v>728.9</v>
      </c>
      <c r="T17" s="180">
        <f t="shared" ref="T17:T22" si="26">$C$1</f>
        <v>60</v>
      </c>
      <c r="U17" s="154">
        <f t="shared" ref="U17:U22" si="27">(S17*7/107)+((S17-(S17*7/107))*1%)</f>
        <v>54.49719626</v>
      </c>
      <c r="V17" s="181">
        <f t="shared" ref="V17:V22" si="28">N17*$C$3*(M17/30)</f>
        <v>0</v>
      </c>
      <c r="W17" s="182">
        <v>0.63</v>
      </c>
      <c r="X17" s="183">
        <v>82.0</v>
      </c>
      <c r="Y17" s="184">
        <f t="shared" ref="Y17:Y22" si="29">O17*$Y$6</f>
        <v>320.125</v>
      </c>
      <c r="Z17" s="184">
        <f t="shared" ref="Z17:Z22" si="30">S17*$Y$7</f>
        <v>29.08311</v>
      </c>
      <c r="AA17" s="154">
        <f t="shared" ref="AA17:AA22" si="31">$Y$3*((100-AB17)/100)</f>
        <v>6.665</v>
      </c>
      <c r="AB17" s="154">
        <v>86.67</v>
      </c>
      <c r="AC17" s="185">
        <v>4.8</v>
      </c>
      <c r="AD17" s="181">
        <f t="shared" ref="AD17:AD22" si="32">O17*$C$2</f>
        <v>98.5</v>
      </c>
      <c r="AE17" s="186"/>
      <c r="AF17" s="187">
        <v>0.0</v>
      </c>
      <c r="AG17" s="180">
        <f t="shared" ref="AG17:AG22" si="33">O17-T17-U17-V17-X17-Y17-Z17-AA17-AC17-AD17-N17</f>
        <v>98.98969374</v>
      </c>
      <c r="AH17" s="188">
        <f t="shared" ref="AH17:AH22" si="34">AG17/N17</f>
        <v>0.4297546832</v>
      </c>
      <c r="AI17" s="189" t="s">
        <v>84</v>
      </c>
      <c r="AJ17" s="190">
        <v>700.0</v>
      </c>
      <c r="AK17" s="190">
        <f t="shared" ref="AK17:AK22" si="35">PRODUCT(AJ17*N17)</f>
        <v>161238</v>
      </c>
      <c r="AL17" s="191">
        <f t="shared" si="18"/>
        <v>69292.78562</v>
      </c>
    </row>
    <row r="18" ht="24.75" customHeight="1">
      <c r="A18" s="167"/>
      <c r="B18" s="168" t="s">
        <v>87</v>
      </c>
      <c r="C18" s="217">
        <v>2.07796898E8</v>
      </c>
      <c r="D18" s="170" t="s">
        <v>88</v>
      </c>
      <c r="E18" s="173" t="s">
        <v>76</v>
      </c>
      <c r="F18" s="172">
        <v>1.0</v>
      </c>
      <c r="G18" s="173"/>
      <c r="H18" s="173">
        <f t="shared" si="19"/>
        <v>0.00069</v>
      </c>
      <c r="I18" s="173">
        <f t="shared" si="20"/>
        <v>89</v>
      </c>
      <c r="J18" s="173">
        <f t="shared" si="21"/>
        <v>0</v>
      </c>
      <c r="K18" s="174">
        <f t="shared" si="22"/>
        <v>0</v>
      </c>
      <c r="L18" s="175">
        <f t="shared" si="23"/>
        <v>0</v>
      </c>
      <c r="M18" s="176">
        <v>120.0</v>
      </c>
      <c r="N18" s="177">
        <v>230.34</v>
      </c>
      <c r="O18" s="154">
        <v>840.0</v>
      </c>
      <c r="P18" s="132">
        <f t="shared" si="24"/>
        <v>840</v>
      </c>
      <c r="Q18" s="132">
        <v>850.0</v>
      </c>
      <c r="R18" s="178">
        <v>0.26</v>
      </c>
      <c r="S18" s="179">
        <f t="shared" si="25"/>
        <v>621.6</v>
      </c>
      <c r="T18" s="180">
        <f t="shared" si="26"/>
        <v>60</v>
      </c>
      <c r="U18" s="154">
        <f t="shared" si="27"/>
        <v>46.47476636</v>
      </c>
      <c r="V18" s="181">
        <f t="shared" si="28"/>
        <v>0</v>
      </c>
      <c r="W18" s="182">
        <v>0.63</v>
      </c>
      <c r="X18" s="221">
        <v>76.0</v>
      </c>
      <c r="Y18" s="184">
        <f t="shared" si="29"/>
        <v>273</v>
      </c>
      <c r="Z18" s="184">
        <f t="shared" si="30"/>
        <v>24.80184</v>
      </c>
      <c r="AA18" s="154">
        <f t="shared" si="31"/>
        <v>3.905</v>
      </c>
      <c r="AB18" s="154">
        <v>92.19</v>
      </c>
      <c r="AC18" s="185">
        <v>4.8</v>
      </c>
      <c r="AD18" s="181">
        <f t="shared" si="32"/>
        <v>84</v>
      </c>
      <c r="AE18" s="186"/>
      <c r="AF18" s="187">
        <v>0.0</v>
      </c>
      <c r="AG18" s="180">
        <f t="shared" si="33"/>
        <v>36.67839364</v>
      </c>
      <c r="AH18" s="188">
        <f t="shared" si="34"/>
        <v>0.1592358845</v>
      </c>
      <c r="AI18" s="189" t="s">
        <v>84</v>
      </c>
      <c r="AJ18" s="190">
        <v>400.0</v>
      </c>
      <c r="AK18" s="190">
        <f t="shared" si="35"/>
        <v>92136</v>
      </c>
      <c r="AL18" s="191">
        <f t="shared" si="18"/>
        <v>14671.35746</v>
      </c>
    </row>
    <row r="19" ht="24.75" customHeight="1">
      <c r="A19" s="167"/>
      <c r="B19" s="168" t="s">
        <v>89</v>
      </c>
      <c r="C19" s="217">
        <v>1.7019818E8</v>
      </c>
      <c r="D19" s="170" t="s">
        <v>90</v>
      </c>
      <c r="E19" s="173" t="s">
        <v>76</v>
      </c>
      <c r="F19" s="172">
        <v>1.0</v>
      </c>
      <c r="G19" s="173"/>
      <c r="H19" s="173">
        <f t="shared" si="19"/>
        <v>0.00069</v>
      </c>
      <c r="I19" s="173">
        <f t="shared" si="20"/>
        <v>89</v>
      </c>
      <c r="J19" s="173">
        <f t="shared" si="21"/>
        <v>0</v>
      </c>
      <c r="K19" s="174">
        <f t="shared" si="22"/>
        <v>0</v>
      </c>
      <c r="L19" s="175">
        <f t="shared" si="23"/>
        <v>0</v>
      </c>
      <c r="M19" s="176">
        <v>120.0</v>
      </c>
      <c r="N19" s="177">
        <v>237.12</v>
      </c>
      <c r="O19" s="154">
        <v>945.0</v>
      </c>
      <c r="P19" s="132">
        <f t="shared" si="24"/>
        <v>945</v>
      </c>
      <c r="Q19" s="132">
        <v>950.0</v>
      </c>
      <c r="R19" s="178">
        <v>0.26</v>
      </c>
      <c r="S19" s="179">
        <f t="shared" si="25"/>
        <v>699.3</v>
      </c>
      <c r="T19" s="180">
        <f t="shared" si="26"/>
        <v>60</v>
      </c>
      <c r="U19" s="154">
        <f t="shared" si="27"/>
        <v>52.28411215</v>
      </c>
      <c r="V19" s="181">
        <f t="shared" si="28"/>
        <v>0</v>
      </c>
      <c r="W19" s="182">
        <v>0.4</v>
      </c>
      <c r="X19" s="218">
        <v>76.0</v>
      </c>
      <c r="Y19" s="184">
        <f t="shared" si="29"/>
        <v>307.125</v>
      </c>
      <c r="Z19" s="184">
        <f t="shared" si="30"/>
        <v>27.90207</v>
      </c>
      <c r="AA19" s="154">
        <f t="shared" si="31"/>
        <v>4.85</v>
      </c>
      <c r="AB19" s="154">
        <v>90.3</v>
      </c>
      <c r="AC19" s="185">
        <v>4.8</v>
      </c>
      <c r="AD19" s="181">
        <f t="shared" si="32"/>
        <v>94.5</v>
      </c>
      <c r="AE19" s="186"/>
      <c r="AF19" s="187">
        <v>0.0</v>
      </c>
      <c r="AG19" s="180">
        <f t="shared" si="33"/>
        <v>80.41881785</v>
      </c>
      <c r="AH19" s="188">
        <f t="shared" si="34"/>
        <v>0.3391481859</v>
      </c>
      <c r="AI19" s="189" t="s">
        <v>84</v>
      </c>
      <c r="AJ19" s="190">
        <v>200.0</v>
      </c>
      <c r="AK19" s="190">
        <f t="shared" si="35"/>
        <v>47424</v>
      </c>
      <c r="AL19" s="191">
        <f t="shared" si="18"/>
        <v>16083.76357</v>
      </c>
    </row>
    <row r="20" ht="24.75" customHeight="1">
      <c r="A20" s="167"/>
      <c r="B20" s="168" t="s">
        <v>91</v>
      </c>
      <c r="C20" s="217">
        <v>1.70198109E8</v>
      </c>
      <c r="D20" s="170" t="s">
        <v>92</v>
      </c>
      <c r="E20" s="173" t="s">
        <v>76</v>
      </c>
      <c r="F20" s="172">
        <v>1.0</v>
      </c>
      <c r="G20" s="173"/>
      <c r="H20" s="173">
        <f t="shared" si="19"/>
        <v>0.00069</v>
      </c>
      <c r="I20" s="173">
        <f t="shared" si="20"/>
        <v>89</v>
      </c>
      <c r="J20" s="173">
        <f t="shared" si="21"/>
        <v>0</v>
      </c>
      <c r="K20" s="174">
        <f t="shared" si="22"/>
        <v>0</v>
      </c>
      <c r="L20" s="175">
        <f t="shared" si="23"/>
        <v>0</v>
      </c>
      <c r="M20" s="176">
        <v>120.0</v>
      </c>
      <c r="N20" s="177">
        <v>237.12</v>
      </c>
      <c r="O20" s="154">
        <v>999.0</v>
      </c>
      <c r="P20" s="132">
        <f t="shared" si="24"/>
        <v>999</v>
      </c>
      <c r="Q20" s="132">
        <v>1026.0</v>
      </c>
      <c r="R20" s="178">
        <v>0.26</v>
      </c>
      <c r="S20" s="179">
        <f t="shared" si="25"/>
        <v>739.26</v>
      </c>
      <c r="T20" s="180">
        <f t="shared" si="26"/>
        <v>60</v>
      </c>
      <c r="U20" s="154">
        <f t="shared" si="27"/>
        <v>55.2717757</v>
      </c>
      <c r="V20" s="181">
        <f t="shared" si="28"/>
        <v>0</v>
      </c>
      <c r="W20" s="182">
        <v>0.4</v>
      </c>
      <c r="X20" s="218">
        <v>76.0</v>
      </c>
      <c r="Y20" s="184">
        <f t="shared" si="29"/>
        <v>324.675</v>
      </c>
      <c r="Z20" s="184">
        <f t="shared" si="30"/>
        <v>29.496474</v>
      </c>
      <c r="AA20" s="154">
        <f t="shared" si="31"/>
        <v>2.67</v>
      </c>
      <c r="AB20" s="154">
        <v>94.66</v>
      </c>
      <c r="AC20" s="185">
        <v>4.8</v>
      </c>
      <c r="AD20" s="181">
        <f t="shared" si="32"/>
        <v>99.9</v>
      </c>
      <c r="AE20" s="186"/>
      <c r="AF20" s="187">
        <v>0.0</v>
      </c>
      <c r="AG20" s="180">
        <f t="shared" si="33"/>
        <v>109.0667503</v>
      </c>
      <c r="AH20" s="188">
        <f t="shared" si="34"/>
        <v>0.4599643653</v>
      </c>
      <c r="AI20" s="189" t="s">
        <v>84</v>
      </c>
      <c r="AJ20" s="190">
        <v>400.0</v>
      </c>
      <c r="AK20" s="190">
        <f t="shared" si="35"/>
        <v>94848</v>
      </c>
      <c r="AL20" s="191">
        <f t="shared" si="18"/>
        <v>43626.70012</v>
      </c>
    </row>
    <row r="21" ht="24.75" customHeight="1">
      <c r="A21" s="167"/>
      <c r="B21" s="168" t="s">
        <v>93</v>
      </c>
      <c r="C21" s="217">
        <v>1.70198835E8</v>
      </c>
      <c r="D21" s="170" t="s">
        <v>94</v>
      </c>
      <c r="E21" s="173" t="s">
        <v>76</v>
      </c>
      <c r="F21" s="172">
        <v>1.0</v>
      </c>
      <c r="G21" s="173"/>
      <c r="H21" s="173">
        <f t="shared" si="19"/>
        <v>0.00069</v>
      </c>
      <c r="I21" s="173">
        <f t="shared" si="20"/>
        <v>89</v>
      </c>
      <c r="J21" s="173">
        <f t="shared" si="21"/>
        <v>0</v>
      </c>
      <c r="K21" s="174">
        <f t="shared" si="22"/>
        <v>0</v>
      </c>
      <c r="L21" s="175">
        <f t="shared" si="23"/>
        <v>0</v>
      </c>
      <c r="M21" s="176">
        <v>120.0</v>
      </c>
      <c r="N21" s="177">
        <v>230.34</v>
      </c>
      <c r="O21" s="154">
        <v>920.0</v>
      </c>
      <c r="P21" s="132">
        <f t="shared" si="24"/>
        <v>920</v>
      </c>
      <c r="Q21" s="132">
        <v>865.0</v>
      </c>
      <c r="R21" s="178">
        <v>0.26</v>
      </c>
      <c r="S21" s="179">
        <f t="shared" si="25"/>
        <v>680.8</v>
      </c>
      <c r="T21" s="180">
        <f t="shared" si="26"/>
        <v>60</v>
      </c>
      <c r="U21" s="154">
        <f t="shared" si="27"/>
        <v>50.90093458</v>
      </c>
      <c r="V21" s="181">
        <f t="shared" si="28"/>
        <v>0</v>
      </c>
      <c r="W21" s="182">
        <v>0.4</v>
      </c>
      <c r="X21" s="218">
        <v>76.0</v>
      </c>
      <c r="Y21" s="184">
        <f t="shared" si="29"/>
        <v>299</v>
      </c>
      <c r="Z21" s="184">
        <f t="shared" si="30"/>
        <v>27.16392</v>
      </c>
      <c r="AA21" s="154">
        <f t="shared" si="31"/>
        <v>4.075</v>
      </c>
      <c r="AB21" s="154">
        <v>91.85</v>
      </c>
      <c r="AC21" s="185">
        <v>4.8</v>
      </c>
      <c r="AD21" s="181">
        <f t="shared" si="32"/>
        <v>92</v>
      </c>
      <c r="AE21" s="186"/>
      <c r="AF21" s="187">
        <v>0.0</v>
      </c>
      <c r="AG21" s="180">
        <f t="shared" si="33"/>
        <v>75.72014542</v>
      </c>
      <c r="AH21" s="188">
        <f t="shared" si="34"/>
        <v>0.3287320718</v>
      </c>
      <c r="AI21" s="189" t="s">
        <v>84</v>
      </c>
      <c r="AJ21" s="190">
        <v>1000.0</v>
      </c>
      <c r="AK21" s="190">
        <f t="shared" si="35"/>
        <v>230340</v>
      </c>
      <c r="AL21" s="191">
        <f t="shared" si="18"/>
        <v>75720.14542</v>
      </c>
    </row>
    <row r="22" ht="24.75" customHeight="1">
      <c r="A22" s="167"/>
      <c r="B22" s="168" t="s">
        <v>95</v>
      </c>
      <c r="C22" s="217">
        <v>1.70198876E8</v>
      </c>
      <c r="D22" s="170" t="s">
        <v>96</v>
      </c>
      <c r="E22" s="173" t="s">
        <v>76</v>
      </c>
      <c r="F22" s="172">
        <v>1.0</v>
      </c>
      <c r="G22" s="173"/>
      <c r="H22" s="173">
        <f t="shared" si="19"/>
        <v>0.00069</v>
      </c>
      <c r="I22" s="173">
        <f t="shared" si="20"/>
        <v>89</v>
      </c>
      <c r="J22" s="173">
        <f t="shared" si="21"/>
        <v>0</v>
      </c>
      <c r="K22" s="174">
        <f t="shared" si="22"/>
        <v>0</v>
      </c>
      <c r="L22" s="175">
        <f t="shared" si="23"/>
        <v>0</v>
      </c>
      <c r="M22" s="176">
        <v>120.0</v>
      </c>
      <c r="N22" s="177">
        <v>230.34</v>
      </c>
      <c r="O22" s="154">
        <v>920.0</v>
      </c>
      <c r="P22" s="132">
        <f t="shared" si="24"/>
        <v>920</v>
      </c>
      <c r="Q22" s="132">
        <v>920.0</v>
      </c>
      <c r="R22" s="178">
        <v>0.26</v>
      </c>
      <c r="S22" s="179">
        <f t="shared" si="25"/>
        <v>680.8</v>
      </c>
      <c r="T22" s="180">
        <f t="shared" si="26"/>
        <v>60</v>
      </c>
      <c r="U22" s="154">
        <f t="shared" si="27"/>
        <v>50.90093458</v>
      </c>
      <c r="V22" s="181">
        <f t="shared" si="28"/>
        <v>0</v>
      </c>
      <c r="W22" s="182">
        <v>0.4</v>
      </c>
      <c r="X22" s="218">
        <v>76.0</v>
      </c>
      <c r="Y22" s="184">
        <f t="shared" si="29"/>
        <v>299</v>
      </c>
      <c r="Z22" s="184">
        <f t="shared" si="30"/>
        <v>27.16392</v>
      </c>
      <c r="AA22" s="154">
        <f t="shared" si="31"/>
        <v>2.575</v>
      </c>
      <c r="AB22" s="154">
        <v>94.85</v>
      </c>
      <c r="AC22" s="185">
        <v>4.8</v>
      </c>
      <c r="AD22" s="181">
        <f t="shared" si="32"/>
        <v>92</v>
      </c>
      <c r="AE22" s="186"/>
      <c r="AF22" s="187">
        <v>0.0</v>
      </c>
      <c r="AG22" s="180">
        <f t="shared" si="33"/>
        <v>77.22014542</v>
      </c>
      <c r="AH22" s="188">
        <f t="shared" si="34"/>
        <v>0.3352441843</v>
      </c>
      <c r="AI22" s="189" t="s">
        <v>84</v>
      </c>
      <c r="AJ22" s="190">
        <v>200.0</v>
      </c>
      <c r="AK22" s="190">
        <f t="shared" si="35"/>
        <v>46068</v>
      </c>
      <c r="AL22" s="191">
        <f t="shared" si="18"/>
        <v>15444.02908</v>
      </c>
    </row>
    <row r="23" ht="24.75" customHeight="1">
      <c r="A23" s="193"/>
      <c r="B23" s="194"/>
      <c r="C23" s="219"/>
      <c r="D23" s="196"/>
      <c r="E23" s="199"/>
      <c r="F23" s="198"/>
      <c r="G23" s="199"/>
      <c r="H23" s="199"/>
      <c r="I23" s="199"/>
      <c r="J23" s="199"/>
      <c r="K23" s="200"/>
      <c r="L23" s="201"/>
      <c r="M23" s="129"/>
      <c r="N23" s="202"/>
      <c r="O23" s="154"/>
      <c r="P23" s="132"/>
      <c r="Q23" s="133"/>
      <c r="R23" s="203"/>
      <c r="S23" s="204"/>
      <c r="T23" s="205"/>
      <c r="U23" s="206"/>
      <c r="V23" s="207"/>
      <c r="W23" s="208"/>
      <c r="X23" s="220"/>
      <c r="Y23" s="210"/>
      <c r="Z23" s="210"/>
      <c r="AA23" s="206"/>
      <c r="AB23" s="206"/>
      <c r="AC23" s="211"/>
      <c r="AD23" s="207"/>
      <c r="AE23" s="212"/>
      <c r="AF23" s="213"/>
      <c r="AG23" s="205"/>
      <c r="AH23" s="214"/>
      <c r="AI23" s="214"/>
      <c r="AJ23" s="216"/>
      <c r="AK23" s="216"/>
      <c r="AL23" s="191">
        <f t="shared" si="18"/>
        <v>0</v>
      </c>
    </row>
    <row r="24" ht="24.75" customHeight="1">
      <c r="A24" s="222"/>
      <c r="B24" s="168" t="s">
        <v>97</v>
      </c>
      <c r="C24" s="217">
        <v>2.06122859E8</v>
      </c>
      <c r="D24" s="170" t="s">
        <v>98</v>
      </c>
      <c r="E24" s="173" t="s">
        <v>76</v>
      </c>
      <c r="F24" s="172">
        <v>560.0</v>
      </c>
      <c r="G24" s="173">
        <v>0.0</v>
      </c>
      <c r="H24" s="173">
        <f t="shared" ref="H24:H27" si="36">$I$2</f>
        <v>0.00069</v>
      </c>
      <c r="I24" s="173">
        <f t="shared" ref="I24:I27" si="37">$I$3</f>
        <v>89</v>
      </c>
      <c r="J24" s="173">
        <f t="shared" ref="J24:J27" si="38">G24*H24*I24*F24</f>
        <v>0</v>
      </c>
      <c r="K24" s="174">
        <f t="shared" ref="K24:K27" si="39">J24*$J$4</f>
        <v>0</v>
      </c>
      <c r="L24" s="175">
        <f t="shared" ref="L24:L27" si="40">K24+J24</f>
        <v>0</v>
      </c>
      <c r="M24" s="176">
        <v>120.0</v>
      </c>
      <c r="N24" s="177">
        <v>390.31</v>
      </c>
      <c r="O24" s="154">
        <v>1500.0</v>
      </c>
      <c r="P24" s="132">
        <f t="shared" ref="P24:P26" si="41">O24</f>
        <v>1500</v>
      </c>
      <c r="Q24" s="132">
        <v>1828.0</v>
      </c>
      <c r="R24" s="178">
        <v>0.26</v>
      </c>
      <c r="S24" s="179">
        <f t="shared" ref="S24:S27" si="42">O24-(O24*R24)</f>
        <v>1110</v>
      </c>
      <c r="T24" s="180">
        <f t="shared" ref="T24:T27" si="43">$C$1</f>
        <v>60</v>
      </c>
      <c r="U24" s="154">
        <f t="shared" ref="U24:U27" si="44">(S24*7/107)+((S24-(S24*7/107))*1%)</f>
        <v>82.99065421</v>
      </c>
      <c r="V24" s="181">
        <f t="shared" ref="V24:V27" si="45">N24*$C$3*(M24/30)</f>
        <v>0</v>
      </c>
      <c r="W24" s="182">
        <v>0.29</v>
      </c>
      <c r="X24" s="183">
        <v>82.0</v>
      </c>
      <c r="Y24" s="184">
        <f t="shared" ref="Y24:Y27" si="46">O24*$Y$6</f>
        <v>487.5</v>
      </c>
      <c r="Z24" s="184">
        <f t="shared" ref="Z24:Z27" si="47">S24*$Y$7</f>
        <v>44.289</v>
      </c>
      <c r="AA24" s="154">
        <f t="shared" ref="AA24:AA27" si="48">$Y$3*((100-AB24)/100)</f>
        <v>7.405</v>
      </c>
      <c r="AB24" s="154">
        <v>85.19</v>
      </c>
      <c r="AC24" s="185">
        <v>4.8</v>
      </c>
      <c r="AD24" s="181">
        <f t="shared" ref="AD24:AD27" si="49">O24*$C$2</f>
        <v>150</v>
      </c>
      <c r="AE24" s="186"/>
      <c r="AF24" s="187">
        <v>0.0</v>
      </c>
      <c r="AG24" s="180">
        <f t="shared" ref="AG24:AG27" si="50">O24-T24-U24-V24-X24-Y24-Z24-AA24-AC24-AD24-N24</f>
        <v>190.7053458</v>
      </c>
      <c r="AH24" s="188">
        <f t="shared" ref="AH24:AH27" si="51">AG24/N24</f>
        <v>0.488599692</v>
      </c>
      <c r="AI24" s="189" t="s">
        <v>84</v>
      </c>
      <c r="AJ24" s="190">
        <v>560.0</v>
      </c>
      <c r="AK24" s="190">
        <f t="shared" ref="AK24:AK27" si="52">PRODUCT(AJ24*N24)</f>
        <v>218573.6</v>
      </c>
      <c r="AL24" s="191">
        <f t="shared" si="18"/>
        <v>106794.9936</v>
      </c>
    </row>
    <row r="25" ht="24.75" customHeight="1">
      <c r="A25" s="167"/>
      <c r="B25" s="168" t="s">
        <v>99</v>
      </c>
      <c r="C25" s="217">
        <v>2.06135397E8</v>
      </c>
      <c r="D25" s="170" t="s">
        <v>100</v>
      </c>
      <c r="E25" s="173" t="s">
        <v>76</v>
      </c>
      <c r="F25" s="172">
        <v>560.0</v>
      </c>
      <c r="G25" s="173">
        <v>0.0</v>
      </c>
      <c r="H25" s="173">
        <f t="shared" si="36"/>
        <v>0.00069</v>
      </c>
      <c r="I25" s="173">
        <f t="shared" si="37"/>
        <v>89</v>
      </c>
      <c r="J25" s="173">
        <f t="shared" si="38"/>
        <v>0</v>
      </c>
      <c r="K25" s="174">
        <f t="shared" si="39"/>
        <v>0</v>
      </c>
      <c r="L25" s="175">
        <f t="shared" si="40"/>
        <v>0</v>
      </c>
      <c r="M25" s="176">
        <v>120.0</v>
      </c>
      <c r="N25" s="177">
        <v>390.31</v>
      </c>
      <c r="O25" s="154">
        <v>1500.0</v>
      </c>
      <c r="P25" s="132">
        <f t="shared" si="41"/>
        <v>1500</v>
      </c>
      <c r="Q25" s="132">
        <v>1325.0</v>
      </c>
      <c r="R25" s="178">
        <v>0.26</v>
      </c>
      <c r="S25" s="179">
        <f t="shared" si="42"/>
        <v>1110</v>
      </c>
      <c r="T25" s="180">
        <f t="shared" si="43"/>
        <v>60</v>
      </c>
      <c r="U25" s="154">
        <f t="shared" si="44"/>
        <v>82.99065421</v>
      </c>
      <c r="V25" s="181">
        <f t="shared" si="45"/>
        <v>0</v>
      </c>
      <c r="W25" s="182">
        <v>0.29</v>
      </c>
      <c r="X25" s="183">
        <v>82.0</v>
      </c>
      <c r="Y25" s="184">
        <f t="shared" si="46"/>
        <v>487.5</v>
      </c>
      <c r="Z25" s="184">
        <f t="shared" si="47"/>
        <v>44.289</v>
      </c>
      <c r="AA25" s="154">
        <f t="shared" si="48"/>
        <v>8.335</v>
      </c>
      <c r="AB25" s="154">
        <v>83.33</v>
      </c>
      <c r="AC25" s="185">
        <v>4.8</v>
      </c>
      <c r="AD25" s="181">
        <f t="shared" si="49"/>
        <v>150</v>
      </c>
      <c r="AE25" s="186"/>
      <c r="AF25" s="187">
        <v>0.0</v>
      </c>
      <c r="AG25" s="180">
        <f t="shared" si="50"/>
        <v>189.7753458</v>
      </c>
      <c r="AH25" s="188">
        <f t="shared" si="51"/>
        <v>0.4862169706</v>
      </c>
      <c r="AI25" s="189" t="s">
        <v>84</v>
      </c>
      <c r="AJ25" s="190">
        <v>560.0</v>
      </c>
      <c r="AK25" s="190">
        <f t="shared" si="52"/>
        <v>218573.6</v>
      </c>
      <c r="AL25" s="191">
        <f t="shared" si="18"/>
        <v>106274.1936</v>
      </c>
    </row>
    <row r="26" ht="24.75" customHeight="1">
      <c r="A26" s="167"/>
      <c r="B26" s="168" t="s">
        <v>101</v>
      </c>
      <c r="C26" s="217">
        <v>2.06125905E8</v>
      </c>
      <c r="D26" s="170" t="s">
        <v>102</v>
      </c>
      <c r="E26" s="173" t="s">
        <v>76</v>
      </c>
      <c r="F26" s="172">
        <v>320.0</v>
      </c>
      <c r="G26" s="173">
        <v>0.0</v>
      </c>
      <c r="H26" s="173">
        <f t="shared" si="36"/>
        <v>0.00069</v>
      </c>
      <c r="I26" s="173">
        <f t="shared" si="37"/>
        <v>89</v>
      </c>
      <c r="J26" s="173">
        <f t="shared" si="38"/>
        <v>0</v>
      </c>
      <c r="K26" s="174">
        <f t="shared" si="39"/>
        <v>0</v>
      </c>
      <c r="L26" s="175">
        <f t="shared" si="40"/>
        <v>0</v>
      </c>
      <c r="M26" s="176">
        <v>120.0</v>
      </c>
      <c r="N26" s="177">
        <v>390.31</v>
      </c>
      <c r="O26" s="154">
        <v>1500.0</v>
      </c>
      <c r="P26" s="132">
        <f t="shared" si="41"/>
        <v>1500</v>
      </c>
      <c r="Q26" s="132">
        <v>1812.0</v>
      </c>
      <c r="R26" s="178">
        <v>0.26</v>
      </c>
      <c r="S26" s="179">
        <f t="shared" si="42"/>
        <v>1110</v>
      </c>
      <c r="T26" s="180">
        <f t="shared" si="43"/>
        <v>60</v>
      </c>
      <c r="U26" s="154">
        <f t="shared" si="44"/>
        <v>82.99065421</v>
      </c>
      <c r="V26" s="181">
        <f t="shared" si="45"/>
        <v>0</v>
      </c>
      <c r="W26" s="182">
        <v>0.29</v>
      </c>
      <c r="X26" s="183">
        <v>82.0</v>
      </c>
      <c r="Y26" s="184">
        <f t="shared" si="46"/>
        <v>487.5</v>
      </c>
      <c r="Z26" s="184">
        <f t="shared" si="47"/>
        <v>44.289</v>
      </c>
      <c r="AA26" s="154">
        <f t="shared" si="48"/>
        <v>1.165</v>
      </c>
      <c r="AB26" s="154">
        <v>97.67</v>
      </c>
      <c r="AC26" s="185">
        <v>4.8</v>
      </c>
      <c r="AD26" s="181">
        <f t="shared" si="49"/>
        <v>150</v>
      </c>
      <c r="AE26" s="186"/>
      <c r="AF26" s="187">
        <v>0.0</v>
      </c>
      <c r="AG26" s="180">
        <f t="shared" si="50"/>
        <v>196.9453458</v>
      </c>
      <c r="AH26" s="188">
        <f t="shared" si="51"/>
        <v>0.5045869842</v>
      </c>
      <c r="AI26" s="189" t="s">
        <v>84</v>
      </c>
      <c r="AJ26" s="190">
        <v>320.0</v>
      </c>
      <c r="AK26" s="190">
        <f t="shared" si="52"/>
        <v>124899.2</v>
      </c>
      <c r="AL26" s="191">
        <f t="shared" si="18"/>
        <v>63022.51065</v>
      </c>
    </row>
    <row r="27" ht="24.75" customHeight="1">
      <c r="A27" s="167"/>
      <c r="B27" s="168" t="s">
        <v>103</v>
      </c>
      <c r="C27" s="217">
        <v>2.06126372E8</v>
      </c>
      <c r="D27" s="170" t="s">
        <v>104</v>
      </c>
      <c r="E27" s="173" t="s">
        <v>76</v>
      </c>
      <c r="F27" s="172">
        <v>320.0</v>
      </c>
      <c r="G27" s="173">
        <v>0.0</v>
      </c>
      <c r="H27" s="173">
        <f t="shared" si="36"/>
        <v>0.00069</v>
      </c>
      <c r="I27" s="173">
        <f t="shared" si="37"/>
        <v>89</v>
      </c>
      <c r="J27" s="173">
        <f t="shared" si="38"/>
        <v>0</v>
      </c>
      <c r="K27" s="174">
        <f t="shared" si="39"/>
        <v>0</v>
      </c>
      <c r="L27" s="175">
        <f t="shared" si="40"/>
        <v>0</v>
      </c>
      <c r="M27" s="176">
        <v>120.0</v>
      </c>
      <c r="N27" s="177">
        <v>390.31</v>
      </c>
      <c r="O27" s="154">
        <v>1500.0</v>
      </c>
      <c r="P27" s="132">
        <v>1500.0</v>
      </c>
      <c r="Q27" s="132">
        <v>1599.0</v>
      </c>
      <c r="R27" s="178">
        <v>0.26</v>
      </c>
      <c r="S27" s="179">
        <f t="shared" si="42"/>
        <v>1110</v>
      </c>
      <c r="T27" s="180">
        <f t="shared" si="43"/>
        <v>60</v>
      </c>
      <c r="U27" s="154">
        <f t="shared" si="44"/>
        <v>82.99065421</v>
      </c>
      <c r="V27" s="181">
        <f t="shared" si="45"/>
        <v>0</v>
      </c>
      <c r="W27" s="182">
        <v>0.29</v>
      </c>
      <c r="X27" s="183">
        <v>82.0</v>
      </c>
      <c r="Y27" s="184">
        <f t="shared" si="46"/>
        <v>487.5</v>
      </c>
      <c r="Z27" s="184">
        <f t="shared" si="47"/>
        <v>44.289</v>
      </c>
      <c r="AA27" s="154">
        <f t="shared" si="48"/>
        <v>0</v>
      </c>
      <c r="AB27" s="154">
        <v>100.0</v>
      </c>
      <c r="AC27" s="185">
        <v>4.8</v>
      </c>
      <c r="AD27" s="181">
        <f t="shared" si="49"/>
        <v>150</v>
      </c>
      <c r="AE27" s="186"/>
      <c r="AF27" s="187">
        <v>0.0</v>
      </c>
      <c r="AG27" s="180">
        <f t="shared" si="50"/>
        <v>198.1103458</v>
      </c>
      <c r="AH27" s="188">
        <f t="shared" si="51"/>
        <v>0.5075717911</v>
      </c>
      <c r="AI27" s="189" t="s">
        <v>84</v>
      </c>
      <c r="AJ27" s="190">
        <v>320.0</v>
      </c>
      <c r="AK27" s="190">
        <f t="shared" si="52"/>
        <v>124899.2</v>
      </c>
      <c r="AL27" s="191">
        <f t="shared" si="18"/>
        <v>63395.31065</v>
      </c>
    </row>
    <row r="28" ht="24.75" customHeight="1">
      <c r="A28" s="193"/>
      <c r="B28" s="194"/>
      <c r="C28" s="219"/>
      <c r="D28" s="196"/>
      <c r="E28" s="199"/>
      <c r="F28" s="198"/>
      <c r="G28" s="199"/>
      <c r="H28" s="199"/>
      <c r="I28" s="199"/>
      <c r="J28" s="199"/>
      <c r="K28" s="200"/>
      <c r="L28" s="201"/>
      <c r="M28" s="129"/>
      <c r="N28" s="202"/>
      <c r="O28" s="154"/>
      <c r="P28" s="132"/>
      <c r="Q28" s="133"/>
      <c r="R28" s="203"/>
      <c r="S28" s="204"/>
      <c r="T28" s="205"/>
      <c r="U28" s="206"/>
      <c r="V28" s="207"/>
      <c r="W28" s="208"/>
      <c r="X28" s="209"/>
      <c r="Y28" s="210"/>
      <c r="Z28" s="210"/>
      <c r="AA28" s="206"/>
      <c r="AB28" s="206"/>
      <c r="AC28" s="211"/>
      <c r="AD28" s="207"/>
      <c r="AE28" s="212"/>
      <c r="AF28" s="213"/>
      <c r="AG28" s="205"/>
      <c r="AH28" s="214"/>
      <c r="AI28" s="214"/>
      <c r="AJ28" s="216"/>
      <c r="AK28" s="216"/>
      <c r="AL28" s="191">
        <f t="shared" si="18"/>
        <v>0</v>
      </c>
    </row>
    <row r="29" ht="24.75" customHeight="1">
      <c r="A29" s="167"/>
      <c r="B29" s="168" t="s">
        <v>105</v>
      </c>
      <c r="C29" s="217" t="s">
        <v>106</v>
      </c>
      <c r="D29" s="170" t="s">
        <v>107</v>
      </c>
      <c r="E29" s="173"/>
      <c r="F29" s="172">
        <v>1.0</v>
      </c>
      <c r="G29" s="173"/>
      <c r="H29" s="173">
        <f>$I$2</f>
        <v>0.00069</v>
      </c>
      <c r="I29" s="173">
        <f>$I$3</f>
        <v>89</v>
      </c>
      <c r="J29" s="173">
        <f>G29*H29*I29*F29</f>
        <v>0</v>
      </c>
      <c r="K29" s="174">
        <f>J29*$J$4</f>
        <v>0</v>
      </c>
      <c r="L29" s="175">
        <f>K29+J29</f>
        <v>0</v>
      </c>
      <c r="M29" s="176">
        <v>120.0</v>
      </c>
      <c r="N29" s="177">
        <v>452.84</v>
      </c>
      <c r="O29" s="154">
        <v>2125.0</v>
      </c>
      <c r="P29" s="132">
        <v>0.0</v>
      </c>
      <c r="Q29" s="132"/>
      <c r="R29" s="178">
        <v>0.26</v>
      </c>
      <c r="S29" s="179">
        <f>O29-(O29*R29)</f>
        <v>1572.5</v>
      </c>
      <c r="T29" s="180">
        <f>$C$1</f>
        <v>60</v>
      </c>
      <c r="U29" s="154">
        <f>(S29*7/107)+((S29-(S29*7/107))*1%)</f>
        <v>117.5700935</v>
      </c>
      <c r="V29" s="181">
        <f>N29*$C$3*(M29/30)</f>
        <v>0</v>
      </c>
      <c r="W29" s="182"/>
      <c r="X29" s="221">
        <v>57.0</v>
      </c>
      <c r="Y29" s="184">
        <f>O29*$Y$6</f>
        <v>690.625</v>
      </c>
      <c r="Z29" s="184">
        <f>S29*$Y$7</f>
        <v>62.74275</v>
      </c>
      <c r="AA29" s="154">
        <f>$Y$3*((100-AB29)/100)</f>
        <v>50</v>
      </c>
      <c r="AB29" s="154"/>
      <c r="AC29" s="185">
        <v>0.0</v>
      </c>
      <c r="AD29" s="181">
        <f>O29*$C$2</f>
        <v>212.5</v>
      </c>
      <c r="AE29" s="186"/>
      <c r="AF29" s="187">
        <v>0.0</v>
      </c>
      <c r="AG29" s="180">
        <f>O29-T29-U29-V29-X29-Y29-Z29-AA29-AC29-AD29-N29</f>
        <v>421.7221565</v>
      </c>
      <c r="AH29" s="188">
        <f>AG29/N29</f>
        <v>0.9312829179</v>
      </c>
      <c r="AI29" s="189" t="s">
        <v>84</v>
      </c>
      <c r="AJ29" s="190">
        <v>528.0</v>
      </c>
      <c r="AK29" s="190">
        <f t="shared" ref="AK29:AK30" si="53">PRODUCT(AJ29*N29)</f>
        <v>239099.52</v>
      </c>
      <c r="AL29" s="191">
        <f t="shared" si="18"/>
        <v>222669.2987</v>
      </c>
    </row>
    <row r="30" ht="24.75" customHeight="1">
      <c r="A30" s="167"/>
      <c r="B30" s="223" t="s">
        <v>108</v>
      </c>
      <c r="C30" s="217" t="s">
        <v>106</v>
      </c>
      <c r="D30" s="170" t="s">
        <v>109</v>
      </c>
      <c r="E30" s="173" t="s">
        <v>76</v>
      </c>
      <c r="F30" s="173">
        <v>1.0</v>
      </c>
      <c r="G30" s="173"/>
      <c r="H30" s="173">
        <v>6.9E-4</v>
      </c>
      <c r="I30" s="173">
        <v>89.0</v>
      </c>
      <c r="J30" s="173">
        <v>0.0</v>
      </c>
      <c r="K30" s="174">
        <v>0.0</v>
      </c>
      <c r="L30" s="224">
        <v>0.0</v>
      </c>
      <c r="M30" s="225">
        <v>120.0</v>
      </c>
      <c r="N30" s="226">
        <v>811.49</v>
      </c>
      <c r="O30" s="227">
        <v>2442.0</v>
      </c>
      <c r="P30" s="228">
        <v>0.0</v>
      </c>
      <c r="Q30" s="228">
        <v>0.0</v>
      </c>
      <c r="R30" s="229">
        <v>0.26</v>
      </c>
      <c r="S30" s="230">
        <v>666.0</v>
      </c>
      <c r="T30" s="180">
        <v>60.0</v>
      </c>
      <c r="U30" s="154">
        <v>49.7943925233645</v>
      </c>
      <c r="V30" s="181">
        <v>0.0</v>
      </c>
      <c r="W30" s="182">
        <v>0.22</v>
      </c>
      <c r="X30" s="231">
        <v>76.0</v>
      </c>
      <c r="Y30" s="184">
        <v>292.5</v>
      </c>
      <c r="Z30" s="184">
        <v>26.5734</v>
      </c>
      <c r="AA30" s="154">
        <v>1.02</v>
      </c>
      <c r="AB30" s="154">
        <v>97.96</v>
      </c>
      <c r="AC30" s="232">
        <v>4.8</v>
      </c>
      <c r="AD30" s="181">
        <v>90.0</v>
      </c>
      <c r="AE30" s="186"/>
      <c r="AF30" s="233">
        <v>0.0</v>
      </c>
      <c r="AG30" s="180">
        <v>67.5822074766355</v>
      </c>
      <c r="AH30" s="234">
        <v>0.291642029416284</v>
      </c>
      <c r="AI30" s="189" t="s">
        <v>84</v>
      </c>
      <c r="AJ30" s="235">
        <v>1056.0</v>
      </c>
      <c r="AK30" s="190">
        <f t="shared" si="53"/>
        <v>856933.44</v>
      </c>
      <c r="AL30" s="191">
        <f t="shared" si="18"/>
        <v>71366.8111</v>
      </c>
    </row>
    <row r="31" ht="24.75" customHeight="1">
      <c r="A31" s="193"/>
      <c r="B31" s="236"/>
      <c r="C31" s="219"/>
      <c r="D31" s="196"/>
      <c r="E31" s="199"/>
      <c r="F31" s="237"/>
      <c r="G31" s="199"/>
      <c r="H31" s="199"/>
      <c r="I31" s="199"/>
      <c r="J31" s="199"/>
      <c r="K31" s="200"/>
      <c r="L31" s="238"/>
      <c r="M31" s="239"/>
      <c r="N31" s="240"/>
      <c r="O31" s="241"/>
      <c r="P31" s="228"/>
      <c r="Q31" s="242"/>
      <c r="R31" s="243"/>
      <c r="S31" s="244"/>
      <c r="T31" s="205"/>
      <c r="U31" s="206"/>
      <c r="V31" s="207"/>
      <c r="W31" s="208"/>
      <c r="X31" s="245"/>
      <c r="Y31" s="210"/>
      <c r="Z31" s="210"/>
      <c r="AA31" s="206"/>
      <c r="AB31" s="206"/>
      <c r="AC31" s="246"/>
      <c r="AD31" s="207"/>
      <c r="AE31" s="212"/>
      <c r="AF31" s="247"/>
      <c r="AG31" s="205"/>
      <c r="AH31" s="248"/>
      <c r="AI31" s="189" t="s">
        <v>84</v>
      </c>
      <c r="AJ31" s="249"/>
      <c r="AK31" s="249"/>
      <c r="AL31" s="191">
        <f t="shared" si="18"/>
        <v>0</v>
      </c>
    </row>
    <row r="32" ht="24.75" customHeight="1">
      <c r="A32" s="167"/>
      <c r="B32" s="168"/>
      <c r="C32" s="217">
        <v>4.37154709E8</v>
      </c>
      <c r="D32" s="170" t="s">
        <v>110</v>
      </c>
      <c r="E32" s="173" t="s">
        <v>76</v>
      </c>
      <c r="F32" s="172">
        <v>1.0</v>
      </c>
      <c r="G32" s="173"/>
      <c r="H32" s="173">
        <f t="shared" ref="H32:H33" si="54">$I$2</f>
        <v>0.00069</v>
      </c>
      <c r="I32" s="173">
        <f t="shared" ref="I32:I33" si="55">$I$3</f>
        <v>89</v>
      </c>
      <c r="J32" s="173">
        <f t="shared" ref="J32:J33" si="56">G32*H32*I32*F32</f>
        <v>0</v>
      </c>
      <c r="K32" s="174">
        <f t="shared" ref="K32:K33" si="57">J32*$J$4</f>
        <v>0</v>
      </c>
      <c r="L32" s="175">
        <f t="shared" ref="L32:L33" si="58">K32+J32</f>
        <v>0</v>
      </c>
      <c r="M32" s="176">
        <v>120.0</v>
      </c>
      <c r="N32" s="177">
        <v>368.23</v>
      </c>
      <c r="O32" s="154">
        <v>1500.0</v>
      </c>
      <c r="P32" s="132">
        <v>1485.0</v>
      </c>
      <c r="Q32" s="132">
        <v>1372.0</v>
      </c>
      <c r="R32" s="178">
        <v>0.26</v>
      </c>
      <c r="S32" s="179">
        <f t="shared" ref="S32:S33" si="59">O32-(O32*R32)</f>
        <v>1110</v>
      </c>
      <c r="T32" s="180">
        <f t="shared" ref="T32:T33" si="60">$C$1</f>
        <v>60</v>
      </c>
      <c r="U32" s="154">
        <f t="shared" ref="U32:U33" si="61">(S32*7/107)+((S32-(S32*7/107))*1%)</f>
        <v>82.99065421</v>
      </c>
      <c r="V32" s="181">
        <f t="shared" ref="V32:V33" si="62">N32*$C$3*(M32/30)</f>
        <v>0</v>
      </c>
      <c r="W32" s="182">
        <v>0.73</v>
      </c>
      <c r="X32" s="218">
        <v>76.0</v>
      </c>
      <c r="Y32" s="184">
        <f t="shared" ref="Y32:Y33" si="63">O32*$Y$6</f>
        <v>487.5</v>
      </c>
      <c r="Z32" s="184">
        <f t="shared" ref="Z32:Z33" si="64">S32*$Y$7</f>
        <v>44.289</v>
      </c>
      <c r="AA32" s="154">
        <f t="shared" ref="AA32:AA33" si="65">$Y$3*((100-AB32)/100)</f>
        <v>0.54</v>
      </c>
      <c r="AB32" s="154">
        <v>98.92</v>
      </c>
      <c r="AC32" s="185">
        <v>4.8</v>
      </c>
      <c r="AD32" s="181">
        <f t="shared" ref="AD32:AD33" si="66">O32*$C$2</f>
        <v>150</v>
      </c>
      <c r="AE32" s="186"/>
      <c r="AF32" s="187">
        <v>0.0</v>
      </c>
      <c r="AG32" s="180">
        <f t="shared" ref="AG32:AG33" si="67">O32-T32-U32-V32-X32-Y32-Z32-AA32-AC32-AD32-N32</f>
        <v>225.6503458</v>
      </c>
      <c r="AH32" s="188">
        <f t="shared" ref="AH32:AH33" si="68">AG32/N32</f>
        <v>0.6127972892</v>
      </c>
      <c r="AI32" s="189" t="s">
        <v>111</v>
      </c>
      <c r="AJ32" s="190">
        <v>25020.0</v>
      </c>
      <c r="AK32" s="190">
        <f t="shared" ref="AK32:AK36" si="69">PRODUCT(AJ32*N32)</f>
        <v>9213114.6</v>
      </c>
      <c r="AL32" s="191">
        <f t="shared" si="18"/>
        <v>5645771.652</v>
      </c>
    </row>
    <row r="33" ht="24.75" customHeight="1">
      <c r="A33" s="167"/>
      <c r="B33" s="168"/>
      <c r="C33" s="217" t="s">
        <v>112</v>
      </c>
      <c r="D33" s="170" t="s">
        <v>113</v>
      </c>
      <c r="E33" s="173" t="s">
        <v>76</v>
      </c>
      <c r="F33" s="172">
        <v>1.0</v>
      </c>
      <c r="G33" s="173"/>
      <c r="H33" s="173">
        <f t="shared" si="54"/>
        <v>0.00069</v>
      </c>
      <c r="I33" s="173">
        <f t="shared" si="55"/>
        <v>89</v>
      </c>
      <c r="J33" s="173">
        <f t="shared" si="56"/>
        <v>0</v>
      </c>
      <c r="K33" s="174">
        <f t="shared" si="57"/>
        <v>0</v>
      </c>
      <c r="L33" s="175">
        <f t="shared" si="58"/>
        <v>0</v>
      </c>
      <c r="M33" s="176">
        <v>120.0</v>
      </c>
      <c r="N33" s="177">
        <v>617.56</v>
      </c>
      <c r="O33" s="154">
        <v>2500.0</v>
      </c>
      <c r="P33" s="132">
        <v>2600.0</v>
      </c>
      <c r="Q33" s="132">
        <v>2458.0</v>
      </c>
      <c r="R33" s="178">
        <v>0.26</v>
      </c>
      <c r="S33" s="179">
        <f t="shared" si="59"/>
        <v>1850</v>
      </c>
      <c r="T33" s="180">
        <f t="shared" si="60"/>
        <v>60</v>
      </c>
      <c r="U33" s="154">
        <f t="shared" si="61"/>
        <v>138.317757</v>
      </c>
      <c r="V33" s="181">
        <f t="shared" si="62"/>
        <v>0</v>
      </c>
      <c r="W33" s="182">
        <v>0.73</v>
      </c>
      <c r="X33" s="218">
        <v>83.0</v>
      </c>
      <c r="Y33" s="184">
        <f t="shared" si="63"/>
        <v>812.5</v>
      </c>
      <c r="Z33" s="184">
        <f t="shared" si="64"/>
        <v>73.815</v>
      </c>
      <c r="AA33" s="154">
        <f t="shared" si="65"/>
        <v>0.54</v>
      </c>
      <c r="AB33" s="154">
        <v>98.92</v>
      </c>
      <c r="AC33" s="185">
        <v>4.8</v>
      </c>
      <c r="AD33" s="181">
        <f t="shared" si="66"/>
        <v>250</v>
      </c>
      <c r="AE33" s="186"/>
      <c r="AF33" s="187">
        <v>0.0</v>
      </c>
      <c r="AG33" s="180">
        <f t="shared" si="67"/>
        <v>459.467243</v>
      </c>
      <c r="AH33" s="188">
        <f t="shared" si="68"/>
        <v>0.744004215</v>
      </c>
      <c r="AI33" s="189" t="s">
        <v>84</v>
      </c>
      <c r="AJ33" s="190">
        <v>240.0</v>
      </c>
      <c r="AK33" s="190">
        <f t="shared" si="69"/>
        <v>148214.4</v>
      </c>
      <c r="AL33" s="191">
        <f t="shared" si="18"/>
        <v>110272.1383</v>
      </c>
    </row>
    <row r="34" ht="24.75" customHeight="1">
      <c r="A34" s="167"/>
      <c r="B34" s="168"/>
      <c r="C34" s="217" t="s">
        <v>112</v>
      </c>
      <c r="D34" s="170" t="s">
        <v>114</v>
      </c>
      <c r="E34" s="173" t="s">
        <v>76</v>
      </c>
      <c r="F34" s="172">
        <v>1.0</v>
      </c>
      <c r="G34" s="173"/>
      <c r="H34" s="173">
        <v>6.9E-4</v>
      </c>
      <c r="I34" s="173">
        <v>89.0</v>
      </c>
      <c r="J34" s="173">
        <v>0.0</v>
      </c>
      <c r="K34" s="174">
        <v>0.0</v>
      </c>
      <c r="L34" s="175">
        <v>0.0</v>
      </c>
      <c r="M34" s="176">
        <v>120.0</v>
      </c>
      <c r="N34" s="177">
        <v>372.04</v>
      </c>
      <c r="O34" s="154">
        <v>2522.0</v>
      </c>
      <c r="P34" s="132">
        <v>1750.0</v>
      </c>
      <c r="Q34" s="132">
        <v>1559.0</v>
      </c>
      <c r="R34" s="178">
        <v>0.26</v>
      </c>
      <c r="S34" s="179">
        <v>1146.26</v>
      </c>
      <c r="T34" s="180">
        <v>60.0</v>
      </c>
      <c r="U34" s="154">
        <v>85.7016822429906</v>
      </c>
      <c r="V34" s="181">
        <v>0.0</v>
      </c>
      <c r="W34" s="182">
        <v>0.73</v>
      </c>
      <c r="X34" s="218">
        <v>76.0</v>
      </c>
      <c r="Y34" s="184">
        <v>503.425</v>
      </c>
      <c r="Z34" s="184">
        <v>45.735774</v>
      </c>
      <c r="AA34" s="154">
        <v>0.539999999999999</v>
      </c>
      <c r="AB34" s="154">
        <v>98.92</v>
      </c>
      <c r="AC34" s="185">
        <v>4.8</v>
      </c>
      <c r="AD34" s="181">
        <v>154.9</v>
      </c>
      <c r="AE34" s="186"/>
      <c r="AF34" s="187">
        <v>0.0</v>
      </c>
      <c r="AG34" s="180">
        <v>105.457543757009</v>
      </c>
      <c r="AH34" s="188">
        <v>0.205794910149499</v>
      </c>
      <c r="AI34" s="189" t="s">
        <v>84</v>
      </c>
      <c r="AJ34" s="190">
        <v>600.0</v>
      </c>
      <c r="AK34" s="190">
        <f t="shared" si="69"/>
        <v>223224</v>
      </c>
      <c r="AL34" s="191">
        <f t="shared" si="18"/>
        <v>63274.52625</v>
      </c>
    </row>
    <row r="35" ht="24.75" customHeight="1">
      <c r="A35" s="167"/>
      <c r="B35" s="168"/>
      <c r="C35" s="217" t="s">
        <v>112</v>
      </c>
      <c r="D35" s="170" t="s">
        <v>115</v>
      </c>
      <c r="E35" s="173" t="s">
        <v>76</v>
      </c>
      <c r="F35" s="172">
        <v>1.0</v>
      </c>
      <c r="G35" s="173"/>
      <c r="H35" s="173">
        <f t="shared" ref="H35:H36" si="70">$I$2</f>
        <v>0.00069</v>
      </c>
      <c r="I35" s="173">
        <f t="shared" ref="I35:I36" si="71">$I$3</f>
        <v>89</v>
      </c>
      <c r="J35" s="173">
        <f t="shared" ref="J35:J36" si="72">G35*H35*I35*F35</f>
        <v>0</v>
      </c>
      <c r="K35" s="174">
        <f t="shared" ref="K35:K36" si="73">J35*$J$4</f>
        <v>0</v>
      </c>
      <c r="L35" s="175">
        <f t="shared" ref="L35:L36" si="74">K35+J35</f>
        <v>0</v>
      </c>
      <c r="M35" s="176">
        <v>120.0</v>
      </c>
      <c r="N35" s="177">
        <v>444.34</v>
      </c>
      <c r="O35" s="154">
        <v>2602.0</v>
      </c>
      <c r="P35" s="132">
        <v>1650.0</v>
      </c>
      <c r="Q35" s="132">
        <v>1220.0</v>
      </c>
      <c r="R35" s="178">
        <v>0.26</v>
      </c>
      <c r="S35" s="179">
        <f t="shared" ref="S35:S36" si="75">O35-(O35*R35)</f>
        <v>1925.48</v>
      </c>
      <c r="T35" s="180">
        <f t="shared" ref="T35:T36" si="76">$C$1</f>
        <v>60</v>
      </c>
      <c r="U35" s="154">
        <f t="shared" ref="U35:U36" si="77">(S35*7/107)+((S35-(S35*7/107))*1%)</f>
        <v>143.9611215</v>
      </c>
      <c r="V35" s="181">
        <f t="shared" ref="V35:V36" si="78">N35*$C$3*(M35/30)</f>
        <v>0</v>
      </c>
      <c r="W35" s="182">
        <v>0.93</v>
      </c>
      <c r="X35" s="218">
        <v>76.0</v>
      </c>
      <c r="Y35" s="184">
        <f t="shared" ref="Y35:Y36" si="79">O35*$Y$6</f>
        <v>845.65</v>
      </c>
      <c r="Z35" s="184">
        <f t="shared" ref="Z35:Z36" si="80">S35*$Y$7</f>
        <v>76.826652</v>
      </c>
      <c r="AA35" s="154">
        <f t="shared" ref="AA35:AA36" si="81">$Y$3*((100-AB35)/100)</f>
        <v>0.54</v>
      </c>
      <c r="AB35" s="154">
        <v>98.92</v>
      </c>
      <c r="AC35" s="185">
        <v>4.8</v>
      </c>
      <c r="AD35" s="181">
        <f t="shared" ref="AD35:AD36" si="82">O35*$C$2</f>
        <v>260.2</v>
      </c>
      <c r="AE35" s="186"/>
      <c r="AF35" s="187">
        <v>0.0</v>
      </c>
      <c r="AG35" s="180">
        <f t="shared" ref="AG35:AG36" si="83">O35-T35-U35-V35-X35-Y35-Z35-AA35-AC35-AD35-N35</f>
        <v>689.6822265</v>
      </c>
      <c r="AH35" s="188">
        <f t="shared" ref="AH35:AH36" si="84">AG35/N35</f>
        <v>1.552149765</v>
      </c>
      <c r="AI35" s="189" t="s">
        <v>84</v>
      </c>
      <c r="AJ35" s="190">
        <v>400.0</v>
      </c>
      <c r="AK35" s="190">
        <f t="shared" si="69"/>
        <v>177736</v>
      </c>
      <c r="AL35" s="191">
        <f t="shared" si="18"/>
        <v>275872.8906</v>
      </c>
    </row>
    <row r="36" ht="24.75" customHeight="1">
      <c r="A36" s="167"/>
      <c r="B36" s="168"/>
      <c r="C36" s="217" t="s">
        <v>112</v>
      </c>
      <c r="D36" s="170" t="s">
        <v>116</v>
      </c>
      <c r="E36" s="173" t="s">
        <v>76</v>
      </c>
      <c r="F36" s="172">
        <v>1.0</v>
      </c>
      <c r="G36" s="173"/>
      <c r="H36" s="173">
        <f t="shared" si="70"/>
        <v>0.00069</v>
      </c>
      <c r="I36" s="173">
        <f t="shared" si="71"/>
        <v>89</v>
      </c>
      <c r="J36" s="173">
        <f t="shared" si="72"/>
        <v>0</v>
      </c>
      <c r="K36" s="174">
        <f t="shared" si="73"/>
        <v>0</v>
      </c>
      <c r="L36" s="175">
        <f t="shared" si="74"/>
        <v>0</v>
      </c>
      <c r="M36" s="176">
        <v>120.0</v>
      </c>
      <c r="N36" s="177">
        <v>418.27</v>
      </c>
      <c r="O36" s="192">
        <v>1350.0</v>
      </c>
      <c r="P36" s="132">
        <v>1650.0</v>
      </c>
      <c r="Q36" s="132">
        <v>1220.0</v>
      </c>
      <c r="R36" s="178">
        <v>0.3</v>
      </c>
      <c r="S36" s="179">
        <f t="shared" si="75"/>
        <v>945</v>
      </c>
      <c r="T36" s="180">
        <f t="shared" si="76"/>
        <v>60</v>
      </c>
      <c r="U36" s="154">
        <f t="shared" si="77"/>
        <v>70.65420561</v>
      </c>
      <c r="V36" s="181">
        <f t="shared" si="78"/>
        <v>0</v>
      </c>
      <c r="W36" s="182">
        <v>0.73</v>
      </c>
      <c r="X36" s="218">
        <v>76.0</v>
      </c>
      <c r="Y36" s="184">
        <f t="shared" si="79"/>
        <v>438.75</v>
      </c>
      <c r="Z36" s="184">
        <f t="shared" si="80"/>
        <v>37.7055</v>
      </c>
      <c r="AA36" s="154">
        <f t="shared" si="81"/>
        <v>0.54</v>
      </c>
      <c r="AB36" s="154">
        <v>98.92</v>
      </c>
      <c r="AC36" s="185">
        <v>4.8</v>
      </c>
      <c r="AD36" s="181">
        <f t="shared" si="82"/>
        <v>135</v>
      </c>
      <c r="AE36" s="186"/>
      <c r="AF36" s="187">
        <v>0.0</v>
      </c>
      <c r="AG36" s="180">
        <f t="shared" si="83"/>
        <v>108.2802944</v>
      </c>
      <c r="AH36" s="188">
        <f t="shared" si="84"/>
        <v>0.2588765496</v>
      </c>
      <c r="AI36" s="189" t="s">
        <v>84</v>
      </c>
      <c r="AJ36" s="190">
        <v>600.0</v>
      </c>
      <c r="AK36" s="190">
        <f t="shared" si="69"/>
        <v>250962</v>
      </c>
      <c r="AL36" s="191">
        <f t="shared" si="18"/>
        <v>64968.17664</v>
      </c>
    </row>
    <row r="37" ht="24.75" customHeight="1">
      <c r="A37" s="193"/>
      <c r="B37" s="194"/>
      <c r="C37" s="219"/>
      <c r="D37" s="196"/>
      <c r="E37" s="199"/>
      <c r="F37" s="198"/>
      <c r="G37" s="199"/>
      <c r="H37" s="199"/>
      <c r="I37" s="199"/>
      <c r="J37" s="199"/>
      <c r="K37" s="200"/>
      <c r="L37" s="201"/>
      <c r="M37" s="129"/>
      <c r="N37" s="202"/>
      <c r="O37" s="250"/>
      <c r="P37" s="132"/>
      <c r="Q37" s="133"/>
      <c r="R37" s="203"/>
      <c r="S37" s="204"/>
      <c r="T37" s="205"/>
      <c r="U37" s="206"/>
      <c r="V37" s="207"/>
      <c r="W37" s="208"/>
      <c r="X37" s="251"/>
      <c r="Y37" s="210"/>
      <c r="Z37" s="210"/>
      <c r="AA37" s="206"/>
      <c r="AB37" s="206"/>
      <c r="AC37" s="211"/>
      <c r="AD37" s="207"/>
      <c r="AE37" s="212"/>
      <c r="AF37" s="213"/>
      <c r="AG37" s="205"/>
      <c r="AH37" s="214"/>
      <c r="AI37" s="214"/>
      <c r="AJ37" s="216"/>
      <c r="AK37" s="216"/>
      <c r="AL37" s="191">
        <f t="shared" si="18"/>
        <v>0</v>
      </c>
    </row>
    <row r="38" ht="24.75" customHeight="1">
      <c r="A38" s="167"/>
      <c r="B38" s="168"/>
      <c r="C38" s="217" t="s">
        <v>117</v>
      </c>
      <c r="D38" s="170" t="s">
        <v>118</v>
      </c>
      <c r="E38" s="173" t="s">
        <v>76</v>
      </c>
      <c r="F38" s="172">
        <v>1.0</v>
      </c>
      <c r="G38" s="173"/>
      <c r="H38" s="173">
        <v>6.9E-4</v>
      </c>
      <c r="I38" s="173">
        <v>89.0</v>
      </c>
      <c r="J38" s="173">
        <v>0.0</v>
      </c>
      <c r="K38" s="174">
        <v>0.0</v>
      </c>
      <c r="L38" s="175">
        <v>0.0</v>
      </c>
      <c r="M38" s="176">
        <v>120.0</v>
      </c>
      <c r="N38" s="177">
        <v>361.12</v>
      </c>
      <c r="O38" s="154">
        <v>2287.0</v>
      </c>
      <c r="P38" s="132"/>
      <c r="Q38" s="132"/>
      <c r="R38" s="178">
        <v>0.26</v>
      </c>
      <c r="S38" s="179"/>
      <c r="T38" s="180">
        <v>60.0</v>
      </c>
      <c r="U38" s="154">
        <v>116.18691588785</v>
      </c>
      <c r="V38" s="181">
        <v>0.0</v>
      </c>
      <c r="W38" s="182">
        <v>0.73</v>
      </c>
      <c r="X38" s="218">
        <v>76.0</v>
      </c>
      <c r="Y38" s="184">
        <v>682.5</v>
      </c>
      <c r="Z38" s="184">
        <v>62.0046</v>
      </c>
      <c r="AA38" s="154">
        <v>0.539999999999999</v>
      </c>
      <c r="AB38" s="154">
        <v>98.92</v>
      </c>
      <c r="AC38" s="185">
        <v>4.8</v>
      </c>
      <c r="AD38" s="181">
        <v>210.0</v>
      </c>
      <c r="AE38" s="186"/>
      <c r="AF38" s="187">
        <v>0.0</v>
      </c>
      <c r="AG38" s="180">
        <v>68.2484841121495</v>
      </c>
      <c r="AH38" s="188">
        <v>0.0832582883327838</v>
      </c>
      <c r="AI38" s="189" t="s">
        <v>84</v>
      </c>
      <c r="AJ38" s="190">
        <v>1530.0</v>
      </c>
      <c r="AK38" s="190">
        <f t="shared" ref="AK38:AK46" si="85">PRODUCT(AJ38*N38)</f>
        <v>552513.6</v>
      </c>
      <c r="AL38" s="191">
        <f t="shared" si="18"/>
        <v>104420.1807</v>
      </c>
    </row>
    <row r="39" ht="24.75" customHeight="1">
      <c r="A39" s="167"/>
      <c r="B39" s="168"/>
      <c r="C39" s="217" t="s">
        <v>117</v>
      </c>
      <c r="D39" s="170" t="s">
        <v>119</v>
      </c>
      <c r="E39" s="173" t="s">
        <v>76</v>
      </c>
      <c r="F39" s="172">
        <v>1.0</v>
      </c>
      <c r="G39" s="173"/>
      <c r="H39" s="173">
        <v>6.9E-4</v>
      </c>
      <c r="I39" s="173">
        <v>89.0</v>
      </c>
      <c r="J39" s="173">
        <v>0.0</v>
      </c>
      <c r="K39" s="174">
        <v>0.0</v>
      </c>
      <c r="L39" s="175">
        <v>0.0</v>
      </c>
      <c r="M39" s="176">
        <v>120.0</v>
      </c>
      <c r="N39" s="177">
        <v>227.33</v>
      </c>
      <c r="O39" s="154">
        <v>1519.0</v>
      </c>
      <c r="P39" s="132">
        <v>0.0</v>
      </c>
      <c r="Q39" s="132">
        <v>0.0</v>
      </c>
      <c r="R39" s="178">
        <v>0.32</v>
      </c>
      <c r="S39" s="179">
        <v>0.0</v>
      </c>
      <c r="T39" s="180">
        <v>60.0</v>
      </c>
      <c r="U39" s="154">
        <v>120.493457943925</v>
      </c>
      <c r="V39" s="181">
        <v>0.0</v>
      </c>
      <c r="W39" s="182">
        <v>0.3</v>
      </c>
      <c r="X39" s="218">
        <v>91.0</v>
      </c>
      <c r="Y39" s="184">
        <v>770.25</v>
      </c>
      <c r="Z39" s="184">
        <v>64.30284</v>
      </c>
      <c r="AA39" s="154">
        <v>1.595</v>
      </c>
      <c r="AB39" s="154">
        <v>96.81</v>
      </c>
      <c r="AC39" s="185">
        <v>4.8</v>
      </c>
      <c r="AD39" s="181">
        <v>237.0</v>
      </c>
      <c r="AE39" s="186"/>
      <c r="AF39" s="187">
        <v>0.0</v>
      </c>
      <c r="AG39" s="180">
        <v>397.128702056075</v>
      </c>
      <c r="AH39" s="188">
        <v>0.637006082569134</v>
      </c>
      <c r="AI39" s="189" t="s">
        <v>84</v>
      </c>
      <c r="AJ39" s="190">
        <v>1344.0</v>
      </c>
      <c r="AK39" s="190">
        <f t="shared" si="85"/>
        <v>305531.52</v>
      </c>
      <c r="AL39" s="191">
        <f t="shared" si="18"/>
        <v>533740.9756</v>
      </c>
    </row>
    <row r="40" ht="24.75" customHeight="1">
      <c r="A40" s="167"/>
      <c r="B40" s="168"/>
      <c r="C40" s="217" t="s">
        <v>117</v>
      </c>
      <c r="D40" s="170" t="s">
        <v>120</v>
      </c>
      <c r="E40" s="173" t="s">
        <v>76</v>
      </c>
      <c r="F40" s="172">
        <v>1.0</v>
      </c>
      <c r="G40" s="173"/>
      <c r="H40" s="173">
        <v>6.9E-4</v>
      </c>
      <c r="I40" s="173">
        <v>89.0</v>
      </c>
      <c r="J40" s="173">
        <v>0.0</v>
      </c>
      <c r="K40" s="174">
        <v>0.0</v>
      </c>
      <c r="L40" s="175">
        <v>0.0</v>
      </c>
      <c r="M40" s="176">
        <v>120.0</v>
      </c>
      <c r="N40" s="177">
        <v>254.23</v>
      </c>
      <c r="O40" s="154">
        <v>1579.0</v>
      </c>
      <c r="P40" s="132">
        <v>0.0</v>
      </c>
      <c r="Q40" s="132">
        <v>0.0</v>
      </c>
      <c r="R40" s="178">
        <v>0.32</v>
      </c>
      <c r="S40" s="179">
        <v>0.0</v>
      </c>
      <c r="T40" s="180">
        <v>60.0</v>
      </c>
      <c r="U40" s="154">
        <v>120.493457943925</v>
      </c>
      <c r="V40" s="181">
        <v>0.0</v>
      </c>
      <c r="W40" s="182">
        <v>0.3</v>
      </c>
      <c r="X40" s="218">
        <v>91.0</v>
      </c>
      <c r="Y40" s="184">
        <v>770.25</v>
      </c>
      <c r="Z40" s="184">
        <v>64.30284</v>
      </c>
      <c r="AA40" s="154">
        <v>1.595</v>
      </c>
      <c r="AB40" s="154">
        <v>96.81</v>
      </c>
      <c r="AC40" s="185">
        <v>4.8</v>
      </c>
      <c r="AD40" s="181">
        <v>237.0</v>
      </c>
      <c r="AE40" s="186"/>
      <c r="AF40" s="187">
        <v>0.0</v>
      </c>
      <c r="AG40" s="180">
        <v>397.128702056075</v>
      </c>
      <c r="AH40" s="188">
        <v>0.637006082569134</v>
      </c>
      <c r="AI40" s="189" t="s">
        <v>84</v>
      </c>
      <c r="AJ40" s="190">
        <v>1248.0</v>
      </c>
      <c r="AK40" s="190">
        <f t="shared" si="85"/>
        <v>317279.04</v>
      </c>
      <c r="AL40" s="191">
        <f t="shared" si="18"/>
        <v>495616.6202</v>
      </c>
    </row>
    <row r="41" ht="24.75" customHeight="1">
      <c r="A41" s="167"/>
      <c r="B41" s="168"/>
      <c r="C41" s="217" t="s">
        <v>117</v>
      </c>
      <c r="D41" s="170" t="s">
        <v>121</v>
      </c>
      <c r="E41" s="173" t="s">
        <v>76</v>
      </c>
      <c r="F41" s="172">
        <v>1.0</v>
      </c>
      <c r="G41" s="173"/>
      <c r="H41" s="173">
        <v>6.9E-4</v>
      </c>
      <c r="I41" s="173">
        <v>89.0</v>
      </c>
      <c r="J41" s="173">
        <v>0.0</v>
      </c>
      <c r="K41" s="174">
        <v>0.0</v>
      </c>
      <c r="L41" s="175">
        <v>0.0</v>
      </c>
      <c r="M41" s="176">
        <v>120.0</v>
      </c>
      <c r="N41" s="177">
        <v>290.56</v>
      </c>
      <c r="O41" s="154">
        <v>1388.0</v>
      </c>
      <c r="P41" s="132">
        <v>0.0</v>
      </c>
      <c r="Q41" s="132">
        <v>0.0</v>
      </c>
      <c r="R41" s="178">
        <v>0.26</v>
      </c>
      <c r="S41" s="179"/>
      <c r="T41" s="180">
        <v>60.0</v>
      </c>
      <c r="U41" s="154">
        <v>116.18691588785</v>
      </c>
      <c r="V41" s="181">
        <v>0.0</v>
      </c>
      <c r="W41" s="182">
        <v>0.73</v>
      </c>
      <c r="X41" s="218">
        <v>76.0</v>
      </c>
      <c r="Y41" s="184">
        <v>682.5</v>
      </c>
      <c r="Z41" s="184">
        <v>62.0046</v>
      </c>
      <c r="AA41" s="154">
        <v>0.539999999999999</v>
      </c>
      <c r="AB41" s="154">
        <v>98.92</v>
      </c>
      <c r="AC41" s="185">
        <v>4.8</v>
      </c>
      <c r="AD41" s="181">
        <v>210.0</v>
      </c>
      <c r="AE41" s="186"/>
      <c r="AF41" s="187">
        <v>0.0</v>
      </c>
      <c r="AG41" s="180">
        <v>68.2484841121495</v>
      </c>
      <c r="AH41" s="188">
        <v>0.0832582883327838</v>
      </c>
      <c r="AI41" s="189" t="s">
        <v>84</v>
      </c>
      <c r="AJ41" s="190">
        <v>1200.0</v>
      </c>
      <c r="AK41" s="190">
        <f t="shared" si="85"/>
        <v>348672</v>
      </c>
      <c r="AL41" s="191">
        <f t="shared" si="18"/>
        <v>81898.18093</v>
      </c>
    </row>
    <row r="42" ht="24.75" customHeight="1">
      <c r="A42" s="167"/>
      <c r="B42" s="168"/>
      <c r="C42" s="217" t="s">
        <v>117</v>
      </c>
      <c r="D42" s="170" t="s">
        <v>122</v>
      </c>
      <c r="E42" s="173" t="s">
        <v>76</v>
      </c>
      <c r="F42" s="172">
        <v>1.0</v>
      </c>
      <c r="G42" s="173"/>
      <c r="H42" s="173">
        <v>6.9E-4</v>
      </c>
      <c r="I42" s="173">
        <v>89.0</v>
      </c>
      <c r="J42" s="173">
        <v>0.0</v>
      </c>
      <c r="K42" s="174">
        <v>0.0</v>
      </c>
      <c r="L42" s="175">
        <v>0.0</v>
      </c>
      <c r="M42" s="176">
        <v>120.0</v>
      </c>
      <c r="N42" s="177">
        <v>158.75</v>
      </c>
      <c r="O42" s="154">
        <v>969.0</v>
      </c>
      <c r="P42" s="132">
        <v>0.0</v>
      </c>
      <c r="Q42" s="132">
        <v>0.0</v>
      </c>
      <c r="R42" s="178">
        <v>0.26</v>
      </c>
      <c r="S42" s="179"/>
      <c r="T42" s="180">
        <v>60.0</v>
      </c>
      <c r="U42" s="154">
        <v>116.18691588785</v>
      </c>
      <c r="V42" s="181">
        <v>0.0</v>
      </c>
      <c r="W42" s="182">
        <v>0.73</v>
      </c>
      <c r="X42" s="218">
        <v>76.0</v>
      </c>
      <c r="Y42" s="184">
        <v>682.5</v>
      </c>
      <c r="Z42" s="184">
        <v>62.0046</v>
      </c>
      <c r="AA42" s="154">
        <v>0.539999999999999</v>
      </c>
      <c r="AB42" s="154">
        <v>98.92</v>
      </c>
      <c r="AC42" s="185">
        <v>4.8</v>
      </c>
      <c r="AD42" s="181">
        <v>210.0</v>
      </c>
      <c r="AE42" s="186"/>
      <c r="AF42" s="187">
        <v>0.0</v>
      </c>
      <c r="AG42" s="180">
        <v>68.2484841121495</v>
      </c>
      <c r="AH42" s="188">
        <v>0.0832582883327838</v>
      </c>
      <c r="AI42" s="189" t="s">
        <v>84</v>
      </c>
      <c r="AJ42" s="190">
        <v>1020.0</v>
      </c>
      <c r="AK42" s="190">
        <f t="shared" si="85"/>
        <v>161925</v>
      </c>
      <c r="AL42" s="191">
        <f t="shared" si="18"/>
        <v>69613.45379</v>
      </c>
    </row>
    <row r="43" ht="24.75" customHeight="1">
      <c r="A43" s="167"/>
      <c r="B43" s="168"/>
      <c r="C43" s="217" t="s">
        <v>117</v>
      </c>
      <c r="D43" s="170" t="s">
        <v>123</v>
      </c>
      <c r="E43" s="173" t="s">
        <v>76</v>
      </c>
      <c r="F43" s="172">
        <v>1.0</v>
      </c>
      <c r="G43" s="173"/>
      <c r="H43" s="173">
        <v>6.9E-4</v>
      </c>
      <c r="I43" s="173">
        <v>89.0</v>
      </c>
      <c r="J43" s="173">
        <v>0.0</v>
      </c>
      <c r="K43" s="174">
        <v>0.0</v>
      </c>
      <c r="L43" s="175">
        <v>0.0</v>
      </c>
      <c r="M43" s="176">
        <v>120.0</v>
      </c>
      <c r="N43" s="177">
        <v>316.5</v>
      </c>
      <c r="O43" s="154">
        <v>2032.0</v>
      </c>
      <c r="P43" s="132">
        <v>0.0</v>
      </c>
      <c r="Q43" s="132">
        <v>0.0</v>
      </c>
      <c r="R43" s="178">
        <v>0.26</v>
      </c>
      <c r="S43" s="179"/>
      <c r="T43" s="180">
        <v>60.0</v>
      </c>
      <c r="U43" s="154">
        <v>116.18691588785</v>
      </c>
      <c r="V43" s="181">
        <v>0.0</v>
      </c>
      <c r="W43" s="182">
        <v>0.73</v>
      </c>
      <c r="X43" s="218">
        <v>76.0</v>
      </c>
      <c r="Y43" s="184">
        <v>682.5</v>
      </c>
      <c r="Z43" s="184">
        <v>62.0046</v>
      </c>
      <c r="AA43" s="154">
        <v>0.539999999999999</v>
      </c>
      <c r="AB43" s="154">
        <v>98.92</v>
      </c>
      <c r="AC43" s="185">
        <v>4.8</v>
      </c>
      <c r="AD43" s="181">
        <v>210.0</v>
      </c>
      <c r="AE43" s="186"/>
      <c r="AF43" s="187">
        <v>0.0</v>
      </c>
      <c r="AG43" s="180">
        <v>68.2484841121495</v>
      </c>
      <c r="AH43" s="188">
        <v>0.0832582883327838</v>
      </c>
      <c r="AI43" s="189" t="s">
        <v>84</v>
      </c>
      <c r="AJ43" s="190">
        <v>1053.0</v>
      </c>
      <c r="AK43" s="190">
        <f t="shared" si="85"/>
        <v>333274.5</v>
      </c>
      <c r="AL43" s="191">
        <f t="shared" si="18"/>
        <v>71865.65377</v>
      </c>
    </row>
    <row r="44" ht="24.75" customHeight="1">
      <c r="A44" s="167"/>
      <c r="B44" s="168"/>
      <c r="C44" s="217" t="s">
        <v>117</v>
      </c>
      <c r="D44" s="170" t="s">
        <v>124</v>
      </c>
      <c r="E44" s="173" t="s">
        <v>76</v>
      </c>
      <c r="F44" s="172">
        <v>1.0</v>
      </c>
      <c r="G44" s="173"/>
      <c r="H44" s="173">
        <v>6.9E-4</v>
      </c>
      <c r="I44" s="173">
        <v>89.0</v>
      </c>
      <c r="J44" s="173">
        <v>0.0</v>
      </c>
      <c r="K44" s="174">
        <v>0.0</v>
      </c>
      <c r="L44" s="175">
        <v>0.0</v>
      </c>
      <c r="M44" s="176">
        <v>120.0</v>
      </c>
      <c r="N44" s="177">
        <v>261.7</v>
      </c>
      <c r="O44" s="154">
        <v>1520.0</v>
      </c>
      <c r="P44" s="132">
        <v>0.0</v>
      </c>
      <c r="Q44" s="132">
        <v>0.0</v>
      </c>
      <c r="R44" s="178">
        <v>0.32</v>
      </c>
      <c r="S44" s="179">
        <v>0.0</v>
      </c>
      <c r="T44" s="180">
        <v>60.0</v>
      </c>
      <c r="U44" s="154">
        <v>120.493457943925</v>
      </c>
      <c r="V44" s="181">
        <v>0.0</v>
      </c>
      <c r="W44" s="182">
        <v>0.3</v>
      </c>
      <c r="X44" s="218">
        <v>91.0</v>
      </c>
      <c r="Y44" s="184">
        <v>770.25</v>
      </c>
      <c r="Z44" s="184">
        <v>64.30284</v>
      </c>
      <c r="AA44" s="154">
        <v>1.595</v>
      </c>
      <c r="AB44" s="154">
        <v>96.81</v>
      </c>
      <c r="AC44" s="185">
        <v>4.8</v>
      </c>
      <c r="AD44" s="181">
        <v>237.0</v>
      </c>
      <c r="AE44" s="186"/>
      <c r="AF44" s="187">
        <v>0.0</v>
      </c>
      <c r="AG44" s="180">
        <v>397.128702056075</v>
      </c>
      <c r="AH44" s="188">
        <v>0.637006082569134</v>
      </c>
      <c r="AI44" s="189" t="s">
        <v>84</v>
      </c>
      <c r="AJ44" s="190">
        <v>480.0</v>
      </c>
      <c r="AK44" s="190">
        <f t="shared" si="85"/>
        <v>125616</v>
      </c>
      <c r="AL44" s="191">
        <f t="shared" si="18"/>
        <v>190621.777</v>
      </c>
    </row>
    <row r="45" ht="24.75" customHeight="1">
      <c r="A45" s="167"/>
      <c r="B45" s="168"/>
      <c r="C45" s="217" t="s">
        <v>117</v>
      </c>
      <c r="D45" s="170" t="s">
        <v>125</v>
      </c>
      <c r="E45" s="173" t="s">
        <v>76</v>
      </c>
      <c r="F45" s="172">
        <v>1.0</v>
      </c>
      <c r="G45" s="173"/>
      <c r="H45" s="173">
        <v>6.9E-4</v>
      </c>
      <c r="I45" s="173">
        <v>89.0</v>
      </c>
      <c r="J45" s="173">
        <v>0.0</v>
      </c>
      <c r="K45" s="174">
        <v>0.0</v>
      </c>
      <c r="L45" s="175">
        <v>0.0</v>
      </c>
      <c r="M45" s="176">
        <v>120.0</v>
      </c>
      <c r="N45" s="177">
        <v>297.8</v>
      </c>
      <c r="O45" s="154">
        <v>1493.0</v>
      </c>
      <c r="P45" s="132">
        <v>0.0</v>
      </c>
      <c r="Q45" s="132">
        <v>0.0</v>
      </c>
      <c r="R45" s="178">
        <v>0.4</v>
      </c>
      <c r="S45" s="179">
        <v>1170.0</v>
      </c>
      <c r="T45" s="180">
        <v>60.0</v>
      </c>
      <c r="U45" s="154">
        <v>87.4766355140187</v>
      </c>
      <c r="V45" s="181">
        <v>0.0</v>
      </c>
      <c r="W45" s="182">
        <v>0.02</v>
      </c>
      <c r="X45" s="218">
        <v>63.0</v>
      </c>
      <c r="Y45" s="184">
        <v>633.75</v>
      </c>
      <c r="Z45" s="184">
        <v>46.683</v>
      </c>
      <c r="AA45" s="154">
        <v>1.6</v>
      </c>
      <c r="AB45" s="154">
        <v>96.81</v>
      </c>
      <c r="AC45" s="185">
        <v>4.8</v>
      </c>
      <c r="AD45" s="181">
        <v>330.0</v>
      </c>
      <c r="AE45" s="186"/>
      <c r="AF45" s="187">
        <v>0.0</v>
      </c>
      <c r="AG45" s="180">
        <v>150.620364485981</v>
      </c>
      <c r="AH45" s="188">
        <v>0.263290094719145</v>
      </c>
      <c r="AI45" s="189" t="s">
        <v>84</v>
      </c>
      <c r="AJ45" s="190">
        <v>400.0</v>
      </c>
      <c r="AK45" s="190">
        <f t="shared" si="85"/>
        <v>119120</v>
      </c>
      <c r="AL45" s="191">
        <f t="shared" si="18"/>
        <v>60248.14579</v>
      </c>
    </row>
    <row r="46" ht="24.75" customHeight="1">
      <c r="A46" s="167"/>
      <c r="B46" s="168"/>
      <c r="C46" s="217" t="s">
        <v>117</v>
      </c>
      <c r="D46" s="170" t="s">
        <v>126</v>
      </c>
      <c r="E46" s="173" t="s">
        <v>76</v>
      </c>
      <c r="F46" s="172">
        <v>1.0</v>
      </c>
      <c r="G46" s="173"/>
      <c r="H46" s="173">
        <v>6.9E-4</v>
      </c>
      <c r="I46" s="173">
        <v>89.0</v>
      </c>
      <c r="J46" s="173">
        <v>0.0</v>
      </c>
      <c r="K46" s="174">
        <v>0.0</v>
      </c>
      <c r="L46" s="175">
        <v>0.0</v>
      </c>
      <c r="M46" s="176">
        <v>120.0</v>
      </c>
      <c r="N46" s="177">
        <v>414.3</v>
      </c>
      <c r="O46" s="154">
        <v>2836.0</v>
      </c>
      <c r="P46" s="132">
        <v>0.0</v>
      </c>
      <c r="Q46" s="132">
        <v>0.0</v>
      </c>
      <c r="R46" s="178">
        <v>0.26</v>
      </c>
      <c r="S46" s="179"/>
      <c r="T46" s="180">
        <v>60.0</v>
      </c>
      <c r="U46" s="154">
        <v>116.18691588785</v>
      </c>
      <c r="V46" s="181">
        <v>0.0</v>
      </c>
      <c r="W46" s="182">
        <v>0.73</v>
      </c>
      <c r="X46" s="218">
        <v>76.0</v>
      </c>
      <c r="Y46" s="184">
        <v>682.5</v>
      </c>
      <c r="Z46" s="184">
        <v>62.0046</v>
      </c>
      <c r="AA46" s="154">
        <v>0.539999999999999</v>
      </c>
      <c r="AB46" s="154">
        <v>98.92</v>
      </c>
      <c r="AC46" s="185">
        <v>4.8</v>
      </c>
      <c r="AD46" s="181">
        <v>210.0</v>
      </c>
      <c r="AE46" s="186"/>
      <c r="AF46" s="187">
        <v>0.0</v>
      </c>
      <c r="AG46" s="180">
        <v>68.2484841121495</v>
      </c>
      <c r="AH46" s="188">
        <v>0.0832582883327838</v>
      </c>
      <c r="AI46" s="189" t="s">
        <v>84</v>
      </c>
      <c r="AJ46" s="190">
        <v>420.0</v>
      </c>
      <c r="AK46" s="190">
        <f t="shared" si="85"/>
        <v>174006</v>
      </c>
      <c r="AL46" s="191">
        <f t="shared" si="18"/>
        <v>28664.36333</v>
      </c>
    </row>
    <row r="47" ht="24.75" customHeight="1">
      <c r="A47" s="193"/>
      <c r="B47" s="194"/>
      <c r="C47" s="219"/>
      <c r="D47" s="196"/>
      <c r="E47" s="199"/>
      <c r="F47" s="198"/>
      <c r="G47" s="199"/>
      <c r="H47" s="199"/>
      <c r="I47" s="199"/>
      <c r="J47" s="199"/>
      <c r="K47" s="200"/>
      <c r="L47" s="201"/>
      <c r="M47" s="129"/>
      <c r="N47" s="202"/>
      <c r="O47" s="154"/>
      <c r="P47" s="132"/>
      <c r="Q47" s="133"/>
      <c r="R47" s="203"/>
      <c r="S47" s="204"/>
      <c r="T47" s="205"/>
      <c r="U47" s="206"/>
      <c r="V47" s="207"/>
      <c r="W47" s="208"/>
      <c r="X47" s="251"/>
      <c r="Y47" s="210"/>
      <c r="Z47" s="210"/>
      <c r="AA47" s="206"/>
      <c r="AB47" s="206"/>
      <c r="AC47" s="211"/>
      <c r="AD47" s="207"/>
      <c r="AE47" s="212"/>
      <c r="AF47" s="213"/>
      <c r="AG47" s="205"/>
      <c r="AH47" s="214"/>
      <c r="AI47" s="214"/>
      <c r="AJ47" s="214"/>
      <c r="AK47" s="216"/>
      <c r="AL47" s="191">
        <f t="shared" si="18"/>
        <v>0</v>
      </c>
    </row>
    <row r="48" ht="24.75" customHeight="1">
      <c r="A48" s="167"/>
      <c r="B48" s="168" t="s">
        <v>127</v>
      </c>
      <c r="C48" s="217"/>
      <c r="D48" s="170" t="s">
        <v>128</v>
      </c>
      <c r="E48" s="173" t="s">
        <v>76</v>
      </c>
      <c r="F48" s="172">
        <v>1.0</v>
      </c>
      <c r="G48" s="173"/>
      <c r="H48" s="173">
        <f t="shared" ref="H48:H50" si="86">$I$2</f>
        <v>0.00069</v>
      </c>
      <c r="I48" s="173">
        <f t="shared" ref="I48:I50" si="87">$I$3</f>
        <v>89</v>
      </c>
      <c r="J48" s="173">
        <f t="shared" ref="J48:J50" si="88">G48*H48*I48*F48</f>
        <v>0</v>
      </c>
      <c r="K48" s="174">
        <f t="shared" ref="K48:K50" si="89">J48*$J$4</f>
        <v>0</v>
      </c>
      <c r="L48" s="175">
        <f t="shared" ref="L48:L50" si="90">K48+J48</f>
        <v>0</v>
      </c>
      <c r="M48" s="176">
        <v>120.0</v>
      </c>
      <c r="N48" s="177">
        <v>581.5</v>
      </c>
      <c r="O48" s="192">
        <v>1750.0</v>
      </c>
      <c r="P48" s="132">
        <f t="shared" ref="P48:P49" si="91">O48</f>
        <v>1750</v>
      </c>
      <c r="Q48" s="132" t="s">
        <v>77</v>
      </c>
      <c r="R48" s="178">
        <v>0.3</v>
      </c>
      <c r="S48" s="179">
        <f t="shared" ref="S48:S50" si="92">O48-(O48*R48)</f>
        <v>1225</v>
      </c>
      <c r="T48" s="180">
        <f t="shared" ref="T48:T50" si="93">$C$1</f>
        <v>60</v>
      </c>
      <c r="U48" s="154">
        <f t="shared" ref="U48:U50" si="94">(S48*7/107)+((S48-(S48*7/107))*1%)</f>
        <v>91.58878505</v>
      </c>
      <c r="V48" s="181">
        <f t="shared" ref="V48:V50" si="95">N48*$C$3*(M48/30)</f>
        <v>0</v>
      </c>
      <c r="W48" s="182">
        <v>0.73</v>
      </c>
      <c r="X48" s="218">
        <v>76.0</v>
      </c>
      <c r="Y48" s="184">
        <f t="shared" ref="Y48:Y50" si="96">O48*$Y$6</f>
        <v>568.75</v>
      </c>
      <c r="Z48" s="184">
        <f t="shared" ref="Z48:Z50" si="97">S48*$Y$7</f>
        <v>48.8775</v>
      </c>
      <c r="AA48" s="154">
        <f t="shared" ref="AA48:AA50" si="98">$Y$3*((100-AB48)/100)</f>
        <v>5.88</v>
      </c>
      <c r="AB48" s="154">
        <v>88.24</v>
      </c>
      <c r="AC48" s="185">
        <v>14.4</v>
      </c>
      <c r="AD48" s="181">
        <f t="shared" ref="AD48:AD50" si="99">O48*$C$2</f>
        <v>175</v>
      </c>
      <c r="AE48" s="186"/>
      <c r="AF48" s="187">
        <v>0.0</v>
      </c>
      <c r="AG48" s="180">
        <f t="shared" ref="AG48:AG50" si="100">O48-T48-U48-V48-X48-Y48-Z48-AA48-AC48-AD48-N48</f>
        <v>128.003715</v>
      </c>
      <c r="AH48" s="188">
        <f t="shared" ref="AH48:AH50" si="101">AG48/N48</f>
        <v>0.2201267669</v>
      </c>
      <c r="AI48" s="189" t="s">
        <v>84</v>
      </c>
      <c r="AJ48" s="190">
        <v>920.0</v>
      </c>
      <c r="AK48" s="190">
        <f t="shared" ref="AK48:AK50" si="102">PRODUCT(AJ48*N48)</f>
        <v>534980</v>
      </c>
      <c r="AL48" s="191">
        <f t="shared" si="18"/>
        <v>117763.4178</v>
      </c>
    </row>
    <row r="49" ht="24.75" customHeight="1">
      <c r="A49" s="167"/>
      <c r="B49" s="168" t="s">
        <v>129</v>
      </c>
      <c r="C49" s="217"/>
      <c r="D49" s="170" t="s">
        <v>130</v>
      </c>
      <c r="E49" s="173" t="s">
        <v>76</v>
      </c>
      <c r="F49" s="172">
        <v>1.0</v>
      </c>
      <c r="G49" s="173"/>
      <c r="H49" s="173">
        <f t="shared" si="86"/>
        <v>0.00069</v>
      </c>
      <c r="I49" s="173">
        <f t="shared" si="87"/>
        <v>89</v>
      </c>
      <c r="J49" s="173">
        <f t="shared" si="88"/>
        <v>0</v>
      </c>
      <c r="K49" s="174">
        <f t="shared" si="89"/>
        <v>0</v>
      </c>
      <c r="L49" s="175">
        <f t="shared" si="90"/>
        <v>0</v>
      </c>
      <c r="M49" s="176">
        <v>120.0</v>
      </c>
      <c r="N49" s="177">
        <v>465.44</v>
      </c>
      <c r="O49" s="192">
        <v>1400.0</v>
      </c>
      <c r="P49" s="132">
        <f t="shared" si="91"/>
        <v>1400</v>
      </c>
      <c r="Q49" s="132" t="s">
        <v>77</v>
      </c>
      <c r="R49" s="178">
        <v>0.3</v>
      </c>
      <c r="S49" s="179">
        <f t="shared" si="92"/>
        <v>980</v>
      </c>
      <c r="T49" s="180">
        <f t="shared" si="93"/>
        <v>60</v>
      </c>
      <c r="U49" s="154">
        <f t="shared" si="94"/>
        <v>73.27102804</v>
      </c>
      <c r="V49" s="181">
        <f t="shared" si="95"/>
        <v>0</v>
      </c>
      <c r="W49" s="182">
        <v>0.3</v>
      </c>
      <c r="X49" s="218">
        <v>76.0</v>
      </c>
      <c r="Y49" s="184">
        <f t="shared" si="96"/>
        <v>455</v>
      </c>
      <c r="Z49" s="184">
        <f t="shared" si="97"/>
        <v>39.102</v>
      </c>
      <c r="AA49" s="154">
        <f t="shared" si="98"/>
        <v>7.145</v>
      </c>
      <c r="AB49" s="154">
        <v>85.71</v>
      </c>
      <c r="AC49" s="185">
        <v>4.8</v>
      </c>
      <c r="AD49" s="181">
        <f t="shared" si="99"/>
        <v>140</v>
      </c>
      <c r="AE49" s="186"/>
      <c r="AF49" s="187">
        <v>0.0</v>
      </c>
      <c r="AG49" s="180">
        <f t="shared" si="100"/>
        <v>79.24197196</v>
      </c>
      <c r="AH49" s="188">
        <f t="shared" si="101"/>
        <v>0.1702517445</v>
      </c>
      <c r="AI49" s="189" t="s">
        <v>84</v>
      </c>
      <c r="AJ49" s="190">
        <v>1500.0</v>
      </c>
      <c r="AK49" s="190">
        <f t="shared" si="102"/>
        <v>698160</v>
      </c>
      <c r="AL49" s="191">
        <f t="shared" si="18"/>
        <v>118862.9579</v>
      </c>
    </row>
    <row r="50" ht="24.75" customHeight="1">
      <c r="A50" s="167"/>
      <c r="B50" s="168" t="s">
        <v>131</v>
      </c>
      <c r="C50" s="217"/>
      <c r="D50" s="170" t="s">
        <v>132</v>
      </c>
      <c r="E50" s="173" t="s">
        <v>76</v>
      </c>
      <c r="F50" s="172">
        <v>1.0</v>
      </c>
      <c r="G50" s="173"/>
      <c r="H50" s="173">
        <f t="shared" si="86"/>
        <v>0.00069</v>
      </c>
      <c r="I50" s="173">
        <f t="shared" si="87"/>
        <v>89</v>
      </c>
      <c r="J50" s="173">
        <f t="shared" si="88"/>
        <v>0</v>
      </c>
      <c r="K50" s="174">
        <f t="shared" si="89"/>
        <v>0</v>
      </c>
      <c r="L50" s="175">
        <f t="shared" si="90"/>
        <v>0</v>
      </c>
      <c r="M50" s="176">
        <v>120.0</v>
      </c>
      <c r="N50" s="177">
        <v>599.55</v>
      </c>
      <c r="O50" s="154">
        <v>1900.0</v>
      </c>
      <c r="P50" s="252">
        <v>0.0</v>
      </c>
      <c r="Q50" s="132"/>
      <c r="R50" s="178">
        <v>0.26</v>
      </c>
      <c r="S50" s="179">
        <f t="shared" si="92"/>
        <v>1406</v>
      </c>
      <c r="T50" s="180">
        <f t="shared" si="93"/>
        <v>60</v>
      </c>
      <c r="U50" s="154">
        <f t="shared" si="94"/>
        <v>105.1214953</v>
      </c>
      <c r="V50" s="181">
        <f t="shared" si="95"/>
        <v>0</v>
      </c>
      <c r="W50" s="182">
        <v>0.61</v>
      </c>
      <c r="X50" s="218">
        <v>76.0</v>
      </c>
      <c r="Y50" s="184">
        <f t="shared" si="96"/>
        <v>617.5</v>
      </c>
      <c r="Z50" s="184">
        <f t="shared" si="97"/>
        <v>56.0994</v>
      </c>
      <c r="AA50" s="154">
        <f t="shared" si="98"/>
        <v>4.86</v>
      </c>
      <c r="AB50" s="154">
        <v>90.28</v>
      </c>
      <c r="AC50" s="185">
        <v>4.8</v>
      </c>
      <c r="AD50" s="181">
        <f t="shared" si="99"/>
        <v>190</v>
      </c>
      <c r="AE50" s="186"/>
      <c r="AF50" s="187">
        <v>0.0</v>
      </c>
      <c r="AG50" s="180">
        <f t="shared" si="100"/>
        <v>186.0691047</v>
      </c>
      <c r="AH50" s="188">
        <f t="shared" si="101"/>
        <v>0.3103479354</v>
      </c>
      <c r="AI50" s="189" t="s">
        <v>84</v>
      </c>
      <c r="AJ50" s="190">
        <v>900.0</v>
      </c>
      <c r="AK50" s="190">
        <f t="shared" si="102"/>
        <v>539595</v>
      </c>
      <c r="AL50" s="191">
        <f t="shared" si="18"/>
        <v>167462.1942</v>
      </c>
    </row>
    <row r="51" ht="24.75" customHeight="1">
      <c r="A51" s="193"/>
      <c r="B51" s="253" t="s">
        <v>133</v>
      </c>
      <c r="C51" s="254"/>
      <c r="D51" s="196"/>
      <c r="E51" s="199"/>
      <c r="F51" s="199"/>
      <c r="G51" s="199"/>
      <c r="H51" s="199"/>
      <c r="I51" s="199"/>
      <c r="J51" s="199"/>
      <c r="K51" s="200"/>
      <c r="L51" s="201"/>
      <c r="M51" s="129"/>
      <c r="N51" s="130"/>
      <c r="O51" s="131"/>
      <c r="P51" s="132"/>
      <c r="Q51" s="133"/>
      <c r="R51" s="134"/>
      <c r="S51" s="135"/>
      <c r="T51" s="205"/>
      <c r="U51" s="206"/>
      <c r="V51" s="207"/>
      <c r="W51" s="208"/>
      <c r="X51" s="255"/>
      <c r="Y51" s="210"/>
      <c r="Z51" s="210"/>
      <c r="AA51" s="206"/>
      <c r="AB51" s="206"/>
      <c r="AC51" s="256"/>
      <c r="AD51" s="207"/>
      <c r="AE51" s="212"/>
      <c r="AF51" s="213"/>
      <c r="AG51" s="205"/>
      <c r="AH51" s="214"/>
      <c r="AI51" s="214"/>
      <c r="AJ51" s="216"/>
      <c r="AK51" s="216"/>
      <c r="AL51" s="191">
        <f t="shared" si="18"/>
        <v>0</v>
      </c>
    </row>
    <row r="52" ht="33.0" customHeight="1">
      <c r="A52" s="167"/>
      <c r="B52" s="168" t="s">
        <v>134</v>
      </c>
      <c r="C52" s="217" t="s">
        <v>135</v>
      </c>
      <c r="D52" s="257" t="s">
        <v>136</v>
      </c>
      <c r="E52" s="173" t="s">
        <v>76</v>
      </c>
      <c r="F52" s="172">
        <v>1.0</v>
      </c>
      <c r="G52" s="173"/>
      <c r="H52" s="173">
        <f t="shared" ref="H52:H53" si="103">$I$2</f>
        <v>0.00069</v>
      </c>
      <c r="I52" s="173">
        <f t="shared" ref="I52:I53" si="104">$I$3</f>
        <v>89</v>
      </c>
      <c r="J52" s="173">
        <f t="shared" ref="J52:J53" si="105">G52*H52*I52*F52</f>
        <v>0</v>
      </c>
      <c r="K52" s="174">
        <f t="shared" ref="K52:K53" si="106">J52*$J$4</f>
        <v>0</v>
      </c>
      <c r="L52" s="175">
        <f t="shared" ref="L52:L53" si="107">K52+J52</f>
        <v>0</v>
      </c>
      <c r="M52" s="176">
        <v>120.0</v>
      </c>
      <c r="N52" s="177">
        <v>909.03</v>
      </c>
      <c r="O52" s="258">
        <v>2400.0</v>
      </c>
      <c r="P52" s="258">
        <v>2400.0</v>
      </c>
      <c r="Q52" s="132"/>
      <c r="R52" s="178">
        <v>0.3</v>
      </c>
      <c r="S52" s="179">
        <f t="shared" ref="S52:S53" si="108">O52-(O52*R52)</f>
        <v>1680</v>
      </c>
      <c r="T52" s="180">
        <f t="shared" ref="T52:T53" si="109">$C$1</f>
        <v>60</v>
      </c>
      <c r="U52" s="154">
        <f t="shared" ref="U52:U53" si="110">(S52*7/107)+((S52-(S52*7/107))*1%)</f>
        <v>125.6074766</v>
      </c>
      <c r="V52" s="181">
        <f t="shared" ref="V52:V53" si="111">N52*$C$3*(M52/30)</f>
        <v>0</v>
      </c>
      <c r="W52" s="182">
        <v>0.26</v>
      </c>
      <c r="X52" s="218">
        <v>76.0</v>
      </c>
      <c r="Y52" s="184">
        <f t="shared" ref="Y52:Y53" si="112">O52*$Y$6</f>
        <v>780</v>
      </c>
      <c r="Z52" s="184">
        <f t="shared" ref="Z52:Z53" si="113">S52*$Y$7</f>
        <v>67.032</v>
      </c>
      <c r="AA52" s="154">
        <f t="shared" ref="AA52:AA53" si="114">$Y$3*((100-AB52)/100)</f>
        <v>6.45</v>
      </c>
      <c r="AB52" s="154">
        <v>87.1</v>
      </c>
      <c r="AC52" s="185">
        <v>4.8</v>
      </c>
      <c r="AD52" s="181">
        <f t="shared" ref="AD52:AD56" si="115">O52*$C$2</f>
        <v>240</v>
      </c>
      <c r="AE52" s="186"/>
      <c r="AF52" s="187">
        <v>0.0</v>
      </c>
      <c r="AG52" s="259">
        <f t="shared" ref="AG52:AG53" si="116">O52-T52-U52-V52-X52-Y52-Z52-AA52-AC52-AD52-N52</f>
        <v>131.0805234</v>
      </c>
      <c r="AH52" s="188">
        <f t="shared" ref="AH52:AH53" si="117">AG52/N52</f>
        <v>0.144198237</v>
      </c>
      <c r="AI52" s="189" t="s">
        <v>84</v>
      </c>
      <c r="AJ52" s="190">
        <v>594.0</v>
      </c>
      <c r="AK52" s="190">
        <f t="shared" ref="AK52:AK56" si="118">PRODUCT(AJ52*N52)</f>
        <v>539963.82</v>
      </c>
      <c r="AL52" s="191">
        <f t="shared" si="18"/>
        <v>77861.83088</v>
      </c>
    </row>
    <row r="53" ht="33.0" customHeight="1">
      <c r="A53" s="167"/>
      <c r="B53" s="168" t="s">
        <v>134</v>
      </c>
      <c r="C53" s="217" t="s">
        <v>135</v>
      </c>
      <c r="D53" s="257" t="s">
        <v>137</v>
      </c>
      <c r="E53" s="173" t="s">
        <v>76</v>
      </c>
      <c r="F53" s="172">
        <v>1.0</v>
      </c>
      <c r="G53" s="173"/>
      <c r="H53" s="173">
        <f t="shared" si="103"/>
        <v>0.00069</v>
      </c>
      <c r="I53" s="173">
        <f t="shared" si="104"/>
        <v>89</v>
      </c>
      <c r="J53" s="173">
        <f t="shared" si="105"/>
        <v>0</v>
      </c>
      <c r="K53" s="174">
        <f t="shared" si="106"/>
        <v>0</v>
      </c>
      <c r="L53" s="175">
        <f t="shared" si="107"/>
        <v>0</v>
      </c>
      <c r="M53" s="176">
        <v>120.0</v>
      </c>
      <c r="N53" s="177">
        <v>774.53</v>
      </c>
      <c r="O53" s="154">
        <v>2100.0</v>
      </c>
      <c r="P53" s="132">
        <v>0.0</v>
      </c>
      <c r="Q53" s="132"/>
      <c r="R53" s="178">
        <v>0.37</v>
      </c>
      <c r="S53" s="179">
        <f t="shared" si="108"/>
        <v>1323</v>
      </c>
      <c r="T53" s="180">
        <f t="shared" si="109"/>
        <v>60</v>
      </c>
      <c r="U53" s="154">
        <f t="shared" si="110"/>
        <v>98.91588785</v>
      </c>
      <c r="V53" s="181">
        <f t="shared" si="111"/>
        <v>0</v>
      </c>
      <c r="W53" s="182">
        <v>0.26</v>
      </c>
      <c r="X53" s="218">
        <v>76.0</v>
      </c>
      <c r="Y53" s="184">
        <f t="shared" si="112"/>
        <v>682.5</v>
      </c>
      <c r="Z53" s="184">
        <f t="shared" si="113"/>
        <v>52.7877</v>
      </c>
      <c r="AA53" s="154">
        <f t="shared" si="114"/>
        <v>6.45</v>
      </c>
      <c r="AB53" s="154">
        <v>87.1</v>
      </c>
      <c r="AC53" s="185">
        <v>4.8</v>
      </c>
      <c r="AD53" s="181">
        <f t="shared" si="115"/>
        <v>210</v>
      </c>
      <c r="AE53" s="186"/>
      <c r="AF53" s="187">
        <v>0.0</v>
      </c>
      <c r="AG53" s="180">
        <f t="shared" si="116"/>
        <v>134.0164121</v>
      </c>
      <c r="AH53" s="188">
        <f t="shared" si="117"/>
        <v>0.1730293367</v>
      </c>
      <c r="AI53" s="189" t="s">
        <v>84</v>
      </c>
      <c r="AJ53" s="190">
        <v>216.0</v>
      </c>
      <c r="AK53" s="190">
        <f t="shared" si="118"/>
        <v>167298.48</v>
      </c>
      <c r="AL53" s="191">
        <f t="shared" si="18"/>
        <v>28947.54502</v>
      </c>
    </row>
    <row r="54" ht="33.0" customHeight="1">
      <c r="A54" s="167"/>
      <c r="B54" s="168" t="s">
        <v>134</v>
      </c>
      <c r="C54" s="217" t="s">
        <v>135</v>
      </c>
      <c r="D54" s="257" t="s">
        <v>138</v>
      </c>
      <c r="E54" s="173" t="s">
        <v>76</v>
      </c>
      <c r="F54" s="172">
        <v>1.0</v>
      </c>
      <c r="G54" s="173"/>
      <c r="H54" s="173">
        <v>6.9E-4</v>
      </c>
      <c r="I54" s="173">
        <v>89.0</v>
      </c>
      <c r="J54" s="173">
        <v>0.0</v>
      </c>
      <c r="K54" s="174">
        <v>0.0</v>
      </c>
      <c r="L54" s="175">
        <v>0.0</v>
      </c>
      <c r="M54" s="176">
        <v>120.0</v>
      </c>
      <c r="N54" s="177">
        <v>871.37</v>
      </c>
      <c r="O54" s="258">
        <v>2500.0</v>
      </c>
      <c r="P54" s="132">
        <v>0.0</v>
      </c>
      <c r="Q54" s="132"/>
      <c r="R54" s="178">
        <v>0.3</v>
      </c>
      <c r="S54" s="260">
        <v>1700.0</v>
      </c>
      <c r="T54" s="180">
        <v>60.0</v>
      </c>
      <c r="U54" s="154">
        <v>80.0747663551402</v>
      </c>
      <c r="V54" s="181">
        <v>0.0</v>
      </c>
      <c r="W54" s="182">
        <v>0.26</v>
      </c>
      <c r="X54" s="218">
        <v>76.0</v>
      </c>
      <c r="Y54" s="184">
        <v>552.5</v>
      </c>
      <c r="Z54" s="184">
        <v>42.7329</v>
      </c>
      <c r="AA54" s="154">
        <v>6.45</v>
      </c>
      <c r="AB54" s="154">
        <v>87.1</v>
      </c>
      <c r="AC54" s="185">
        <v>4.8</v>
      </c>
      <c r="AD54" s="181">
        <f t="shared" si="115"/>
        <v>250</v>
      </c>
      <c r="AE54" s="186"/>
      <c r="AF54" s="187">
        <v>0.0</v>
      </c>
      <c r="AG54" s="261">
        <v>-14.5976663551401</v>
      </c>
      <c r="AH54" s="188">
        <v>-0.0202172543836076</v>
      </c>
      <c r="AI54" s="189" t="s">
        <v>84</v>
      </c>
      <c r="AJ54" s="190">
        <v>540.0</v>
      </c>
      <c r="AK54" s="190">
        <f t="shared" si="118"/>
        <v>470539.8</v>
      </c>
      <c r="AL54" s="191">
        <f t="shared" si="18"/>
        <v>-7882.739832</v>
      </c>
    </row>
    <row r="55" ht="24.75" customHeight="1">
      <c r="A55" s="167"/>
      <c r="B55" s="168" t="s">
        <v>139</v>
      </c>
      <c r="C55" s="217" t="s">
        <v>135</v>
      </c>
      <c r="D55" s="170" t="s">
        <v>140</v>
      </c>
      <c r="E55" s="173" t="s">
        <v>76</v>
      </c>
      <c r="F55" s="172">
        <v>1.0</v>
      </c>
      <c r="G55" s="173"/>
      <c r="H55" s="173">
        <f t="shared" ref="H55:H56" si="119">$I$2</f>
        <v>0.00069</v>
      </c>
      <c r="I55" s="173">
        <f t="shared" ref="I55:I56" si="120">$I$3</f>
        <v>89</v>
      </c>
      <c r="J55" s="173">
        <f>G55*H55*I55*F55</f>
        <v>0</v>
      </c>
      <c r="K55" s="174">
        <f>J55*$J$4</f>
        <v>0</v>
      </c>
      <c r="L55" s="175">
        <f>K55+J55</f>
        <v>0</v>
      </c>
      <c r="M55" s="176">
        <v>120.0</v>
      </c>
      <c r="N55" s="177">
        <v>1006.17</v>
      </c>
      <c r="O55" s="258">
        <v>2700.0</v>
      </c>
      <c r="P55" s="132">
        <v>0.0</v>
      </c>
      <c r="Q55" s="132">
        <v>0.0</v>
      </c>
      <c r="R55" s="178">
        <v>0.3</v>
      </c>
      <c r="S55" s="179">
        <f t="shared" ref="S55:S56" si="121">O55-(O55*R55)</f>
        <v>1890</v>
      </c>
      <c r="T55" s="180">
        <f t="shared" ref="T55:T56" si="122">$C$1</f>
        <v>60</v>
      </c>
      <c r="U55" s="154">
        <f t="shared" ref="U55:U56" si="123">(S55*7/107)+((S55-(S55*7/107))*1%)</f>
        <v>141.3084112</v>
      </c>
      <c r="V55" s="181">
        <f t="shared" ref="V55:V56" si="124">N55*$C$3*(M55/30)</f>
        <v>0</v>
      </c>
      <c r="W55" s="182">
        <v>0.73</v>
      </c>
      <c r="X55" s="218">
        <v>76.0</v>
      </c>
      <c r="Y55" s="184">
        <f t="shared" ref="Y55:Y56" si="125">O55*$Y$6</f>
        <v>877.5</v>
      </c>
      <c r="Z55" s="184">
        <f t="shared" ref="Z55:Z56" si="126">S55*$Y$7</f>
        <v>75.411</v>
      </c>
      <c r="AA55" s="154">
        <f t="shared" ref="AA55:AA56" si="127">$Y$3*((100-AB55)/100)</f>
        <v>8.62</v>
      </c>
      <c r="AB55" s="154">
        <v>82.76</v>
      </c>
      <c r="AC55" s="185">
        <v>4.8</v>
      </c>
      <c r="AD55" s="181">
        <f t="shared" si="115"/>
        <v>270</v>
      </c>
      <c r="AE55" s="186"/>
      <c r="AF55" s="187">
        <v>0.0</v>
      </c>
      <c r="AG55" s="259">
        <f t="shared" ref="AG55:AG56" si="128">O55-T55-U55-V55-X55-Y55-Z55-AA55-AC55-AD55-N55</f>
        <v>180.1905888</v>
      </c>
      <c r="AH55" s="188">
        <f t="shared" ref="AH55:AH56" si="129">AG55/N55</f>
        <v>0.1790856304</v>
      </c>
      <c r="AI55" s="189" t="s">
        <v>84</v>
      </c>
      <c r="AJ55" s="190">
        <v>120.0</v>
      </c>
      <c r="AK55" s="190">
        <f t="shared" si="118"/>
        <v>120740.4</v>
      </c>
      <c r="AL55" s="191">
        <f t="shared" si="18"/>
        <v>21622.87065</v>
      </c>
    </row>
    <row r="56" ht="24.75" customHeight="1">
      <c r="A56" s="262"/>
      <c r="B56" s="263"/>
      <c r="C56" s="264" t="s">
        <v>135</v>
      </c>
      <c r="D56" s="265" t="s">
        <v>141</v>
      </c>
      <c r="E56" s="266"/>
      <c r="F56" s="267">
        <v>1.0</v>
      </c>
      <c r="G56" s="266"/>
      <c r="H56" s="266">
        <f t="shared" si="119"/>
        <v>0.00069</v>
      </c>
      <c r="I56" s="266">
        <f t="shared" si="120"/>
        <v>89</v>
      </c>
      <c r="J56" s="266">
        <v>0.0</v>
      </c>
      <c r="K56" s="268">
        <v>0.0</v>
      </c>
      <c r="L56" s="269">
        <v>0.0</v>
      </c>
      <c r="M56" s="270">
        <v>120.0</v>
      </c>
      <c r="N56" s="271">
        <v>896.49</v>
      </c>
      <c r="O56" s="272">
        <v>3000.0</v>
      </c>
      <c r="P56" s="273">
        <v>0.0</v>
      </c>
      <c r="Q56" s="273">
        <v>0.0</v>
      </c>
      <c r="R56" s="274">
        <v>0.3</v>
      </c>
      <c r="S56" s="179">
        <f t="shared" si="121"/>
        <v>2100</v>
      </c>
      <c r="T56" s="180">
        <f t="shared" si="122"/>
        <v>60</v>
      </c>
      <c r="U56" s="154">
        <f t="shared" si="123"/>
        <v>157.0093458</v>
      </c>
      <c r="V56" s="181">
        <f t="shared" si="124"/>
        <v>0</v>
      </c>
      <c r="W56" s="182">
        <v>1.73</v>
      </c>
      <c r="X56" s="218">
        <v>76.0</v>
      </c>
      <c r="Y56" s="184">
        <f t="shared" si="125"/>
        <v>975</v>
      </c>
      <c r="Z56" s="184">
        <f t="shared" si="126"/>
        <v>83.79</v>
      </c>
      <c r="AA56" s="154">
        <f t="shared" si="127"/>
        <v>8.12</v>
      </c>
      <c r="AB56" s="154">
        <v>83.76</v>
      </c>
      <c r="AC56" s="185">
        <v>4.8</v>
      </c>
      <c r="AD56" s="181">
        <f t="shared" si="115"/>
        <v>300</v>
      </c>
      <c r="AE56" s="275"/>
      <c r="AF56" s="276">
        <v>0.0</v>
      </c>
      <c r="AG56" s="259">
        <f t="shared" si="128"/>
        <v>438.7906542</v>
      </c>
      <c r="AH56" s="188">
        <f t="shared" si="129"/>
        <v>0.4894540421</v>
      </c>
      <c r="AI56" s="189" t="s">
        <v>84</v>
      </c>
      <c r="AJ56" s="277">
        <v>180.0</v>
      </c>
      <c r="AK56" s="190">
        <f t="shared" si="118"/>
        <v>161368.2</v>
      </c>
      <c r="AL56" s="191">
        <f t="shared" si="18"/>
        <v>78982.31776</v>
      </c>
    </row>
    <row r="57" ht="24.75" customHeight="1">
      <c r="A57" s="278"/>
      <c r="B57" s="279"/>
      <c r="C57" s="280"/>
      <c r="D57" s="281"/>
      <c r="E57" s="282"/>
      <c r="F57" s="283"/>
      <c r="G57" s="284"/>
      <c r="H57" s="284"/>
      <c r="I57" s="284"/>
      <c r="J57" s="284"/>
      <c r="K57" s="285"/>
      <c r="L57" s="286"/>
      <c r="M57" s="287"/>
      <c r="N57" s="288"/>
      <c r="O57" s="289"/>
      <c r="P57" s="273"/>
      <c r="Q57" s="290"/>
      <c r="R57" s="291"/>
      <c r="S57" s="204"/>
      <c r="T57" s="292"/>
      <c r="U57" s="206"/>
      <c r="V57" s="293"/>
      <c r="W57" s="208"/>
      <c r="X57" s="294"/>
      <c r="Y57" s="295"/>
      <c r="Z57" s="295"/>
      <c r="AA57" s="296"/>
      <c r="AB57" s="296"/>
      <c r="AC57" s="297"/>
      <c r="AD57" s="293"/>
      <c r="AE57" s="298"/>
      <c r="AF57" s="299"/>
      <c r="AG57" s="292"/>
      <c r="AH57" s="300"/>
      <c r="AI57" s="300"/>
      <c r="AJ57" s="301"/>
      <c r="AK57" s="301"/>
      <c r="AL57" s="301"/>
    </row>
    <row r="58" ht="24.75" customHeight="1">
      <c r="A58" s="167"/>
      <c r="B58" s="11"/>
      <c r="C58" s="217" t="s">
        <v>142</v>
      </c>
      <c r="D58" s="302" t="s">
        <v>143</v>
      </c>
      <c r="E58" s="303" t="s">
        <v>76</v>
      </c>
      <c r="F58" s="172">
        <v>1.0</v>
      </c>
      <c r="G58" s="173"/>
      <c r="H58" s="173">
        <f>$I$2</f>
        <v>0.00069</v>
      </c>
      <c r="I58" s="173">
        <f>$I$3</f>
        <v>89</v>
      </c>
      <c r="J58" s="173">
        <f>G58*H58*I58*F58</f>
        <v>0</v>
      </c>
      <c r="K58" s="174">
        <f>J58*$J$4</f>
        <v>0</v>
      </c>
      <c r="L58" s="175">
        <f>K58+J58</f>
        <v>0</v>
      </c>
      <c r="M58" s="176">
        <v>120.0</v>
      </c>
      <c r="N58" s="177">
        <v>592.06</v>
      </c>
      <c r="O58" s="154">
        <v>2050.0</v>
      </c>
      <c r="P58" s="132">
        <v>0.0</v>
      </c>
      <c r="Q58" s="132">
        <v>0.0</v>
      </c>
      <c r="R58" s="178">
        <v>0.3</v>
      </c>
      <c r="S58" s="179">
        <v>0.0</v>
      </c>
      <c r="T58" s="304">
        <f>$C$1</f>
        <v>60</v>
      </c>
      <c r="U58" s="154">
        <f>(S58*7/107)+((S58-(S58*7/107))*1%)</f>
        <v>0</v>
      </c>
      <c r="V58" s="305">
        <f>N58*$C$3*(M58/30)</f>
        <v>0</v>
      </c>
      <c r="W58" s="182">
        <v>0.3</v>
      </c>
      <c r="X58" s="306">
        <v>91.0</v>
      </c>
      <c r="Y58" s="307">
        <f>O58*$Y$6</f>
        <v>666.25</v>
      </c>
      <c r="Z58" s="307">
        <f>S58*$Y$7</f>
        <v>0</v>
      </c>
      <c r="AA58" s="308">
        <f>$Y$3*((100-AB58)/100)</f>
        <v>1.595</v>
      </c>
      <c r="AB58" s="308">
        <v>96.81</v>
      </c>
      <c r="AC58" s="309">
        <v>4.8</v>
      </c>
      <c r="AD58" s="305">
        <f>O58*$C$2</f>
        <v>205</v>
      </c>
      <c r="AE58" s="186"/>
      <c r="AF58" s="187">
        <v>0.0</v>
      </c>
      <c r="AG58" s="304">
        <f>O58-T58-U58-V58-X58-Y58-Z58-AA58-AC58-AD58-N58</f>
        <v>429.295</v>
      </c>
      <c r="AH58" s="310">
        <f>AG58/N58</f>
        <v>0.7250869844</v>
      </c>
      <c r="AI58" s="189" t="s">
        <v>84</v>
      </c>
      <c r="AJ58" s="190">
        <v>320.0</v>
      </c>
      <c r="AK58" s="190">
        <f t="shared" ref="AK58:AK63" si="130">PRODUCT(AJ58*N58)</f>
        <v>189459.2</v>
      </c>
      <c r="AL58" s="191">
        <f t="shared" ref="AL58:AL63" si="131">PRODUCT(AG58*AJ58)</f>
        <v>137374.4</v>
      </c>
    </row>
    <row r="59" ht="24.75" customHeight="1">
      <c r="A59" s="167"/>
      <c r="B59" s="11"/>
      <c r="C59" s="217" t="s">
        <v>142</v>
      </c>
      <c r="D59" s="302" t="s">
        <v>144</v>
      </c>
      <c r="E59" s="303" t="s">
        <v>76</v>
      </c>
      <c r="F59" s="172">
        <v>1.0</v>
      </c>
      <c r="G59" s="173"/>
      <c r="H59" s="173">
        <v>6.9E-4</v>
      </c>
      <c r="I59" s="173">
        <v>89.0</v>
      </c>
      <c r="J59" s="173">
        <v>0.0</v>
      </c>
      <c r="K59" s="174">
        <v>0.0</v>
      </c>
      <c r="L59" s="175">
        <v>0.0</v>
      </c>
      <c r="M59" s="176">
        <v>120.0</v>
      </c>
      <c r="N59" s="177">
        <v>718.17</v>
      </c>
      <c r="O59" s="154">
        <v>1950.0</v>
      </c>
      <c r="P59" s="132">
        <v>0.0</v>
      </c>
      <c r="Q59" s="132">
        <v>0.0</v>
      </c>
      <c r="R59" s="178">
        <v>0.32</v>
      </c>
      <c r="S59" s="179">
        <v>0.0</v>
      </c>
      <c r="T59" s="304">
        <v>60.0</v>
      </c>
      <c r="U59" s="154">
        <v>111.342056074766</v>
      </c>
      <c r="V59" s="305">
        <v>0.0</v>
      </c>
      <c r="W59" s="182">
        <v>0.3</v>
      </c>
      <c r="X59" s="306">
        <v>91.0</v>
      </c>
      <c r="Y59" s="307">
        <v>711.75</v>
      </c>
      <c r="Z59" s="307">
        <v>59.41908</v>
      </c>
      <c r="AA59" s="308">
        <v>1.595</v>
      </c>
      <c r="AB59" s="308">
        <v>96.81</v>
      </c>
      <c r="AC59" s="309">
        <v>4.8</v>
      </c>
      <c r="AD59" s="305">
        <v>219.0</v>
      </c>
      <c r="AE59" s="186"/>
      <c r="AF59" s="187">
        <v>0.0</v>
      </c>
      <c r="AG59" s="304">
        <v>243.513863925234</v>
      </c>
      <c r="AH59" s="310">
        <v>0.354160772455909</v>
      </c>
      <c r="AI59" s="189" t="s">
        <v>84</v>
      </c>
      <c r="AJ59" s="190">
        <v>400.0</v>
      </c>
      <c r="AK59" s="190">
        <f t="shared" si="130"/>
        <v>287268</v>
      </c>
      <c r="AL59" s="191">
        <f t="shared" si="131"/>
        <v>97405.54557</v>
      </c>
    </row>
    <row r="60" ht="24.75" customHeight="1">
      <c r="A60" s="167"/>
      <c r="B60" s="11"/>
      <c r="C60" s="217" t="s">
        <v>142</v>
      </c>
      <c r="D60" s="302" t="s">
        <v>145</v>
      </c>
      <c r="E60" s="303" t="s">
        <v>76</v>
      </c>
      <c r="F60" s="172">
        <v>1.0</v>
      </c>
      <c r="G60" s="173"/>
      <c r="H60" s="173">
        <v>6.9E-4</v>
      </c>
      <c r="I60" s="173">
        <v>89.0</v>
      </c>
      <c r="J60" s="173">
        <v>0.0</v>
      </c>
      <c r="K60" s="174">
        <v>0.0</v>
      </c>
      <c r="L60" s="175">
        <v>0.0</v>
      </c>
      <c r="M60" s="176">
        <v>120.0</v>
      </c>
      <c r="N60" s="177">
        <v>718.17</v>
      </c>
      <c r="O60" s="154">
        <v>1800.0</v>
      </c>
      <c r="P60" s="132">
        <v>0.0</v>
      </c>
      <c r="Q60" s="132">
        <v>0.0</v>
      </c>
      <c r="R60" s="178">
        <v>0.32</v>
      </c>
      <c r="S60" s="179">
        <v>0.0</v>
      </c>
      <c r="T60" s="304">
        <v>60.0</v>
      </c>
      <c r="U60" s="154">
        <v>111.342056074766</v>
      </c>
      <c r="V60" s="305">
        <v>0.0</v>
      </c>
      <c r="W60" s="182">
        <v>0.3</v>
      </c>
      <c r="X60" s="306">
        <v>91.0</v>
      </c>
      <c r="Y60" s="307">
        <v>711.75</v>
      </c>
      <c r="Z60" s="307">
        <v>59.41908</v>
      </c>
      <c r="AA60" s="308">
        <v>1.595</v>
      </c>
      <c r="AB60" s="308">
        <v>96.81</v>
      </c>
      <c r="AC60" s="309">
        <v>4.8</v>
      </c>
      <c r="AD60" s="305">
        <v>219.0</v>
      </c>
      <c r="AE60" s="186"/>
      <c r="AF60" s="187">
        <v>0.0</v>
      </c>
      <c r="AG60" s="304">
        <v>243.513863925234</v>
      </c>
      <c r="AH60" s="310">
        <v>0.354160772455909</v>
      </c>
      <c r="AI60" s="189" t="s">
        <v>84</v>
      </c>
      <c r="AJ60" s="190">
        <v>300.0</v>
      </c>
      <c r="AK60" s="190">
        <f t="shared" si="130"/>
        <v>215451</v>
      </c>
      <c r="AL60" s="191">
        <f t="shared" si="131"/>
        <v>73054.15918</v>
      </c>
    </row>
    <row r="61" ht="24.75" customHeight="1">
      <c r="A61" s="167"/>
      <c r="B61" s="11"/>
      <c r="C61" s="217" t="s">
        <v>142</v>
      </c>
      <c r="D61" s="302" t="s">
        <v>146</v>
      </c>
      <c r="E61" s="303" t="s">
        <v>76</v>
      </c>
      <c r="F61" s="172">
        <v>1.0</v>
      </c>
      <c r="G61" s="173"/>
      <c r="H61" s="173">
        <v>6.9E-4</v>
      </c>
      <c r="I61" s="173">
        <v>89.0</v>
      </c>
      <c r="J61" s="173">
        <v>0.0</v>
      </c>
      <c r="K61" s="174">
        <v>0.0</v>
      </c>
      <c r="L61" s="175">
        <v>0.0</v>
      </c>
      <c r="M61" s="176">
        <v>120.0</v>
      </c>
      <c r="N61" s="177">
        <v>622.08</v>
      </c>
      <c r="O61" s="154">
        <v>1600.0</v>
      </c>
      <c r="P61" s="132">
        <v>0.0</v>
      </c>
      <c r="Q61" s="132">
        <v>0.0</v>
      </c>
      <c r="R61" s="178">
        <v>0.26</v>
      </c>
      <c r="S61" s="179">
        <v>0.0</v>
      </c>
      <c r="T61" s="304">
        <v>60.0</v>
      </c>
      <c r="U61" s="154">
        <v>99.588785046729</v>
      </c>
      <c r="V61" s="305">
        <v>0.0</v>
      </c>
      <c r="W61" s="182">
        <v>0.38</v>
      </c>
      <c r="X61" s="306">
        <v>76.0</v>
      </c>
      <c r="Y61" s="307">
        <v>585.0</v>
      </c>
      <c r="Z61" s="307">
        <v>53.1468</v>
      </c>
      <c r="AA61" s="308">
        <v>3.225</v>
      </c>
      <c r="AB61" s="308">
        <v>93.55</v>
      </c>
      <c r="AC61" s="309">
        <v>4.8</v>
      </c>
      <c r="AD61" s="305">
        <v>180.0</v>
      </c>
      <c r="AE61" s="186"/>
      <c r="AF61" s="187">
        <v>0.0</v>
      </c>
      <c r="AG61" s="304">
        <v>386.839414953271</v>
      </c>
      <c r="AH61" s="310">
        <v>1.10085206304289</v>
      </c>
      <c r="AI61" s="189" t="s">
        <v>84</v>
      </c>
      <c r="AJ61" s="190">
        <v>240.0</v>
      </c>
      <c r="AK61" s="190">
        <f t="shared" si="130"/>
        <v>149299.2</v>
      </c>
      <c r="AL61" s="191">
        <f t="shared" si="131"/>
        <v>92841.45959</v>
      </c>
    </row>
    <row r="62" ht="24.75" customHeight="1">
      <c r="A62" s="167"/>
      <c r="B62" s="11"/>
      <c r="C62" s="217" t="s">
        <v>142</v>
      </c>
      <c r="D62" s="302" t="s">
        <v>147</v>
      </c>
      <c r="E62" s="303" t="s">
        <v>76</v>
      </c>
      <c r="F62" s="172">
        <v>1.0</v>
      </c>
      <c r="G62" s="173"/>
      <c r="H62" s="173">
        <v>6.9E-4</v>
      </c>
      <c r="I62" s="173">
        <v>89.0</v>
      </c>
      <c r="J62" s="173">
        <v>0.0</v>
      </c>
      <c r="K62" s="174">
        <v>0.0</v>
      </c>
      <c r="L62" s="175">
        <v>0.0</v>
      </c>
      <c r="M62" s="176">
        <v>120.0</v>
      </c>
      <c r="N62" s="177">
        <v>791.29</v>
      </c>
      <c r="O62" s="258">
        <v>2900.0</v>
      </c>
      <c r="P62" s="132">
        <v>0.0</v>
      </c>
      <c r="Q62" s="132">
        <v>0.0</v>
      </c>
      <c r="R62" s="311">
        <v>0.3</v>
      </c>
      <c r="S62" s="260">
        <v>0.0</v>
      </c>
      <c r="T62" s="304">
        <v>60.0</v>
      </c>
      <c r="U62" s="154">
        <v>124.485981308411</v>
      </c>
      <c r="V62" s="305">
        <v>0.0</v>
      </c>
      <c r="W62" s="182">
        <v>0.73</v>
      </c>
      <c r="X62" s="306">
        <v>76.0</v>
      </c>
      <c r="Y62" s="307">
        <v>731.25</v>
      </c>
      <c r="Z62" s="307">
        <v>66.4335</v>
      </c>
      <c r="AA62" s="308">
        <v>0.539999999999999</v>
      </c>
      <c r="AB62" s="308">
        <v>98.92</v>
      </c>
      <c r="AC62" s="309">
        <v>4.8</v>
      </c>
      <c r="AD62" s="305">
        <v>225.0</v>
      </c>
      <c r="AE62" s="186"/>
      <c r="AF62" s="187">
        <v>0.0</v>
      </c>
      <c r="AG62" s="312">
        <v>-63.1594813084114</v>
      </c>
      <c r="AH62" s="310">
        <v>-0.0616400539778572</v>
      </c>
      <c r="AI62" s="189" t="s">
        <v>84</v>
      </c>
      <c r="AJ62" s="190">
        <v>240.0</v>
      </c>
      <c r="AK62" s="190">
        <f t="shared" si="130"/>
        <v>189909.6</v>
      </c>
      <c r="AL62" s="191">
        <f t="shared" si="131"/>
        <v>-15158.27551</v>
      </c>
    </row>
    <row r="63" ht="24.75" customHeight="1">
      <c r="A63" s="167"/>
      <c r="B63" s="11"/>
      <c r="C63" s="217" t="s">
        <v>142</v>
      </c>
      <c r="D63" s="302" t="s">
        <v>148</v>
      </c>
      <c r="E63" s="303" t="s">
        <v>76</v>
      </c>
      <c r="F63" s="172">
        <v>1.0</v>
      </c>
      <c r="G63" s="173"/>
      <c r="H63" s="173">
        <v>6.9E-4</v>
      </c>
      <c r="I63" s="173">
        <v>89.0</v>
      </c>
      <c r="J63" s="173">
        <v>0.0</v>
      </c>
      <c r="K63" s="174">
        <v>0.0</v>
      </c>
      <c r="L63" s="175">
        <v>0.0</v>
      </c>
      <c r="M63" s="176">
        <v>120.0</v>
      </c>
      <c r="N63" s="177">
        <v>538.78</v>
      </c>
      <c r="O63" s="154">
        <v>1400.0</v>
      </c>
      <c r="P63" s="132">
        <v>0.0</v>
      </c>
      <c r="Q63" s="132">
        <v>0.0</v>
      </c>
      <c r="R63" s="311">
        <v>0.3</v>
      </c>
      <c r="S63" s="179">
        <v>0.0</v>
      </c>
      <c r="T63" s="304">
        <v>60.0</v>
      </c>
      <c r="U63" s="154">
        <v>124.485981308411</v>
      </c>
      <c r="V63" s="305">
        <v>0.0</v>
      </c>
      <c r="W63" s="182">
        <v>0.73</v>
      </c>
      <c r="X63" s="306">
        <v>76.0</v>
      </c>
      <c r="Y63" s="307">
        <v>731.25</v>
      </c>
      <c r="Z63" s="307">
        <v>66.4335</v>
      </c>
      <c r="AA63" s="308">
        <v>0.539999999999999</v>
      </c>
      <c r="AB63" s="308">
        <v>98.92</v>
      </c>
      <c r="AC63" s="309">
        <v>4.8</v>
      </c>
      <c r="AD63" s="305">
        <v>225.0</v>
      </c>
      <c r="AE63" s="186"/>
      <c r="AF63" s="187">
        <v>0.0</v>
      </c>
      <c r="AG63" s="312">
        <v>-63.1594813084114</v>
      </c>
      <c r="AH63" s="310">
        <v>-0.0616400539778572</v>
      </c>
      <c r="AI63" s="189" t="s">
        <v>84</v>
      </c>
      <c r="AJ63" s="190">
        <v>240.0</v>
      </c>
      <c r="AK63" s="190">
        <f t="shared" si="130"/>
        <v>129307.2</v>
      </c>
      <c r="AL63" s="191">
        <f t="shared" si="131"/>
        <v>-15158.27551</v>
      </c>
    </row>
    <row r="64" ht="24.75" customHeight="1">
      <c r="A64" s="193"/>
      <c r="B64" s="313"/>
      <c r="C64" s="219"/>
      <c r="D64" s="314"/>
      <c r="E64" s="315"/>
      <c r="F64" s="198"/>
      <c r="G64" s="199"/>
      <c r="H64" s="199"/>
      <c r="I64" s="199"/>
      <c r="J64" s="199"/>
      <c r="K64" s="200"/>
      <c r="L64" s="201"/>
      <c r="M64" s="129"/>
      <c r="N64" s="202"/>
      <c r="O64" s="154"/>
      <c r="P64" s="132"/>
      <c r="Q64" s="133"/>
      <c r="R64" s="203"/>
      <c r="S64" s="204"/>
      <c r="T64" s="316"/>
      <c r="U64" s="206"/>
      <c r="V64" s="317"/>
      <c r="W64" s="208"/>
      <c r="X64" s="318"/>
      <c r="Y64" s="319"/>
      <c r="Z64" s="319"/>
      <c r="AA64" s="320"/>
      <c r="AB64" s="320"/>
      <c r="AC64" s="321"/>
      <c r="AD64" s="317"/>
      <c r="AE64" s="212"/>
      <c r="AF64" s="213"/>
      <c r="AG64" s="316"/>
      <c r="AH64" s="322"/>
      <c r="AI64" s="322"/>
      <c r="AJ64" s="216"/>
      <c r="AK64" s="216"/>
      <c r="AL64" s="216"/>
    </row>
    <row r="65" ht="24.75" customHeight="1">
      <c r="A65" s="167"/>
      <c r="B65" s="11"/>
      <c r="C65" s="217" t="s">
        <v>149</v>
      </c>
      <c r="D65" s="302" t="s">
        <v>150</v>
      </c>
      <c r="E65" s="303" t="s">
        <v>76</v>
      </c>
      <c r="F65" s="172">
        <v>1.0</v>
      </c>
      <c r="G65" s="173"/>
      <c r="H65" s="173">
        <f t="shared" ref="H65:H70" si="132">$I$2</f>
        <v>0.00069</v>
      </c>
      <c r="I65" s="173">
        <f t="shared" ref="I65:I70" si="133">$I$3</f>
        <v>89</v>
      </c>
      <c r="J65" s="173">
        <f t="shared" ref="J65:J70" si="134">G65*H65*I65*F65</f>
        <v>0</v>
      </c>
      <c r="K65" s="174">
        <f t="shared" ref="K65:K70" si="135">J65*$J$4</f>
        <v>0</v>
      </c>
      <c r="L65" s="175">
        <f t="shared" ref="L65:L70" si="136">K65+J65</f>
        <v>0</v>
      </c>
      <c r="M65" s="176">
        <v>120.0</v>
      </c>
      <c r="N65" s="177">
        <v>409.95</v>
      </c>
      <c r="O65" s="250">
        <v>1300.0</v>
      </c>
      <c r="P65" s="132">
        <v>0.0</v>
      </c>
      <c r="Q65" s="132">
        <v>615.0</v>
      </c>
      <c r="R65" s="178">
        <v>0.32</v>
      </c>
      <c r="S65" s="179">
        <f t="shared" ref="S65:S68" si="137">O65-(O65*R65)</f>
        <v>884</v>
      </c>
      <c r="T65" s="304">
        <f t="shared" ref="T65:T70" si="138">$C$1</f>
        <v>60</v>
      </c>
      <c r="U65" s="154">
        <f t="shared" ref="U65:U70" si="139">(S65*7/107)+((S65-(S65*7/107))*1%)</f>
        <v>66.09345794</v>
      </c>
      <c r="V65" s="305">
        <f t="shared" ref="V65:V70" si="140">N65*$C$3*(M65/30)</f>
        <v>0</v>
      </c>
      <c r="W65" s="323">
        <v>0.73</v>
      </c>
      <c r="X65" s="324">
        <v>76.0</v>
      </c>
      <c r="Y65" s="307">
        <f t="shared" ref="Y65:Y70" si="141">O65*$Y$6</f>
        <v>422.5</v>
      </c>
      <c r="Z65" s="307">
        <f t="shared" ref="Z65:Z70" si="142">S65*$Y$7</f>
        <v>35.2716</v>
      </c>
      <c r="AA65" s="308">
        <f>$Y$3*((100-AB65)/100)</f>
        <v>1.595</v>
      </c>
      <c r="AB65" s="308">
        <v>96.81</v>
      </c>
      <c r="AC65" s="309">
        <v>4.8</v>
      </c>
      <c r="AD65" s="305">
        <f>O65*$C$2</f>
        <v>130</v>
      </c>
      <c r="AE65" s="186"/>
      <c r="AF65" s="187">
        <v>0.0</v>
      </c>
      <c r="AG65" s="304">
        <f t="shared" ref="AG65:AG70" si="143">O65-T65-U65-V65-X65-Y65-Z65-AA65-AC65-AD65-N65</f>
        <v>93.78994206</v>
      </c>
      <c r="AH65" s="310">
        <f t="shared" ref="AH65:AH70" si="144">AG65/N65</f>
        <v>0.2287838567</v>
      </c>
      <c r="AI65" s="189" t="s">
        <v>84</v>
      </c>
      <c r="AJ65" s="190">
        <v>315.0</v>
      </c>
      <c r="AK65" s="190">
        <f t="shared" ref="AK65:AK70" si="145">PRODUCT(AJ65*N65)</f>
        <v>129134.25</v>
      </c>
      <c r="AL65" s="191">
        <f t="shared" ref="AL65:AL70" si="146">PRODUCT(AG65*AJ65)</f>
        <v>29543.83175</v>
      </c>
    </row>
    <row r="66" ht="24.75" customHeight="1">
      <c r="A66" s="167"/>
      <c r="B66" s="11"/>
      <c r="C66" s="217">
        <v>8.68516027E8</v>
      </c>
      <c r="D66" s="302" t="s">
        <v>151</v>
      </c>
      <c r="E66" s="303" t="s">
        <v>76</v>
      </c>
      <c r="F66" s="172">
        <v>1.0</v>
      </c>
      <c r="G66" s="173"/>
      <c r="H66" s="173">
        <f t="shared" si="132"/>
        <v>0.00069</v>
      </c>
      <c r="I66" s="173">
        <f t="shared" si="133"/>
        <v>89</v>
      </c>
      <c r="J66" s="173">
        <f t="shared" si="134"/>
        <v>0</v>
      </c>
      <c r="K66" s="174">
        <f t="shared" si="135"/>
        <v>0</v>
      </c>
      <c r="L66" s="175">
        <f t="shared" si="136"/>
        <v>0</v>
      </c>
      <c r="M66" s="176">
        <v>120.0</v>
      </c>
      <c r="N66" s="177">
        <v>572.07</v>
      </c>
      <c r="O66" s="154">
        <v>1950.0</v>
      </c>
      <c r="P66" s="132">
        <v>0.0</v>
      </c>
      <c r="Q66" s="132"/>
      <c r="R66" s="178">
        <v>0.4</v>
      </c>
      <c r="S66" s="179">
        <f t="shared" si="137"/>
        <v>1170</v>
      </c>
      <c r="T66" s="304">
        <f t="shared" si="138"/>
        <v>60</v>
      </c>
      <c r="U66" s="154">
        <f t="shared" si="139"/>
        <v>87.47663551</v>
      </c>
      <c r="V66" s="305">
        <f t="shared" si="140"/>
        <v>0</v>
      </c>
      <c r="W66" s="182">
        <v>0.02</v>
      </c>
      <c r="X66" s="306">
        <v>63.0</v>
      </c>
      <c r="Y66" s="307">
        <f t="shared" si="141"/>
        <v>633.75</v>
      </c>
      <c r="Z66" s="307">
        <f t="shared" si="142"/>
        <v>46.683</v>
      </c>
      <c r="AA66" s="308">
        <v>1.6</v>
      </c>
      <c r="AB66" s="308">
        <v>96.81</v>
      </c>
      <c r="AC66" s="309">
        <v>4.8</v>
      </c>
      <c r="AD66" s="305">
        <v>330.0</v>
      </c>
      <c r="AE66" s="186"/>
      <c r="AF66" s="187">
        <v>0.0</v>
      </c>
      <c r="AG66" s="304">
        <f t="shared" si="143"/>
        <v>150.6203645</v>
      </c>
      <c r="AH66" s="310">
        <f t="shared" si="144"/>
        <v>0.2632900947</v>
      </c>
      <c r="AI66" s="189" t="s">
        <v>152</v>
      </c>
      <c r="AJ66" s="190">
        <v>25008.0</v>
      </c>
      <c r="AK66" s="190">
        <f t="shared" si="145"/>
        <v>14306326.56</v>
      </c>
      <c r="AL66" s="191">
        <f t="shared" si="146"/>
        <v>3766714.075</v>
      </c>
    </row>
    <row r="67" ht="24.75" customHeight="1">
      <c r="A67" s="167"/>
      <c r="B67" s="11"/>
      <c r="C67" s="217" t="s">
        <v>149</v>
      </c>
      <c r="D67" s="302" t="s">
        <v>153</v>
      </c>
      <c r="E67" s="303" t="s">
        <v>76</v>
      </c>
      <c r="F67" s="172">
        <v>1.0</v>
      </c>
      <c r="G67" s="173"/>
      <c r="H67" s="173">
        <f t="shared" si="132"/>
        <v>0.00069</v>
      </c>
      <c r="I67" s="173">
        <f t="shared" si="133"/>
        <v>89</v>
      </c>
      <c r="J67" s="173">
        <f t="shared" si="134"/>
        <v>0</v>
      </c>
      <c r="K67" s="174">
        <f t="shared" si="135"/>
        <v>0</v>
      </c>
      <c r="L67" s="175">
        <f t="shared" si="136"/>
        <v>0</v>
      </c>
      <c r="M67" s="176">
        <v>120.0</v>
      </c>
      <c r="N67" s="177">
        <v>388.39</v>
      </c>
      <c r="O67" s="250">
        <v>1700.0</v>
      </c>
      <c r="P67" s="132">
        <v>0.0</v>
      </c>
      <c r="Q67" s="132">
        <v>0.0</v>
      </c>
      <c r="R67" s="178">
        <v>0.3</v>
      </c>
      <c r="S67" s="179">
        <f t="shared" si="137"/>
        <v>1190</v>
      </c>
      <c r="T67" s="304">
        <f t="shared" si="138"/>
        <v>60</v>
      </c>
      <c r="U67" s="154">
        <f t="shared" si="139"/>
        <v>88.97196262</v>
      </c>
      <c r="V67" s="305">
        <f t="shared" si="140"/>
        <v>0</v>
      </c>
      <c r="W67" s="323">
        <v>0.73</v>
      </c>
      <c r="X67" s="324">
        <v>76.0</v>
      </c>
      <c r="Y67" s="307">
        <f t="shared" si="141"/>
        <v>552.5</v>
      </c>
      <c r="Z67" s="307">
        <f t="shared" si="142"/>
        <v>47.481</v>
      </c>
      <c r="AA67" s="308">
        <f t="shared" ref="AA67:AA70" si="147">$Y$3*((100-AB67)/100)</f>
        <v>1.595</v>
      </c>
      <c r="AB67" s="308">
        <v>96.81</v>
      </c>
      <c r="AC67" s="309">
        <v>4.8</v>
      </c>
      <c r="AD67" s="305">
        <f t="shared" ref="AD67:AD70" si="148">O67*$C$2</f>
        <v>170</v>
      </c>
      <c r="AE67" s="186"/>
      <c r="AF67" s="187">
        <v>0.0</v>
      </c>
      <c r="AG67" s="304">
        <f t="shared" si="143"/>
        <v>310.2620374</v>
      </c>
      <c r="AH67" s="310">
        <f t="shared" si="144"/>
        <v>0.798841467</v>
      </c>
      <c r="AI67" s="189" t="s">
        <v>84</v>
      </c>
      <c r="AJ67" s="190">
        <v>312.0</v>
      </c>
      <c r="AK67" s="190">
        <f t="shared" si="145"/>
        <v>121177.68</v>
      </c>
      <c r="AL67" s="191">
        <f t="shared" si="146"/>
        <v>96801.75566</v>
      </c>
    </row>
    <row r="68" ht="24.75" customHeight="1">
      <c r="A68" s="167"/>
      <c r="B68" s="11"/>
      <c r="C68" s="217">
        <v>5.51626041E8</v>
      </c>
      <c r="D68" s="302" t="s">
        <v>154</v>
      </c>
      <c r="E68" s="303" t="s">
        <v>76</v>
      </c>
      <c r="F68" s="172">
        <v>1.0</v>
      </c>
      <c r="G68" s="173"/>
      <c r="H68" s="173">
        <f t="shared" si="132"/>
        <v>0.00069</v>
      </c>
      <c r="I68" s="173">
        <f t="shared" si="133"/>
        <v>89</v>
      </c>
      <c r="J68" s="173">
        <f t="shared" si="134"/>
        <v>0</v>
      </c>
      <c r="K68" s="174">
        <f t="shared" si="135"/>
        <v>0</v>
      </c>
      <c r="L68" s="175">
        <f t="shared" si="136"/>
        <v>0</v>
      </c>
      <c r="M68" s="176">
        <v>120.0</v>
      </c>
      <c r="N68" s="177">
        <v>305.82</v>
      </c>
      <c r="O68" s="154">
        <v>1320.0</v>
      </c>
      <c r="P68" s="132">
        <v>0.0</v>
      </c>
      <c r="Q68" s="132">
        <v>1866.0</v>
      </c>
      <c r="R68" s="178">
        <v>0.32</v>
      </c>
      <c r="S68" s="179">
        <f t="shared" si="137"/>
        <v>897.6</v>
      </c>
      <c r="T68" s="304">
        <f t="shared" si="138"/>
        <v>60</v>
      </c>
      <c r="U68" s="154">
        <f t="shared" si="139"/>
        <v>67.11028037</v>
      </c>
      <c r="V68" s="305">
        <f t="shared" si="140"/>
        <v>0</v>
      </c>
      <c r="W68" s="182">
        <v>0.3</v>
      </c>
      <c r="X68" s="306">
        <v>91.0</v>
      </c>
      <c r="Y68" s="307">
        <f t="shared" si="141"/>
        <v>429</v>
      </c>
      <c r="Z68" s="307">
        <f t="shared" si="142"/>
        <v>35.81424</v>
      </c>
      <c r="AA68" s="308">
        <f t="shared" si="147"/>
        <v>1.595</v>
      </c>
      <c r="AB68" s="308">
        <v>96.81</v>
      </c>
      <c r="AC68" s="309">
        <v>4.8</v>
      </c>
      <c r="AD68" s="305">
        <f t="shared" si="148"/>
        <v>132</v>
      </c>
      <c r="AE68" s="186"/>
      <c r="AF68" s="187">
        <v>0.0</v>
      </c>
      <c r="AG68" s="304">
        <f t="shared" si="143"/>
        <v>192.8604796</v>
      </c>
      <c r="AH68" s="310">
        <f t="shared" si="144"/>
        <v>0.6306339665</v>
      </c>
      <c r="AI68" s="189" t="s">
        <v>84</v>
      </c>
      <c r="AJ68" s="190">
        <v>448.0</v>
      </c>
      <c r="AK68" s="190">
        <f t="shared" si="145"/>
        <v>137007.36</v>
      </c>
      <c r="AL68" s="191">
        <f t="shared" si="146"/>
        <v>86401.49487</v>
      </c>
    </row>
    <row r="69" ht="24.75" customHeight="1">
      <c r="A69" s="167"/>
      <c r="B69" s="11"/>
      <c r="C69" s="217" t="s">
        <v>149</v>
      </c>
      <c r="D69" s="302" t="s">
        <v>155</v>
      </c>
      <c r="E69" s="303" t="s">
        <v>76</v>
      </c>
      <c r="F69" s="172">
        <v>1.0</v>
      </c>
      <c r="G69" s="173"/>
      <c r="H69" s="173">
        <f t="shared" si="132"/>
        <v>0.00069</v>
      </c>
      <c r="I69" s="173">
        <f t="shared" si="133"/>
        <v>89</v>
      </c>
      <c r="J69" s="173">
        <f t="shared" si="134"/>
        <v>0</v>
      </c>
      <c r="K69" s="174">
        <f t="shared" si="135"/>
        <v>0</v>
      </c>
      <c r="L69" s="175">
        <f t="shared" si="136"/>
        <v>0</v>
      </c>
      <c r="M69" s="176">
        <v>120.0</v>
      </c>
      <c r="N69" s="177">
        <v>432.03</v>
      </c>
      <c r="O69" s="250">
        <v>1600.0</v>
      </c>
      <c r="P69" s="132">
        <v>0.0</v>
      </c>
      <c r="Q69" s="132">
        <v>2119.0</v>
      </c>
      <c r="R69" s="178">
        <v>0.3</v>
      </c>
      <c r="S69" s="179">
        <v>1792.0</v>
      </c>
      <c r="T69" s="304">
        <f t="shared" si="138"/>
        <v>60</v>
      </c>
      <c r="U69" s="154">
        <f t="shared" si="139"/>
        <v>133.9813084</v>
      </c>
      <c r="V69" s="305">
        <f t="shared" si="140"/>
        <v>0</v>
      </c>
      <c r="W69" s="182">
        <v>0.3</v>
      </c>
      <c r="X69" s="306">
        <v>91.0</v>
      </c>
      <c r="Y69" s="307">
        <f t="shared" si="141"/>
        <v>520</v>
      </c>
      <c r="Z69" s="307">
        <f t="shared" si="142"/>
        <v>71.5008</v>
      </c>
      <c r="AA69" s="308">
        <f t="shared" si="147"/>
        <v>1.595</v>
      </c>
      <c r="AB69" s="308">
        <v>96.81</v>
      </c>
      <c r="AC69" s="309">
        <v>4.8</v>
      </c>
      <c r="AD69" s="305">
        <f t="shared" si="148"/>
        <v>160</v>
      </c>
      <c r="AE69" s="186"/>
      <c r="AF69" s="187">
        <v>0.0</v>
      </c>
      <c r="AG69" s="304">
        <f t="shared" si="143"/>
        <v>125.0928916</v>
      </c>
      <c r="AH69" s="310">
        <f t="shared" si="144"/>
        <v>0.2895467713</v>
      </c>
      <c r="AI69" s="189" t="s">
        <v>84</v>
      </c>
      <c r="AJ69" s="190">
        <v>1200.0</v>
      </c>
      <c r="AK69" s="190">
        <f t="shared" si="145"/>
        <v>518436</v>
      </c>
      <c r="AL69" s="191">
        <f t="shared" si="146"/>
        <v>150111.4699</v>
      </c>
    </row>
    <row r="70" ht="24.75" customHeight="1">
      <c r="A70" s="167"/>
      <c r="B70" s="11"/>
      <c r="C70" s="217">
        <v>5.51616449E8</v>
      </c>
      <c r="D70" s="302" t="s">
        <v>156</v>
      </c>
      <c r="E70" s="303" t="s">
        <v>76</v>
      </c>
      <c r="F70" s="172">
        <v>1.0</v>
      </c>
      <c r="G70" s="173"/>
      <c r="H70" s="173">
        <f t="shared" si="132"/>
        <v>0.00069</v>
      </c>
      <c r="I70" s="173">
        <f t="shared" si="133"/>
        <v>89</v>
      </c>
      <c r="J70" s="173">
        <f t="shared" si="134"/>
        <v>0</v>
      </c>
      <c r="K70" s="174">
        <f t="shared" si="135"/>
        <v>0</v>
      </c>
      <c r="L70" s="175">
        <f t="shared" si="136"/>
        <v>0</v>
      </c>
      <c r="M70" s="176">
        <v>120.0</v>
      </c>
      <c r="N70" s="177">
        <v>428.34</v>
      </c>
      <c r="O70" s="154">
        <v>1770.0</v>
      </c>
      <c r="P70" s="132">
        <v>0.0</v>
      </c>
      <c r="Q70" s="132">
        <v>1797.0</v>
      </c>
      <c r="R70" s="178">
        <v>0.32</v>
      </c>
      <c r="S70" s="179">
        <f>O70-(O70*R70)</f>
        <v>1203.6</v>
      </c>
      <c r="T70" s="304">
        <f t="shared" si="138"/>
        <v>60</v>
      </c>
      <c r="U70" s="154">
        <f t="shared" si="139"/>
        <v>89.98878505</v>
      </c>
      <c r="V70" s="305">
        <f t="shared" si="140"/>
        <v>0</v>
      </c>
      <c r="W70" s="182">
        <v>0.3</v>
      </c>
      <c r="X70" s="306">
        <v>91.0</v>
      </c>
      <c r="Y70" s="307">
        <f t="shared" si="141"/>
        <v>575.25</v>
      </c>
      <c r="Z70" s="307">
        <f t="shared" si="142"/>
        <v>48.02364</v>
      </c>
      <c r="AA70" s="308">
        <f t="shared" si="147"/>
        <v>1.595</v>
      </c>
      <c r="AB70" s="308">
        <v>96.81</v>
      </c>
      <c r="AC70" s="309">
        <v>4.8</v>
      </c>
      <c r="AD70" s="305">
        <f t="shared" si="148"/>
        <v>177</v>
      </c>
      <c r="AE70" s="186"/>
      <c r="AF70" s="187">
        <v>0.0</v>
      </c>
      <c r="AG70" s="304">
        <f t="shared" si="143"/>
        <v>294.002575</v>
      </c>
      <c r="AH70" s="325">
        <f t="shared" si="144"/>
        <v>0.6863766516</v>
      </c>
      <c r="AI70" s="326" t="s">
        <v>84</v>
      </c>
      <c r="AJ70" s="327">
        <v>480.0</v>
      </c>
      <c r="AK70" s="327">
        <f t="shared" si="145"/>
        <v>205603.2</v>
      </c>
      <c r="AL70" s="328">
        <f t="shared" si="146"/>
        <v>141121.236</v>
      </c>
    </row>
    <row r="71" ht="24.75" customHeight="1">
      <c r="A71" s="26"/>
      <c r="B71" s="29"/>
      <c r="C71" s="329"/>
      <c r="D71" s="93"/>
      <c r="E71" s="5"/>
      <c r="F71" s="5"/>
      <c r="G71" s="5"/>
      <c r="H71" s="5"/>
      <c r="I71" s="5"/>
      <c r="J71" s="5"/>
      <c r="K71" s="8"/>
      <c r="L71" s="9"/>
      <c r="M71" s="10"/>
      <c r="N71" s="84"/>
      <c r="O71" s="330"/>
      <c r="P71" s="331"/>
      <c r="Q71" s="332"/>
      <c r="R71" s="14"/>
      <c r="S71" s="333"/>
      <c r="T71" s="15"/>
      <c r="U71" s="15"/>
      <c r="V71" s="15"/>
      <c r="W71" s="8"/>
      <c r="X71" s="8"/>
      <c r="Y71" s="57"/>
      <c r="Z71" s="57"/>
      <c r="AA71" s="15"/>
      <c r="AB71" s="15"/>
      <c r="AC71" s="15"/>
      <c r="AD71" s="15"/>
      <c r="AE71" s="58"/>
      <c r="AF71" s="58"/>
      <c r="AG71" s="15"/>
      <c r="AH71" s="334"/>
      <c r="AI71" s="335" t="s">
        <v>157</v>
      </c>
      <c r="AJ71" s="336">
        <f t="shared" ref="AJ71:AL71" si="149">SUM(AJ12:AJ70)</f>
        <v>84472</v>
      </c>
      <c r="AK71" s="336">
        <f t="shared" si="149"/>
        <v>37888806.17</v>
      </c>
      <c r="AL71" s="337">
        <f t="shared" si="149"/>
        <v>15021784.91</v>
      </c>
    </row>
    <row r="72" ht="24.75" customHeight="1">
      <c r="A72" s="26"/>
      <c r="B72" s="29"/>
      <c r="C72" s="329"/>
      <c r="D72" s="93"/>
      <c r="E72" s="5"/>
      <c r="F72" s="5"/>
      <c r="G72" s="5"/>
      <c r="H72" s="5"/>
      <c r="I72" s="5"/>
      <c r="J72" s="5"/>
      <c r="K72" s="8"/>
      <c r="L72" s="9"/>
      <c r="M72" s="10"/>
      <c r="N72" s="84"/>
      <c r="O72" s="330"/>
      <c r="P72" s="331"/>
      <c r="Q72" s="332"/>
      <c r="R72" s="14"/>
      <c r="S72" s="333"/>
      <c r="T72" s="15"/>
      <c r="U72" s="15"/>
      <c r="V72" s="15"/>
      <c r="W72" s="8"/>
      <c r="X72" s="8"/>
      <c r="Y72" s="57"/>
      <c r="Z72" s="57"/>
      <c r="AA72" s="15"/>
      <c r="AB72" s="15"/>
      <c r="AC72" s="15"/>
      <c r="AD72" s="15"/>
      <c r="AE72" s="58"/>
      <c r="AF72" s="58"/>
      <c r="AG72" s="15"/>
      <c r="AH72" s="25"/>
      <c r="AI72" s="26"/>
      <c r="AJ72" s="27"/>
      <c r="AK72" s="27"/>
      <c r="AL72" s="28"/>
    </row>
    <row r="73" ht="24.75" customHeight="1">
      <c r="A73" s="26"/>
      <c r="B73" s="29"/>
      <c r="C73" s="329"/>
      <c r="D73" s="93"/>
      <c r="E73" s="5"/>
      <c r="F73" s="5"/>
      <c r="G73" s="5"/>
      <c r="H73" s="5"/>
      <c r="I73" s="5"/>
      <c r="J73" s="5"/>
      <c r="K73" s="8"/>
      <c r="L73" s="9"/>
      <c r="M73" s="10"/>
      <c r="N73" s="84"/>
      <c r="O73" s="330"/>
      <c r="P73" s="331"/>
      <c r="Q73" s="332"/>
      <c r="R73" s="14"/>
      <c r="S73" s="333"/>
      <c r="T73" s="15"/>
      <c r="U73" s="15"/>
      <c r="V73" s="15"/>
      <c r="W73" s="8"/>
      <c r="X73" s="8"/>
      <c r="Y73" s="57"/>
      <c r="Z73" s="57"/>
      <c r="AA73" s="15"/>
      <c r="AB73" s="15"/>
      <c r="AC73" s="15"/>
      <c r="AD73" s="15"/>
      <c r="AE73" s="58"/>
      <c r="AF73" s="58"/>
      <c r="AG73" s="15"/>
      <c r="AH73" s="25"/>
      <c r="AI73" s="26"/>
      <c r="AJ73" s="27"/>
      <c r="AK73" s="27"/>
      <c r="AL73" s="28"/>
    </row>
    <row r="74" ht="24.75" customHeight="1">
      <c r="A74" s="26"/>
      <c r="B74" s="29"/>
      <c r="C74" s="329"/>
      <c r="D74" s="93"/>
      <c r="E74" s="5"/>
      <c r="F74" s="5"/>
      <c r="G74" s="5"/>
      <c r="H74" s="5"/>
      <c r="I74" s="5"/>
      <c r="J74" s="5"/>
      <c r="K74" s="8"/>
      <c r="L74" s="9"/>
      <c r="M74" s="10"/>
      <c r="N74" s="84"/>
      <c r="O74" s="330"/>
      <c r="P74" s="331"/>
      <c r="Q74" s="332"/>
      <c r="R74" s="14"/>
      <c r="S74" s="333"/>
      <c r="T74" s="15"/>
      <c r="U74" s="15"/>
      <c r="V74" s="15"/>
      <c r="W74" s="8"/>
      <c r="X74" s="8"/>
      <c r="Y74" s="57"/>
      <c r="Z74" s="57"/>
      <c r="AA74" s="15"/>
      <c r="AB74" s="15"/>
      <c r="AC74" s="15"/>
      <c r="AD74" s="15"/>
      <c r="AE74" s="58"/>
      <c r="AF74" s="58"/>
      <c r="AG74" s="15"/>
      <c r="AH74" s="25"/>
      <c r="AI74" s="26"/>
      <c r="AJ74" s="27"/>
      <c r="AK74" s="27"/>
      <c r="AL74" s="28"/>
    </row>
    <row r="75" ht="24.75" customHeight="1">
      <c r="A75" s="26"/>
      <c r="B75" s="29"/>
      <c r="C75" s="329"/>
      <c r="D75" s="93"/>
      <c r="E75" s="5"/>
      <c r="F75" s="5"/>
      <c r="G75" s="5"/>
      <c r="H75" s="5"/>
      <c r="I75" s="5"/>
      <c r="J75" s="5"/>
      <c r="K75" s="8"/>
      <c r="L75" s="9"/>
      <c r="M75" s="10"/>
      <c r="N75" s="84"/>
      <c r="O75" s="330"/>
      <c r="P75" s="331"/>
      <c r="Q75" s="332"/>
      <c r="R75" s="14"/>
      <c r="S75" s="333"/>
      <c r="T75" s="15"/>
      <c r="U75" s="15"/>
      <c r="V75" s="15"/>
      <c r="W75" s="8"/>
      <c r="X75" s="8"/>
      <c r="Y75" s="57"/>
      <c r="Z75" s="57"/>
      <c r="AA75" s="15"/>
      <c r="AB75" s="15"/>
      <c r="AC75" s="15"/>
      <c r="AD75" s="15"/>
      <c r="AE75" s="58"/>
      <c r="AF75" s="58"/>
      <c r="AG75" s="15"/>
      <c r="AH75" s="25"/>
      <c r="AI75" s="26"/>
      <c r="AJ75" s="27"/>
      <c r="AK75" s="27"/>
      <c r="AL75" s="28"/>
    </row>
    <row r="76" ht="24.75" customHeight="1">
      <c r="A76" s="26"/>
      <c r="B76" s="29"/>
      <c r="C76" s="329"/>
      <c r="D76" s="93"/>
      <c r="E76" s="5"/>
      <c r="F76" s="5"/>
      <c r="G76" s="5"/>
      <c r="H76" s="5"/>
      <c r="I76" s="5"/>
      <c r="J76" s="5"/>
      <c r="K76" s="8"/>
      <c r="L76" s="9"/>
      <c r="M76" s="10"/>
      <c r="N76" s="84"/>
      <c r="O76" s="330"/>
      <c r="P76" s="331"/>
      <c r="Q76" s="332"/>
      <c r="R76" s="14"/>
      <c r="S76" s="333"/>
      <c r="T76" s="15"/>
      <c r="U76" s="15"/>
      <c r="V76" s="15"/>
      <c r="W76" s="8"/>
      <c r="X76" s="8"/>
      <c r="Y76" s="57"/>
      <c r="Z76" s="57"/>
      <c r="AA76" s="15"/>
      <c r="AB76" s="15"/>
      <c r="AC76" s="15"/>
      <c r="AD76" s="15"/>
      <c r="AE76" s="58"/>
      <c r="AF76" s="58"/>
      <c r="AG76" s="15"/>
      <c r="AH76" s="25"/>
      <c r="AI76" s="26"/>
      <c r="AJ76" s="27"/>
      <c r="AK76" s="27"/>
      <c r="AL76" s="28"/>
    </row>
    <row r="77" ht="12.75" customHeight="1">
      <c r="A77" s="26"/>
      <c r="B77" s="29"/>
      <c r="C77" s="329"/>
      <c r="D77" s="93"/>
      <c r="E77" s="5"/>
      <c r="F77" s="5"/>
      <c r="G77" s="5"/>
      <c r="H77" s="5"/>
      <c r="I77" s="5"/>
      <c r="J77" s="5"/>
      <c r="K77" s="8"/>
      <c r="L77" s="9"/>
      <c r="M77" s="10"/>
      <c r="N77" s="84"/>
      <c r="O77" s="330"/>
      <c r="P77" s="331"/>
      <c r="Q77" s="332"/>
      <c r="R77" s="14"/>
      <c r="S77" s="333"/>
      <c r="T77" s="15"/>
      <c r="U77" s="15"/>
      <c r="V77" s="15"/>
      <c r="W77" s="8"/>
      <c r="X77" s="8"/>
      <c r="Y77" s="57"/>
      <c r="Z77" s="57"/>
      <c r="AA77" s="15"/>
      <c r="AB77" s="15"/>
      <c r="AC77" s="15"/>
      <c r="AD77" s="15"/>
      <c r="AE77" s="58"/>
      <c r="AF77" s="58"/>
      <c r="AG77" s="15"/>
      <c r="AH77" s="25"/>
      <c r="AI77" s="26"/>
      <c r="AJ77" s="27"/>
      <c r="AK77" s="27"/>
      <c r="AL77" s="28"/>
    </row>
    <row r="78" ht="12.75" customHeight="1">
      <c r="A78" s="26"/>
      <c r="B78" s="29"/>
      <c r="C78" s="329"/>
      <c r="D78" s="93"/>
      <c r="E78" s="5"/>
      <c r="F78" s="5"/>
      <c r="G78" s="5"/>
      <c r="H78" s="5"/>
      <c r="I78" s="5"/>
      <c r="J78" s="5"/>
      <c r="K78" s="8"/>
      <c r="L78" s="9"/>
      <c r="M78" s="10"/>
      <c r="N78" s="84"/>
      <c r="O78" s="330"/>
      <c r="P78" s="331"/>
      <c r="Q78" s="332"/>
      <c r="R78" s="14"/>
      <c r="S78" s="333"/>
      <c r="T78" s="15"/>
      <c r="U78" s="15"/>
      <c r="V78" s="15"/>
      <c r="W78" s="8"/>
      <c r="X78" s="8"/>
      <c r="Y78" s="57"/>
      <c r="Z78" s="57"/>
      <c r="AA78" s="15"/>
      <c r="AB78" s="15"/>
      <c r="AC78" s="15"/>
      <c r="AD78" s="15"/>
      <c r="AE78" s="58"/>
      <c r="AF78" s="58"/>
      <c r="AG78" s="15"/>
      <c r="AH78" s="25"/>
      <c r="AI78" s="26"/>
      <c r="AJ78" s="27"/>
      <c r="AK78" s="27"/>
      <c r="AL78" s="28"/>
    </row>
    <row r="79" ht="12.75" customHeight="1">
      <c r="A79" s="26"/>
      <c r="B79" s="29"/>
      <c r="C79" s="329"/>
      <c r="D79" s="93"/>
      <c r="E79" s="5"/>
      <c r="F79" s="5"/>
      <c r="G79" s="5"/>
      <c r="H79" s="5"/>
      <c r="I79" s="5"/>
      <c r="J79" s="5"/>
      <c r="K79" s="8"/>
      <c r="L79" s="9"/>
      <c r="M79" s="10"/>
      <c r="N79" s="84"/>
      <c r="O79" s="330"/>
      <c r="P79" s="331"/>
      <c r="Q79" s="332"/>
      <c r="R79" s="14"/>
      <c r="S79" s="333"/>
      <c r="T79" s="15"/>
      <c r="U79" s="15"/>
      <c r="V79" s="15"/>
      <c r="W79" s="8"/>
      <c r="X79" s="8"/>
      <c r="Y79" s="57"/>
      <c r="Z79" s="57"/>
      <c r="AA79" s="15"/>
      <c r="AB79" s="15"/>
      <c r="AC79" s="15"/>
      <c r="AD79" s="15"/>
      <c r="AE79" s="58"/>
      <c r="AF79" s="58"/>
      <c r="AG79" s="15"/>
      <c r="AH79" s="25"/>
      <c r="AI79" s="26"/>
      <c r="AJ79" s="27"/>
      <c r="AK79" s="27"/>
      <c r="AL79" s="28"/>
    </row>
    <row r="80" ht="12.75" customHeight="1">
      <c r="A80" s="26"/>
      <c r="B80" s="29"/>
      <c r="C80" s="329"/>
      <c r="D80" s="93"/>
      <c r="E80" s="5"/>
      <c r="F80" s="5"/>
      <c r="G80" s="5"/>
      <c r="H80" s="5"/>
      <c r="I80" s="5"/>
      <c r="J80" s="5"/>
      <c r="K80" s="8"/>
      <c r="L80" s="9"/>
      <c r="M80" s="10"/>
      <c r="N80" s="84"/>
      <c r="O80" s="330"/>
      <c r="P80" s="331"/>
      <c r="Q80" s="332"/>
      <c r="R80" s="14"/>
      <c r="S80" s="333"/>
      <c r="T80" s="15"/>
      <c r="U80" s="15"/>
      <c r="V80" s="15"/>
      <c r="W80" s="8"/>
      <c r="X80" s="8"/>
      <c r="Y80" s="57"/>
      <c r="Z80" s="57"/>
      <c r="AA80" s="15"/>
      <c r="AB80" s="15"/>
      <c r="AC80" s="15"/>
      <c r="AD80" s="15"/>
      <c r="AE80" s="58"/>
      <c r="AF80" s="58"/>
      <c r="AG80" s="15"/>
      <c r="AH80" s="25"/>
      <c r="AI80" s="26"/>
      <c r="AJ80" s="27"/>
      <c r="AK80" s="27"/>
      <c r="AL80" s="28"/>
    </row>
    <row r="81" ht="12.75" customHeight="1">
      <c r="A81" s="26"/>
      <c r="B81" s="29"/>
      <c r="C81" s="329"/>
      <c r="D81" s="93"/>
      <c r="E81" s="5"/>
      <c r="F81" s="5"/>
      <c r="G81" s="5"/>
      <c r="H81" s="5"/>
      <c r="I81" s="5"/>
      <c r="J81" s="5"/>
      <c r="K81" s="8"/>
      <c r="L81" s="9"/>
      <c r="M81" s="10"/>
      <c r="N81" s="84"/>
      <c r="O81" s="330"/>
      <c r="P81" s="331"/>
      <c r="Q81" s="332"/>
      <c r="R81" s="14"/>
      <c r="S81" s="333"/>
      <c r="T81" s="15"/>
      <c r="U81" s="15"/>
      <c r="V81" s="15"/>
      <c r="W81" s="8"/>
      <c r="X81" s="8"/>
      <c r="Y81" s="57"/>
      <c r="Z81" s="57"/>
      <c r="AA81" s="15"/>
      <c r="AB81" s="15"/>
      <c r="AC81" s="15"/>
      <c r="AD81" s="15"/>
      <c r="AE81" s="58"/>
      <c r="AF81" s="58"/>
      <c r="AG81" s="15"/>
      <c r="AH81" s="25"/>
      <c r="AI81" s="26"/>
      <c r="AJ81" s="27"/>
      <c r="AK81" s="27"/>
      <c r="AL81" s="28"/>
    </row>
    <row r="82" ht="12.75" customHeight="1">
      <c r="A82" s="26"/>
      <c r="B82" s="29"/>
      <c r="C82" s="329"/>
      <c r="D82" s="93"/>
      <c r="E82" s="5"/>
      <c r="F82" s="5"/>
      <c r="G82" s="5"/>
      <c r="H82" s="5"/>
      <c r="I82" s="5"/>
      <c r="J82" s="5"/>
      <c r="K82" s="8"/>
      <c r="L82" s="9"/>
      <c r="M82" s="10"/>
      <c r="N82" s="84"/>
      <c r="O82" s="330"/>
      <c r="P82" s="331"/>
      <c r="Q82" s="332"/>
      <c r="R82" s="14"/>
      <c r="S82" s="333"/>
      <c r="T82" s="15"/>
      <c r="U82" s="15"/>
      <c r="V82" s="15"/>
      <c r="W82" s="8"/>
      <c r="X82" s="8"/>
      <c r="Y82" s="57"/>
      <c r="Z82" s="57"/>
      <c r="AA82" s="15"/>
      <c r="AB82" s="15"/>
      <c r="AC82" s="15"/>
      <c r="AD82" s="15"/>
      <c r="AE82" s="58"/>
      <c r="AF82" s="58"/>
      <c r="AG82" s="15"/>
      <c r="AH82" s="25"/>
      <c r="AI82" s="26"/>
      <c r="AJ82" s="27"/>
      <c r="AK82" s="27"/>
      <c r="AL82" s="28"/>
    </row>
    <row r="83" ht="12.75" customHeight="1">
      <c r="A83" s="26"/>
      <c r="B83" s="29"/>
      <c r="C83" s="329"/>
      <c r="D83" s="93"/>
      <c r="E83" s="5"/>
      <c r="F83" s="5"/>
      <c r="G83" s="5"/>
      <c r="H83" s="5"/>
      <c r="I83" s="5"/>
      <c r="J83" s="5"/>
      <c r="K83" s="8"/>
      <c r="L83" s="9"/>
      <c r="M83" s="10"/>
      <c r="N83" s="84"/>
      <c r="O83" s="330"/>
      <c r="P83" s="331"/>
      <c r="Q83" s="332"/>
      <c r="R83" s="14"/>
      <c r="S83" s="333"/>
      <c r="T83" s="15"/>
      <c r="U83" s="15"/>
      <c r="V83" s="15"/>
      <c r="W83" s="8"/>
      <c r="X83" s="8"/>
      <c r="Y83" s="57"/>
      <c r="Z83" s="57"/>
      <c r="AA83" s="15"/>
      <c r="AB83" s="15"/>
      <c r="AC83" s="15"/>
      <c r="AD83" s="15"/>
      <c r="AE83" s="58"/>
      <c r="AF83" s="58"/>
      <c r="AG83" s="15"/>
      <c r="AH83" s="25"/>
      <c r="AI83" s="26"/>
      <c r="AJ83" s="27"/>
      <c r="AK83" s="27"/>
      <c r="AL83" s="28"/>
    </row>
    <row r="84" ht="12.75" customHeight="1">
      <c r="A84" s="26"/>
      <c r="B84" s="29"/>
      <c r="C84" s="329"/>
      <c r="D84" s="93"/>
      <c r="E84" s="5"/>
      <c r="F84" s="5"/>
      <c r="G84" s="5"/>
      <c r="H84" s="5"/>
      <c r="I84" s="5"/>
      <c r="J84" s="5"/>
      <c r="K84" s="8"/>
      <c r="L84" s="9"/>
      <c r="M84" s="10"/>
      <c r="N84" s="84"/>
      <c r="O84" s="330"/>
      <c r="P84" s="331"/>
      <c r="Q84" s="332"/>
      <c r="R84" s="14"/>
      <c r="S84" s="333"/>
      <c r="T84" s="15"/>
      <c r="U84" s="15"/>
      <c r="V84" s="15"/>
      <c r="W84" s="8"/>
      <c r="X84" s="8"/>
      <c r="Y84" s="57"/>
      <c r="Z84" s="57"/>
      <c r="AA84" s="15"/>
      <c r="AB84" s="15"/>
      <c r="AC84" s="15"/>
      <c r="AD84" s="15"/>
      <c r="AE84" s="58"/>
      <c r="AF84" s="58"/>
      <c r="AG84" s="15"/>
      <c r="AH84" s="25"/>
      <c r="AI84" s="26"/>
      <c r="AJ84" s="27"/>
      <c r="AK84" s="27"/>
      <c r="AL84" s="28"/>
    </row>
    <row r="85" ht="12.75" customHeight="1">
      <c r="A85" s="26"/>
      <c r="B85" s="29"/>
      <c r="C85" s="329"/>
      <c r="D85" s="93"/>
      <c r="E85" s="5"/>
      <c r="F85" s="5"/>
      <c r="G85" s="5"/>
      <c r="H85" s="5"/>
      <c r="I85" s="5"/>
      <c r="J85" s="5"/>
      <c r="K85" s="8"/>
      <c r="L85" s="9"/>
      <c r="M85" s="10"/>
      <c r="N85" s="84"/>
      <c r="O85" s="330"/>
      <c r="P85" s="331"/>
      <c r="Q85" s="332"/>
      <c r="R85" s="14"/>
      <c r="S85" s="333"/>
      <c r="T85" s="15"/>
      <c r="U85" s="15"/>
      <c r="V85" s="15"/>
      <c r="W85" s="8"/>
      <c r="X85" s="8"/>
      <c r="Y85" s="57"/>
      <c r="Z85" s="57"/>
      <c r="AA85" s="15"/>
      <c r="AB85" s="15"/>
      <c r="AC85" s="15"/>
      <c r="AD85" s="15"/>
      <c r="AE85" s="58"/>
      <c r="AF85" s="58"/>
      <c r="AG85" s="15"/>
      <c r="AH85" s="25"/>
      <c r="AI85" s="26"/>
      <c r="AJ85" s="27"/>
      <c r="AK85" s="27"/>
      <c r="AL85" s="28"/>
    </row>
    <row r="86" ht="12.75" customHeight="1">
      <c r="A86" s="26"/>
      <c r="B86" s="29"/>
      <c r="C86" s="329"/>
      <c r="D86" s="93"/>
      <c r="E86" s="5"/>
      <c r="F86" s="5"/>
      <c r="G86" s="5"/>
      <c r="H86" s="5"/>
      <c r="I86" s="5"/>
      <c r="J86" s="5"/>
      <c r="K86" s="8"/>
      <c r="L86" s="9"/>
      <c r="M86" s="10"/>
      <c r="N86" s="84"/>
      <c r="O86" s="330"/>
      <c r="P86" s="331"/>
      <c r="Q86" s="332"/>
      <c r="R86" s="14"/>
      <c r="S86" s="333"/>
      <c r="T86" s="15"/>
      <c r="U86" s="15"/>
      <c r="V86" s="15"/>
      <c r="W86" s="8"/>
      <c r="X86" s="8"/>
      <c r="Y86" s="57"/>
      <c r="Z86" s="57"/>
      <c r="AA86" s="15"/>
      <c r="AB86" s="15"/>
      <c r="AC86" s="15"/>
      <c r="AD86" s="15"/>
      <c r="AE86" s="58"/>
      <c r="AF86" s="58"/>
      <c r="AG86" s="15"/>
      <c r="AH86" s="25"/>
      <c r="AI86" s="26"/>
      <c r="AJ86" s="27"/>
      <c r="AK86" s="27"/>
      <c r="AL86" s="28"/>
    </row>
    <row r="87" ht="12.75" customHeight="1">
      <c r="A87" s="26"/>
      <c r="B87" s="29"/>
      <c r="C87" s="329"/>
      <c r="D87" s="93"/>
      <c r="E87" s="5"/>
      <c r="F87" s="5"/>
      <c r="G87" s="5"/>
      <c r="H87" s="5"/>
      <c r="I87" s="5"/>
      <c r="J87" s="5"/>
      <c r="K87" s="8"/>
      <c r="L87" s="9"/>
      <c r="M87" s="10"/>
      <c r="N87" s="84"/>
      <c r="O87" s="330"/>
      <c r="P87" s="331"/>
      <c r="Q87" s="332"/>
      <c r="R87" s="14"/>
      <c r="S87" s="333"/>
      <c r="T87" s="15"/>
      <c r="U87" s="15"/>
      <c r="V87" s="15"/>
      <c r="W87" s="8"/>
      <c r="X87" s="8"/>
      <c r="Y87" s="57"/>
      <c r="Z87" s="57"/>
      <c r="AA87" s="15"/>
      <c r="AB87" s="15"/>
      <c r="AC87" s="15"/>
      <c r="AD87" s="15"/>
      <c r="AE87" s="58"/>
      <c r="AF87" s="58"/>
      <c r="AG87" s="15"/>
      <c r="AH87" s="25"/>
      <c r="AI87" s="26"/>
      <c r="AJ87" s="27"/>
      <c r="AK87" s="27"/>
      <c r="AL87" s="28"/>
    </row>
    <row r="88" ht="12.75" customHeight="1">
      <c r="A88" s="26"/>
      <c r="B88" s="29"/>
      <c r="C88" s="329"/>
      <c r="D88" s="93"/>
      <c r="E88" s="5"/>
      <c r="F88" s="5"/>
      <c r="G88" s="5"/>
      <c r="H88" s="5"/>
      <c r="I88" s="5"/>
      <c r="J88" s="5"/>
      <c r="K88" s="8"/>
      <c r="L88" s="9"/>
      <c r="M88" s="10"/>
      <c r="N88" s="84"/>
      <c r="O88" s="330"/>
      <c r="P88" s="331"/>
      <c r="Q88" s="332"/>
      <c r="R88" s="14"/>
      <c r="S88" s="333"/>
      <c r="T88" s="15"/>
      <c r="U88" s="15"/>
      <c r="V88" s="15"/>
      <c r="W88" s="8"/>
      <c r="X88" s="8"/>
      <c r="Y88" s="57"/>
      <c r="Z88" s="57"/>
      <c r="AA88" s="15"/>
      <c r="AB88" s="15"/>
      <c r="AC88" s="15"/>
      <c r="AD88" s="15"/>
      <c r="AE88" s="58"/>
      <c r="AF88" s="58"/>
      <c r="AG88" s="15"/>
      <c r="AH88" s="25"/>
      <c r="AI88" s="26"/>
      <c r="AJ88" s="27"/>
      <c r="AK88" s="27"/>
      <c r="AL88" s="28"/>
    </row>
    <row r="89" ht="12.75" customHeight="1">
      <c r="A89" s="26"/>
      <c r="B89" s="29"/>
      <c r="C89" s="329"/>
      <c r="D89" s="93"/>
      <c r="E89" s="5"/>
      <c r="F89" s="5"/>
      <c r="G89" s="5"/>
      <c r="H89" s="5"/>
      <c r="I89" s="5"/>
      <c r="J89" s="5"/>
      <c r="K89" s="8"/>
      <c r="L89" s="9"/>
      <c r="M89" s="10"/>
      <c r="N89" s="84"/>
      <c r="O89" s="330"/>
      <c r="P89" s="331"/>
      <c r="Q89" s="332"/>
      <c r="R89" s="14"/>
      <c r="S89" s="333"/>
      <c r="T89" s="15"/>
      <c r="U89" s="15"/>
      <c r="V89" s="15"/>
      <c r="W89" s="8"/>
      <c r="X89" s="8"/>
      <c r="Y89" s="57"/>
      <c r="Z89" s="57"/>
      <c r="AA89" s="15"/>
      <c r="AB89" s="15"/>
      <c r="AC89" s="15"/>
      <c r="AD89" s="15"/>
      <c r="AE89" s="58"/>
      <c r="AF89" s="58"/>
      <c r="AG89" s="15"/>
      <c r="AH89" s="25"/>
      <c r="AI89" s="26"/>
      <c r="AJ89" s="27"/>
      <c r="AK89" s="27"/>
      <c r="AL89" s="28"/>
    </row>
    <row r="90" ht="12.75" customHeight="1">
      <c r="A90" s="26"/>
      <c r="B90" s="29"/>
      <c r="C90" s="329"/>
      <c r="D90" s="93"/>
      <c r="E90" s="5"/>
      <c r="F90" s="5"/>
      <c r="G90" s="5"/>
      <c r="H90" s="5"/>
      <c r="I90" s="5"/>
      <c r="J90" s="5"/>
      <c r="K90" s="8"/>
      <c r="L90" s="9"/>
      <c r="M90" s="10"/>
      <c r="N90" s="84"/>
      <c r="O90" s="330"/>
      <c r="P90" s="331"/>
      <c r="Q90" s="332"/>
      <c r="R90" s="14"/>
      <c r="S90" s="333"/>
      <c r="T90" s="15"/>
      <c r="U90" s="15"/>
      <c r="V90" s="15"/>
      <c r="W90" s="8"/>
      <c r="X90" s="8"/>
      <c r="Y90" s="57"/>
      <c r="Z90" s="57"/>
      <c r="AA90" s="15"/>
      <c r="AB90" s="15"/>
      <c r="AC90" s="15"/>
      <c r="AD90" s="15"/>
      <c r="AE90" s="58"/>
      <c r="AF90" s="58"/>
      <c r="AG90" s="15"/>
      <c r="AH90" s="25"/>
      <c r="AI90" s="26"/>
      <c r="AJ90" s="27"/>
      <c r="AK90" s="27"/>
      <c r="AL90" s="28"/>
    </row>
    <row r="91" ht="12.75" customHeight="1">
      <c r="A91" s="26"/>
      <c r="B91" s="29"/>
      <c r="C91" s="329"/>
      <c r="D91" s="93"/>
      <c r="E91" s="5"/>
      <c r="F91" s="5"/>
      <c r="G91" s="5"/>
      <c r="H91" s="5"/>
      <c r="I91" s="5"/>
      <c r="J91" s="5"/>
      <c r="K91" s="8"/>
      <c r="L91" s="9"/>
      <c r="M91" s="10"/>
      <c r="N91" s="84"/>
      <c r="O91" s="330"/>
      <c r="P91" s="331"/>
      <c r="Q91" s="332"/>
      <c r="R91" s="14"/>
      <c r="S91" s="333"/>
      <c r="T91" s="15"/>
      <c r="U91" s="15"/>
      <c r="V91" s="15"/>
      <c r="W91" s="8"/>
      <c r="X91" s="8"/>
      <c r="Y91" s="57"/>
      <c r="Z91" s="57"/>
      <c r="AA91" s="15"/>
      <c r="AB91" s="15"/>
      <c r="AC91" s="15"/>
      <c r="AD91" s="15"/>
      <c r="AE91" s="58"/>
      <c r="AF91" s="58"/>
      <c r="AG91" s="15"/>
      <c r="AH91" s="25"/>
      <c r="AI91" s="26"/>
      <c r="AJ91" s="27"/>
      <c r="AK91" s="27"/>
      <c r="AL91" s="28"/>
    </row>
    <row r="92" ht="12.75" customHeight="1">
      <c r="A92" s="26"/>
      <c r="B92" s="29"/>
      <c r="C92" s="329"/>
      <c r="D92" s="93"/>
      <c r="E92" s="5"/>
      <c r="F92" s="5"/>
      <c r="G92" s="5"/>
      <c r="H92" s="5"/>
      <c r="I92" s="5"/>
      <c r="J92" s="5"/>
      <c r="K92" s="8"/>
      <c r="L92" s="9"/>
      <c r="M92" s="10"/>
      <c r="N92" s="84"/>
      <c r="O92" s="330"/>
      <c r="P92" s="331"/>
      <c r="Q92" s="332"/>
      <c r="R92" s="14"/>
      <c r="S92" s="333"/>
      <c r="T92" s="15"/>
      <c r="U92" s="15"/>
      <c r="V92" s="15"/>
      <c r="W92" s="8"/>
      <c r="X92" s="8"/>
      <c r="Y92" s="57"/>
      <c r="Z92" s="57"/>
      <c r="AA92" s="15"/>
      <c r="AB92" s="15"/>
      <c r="AC92" s="15"/>
      <c r="AD92" s="15"/>
      <c r="AE92" s="58"/>
      <c r="AF92" s="58"/>
      <c r="AG92" s="15"/>
      <c r="AH92" s="25"/>
      <c r="AI92" s="26"/>
      <c r="AJ92" s="27"/>
      <c r="AK92" s="27"/>
      <c r="AL92" s="28"/>
    </row>
    <row r="93" ht="12.75" customHeight="1">
      <c r="A93" s="26"/>
      <c r="B93" s="29"/>
      <c r="C93" s="329"/>
      <c r="D93" s="93"/>
      <c r="E93" s="5"/>
      <c r="F93" s="5"/>
      <c r="G93" s="5"/>
      <c r="H93" s="5"/>
      <c r="I93" s="5"/>
      <c r="J93" s="5"/>
      <c r="K93" s="8"/>
      <c r="L93" s="9"/>
      <c r="M93" s="10"/>
      <c r="N93" s="84"/>
      <c r="O93" s="330"/>
      <c r="P93" s="331"/>
      <c r="Q93" s="332"/>
      <c r="R93" s="14"/>
      <c r="S93" s="333"/>
      <c r="T93" s="15"/>
      <c r="U93" s="15"/>
      <c r="V93" s="15"/>
      <c r="W93" s="8"/>
      <c r="X93" s="8"/>
      <c r="Y93" s="57"/>
      <c r="Z93" s="57"/>
      <c r="AA93" s="15"/>
      <c r="AB93" s="15"/>
      <c r="AC93" s="15"/>
      <c r="AD93" s="15"/>
      <c r="AE93" s="58"/>
      <c r="AF93" s="58"/>
      <c r="AG93" s="15"/>
      <c r="AH93" s="25"/>
      <c r="AI93" s="26"/>
      <c r="AJ93" s="27"/>
      <c r="AK93" s="27"/>
      <c r="AL93" s="28"/>
    </row>
    <row r="94" ht="12.75" customHeight="1">
      <c r="A94" s="26"/>
      <c r="B94" s="29"/>
      <c r="C94" s="329"/>
      <c r="D94" s="93"/>
      <c r="E94" s="5"/>
      <c r="F94" s="5"/>
      <c r="G94" s="5"/>
      <c r="H94" s="5"/>
      <c r="I94" s="5"/>
      <c r="J94" s="5"/>
      <c r="K94" s="8"/>
      <c r="L94" s="9"/>
      <c r="M94" s="10"/>
      <c r="N94" s="84"/>
      <c r="O94" s="330"/>
      <c r="P94" s="331"/>
      <c r="Q94" s="332"/>
      <c r="R94" s="14"/>
      <c r="S94" s="333"/>
      <c r="T94" s="15"/>
      <c r="U94" s="15"/>
      <c r="V94" s="15"/>
      <c r="W94" s="8"/>
      <c r="X94" s="8"/>
      <c r="Y94" s="57"/>
      <c r="Z94" s="57"/>
      <c r="AA94" s="15"/>
      <c r="AB94" s="15"/>
      <c r="AC94" s="15"/>
      <c r="AD94" s="15"/>
      <c r="AE94" s="58"/>
      <c r="AF94" s="58"/>
      <c r="AG94" s="15"/>
      <c r="AH94" s="25"/>
      <c r="AI94" s="26"/>
      <c r="AJ94" s="27"/>
      <c r="AK94" s="27"/>
      <c r="AL94" s="28"/>
    </row>
    <row r="95" ht="12.75" customHeight="1">
      <c r="A95" s="26"/>
      <c r="B95" s="29"/>
      <c r="C95" s="329"/>
      <c r="D95" s="93"/>
      <c r="E95" s="5"/>
      <c r="F95" s="5"/>
      <c r="G95" s="5"/>
      <c r="H95" s="5"/>
      <c r="I95" s="5"/>
      <c r="J95" s="5"/>
      <c r="K95" s="8"/>
      <c r="L95" s="9"/>
      <c r="M95" s="10"/>
      <c r="N95" s="84"/>
      <c r="O95" s="330"/>
      <c r="P95" s="331"/>
      <c r="Q95" s="332"/>
      <c r="R95" s="14"/>
      <c r="S95" s="333"/>
      <c r="T95" s="15"/>
      <c r="U95" s="15"/>
      <c r="V95" s="15"/>
      <c r="W95" s="8"/>
      <c r="X95" s="8"/>
      <c r="Y95" s="57"/>
      <c r="Z95" s="57"/>
      <c r="AA95" s="15"/>
      <c r="AB95" s="15"/>
      <c r="AC95" s="15"/>
      <c r="AD95" s="15"/>
      <c r="AE95" s="58"/>
      <c r="AF95" s="58"/>
      <c r="AG95" s="15"/>
      <c r="AH95" s="25"/>
      <c r="AI95" s="26"/>
      <c r="AJ95" s="27"/>
      <c r="AK95" s="27"/>
      <c r="AL95" s="28"/>
    </row>
    <row r="96" ht="12.75" customHeight="1">
      <c r="A96" s="26"/>
      <c r="B96" s="29"/>
      <c r="C96" s="329"/>
      <c r="D96" s="93"/>
      <c r="E96" s="5"/>
      <c r="F96" s="5"/>
      <c r="G96" s="5"/>
      <c r="H96" s="5"/>
      <c r="I96" s="5"/>
      <c r="J96" s="5"/>
      <c r="K96" s="8"/>
      <c r="L96" s="9"/>
      <c r="M96" s="10"/>
      <c r="N96" s="84"/>
      <c r="O96" s="330"/>
      <c r="P96" s="331"/>
      <c r="Q96" s="332"/>
      <c r="R96" s="14"/>
      <c r="S96" s="333"/>
      <c r="T96" s="15"/>
      <c r="U96" s="15"/>
      <c r="V96" s="15"/>
      <c r="W96" s="8"/>
      <c r="X96" s="8"/>
      <c r="Y96" s="57"/>
      <c r="Z96" s="57"/>
      <c r="AA96" s="15"/>
      <c r="AB96" s="15"/>
      <c r="AC96" s="15"/>
      <c r="AD96" s="15"/>
      <c r="AE96" s="58"/>
      <c r="AF96" s="58"/>
      <c r="AG96" s="15"/>
      <c r="AH96" s="25"/>
      <c r="AI96" s="26"/>
      <c r="AJ96" s="27"/>
      <c r="AK96" s="27"/>
      <c r="AL96" s="28"/>
    </row>
    <row r="97" ht="12.75" customHeight="1">
      <c r="A97" s="26"/>
      <c r="B97" s="29"/>
      <c r="C97" s="329"/>
      <c r="D97" s="93"/>
      <c r="E97" s="5"/>
      <c r="F97" s="5"/>
      <c r="G97" s="5"/>
      <c r="H97" s="5"/>
      <c r="I97" s="5"/>
      <c r="J97" s="5"/>
      <c r="K97" s="8"/>
      <c r="L97" s="9"/>
      <c r="M97" s="10"/>
      <c r="N97" s="84"/>
      <c r="O97" s="330"/>
      <c r="P97" s="331"/>
      <c r="Q97" s="332"/>
      <c r="R97" s="14"/>
      <c r="S97" s="333"/>
      <c r="T97" s="15"/>
      <c r="U97" s="15"/>
      <c r="V97" s="15"/>
      <c r="W97" s="8"/>
      <c r="X97" s="8"/>
      <c r="Y97" s="57"/>
      <c r="Z97" s="57"/>
      <c r="AA97" s="15"/>
      <c r="AB97" s="15"/>
      <c r="AC97" s="15"/>
      <c r="AD97" s="15"/>
      <c r="AE97" s="58"/>
      <c r="AF97" s="58"/>
      <c r="AG97" s="15"/>
      <c r="AH97" s="25"/>
      <c r="AI97" s="26"/>
      <c r="AJ97" s="27"/>
      <c r="AK97" s="27"/>
      <c r="AL97" s="28"/>
    </row>
    <row r="98" ht="12.75" customHeight="1">
      <c r="A98" s="26"/>
      <c r="B98" s="29"/>
      <c r="C98" s="329"/>
      <c r="D98" s="93"/>
      <c r="E98" s="5"/>
      <c r="F98" s="5"/>
      <c r="G98" s="5"/>
      <c r="H98" s="5"/>
      <c r="I98" s="5"/>
      <c r="J98" s="5"/>
      <c r="K98" s="8"/>
      <c r="L98" s="9"/>
      <c r="M98" s="10"/>
      <c r="N98" s="84"/>
      <c r="O98" s="330"/>
      <c r="P98" s="331"/>
      <c r="Q98" s="332"/>
      <c r="R98" s="14"/>
      <c r="S98" s="333"/>
      <c r="T98" s="15"/>
      <c r="U98" s="15"/>
      <c r="V98" s="15"/>
      <c r="W98" s="8"/>
      <c r="X98" s="8"/>
      <c r="Y98" s="57"/>
      <c r="Z98" s="57"/>
      <c r="AA98" s="15"/>
      <c r="AB98" s="15"/>
      <c r="AC98" s="15"/>
      <c r="AD98" s="15"/>
      <c r="AE98" s="58"/>
      <c r="AF98" s="58"/>
      <c r="AG98" s="15"/>
      <c r="AH98" s="25"/>
      <c r="AI98" s="26"/>
      <c r="AJ98" s="27"/>
      <c r="AK98" s="27"/>
      <c r="AL98" s="28"/>
    </row>
    <row r="99" ht="12.75" customHeight="1">
      <c r="A99" s="26"/>
      <c r="B99" s="29"/>
      <c r="C99" s="329"/>
      <c r="D99" s="93"/>
      <c r="E99" s="5"/>
      <c r="F99" s="5"/>
      <c r="G99" s="5"/>
      <c r="H99" s="5"/>
      <c r="I99" s="5"/>
      <c r="J99" s="5"/>
      <c r="K99" s="8"/>
      <c r="L99" s="9"/>
      <c r="M99" s="10"/>
      <c r="N99" s="84"/>
      <c r="O99" s="330"/>
      <c r="P99" s="331"/>
      <c r="Q99" s="332"/>
      <c r="R99" s="14"/>
      <c r="S99" s="333"/>
      <c r="T99" s="15"/>
      <c r="U99" s="15"/>
      <c r="V99" s="15"/>
      <c r="W99" s="8"/>
      <c r="X99" s="8"/>
      <c r="Y99" s="57"/>
      <c r="Z99" s="57"/>
      <c r="AA99" s="15"/>
      <c r="AB99" s="15"/>
      <c r="AC99" s="15"/>
      <c r="AD99" s="15"/>
      <c r="AE99" s="58"/>
      <c r="AF99" s="58"/>
      <c r="AG99" s="15"/>
      <c r="AH99" s="25"/>
      <c r="AI99" s="26"/>
      <c r="AJ99" s="27"/>
      <c r="AK99" s="27"/>
      <c r="AL99" s="28"/>
    </row>
    <row r="100" ht="12.75" customHeight="1">
      <c r="A100" s="26"/>
      <c r="B100" s="29"/>
      <c r="C100" s="329"/>
      <c r="D100" s="93"/>
      <c r="E100" s="5"/>
      <c r="F100" s="5"/>
      <c r="G100" s="5"/>
      <c r="H100" s="5"/>
      <c r="I100" s="5"/>
      <c r="J100" s="5"/>
      <c r="K100" s="8"/>
      <c r="L100" s="9"/>
      <c r="M100" s="10"/>
      <c r="N100" s="84"/>
      <c r="O100" s="330"/>
      <c r="P100" s="331"/>
      <c r="Q100" s="332"/>
      <c r="R100" s="14"/>
      <c r="S100" s="333"/>
      <c r="T100" s="15"/>
      <c r="U100" s="15"/>
      <c r="V100" s="15"/>
      <c r="W100" s="8"/>
      <c r="X100" s="8"/>
      <c r="Y100" s="57"/>
      <c r="Z100" s="57"/>
      <c r="AA100" s="15"/>
      <c r="AB100" s="15"/>
      <c r="AC100" s="15"/>
      <c r="AD100" s="15"/>
      <c r="AE100" s="58"/>
      <c r="AF100" s="58"/>
      <c r="AG100" s="15"/>
      <c r="AH100" s="25"/>
      <c r="AI100" s="26"/>
      <c r="AJ100" s="27"/>
      <c r="AK100" s="27"/>
      <c r="AL100" s="28"/>
    </row>
    <row r="101" ht="12.75" customHeight="1">
      <c r="A101" s="26"/>
      <c r="B101" s="29"/>
      <c r="C101" s="329"/>
      <c r="D101" s="93"/>
      <c r="E101" s="5"/>
      <c r="F101" s="5"/>
      <c r="G101" s="5"/>
      <c r="H101" s="5"/>
      <c r="I101" s="5"/>
      <c r="J101" s="5"/>
      <c r="K101" s="8"/>
      <c r="L101" s="9"/>
      <c r="M101" s="10"/>
      <c r="N101" s="84"/>
      <c r="O101" s="330"/>
      <c r="P101" s="331"/>
      <c r="Q101" s="332"/>
      <c r="R101" s="14"/>
      <c r="S101" s="333"/>
      <c r="T101" s="15"/>
      <c r="U101" s="15"/>
      <c r="V101" s="15"/>
      <c r="W101" s="8"/>
      <c r="X101" s="8"/>
      <c r="Y101" s="57"/>
      <c r="Z101" s="57"/>
      <c r="AA101" s="15"/>
      <c r="AB101" s="15"/>
      <c r="AC101" s="15"/>
      <c r="AD101" s="15"/>
      <c r="AE101" s="58"/>
      <c r="AF101" s="58"/>
      <c r="AG101" s="15"/>
      <c r="AH101" s="25"/>
      <c r="AI101" s="26"/>
      <c r="AJ101" s="27"/>
      <c r="AK101" s="27"/>
      <c r="AL101" s="28"/>
    </row>
    <row r="102" ht="12.75" customHeight="1">
      <c r="A102" s="26"/>
      <c r="B102" s="29"/>
      <c r="C102" s="329"/>
      <c r="D102" s="93"/>
      <c r="E102" s="5"/>
      <c r="F102" s="5"/>
      <c r="G102" s="5"/>
      <c r="H102" s="5"/>
      <c r="I102" s="5"/>
      <c r="J102" s="5"/>
      <c r="K102" s="8"/>
      <c r="L102" s="9"/>
      <c r="M102" s="10"/>
      <c r="N102" s="84"/>
      <c r="O102" s="330"/>
      <c r="P102" s="331"/>
      <c r="Q102" s="332"/>
      <c r="R102" s="14"/>
      <c r="S102" s="333"/>
      <c r="T102" s="15"/>
      <c r="U102" s="15"/>
      <c r="V102" s="15"/>
      <c r="W102" s="8"/>
      <c r="X102" s="8"/>
      <c r="Y102" s="57"/>
      <c r="Z102" s="57"/>
      <c r="AA102" s="15"/>
      <c r="AB102" s="15"/>
      <c r="AC102" s="15"/>
      <c r="AD102" s="15"/>
      <c r="AE102" s="58"/>
      <c r="AF102" s="58"/>
      <c r="AG102" s="15"/>
      <c r="AH102" s="25"/>
      <c r="AI102" s="26"/>
      <c r="AJ102" s="27"/>
      <c r="AK102" s="27"/>
      <c r="AL102" s="28"/>
    </row>
    <row r="103" ht="12.75" customHeight="1">
      <c r="A103" s="26"/>
      <c r="B103" s="29"/>
      <c r="C103" s="329"/>
      <c r="D103" s="93"/>
      <c r="E103" s="5"/>
      <c r="F103" s="5"/>
      <c r="G103" s="5"/>
      <c r="H103" s="5"/>
      <c r="I103" s="5"/>
      <c r="J103" s="5"/>
      <c r="K103" s="8"/>
      <c r="L103" s="9"/>
      <c r="M103" s="10"/>
      <c r="N103" s="84"/>
      <c r="O103" s="330"/>
      <c r="P103" s="331"/>
      <c r="Q103" s="332"/>
      <c r="R103" s="14"/>
      <c r="S103" s="333"/>
      <c r="T103" s="15"/>
      <c r="U103" s="15"/>
      <c r="V103" s="15"/>
      <c r="W103" s="8"/>
      <c r="X103" s="8"/>
      <c r="Y103" s="57"/>
      <c r="Z103" s="57"/>
      <c r="AA103" s="15"/>
      <c r="AB103" s="15"/>
      <c r="AC103" s="15"/>
      <c r="AD103" s="15"/>
      <c r="AE103" s="58"/>
      <c r="AF103" s="58"/>
      <c r="AG103" s="15"/>
      <c r="AH103" s="25"/>
      <c r="AI103" s="26"/>
      <c r="AJ103" s="27"/>
      <c r="AK103" s="27"/>
      <c r="AL103" s="28"/>
    </row>
    <row r="104" ht="12.75" customHeight="1">
      <c r="A104" s="26"/>
      <c r="B104" s="29"/>
      <c r="C104" s="329"/>
      <c r="D104" s="93"/>
      <c r="E104" s="5"/>
      <c r="F104" s="5"/>
      <c r="G104" s="5"/>
      <c r="H104" s="5"/>
      <c r="I104" s="5"/>
      <c r="J104" s="5"/>
      <c r="K104" s="8"/>
      <c r="L104" s="9"/>
      <c r="M104" s="10"/>
      <c r="N104" s="84"/>
      <c r="O104" s="330"/>
      <c r="P104" s="331"/>
      <c r="Q104" s="332"/>
      <c r="R104" s="14"/>
      <c r="S104" s="333"/>
      <c r="T104" s="15"/>
      <c r="U104" s="15"/>
      <c r="V104" s="15"/>
      <c r="W104" s="8"/>
      <c r="X104" s="8"/>
      <c r="Y104" s="57"/>
      <c r="Z104" s="57"/>
      <c r="AA104" s="15"/>
      <c r="AB104" s="15"/>
      <c r="AC104" s="15"/>
      <c r="AD104" s="15"/>
      <c r="AE104" s="58"/>
      <c r="AF104" s="58"/>
      <c r="AG104" s="15"/>
      <c r="AH104" s="25"/>
      <c r="AI104" s="26"/>
      <c r="AJ104" s="27"/>
      <c r="AK104" s="27"/>
      <c r="AL104" s="28"/>
    </row>
    <row r="105" ht="12.75" customHeight="1">
      <c r="A105" s="26"/>
      <c r="B105" s="29"/>
      <c r="C105" s="329"/>
      <c r="D105" s="93"/>
      <c r="E105" s="5"/>
      <c r="F105" s="5"/>
      <c r="G105" s="5"/>
      <c r="H105" s="5"/>
      <c r="I105" s="5"/>
      <c r="J105" s="5"/>
      <c r="K105" s="8"/>
      <c r="L105" s="9"/>
      <c r="M105" s="10"/>
      <c r="N105" s="84"/>
      <c r="O105" s="330"/>
      <c r="P105" s="331"/>
      <c r="Q105" s="332"/>
      <c r="R105" s="14"/>
      <c r="S105" s="333"/>
      <c r="T105" s="15"/>
      <c r="U105" s="15"/>
      <c r="V105" s="15"/>
      <c r="W105" s="8"/>
      <c r="X105" s="8"/>
      <c r="Y105" s="57"/>
      <c r="Z105" s="57"/>
      <c r="AA105" s="15"/>
      <c r="AB105" s="15"/>
      <c r="AC105" s="15"/>
      <c r="AD105" s="15"/>
      <c r="AE105" s="58"/>
      <c r="AF105" s="58"/>
      <c r="AG105" s="15"/>
      <c r="AH105" s="25"/>
      <c r="AI105" s="26"/>
      <c r="AJ105" s="27"/>
      <c r="AK105" s="27"/>
      <c r="AL105" s="28"/>
    </row>
    <row r="106" ht="12.75" customHeight="1">
      <c r="A106" s="26"/>
      <c r="B106" s="29"/>
      <c r="C106" s="329"/>
      <c r="D106" s="93"/>
      <c r="E106" s="5"/>
      <c r="F106" s="5"/>
      <c r="G106" s="5"/>
      <c r="H106" s="5"/>
      <c r="I106" s="5"/>
      <c r="J106" s="5"/>
      <c r="K106" s="8"/>
      <c r="L106" s="9"/>
      <c r="M106" s="10"/>
      <c r="N106" s="84"/>
      <c r="O106" s="330"/>
      <c r="P106" s="331"/>
      <c r="Q106" s="332"/>
      <c r="R106" s="14"/>
      <c r="S106" s="333"/>
      <c r="T106" s="15"/>
      <c r="U106" s="15"/>
      <c r="V106" s="15"/>
      <c r="W106" s="8"/>
      <c r="X106" s="8"/>
      <c r="Y106" s="57"/>
      <c r="Z106" s="57"/>
      <c r="AA106" s="15"/>
      <c r="AB106" s="15"/>
      <c r="AC106" s="15"/>
      <c r="AD106" s="15"/>
      <c r="AE106" s="58"/>
      <c r="AF106" s="58"/>
      <c r="AG106" s="15"/>
      <c r="AH106" s="25"/>
      <c r="AI106" s="26"/>
      <c r="AJ106" s="27"/>
      <c r="AK106" s="27"/>
      <c r="AL106" s="28"/>
    </row>
    <row r="107" ht="12.75" customHeight="1">
      <c r="A107" s="26"/>
      <c r="B107" s="29"/>
      <c r="C107" s="329"/>
      <c r="D107" s="93"/>
      <c r="E107" s="5"/>
      <c r="F107" s="5"/>
      <c r="G107" s="5"/>
      <c r="H107" s="5"/>
      <c r="I107" s="5"/>
      <c r="J107" s="5"/>
      <c r="K107" s="8"/>
      <c r="L107" s="9"/>
      <c r="M107" s="10"/>
      <c r="N107" s="84"/>
      <c r="O107" s="330"/>
      <c r="P107" s="331"/>
      <c r="Q107" s="332"/>
      <c r="R107" s="14"/>
      <c r="S107" s="333"/>
      <c r="T107" s="15"/>
      <c r="U107" s="15"/>
      <c r="V107" s="15"/>
      <c r="W107" s="8"/>
      <c r="X107" s="8"/>
      <c r="Y107" s="57"/>
      <c r="Z107" s="57"/>
      <c r="AA107" s="15"/>
      <c r="AB107" s="15"/>
      <c r="AC107" s="15"/>
      <c r="AD107" s="15"/>
      <c r="AE107" s="58"/>
      <c r="AF107" s="58"/>
      <c r="AG107" s="15"/>
      <c r="AH107" s="25"/>
      <c r="AI107" s="26"/>
      <c r="AJ107" s="27"/>
      <c r="AK107" s="27"/>
      <c r="AL107" s="28"/>
    </row>
    <row r="108" ht="12.75" customHeight="1">
      <c r="A108" s="26"/>
      <c r="B108" s="29"/>
      <c r="C108" s="329"/>
      <c r="D108" s="93"/>
      <c r="E108" s="5"/>
      <c r="F108" s="5"/>
      <c r="G108" s="5"/>
      <c r="H108" s="5"/>
      <c r="I108" s="5"/>
      <c r="J108" s="5"/>
      <c r="K108" s="8"/>
      <c r="L108" s="9"/>
      <c r="M108" s="10"/>
      <c r="N108" s="84"/>
      <c r="O108" s="330"/>
      <c r="P108" s="331"/>
      <c r="Q108" s="332"/>
      <c r="R108" s="14"/>
      <c r="S108" s="333"/>
      <c r="T108" s="15"/>
      <c r="U108" s="15"/>
      <c r="V108" s="15"/>
      <c r="W108" s="8"/>
      <c r="X108" s="8"/>
      <c r="Y108" s="57"/>
      <c r="Z108" s="57"/>
      <c r="AA108" s="15"/>
      <c r="AB108" s="15"/>
      <c r="AC108" s="15"/>
      <c r="AD108" s="15"/>
      <c r="AE108" s="58"/>
      <c r="AF108" s="58"/>
      <c r="AG108" s="15"/>
      <c r="AH108" s="25"/>
      <c r="AI108" s="26"/>
      <c r="AJ108" s="27"/>
      <c r="AK108" s="27"/>
      <c r="AL108" s="28"/>
    </row>
    <row r="109" ht="12.75" customHeight="1">
      <c r="A109" s="26"/>
      <c r="B109" s="29"/>
      <c r="C109" s="329"/>
      <c r="D109" s="93"/>
      <c r="E109" s="5"/>
      <c r="F109" s="5"/>
      <c r="G109" s="5"/>
      <c r="H109" s="5"/>
      <c r="I109" s="5"/>
      <c r="J109" s="5"/>
      <c r="K109" s="8"/>
      <c r="L109" s="9"/>
      <c r="M109" s="10"/>
      <c r="N109" s="84"/>
      <c r="O109" s="330"/>
      <c r="P109" s="331"/>
      <c r="Q109" s="332"/>
      <c r="R109" s="14"/>
      <c r="S109" s="333"/>
      <c r="T109" s="15"/>
      <c r="U109" s="15"/>
      <c r="V109" s="15"/>
      <c r="W109" s="8"/>
      <c r="X109" s="8"/>
      <c r="Y109" s="57"/>
      <c r="Z109" s="57"/>
      <c r="AA109" s="15"/>
      <c r="AB109" s="15"/>
      <c r="AC109" s="15"/>
      <c r="AD109" s="15"/>
      <c r="AE109" s="58"/>
      <c r="AF109" s="58"/>
      <c r="AG109" s="15"/>
      <c r="AH109" s="25"/>
      <c r="AI109" s="26"/>
      <c r="AJ109" s="27"/>
      <c r="AK109" s="27"/>
      <c r="AL109" s="28"/>
    </row>
    <row r="110" ht="12.75" customHeight="1">
      <c r="A110" s="26"/>
      <c r="B110" s="29"/>
      <c r="C110" s="329"/>
      <c r="D110" s="93"/>
      <c r="E110" s="5"/>
      <c r="F110" s="5"/>
      <c r="G110" s="5"/>
      <c r="H110" s="5"/>
      <c r="I110" s="5"/>
      <c r="J110" s="5"/>
      <c r="K110" s="8"/>
      <c r="L110" s="9"/>
      <c r="M110" s="10"/>
      <c r="N110" s="84"/>
      <c r="O110" s="330"/>
      <c r="P110" s="331"/>
      <c r="Q110" s="332"/>
      <c r="R110" s="14"/>
      <c r="S110" s="333"/>
      <c r="T110" s="15"/>
      <c r="U110" s="15"/>
      <c r="V110" s="15"/>
      <c r="W110" s="8"/>
      <c r="X110" s="8"/>
      <c r="Y110" s="57"/>
      <c r="Z110" s="57"/>
      <c r="AA110" s="15"/>
      <c r="AB110" s="15"/>
      <c r="AC110" s="15"/>
      <c r="AD110" s="15"/>
      <c r="AE110" s="58"/>
      <c r="AF110" s="58"/>
      <c r="AG110" s="15"/>
      <c r="AH110" s="25"/>
      <c r="AI110" s="26"/>
      <c r="AJ110" s="27"/>
      <c r="AK110" s="27"/>
      <c r="AL110" s="28"/>
    </row>
    <row r="111" ht="12.75" customHeight="1">
      <c r="A111" s="26"/>
      <c r="B111" s="29"/>
      <c r="C111" s="329"/>
      <c r="D111" s="93"/>
      <c r="E111" s="5"/>
      <c r="F111" s="5"/>
      <c r="G111" s="5"/>
      <c r="H111" s="5"/>
      <c r="I111" s="5"/>
      <c r="J111" s="5"/>
      <c r="K111" s="8"/>
      <c r="L111" s="9"/>
      <c r="M111" s="10"/>
      <c r="N111" s="84"/>
      <c r="O111" s="330"/>
      <c r="P111" s="331"/>
      <c r="Q111" s="332"/>
      <c r="R111" s="14"/>
      <c r="S111" s="333"/>
      <c r="T111" s="15"/>
      <c r="U111" s="15"/>
      <c r="V111" s="15"/>
      <c r="W111" s="8"/>
      <c r="X111" s="8"/>
      <c r="Y111" s="57"/>
      <c r="Z111" s="57"/>
      <c r="AA111" s="15"/>
      <c r="AB111" s="15"/>
      <c r="AC111" s="15"/>
      <c r="AD111" s="15"/>
      <c r="AE111" s="58"/>
      <c r="AF111" s="58"/>
      <c r="AG111" s="15"/>
      <c r="AH111" s="25"/>
      <c r="AI111" s="26"/>
      <c r="AJ111" s="27"/>
      <c r="AK111" s="27"/>
      <c r="AL111" s="28"/>
    </row>
    <row r="112" ht="12.75" customHeight="1">
      <c r="A112" s="26"/>
      <c r="B112" s="29"/>
      <c r="C112" s="329"/>
      <c r="D112" s="93"/>
      <c r="E112" s="5"/>
      <c r="F112" s="5"/>
      <c r="G112" s="5"/>
      <c r="H112" s="5"/>
      <c r="I112" s="5"/>
      <c r="J112" s="5"/>
      <c r="K112" s="8"/>
      <c r="L112" s="9"/>
      <c r="M112" s="10"/>
      <c r="N112" s="84"/>
      <c r="O112" s="330"/>
      <c r="P112" s="331"/>
      <c r="Q112" s="332"/>
      <c r="R112" s="14"/>
      <c r="S112" s="333"/>
      <c r="T112" s="15"/>
      <c r="U112" s="15"/>
      <c r="V112" s="15"/>
      <c r="W112" s="8"/>
      <c r="X112" s="8"/>
      <c r="Y112" s="57"/>
      <c r="Z112" s="57"/>
      <c r="AA112" s="15"/>
      <c r="AB112" s="15"/>
      <c r="AC112" s="15"/>
      <c r="AD112" s="15"/>
      <c r="AE112" s="58"/>
      <c r="AF112" s="58"/>
      <c r="AG112" s="15"/>
      <c r="AH112" s="25"/>
      <c r="AI112" s="26"/>
      <c r="AJ112" s="27"/>
      <c r="AK112" s="27"/>
      <c r="AL112" s="28"/>
    </row>
    <row r="113" ht="12.75" customHeight="1">
      <c r="A113" s="26"/>
      <c r="B113" s="29"/>
      <c r="C113" s="329"/>
      <c r="D113" s="93"/>
      <c r="E113" s="5"/>
      <c r="F113" s="5"/>
      <c r="G113" s="5"/>
      <c r="H113" s="5"/>
      <c r="I113" s="5"/>
      <c r="J113" s="5"/>
      <c r="K113" s="8"/>
      <c r="L113" s="9"/>
      <c r="M113" s="10"/>
      <c r="N113" s="84"/>
      <c r="O113" s="330"/>
      <c r="P113" s="331"/>
      <c r="Q113" s="332"/>
      <c r="R113" s="14"/>
      <c r="S113" s="333"/>
      <c r="T113" s="15"/>
      <c r="U113" s="15"/>
      <c r="V113" s="15"/>
      <c r="W113" s="8"/>
      <c r="X113" s="8"/>
      <c r="Y113" s="57"/>
      <c r="Z113" s="57"/>
      <c r="AA113" s="15"/>
      <c r="AB113" s="15"/>
      <c r="AC113" s="15"/>
      <c r="AD113" s="15"/>
      <c r="AE113" s="58"/>
      <c r="AF113" s="58"/>
      <c r="AG113" s="15"/>
      <c r="AH113" s="25"/>
      <c r="AI113" s="26"/>
      <c r="AJ113" s="27"/>
      <c r="AK113" s="27"/>
      <c r="AL113" s="28"/>
    </row>
    <row r="114" ht="12.75" customHeight="1">
      <c r="A114" s="26"/>
      <c r="B114" s="29"/>
      <c r="C114" s="329"/>
      <c r="D114" s="93"/>
      <c r="E114" s="5"/>
      <c r="F114" s="5"/>
      <c r="G114" s="5"/>
      <c r="H114" s="5"/>
      <c r="I114" s="5"/>
      <c r="J114" s="5"/>
      <c r="K114" s="8"/>
      <c r="L114" s="9"/>
      <c r="M114" s="10"/>
      <c r="N114" s="84"/>
      <c r="O114" s="330"/>
      <c r="P114" s="331"/>
      <c r="Q114" s="332"/>
      <c r="R114" s="14"/>
      <c r="S114" s="333"/>
      <c r="T114" s="15"/>
      <c r="U114" s="15"/>
      <c r="V114" s="15"/>
      <c r="W114" s="8"/>
      <c r="X114" s="8"/>
      <c r="Y114" s="57"/>
      <c r="Z114" s="57"/>
      <c r="AA114" s="15"/>
      <c r="AB114" s="15"/>
      <c r="AC114" s="15"/>
      <c r="AD114" s="15"/>
      <c r="AE114" s="58"/>
      <c r="AF114" s="58"/>
      <c r="AG114" s="15"/>
      <c r="AH114" s="25"/>
      <c r="AI114" s="26"/>
      <c r="AJ114" s="27"/>
      <c r="AK114" s="27"/>
      <c r="AL114" s="28"/>
    </row>
    <row r="115" ht="12.75" customHeight="1">
      <c r="A115" s="26"/>
      <c r="B115" s="29"/>
      <c r="C115" s="329"/>
      <c r="D115" s="93"/>
      <c r="E115" s="5"/>
      <c r="F115" s="5"/>
      <c r="G115" s="5"/>
      <c r="H115" s="5"/>
      <c r="I115" s="5"/>
      <c r="J115" s="5"/>
      <c r="K115" s="8"/>
      <c r="L115" s="9"/>
      <c r="M115" s="10"/>
      <c r="N115" s="84"/>
      <c r="O115" s="330"/>
      <c r="P115" s="331"/>
      <c r="Q115" s="332"/>
      <c r="R115" s="14"/>
      <c r="S115" s="333"/>
      <c r="T115" s="15"/>
      <c r="U115" s="15"/>
      <c r="V115" s="15"/>
      <c r="W115" s="8"/>
      <c r="X115" s="8"/>
      <c r="Y115" s="57"/>
      <c r="Z115" s="57"/>
      <c r="AA115" s="15"/>
      <c r="AB115" s="15"/>
      <c r="AC115" s="15"/>
      <c r="AD115" s="15"/>
      <c r="AE115" s="58"/>
      <c r="AF115" s="58"/>
      <c r="AG115" s="15"/>
      <c r="AH115" s="25"/>
      <c r="AI115" s="26"/>
      <c r="AJ115" s="27"/>
      <c r="AK115" s="27"/>
      <c r="AL115" s="28"/>
    </row>
    <row r="116" ht="12.75" customHeight="1">
      <c r="A116" s="26"/>
      <c r="B116" s="29"/>
      <c r="C116" s="329"/>
      <c r="D116" s="93"/>
      <c r="E116" s="5"/>
      <c r="F116" s="5"/>
      <c r="G116" s="5"/>
      <c r="H116" s="5"/>
      <c r="I116" s="5"/>
      <c r="J116" s="5"/>
      <c r="K116" s="8"/>
      <c r="L116" s="9"/>
      <c r="M116" s="10"/>
      <c r="N116" s="84"/>
      <c r="O116" s="330"/>
      <c r="P116" s="331"/>
      <c r="Q116" s="332"/>
      <c r="R116" s="14"/>
      <c r="S116" s="333"/>
      <c r="T116" s="15"/>
      <c r="U116" s="15"/>
      <c r="V116" s="15"/>
      <c r="W116" s="8"/>
      <c r="X116" s="8"/>
      <c r="Y116" s="57"/>
      <c r="Z116" s="57"/>
      <c r="AA116" s="15"/>
      <c r="AB116" s="15"/>
      <c r="AC116" s="15"/>
      <c r="AD116" s="15"/>
      <c r="AE116" s="58"/>
      <c r="AF116" s="58"/>
      <c r="AG116" s="15"/>
      <c r="AH116" s="25"/>
      <c r="AI116" s="26"/>
      <c r="AJ116" s="27"/>
      <c r="AK116" s="27"/>
      <c r="AL116" s="28"/>
    </row>
    <row r="117" ht="12.75" customHeight="1">
      <c r="A117" s="26"/>
      <c r="B117" s="29"/>
      <c r="C117" s="329"/>
      <c r="D117" s="93"/>
      <c r="E117" s="5"/>
      <c r="F117" s="5"/>
      <c r="G117" s="5"/>
      <c r="H117" s="5"/>
      <c r="I117" s="5"/>
      <c r="J117" s="5"/>
      <c r="K117" s="8"/>
      <c r="L117" s="9"/>
      <c r="M117" s="10"/>
      <c r="N117" s="84"/>
      <c r="O117" s="330"/>
      <c r="P117" s="331"/>
      <c r="Q117" s="332"/>
      <c r="R117" s="14"/>
      <c r="S117" s="333"/>
      <c r="T117" s="15"/>
      <c r="U117" s="15"/>
      <c r="V117" s="15"/>
      <c r="W117" s="8"/>
      <c r="X117" s="8"/>
      <c r="Y117" s="57"/>
      <c r="Z117" s="57"/>
      <c r="AA117" s="15"/>
      <c r="AB117" s="15"/>
      <c r="AC117" s="15"/>
      <c r="AD117" s="15"/>
      <c r="AE117" s="58"/>
      <c r="AF117" s="58"/>
      <c r="AG117" s="15"/>
      <c r="AH117" s="25"/>
      <c r="AI117" s="26"/>
      <c r="AJ117" s="27"/>
      <c r="AK117" s="27"/>
      <c r="AL117" s="28"/>
    </row>
    <row r="118" ht="12.75" customHeight="1">
      <c r="A118" s="26"/>
      <c r="B118" s="29"/>
      <c r="C118" s="329"/>
      <c r="D118" s="93"/>
      <c r="E118" s="5"/>
      <c r="F118" s="5"/>
      <c r="G118" s="5"/>
      <c r="H118" s="5"/>
      <c r="I118" s="5"/>
      <c r="J118" s="5"/>
      <c r="K118" s="8"/>
      <c r="L118" s="9"/>
      <c r="M118" s="10"/>
      <c r="N118" s="84"/>
      <c r="O118" s="330"/>
      <c r="P118" s="331"/>
      <c r="Q118" s="332"/>
      <c r="R118" s="14"/>
      <c r="S118" s="333"/>
      <c r="T118" s="15"/>
      <c r="U118" s="15"/>
      <c r="V118" s="15"/>
      <c r="W118" s="8"/>
      <c r="X118" s="8"/>
      <c r="Y118" s="57"/>
      <c r="Z118" s="57"/>
      <c r="AA118" s="15"/>
      <c r="AB118" s="15"/>
      <c r="AC118" s="15"/>
      <c r="AD118" s="15"/>
      <c r="AE118" s="58"/>
      <c r="AF118" s="58"/>
      <c r="AG118" s="15"/>
      <c r="AH118" s="25"/>
      <c r="AI118" s="26"/>
      <c r="AJ118" s="27"/>
      <c r="AK118" s="27"/>
      <c r="AL118" s="28"/>
    </row>
    <row r="119" ht="12.75" customHeight="1">
      <c r="A119" s="26"/>
      <c r="B119" s="29"/>
      <c r="C119" s="329"/>
      <c r="D119" s="93"/>
      <c r="E119" s="5"/>
      <c r="F119" s="5"/>
      <c r="G119" s="5"/>
      <c r="H119" s="5"/>
      <c r="I119" s="5"/>
      <c r="J119" s="5"/>
      <c r="K119" s="8"/>
      <c r="L119" s="9"/>
      <c r="M119" s="10"/>
      <c r="N119" s="84"/>
      <c r="O119" s="330"/>
      <c r="P119" s="331"/>
      <c r="Q119" s="332"/>
      <c r="R119" s="14"/>
      <c r="S119" s="333"/>
      <c r="T119" s="15"/>
      <c r="U119" s="15"/>
      <c r="V119" s="15"/>
      <c r="W119" s="8"/>
      <c r="X119" s="8"/>
      <c r="Y119" s="57"/>
      <c r="Z119" s="57"/>
      <c r="AA119" s="15"/>
      <c r="AB119" s="15"/>
      <c r="AC119" s="15"/>
      <c r="AD119" s="15"/>
      <c r="AE119" s="58"/>
      <c r="AF119" s="58"/>
      <c r="AG119" s="15"/>
      <c r="AH119" s="25"/>
      <c r="AI119" s="26"/>
      <c r="AJ119" s="27"/>
      <c r="AK119" s="27"/>
      <c r="AL119" s="28"/>
    </row>
    <row r="120" ht="12.75" customHeight="1">
      <c r="A120" s="26"/>
      <c r="B120" s="29"/>
      <c r="C120" s="329"/>
      <c r="D120" s="93"/>
      <c r="E120" s="5"/>
      <c r="F120" s="5"/>
      <c r="G120" s="5"/>
      <c r="H120" s="5"/>
      <c r="I120" s="5"/>
      <c r="J120" s="5"/>
      <c r="K120" s="8"/>
      <c r="L120" s="9"/>
      <c r="M120" s="10"/>
      <c r="N120" s="84"/>
      <c r="O120" s="330"/>
      <c r="P120" s="331"/>
      <c r="Q120" s="332"/>
      <c r="R120" s="14"/>
      <c r="S120" s="333"/>
      <c r="T120" s="15"/>
      <c r="U120" s="15"/>
      <c r="V120" s="15"/>
      <c r="W120" s="8"/>
      <c r="X120" s="8"/>
      <c r="Y120" s="57"/>
      <c r="Z120" s="57"/>
      <c r="AA120" s="15"/>
      <c r="AB120" s="15"/>
      <c r="AC120" s="15"/>
      <c r="AD120" s="15"/>
      <c r="AE120" s="58"/>
      <c r="AF120" s="58"/>
      <c r="AG120" s="15"/>
      <c r="AH120" s="25"/>
      <c r="AI120" s="26"/>
      <c r="AJ120" s="27"/>
      <c r="AK120" s="27"/>
      <c r="AL120" s="28"/>
    </row>
    <row r="121" ht="12.75" customHeight="1">
      <c r="A121" s="26"/>
      <c r="B121" s="29"/>
      <c r="C121" s="329"/>
      <c r="D121" s="93"/>
      <c r="E121" s="5"/>
      <c r="F121" s="5"/>
      <c r="G121" s="5"/>
      <c r="H121" s="5"/>
      <c r="I121" s="5"/>
      <c r="J121" s="5"/>
      <c r="K121" s="8"/>
      <c r="L121" s="9"/>
      <c r="M121" s="10"/>
      <c r="N121" s="84"/>
      <c r="O121" s="330"/>
      <c r="P121" s="331"/>
      <c r="Q121" s="332"/>
      <c r="R121" s="14"/>
      <c r="S121" s="333"/>
      <c r="T121" s="15"/>
      <c r="U121" s="15"/>
      <c r="V121" s="15"/>
      <c r="W121" s="8"/>
      <c r="X121" s="8"/>
      <c r="Y121" s="57"/>
      <c r="Z121" s="57"/>
      <c r="AA121" s="15"/>
      <c r="AB121" s="15"/>
      <c r="AC121" s="15"/>
      <c r="AD121" s="15"/>
      <c r="AE121" s="58"/>
      <c r="AF121" s="58"/>
      <c r="AG121" s="15"/>
      <c r="AH121" s="25"/>
      <c r="AI121" s="26"/>
      <c r="AJ121" s="27"/>
      <c r="AK121" s="27"/>
      <c r="AL121" s="28"/>
    </row>
    <row r="122" ht="12.75" customHeight="1">
      <c r="A122" s="26"/>
      <c r="B122" s="29"/>
      <c r="C122" s="329"/>
      <c r="D122" s="93"/>
      <c r="E122" s="5"/>
      <c r="F122" s="5"/>
      <c r="G122" s="5"/>
      <c r="H122" s="5"/>
      <c r="I122" s="5"/>
      <c r="J122" s="5"/>
      <c r="K122" s="8"/>
      <c r="L122" s="9"/>
      <c r="M122" s="10"/>
      <c r="N122" s="84"/>
      <c r="O122" s="330"/>
      <c r="P122" s="331"/>
      <c r="Q122" s="332"/>
      <c r="R122" s="14"/>
      <c r="S122" s="333"/>
      <c r="T122" s="15"/>
      <c r="U122" s="15"/>
      <c r="V122" s="15"/>
      <c r="W122" s="8"/>
      <c r="X122" s="8"/>
      <c r="Y122" s="57"/>
      <c r="Z122" s="57"/>
      <c r="AA122" s="15"/>
      <c r="AB122" s="15"/>
      <c r="AC122" s="15"/>
      <c r="AD122" s="15"/>
      <c r="AE122" s="58"/>
      <c r="AF122" s="58"/>
      <c r="AG122" s="15"/>
      <c r="AH122" s="25"/>
      <c r="AI122" s="26"/>
      <c r="AJ122" s="27"/>
      <c r="AK122" s="27"/>
      <c r="AL122" s="28"/>
    </row>
    <row r="123" ht="12.75" customHeight="1">
      <c r="A123" s="26"/>
      <c r="B123" s="29"/>
      <c r="C123" s="329"/>
      <c r="D123" s="93"/>
      <c r="E123" s="5"/>
      <c r="F123" s="5"/>
      <c r="G123" s="5"/>
      <c r="H123" s="5"/>
      <c r="I123" s="5"/>
      <c r="J123" s="5"/>
      <c r="K123" s="8"/>
      <c r="L123" s="9"/>
      <c r="M123" s="10"/>
      <c r="N123" s="84"/>
      <c r="O123" s="330"/>
      <c r="P123" s="331"/>
      <c r="Q123" s="332"/>
      <c r="R123" s="14"/>
      <c r="S123" s="333"/>
      <c r="T123" s="15"/>
      <c r="U123" s="15"/>
      <c r="V123" s="15"/>
      <c r="W123" s="8"/>
      <c r="X123" s="8"/>
      <c r="Y123" s="57"/>
      <c r="Z123" s="57"/>
      <c r="AA123" s="15"/>
      <c r="AB123" s="15"/>
      <c r="AC123" s="15"/>
      <c r="AD123" s="15"/>
      <c r="AE123" s="58"/>
      <c r="AF123" s="58"/>
      <c r="AG123" s="15"/>
      <c r="AH123" s="25"/>
      <c r="AI123" s="26"/>
      <c r="AJ123" s="27"/>
      <c r="AK123" s="27"/>
      <c r="AL123" s="28"/>
    </row>
    <row r="124" ht="12.75" customHeight="1">
      <c r="A124" s="26"/>
      <c r="B124" s="29"/>
      <c r="C124" s="329"/>
      <c r="D124" s="93"/>
      <c r="E124" s="5"/>
      <c r="F124" s="5"/>
      <c r="G124" s="5"/>
      <c r="H124" s="5"/>
      <c r="I124" s="5"/>
      <c r="J124" s="5"/>
      <c r="K124" s="8"/>
      <c r="L124" s="9"/>
      <c r="M124" s="10"/>
      <c r="N124" s="84"/>
      <c r="O124" s="330"/>
      <c r="P124" s="331"/>
      <c r="Q124" s="332"/>
      <c r="R124" s="14"/>
      <c r="S124" s="333"/>
      <c r="T124" s="15"/>
      <c r="U124" s="15"/>
      <c r="V124" s="15"/>
      <c r="W124" s="8"/>
      <c r="X124" s="8"/>
      <c r="Y124" s="57"/>
      <c r="Z124" s="57"/>
      <c r="AA124" s="15"/>
      <c r="AB124" s="15"/>
      <c r="AC124" s="15"/>
      <c r="AD124" s="15"/>
      <c r="AE124" s="58"/>
      <c r="AF124" s="58"/>
      <c r="AG124" s="15"/>
      <c r="AH124" s="25"/>
      <c r="AI124" s="26"/>
      <c r="AJ124" s="27"/>
      <c r="AK124" s="27"/>
      <c r="AL124" s="28"/>
    </row>
    <row r="125" ht="12.75" customHeight="1">
      <c r="A125" s="26"/>
      <c r="B125" s="29"/>
      <c r="C125" s="329"/>
      <c r="D125" s="93"/>
      <c r="E125" s="5"/>
      <c r="F125" s="5"/>
      <c r="G125" s="5"/>
      <c r="H125" s="5"/>
      <c r="I125" s="5"/>
      <c r="J125" s="5"/>
      <c r="K125" s="8"/>
      <c r="L125" s="9"/>
      <c r="M125" s="10"/>
      <c r="N125" s="84"/>
      <c r="O125" s="330"/>
      <c r="P125" s="331"/>
      <c r="Q125" s="332"/>
      <c r="R125" s="14"/>
      <c r="S125" s="333"/>
      <c r="T125" s="15"/>
      <c r="U125" s="15"/>
      <c r="V125" s="15"/>
      <c r="W125" s="8"/>
      <c r="X125" s="8"/>
      <c r="Y125" s="57"/>
      <c r="Z125" s="57"/>
      <c r="AA125" s="15"/>
      <c r="AB125" s="15"/>
      <c r="AC125" s="15"/>
      <c r="AD125" s="15"/>
      <c r="AE125" s="58"/>
      <c r="AF125" s="58"/>
      <c r="AG125" s="15"/>
      <c r="AH125" s="25"/>
      <c r="AI125" s="26"/>
      <c r="AJ125" s="27"/>
      <c r="AK125" s="27"/>
      <c r="AL125" s="28"/>
    </row>
    <row r="126" ht="12.75" customHeight="1">
      <c r="A126" s="26"/>
      <c r="B126" s="29"/>
      <c r="C126" s="329"/>
      <c r="D126" s="93"/>
      <c r="E126" s="5"/>
      <c r="F126" s="5"/>
      <c r="G126" s="5"/>
      <c r="H126" s="5"/>
      <c r="I126" s="5"/>
      <c r="J126" s="5"/>
      <c r="K126" s="8"/>
      <c r="L126" s="9"/>
      <c r="M126" s="10"/>
      <c r="N126" s="84"/>
      <c r="O126" s="330"/>
      <c r="P126" s="331"/>
      <c r="Q126" s="332"/>
      <c r="R126" s="14"/>
      <c r="S126" s="333"/>
      <c r="T126" s="15"/>
      <c r="U126" s="15"/>
      <c r="V126" s="15"/>
      <c r="W126" s="8"/>
      <c r="X126" s="8"/>
      <c r="Y126" s="57"/>
      <c r="Z126" s="57"/>
      <c r="AA126" s="15"/>
      <c r="AB126" s="15"/>
      <c r="AC126" s="15"/>
      <c r="AD126" s="15"/>
      <c r="AE126" s="58"/>
      <c r="AF126" s="58"/>
      <c r="AG126" s="15"/>
      <c r="AH126" s="25"/>
      <c r="AI126" s="26"/>
      <c r="AJ126" s="27"/>
      <c r="AK126" s="27"/>
      <c r="AL126" s="28"/>
    </row>
    <row r="127" ht="12.75" customHeight="1">
      <c r="A127" s="26"/>
      <c r="B127" s="29"/>
      <c r="C127" s="329"/>
      <c r="D127" s="93"/>
      <c r="E127" s="5"/>
      <c r="F127" s="5"/>
      <c r="G127" s="5"/>
      <c r="H127" s="5"/>
      <c r="I127" s="5"/>
      <c r="J127" s="5"/>
      <c r="K127" s="8"/>
      <c r="L127" s="9"/>
      <c r="M127" s="10"/>
      <c r="N127" s="84"/>
      <c r="O127" s="330"/>
      <c r="P127" s="331"/>
      <c r="Q127" s="332"/>
      <c r="R127" s="14"/>
      <c r="S127" s="333"/>
      <c r="T127" s="15"/>
      <c r="U127" s="15"/>
      <c r="V127" s="15"/>
      <c r="W127" s="8"/>
      <c r="X127" s="8"/>
      <c r="Y127" s="57"/>
      <c r="Z127" s="57"/>
      <c r="AA127" s="15"/>
      <c r="AB127" s="15"/>
      <c r="AC127" s="15"/>
      <c r="AD127" s="15"/>
      <c r="AE127" s="58"/>
      <c r="AF127" s="58"/>
      <c r="AG127" s="15"/>
      <c r="AH127" s="25"/>
      <c r="AI127" s="26"/>
      <c r="AJ127" s="27"/>
      <c r="AK127" s="27"/>
      <c r="AL127" s="28"/>
    </row>
    <row r="128" ht="12.75" customHeight="1">
      <c r="A128" s="26"/>
      <c r="B128" s="29"/>
      <c r="C128" s="329"/>
      <c r="D128" s="93"/>
      <c r="E128" s="5"/>
      <c r="F128" s="5"/>
      <c r="G128" s="5"/>
      <c r="H128" s="5"/>
      <c r="I128" s="5"/>
      <c r="J128" s="5"/>
      <c r="K128" s="8"/>
      <c r="L128" s="9"/>
      <c r="M128" s="10"/>
      <c r="N128" s="84"/>
      <c r="O128" s="330"/>
      <c r="P128" s="331"/>
      <c r="Q128" s="332"/>
      <c r="R128" s="14"/>
      <c r="S128" s="333"/>
      <c r="T128" s="15"/>
      <c r="U128" s="15"/>
      <c r="V128" s="15"/>
      <c r="W128" s="8"/>
      <c r="X128" s="8"/>
      <c r="Y128" s="57"/>
      <c r="Z128" s="57"/>
      <c r="AA128" s="15"/>
      <c r="AB128" s="15"/>
      <c r="AC128" s="15"/>
      <c r="AD128" s="15"/>
      <c r="AE128" s="58"/>
      <c r="AF128" s="58"/>
      <c r="AG128" s="15"/>
      <c r="AH128" s="25"/>
      <c r="AI128" s="26"/>
      <c r="AJ128" s="27"/>
      <c r="AK128" s="27"/>
      <c r="AL128" s="28"/>
    </row>
    <row r="129" ht="12.75" customHeight="1">
      <c r="A129" s="26"/>
      <c r="B129" s="29"/>
      <c r="C129" s="329"/>
      <c r="D129" s="93"/>
      <c r="E129" s="5"/>
      <c r="F129" s="5"/>
      <c r="G129" s="5"/>
      <c r="H129" s="5"/>
      <c r="I129" s="5"/>
      <c r="J129" s="5"/>
      <c r="K129" s="8"/>
      <c r="L129" s="9"/>
      <c r="M129" s="10"/>
      <c r="N129" s="84"/>
      <c r="O129" s="330"/>
      <c r="P129" s="331"/>
      <c r="Q129" s="332"/>
      <c r="R129" s="14"/>
      <c r="S129" s="333"/>
      <c r="T129" s="15"/>
      <c r="U129" s="15"/>
      <c r="V129" s="15"/>
      <c r="W129" s="8"/>
      <c r="X129" s="8"/>
      <c r="Y129" s="57"/>
      <c r="Z129" s="57"/>
      <c r="AA129" s="15"/>
      <c r="AB129" s="15"/>
      <c r="AC129" s="15"/>
      <c r="AD129" s="15"/>
      <c r="AE129" s="58"/>
      <c r="AF129" s="58"/>
      <c r="AG129" s="15"/>
      <c r="AH129" s="25"/>
      <c r="AI129" s="26"/>
      <c r="AJ129" s="27"/>
      <c r="AK129" s="27"/>
      <c r="AL129" s="28"/>
    </row>
    <row r="130" ht="12.75" customHeight="1">
      <c r="A130" s="26"/>
      <c r="B130" s="29"/>
      <c r="C130" s="329"/>
      <c r="D130" s="93"/>
      <c r="E130" s="5"/>
      <c r="F130" s="5"/>
      <c r="G130" s="5"/>
      <c r="H130" s="5"/>
      <c r="I130" s="5"/>
      <c r="J130" s="5"/>
      <c r="K130" s="8"/>
      <c r="L130" s="9"/>
      <c r="M130" s="10"/>
      <c r="N130" s="84"/>
      <c r="O130" s="330"/>
      <c r="P130" s="331"/>
      <c r="Q130" s="332"/>
      <c r="R130" s="14"/>
      <c r="S130" s="333"/>
      <c r="T130" s="15"/>
      <c r="U130" s="15"/>
      <c r="V130" s="15"/>
      <c r="W130" s="8"/>
      <c r="X130" s="8"/>
      <c r="Y130" s="57"/>
      <c r="Z130" s="57"/>
      <c r="AA130" s="15"/>
      <c r="AB130" s="15"/>
      <c r="AC130" s="15"/>
      <c r="AD130" s="15"/>
      <c r="AE130" s="58"/>
      <c r="AF130" s="58"/>
      <c r="AG130" s="15"/>
      <c r="AH130" s="25"/>
      <c r="AI130" s="26"/>
      <c r="AJ130" s="27"/>
      <c r="AK130" s="27"/>
      <c r="AL130" s="28"/>
    </row>
    <row r="131" ht="12.75" customHeight="1">
      <c r="A131" s="26"/>
      <c r="B131" s="29"/>
      <c r="C131" s="329"/>
      <c r="D131" s="93"/>
      <c r="E131" s="5"/>
      <c r="F131" s="5"/>
      <c r="G131" s="5"/>
      <c r="H131" s="5"/>
      <c r="I131" s="5"/>
      <c r="J131" s="5"/>
      <c r="K131" s="8"/>
      <c r="L131" s="9"/>
      <c r="M131" s="10"/>
      <c r="N131" s="84"/>
      <c r="O131" s="330"/>
      <c r="P131" s="331"/>
      <c r="Q131" s="332"/>
      <c r="R131" s="14"/>
      <c r="S131" s="333"/>
      <c r="T131" s="15"/>
      <c r="U131" s="15"/>
      <c r="V131" s="15"/>
      <c r="W131" s="8"/>
      <c r="X131" s="8"/>
      <c r="Y131" s="57"/>
      <c r="Z131" s="57"/>
      <c r="AA131" s="15"/>
      <c r="AB131" s="15"/>
      <c r="AC131" s="15"/>
      <c r="AD131" s="15"/>
      <c r="AE131" s="58"/>
      <c r="AF131" s="58"/>
      <c r="AG131" s="15"/>
      <c r="AH131" s="25"/>
      <c r="AI131" s="26"/>
      <c r="AJ131" s="27"/>
      <c r="AK131" s="27"/>
      <c r="AL131" s="28"/>
    </row>
    <row r="132" ht="12.75" customHeight="1">
      <c r="A132" s="26"/>
      <c r="B132" s="29"/>
      <c r="C132" s="329"/>
      <c r="D132" s="93"/>
      <c r="E132" s="5"/>
      <c r="F132" s="5"/>
      <c r="G132" s="5"/>
      <c r="H132" s="5"/>
      <c r="I132" s="5"/>
      <c r="J132" s="5"/>
      <c r="K132" s="8"/>
      <c r="L132" s="9"/>
      <c r="M132" s="10"/>
      <c r="N132" s="84"/>
      <c r="O132" s="330"/>
      <c r="P132" s="331"/>
      <c r="Q132" s="332"/>
      <c r="R132" s="14"/>
      <c r="S132" s="333"/>
      <c r="T132" s="15"/>
      <c r="U132" s="15"/>
      <c r="V132" s="15"/>
      <c r="W132" s="8"/>
      <c r="X132" s="8"/>
      <c r="Y132" s="57"/>
      <c r="Z132" s="57"/>
      <c r="AA132" s="15"/>
      <c r="AB132" s="15"/>
      <c r="AC132" s="15"/>
      <c r="AD132" s="15"/>
      <c r="AE132" s="58"/>
      <c r="AF132" s="58"/>
      <c r="AG132" s="15"/>
      <c r="AH132" s="25"/>
      <c r="AI132" s="26"/>
      <c r="AJ132" s="27"/>
      <c r="AK132" s="27"/>
      <c r="AL132" s="28"/>
    </row>
    <row r="133" ht="12.75" customHeight="1">
      <c r="A133" s="26"/>
      <c r="B133" s="29"/>
      <c r="C133" s="329"/>
      <c r="D133" s="93"/>
      <c r="E133" s="5"/>
      <c r="F133" s="5"/>
      <c r="G133" s="5"/>
      <c r="H133" s="5"/>
      <c r="I133" s="5"/>
      <c r="J133" s="5"/>
      <c r="K133" s="8"/>
      <c r="L133" s="9"/>
      <c r="M133" s="10"/>
      <c r="N133" s="84"/>
      <c r="O133" s="330"/>
      <c r="P133" s="331"/>
      <c r="Q133" s="332"/>
      <c r="R133" s="14"/>
      <c r="S133" s="333"/>
      <c r="T133" s="15"/>
      <c r="U133" s="15"/>
      <c r="V133" s="15"/>
      <c r="W133" s="8"/>
      <c r="X133" s="8"/>
      <c r="Y133" s="57"/>
      <c r="Z133" s="57"/>
      <c r="AA133" s="15"/>
      <c r="AB133" s="15"/>
      <c r="AC133" s="15"/>
      <c r="AD133" s="15"/>
      <c r="AE133" s="58"/>
      <c r="AF133" s="58"/>
      <c r="AG133" s="15"/>
      <c r="AH133" s="25"/>
      <c r="AI133" s="26"/>
      <c r="AJ133" s="27"/>
      <c r="AK133" s="27"/>
      <c r="AL133" s="28"/>
    </row>
    <row r="134" ht="12.75" customHeight="1">
      <c r="A134" s="26"/>
      <c r="B134" s="29"/>
      <c r="C134" s="329"/>
      <c r="D134" s="93"/>
      <c r="E134" s="5"/>
      <c r="F134" s="5"/>
      <c r="G134" s="5"/>
      <c r="H134" s="5"/>
      <c r="I134" s="5"/>
      <c r="J134" s="5"/>
      <c r="K134" s="8"/>
      <c r="L134" s="9"/>
      <c r="M134" s="10"/>
      <c r="N134" s="84"/>
      <c r="O134" s="330"/>
      <c r="P134" s="331"/>
      <c r="Q134" s="332"/>
      <c r="R134" s="14"/>
      <c r="S134" s="333"/>
      <c r="T134" s="15"/>
      <c r="U134" s="15"/>
      <c r="V134" s="15"/>
      <c r="W134" s="8"/>
      <c r="X134" s="8"/>
      <c r="Y134" s="57"/>
      <c r="Z134" s="57"/>
      <c r="AA134" s="15"/>
      <c r="AB134" s="15"/>
      <c r="AC134" s="15"/>
      <c r="AD134" s="15"/>
      <c r="AE134" s="58"/>
      <c r="AF134" s="58"/>
      <c r="AG134" s="15"/>
      <c r="AH134" s="25"/>
      <c r="AI134" s="26"/>
      <c r="AJ134" s="27"/>
      <c r="AK134" s="27"/>
      <c r="AL134" s="28"/>
    </row>
    <row r="135" ht="12.75" customHeight="1">
      <c r="A135" s="26"/>
      <c r="B135" s="29"/>
      <c r="C135" s="329"/>
      <c r="D135" s="93"/>
      <c r="E135" s="5"/>
      <c r="F135" s="5"/>
      <c r="G135" s="5"/>
      <c r="H135" s="5"/>
      <c r="I135" s="5"/>
      <c r="J135" s="5"/>
      <c r="K135" s="8"/>
      <c r="L135" s="9"/>
      <c r="M135" s="10"/>
      <c r="N135" s="84"/>
      <c r="O135" s="330"/>
      <c r="P135" s="331"/>
      <c r="Q135" s="332"/>
      <c r="R135" s="14"/>
      <c r="S135" s="333"/>
      <c r="T135" s="15"/>
      <c r="U135" s="15"/>
      <c r="V135" s="15"/>
      <c r="W135" s="8"/>
      <c r="X135" s="8"/>
      <c r="Y135" s="57"/>
      <c r="Z135" s="57"/>
      <c r="AA135" s="15"/>
      <c r="AB135" s="15"/>
      <c r="AC135" s="15"/>
      <c r="AD135" s="15"/>
      <c r="AE135" s="58"/>
      <c r="AF135" s="58"/>
      <c r="AG135" s="15"/>
      <c r="AH135" s="25"/>
      <c r="AI135" s="26"/>
      <c r="AJ135" s="27"/>
      <c r="AK135" s="27"/>
      <c r="AL135" s="28"/>
    </row>
    <row r="136" ht="12.75" customHeight="1">
      <c r="A136" s="26"/>
      <c r="B136" s="29"/>
      <c r="C136" s="329"/>
      <c r="D136" s="93"/>
      <c r="E136" s="5"/>
      <c r="F136" s="5"/>
      <c r="G136" s="5"/>
      <c r="H136" s="5"/>
      <c r="I136" s="5"/>
      <c r="J136" s="5"/>
      <c r="K136" s="8"/>
      <c r="L136" s="9"/>
      <c r="M136" s="10"/>
      <c r="N136" s="84"/>
      <c r="O136" s="330"/>
      <c r="P136" s="331"/>
      <c r="Q136" s="332"/>
      <c r="R136" s="14"/>
      <c r="S136" s="333"/>
      <c r="T136" s="15"/>
      <c r="U136" s="15"/>
      <c r="V136" s="15"/>
      <c r="W136" s="8"/>
      <c r="X136" s="8"/>
      <c r="Y136" s="57"/>
      <c r="Z136" s="57"/>
      <c r="AA136" s="15"/>
      <c r="AB136" s="15"/>
      <c r="AC136" s="15"/>
      <c r="AD136" s="15"/>
      <c r="AE136" s="58"/>
      <c r="AF136" s="58"/>
      <c r="AG136" s="15"/>
      <c r="AH136" s="25"/>
      <c r="AI136" s="26"/>
      <c r="AJ136" s="27"/>
      <c r="AK136" s="27"/>
      <c r="AL136" s="28"/>
    </row>
    <row r="137" ht="12.75" customHeight="1">
      <c r="A137" s="26"/>
      <c r="B137" s="29"/>
      <c r="C137" s="329"/>
      <c r="D137" s="93"/>
      <c r="E137" s="5"/>
      <c r="F137" s="5"/>
      <c r="G137" s="5"/>
      <c r="H137" s="5"/>
      <c r="I137" s="5"/>
      <c r="J137" s="5"/>
      <c r="K137" s="8"/>
      <c r="L137" s="9"/>
      <c r="M137" s="10"/>
      <c r="N137" s="84"/>
      <c r="O137" s="330"/>
      <c r="P137" s="331"/>
      <c r="Q137" s="332"/>
      <c r="R137" s="14"/>
      <c r="S137" s="333"/>
      <c r="T137" s="15"/>
      <c r="U137" s="15"/>
      <c r="V137" s="15"/>
      <c r="W137" s="8"/>
      <c r="X137" s="8"/>
      <c r="Y137" s="57"/>
      <c r="Z137" s="57"/>
      <c r="AA137" s="15"/>
      <c r="AB137" s="15"/>
      <c r="AC137" s="15"/>
      <c r="AD137" s="15"/>
      <c r="AE137" s="58"/>
      <c r="AF137" s="58"/>
      <c r="AG137" s="15"/>
      <c r="AH137" s="25"/>
      <c r="AI137" s="26"/>
      <c r="AJ137" s="27"/>
      <c r="AK137" s="27"/>
      <c r="AL137" s="28"/>
    </row>
    <row r="138" ht="12.75" customHeight="1">
      <c r="A138" s="26"/>
      <c r="B138" s="29"/>
      <c r="C138" s="329"/>
      <c r="D138" s="93"/>
      <c r="E138" s="5"/>
      <c r="F138" s="5"/>
      <c r="G138" s="5"/>
      <c r="H138" s="5"/>
      <c r="I138" s="5"/>
      <c r="J138" s="5"/>
      <c r="K138" s="8"/>
      <c r="L138" s="9"/>
      <c r="M138" s="10"/>
      <c r="N138" s="84"/>
      <c r="O138" s="330"/>
      <c r="P138" s="331"/>
      <c r="Q138" s="332"/>
      <c r="R138" s="14"/>
      <c r="S138" s="333"/>
      <c r="T138" s="15"/>
      <c r="U138" s="15"/>
      <c r="V138" s="15"/>
      <c r="W138" s="8"/>
      <c r="X138" s="8"/>
      <c r="Y138" s="57"/>
      <c r="Z138" s="57"/>
      <c r="AA138" s="15"/>
      <c r="AB138" s="15"/>
      <c r="AC138" s="15"/>
      <c r="AD138" s="15"/>
      <c r="AE138" s="58"/>
      <c r="AF138" s="58"/>
      <c r="AG138" s="15"/>
      <c r="AH138" s="25"/>
      <c r="AI138" s="26"/>
      <c r="AJ138" s="27"/>
      <c r="AK138" s="27"/>
      <c r="AL138" s="28"/>
    </row>
    <row r="139" ht="12.75" customHeight="1">
      <c r="A139" s="26"/>
      <c r="B139" s="29"/>
      <c r="C139" s="329"/>
      <c r="D139" s="93"/>
      <c r="E139" s="5"/>
      <c r="F139" s="5"/>
      <c r="G139" s="5"/>
      <c r="H139" s="5"/>
      <c r="I139" s="5"/>
      <c r="J139" s="5"/>
      <c r="K139" s="8"/>
      <c r="L139" s="9"/>
      <c r="M139" s="10"/>
      <c r="N139" s="84"/>
      <c r="O139" s="330"/>
      <c r="P139" s="331"/>
      <c r="Q139" s="332"/>
      <c r="R139" s="14"/>
      <c r="S139" s="333"/>
      <c r="T139" s="15"/>
      <c r="U139" s="15"/>
      <c r="V139" s="15"/>
      <c r="W139" s="8"/>
      <c r="X139" s="8"/>
      <c r="Y139" s="57"/>
      <c r="Z139" s="57"/>
      <c r="AA139" s="15"/>
      <c r="AB139" s="15"/>
      <c r="AC139" s="15"/>
      <c r="AD139" s="15"/>
      <c r="AE139" s="58"/>
      <c r="AF139" s="58"/>
      <c r="AG139" s="15"/>
      <c r="AH139" s="25"/>
      <c r="AI139" s="26"/>
      <c r="AJ139" s="27"/>
      <c r="AK139" s="27"/>
      <c r="AL139" s="28"/>
    </row>
    <row r="140" ht="12.75" customHeight="1">
      <c r="A140" s="26"/>
      <c r="B140" s="29"/>
      <c r="C140" s="329"/>
      <c r="D140" s="93"/>
      <c r="E140" s="5"/>
      <c r="F140" s="5"/>
      <c r="G140" s="5"/>
      <c r="H140" s="5"/>
      <c r="I140" s="5"/>
      <c r="J140" s="5"/>
      <c r="K140" s="8"/>
      <c r="L140" s="9"/>
      <c r="M140" s="10"/>
      <c r="N140" s="84"/>
      <c r="O140" s="330"/>
      <c r="P140" s="331"/>
      <c r="Q140" s="332"/>
      <c r="R140" s="14"/>
      <c r="S140" s="333"/>
      <c r="T140" s="15"/>
      <c r="U140" s="15"/>
      <c r="V140" s="15"/>
      <c r="W140" s="8"/>
      <c r="X140" s="8"/>
      <c r="Y140" s="57"/>
      <c r="Z140" s="57"/>
      <c r="AA140" s="15"/>
      <c r="AB140" s="15"/>
      <c r="AC140" s="15"/>
      <c r="AD140" s="15"/>
      <c r="AE140" s="58"/>
      <c r="AF140" s="58"/>
      <c r="AG140" s="15"/>
      <c r="AH140" s="25"/>
      <c r="AI140" s="26"/>
      <c r="AJ140" s="27"/>
      <c r="AK140" s="27"/>
      <c r="AL140" s="28"/>
    </row>
    <row r="141" ht="12.75" customHeight="1">
      <c r="A141" s="26"/>
      <c r="B141" s="29"/>
      <c r="C141" s="329"/>
      <c r="D141" s="93"/>
      <c r="E141" s="5"/>
      <c r="F141" s="5"/>
      <c r="G141" s="5"/>
      <c r="H141" s="5"/>
      <c r="I141" s="5"/>
      <c r="J141" s="5"/>
      <c r="K141" s="8"/>
      <c r="L141" s="9"/>
      <c r="M141" s="10"/>
      <c r="N141" s="84"/>
      <c r="O141" s="330"/>
      <c r="P141" s="331"/>
      <c r="Q141" s="332"/>
      <c r="R141" s="14"/>
      <c r="S141" s="333"/>
      <c r="T141" s="15"/>
      <c r="U141" s="15"/>
      <c r="V141" s="15"/>
      <c r="W141" s="8"/>
      <c r="X141" s="8"/>
      <c r="Y141" s="57"/>
      <c r="Z141" s="57"/>
      <c r="AA141" s="15"/>
      <c r="AB141" s="15"/>
      <c r="AC141" s="15"/>
      <c r="AD141" s="15"/>
      <c r="AE141" s="58"/>
      <c r="AF141" s="58"/>
      <c r="AG141" s="15"/>
      <c r="AH141" s="25"/>
      <c r="AI141" s="26"/>
      <c r="AJ141" s="27"/>
      <c r="AK141" s="27"/>
      <c r="AL141" s="28"/>
    </row>
    <row r="142" ht="12.75" customHeight="1">
      <c r="A142" s="26"/>
      <c r="B142" s="29"/>
      <c r="C142" s="329"/>
      <c r="D142" s="93"/>
      <c r="E142" s="5"/>
      <c r="F142" s="5"/>
      <c r="G142" s="5"/>
      <c r="H142" s="5"/>
      <c r="I142" s="5"/>
      <c r="J142" s="5"/>
      <c r="K142" s="8"/>
      <c r="L142" s="9"/>
      <c r="M142" s="10"/>
      <c r="N142" s="84"/>
      <c r="O142" s="330"/>
      <c r="P142" s="331"/>
      <c r="Q142" s="332"/>
      <c r="R142" s="14"/>
      <c r="S142" s="333"/>
      <c r="T142" s="15"/>
      <c r="U142" s="15"/>
      <c r="V142" s="15"/>
      <c r="W142" s="8"/>
      <c r="X142" s="8"/>
      <c r="Y142" s="57"/>
      <c r="Z142" s="57"/>
      <c r="AA142" s="15"/>
      <c r="AB142" s="15"/>
      <c r="AC142" s="15"/>
      <c r="AD142" s="15"/>
      <c r="AE142" s="58"/>
      <c r="AF142" s="58"/>
      <c r="AG142" s="15"/>
      <c r="AH142" s="25"/>
      <c r="AI142" s="26"/>
      <c r="AJ142" s="27"/>
      <c r="AK142" s="27"/>
      <c r="AL142" s="28"/>
    </row>
    <row r="143" ht="12.75" customHeight="1">
      <c r="A143" s="26"/>
      <c r="B143" s="29"/>
      <c r="C143" s="329"/>
      <c r="D143" s="93"/>
      <c r="E143" s="5"/>
      <c r="F143" s="5"/>
      <c r="G143" s="5"/>
      <c r="H143" s="5"/>
      <c r="I143" s="5"/>
      <c r="J143" s="5"/>
      <c r="K143" s="8"/>
      <c r="L143" s="9"/>
      <c r="M143" s="10"/>
      <c r="N143" s="84"/>
      <c r="O143" s="330"/>
      <c r="P143" s="331"/>
      <c r="Q143" s="332"/>
      <c r="R143" s="14"/>
      <c r="S143" s="333"/>
      <c r="T143" s="15"/>
      <c r="U143" s="15"/>
      <c r="V143" s="15"/>
      <c r="W143" s="8"/>
      <c r="X143" s="8"/>
      <c r="Y143" s="57"/>
      <c r="Z143" s="57"/>
      <c r="AA143" s="15"/>
      <c r="AB143" s="15"/>
      <c r="AC143" s="15"/>
      <c r="AD143" s="15"/>
      <c r="AE143" s="58"/>
      <c r="AF143" s="58"/>
      <c r="AG143" s="15"/>
      <c r="AH143" s="25"/>
      <c r="AI143" s="26"/>
      <c r="AJ143" s="27"/>
      <c r="AK143" s="27"/>
      <c r="AL143" s="28"/>
    </row>
    <row r="144" ht="12.75" customHeight="1">
      <c r="A144" s="26"/>
      <c r="B144" s="29"/>
      <c r="C144" s="329"/>
      <c r="D144" s="93"/>
      <c r="E144" s="5"/>
      <c r="F144" s="5"/>
      <c r="G144" s="5"/>
      <c r="H144" s="5"/>
      <c r="I144" s="5"/>
      <c r="J144" s="5"/>
      <c r="K144" s="8"/>
      <c r="L144" s="9"/>
      <c r="M144" s="10"/>
      <c r="N144" s="84"/>
      <c r="O144" s="330"/>
      <c r="P144" s="331"/>
      <c r="Q144" s="332"/>
      <c r="R144" s="14"/>
      <c r="S144" s="333"/>
      <c r="T144" s="15"/>
      <c r="U144" s="15"/>
      <c r="V144" s="15"/>
      <c r="W144" s="8"/>
      <c r="X144" s="8"/>
      <c r="Y144" s="57"/>
      <c r="Z144" s="57"/>
      <c r="AA144" s="15"/>
      <c r="AB144" s="15"/>
      <c r="AC144" s="15"/>
      <c r="AD144" s="15"/>
      <c r="AE144" s="58"/>
      <c r="AF144" s="58"/>
      <c r="AG144" s="15"/>
      <c r="AH144" s="25"/>
      <c r="AI144" s="26"/>
      <c r="AJ144" s="27"/>
      <c r="AK144" s="27"/>
      <c r="AL144" s="28"/>
    </row>
    <row r="145" ht="12.75" customHeight="1">
      <c r="A145" s="26"/>
      <c r="B145" s="29"/>
      <c r="C145" s="329"/>
      <c r="D145" s="93"/>
      <c r="E145" s="5"/>
      <c r="F145" s="5"/>
      <c r="G145" s="5"/>
      <c r="H145" s="5"/>
      <c r="I145" s="5"/>
      <c r="J145" s="5"/>
      <c r="K145" s="8"/>
      <c r="L145" s="9"/>
      <c r="M145" s="10"/>
      <c r="N145" s="84"/>
      <c r="O145" s="330"/>
      <c r="P145" s="331"/>
      <c r="Q145" s="332"/>
      <c r="R145" s="14"/>
      <c r="S145" s="333"/>
      <c r="T145" s="15"/>
      <c r="U145" s="15"/>
      <c r="V145" s="15"/>
      <c r="W145" s="8"/>
      <c r="X145" s="8"/>
      <c r="Y145" s="57"/>
      <c r="Z145" s="57"/>
      <c r="AA145" s="15"/>
      <c r="AB145" s="15"/>
      <c r="AC145" s="15"/>
      <c r="AD145" s="15"/>
      <c r="AE145" s="58"/>
      <c r="AF145" s="58"/>
      <c r="AG145" s="15"/>
      <c r="AH145" s="25"/>
      <c r="AI145" s="26"/>
      <c r="AJ145" s="27"/>
      <c r="AK145" s="27"/>
      <c r="AL145" s="28"/>
    </row>
    <row r="146" ht="12.75" customHeight="1">
      <c r="A146" s="26"/>
      <c r="B146" s="29"/>
      <c r="C146" s="329"/>
      <c r="D146" s="93"/>
      <c r="E146" s="5"/>
      <c r="F146" s="5"/>
      <c r="G146" s="5"/>
      <c r="H146" s="5"/>
      <c r="I146" s="5"/>
      <c r="J146" s="5"/>
      <c r="K146" s="8"/>
      <c r="L146" s="9"/>
      <c r="M146" s="10"/>
      <c r="N146" s="84"/>
      <c r="O146" s="330"/>
      <c r="P146" s="331"/>
      <c r="Q146" s="332"/>
      <c r="R146" s="14"/>
      <c r="S146" s="333"/>
      <c r="T146" s="15"/>
      <c r="U146" s="15"/>
      <c r="V146" s="15"/>
      <c r="W146" s="8"/>
      <c r="X146" s="8"/>
      <c r="Y146" s="57"/>
      <c r="Z146" s="57"/>
      <c r="AA146" s="15"/>
      <c r="AB146" s="15"/>
      <c r="AC146" s="15"/>
      <c r="AD146" s="15"/>
      <c r="AE146" s="58"/>
      <c r="AF146" s="58"/>
      <c r="AG146" s="15"/>
      <c r="AH146" s="25"/>
      <c r="AI146" s="26"/>
      <c r="AJ146" s="27"/>
      <c r="AK146" s="27"/>
      <c r="AL146" s="28"/>
    </row>
    <row r="147" ht="12.75" customHeight="1">
      <c r="A147" s="26"/>
      <c r="B147" s="29"/>
      <c r="C147" s="329"/>
      <c r="D147" s="93"/>
      <c r="E147" s="5"/>
      <c r="F147" s="5"/>
      <c r="G147" s="5"/>
      <c r="H147" s="5"/>
      <c r="I147" s="5"/>
      <c r="J147" s="5"/>
      <c r="K147" s="8"/>
      <c r="L147" s="9"/>
      <c r="M147" s="10"/>
      <c r="N147" s="84"/>
      <c r="O147" s="330"/>
      <c r="P147" s="331"/>
      <c r="Q147" s="332"/>
      <c r="R147" s="14"/>
      <c r="S147" s="333"/>
      <c r="T147" s="15"/>
      <c r="U147" s="15"/>
      <c r="V147" s="15"/>
      <c r="W147" s="8"/>
      <c r="X147" s="8"/>
      <c r="Y147" s="57"/>
      <c r="Z147" s="57"/>
      <c r="AA147" s="15"/>
      <c r="AB147" s="15"/>
      <c r="AC147" s="15"/>
      <c r="AD147" s="15"/>
      <c r="AE147" s="58"/>
      <c r="AF147" s="58"/>
      <c r="AG147" s="15"/>
      <c r="AH147" s="25"/>
      <c r="AI147" s="26"/>
      <c r="AJ147" s="27"/>
      <c r="AK147" s="27"/>
      <c r="AL147" s="28"/>
    </row>
    <row r="148" ht="12.75" customHeight="1">
      <c r="A148" s="26"/>
      <c r="B148" s="29"/>
      <c r="C148" s="329"/>
      <c r="D148" s="93"/>
      <c r="E148" s="5"/>
      <c r="F148" s="5"/>
      <c r="G148" s="5"/>
      <c r="H148" s="5"/>
      <c r="I148" s="5"/>
      <c r="J148" s="5"/>
      <c r="K148" s="8"/>
      <c r="L148" s="9"/>
      <c r="M148" s="10"/>
      <c r="N148" s="84"/>
      <c r="O148" s="330"/>
      <c r="P148" s="331"/>
      <c r="Q148" s="332"/>
      <c r="R148" s="14"/>
      <c r="S148" s="333"/>
      <c r="T148" s="15"/>
      <c r="U148" s="15"/>
      <c r="V148" s="15"/>
      <c r="W148" s="8"/>
      <c r="X148" s="8"/>
      <c r="Y148" s="57"/>
      <c r="Z148" s="57"/>
      <c r="AA148" s="15"/>
      <c r="AB148" s="15"/>
      <c r="AC148" s="15"/>
      <c r="AD148" s="15"/>
      <c r="AE148" s="58"/>
      <c r="AF148" s="58"/>
      <c r="AG148" s="15"/>
      <c r="AH148" s="25"/>
      <c r="AI148" s="26"/>
      <c r="AJ148" s="27"/>
      <c r="AK148" s="27"/>
      <c r="AL148" s="28"/>
    </row>
    <row r="149" ht="12.75" customHeight="1">
      <c r="A149" s="26"/>
      <c r="B149" s="29"/>
      <c r="C149" s="329"/>
      <c r="D149" s="93"/>
      <c r="E149" s="5"/>
      <c r="F149" s="5"/>
      <c r="G149" s="5"/>
      <c r="H149" s="5"/>
      <c r="I149" s="5"/>
      <c r="J149" s="5"/>
      <c r="K149" s="8"/>
      <c r="L149" s="9"/>
      <c r="M149" s="10"/>
      <c r="N149" s="84"/>
      <c r="O149" s="330"/>
      <c r="P149" s="331"/>
      <c r="Q149" s="332"/>
      <c r="R149" s="14"/>
      <c r="S149" s="333"/>
      <c r="T149" s="15"/>
      <c r="U149" s="15"/>
      <c r="V149" s="15"/>
      <c r="W149" s="8"/>
      <c r="X149" s="8"/>
      <c r="Y149" s="57"/>
      <c r="Z149" s="57"/>
      <c r="AA149" s="15"/>
      <c r="AB149" s="15"/>
      <c r="AC149" s="15"/>
      <c r="AD149" s="15"/>
      <c r="AE149" s="58"/>
      <c r="AF149" s="58"/>
      <c r="AG149" s="15"/>
      <c r="AH149" s="25"/>
      <c r="AI149" s="26"/>
      <c r="AJ149" s="27"/>
      <c r="AK149" s="27"/>
      <c r="AL149" s="28"/>
    </row>
    <row r="150" ht="12.75" customHeight="1">
      <c r="A150" s="26"/>
      <c r="B150" s="29"/>
      <c r="C150" s="329"/>
      <c r="D150" s="93"/>
      <c r="E150" s="5"/>
      <c r="F150" s="5"/>
      <c r="G150" s="5"/>
      <c r="H150" s="5"/>
      <c r="I150" s="5"/>
      <c r="J150" s="5"/>
      <c r="K150" s="8"/>
      <c r="L150" s="9"/>
      <c r="M150" s="10"/>
      <c r="N150" s="84"/>
      <c r="O150" s="330"/>
      <c r="P150" s="331"/>
      <c r="Q150" s="332"/>
      <c r="R150" s="14"/>
      <c r="S150" s="333"/>
      <c r="T150" s="15"/>
      <c r="U150" s="15"/>
      <c r="V150" s="15"/>
      <c r="W150" s="8"/>
      <c r="X150" s="8"/>
      <c r="Y150" s="57"/>
      <c r="Z150" s="57"/>
      <c r="AA150" s="15"/>
      <c r="AB150" s="15"/>
      <c r="AC150" s="15"/>
      <c r="AD150" s="15"/>
      <c r="AE150" s="58"/>
      <c r="AF150" s="58"/>
      <c r="AG150" s="15"/>
      <c r="AH150" s="25"/>
      <c r="AI150" s="26"/>
      <c r="AJ150" s="27"/>
      <c r="AK150" s="27"/>
      <c r="AL150" s="28"/>
    </row>
    <row r="151" ht="12.75" customHeight="1">
      <c r="A151" s="26"/>
      <c r="B151" s="29"/>
      <c r="C151" s="329"/>
      <c r="D151" s="93"/>
      <c r="E151" s="5"/>
      <c r="F151" s="5"/>
      <c r="G151" s="5"/>
      <c r="H151" s="5"/>
      <c r="I151" s="5"/>
      <c r="J151" s="5"/>
      <c r="K151" s="8"/>
      <c r="L151" s="9"/>
      <c r="M151" s="10"/>
      <c r="N151" s="84"/>
      <c r="O151" s="330"/>
      <c r="P151" s="331"/>
      <c r="Q151" s="332"/>
      <c r="R151" s="14"/>
      <c r="S151" s="333"/>
      <c r="T151" s="15"/>
      <c r="U151" s="15"/>
      <c r="V151" s="15"/>
      <c r="W151" s="8"/>
      <c r="X151" s="8"/>
      <c r="Y151" s="57"/>
      <c r="Z151" s="57"/>
      <c r="AA151" s="15"/>
      <c r="AB151" s="15"/>
      <c r="AC151" s="15"/>
      <c r="AD151" s="15"/>
      <c r="AE151" s="58"/>
      <c r="AF151" s="58"/>
      <c r="AG151" s="15"/>
      <c r="AH151" s="25"/>
      <c r="AI151" s="26"/>
      <c r="AJ151" s="27"/>
      <c r="AK151" s="27"/>
      <c r="AL151" s="28"/>
    </row>
    <row r="152" ht="12.75" customHeight="1">
      <c r="A152" s="26"/>
      <c r="B152" s="29"/>
      <c r="C152" s="329"/>
      <c r="D152" s="93"/>
      <c r="E152" s="5"/>
      <c r="F152" s="5"/>
      <c r="G152" s="5"/>
      <c r="H152" s="5"/>
      <c r="I152" s="5"/>
      <c r="J152" s="5"/>
      <c r="K152" s="8"/>
      <c r="L152" s="9"/>
      <c r="M152" s="10"/>
      <c r="N152" s="84"/>
      <c r="O152" s="330"/>
      <c r="P152" s="331"/>
      <c r="Q152" s="332"/>
      <c r="R152" s="14"/>
      <c r="S152" s="333"/>
      <c r="T152" s="15"/>
      <c r="U152" s="15"/>
      <c r="V152" s="15"/>
      <c r="W152" s="8"/>
      <c r="X152" s="8"/>
      <c r="Y152" s="57"/>
      <c r="Z152" s="57"/>
      <c r="AA152" s="15"/>
      <c r="AB152" s="15"/>
      <c r="AC152" s="15"/>
      <c r="AD152" s="15"/>
      <c r="AE152" s="58"/>
      <c r="AF152" s="58"/>
      <c r="AG152" s="15"/>
      <c r="AH152" s="25"/>
      <c r="AI152" s="26"/>
      <c r="AJ152" s="27"/>
      <c r="AK152" s="27"/>
      <c r="AL152" s="28"/>
    </row>
    <row r="153" ht="12.75" customHeight="1">
      <c r="A153" s="26"/>
      <c r="B153" s="29"/>
      <c r="C153" s="329"/>
      <c r="D153" s="93"/>
      <c r="E153" s="5"/>
      <c r="F153" s="5"/>
      <c r="G153" s="5"/>
      <c r="H153" s="5"/>
      <c r="I153" s="5"/>
      <c r="J153" s="5"/>
      <c r="K153" s="8"/>
      <c r="L153" s="9"/>
      <c r="M153" s="10"/>
      <c r="N153" s="84"/>
      <c r="O153" s="330"/>
      <c r="P153" s="331"/>
      <c r="Q153" s="332"/>
      <c r="R153" s="14"/>
      <c r="S153" s="333"/>
      <c r="T153" s="15"/>
      <c r="U153" s="15"/>
      <c r="V153" s="15"/>
      <c r="W153" s="8"/>
      <c r="X153" s="8"/>
      <c r="Y153" s="57"/>
      <c r="Z153" s="57"/>
      <c r="AA153" s="15"/>
      <c r="AB153" s="15"/>
      <c r="AC153" s="15"/>
      <c r="AD153" s="15"/>
      <c r="AE153" s="58"/>
      <c r="AF153" s="58"/>
      <c r="AG153" s="15"/>
      <c r="AH153" s="25"/>
      <c r="AI153" s="26"/>
      <c r="AJ153" s="27"/>
      <c r="AK153" s="27"/>
      <c r="AL153" s="28"/>
    </row>
    <row r="154" ht="12.75" customHeight="1">
      <c r="A154" s="26"/>
      <c r="B154" s="29"/>
      <c r="C154" s="329"/>
      <c r="D154" s="93"/>
      <c r="E154" s="5"/>
      <c r="F154" s="5"/>
      <c r="G154" s="5"/>
      <c r="H154" s="5"/>
      <c r="I154" s="5"/>
      <c r="J154" s="5"/>
      <c r="K154" s="8"/>
      <c r="L154" s="9"/>
      <c r="M154" s="10"/>
      <c r="N154" s="84"/>
      <c r="O154" s="330"/>
      <c r="P154" s="331"/>
      <c r="Q154" s="332"/>
      <c r="R154" s="14"/>
      <c r="S154" s="333"/>
      <c r="T154" s="15"/>
      <c r="U154" s="15"/>
      <c r="V154" s="15"/>
      <c r="W154" s="8"/>
      <c r="X154" s="8"/>
      <c r="Y154" s="57"/>
      <c r="Z154" s="57"/>
      <c r="AA154" s="15"/>
      <c r="AB154" s="15"/>
      <c r="AC154" s="15"/>
      <c r="AD154" s="15"/>
      <c r="AE154" s="58"/>
      <c r="AF154" s="58"/>
      <c r="AG154" s="15"/>
      <c r="AH154" s="25"/>
      <c r="AI154" s="26"/>
      <c r="AJ154" s="27"/>
      <c r="AK154" s="27"/>
      <c r="AL154" s="28"/>
    </row>
    <row r="155" ht="12.75" customHeight="1">
      <c r="A155" s="26"/>
      <c r="B155" s="29"/>
      <c r="C155" s="329"/>
      <c r="D155" s="93"/>
      <c r="E155" s="5"/>
      <c r="F155" s="5"/>
      <c r="G155" s="5"/>
      <c r="H155" s="5"/>
      <c r="I155" s="5"/>
      <c r="J155" s="5"/>
      <c r="K155" s="8"/>
      <c r="L155" s="9"/>
      <c r="M155" s="10"/>
      <c r="N155" s="84"/>
      <c r="O155" s="330"/>
      <c r="P155" s="331"/>
      <c r="Q155" s="332"/>
      <c r="R155" s="14"/>
      <c r="S155" s="333"/>
      <c r="T155" s="15"/>
      <c r="U155" s="15"/>
      <c r="V155" s="15"/>
      <c r="W155" s="8"/>
      <c r="X155" s="8"/>
      <c r="Y155" s="57"/>
      <c r="Z155" s="57"/>
      <c r="AA155" s="15"/>
      <c r="AB155" s="15"/>
      <c r="AC155" s="15"/>
      <c r="AD155" s="15"/>
      <c r="AE155" s="58"/>
      <c r="AF155" s="58"/>
      <c r="AG155" s="15"/>
      <c r="AH155" s="25"/>
      <c r="AI155" s="26"/>
      <c r="AJ155" s="27"/>
      <c r="AK155" s="27"/>
      <c r="AL155" s="28"/>
    </row>
    <row r="156" ht="12.75" customHeight="1">
      <c r="A156" s="26"/>
      <c r="B156" s="29"/>
      <c r="C156" s="329"/>
      <c r="D156" s="93"/>
      <c r="E156" s="5"/>
      <c r="F156" s="5"/>
      <c r="G156" s="5"/>
      <c r="H156" s="5"/>
      <c r="I156" s="5"/>
      <c r="J156" s="5"/>
      <c r="K156" s="8"/>
      <c r="L156" s="9"/>
      <c r="M156" s="10"/>
      <c r="N156" s="84"/>
      <c r="O156" s="330"/>
      <c r="P156" s="331"/>
      <c r="Q156" s="332"/>
      <c r="R156" s="14"/>
      <c r="S156" s="333"/>
      <c r="T156" s="15"/>
      <c r="U156" s="15"/>
      <c r="V156" s="15"/>
      <c r="W156" s="8"/>
      <c r="X156" s="8"/>
      <c r="Y156" s="57"/>
      <c r="Z156" s="57"/>
      <c r="AA156" s="15"/>
      <c r="AB156" s="15"/>
      <c r="AC156" s="15"/>
      <c r="AD156" s="15"/>
      <c r="AE156" s="58"/>
      <c r="AF156" s="58"/>
      <c r="AG156" s="15"/>
      <c r="AH156" s="25"/>
      <c r="AI156" s="26"/>
      <c r="AJ156" s="27"/>
      <c r="AK156" s="27"/>
      <c r="AL156" s="28"/>
    </row>
    <row r="157" ht="12.75" customHeight="1">
      <c r="A157" s="26"/>
      <c r="B157" s="29"/>
      <c r="C157" s="329"/>
      <c r="D157" s="93"/>
      <c r="E157" s="5"/>
      <c r="F157" s="5"/>
      <c r="G157" s="5"/>
      <c r="H157" s="5"/>
      <c r="I157" s="5"/>
      <c r="J157" s="5"/>
      <c r="K157" s="8"/>
      <c r="L157" s="9"/>
      <c r="M157" s="10"/>
      <c r="N157" s="84"/>
      <c r="O157" s="330"/>
      <c r="P157" s="331"/>
      <c r="Q157" s="332"/>
      <c r="R157" s="14"/>
      <c r="S157" s="333"/>
      <c r="T157" s="15"/>
      <c r="U157" s="15"/>
      <c r="V157" s="15"/>
      <c r="W157" s="8"/>
      <c r="X157" s="8"/>
      <c r="Y157" s="57"/>
      <c r="Z157" s="57"/>
      <c r="AA157" s="15"/>
      <c r="AB157" s="15"/>
      <c r="AC157" s="15"/>
      <c r="AD157" s="15"/>
      <c r="AE157" s="58"/>
      <c r="AF157" s="58"/>
      <c r="AG157" s="15"/>
      <c r="AH157" s="25"/>
      <c r="AI157" s="26"/>
      <c r="AJ157" s="27"/>
      <c r="AK157" s="27"/>
      <c r="AL157" s="28"/>
    </row>
    <row r="158" ht="12.75" customHeight="1">
      <c r="A158" s="26"/>
      <c r="B158" s="29"/>
      <c r="C158" s="329"/>
      <c r="D158" s="93"/>
      <c r="E158" s="5"/>
      <c r="F158" s="5"/>
      <c r="G158" s="5"/>
      <c r="H158" s="5"/>
      <c r="I158" s="5"/>
      <c r="J158" s="5"/>
      <c r="K158" s="8"/>
      <c r="L158" s="9"/>
      <c r="M158" s="10"/>
      <c r="N158" s="84"/>
      <c r="O158" s="330"/>
      <c r="P158" s="331"/>
      <c r="Q158" s="332"/>
      <c r="R158" s="14"/>
      <c r="S158" s="333"/>
      <c r="T158" s="15"/>
      <c r="U158" s="15"/>
      <c r="V158" s="15"/>
      <c r="W158" s="8"/>
      <c r="X158" s="8"/>
      <c r="Y158" s="57"/>
      <c r="Z158" s="57"/>
      <c r="AA158" s="15"/>
      <c r="AB158" s="15"/>
      <c r="AC158" s="15"/>
      <c r="AD158" s="15"/>
      <c r="AE158" s="58"/>
      <c r="AF158" s="58"/>
      <c r="AG158" s="15"/>
      <c r="AH158" s="25"/>
      <c r="AI158" s="26"/>
      <c r="AJ158" s="27"/>
      <c r="AK158" s="27"/>
      <c r="AL158" s="28"/>
    </row>
    <row r="159" ht="12.75" customHeight="1">
      <c r="A159" s="26"/>
      <c r="B159" s="29"/>
      <c r="C159" s="329"/>
      <c r="D159" s="93"/>
      <c r="E159" s="5"/>
      <c r="F159" s="5"/>
      <c r="G159" s="5"/>
      <c r="H159" s="5"/>
      <c r="I159" s="5"/>
      <c r="J159" s="5"/>
      <c r="K159" s="8"/>
      <c r="L159" s="9"/>
      <c r="M159" s="10"/>
      <c r="N159" s="84"/>
      <c r="O159" s="330"/>
      <c r="P159" s="331"/>
      <c r="Q159" s="332"/>
      <c r="R159" s="14"/>
      <c r="S159" s="333"/>
      <c r="T159" s="15"/>
      <c r="U159" s="15"/>
      <c r="V159" s="15"/>
      <c r="W159" s="8"/>
      <c r="X159" s="8"/>
      <c r="Y159" s="57"/>
      <c r="Z159" s="57"/>
      <c r="AA159" s="15"/>
      <c r="AB159" s="15"/>
      <c r="AC159" s="15"/>
      <c r="AD159" s="15"/>
      <c r="AE159" s="58"/>
      <c r="AF159" s="58"/>
      <c r="AG159" s="15"/>
      <c r="AH159" s="25"/>
      <c r="AI159" s="26"/>
      <c r="AJ159" s="27"/>
      <c r="AK159" s="27"/>
      <c r="AL159" s="28"/>
    </row>
    <row r="160" ht="12.75" customHeight="1">
      <c r="A160" s="26"/>
      <c r="B160" s="29"/>
      <c r="C160" s="329"/>
      <c r="D160" s="93"/>
      <c r="E160" s="5"/>
      <c r="F160" s="5"/>
      <c r="G160" s="5"/>
      <c r="H160" s="5"/>
      <c r="I160" s="5"/>
      <c r="J160" s="5"/>
      <c r="K160" s="8"/>
      <c r="L160" s="9"/>
      <c r="M160" s="10"/>
      <c r="N160" s="84"/>
      <c r="O160" s="330"/>
      <c r="P160" s="331"/>
      <c r="Q160" s="332"/>
      <c r="R160" s="14"/>
      <c r="S160" s="333"/>
      <c r="T160" s="15"/>
      <c r="U160" s="15"/>
      <c r="V160" s="15"/>
      <c r="W160" s="8"/>
      <c r="X160" s="8"/>
      <c r="Y160" s="57"/>
      <c r="Z160" s="57"/>
      <c r="AA160" s="15"/>
      <c r="AB160" s="15"/>
      <c r="AC160" s="15"/>
      <c r="AD160" s="15"/>
      <c r="AE160" s="58"/>
      <c r="AF160" s="58"/>
      <c r="AG160" s="15"/>
      <c r="AH160" s="25"/>
      <c r="AI160" s="26"/>
      <c r="AJ160" s="27"/>
      <c r="AK160" s="27"/>
      <c r="AL160" s="28"/>
    </row>
    <row r="161" ht="12.75" customHeight="1">
      <c r="A161" s="26"/>
      <c r="B161" s="29"/>
      <c r="C161" s="329"/>
      <c r="D161" s="93"/>
      <c r="E161" s="5"/>
      <c r="F161" s="5"/>
      <c r="G161" s="5"/>
      <c r="H161" s="5"/>
      <c r="I161" s="5"/>
      <c r="J161" s="5"/>
      <c r="K161" s="8"/>
      <c r="L161" s="9"/>
      <c r="M161" s="10"/>
      <c r="N161" s="84"/>
      <c r="O161" s="330"/>
      <c r="P161" s="331"/>
      <c r="Q161" s="332"/>
      <c r="R161" s="14"/>
      <c r="S161" s="333"/>
      <c r="T161" s="15"/>
      <c r="U161" s="15"/>
      <c r="V161" s="15"/>
      <c r="W161" s="8"/>
      <c r="X161" s="8"/>
      <c r="Y161" s="57"/>
      <c r="Z161" s="57"/>
      <c r="AA161" s="15"/>
      <c r="AB161" s="15"/>
      <c r="AC161" s="15"/>
      <c r="AD161" s="15"/>
      <c r="AE161" s="58"/>
      <c r="AF161" s="58"/>
      <c r="AG161" s="15"/>
      <c r="AH161" s="25"/>
      <c r="AI161" s="26"/>
      <c r="AJ161" s="27"/>
      <c r="AK161" s="27"/>
      <c r="AL161" s="28"/>
    </row>
    <row r="162" ht="12.75" customHeight="1">
      <c r="A162" s="26"/>
      <c r="B162" s="29"/>
      <c r="C162" s="329"/>
      <c r="D162" s="93"/>
      <c r="E162" s="5"/>
      <c r="F162" s="5"/>
      <c r="G162" s="5"/>
      <c r="H162" s="5"/>
      <c r="I162" s="5"/>
      <c r="J162" s="5"/>
      <c r="K162" s="8"/>
      <c r="L162" s="9"/>
      <c r="M162" s="10"/>
      <c r="N162" s="84"/>
      <c r="O162" s="330"/>
      <c r="P162" s="331"/>
      <c r="Q162" s="332"/>
      <c r="R162" s="14"/>
      <c r="S162" s="333"/>
      <c r="T162" s="15"/>
      <c r="U162" s="15"/>
      <c r="V162" s="15"/>
      <c r="W162" s="8"/>
      <c r="X162" s="8"/>
      <c r="Y162" s="57"/>
      <c r="Z162" s="57"/>
      <c r="AA162" s="15"/>
      <c r="AB162" s="15"/>
      <c r="AC162" s="15"/>
      <c r="AD162" s="15"/>
      <c r="AE162" s="58"/>
      <c r="AF162" s="58"/>
      <c r="AG162" s="15"/>
      <c r="AH162" s="25"/>
      <c r="AI162" s="26"/>
      <c r="AJ162" s="27"/>
      <c r="AK162" s="27"/>
      <c r="AL162" s="28"/>
    </row>
    <row r="163" ht="12.75" customHeight="1">
      <c r="A163" s="26"/>
      <c r="B163" s="29"/>
      <c r="C163" s="329"/>
      <c r="D163" s="93"/>
      <c r="E163" s="5"/>
      <c r="F163" s="5"/>
      <c r="G163" s="5"/>
      <c r="H163" s="5"/>
      <c r="I163" s="5"/>
      <c r="J163" s="5"/>
      <c r="K163" s="8"/>
      <c r="L163" s="9"/>
      <c r="M163" s="10"/>
      <c r="N163" s="84"/>
      <c r="O163" s="330"/>
      <c r="P163" s="331"/>
      <c r="Q163" s="332"/>
      <c r="R163" s="14"/>
      <c r="S163" s="333"/>
      <c r="T163" s="15"/>
      <c r="U163" s="15"/>
      <c r="V163" s="15"/>
      <c r="W163" s="8"/>
      <c r="X163" s="8"/>
      <c r="Y163" s="57"/>
      <c r="Z163" s="57"/>
      <c r="AA163" s="15"/>
      <c r="AB163" s="15"/>
      <c r="AC163" s="15"/>
      <c r="AD163" s="15"/>
      <c r="AE163" s="58"/>
      <c r="AF163" s="58"/>
      <c r="AG163" s="15"/>
      <c r="AH163" s="25"/>
      <c r="AI163" s="26"/>
      <c r="AJ163" s="27"/>
      <c r="AK163" s="27"/>
      <c r="AL163" s="28"/>
    </row>
    <row r="164" ht="12.75" customHeight="1">
      <c r="A164" s="26"/>
      <c r="B164" s="29"/>
      <c r="C164" s="329"/>
      <c r="D164" s="93"/>
      <c r="E164" s="5"/>
      <c r="F164" s="5"/>
      <c r="G164" s="5"/>
      <c r="H164" s="5"/>
      <c r="I164" s="5"/>
      <c r="J164" s="5"/>
      <c r="K164" s="8"/>
      <c r="L164" s="9"/>
      <c r="M164" s="10"/>
      <c r="N164" s="84"/>
      <c r="O164" s="330"/>
      <c r="P164" s="331"/>
      <c r="Q164" s="332"/>
      <c r="R164" s="14"/>
      <c r="S164" s="333"/>
      <c r="T164" s="15"/>
      <c r="U164" s="15"/>
      <c r="V164" s="15"/>
      <c r="W164" s="8"/>
      <c r="X164" s="8"/>
      <c r="Y164" s="57"/>
      <c r="Z164" s="57"/>
      <c r="AA164" s="15"/>
      <c r="AB164" s="15"/>
      <c r="AC164" s="15"/>
      <c r="AD164" s="15"/>
      <c r="AE164" s="58"/>
      <c r="AF164" s="58"/>
      <c r="AG164" s="15"/>
      <c r="AH164" s="25"/>
      <c r="AI164" s="26"/>
      <c r="AJ164" s="27"/>
      <c r="AK164" s="27"/>
      <c r="AL164" s="28"/>
    </row>
    <row r="165" ht="12.75" customHeight="1">
      <c r="A165" s="26"/>
      <c r="B165" s="29"/>
      <c r="C165" s="329"/>
      <c r="D165" s="93"/>
      <c r="E165" s="5"/>
      <c r="F165" s="5"/>
      <c r="G165" s="5"/>
      <c r="H165" s="5"/>
      <c r="I165" s="5"/>
      <c r="J165" s="5"/>
      <c r="K165" s="8"/>
      <c r="L165" s="9"/>
      <c r="M165" s="10"/>
      <c r="N165" s="84"/>
      <c r="O165" s="330"/>
      <c r="P165" s="331"/>
      <c r="Q165" s="332"/>
      <c r="R165" s="14"/>
      <c r="S165" s="333"/>
      <c r="T165" s="15"/>
      <c r="U165" s="15"/>
      <c r="V165" s="15"/>
      <c r="W165" s="8"/>
      <c r="X165" s="8"/>
      <c r="Y165" s="57"/>
      <c r="Z165" s="57"/>
      <c r="AA165" s="15"/>
      <c r="AB165" s="15"/>
      <c r="AC165" s="15"/>
      <c r="AD165" s="15"/>
      <c r="AE165" s="58"/>
      <c r="AF165" s="58"/>
      <c r="AG165" s="15"/>
      <c r="AH165" s="25"/>
      <c r="AI165" s="26"/>
      <c r="AJ165" s="27"/>
      <c r="AK165" s="27"/>
      <c r="AL165" s="28"/>
    </row>
    <row r="166" ht="12.75" customHeight="1">
      <c r="A166" s="26"/>
      <c r="B166" s="29"/>
      <c r="C166" s="329"/>
      <c r="D166" s="93"/>
      <c r="E166" s="5"/>
      <c r="F166" s="5"/>
      <c r="G166" s="5"/>
      <c r="H166" s="5"/>
      <c r="I166" s="5"/>
      <c r="J166" s="5"/>
      <c r="K166" s="8"/>
      <c r="L166" s="9"/>
      <c r="M166" s="10"/>
      <c r="N166" s="84"/>
      <c r="O166" s="330"/>
      <c r="P166" s="331"/>
      <c r="Q166" s="332"/>
      <c r="R166" s="14"/>
      <c r="S166" s="333"/>
      <c r="T166" s="15"/>
      <c r="U166" s="15"/>
      <c r="V166" s="15"/>
      <c r="W166" s="8"/>
      <c r="X166" s="8"/>
      <c r="Y166" s="57"/>
      <c r="Z166" s="57"/>
      <c r="AA166" s="15"/>
      <c r="AB166" s="15"/>
      <c r="AC166" s="15"/>
      <c r="AD166" s="15"/>
      <c r="AE166" s="58"/>
      <c r="AF166" s="58"/>
      <c r="AG166" s="15"/>
      <c r="AH166" s="25"/>
      <c r="AI166" s="26"/>
      <c r="AJ166" s="27"/>
      <c r="AK166" s="27"/>
      <c r="AL166" s="28"/>
    </row>
    <row r="167" ht="12.75" customHeight="1">
      <c r="A167" s="26"/>
      <c r="B167" s="29"/>
      <c r="C167" s="329"/>
      <c r="D167" s="93"/>
      <c r="E167" s="5"/>
      <c r="F167" s="5"/>
      <c r="G167" s="5"/>
      <c r="H167" s="5"/>
      <c r="I167" s="5"/>
      <c r="J167" s="5"/>
      <c r="K167" s="8"/>
      <c r="L167" s="9"/>
      <c r="M167" s="10"/>
      <c r="N167" s="84"/>
      <c r="O167" s="330"/>
      <c r="P167" s="331"/>
      <c r="Q167" s="332"/>
      <c r="R167" s="14"/>
      <c r="S167" s="333"/>
      <c r="T167" s="15"/>
      <c r="U167" s="15"/>
      <c r="V167" s="15"/>
      <c r="W167" s="8"/>
      <c r="X167" s="8"/>
      <c r="Y167" s="57"/>
      <c r="Z167" s="57"/>
      <c r="AA167" s="15"/>
      <c r="AB167" s="15"/>
      <c r="AC167" s="15"/>
      <c r="AD167" s="15"/>
      <c r="AE167" s="58"/>
      <c r="AF167" s="58"/>
      <c r="AG167" s="15"/>
      <c r="AH167" s="25"/>
      <c r="AI167" s="26"/>
      <c r="AJ167" s="27"/>
      <c r="AK167" s="27"/>
      <c r="AL167" s="28"/>
    </row>
    <row r="168" ht="12.75" customHeight="1">
      <c r="A168" s="26"/>
      <c r="B168" s="29"/>
      <c r="C168" s="329"/>
      <c r="D168" s="93"/>
      <c r="E168" s="5"/>
      <c r="F168" s="5"/>
      <c r="G168" s="5"/>
      <c r="H168" s="5"/>
      <c r="I168" s="5"/>
      <c r="J168" s="5"/>
      <c r="K168" s="8"/>
      <c r="L168" s="9"/>
      <c r="M168" s="10"/>
      <c r="N168" s="84"/>
      <c r="O168" s="330"/>
      <c r="P168" s="331"/>
      <c r="Q168" s="332"/>
      <c r="R168" s="14"/>
      <c r="S168" s="333"/>
      <c r="T168" s="15"/>
      <c r="U168" s="15"/>
      <c r="V168" s="15"/>
      <c r="W168" s="8"/>
      <c r="X168" s="8"/>
      <c r="Y168" s="57"/>
      <c r="Z168" s="57"/>
      <c r="AA168" s="15"/>
      <c r="AB168" s="15"/>
      <c r="AC168" s="15"/>
      <c r="AD168" s="15"/>
      <c r="AE168" s="58"/>
      <c r="AF168" s="58"/>
      <c r="AG168" s="15"/>
      <c r="AH168" s="25"/>
      <c r="AI168" s="26"/>
      <c r="AJ168" s="27"/>
      <c r="AK168" s="27"/>
      <c r="AL168" s="28"/>
    </row>
    <row r="169" ht="12.75" customHeight="1">
      <c r="A169" s="26"/>
      <c r="B169" s="29"/>
      <c r="C169" s="329"/>
      <c r="D169" s="93"/>
      <c r="E169" s="5"/>
      <c r="F169" s="5"/>
      <c r="G169" s="5"/>
      <c r="H169" s="5"/>
      <c r="I169" s="5"/>
      <c r="J169" s="5"/>
      <c r="K169" s="8"/>
      <c r="L169" s="9"/>
      <c r="M169" s="10"/>
      <c r="N169" s="84"/>
      <c r="O169" s="330"/>
      <c r="P169" s="331"/>
      <c r="Q169" s="332"/>
      <c r="R169" s="14"/>
      <c r="S169" s="333"/>
      <c r="T169" s="15"/>
      <c r="U169" s="15"/>
      <c r="V169" s="15"/>
      <c r="W169" s="8"/>
      <c r="X169" s="8"/>
      <c r="Y169" s="57"/>
      <c r="Z169" s="57"/>
      <c r="AA169" s="15"/>
      <c r="AB169" s="15"/>
      <c r="AC169" s="15"/>
      <c r="AD169" s="15"/>
      <c r="AE169" s="58"/>
      <c r="AF169" s="58"/>
      <c r="AG169" s="15"/>
      <c r="AH169" s="25"/>
      <c r="AI169" s="26"/>
      <c r="AJ169" s="27"/>
      <c r="AK169" s="27"/>
      <c r="AL169" s="28"/>
    </row>
    <row r="170" ht="12.75" customHeight="1">
      <c r="A170" s="26"/>
      <c r="B170" s="29"/>
      <c r="C170" s="329"/>
      <c r="D170" s="93"/>
      <c r="E170" s="5"/>
      <c r="F170" s="5"/>
      <c r="G170" s="5"/>
      <c r="H170" s="5"/>
      <c r="I170" s="5"/>
      <c r="J170" s="5"/>
      <c r="K170" s="8"/>
      <c r="L170" s="9"/>
      <c r="M170" s="10"/>
      <c r="N170" s="84"/>
      <c r="O170" s="330"/>
      <c r="P170" s="331"/>
      <c r="Q170" s="332"/>
      <c r="R170" s="14"/>
      <c r="S170" s="333"/>
      <c r="T170" s="15"/>
      <c r="U170" s="15"/>
      <c r="V170" s="15"/>
      <c r="W170" s="8"/>
      <c r="X170" s="8"/>
      <c r="Y170" s="57"/>
      <c r="Z170" s="57"/>
      <c r="AA170" s="15"/>
      <c r="AB170" s="15"/>
      <c r="AC170" s="15"/>
      <c r="AD170" s="15"/>
      <c r="AE170" s="58"/>
      <c r="AF170" s="58"/>
      <c r="AG170" s="15"/>
      <c r="AH170" s="25"/>
      <c r="AI170" s="26"/>
      <c r="AJ170" s="27"/>
      <c r="AK170" s="27"/>
      <c r="AL170" s="28"/>
    </row>
    <row r="171" ht="12.75" customHeight="1">
      <c r="A171" s="26"/>
      <c r="B171" s="29"/>
      <c r="C171" s="329"/>
      <c r="D171" s="93"/>
      <c r="E171" s="5"/>
      <c r="F171" s="5"/>
      <c r="G171" s="5"/>
      <c r="H171" s="5"/>
      <c r="I171" s="5"/>
      <c r="J171" s="5"/>
      <c r="K171" s="8"/>
      <c r="L171" s="9"/>
      <c r="M171" s="10"/>
      <c r="N171" s="84"/>
      <c r="O171" s="330"/>
      <c r="P171" s="331"/>
      <c r="Q171" s="332"/>
      <c r="R171" s="14"/>
      <c r="S171" s="333"/>
      <c r="T171" s="15"/>
      <c r="U171" s="15"/>
      <c r="V171" s="15"/>
      <c r="W171" s="8"/>
      <c r="X171" s="8"/>
      <c r="Y171" s="57"/>
      <c r="Z171" s="57"/>
      <c r="AA171" s="15"/>
      <c r="AB171" s="15"/>
      <c r="AC171" s="15"/>
      <c r="AD171" s="15"/>
      <c r="AE171" s="58"/>
      <c r="AF171" s="58"/>
      <c r="AG171" s="15"/>
      <c r="AH171" s="25"/>
      <c r="AI171" s="26"/>
      <c r="AJ171" s="27"/>
      <c r="AK171" s="27"/>
      <c r="AL171" s="28"/>
    </row>
    <row r="172" ht="12.75" customHeight="1">
      <c r="A172" s="26"/>
      <c r="B172" s="29"/>
      <c r="C172" s="329"/>
      <c r="D172" s="93"/>
      <c r="E172" s="5"/>
      <c r="F172" s="5"/>
      <c r="G172" s="5"/>
      <c r="H172" s="5"/>
      <c r="I172" s="5"/>
      <c r="J172" s="5"/>
      <c r="K172" s="8"/>
      <c r="L172" s="9"/>
      <c r="M172" s="10"/>
      <c r="N172" s="84"/>
      <c r="O172" s="330"/>
      <c r="P172" s="331"/>
      <c r="Q172" s="332"/>
      <c r="R172" s="14"/>
      <c r="S172" s="333"/>
      <c r="T172" s="15"/>
      <c r="U172" s="15"/>
      <c r="V172" s="15"/>
      <c r="W172" s="8"/>
      <c r="X172" s="8"/>
      <c r="Y172" s="57"/>
      <c r="Z172" s="57"/>
      <c r="AA172" s="15"/>
      <c r="AB172" s="15"/>
      <c r="AC172" s="15"/>
      <c r="AD172" s="15"/>
      <c r="AE172" s="58"/>
      <c r="AF172" s="58"/>
      <c r="AG172" s="15"/>
      <c r="AH172" s="25"/>
      <c r="AI172" s="26"/>
      <c r="AJ172" s="27"/>
      <c r="AK172" s="27"/>
      <c r="AL172" s="28"/>
    </row>
    <row r="173" ht="12.75" customHeight="1">
      <c r="A173" s="26"/>
      <c r="B173" s="29"/>
      <c r="C173" s="329"/>
      <c r="D173" s="93"/>
      <c r="E173" s="5"/>
      <c r="F173" s="5"/>
      <c r="G173" s="5"/>
      <c r="H173" s="5"/>
      <c r="I173" s="5"/>
      <c r="J173" s="5"/>
      <c r="K173" s="8"/>
      <c r="L173" s="9"/>
      <c r="M173" s="10"/>
      <c r="N173" s="84"/>
      <c r="O173" s="330"/>
      <c r="P173" s="331"/>
      <c r="Q173" s="332"/>
      <c r="R173" s="14"/>
      <c r="S173" s="333"/>
      <c r="T173" s="15"/>
      <c r="U173" s="15"/>
      <c r="V173" s="15"/>
      <c r="W173" s="8"/>
      <c r="X173" s="8"/>
      <c r="Y173" s="57"/>
      <c r="Z173" s="57"/>
      <c r="AA173" s="15"/>
      <c r="AB173" s="15"/>
      <c r="AC173" s="15"/>
      <c r="AD173" s="15"/>
      <c r="AE173" s="58"/>
      <c r="AF173" s="58"/>
      <c r="AG173" s="15"/>
      <c r="AH173" s="25"/>
      <c r="AI173" s="26"/>
      <c r="AJ173" s="27"/>
      <c r="AK173" s="27"/>
      <c r="AL173" s="28"/>
    </row>
    <row r="174" ht="12.75" customHeight="1">
      <c r="A174" s="26"/>
      <c r="B174" s="29"/>
      <c r="C174" s="329"/>
      <c r="D174" s="93"/>
      <c r="E174" s="5"/>
      <c r="F174" s="5"/>
      <c r="G174" s="5"/>
      <c r="H174" s="5"/>
      <c r="I174" s="5"/>
      <c r="J174" s="5"/>
      <c r="K174" s="8"/>
      <c r="L174" s="9"/>
      <c r="M174" s="10"/>
      <c r="N174" s="84"/>
      <c r="O174" s="330"/>
      <c r="P174" s="331"/>
      <c r="Q174" s="332"/>
      <c r="R174" s="14"/>
      <c r="S174" s="333"/>
      <c r="T174" s="15"/>
      <c r="U174" s="15"/>
      <c r="V174" s="15"/>
      <c r="W174" s="8"/>
      <c r="X174" s="8"/>
      <c r="Y174" s="57"/>
      <c r="Z174" s="57"/>
      <c r="AA174" s="15"/>
      <c r="AB174" s="15"/>
      <c r="AC174" s="15"/>
      <c r="AD174" s="15"/>
      <c r="AE174" s="58"/>
      <c r="AF174" s="58"/>
      <c r="AG174" s="15"/>
      <c r="AH174" s="25"/>
      <c r="AI174" s="26"/>
      <c r="AJ174" s="27"/>
      <c r="AK174" s="27"/>
      <c r="AL174" s="28"/>
    </row>
    <row r="175" ht="12.75" customHeight="1">
      <c r="A175" s="26"/>
      <c r="B175" s="29"/>
      <c r="C175" s="329"/>
      <c r="D175" s="93"/>
      <c r="E175" s="5"/>
      <c r="F175" s="5"/>
      <c r="G175" s="5"/>
      <c r="H175" s="5"/>
      <c r="I175" s="5"/>
      <c r="J175" s="5"/>
      <c r="K175" s="8"/>
      <c r="L175" s="9"/>
      <c r="M175" s="10"/>
      <c r="N175" s="84"/>
      <c r="O175" s="330"/>
      <c r="P175" s="331"/>
      <c r="Q175" s="332"/>
      <c r="R175" s="14"/>
      <c r="S175" s="333"/>
      <c r="T175" s="15"/>
      <c r="U175" s="15"/>
      <c r="V175" s="15"/>
      <c r="W175" s="8"/>
      <c r="X175" s="8"/>
      <c r="Y175" s="57"/>
      <c r="Z175" s="57"/>
      <c r="AA175" s="15"/>
      <c r="AB175" s="15"/>
      <c r="AC175" s="15"/>
      <c r="AD175" s="15"/>
      <c r="AE175" s="58"/>
      <c r="AF175" s="58"/>
      <c r="AG175" s="15"/>
      <c r="AH175" s="25"/>
      <c r="AI175" s="26"/>
      <c r="AJ175" s="27"/>
      <c r="AK175" s="27"/>
      <c r="AL175" s="28"/>
    </row>
    <row r="176" ht="12.75" customHeight="1">
      <c r="A176" s="26"/>
      <c r="B176" s="29"/>
      <c r="C176" s="329"/>
      <c r="D176" s="93"/>
      <c r="E176" s="5"/>
      <c r="F176" s="5"/>
      <c r="G176" s="5"/>
      <c r="H176" s="5"/>
      <c r="I176" s="5"/>
      <c r="J176" s="5"/>
      <c r="K176" s="8"/>
      <c r="L176" s="9"/>
      <c r="M176" s="10"/>
      <c r="N176" s="84"/>
      <c r="O176" s="330"/>
      <c r="P176" s="331"/>
      <c r="Q176" s="332"/>
      <c r="R176" s="14"/>
      <c r="S176" s="333"/>
      <c r="T176" s="15"/>
      <c r="U176" s="15"/>
      <c r="V176" s="15"/>
      <c r="W176" s="8"/>
      <c r="X176" s="8"/>
      <c r="Y176" s="57"/>
      <c r="Z176" s="57"/>
      <c r="AA176" s="15"/>
      <c r="AB176" s="15"/>
      <c r="AC176" s="15"/>
      <c r="AD176" s="15"/>
      <c r="AE176" s="58"/>
      <c r="AF176" s="58"/>
      <c r="AG176" s="15"/>
      <c r="AH176" s="25"/>
      <c r="AI176" s="26"/>
      <c r="AJ176" s="27"/>
      <c r="AK176" s="27"/>
      <c r="AL176" s="28"/>
    </row>
    <row r="177" ht="12.75" customHeight="1">
      <c r="A177" s="26"/>
      <c r="B177" s="29"/>
      <c r="C177" s="329"/>
      <c r="D177" s="93"/>
      <c r="E177" s="5"/>
      <c r="F177" s="5"/>
      <c r="G177" s="5"/>
      <c r="H177" s="5"/>
      <c r="I177" s="5"/>
      <c r="J177" s="5"/>
      <c r="K177" s="8"/>
      <c r="L177" s="9"/>
      <c r="M177" s="10"/>
      <c r="N177" s="84"/>
      <c r="O177" s="330"/>
      <c r="P177" s="331"/>
      <c r="Q177" s="332"/>
      <c r="R177" s="14"/>
      <c r="S177" s="333"/>
      <c r="T177" s="15"/>
      <c r="U177" s="15"/>
      <c r="V177" s="15"/>
      <c r="W177" s="8"/>
      <c r="X177" s="8"/>
      <c r="Y177" s="57"/>
      <c r="Z177" s="57"/>
      <c r="AA177" s="15"/>
      <c r="AB177" s="15"/>
      <c r="AC177" s="15"/>
      <c r="AD177" s="15"/>
      <c r="AE177" s="58"/>
      <c r="AF177" s="58"/>
      <c r="AG177" s="15"/>
      <c r="AH177" s="25"/>
      <c r="AI177" s="26"/>
      <c r="AJ177" s="27"/>
      <c r="AK177" s="27"/>
      <c r="AL177" s="28"/>
    </row>
    <row r="178" ht="12.75" customHeight="1">
      <c r="A178" s="26"/>
      <c r="B178" s="29"/>
      <c r="C178" s="329"/>
      <c r="D178" s="93"/>
      <c r="E178" s="5"/>
      <c r="F178" s="5"/>
      <c r="G178" s="5"/>
      <c r="H178" s="5"/>
      <c r="I178" s="5"/>
      <c r="J178" s="5"/>
      <c r="K178" s="8"/>
      <c r="L178" s="9"/>
      <c r="M178" s="10"/>
      <c r="N178" s="84"/>
      <c r="O178" s="330"/>
      <c r="P178" s="331"/>
      <c r="Q178" s="332"/>
      <c r="R178" s="14"/>
      <c r="S178" s="333"/>
      <c r="T178" s="15"/>
      <c r="U178" s="15"/>
      <c r="V178" s="15"/>
      <c r="W178" s="8"/>
      <c r="X178" s="8"/>
      <c r="Y178" s="57"/>
      <c r="Z178" s="57"/>
      <c r="AA178" s="15"/>
      <c r="AB178" s="15"/>
      <c r="AC178" s="15"/>
      <c r="AD178" s="15"/>
      <c r="AE178" s="58"/>
      <c r="AF178" s="58"/>
      <c r="AG178" s="15"/>
      <c r="AH178" s="25"/>
      <c r="AI178" s="26"/>
      <c r="AJ178" s="27"/>
      <c r="AK178" s="27"/>
      <c r="AL178" s="28"/>
    </row>
    <row r="179" ht="12.75" customHeight="1">
      <c r="A179" s="26"/>
      <c r="B179" s="29"/>
      <c r="C179" s="329"/>
      <c r="D179" s="93"/>
      <c r="E179" s="5"/>
      <c r="F179" s="5"/>
      <c r="G179" s="5"/>
      <c r="H179" s="5"/>
      <c r="I179" s="5"/>
      <c r="J179" s="5"/>
      <c r="K179" s="8"/>
      <c r="L179" s="9"/>
      <c r="M179" s="10"/>
      <c r="N179" s="84"/>
      <c r="O179" s="330"/>
      <c r="P179" s="331"/>
      <c r="Q179" s="332"/>
      <c r="R179" s="14"/>
      <c r="S179" s="333"/>
      <c r="T179" s="15"/>
      <c r="U179" s="15"/>
      <c r="V179" s="15"/>
      <c r="W179" s="8"/>
      <c r="X179" s="8"/>
      <c r="Y179" s="57"/>
      <c r="Z179" s="57"/>
      <c r="AA179" s="15"/>
      <c r="AB179" s="15"/>
      <c r="AC179" s="15"/>
      <c r="AD179" s="15"/>
      <c r="AE179" s="58"/>
      <c r="AF179" s="58"/>
      <c r="AG179" s="15"/>
      <c r="AH179" s="25"/>
      <c r="AI179" s="26"/>
      <c r="AJ179" s="27"/>
      <c r="AK179" s="27"/>
      <c r="AL179" s="28"/>
    </row>
    <row r="180" ht="12.75" customHeight="1">
      <c r="A180" s="26"/>
      <c r="B180" s="29"/>
      <c r="C180" s="329"/>
      <c r="D180" s="93"/>
      <c r="E180" s="5"/>
      <c r="F180" s="5"/>
      <c r="G180" s="5"/>
      <c r="H180" s="5"/>
      <c r="I180" s="5"/>
      <c r="J180" s="5"/>
      <c r="K180" s="8"/>
      <c r="L180" s="9"/>
      <c r="M180" s="10"/>
      <c r="N180" s="84"/>
      <c r="O180" s="330"/>
      <c r="P180" s="331"/>
      <c r="Q180" s="332"/>
      <c r="R180" s="14"/>
      <c r="S180" s="333"/>
      <c r="T180" s="15"/>
      <c r="U180" s="15"/>
      <c r="V180" s="15"/>
      <c r="W180" s="8"/>
      <c r="X180" s="8"/>
      <c r="Y180" s="57"/>
      <c r="Z180" s="57"/>
      <c r="AA180" s="15"/>
      <c r="AB180" s="15"/>
      <c r="AC180" s="15"/>
      <c r="AD180" s="15"/>
      <c r="AE180" s="58"/>
      <c r="AF180" s="58"/>
      <c r="AG180" s="15"/>
      <c r="AH180" s="25"/>
      <c r="AI180" s="26"/>
      <c r="AJ180" s="27"/>
      <c r="AK180" s="27"/>
      <c r="AL180" s="28"/>
    </row>
    <row r="181" ht="12.75" customHeight="1">
      <c r="A181" s="26"/>
      <c r="B181" s="29"/>
      <c r="C181" s="329"/>
      <c r="D181" s="93"/>
      <c r="E181" s="5"/>
      <c r="F181" s="5"/>
      <c r="G181" s="5"/>
      <c r="H181" s="5"/>
      <c r="I181" s="5"/>
      <c r="J181" s="5"/>
      <c r="K181" s="8"/>
      <c r="L181" s="9"/>
      <c r="M181" s="10"/>
      <c r="N181" s="84"/>
      <c r="O181" s="330"/>
      <c r="P181" s="331"/>
      <c r="Q181" s="332"/>
      <c r="R181" s="14"/>
      <c r="S181" s="333"/>
      <c r="T181" s="15"/>
      <c r="U181" s="15"/>
      <c r="V181" s="15"/>
      <c r="W181" s="8"/>
      <c r="X181" s="8"/>
      <c r="Y181" s="57"/>
      <c r="Z181" s="57"/>
      <c r="AA181" s="15"/>
      <c r="AB181" s="15"/>
      <c r="AC181" s="15"/>
      <c r="AD181" s="15"/>
      <c r="AE181" s="58"/>
      <c r="AF181" s="58"/>
      <c r="AG181" s="15"/>
      <c r="AH181" s="25"/>
      <c r="AI181" s="26"/>
      <c r="AJ181" s="27"/>
      <c r="AK181" s="27"/>
      <c r="AL181" s="28"/>
    </row>
    <row r="182" ht="12.75" customHeight="1">
      <c r="A182" s="26"/>
      <c r="B182" s="29"/>
      <c r="C182" s="329"/>
      <c r="D182" s="93"/>
      <c r="E182" s="5"/>
      <c r="F182" s="5"/>
      <c r="G182" s="5"/>
      <c r="H182" s="5"/>
      <c r="I182" s="5"/>
      <c r="J182" s="5"/>
      <c r="K182" s="8"/>
      <c r="L182" s="9"/>
      <c r="M182" s="10"/>
      <c r="N182" s="84"/>
      <c r="O182" s="330"/>
      <c r="P182" s="331"/>
      <c r="Q182" s="332"/>
      <c r="R182" s="14"/>
      <c r="S182" s="333"/>
      <c r="T182" s="15"/>
      <c r="U182" s="15"/>
      <c r="V182" s="15"/>
      <c r="W182" s="8"/>
      <c r="X182" s="8"/>
      <c r="Y182" s="57"/>
      <c r="Z182" s="57"/>
      <c r="AA182" s="15"/>
      <c r="AB182" s="15"/>
      <c r="AC182" s="15"/>
      <c r="AD182" s="15"/>
      <c r="AE182" s="58"/>
      <c r="AF182" s="58"/>
      <c r="AG182" s="15"/>
      <c r="AH182" s="25"/>
      <c r="AI182" s="26"/>
      <c r="AJ182" s="27"/>
      <c r="AK182" s="27"/>
      <c r="AL182" s="28"/>
    </row>
    <row r="183" ht="12.75" customHeight="1">
      <c r="A183" s="26"/>
      <c r="B183" s="29"/>
      <c r="C183" s="329"/>
      <c r="D183" s="93"/>
      <c r="E183" s="5"/>
      <c r="F183" s="5"/>
      <c r="G183" s="5"/>
      <c r="H183" s="5"/>
      <c r="I183" s="5"/>
      <c r="J183" s="5"/>
      <c r="K183" s="8"/>
      <c r="L183" s="9"/>
      <c r="M183" s="10"/>
      <c r="N183" s="84"/>
      <c r="O183" s="330"/>
      <c r="P183" s="331"/>
      <c r="Q183" s="332"/>
      <c r="R183" s="14"/>
      <c r="S183" s="333"/>
      <c r="T183" s="15"/>
      <c r="U183" s="15"/>
      <c r="V183" s="15"/>
      <c r="W183" s="8"/>
      <c r="X183" s="8"/>
      <c r="Y183" s="57"/>
      <c r="Z183" s="57"/>
      <c r="AA183" s="15"/>
      <c r="AB183" s="15"/>
      <c r="AC183" s="15"/>
      <c r="AD183" s="15"/>
      <c r="AE183" s="58"/>
      <c r="AF183" s="58"/>
      <c r="AG183" s="15"/>
      <c r="AH183" s="25"/>
      <c r="AI183" s="26"/>
      <c r="AJ183" s="27"/>
      <c r="AK183" s="27"/>
      <c r="AL183" s="28"/>
    </row>
    <row r="184" ht="12.75" customHeight="1">
      <c r="A184" s="26"/>
      <c r="B184" s="29"/>
      <c r="C184" s="329"/>
      <c r="D184" s="93"/>
      <c r="E184" s="5"/>
      <c r="F184" s="5"/>
      <c r="G184" s="5"/>
      <c r="H184" s="5"/>
      <c r="I184" s="5"/>
      <c r="J184" s="5"/>
      <c r="K184" s="8"/>
      <c r="L184" s="9"/>
      <c r="M184" s="10"/>
      <c r="N184" s="84"/>
      <c r="O184" s="330"/>
      <c r="P184" s="331"/>
      <c r="Q184" s="332"/>
      <c r="R184" s="14"/>
      <c r="S184" s="333"/>
      <c r="T184" s="15"/>
      <c r="U184" s="15"/>
      <c r="V184" s="15"/>
      <c r="W184" s="8"/>
      <c r="X184" s="8"/>
      <c r="Y184" s="57"/>
      <c r="Z184" s="57"/>
      <c r="AA184" s="15"/>
      <c r="AB184" s="15"/>
      <c r="AC184" s="15"/>
      <c r="AD184" s="15"/>
      <c r="AE184" s="58"/>
      <c r="AF184" s="58"/>
      <c r="AG184" s="15"/>
      <c r="AH184" s="25"/>
      <c r="AI184" s="26"/>
      <c r="AJ184" s="27"/>
      <c r="AK184" s="27"/>
      <c r="AL184" s="28"/>
    </row>
    <row r="185" ht="12.75" customHeight="1">
      <c r="A185" s="26"/>
      <c r="B185" s="29"/>
      <c r="C185" s="329"/>
      <c r="D185" s="93"/>
      <c r="E185" s="5"/>
      <c r="F185" s="5"/>
      <c r="G185" s="5"/>
      <c r="H185" s="5"/>
      <c r="I185" s="5"/>
      <c r="J185" s="5"/>
      <c r="K185" s="8"/>
      <c r="L185" s="9"/>
      <c r="M185" s="10"/>
      <c r="N185" s="84"/>
      <c r="O185" s="330"/>
      <c r="P185" s="331"/>
      <c r="Q185" s="332"/>
      <c r="R185" s="14"/>
      <c r="S185" s="333"/>
      <c r="T185" s="15"/>
      <c r="U185" s="15"/>
      <c r="V185" s="15"/>
      <c r="W185" s="8"/>
      <c r="X185" s="8"/>
      <c r="Y185" s="57"/>
      <c r="Z185" s="57"/>
      <c r="AA185" s="15"/>
      <c r="AB185" s="15"/>
      <c r="AC185" s="15"/>
      <c r="AD185" s="15"/>
      <c r="AE185" s="58"/>
      <c r="AF185" s="58"/>
      <c r="AG185" s="15"/>
      <c r="AH185" s="25"/>
      <c r="AI185" s="26"/>
      <c r="AJ185" s="27"/>
      <c r="AK185" s="27"/>
      <c r="AL185" s="28"/>
    </row>
    <row r="186" ht="12.75" customHeight="1">
      <c r="A186" s="26"/>
      <c r="B186" s="29"/>
      <c r="C186" s="329"/>
      <c r="D186" s="93"/>
      <c r="E186" s="5"/>
      <c r="F186" s="5"/>
      <c r="G186" s="5"/>
      <c r="H186" s="5"/>
      <c r="I186" s="5"/>
      <c r="J186" s="5"/>
      <c r="K186" s="8"/>
      <c r="L186" s="9"/>
      <c r="M186" s="10"/>
      <c r="N186" s="84"/>
      <c r="O186" s="330"/>
      <c r="P186" s="331"/>
      <c r="Q186" s="332"/>
      <c r="R186" s="14"/>
      <c r="S186" s="333"/>
      <c r="T186" s="15"/>
      <c r="U186" s="15"/>
      <c r="V186" s="15"/>
      <c r="W186" s="8"/>
      <c r="X186" s="8"/>
      <c r="Y186" s="57"/>
      <c r="Z186" s="57"/>
      <c r="AA186" s="15"/>
      <c r="AB186" s="15"/>
      <c r="AC186" s="15"/>
      <c r="AD186" s="15"/>
      <c r="AE186" s="58"/>
      <c r="AF186" s="58"/>
      <c r="AG186" s="15"/>
      <c r="AH186" s="25"/>
      <c r="AI186" s="26"/>
      <c r="AJ186" s="27"/>
      <c r="AK186" s="27"/>
      <c r="AL186" s="28"/>
    </row>
    <row r="187" ht="12.75" customHeight="1">
      <c r="A187" s="26"/>
      <c r="B187" s="29"/>
      <c r="C187" s="329"/>
      <c r="D187" s="93"/>
      <c r="E187" s="5"/>
      <c r="F187" s="5"/>
      <c r="G187" s="5"/>
      <c r="H187" s="5"/>
      <c r="I187" s="5"/>
      <c r="J187" s="5"/>
      <c r="K187" s="8"/>
      <c r="L187" s="9"/>
      <c r="M187" s="10"/>
      <c r="N187" s="84"/>
      <c r="O187" s="330"/>
      <c r="P187" s="331"/>
      <c r="Q187" s="332"/>
      <c r="R187" s="14"/>
      <c r="S187" s="333"/>
      <c r="T187" s="15"/>
      <c r="U187" s="15"/>
      <c r="V187" s="15"/>
      <c r="W187" s="8"/>
      <c r="X187" s="8"/>
      <c r="Y187" s="57"/>
      <c r="Z187" s="57"/>
      <c r="AA187" s="15"/>
      <c r="AB187" s="15"/>
      <c r="AC187" s="15"/>
      <c r="AD187" s="15"/>
      <c r="AE187" s="58"/>
      <c r="AF187" s="58"/>
      <c r="AG187" s="15"/>
      <c r="AH187" s="25"/>
      <c r="AI187" s="26"/>
      <c r="AJ187" s="27"/>
      <c r="AK187" s="27"/>
      <c r="AL187" s="28"/>
    </row>
    <row r="188" ht="12.75" customHeight="1">
      <c r="A188" s="26"/>
      <c r="B188" s="29"/>
      <c r="C188" s="329"/>
      <c r="D188" s="93"/>
      <c r="E188" s="5"/>
      <c r="F188" s="5"/>
      <c r="G188" s="5"/>
      <c r="H188" s="5"/>
      <c r="I188" s="5"/>
      <c r="J188" s="5"/>
      <c r="K188" s="8"/>
      <c r="L188" s="9"/>
      <c r="M188" s="10"/>
      <c r="N188" s="84"/>
      <c r="O188" s="330"/>
      <c r="P188" s="331"/>
      <c r="Q188" s="332"/>
      <c r="R188" s="14"/>
      <c r="S188" s="333"/>
      <c r="T188" s="15"/>
      <c r="U188" s="15"/>
      <c r="V188" s="15"/>
      <c r="W188" s="8"/>
      <c r="X188" s="8"/>
      <c r="Y188" s="57"/>
      <c r="Z188" s="57"/>
      <c r="AA188" s="15"/>
      <c r="AB188" s="15"/>
      <c r="AC188" s="15"/>
      <c r="AD188" s="15"/>
      <c r="AE188" s="58"/>
      <c r="AF188" s="58"/>
      <c r="AG188" s="15"/>
      <c r="AH188" s="25"/>
      <c r="AI188" s="26"/>
      <c r="AJ188" s="27"/>
      <c r="AK188" s="27"/>
      <c r="AL188" s="28"/>
    </row>
    <row r="189" ht="12.75" customHeight="1">
      <c r="A189" s="26"/>
      <c r="B189" s="29"/>
      <c r="C189" s="329"/>
      <c r="D189" s="93"/>
      <c r="E189" s="5"/>
      <c r="F189" s="5"/>
      <c r="G189" s="5"/>
      <c r="H189" s="5"/>
      <c r="I189" s="5"/>
      <c r="J189" s="5"/>
      <c r="K189" s="8"/>
      <c r="L189" s="9"/>
      <c r="M189" s="10"/>
      <c r="N189" s="84"/>
      <c r="O189" s="330"/>
      <c r="P189" s="331"/>
      <c r="Q189" s="332"/>
      <c r="R189" s="14"/>
      <c r="S189" s="333"/>
      <c r="T189" s="15"/>
      <c r="U189" s="15"/>
      <c r="V189" s="15"/>
      <c r="W189" s="8"/>
      <c r="X189" s="8"/>
      <c r="Y189" s="57"/>
      <c r="Z189" s="57"/>
      <c r="AA189" s="15"/>
      <c r="AB189" s="15"/>
      <c r="AC189" s="15"/>
      <c r="AD189" s="15"/>
      <c r="AE189" s="58"/>
      <c r="AF189" s="58"/>
      <c r="AG189" s="15"/>
      <c r="AH189" s="25"/>
      <c r="AI189" s="26"/>
      <c r="AJ189" s="27"/>
      <c r="AK189" s="27"/>
      <c r="AL189" s="28"/>
    </row>
    <row r="190" ht="12.75" customHeight="1">
      <c r="A190" s="26"/>
      <c r="B190" s="29"/>
      <c r="C190" s="329"/>
      <c r="D190" s="93"/>
      <c r="E190" s="5"/>
      <c r="F190" s="5"/>
      <c r="G190" s="5"/>
      <c r="H190" s="5"/>
      <c r="I190" s="5"/>
      <c r="J190" s="5"/>
      <c r="K190" s="8"/>
      <c r="L190" s="9"/>
      <c r="M190" s="10"/>
      <c r="N190" s="84"/>
      <c r="O190" s="330"/>
      <c r="P190" s="331"/>
      <c r="Q190" s="332"/>
      <c r="R190" s="14"/>
      <c r="S190" s="333"/>
      <c r="T190" s="15"/>
      <c r="U190" s="15"/>
      <c r="V190" s="15"/>
      <c r="W190" s="8"/>
      <c r="X190" s="8"/>
      <c r="Y190" s="57"/>
      <c r="Z190" s="57"/>
      <c r="AA190" s="15"/>
      <c r="AB190" s="15"/>
      <c r="AC190" s="15"/>
      <c r="AD190" s="15"/>
      <c r="AE190" s="58"/>
      <c r="AF190" s="58"/>
      <c r="AG190" s="15"/>
      <c r="AH190" s="25"/>
      <c r="AI190" s="26"/>
      <c r="AJ190" s="27"/>
      <c r="AK190" s="27"/>
      <c r="AL190" s="28"/>
    </row>
    <row r="191" ht="12.75" customHeight="1">
      <c r="A191" s="26"/>
      <c r="B191" s="29"/>
      <c r="C191" s="329"/>
      <c r="D191" s="93"/>
      <c r="E191" s="5"/>
      <c r="F191" s="5"/>
      <c r="G191" s="5"/>
      <c r="H191" s="5"/>
      <c r="I191" s="5"/>
      <c r="J191" s="5"/>
      <c r="K191" s="8"/>
      <c r="L191" s="9"/>
      <c r="M191" s="10"/>
      <c r="N191" s="84"/>
      <c r="O191" s="330"/>
      <c r="P191" s="331"/>
      <c r="Q191" s="332"/>
      <c r="R191" s="14"/>
      <c r="S191" s="333"/>
      <c r="T191" s="15"/>
      <c r="U191" s="15"/>
      <c r="V191" s="15"/>
      <c r="W191" s="8"/>
      <c r="X191" s="8"/>
      <c r="Y191" s="57"/>
      <c r="Z191" s="57"/>
      <c r="AA191" s="15"/>
      <c r="AB191" s="15"/>
      <c r="AC191" s="15"/>
      <c r="AD191" s="15"/>
      <c r="AE191" s="58"/>
      <c r="AF191" s="58"/>
      <c r="AG191" s="15"/>
      <c r="AH191" s="25"/>
      <c r="AI191" s="26"/>
      <c r="AJ191" s="27"/>
      <c r="AK191" s="27"/>
      <c r="AL191" s="28"/>
    </row>
    <row r="192" ht="12.75" customHeight="1">
      <c r="A192" s="26"/>
      <c r="B192" s="29"/>
      <c r="C192" s="329"/>
      <c r="D192" s="93"/>
      <c r="E192" s="5"/>
      <c r="F192" s="5"/>
      <c r="G192" s="5"/>
      <c r="H192" s="5"/>
      <c r="I192" s="5"/>
      <c r="J192" s="5"/>
      <c r="K192" s="8"/>
      <c r="L192" s="9"/>
      <c r="M192" s="10"/>
      <c r="N192" s="84"/>
      <c r="O192" s="330"/>
      <c r="P192" s="331"/>
      <c r="Q192" s="332"/>
      <c r="R192" s="14"/>
      <c r="S192" s="333"/>
      <c r="T192" s="15"/>
      <c r="U192" s="15"/>
      <c r="V192" s="15"/>
      <c r="W192" s="8"/>
      <c r="X192" s="8"/>
      <c r="Y192" s="57"/>
      <c r="Z192" s="57"/>
      <c r="AA192" s="15"/>
      <c r="AB192" s="15"/>
      <c r="AC192" s="15"/>
      <c r="AD192" s="15"/>
      <c r="AE192" s="58"/>
      <c r="AF192" s="58"/>
      <c r="AG192" s="15"/>
      <c r="AH192" s="25"/>
      <c r="AI192" s="26"/>
      <c r="AJ192" s="27"/>
      <c r="AK192" s="27"/>
      <c r="AL192" s="28"/>
    </row>
    <row r="193" ht="12.75" customHeight="1">
      <c r="A193" s="26"/>
      <c r="B193" s="29"/>
      <c r="C193" s="329"/>
      <c r="D193" s="93"/>
      <c r="E193" s="5"/>
      <c r="F193" s="5"/>
      <c r="G193" s="5"/>
      <c r="H193" s="5"/>
      <c r="I193" s="5"/>
      <c r="J193" s="5"/>
      <c r="K193" s="8"/>
      <c r="L193" s="9"/>
      <c r="M193" s="10"/>
      <c r="N193" s="84"/>
      <c r="O193" s="330"/>
      <c r="P193" s="331"/>
      <c r="Q193" s="332"/>
      <c r="R193" s="14"/>
      <c r="S193" s="333"/>
      <c r="T193" s="15"/>
      <c r="U193" s="15"/>
      <c r="V193" s="15"/>
      <c r="W193" s="8"/>
      <c r="X193" s="8"/>
      <c r="Y193" s="57"/>
      <c r="Z193" s="57"/>
      <c r="AA193" s="15"/>
      <c r="AB193" s="15"/>
      <c r="AC193" s="15"/>
      <c r="AD193" s="15"/>
      <c r="AE193" s="58"/>
      <c r="AF193" s="58"/>
      <c r="AG193" s="15"/>
      <c r="AH193" s="25"/>
      <c r="AI193" s="26"/>
      <c r="AJ193" s="27"/>
      <c r="AK193" s="27"/>
      <c r="AL193" s="28"/>
    </row>
    <row r="194" ht="12.75" customHeight="1">
      <c r="A194" s="26"/>
      <c r="B194" s="29"/>
      <c r="C194" s="329"/>
      <c r="D194" s="93"/>
      <c r="E194" s="5"/>
      <c r="F194" s="5"/>
      <c r="G194" s="5"/>
      <c r="H194" s="5"/>
      <c r="I194" s="5"/>
      <c r="J194" s="5"/>
      <c r="K194" s="8"/>
      <c r="L194" s="9"/>
      <c r="M194" s="10"/>
      <c r="N194" s="84"/>
      <c r="O194" s="330"/>
      <c r="P194" s="331"/>
      <c r="Q194" s="332"/>
      <c r="R194" s="14"/>
      <c r="S194" s="333"/>
      <c r="T194" s="15"/>
      <c r="U194" s="15"/>
      <c r="V194" s="15"/>
      <c r="W194" s="8"/>
      <c r="X194" s="8"/>
      <c r="Y194" s="57"/>
      <c r="Z194" s="57"/>
      <c r="AA194" s="15"/>
      <c r="AB194" s="15"/>
      <c r="AC194" s="15"/>
      <c r="AD194" s="15"/>
      <c r="AE194" s="58"/>
      <c r="AF194" s="58"/>
      <c r="AG194" s="15"/>
      <c r="AH194" s="25"/>
      <c r="AI194" s="26"/>
      <c r="AJ194" s="27"/>
      <c r="AK194" s="27"/>
      <c r="AL194" s="28"/>
    </row>
    <row r="195" ht="12.75" customHeight="1">
      <c r="A195" s="26"/>
      <c r="B195" s="29"/>
      <c r="C195" s="329"/>
      <c r="D195" s="93"/>
      <c r="E195" s="5"/>
      <c r="F195" s="5"/>
      <c r="G195" s="5"/>
      <c r="H195" s="5"/>
      <c r="I195" s="5"/>
      <c r="J195" s="5"/>
      <c r="K195" s="8"/>
      <c r="L195" s="9"/>
      <c r="M195" s="10"/>
      <c r="N195" s="84"/>
      <c r="O195" s="330"/>
      <c r="P195" s="331"/>
      <c r="Q195" s="332"/>
      <c r="R195" s="14"/>
      <c r="S195" s="333"/>
      <c r="T195" s="15"/>
      <c r="U195" s="15"/>
      <c r="V195" s="15"/>
      <c r="W195" s="8"/>
      <c r="X195" s="8"/>
      <c r="Y195" s="57"/>
      <c r="Z195" s="57"/>
      <c r="AA195" s="15"/>
      <c r="AB195" s="15"/>
      <c r="AC195" s="15"/>
      <c r="AD195" s="15"/>
      <c r="AE195" s="58"/>
      <c r="AF195" s="58"/>
      <c r="AG195" s="15"/>
      <c r="AH195" s="25"/>
      <c r="AI195" s="26"/>
      <c r="AJ195" s="27"/>
      <c r="AK195" s="27"/>
      <c r="AL195" s="28"/>
    </row>
    <row r="196" ht="12.75" customHeight="1">
      <c r="A196" s="26"/>
      <c r="B196" s="29"/>
      <c r="C196" s="329"/>
      <c r="D196" s="93"/>
      <c r="E196" s="5"/>
      <c r="F196" s="5"/>
      <c r="G196" s="5"/>
      <c r="H196" s="5"/>
      <c r="I196" s="5"/>
      <c r="J196" s="5"/>
      <c r="K196" s="8"/>
      <c r="L196" s="9"/>
      <c r="M196" s="10"/>
      <c r="N196" s="84"/>
      <c r="O196" s="330"/>
      <c r="P196" s="331"/>
      <c r="Q196" s="332"/>
      <c r="R196" s="14"/>
      <c r="S196" s="333"/>
      <c r="T196" s="15"/>
      <c r="U196" s="15"/>
      <c r="V196" s="15"/>
      <c r="W196" s="8"/>
      <c r="X196" s="8"/>
      <c r="Y196" s="57"/>
      <c r="Z196" s="57"/>
      <c r="AA196" s="15"/>
      <c r="AB196" s="15"/>
      <c r="AC196" s="15"/>
      <c r="AD196" s="15"/>
      <c r="AE196" s="58"/>
      <c r="AF196" s="58"/>
      <c r="AG196" s="15"/>
      <c r="AH196" s="25"/>
      <c r="AI196" s="26"/>
      <c r="AJ196" s="27"/>
      <c r="AK196" s="27"/>
      <c r="AL196" s="28"/>
    </row>
    <row r="197" ht="12.75" customHeight="1">
      <c r="A197" s="26"/>
      <c r="B197" s="29"/>
      <c r="C197" s="329"/>
      <c r="D197" s="93"/>
      <c r="E197" s="5"/>
      <c r="F197" s="5"/>
      <c r="G197" s="5"/>
      <c r="H197" s="5"/>
      <c r="I197" s="5"/>
      <c r="J197" s="5"/>
      <c r="K197" s="8"/>
      <c r="L197" s="9"/>
      <c r="M197" s="10"/>
      <c r="N197" s="84"/>
      <c r="O197" s="330"/>
      <c r="P197" s="331"/>
      <c r="Q197" s="332"/>
      <c r="R197" s="14"/>
      <c r="S197" s="333"/>
      <c r="T197" s="15"/>
      <c r="U197" s="15"/>
      <c r="V197" s="15"/>
      <c r="W197" s="8"/>
      <c r="X197" s="8"/>
      <c r="Y197" s="57"/>
      <c r="Z197" s="57"/>
      <c r="AA197" s="15"/>
      <c r="AB197" s="15"/>
      <c r="AC197" s="15"/>
      <c r="AD197" s="15"/>
      <c r="AE197" s="58"/>
      <c r="AF197" s="58"/>
      <c r="AG197" s="15"/>
      <c r="AH197" s="25"/>
      <c r="AI197" s="26"/>
      <c r="AJ197" s="27"/>
      <c r="AK197" s="27"/>
      <c r="AL197" s="28"/>
    </row>
    <row r="198" ht="12.75" customHeight="1">
      <c r="A198" s="26"/>
      <c r="B198" s="29"/>
      <c r="C198" s="329"/>
      <c r="D198" s="93"/>
      <c r="E198" s="5"/>
      <c r="F198" s="5"/>
      <c r="G198" s="5"/>
      <c r="H198" s="5"/>
      <c r="I198" s="5"/>
      <c r="J198" s="5"/>
      <c r="K198" s="8"/>
      <c r="L198" s="9"/>
      <c r="M198" s="10"/>
      <c r="N198" s="84"/>
      <c r="O198" s="330"/>
      <c r="P198" s="331"/>
      <c r="Q198" s="332"/>
      <c r="R198" s="14"/>
      <c r="S198" s="333"/>
      <c r="T198" s="15"/>
      <c r="U198" s="15"/>
      <c r="V198" s="15"/>
      <c r="W198" s="8"/>
      <c r="X198" s="8"/>
      <c r="Y198" s="57"/>
      <c r="Z198" s="57"/>
      <c r="AA198" s="15"/>
      <c r="AB198" s="15"/>
      <c r="AC198" s="15"/>
      <c r="AD198" s="15"/>
      <c r="AE198" s="58"/>
      <c r="AF198" s="58"/>
      <c r="AG198" s="15"/>
      <c r="AH198" s="25"/>
      <c r="AI198" s="26"/>
      <c r="AJ198" s="27"/>
      <c r="AK198" s="27"/>
      <c r="AL198" s="28"/>
    </row>
    <row r="199" ht="12.75" customHeight="1">
      <c r="A199" s="26"/>
      <c r="B199" s="29"/>
      <c r="C199" s="329"/>
      <c r="D199" s="93"/>
      <c r="E199" s="5"/>
      <c r="F199" s="5"/>
      <c r="G199" s="5"/>
      <c r="H199" s="5"/>
      <c r="I199" s="5"/>
      <c r="J199" s="5"/>
      <c r="K199" s="8"/>
      <c r="L199" s="9"/>
      <c r="M199" s="10"/>
      <c r="N199" s="84"/>
      <c r="O199" s="330"/>
      <c r="P199" s="331"/>
      <c r="Q199" s="332"/>
      <c r="R199" s="14"/>
      <c r="S199" s="333"/>
      <c r="T199" s="15"/>
      <c r="U199" s="15"/>
      <c r="V199" s="15"/>
      <c r="W199" s="8"/>
      <c r="X199" s="8"/>
      <c r="Y199" s="57"/>
      <c r="Z199" s="57"/>
      <c r="AA199" s="15"/>
      <c r="AB199" s="15"/>
      <c r="AC199" s="15"/>
      <c r="AD199" s="15"/>
      <c r="AE199" s="58"/>
      <c r="AF199" s="58"/>
      <c r="AG199" s="15"/>
      <c r="AH199" s="25"/>
      <c r="AI199" s="26"/>
      <c r="AJ199" s="27"/>
      <c r="AK199" s="27"/>
      <c r="AL199" s="28"/>
    </row>
    <row r="200" ht="12.75" customHeight="1">
      <c r="A200" s="26"/>
      <c r="B200" s="29"/>
      <c r="C200" s="329"/>
      <c r="D200" s="93"/>
      <c r="E200" s="5"/>
      <c r="F200" s="5"/>
      <c r="G200" s="5"/>
      <c r="H200" s="5"/>
      <c r="I200" s="5"/>
      <c r="J200" s="5"/>
      <c r="K200" s="8"/>
      <c r="L200" s="9"/>
      <c r="M200" s="10"/>
      <c r="N200" s="84"/>
      <c r="O200" s="330"/>
      <c r="P200" s="331"/>
      <c r="Q200" s="332"/>
      <c r="R200" s="14"/>
      <c r="S200" s="333"/>
      <c r="T200" s="15"/>
      <c r="U200" s="15"/>
      <c r="V200" s="15"/>
      <c r="W200" s="8"/>
      <c r="X200" s="8"/>
      <c r="Y200" s="57"/>
      <c r="Z200" s="57"/>
      <c r="AA200" s="15"/>
      <c r="AB200" s="15"/>
      <c r="AC200" s="15"/>
      <c r="AD200" s="15"/>
      <c r="AE200" s="58"/>
      <c r="AF200" s="58"/>
      <c r="AG200" s="15"/>
      <c r="AH200" s="25"/>
      <c r="AI200" s="26"/>
      <c r="AJ200" s="27"/>
      <c r="AK200" s="27"/>
      <c r="AL200" s="28"/>
    </row>
    <row r="201" ht="12.75" customHeight="1">
      <c r="A201" s="26"/>
      <c r="B201" s="29"/>
      <c r="C201" s="329"/>
      <c r="D201" s="93"/>
      <c r="E201" s="5"/>
      <c r="F201" s="5"/>
      <c r="G201" s="5"/>
      <c r="H201" s="5"/>
      <c r="I201" s="5"/>
      <c r="J201" s="5"/>
      <c r="K201" s="8"/>
      <c r="L201" s="9"/>
      <c r="M201" s="10"/>
      <c r="N201" s="84"/>
      <c r="O201" s="330"/>
      <c r="P201" s="331"/>
      <c r="Q201" s="332"/>
      <c r="R201" s="14"/>
      <c r="S201" s="333"/>
      <c r="T201" s="15"/>
      <c r="U201" s="15"/>
      <c r="V201" s="15"/>
      <c r="W201" s="8"/>
      <c r="X201" s="8"/>
      <c r="Y201" s="57"/>
      <c r="Z201" s="57"/>
      <c r="AA201" s="15"/>
      <c r="AB201" s="15"/>
      <c r="AC201" s="15"/>
      <c r="AD201" s="15"/>
      <c r="AE201" s="58"/>
      <c r="AF201" s="58"/>
      <c r="AG201" s="15"/>
      <c r="AH201" s="25"/>
      <c r="AI201" s="26"/>
      <c r="AJ201" s="27"/>
      <c r="AK201" s="27"/>
      <c r="AL201" s="28"/>
    </row>
    <row r="202" ht="12.75" customHeight="1">
      <c r="A202" s="26"/>
      <c r="B202" s="29"/>
      <c r="C202" s="329"/>
      <c r="D202" s="93"/>
      <c r="E202" s="5"/>
      <c r="F202" s="5"/>
      <c r="G202" s="5"/>
      <c r="H202" s="5"/>
      <c r="I202" s="5"/>
      <c r="J202" s="5"/>
      <c r="K202" s="8"/>
      <c r="L202" s="9"/>
      <c r="M202" s="10"/>
      <c r="N202" s="84"/>
      <c r="O202" s="330"/>
      <c r="P202" s="331"/>
      <c r="Q202" s="332"/>
      <c r="R202" s="14"/>
      <c r="S202" s="333"/>
      <c r="T202" s="15"/>
      <c r="U202" s="15"/>
      <c r="V202" s="15"/>
      <c r="W202" s="8"/>
      <c r="X202" s="8"/>
      <c r="Y202" s="57"/>
      <c r="Z202" s="57"/>
      <c r="AA202" s="15"/>
      <c r="AB202" s="15"/>
      <c r="AC202" s="15"/>
      <c r="AD202" s="15"/>
      <c r="AE202" s="58"/>
      <c r="AF202" s="58"/>
      <c r="AG202" s="15"/>
      <c r="AH202" s="25"/>
      <c r="AI202" s="26"/>
      <c r="AJ202" s="27"/>
      <c r="AK202" s="27"/>
      <c r="AL202" s="28"/>
    </row>
    <row r="203" ht="12.75" customHeight="1">
      <c r="A203" s="26"/>
      <c r="B203" s="29"/>
      <c r="C203" s="329"/>
      <c r="D203" s="93"/>
      <c r="E203" s="5"/>
      <c r="F203" s="5"/>
      <c r="G203" s="5"/>
      <c r="H203" s="5"/>
      <c r="I203" s="5"/>
      <c r="J203" s="5"/>
      <c r="K203" s="8"/>
      <c r="L203" s="9"/>
      <c r="M203" s="10"/>
      <c r="N203" s="84"/>
      <c r="O203" s="330"/>
      <c r="P203" s="331"/>
      <c r="Q203" s="332"/>
      <c r="R203" s="14"/>
      <c r="S203" s="333"/>
      <c r="T203" s="15"/>
      <c r="U203" s="15"/>
      <c r="V203" s="15"/>
      <c r="W203" s="8"/>
      <c r="X203" s="8"/>
      <c r="Y203" s="57"/>
      <c r="Z203" s="57"/>
      <c r="AA203" s="15"/>
      <c r="AB203" s="15"/>
      <c r="AC203" s="15"/>
      <c r="AD203" s="15"/>
      <c r="AE203" s="58"/>
      <c r="AF203" s="58"/>
      <c r="AG203" s="15"/>
      <c r="AH203" s="25"/>
      <c r="AI203" s="26"/>
      <c r="AJ203" s="27"/>
      <c r="AK203" s="27"/>
      <c r="AL203" s="28"/>
    </row>
    <row r="204" ht="12.75" customHeight="1">
      <c r="A204" s="26"/>
      <c r="B204" s="29"/>
      <c r="C204" s="329"/>
      <c r="D204" s="93"/>
      <c r="E204" s="5"/>
      <c r="F204" s="5"/>
      <c r="G204" s="5"/>
      <c r="H204" s="5"/>
      <c r="I204" s="5"/>
      <c r="J204" s="5"/>
      <c r="K204" s="8"/>
      <c r="L204" s="9"/>
      <c r="M204" s="10"/>
      <c r="N204" s="84"/>
      <c r="O204" s="330"/>
      <c r="P204" s="331"/>
      <c r="Q204" s="332"/>
      <c r="R204" s="14"/>
      <c r="S204" s="333"/>
      <c r="T204" s="15"/>
      <c r="U204" s="15"/>
      <c r="V204" s="15"/>
      <c r="W204" s="8"/>
      <c r="X204" s="8"/>
      <c r="Y204" s="57"/>
      <c r="Z204" s="57"/>
      <c r="AA204" s="15"/>
      <c r="AB204" s="15"/>
      <c r="AC204" s="15"/>
      <c r="AD204" s="15"/>
      <c r="AE204" s="58"/>
      <c r="AF204" s="58"/>
      <c r="AG204" s="15"/>
      <c r="AH204" s="25"/>
      <c r="AI204" s="26"/>
      <c r="AJ204" s="27"/>
      <c r="AK204" s="27"/>
      <c r="AL204" s="28"/>
    </row>
    <row r="205" ht="12.75" customHeight="1">
      <c r="A205" s="26"/>
      <c r="B205" s="29"/>
      <c r="C205" s="329"/>
      <c r="D205" s="93"/>
      <c r="E205" s="5"/>
      <c r="F205" s="5"/>
      <c r="G205" s="5"/>
      <c r="H205" s="5"/>
      <c r="I205" s="5"/>
      <c r="J205" s="5"/>
      <c r="K205" s="8"/>
      <c r="L205" s="9"/>
      <c r="M205" s="10"/>
      <c r="N205" s="84"/>
      <c r="O205" s="330"/>
      <c r="P205" s="331"/>
      <c r="Q205" s="332"/>
      <c r="R205" s="14"/>
      <c r="S205" s="333"/>
      <c r="T205" s="15"/>
      <c r="U205" s="15"/>
      <c r="V205" s="15"/>
      <c r="W205" s="8"/>
      <c r="X205" s="8"/>
      <c r="Y205" s="57"/>
      <c r="Z205" s="57"/>
      <c r="AA205" s="15"/>
      <c r="AB205" s="15"/>
      <c r="AC205" s="15"/>
      <c r="AD205" s="15"/>
      <c r="AE205" s="58"/>
      <c r="AF205" s="58"/>
      <c r="AG205" s="15"/>
      <c r="AH205" s="25"/>
      <c r="AI205" s="26"/>
      <c r="AJ205" s="27"/>
      <c r="AK205" s="27"/>
      <c r="AL205" s="28"/>
    </row>
    <row r="206" ht="12.75" customHeight="1">
      <c r="A206" s="26"/>
      <c r="B206" s="29"/>
      <c r="C206" s="329"/>
      <c r="D206" s="93"/>
      <c r="E206" s="5"/>
      <c r="F206" s="5"/>
      <c r="G206" s="5"/>
      <c r="H206" s="5"/>
      <c r="I206" s="5"/>
      <c r="J206" s="5"/>
      <c r="K206" s="8"/>
      <c r="L206" s="9"/>
      <c r="M206" s="10"/>
      <c r="N206" s="84"/>
      <c r="O206" s="330"/>
      <c r="P206" s="331"/>
      <c r="Q206" s="332"/>
      <c r="R206" s="14"/>
      <c r="S206" s="333"/>
      <c r="T206" s="15"/>
      <c r="U206" s="15"/>
      <c r="V206" s="15"/>
      <c r="W206" s="8"/>
      <c r="X206" s="8"/>
      <c r="Y206" s="57"/>
      <c r="Z206" s="57"/>
      <c r="AA206" s="15"/>
      <c r="AB206" s="15"/>
      <c r="AC206" s="15"/>
      <c r="AD206" s="15"/>
      <c r="AE206" s="58"/>
      <c r="AF206" s="58"/>
      <c r="AG206" s="15"/>
      <c r="AH206" s="25"/>
      <c r="AI206" s="26"/>
      <c r="AJ206" s="27"/>
      <c r="AK206" s="27"/>
      <c r="AL206" s="28"/>
    </row>
    <row r="207" ht="12.75" customHeight="1">
      <c r="A207" s="26"/>
      <c r="B207" s="29"/>
      <c r="C207" s="329"/>
      <c r="D207" s="93"/>
      <c r="E207" s="5"/>
      <c r="F207" s="5"/>
      <c r="G207" s="5"/>
      <c r="H207" s="5"/>
      <c r="I207" s="5"/>
      <c r="J207" s="5"/>
      <c r="K207" s="8"/>
      <c r="L207" s="9"/>
      <c r="M207" s="10"/>
      <c r="N207" s="84"/>
      <c r="O207" s="330"/>
      <c r="P207" s="331"/>
      <c r="Q207" s="332"/>
      <c r="R207" s="14"/>
      <c r="S207" s="333"/>
      <c r="T207" s="15"/>
      <c r="U207" s="15"/>
      <c r="V207" s="15"/>
      <c r="W207" s="8"/>
      <c r="X207" s="8"/>
      <c r="Y207" s="57"/>
      <c r="Z207" s="57"/>
      <c r="AA207" s="15"/>
      <c r="AB207" s="15"/>
      <c r="AC207" s="15"/>
      <c r="AD207" s="15"/>
      <c r="AE207" s="58"/>
      <c r="AF207" s="58"/>
      <c r="AG207" s="15"/>
      <c r="AH207" s="25"/>
      <c r="AI207" s="26"/>
      <c r="AJ207" s="27"/>
      <c r="AK207" s="27"/>
      <c r="AL207" s="28"/>
    </row>
    <row r="208" ht="12.75" customHeight="1">
      <c r="A208" s="26"/>
      <c r="B208" s="29"/>
      <c r="C208" s="329"/>
      <c r="D208" s="93"/>
      <c r="E208" s="5"/>
      <c r="F208" s="5"/>
      <c r="G208" s="5"/>
      <c r="H208" s="5"/>
      <c r="I208" s="5"/>
      <c r="J208" s="5"/>
      <c r="K208" s="8"/>
      <c r="L208" s="9"/>
      <c r="M208" s="10"/>
      <c r="N208" s="84"/>
      <c r="O208" s="330"/>
      <c r="P208" s="331"/>
      <c r="Q208" s="332"/>
      <c r="R208" s="14"/>
      <c r="S208" s="333"/>
      <c r="T208" s="15"/>
      <c r="U208" s="15"/>
      <c r="V208" s="15"/>
      <c r="W208" s="8"/>
      <c r="X208" s="8"/>
      <c r="Y208" s="57"/>
      <c r="Z208" s="57"/>
      <c r="AA208" s="15"/>
      <c r="AB208" s="15"/>
      <c r="AC208" s="15"/>
      <c r="AD208" s="15"/>
      <c r="AE208" s="58"/>
      <c r="AF208" s="58"/>
      <c r="AG208" s="15"/>
      <c r="AH208" s="25"/>
      <c r="AI208" s="26"/>
      <c r="AJ208" s="27"/>
      <c r="AK208" s="27"/>
      <c r="AL208" s="28"/>
    </row>
    <row r="209" ht="12.75" customHeight="1">
      <c r="A209" s="26"/>
      <c r="B209" s="29"/>
      <c r="C209" s="329"/>
      <c r="D209" s="93"/>
      <c r="E209" s="5"/>
      <c r="F209" s="5"/>
      <c r="G209" s="5"/>
      <c r="H209" s="5"/>
      <c r="I209" s="5"/>
      <c r="J209" s="5"/>
      <c r="K209" s="8"/>
      <c r="L209" s="9"/>
      <c r="M209" s="10"/>
      <c r="N209" s="84"/>
      <c r="O209" s="330"/>
      <c r="P209" s="331"/>
      <c r="Q209" s="332"/>
      <c r="R209" s="14"/>
      <c r="S209" s="333"/>
      <c r="T209" s="15"/>
      <c r="U209" s="15"/>
      <c r="V209" s="15"/>
      <c r="W209" s="8"/>
      <c r="X209" s="8"/>
      <c r="Y209" s="57"/>
      <c r="Z209" s="57"/>
      <c r="AA209" s="15"/>
      <c r="AB209" s="15"/>
      <c r="AC209" s="15"/>
      <c r="AD209" s="15"/>
      <c r="AE209" s="58"/>
      <c r="AF209" s="58"/>
      <c r="AG209" s="15"/>
      <c r="AH209" s="25"/>
      <c r="AI209" s="26"/>
      <c r="AJ209" s="27"/>
      <c r="AK209" s="27"/>
      <c r="AL209" s="28"/>
    </row>
    <row r="210" ht="12.75" customHeight="1">
      <c r="A210" s="26"/>
      <c r="B210" s="29"/>
      <c r="C210" s="329"/>
      <c r="D210" s="93"/>
      <c r="E210" s="5"/>
      <c r="F210" s="5"/>
      <c r="G210" s="5"/>
      <c r="H210" s="5"/>
      <c r="I210" s="5"/>
      <c r="J210" s="5"/>
      <c r="K210" s="8"/>
      <c r="L210" s="9"/>
      <c r="M210" s="10"/>
      <c r="N210" s="84"/>
      <c r="O210" s="330"/>
      <c r="P210" s="331"/>
      <c r="Q210" s="332"/>
      <c r="R210" s="14"/>
      <c r="S210" s="333"/>
      <c r="T210" s="15"/>
      <c r="U210" s="15"/>
      <c r="V210" s="15"/>
      <c r="W210" s="8"/>
      <c r="X210" s="8"/>
      <c r="Y210" s="57"/>
      <c r="Z210" s="57"/>
      <c r="AA210" s="15"/>
      <c r="AB210" s="15"/>
      <c r="AC210" s="15"/>
      <c r="AD210" s="15"/>
      <c r="AE210" s="58"/>
      <c r="AF210" s="58"/>
      <c r="AG210" s="15"/>
      <c r="AH210" s="25"/>
      <c r="AI210" s="26"/>
      <c r="AJ210" s="27"/>
      <c r="AK210" s="27"/>
      <c r="AL210" s="28"/>
    </row>
    <row r="211" ht="12.75" customHeight="1">
      <c r="A211" s="26"/>
      <c r="B211" s="29"/>
      <c r="C211" s="329"/>
      <c r="D211" s="93"/>
      <c r="E211" s="5"/>
      <c r="F211" s="5"/>
      <c r="G211" s="5"/>
      <c r="H211" s="5"/>
      <c r="I211" s="5"/>
      <c r="J211" s="5"/>
      <c r="K211" s="8"/>
      <c r="L211" s="9"/>
      <c r="M211" s="10"/>
      <c r="N211" s="84"/>
      <c r="O211" s="330"/>
      <c r="P211" s="331"/>
      <c r="Q211" s="332"/>
      <c r="R211" s="14"/>
      <c r="S211" s="333"/>
      <c r="T211" s="15"/>
      <c r="U211" s="15"/>
      <c r="V211" s="15"/>
      <c r="W211" s="8"/>
      <c r="X211" s="8"/>
      <c r="Y211" s="57"/>
      <c r="Z211" s="57"/>
      <c r="AA211" s="15"/>
      <c r="AB211" s="15"/>
      <c r="AC211" s="15"/>
      <c r="AD211" s="15"/>
      <c r="AE211" s="58"/>
      <c r="AF211" s="58"/>
      <c r="AG211" s="15"/>
      <c r="AH211" s="25"/>
      <c r="AI211" s="26"/>
      <c r="AJ211" s="27"/>
      <c r="AK211" s="27"/>
      <c r="AL211" s="28"/>
    </row>
    <row r="212" ht="12.75" customHeight="1">
      <c r="A212" s="26"/>
      <c r="B212" s="29"/>
      <c r="C212" s="329"/>
      <c r="D212" s="93"/>
      <c r="E212" s="5"/>
      <c r="F212" s="5"/>
      <c r="G212" s="5"/>
      <c r="H212" s="5"/>
      <c r="I212" s="5"/>
      <c r="J212" s="5"/>
      <c r="K212" s="8"/>
      <c r="L212" s="9"/>
      <c r="M212" s="10"/>
      <c r="N212" s="84"/>
      <c r="O212" s="330"/>
      <c r="P212" s="331"/>
      <c r="Q212" s="332"/>
      <c r="R212" s="14"/>
      <c r="S212" s="333"/>
      <c r="T212" s="15"/>
      <c r="U212" s="15"/>
      <c r="V212" s="15"/>
      <c r="W212" s="8"/>
      <c r="X212" s="8"/>
      <c r="Y212" s="57"/>
      <c r="Z212" s="57"/>
      <c r="AA212" s="15"/>
      <c r="AB212" s="15"/>
      <c r="AC212" s="15"/>
      <c r="AD212" s="15"/>
      <c r="AE212" s="58"/>
      <c r="AF212" s="58"/>
      <c r="AG212" s="15"/>
      <c r="AH212" s="25"/>
      <c r="AI212" s="26"/>
      <c r="AJ212" s="27"/>
      <c r="AK212" s="27"/>
      <c r="AL212" s="28"/>
    </row>
    <row r="213" ht="12.75" customHeight="1">
      <c r="A213" s="26"/>
      <c r="B213" s="29"/>
      <c r="C213" s="329"/>
      <c r="D213" s="93"/>
      <c r="E213" s="5"/>
      <c r="F213" s="5"/>
      <c r="G213" s="5"/>
      <c r="H213" s="5"/>
      <c r="I213" s="5"/>
      <c r="J213" s="5"/>
      <c r="K213" s="8"/>
      <c r="L213" s="9"/>
      <c r="M213" s="10"/>
      <c r="N213" s="84"/>
      <c r="O213" s="330"/>
      <c r="P213" s="331"/>
      <c r="Q213" s="332"/>
      <c r="R213" s="14"/>
      <c r="S213" s="333"/>
      <c r="T213" s="15"/>
      <c r="U213" s="15"/>
      <c r="V213" s="15"/>
      <c r="W213" s="8"/>
      <c r="X213" s="8"/>
      <c r="Y213" s="57"/>
      <c r="Z213" s="57"/>
      <c r="AA213" s="15"/>
      <c r="AB213" s="15"/>
      <c r="AC213" s="15"/>
      <c r="AD213" s="15"/>
      <c r="AE213" s="58"/>
      <c r="AF213" s="58"/>
      <c r="AG213" s="15"/>
      <c r="AH213" s="25"/>
      <c r="AI213" s="26"/>
      <c r="AJ213" s="27"/>
      <c r="AK213" s="27"/>
      <c r="AL213" s="28"/>
    </row>
    <row r="214" ht="12.75" customHeight="1">
      <c r="A214" s="26"/>
      <c r="B214" s="29"/>
      <c r="C214" s="329"/>
      <c r="D214" s="93"/>
      <c r="E214" s="5"/>
      <c r="F214" s="5"/>
      <c r="G214" s="5"/>
      <c r="H214" s="5"/>
      <c r="I214" s="5"/>
      <c r="J214" s="5"/>
      <c r="K214" s="8"/>
      <c r="L214" s="9"/>
      <c r="M214" s="10"/>
      <c r="N214" s="84"/>
      <c r="O214" s="330"/>
      <c r="P214" s="331"/>
      <c r="Q214" s="332"/>
      <c r="R214" s="14"/>
      <c r="S214" s="333"/>
      <c r="T214" s="15"/>
      <c r="U214" s="15"/>
      <c r="V214" s="15"/>
      <c r="W214" s="8"/>
      <c r="X214" s="8"/>
      <c r="Y214" s="57"/>
      <c r="Z214" s="57"/>
      <c r="AA214" s="15"/>
      <c r="AB214" s="15"/>
      <c r="AC214" s="15"/>
      <c r="AD214" s="15"/>
      <c r="AE214" s="58"/>
      <c r="AF214" s="58"/>
      <c r="AG214" s="15"/>
      <c r="AH214" s="25"/>
      <c r="AI214" s="26"/>
      <c r="AJ214" s="27"/>
      <c r="AK214" s="27"/>
      <c r="AL214" s="28"/>
    </row>
    <row r="215" ht="12.75" customHeight="1">
      <c r="A215" s="26"/>
      <c r="B215" s="29"/>
      <c r="C215" s="329"/>
      <c r="D215" s="93"/>
      <c r="E215" s="5"/>
      <c r="F215" s="5"/>
      <c r="G215" s="5"/>
      <c r="H215" s="5"/>
      <c r="I215" s="5"/>
      <c r="J215" s="5"/>
      <c r="K215" s="8"/>
      <c r="L215" s="9"/>
      <c r="M215" s="10"/>
      <c r="N215" s="84"/>
      <c r="O215" s="330"/>
      <c r="P215" s="331"/>
      <c r="Q215" s="332"/>
      <c r="R215" s="14"/>
      <c r="S215" s="333"/>
      <c r="T215" s="15"/>
      <c r="U215" s="15"/>
      <c r="V215" s="15"/>
      <c r="W215" s="8"/>
      <c r="X215" s="8"/>
      <c r="Y215" s="57"/>
      <c r="Z215" s="57"/>
      <c r="AA215" s="15"/>
      <c r="AB215" s="15"/>
      <c r="AC215" s="15"/>
      <c r="AD215" s="15"/>
      <c r="AE215" s="58"/>
      <c r="AF215" s="58"/>
      <c r="AG215" s="15"/>
      <c r="AH215" s="25"/>
      <c r="AI215" s="26"/>
      <c r="AJ215" s="27"/>
      <c r="AK215" s="27"/>
      <c r="AL215" s="28"/>
    </row>
    <row r="216" ht="12.75" customHeight="1">
      <c r="A216" s="26"/>
      <c r="B216" s="29"/>
      <c r="C216" s="329"/>
      <c r="D216" s="93"/>
      <c r="E216" s="5"/>
      <c r="F216" s="5"/>
      <c r="G216" s="5"/>
      <c r="H216" s="5"/>
      <c r="I216" s="5"/>
      <c r="J216" s="5"/>
      <c r="K216" s="8"/>
      <c r="L216" s="9"/>
      <c r="M216" s="10"/>
      <c r="N216" s="84"/>
      <c r="O216" s="330"/>
      <c r="P216" s="331"/>
      <c r="Q216" s="332"/>
      <c r="R216" s="14"/>
      <c r="S216" s="333"/>
      <c r="T216" s="15"/>
      <c r="U216" s="15"/>
      <c r="V216" s="15"/>
      <c r="W216" s="8"/>
      <c r="X216" s="8"/>
      <c r="Y216" s="57"/>
      <c r="Z216" s="57"/>
      <c r="AA216" s="15"/>
      <c r="AB216" s="15"/>
      <c r="AC216" s="15"/>
      <c r="AD216" s="15"/>
      <c r="AE216" s="58"/>
      <c r="AF216" s="58"/>
      <c r="AG216" s="15"/>
      <c r="AH216" s="25"/>
      <c r="AI216" s="26"/>
      <c r="AJ216" s="27"/>
      <c r="AK216" s="27"/>
      <c r="AL216" s="28"/>
    </row>
    <row r="217" ht="12.75" customHeight="1">
      <c r="A217" s="26"/>
      <c r="B217" s="29"/>
      <c r="C217" s="329"/>
      <c r="D217" s="93"/>
      <c r="E217" s="5"/>
      <c r="F217" s="5"/>
      <c r="G217" s="5"/>
      <c r="H217" s="5"/>
      <c r="I217" s="5"/>
      <c r="J217" s="5"/>
      <c r="K217" s="8"/>
      <c r="L217" s="9"/>
      <c r="M217" s="10"/>
      <c r="N217" s="84"/>
      <c r="O217" s="330"/>
      <c r="P217" s="331"/>
      <c r="Q217" s="332"/>
      <c r="R217" s="14"/>
      <c r="S217" s="333"/>
      <c r="T217" s="15"/>
      <c r="U217" s="15"/>
      <c r="V217" s="15"/>
      <c r="W217" s="8"/>
      <c r="X217" s="8"/>
      <c r="Y217" s="57"/>
      <c r="Z217" s="57"/>
      <c r="AA217" s="15"/>
      <c r="AB217" s="15"/>
      <c r="AC217" s="15"/>
      <c r="AD217" s="15"/>
      <c r="AE217" s="58"/>
      <c r="AF217" s="58"/>
      <c r="AG217" s="15"/>
      <c r="AH217" s="25"/>
      <c r="AI217" s="26"/>
      <c r="AJ217" s="27"/>
      <c r="AK217" s="27"/>
      <c r="AL217" s="28"/>
    </row>
    <row r="218" ht="12.75" customHeight="1">
      <c r="A218" s="26"/>
      <c r="B218" s="29"/>
      <c r="C218" s="329"/>
      <c r="D218" s="93"/>
      <c r="E218" s="5"/>
      <c r="F218" s="5"/>
      <c r="G218" s="5"/>
      <c r="H218" s="5"/>
      <c r="I218" s="5"/>
      <c r="J218" s="5"/>
      <c r="K218" s="8"/>
      <c r="L218" s="9"/>
      <c r="M218" s="10"/>
      <c r="N218" s="84"/>
      <c r="O218" s="330"/>
      <c r="P218" s="331"/>
      <c r="Q218" s="332"/>
      <c r="R218" s="14"/>
      <c r="S218" s="333"/>
      <c r="T218" s="15"/>
      <c r="U218" s="15"/>
      <c r="V218" s="15"/>
      <c r="W218" s="8"/>
      <c r="X218" s="8"/>
      <c r="Y218" s="57"/>
      <c r="Z218" s="57"/>
      <c r="AA218" s="15"/>
      <c r="AB218" s="15"/>
      <c r="AC218" s="15"/>
      <c r="AD218" s="15"/>
      <c r="AE218" s="58"/>
      <c r="AF218" s="58"/>
      <c r="AG218" s="15"/>
      <c r="AH218" s="25"/>
      <c r="AI218" s="26"/>
      <c r="AJ218" s="27"/>
      <c r="AK218" s="27"/>
      <c r="AL218" s="28"/>
    </row>
    <row r="219" ht="12.75" customHeight="1">
      <c r="A219" s="26"/>
      <c r="B219" s="29"/>
      <c r="C219" s="329"/>
      <c r="D219" s="93"/>
      <c r="E219" s="5"/>
      <c r="F219" s="5"/>
      <c r="G219" s="5"/>
      <c r="H219" s="5"/>
      <c r="I219" s="5"/>
      <c r="J219" s="5"/>
      <c r="K219" s="8"/>
      <c r="L219" s="9"/>
      <c r="M219" s="10"/>
      <c r="N219" s="84"/>
      <c r="O219" s="330"/>
      <c r="P219" s="331"/>
      <c r="Q219" s="332"/>
      <c r="R219" s="14"/>
      <c r="S219" s="333"/>
      <c r="T219" s="15"/>
      <c r="U219" s="15"/>
      <c r="V219" s="15"/>
      <c r="W219" s="8"/>
      <c r="X219" s="8"/>
      <c r="Y219" s="57"/>
      <c r="Z219" s="57"/>
      <c r="AA219" s="15"/>
      <c r="AB219" s="15"/>
      <c r="AC219" s="15"/>
      <c r="AD219" s="15"/>
      <c r="AE219" s="58"/>
      <c r="AF219" s="58"/>
      <c r="AG219" s="15"/>
      <c r="AH219" s="25"/>
      <c r="AI219" s="26"/>
      <c r="AJ219" s="27"/>
      <c r="AK219" s="27"/>
      <c r="AL219" s="28"/>
    </row>
    <row r="220" ht="12.75" customHeight="1">
      <c r="A220" s="26"/>
      <c r="B220" s="29"/>
      <c r="C220" s="329"/>
      <c r="D220" s="93"/>
      <c r="E220" s="5"/>
      <c r="F220" s="5"/>
      <c r="G220" s="5"/>
      <c r="H220" s="5"/>
      <c r="I220" s="5"/>
      <c r="J220" s="5"/>
      <c r="K220" s="8"/>
      <c r="L220" s="9"/>
      <c r="M220" s="10"/>
      <c r="N220" s="84"/>
      <c r="O220" s="330"/>
      <c r="P220" s="331"/>
      <c r="Q220" s="332"/>
      <c r="R220" s="14"/>
      <c r="S220" s="333"/>
      <c r="T220" s="15"/>
      <c r="U220" s="15"/>
      <c r="V220" s="15"/>
      <c r="W220" s="8"/>
      <c r="X220" s="8"/>
      <c r="Y220" s="57"/>
      <c r="Z220" s="57"/>
      <c r="AA220" s="15"/>
      <c r="AB220" s="15"/>
      <c r="AC220" s="15"/>
      <c r="AD220" s="15"/>
      <c r="AE220" s="58"/>
      <c r="AF220" s="58"/>
      <c r="AG220" s="15"/>
      <c r="AH220" s="25"/>
      <c r="AI220" s="26"/>
      <c r="AJ220" s="27"/>
      <c r="AK220" s="27"/>
      <c r="AL220" s="28"/>
    </row>
    <row r="221" ht="12.75" customHeight="1">
      <c r="A221" s="26"/>
      <c r="B221" s="29"/>
      <c r="C221" s="329"/>
      <c r="D221" s="93"/>
      <c r="E221" s="5"/>
      <c r="F221" s="5"/>
      <c r="G221" s="5"/>
      <c r="H221" s="5"/>
      <c r="I221" s="5"/>
      <c r="J221" s="5"/>
      <c r="K221" s="8"/>
      <c r="L221" s="9"/>
      <c r="M221" s="10"/>
      <c r="N221" s="84"/>
      <c r="O221" s="330"/>
      <c r="P221" s="331"/>
      <c r="Q221" s="332"/>
      <c r="R221" s="14"/>
      <c r="S221" s="333"/>
      <c r="T221" s="15"/>
      <c r="U221" s="15"/>
      <c r="V221" s="15"/>
      <c r="W221" s="8"/>
      <c r="X221" s="8"/>
      <c r="Y221" s="57"/>
      <c r="Z221" s="57"/>
      <c r="AA221" s="15"/>
      <c r="AB221" s="15"/>
      <c r="AC221" s="15"/>
      <c r="AD221" s="15"/>
      <c r="AE221" s="58"/>
      <c r="AF221" s="58"/>
      <c r="AG221" s="15"/>
      <c r="AH221" s="25"/>
      <c r="AI221" s="26"/>
      <c r="AJ221" s="27"/>
      <c r="AK221" s="27"/>
      <c r="AL221" s="28"/>
    </row>
    <row r="222" ht="12.75" customHeight="1">
      <c r="A222" s="26"/>
      <c r="B222" s="29"/>
      <c r="C222" s="329"/>
      <c r="D222" s="93"/>
      <c r="E222" s="5"/>
      <c r="F222" s="5"/>
      <c r="G222" s="5"/>
      <c r="H222" s="5"/>
      <c r="I222" s="5"/>
      <c r="J222" s="5"/>
      <c r="K222" s="8"/>
      <c r="L222" s="9"/>
      <c r="M222" s="10"/>
      <c r="N222" s="84"/>
      <c r="O222" s="330"/>
      <c r="P222" s="331"/>
      <c r="Q222" s="332"/>
      <c r="R222" s="14"/>
      <c r="S222" s="333"/>
      <c r="T222" s="15"/>
      <c r="U222" s="15"/>
      <c r="V222" s="15"/>
      <c r="W222" s="8"/>
      <c r="X222" s="8"/>
      <c r="Y222" s="57"/>
      <c r="Z222" s="57"/>
      <c r="AA222" s="15"/>
      <c r="AB222" s="15"/>
      <c r="AC222" s="15"/>
      <c r="AD222" s="15"/>
      <c r="AE222" s="58"/>
      <c r="AF222" s="58"/>
      <c r="AG222" s="15"/>
      <c r="AH222" s="25"/>
      <c r="AI222" s="26"/>
      <c r="AJ222" s="27"/>
      <c r="AK222" s="27"/>
      <c r="AL222" s="28"/>
    </row>
    <row r="223" ht="12.75" customHeight="1">
      <c r="A223" s="26"/>
      <c r="B223" s="29"/>
      <c r="C223" s="329"/>
      <c r="D223" s="93"/>
      <c r="E223" s="5"/>
      <c r="F223" s="5"/>
      <c r="G223" s="5"/>
      <c r="H223" s="5"/>
      <c r="I223" s="5"/>
      <c r="J223" s="5"/>
      <c r="K223" s="8"/>
      <c r="L223" s="9"/>
      <c r="M223" s="10"/>
      <c r="N223" s="84"/>
      <c r="O223" s="330"/>
      <c r="P223" s="331"/>
      <c r="Q223" s="332"/>
      <c r="R223" s="14"/>
      <c r="S223" s="333"/>
      <c r="T223" s="15"/>
      <c r="U223" s="15"/>
      <c r="V223" s="15"/>
      <c r="W223" s="8"/>
      <c r="X223" s="8"/>
      <c r="Y223" s="57"/>
      <c r="Z223" s="57"/>
      <c r="AA223" s="15"/>
      <c r="AB223" s="15"/>
      <c r="AC223" s="15"/>
      <c r="AD223" s="15"/>
      <c r="AE223" s="58"/>
      <c r="AF223" s="58"/>
      <c r="AG223" s="15"/>
      <c r="AH223" s="25"/>
      <c r="AI223" s="26"/>
      <c r="AJ223" s="27"/>
      <c r="AK223" s="27"/>
      <c r="AL223" s="28"/>
    </row>
    <row r="224" ht="12.75" customHeight="1">
      <c r="A224" s="26"/>
      <c r="B224" s="29"/>
      <c r="C224" s="329"/>
      <c r="D224" s="93"/>
      <c r="E224" s="5"/>
      <c r="F224" s="5"/>
      <c r="G224" s="5"/>
      <c r="H224" s="5"/>
      <c r="I224" s="5"/>
      <c r="J224" s="5"/>
      <c r="K224" s="8"/>
      <c r="L224" s="9"/>
      <c r="M224" s="10"/>
      <c r="N224" s="84"/>
      <c r="O224" s="330"/>
      <c r="P224" s="331"/>
      <c r="Q224" s="332"/>
      <c r="R224" s="14"/>
      <c r="S224" s="333"/>
      <c r="T224" s="15"/>
      <c r="U224" s="15"/>
      <c r="V224" s="15"/>
      <c r="W224" s="8"/>
      <c r="X224" s="8"/>
      <c r="Y224" s="57"/>
      <c r="Z224" s="57"/>
      <c r="AA224" s="15"/>
      <c r="AB224" s="15"/>
      <c r="AC224" s="15"/>
      <c r="AD224" s="15"/>
      <c r="AE224" s="58"/>
      <c r="AF224" s="58"/>
      <c r="AG224" s="15"/>
      <c r="AH224" s="25"/>
      <c r="AI224" s="26"/>
      <c r="AJ224" s="27"/>
      <c r="AK224" s="27"/>
      <c r="AL224" s="28"/>
    </row>
    <row r="225" ht="12.75" customHeight="1">
      <c r="A225" s="26"/>
      <c r="B225" s="29"/>
      <c r="C225" s="329"/>
      <c r="D225" s="93"/>
      <c r="E225" s="5"/>
      <c r="F225" s="5"/>
      <c r="G225" s="5"/>
      <c r="H225" s="5"/>
      <c r="I225" s="5"/>
      <c r="J225" s="5"/>
      <c r="K225" s="8"/>
      <c r="L225" s="9"/>
      <c r="M225" s="10"/>
      <c r="N225" s="84"/>
      <c r="O225" s="330"/>
      <c r="P225" s="331"/>
      <c r="Q225" s="332"/>
      <c r="R225" s="14"/>
      <c r="S225" s="333"/>
      <c r="T225" s="15"/>
      <c r="U225" s="15"/>
      <c r="V225" s="15"/>
      <c r="W225" s="8"/>
      <c r="X225" s="8"/>
      <c r="Y225" s="57"/>
      <c r="Z225" s="57"/>
      <c r="AA225" s="15"/>
      <c r="AB225" s="15"/>
      <c r="AC225" s="15"/>
      <c r="AD225" s="15"/>
      <c r="AE225" s="58"/>
      <c r="AF225" s="58"/>
      <c r="AG225" s="15"/>
      <c r="AH225" s="25"/>
      <c r="AI225" s="26"/>
      <c r="AJ225" s="27"/>
      <c r="AK225" s="27"/>
      <c r="AL225" s="28"/>
    </row>
    <row r="226" ht="12.75" customHeight="1">
      <c r="A226" s="26"/>
      <c r="B226" s="29"/>
      <c r="C226" s="329"/>
      <c r="D226" s="93"/>
      <c r="E226" s="5"/>
      <c r="F226" s="5"/>
      <c r="G226" s="5"/>
      <c r="H226" s="5"/>
      <c r="I226" s="5"/>
      <c r="J226" s="5"/>
      <c r="K226" s="8"/>
      <c r="L226" s="9"/>
      <c r="M226" s="10"/>
      <c r="N226" s="84"/>
      <c r="O226" s="330"/>
      <c r="P226" s="331"/>
      <c r="Q226" s="332"/>
      <c r="R226" s="14"/>
      <c r="S226" s="333"/>
      <c r="T226" s="15"/>
      <c r="U226" s="15"/>
      <c r="V226" s="15"/>
      <c r="W226" s="8"/>
      <c r="X226" s="8"/>
      <c r="Y226" s="57"/>
      <c r="Z226" s="57"/>
      <c r="AA226" s="15"/>
      <c r="AB226" s="15"/>
      <c r="AC226" s="15"/>
      <c r="AD226" s="15"/>
      <c r="AE226" s="58"/>
      <c r="AF226" s="58"/>
      <c r="AG226" s="15"/>
      <c r="AH226" s="25"/>
      <c r="AI226" s="26"/>
      <c r="AJ226" s="27"/>
      <c r="AK226" s="27"/>
      <c r="AL226" s="28"/>
    </row>
    <row r="227" ht="12.75" customHeight="1">
      <c r="A227" s="26"/>
      <c r="B227" s="29"/>
      <c r="C227" s="329"/>
      <c r="D227" s="93"/>
      <c r="E227" s="5"/>
      <c r="F227" s="5"/>
      <c r="G227" s="5"/>
      <c r="H227" s="5"/>
      <c r="I227" s="5"/>
      <c r="J227" s="5"/>
      <c r="K227" s="8"/>
      <c r="L227" s="9"/>
      <c r="M227" s="10"/>
      <c r="N227" s="84"/>
      <c r="O227" s="330"/>
      <c r="P227" s="331"/>
      <c r="Q227" s="332"/>
      <c r="R227" s="14"/>
      <c r="S227" s="333"/>
      <c r="T227" s="15"/>
      <c r="U227" s="15"/>
      <c r="V227" s="15"/>
      <c r="W227" s="8"/>
      <c r="X227" s="8"/>
      <c r="Y227" s="57"/>
      <c r="Z227" s="57"/>
      <c r="AA227" s="15"/>
      <c r="AB227" s="15"/>
      <c r="AC227" s="15"/>
      <c r="AD227" s="15"/>
      <c r="AE227" s="58"/>
      <c r="AF227" s="58"/>
      <c r="AG227" s="15"/>
      <c r="AH227" s="25"/>
      <c r="AI227" s="26"/>
      <c r="AJ227" s="27"/>
      <c r="AK227" s="27"/>
      <c r="AL227" s="28"/>
    </row>
    <row r="228" ht="12.75" customHeight="1">
      <c r="A228" s="26"/>
      <c r="B228" s="29"/>
      <c r="C228" s="329"/>
      <c r="D228" s="93"/>
      <c r="E228" s="5"/>
      <c r="F228" s="5"/>
      <c r="G228" s="5"/>
      <c r="H228" s="5"/>
      <c r="I228" s="5"/>
      <c r="J228" s="5"/>
      <c r="K228" s="8"/>
      <c r="L228" s="9"/>
      <c r="M228" s="10"/>
      <c r="N228" s="84"/>
      <c r="O228" s="330"/>
      <c r="P228" s="331"/>
      <c r="Q228" s="332"/>
      <c r="R228" s="14"/>
      <c r="S228" s="333"/>
      <c r="T228" s="15"/>
      <c r="U228" s="15"/>
      <c r="V228" s="15"/>
      <c r="W228" s="8"/>
      <c r="X228" s="8"/>
      <c r="Y228" s="57"/>
      <c r="Z228" s="57"/>
      <c r="AA228" s="15"/>
      <c r="AB228" s="15"/>
      <c r="AC228" s="15"/>
      <c r="AD228" s="15"/>
      <c r="AE228" s="58"/>
      <c r="AF228" s="58"/>
      <c r="AG228" s="15"/>
      <c r="AH228" s="25"/>
      <c r="AI228" s="26"/>
      <c r="AJ228" s="27"/>
      <c r="AK228" s="27"/>
      <c r="AL228" s="28"/>
    </row>
    <row r="229" ht="12.75" customHeight="1">
      <c r="A229" s="26"/>
      <c r="B229" s="29"/>
      <c r="C229" s="329"/>
      <c r="D229" s="93"/>
      <c r="E229" s="5"/>
      <c r="F229" s="5"/>
      <c r="G229" s="5"/>
      <c r="H229" s="5"/>
      <c r="I229" s="5"/>
      <c r="J229" s="5"/>
      <c r="K229" s="8"/>
      <c r="L229" s="9"/>
      <c r="M229" s="10"/>
      <c r="N229" s="84"/>
      <c r="O229" s="330"/>
      <c r="P229" s="331"/>
      <c r="Q229" s="332"/>
      <c r="R229" s="14"/>
      <c r="S229" s="333"/>
      <c r="T229" s="15"/>
      <c r="U229" s="15"/>
      <c r="V229" s="15"/>
      <c r="W229" s="8"/>
      <c r="X229" s="8"/>
      <c r="Y229" s="57"/>
      <c r="Z229" s="57"/>
      <c r="AA229" s="15"/>
      <c r="AB229" s="15"/>
      <c r="AC229" s="15"/>
      <c r="AD229" s="15"/>
      <c r="AE229" s="58"/>
      <c r="AF229" s="58"/>
      <c r="AG229" s="15"/>
      <c r="AH229" s="25"/>
      <c r="AI229" s="26"/>
      <c r="AJ229" s="27"/>
      <c r="AK229" s="27"/>
      <c r="AL229" s="28"/>
    </row>
    <row r="230" ht="12.75" customHeight="1">
      <c r="A230" s="26"/>
      <c r="B230" s="29"/>
      <c r="C230" s="329"/>
      <c r="D230" s="93"/>
      <c r="E230" s="5"/>
      <c r="F230" s="5"/>
      <c r="G230" s="5"/>
      <c r="H230" s="5"/>
      <c r="I230" s="5"/>
      <c r="J230" s="5"/>
      <c r="K230" s="8"/>
      <c r="L230" s="9"/>
      <c r="M230" s="10"/>
      <c r="N230" s="84"/>
      <c r="O230" s="330"/>
      <c r="P230" s="331"/>
      <c r="Q230" s="332"/>
      <c r="R230" s="14"/>
      <c r="S230" s="333"/>
      <c r="T230" s="15"/>
      <c r="U230" s="15"/>
      <c r="V230" s="15"/>
      <c r="W230" s="8"/>
      <c r="X230" s="8"/>
      <c r="Y230" s="57"/>
      <c r="Z230" s="57"/>
      <c r="AA230" s="15"/>
      <c r="AB230" s="15"/>
      <c r="AC230" s="15"/>
      <c r="AD230" s="15"/>
      <c r="AE230" s="58"/>
      <c r="AF230" s="58"/>
      <c r="AG230" s="15"/>
      <c r="AH230" s="25"/>
      <c r="AI230" s="26"/>
      <c r="AJ230" s="27"/>
      <c r="AK230" s="27"/>
      <c r="AL230" s="28"/>
    </row>
    <row r="231" ht="12.75" customHeight="1">
      <c r="A231" s="26"/>
      <c r="B231" s="29"/>
      <c r="C231" s="329"/>
      <c r="D231" s="93"/>
      <c r="E231" s="5"/>
      <c r="F231" s="5"/>
      <c r="G231" s="5"/>
      <c r="H231" s="5"/>
      <c r="I231" s="5"/>
      <c r="J231" s="5"/>
      <c r="K231" s="8"/>
      <c r="L231" s="9"/>
      <c r="M231" s="10"/>
      <c r="N231" s="84"/>
      <c r="O231" s="330"/>
      <c r="P231" s="331"/>
      <c r="Q231" s="332"/>
      <c r="R231" s="14"/>
      <c r="S231" s="333"/>
      <c r="T231" s="15"/>
      <c r="U231" s="15"/>
      <c r="V231" s="15"/>
      <c r="W231" s="8"/>
      <c r="X231" s="8"/>
      <c r="Y231" s="57"/>
      <c r="Z231" s="57"/>
      <c r="AA231" s="15"/>
      <c r="AB231" s="15"/>
      <c r="AC231" s="15"/>
      <c r="AD231" s="15"/>
      <c r="AE231" s="58"/>
      <c r="AF231" s="58"/>
      <c r="AG231" s="15"/>
      <c r="AH231" s="25"/>
      <c r="AI231" s="26"/>
      <c r="AJ231" s="27"/>
      <c r="AK231" s="27"/>
      <c r="AL231" s="28"/>
    </row>
    <row r="232" ht="12.75" customHeight="1">
      <c r="A232" s="26"/>
      <c r="B232" s="29"/>
      <c r="C232" s="329"/>
      <c r="D232" s="93"/>
      <c r="E232" s="5"/>
      <c r="F232" s="5"/>
      <c r="G232" s="5"/>
      <c r="H232" s="5"/>
      <c r="I232" s="5"/>
      <c r="J232" s="5"/>
      <c r="K232" s="8"/>
      <c r="L232" s="9"/>
      <c r="M232" s="10"/>
      <c r="N232" s="84"/>
      <c r="O232" s="330"/>
      <c r="P232" s="331"/>
      <c r="Q232" s="332"/>
      <c r="R232" s="14"/>
      <c r="S232" s="333"/>
      <c r="T232" s="15"/>
      <c r="U232" s="15"/>
      <c r="V232" s="15"/>
      <c r="W232" s="8"/>
      <c r="X232" s="8"/>
      <c r="Y232" s="57"/>
      <c r="Z232" s="57"/>
      <c r="AA232" s="15"/>
      <c r="AB232" s="15"/>
      <c r="AC232" s="15"/>
      <c r="AD232" s="15"/>
      <c r="AE232" s="58"/>
      <c r="AF232" s="58"/>
      <c r="AG232" s="15"/>
      <c r="AH232" s="25"/>
      <c r="AI232" s="26"/>
      <c r="AJ232" s="27"/>
      <c r="AK232" s="27"/>
      <c r="AL232" s="28"/>
    </row>
    <row r="233" ht="12.75" customHeight="1">
      <c r="A233" s="26"/>
      <c r="B233" s="29"/>
      <c r="C233" s="329"/>
      <c r="D233" s="93"/>
      <c r="E233" s="5"/>
      <c r="F233" s="5"/>
      <c r="G233" s="5"/>
      <c r="H233" s="5"/>
      <c r="I233" s="5"/>
      <c r="J233" s="5"/>
      <c r="K233" s="8"/>
      <c r="L233" s="9"/>
      <c r="M233" s="10"/>
      <c r="N233" s="84"/>
      <c r="O233" s="330"/>
      <c r="P233" s="331"/>
      <c r="Q233" s="332"/>
      <c r="R233" s="14"/>
      <c r="S233" s="333"/>
      <c r="T233" s="15"/>
      <c r="U233" s="15"/>
      <c r="V233" s="15"/>
      <c r="W233" s="8"/>
      <c r="X233" s="8"/>
      <c r="Y233" s="57"/>
      <c r="Z233" s="57"/>
      <c r="AA233" s="15"/>
      <c r="AB233" s="15"/>
      <c r="AC233" s="15"/>
      <c r="AD233" s="15"/>
      <c r="AE233" s="58"/>
      <c r="AF233" s="58"/>
      <c r="AG233" s="15"/>
      <c r="AH233" s="25"/>
      <c r="AI233" s="26"/>
      <c r="AJ233" s="27"/>
      <c r="AK233" s="27"/>
      <c r="AL233" s="28"/>
    </row>
    <row r="234" ht="12.75" customHeight="1">
      <c r="A234" s="26"/>
      <c r="B234" s="29"/>
      <c r="C234" s="329"/>
      <c r="D234" s="93"/>
      <c r="E234" s="5"/>
      <c r="F234" s="5"/>
      <c r="G234" s="5"/>
      <c r="H234" s="5"/>
      <c r="I234" s="5"/>
      <c r="J234" s="5"/>
      <c r="K234" s="8"/>
      <c r="L234" s="9"/>
      <c r="M234" s="10"/>
      <c r="N234" s="84"/>
      <c r="O234" s="330"/>
      <c r="P234" s="331"/>
      <c r="Q234" s="332"/>
      <c r="R234" s="14"/>
      <c r="S234" s="333"/>
      <c r="T234" s="15"/>
      <c r="U234" s="15"/>
      <c r="V234" s="15"/>
      <c r="W234" s="8"/>
      <c r="X234" s="8"/>
      <c r="Y234" s="57"/>
      <c r="Z234" s="57"/>
      <c r="AA234" s="15"/>
      <c r="AB234" s="15"/>
      <c r="AC234" s="15"/>
      <c r="AD234" s="15"/>
      <c r="AE234" s="58"/>
      <c r="AF234" s="58"/>
      <c r="AG234" s="15"/>
      <c r="AH234" s="25"/>
      <c r="AI234" s="26"/>
      <c r="AJ234" s="27"/>
      <c r="AK234" s="27"/>
      <c r="AL234" s="28"/>
    </row>
    <row r="235" ht="12.75" customHeight="1">
      <c r="A235" s="26"/>
      <c r="B235" s="29"/>
      <c r="C235" s="329"/>
      <c r="D235" s="93"/>
      <c r="E235" s="5"/>
      <c r="F235" s="5"/>
      <c r="G235" s="5"/>
      <c r="H235" s="5"/>
      <c r="I235" s="5"/>
      <c r="J235" s="5"/>
      <c r="K235" s="8"/>
      <c r="L235" s="9"/>
      <c r="M235" s="10"/>
      <c r="N235" s="84"/>
      <c r="O235" s="330"/>
      <c r="P235" s="331"/>
      <c r="Q235" s="332"/>
      <c r="R235" s="14"/>
      <c r="S235" s="333"/>
      <c r="T235" s="15"/>
      <c r="U235" s="15"/>
      <c r="V235" s="15"/>
      <c r="W235" s="8"/>
      <c r="X235" s="8"/>
      <c r="Y235" s="57"/>
      <c r="Z235" s="57"/>
      <c r="AA235" s="15"/>
      <c r="AB235" s="15"/>
      <c r="AC235" s="15"/>
      <c r="AD235" s="15"/>
      <c r="AE235" s="58"/>
      <c r="AF235" s="58"/>
      <c r="AG235" s="15"/>
      <c r="AH235" s="25"/>
      <c r="AI235" s="26"/>
      <c r="AJ235" s="27"/>
      <c r="AK235" s="27"/>
      <c r="AL235" s="28"/>
    </row>
    <row r="236" ht="12.75" customHeight="1">
      <c r="A236" s="26"/>
      <c r="B236" s="29"/>
      <c r="C236" s="329"/>
      <c r="D236" s="93"/>
      <c r="E236" s="5"/>
      <c r="F236" s="5"/>
      <c r="G236" s="5"/>
      <c r="H236" s="5"/>
      <c r="I236" s="5"/>
      <c r="J236" s="5"/>
      <c r="K236" s="8"/>
      <c r="L236" s="9"/>
      <c r="M236" s="10"/>
      <c r="N236" s="84"/>
      <c r="O236" s="330"/>
      <c r="P236" s="331"/>
      <c r="Q236" s="332"/>
      <c r="R236" s="14"/>
      <c r="S236" s="333"/>
      <c r="T236" s="15"/>
      <c r="U236" s="15"/>
      <c r="V236" s="15"/>
      <c r="W236" s="8"/>
      <c r="X236" s="8"/>
      <c r="Y236" s="57"/>
      <c r="Z236" s="57"/>
      <c r="AA236" s="15"/>
      <c r="AB236" s="15"/>
      <c r="AC236" s="15"/>
      <c r="AD236" s="15"/>
      <c r="AE236" s="58"/>
      <c r="AF236" s="58"/>
      <c r="AG236" s="15"/>
      <c r="AH236" s="25"/>
      <c r="AI236" s="26"/>
      <c r="AJ236" s="27"/>
      <c r="AK236" s="27"/>
      <c r="AL236" s="28"/>
    </row>
    <row r="237" ht="12.75" customHeight="1">
      <c r="A237" s="26"/>
      <c r="B237" s="29"/>
      <c r="C237" s="329"/>
      <c r="D237" s="93"/>
      <c r="E237" s="5"/>
      <c r="F237" s="5"/>
      <c r="G237" s="5"/>
      <c r="H237" s="5"/>
      <c r="I237" s="5"/>
      <c r="J237" s="5"/>
      <c r="K237" s="8"/>
      <c r="L237" s="9"/>
      <c r="M237" s="10"/>
      <c r="N237" s="84"/>
      <c r="O237" s="330"/>
      <c r="P237" s="331"/>
      <c r="Q237" s="332"/>
      <c r="R237" s="14"/>
      <c r="S237" s="333"/>
      <c r="T237" s="15"/>
      <c r="U237" s="15"/>
      <c r="V237" s="15"/>
      <c r="W237" s="8"/>
      <c r="X237" s="8"/>
      <c r="Y237" s="57"/>
      <c r="Z237" s="57"/>
      <c r="AA237" s="15"/>
      <c r="AB237" s="15"/>
      <c r="AC237" s="15"/>
      <c r="AD237" s="15"/>
      <c r="AE237" s="58"/>
      <c r="AF237" s="58"/>
      <c r="AG237" s="15"/>
      <c r="AH237" s="25"/>
      <c r="AI237" s="26"/>
      <c r="AJ237" s="27"/>
      <c r="AK237" s="27"/>
      <c r="AL237" s="28"/>
    </row>
    <row r="238" ht="12.75" customHeight="1">
      <c r="A238" s="26"/>
      <c r="B238" s="29"/>
      <c r="C238" s="329"/>
      <c r="D238" s="93"/>
      <c r="E238" s="5"/>
      <c r="F238" s="5"/>
      <c r="G238" s="5"/>
      <c r="H238" s="5"/>
      <c r="I238" s="5"/>
      <c r="J238" s="5"/>
      <c r="K238" s="8"/>
      <c r="L238" s="9"/>
      <c r="M238" s="10"/>
      <c r="N238" s="84"/>
      <c r="O238" s="330"/>
      <c r="P238" s="331"/>
      <c r="Q238" s="332"/>
      <c r="R238" s="14"/>
      <c r="S238" s="333"/>
      <c r="T238" s="15"/>
      <c r="U238" s="15"/>
      <c r="V238" s="15"/>
      <c r="W238" s="8"/>
      <c r="X238" s="8"/>
      <c r="Y238" s="57"/>
      <c r="Z238" s="57"/>
      <c r="AA238" s="15"/>
      <c r="AB238" s="15"/>
      <c r="AC238" s="15"/>
      <c r="AD238" s="15"/>
      <c r="AE238" s="58"/>
      <c r="AF238" s="58"/>
      <c r="AG238" s="15"/>
      <c r="AH238" s="25"/>
      <c r="AI238" s="26"/>
      <c r="AJ238" s="27"/>
      <c r="AK238" s="27"/>
      <c r="AL238" s="28"/>
    </row>
    <row r="239" ht="12.75" customHeight="1">
      <c r="A239" s="26"/>
      <c r="B239" s="29"/>
      <c r="C239" s="329"/>
      <c r="D239" s="93"/>
      <c r="E239" s="5"/>
      <c r="F239" s="5"/>
      <c r="G239" s="5"/>
      <c r="H239" s="5"/>
      <c r="I239" s="5"/>
      <c r="J239" s="5"/>
      <c r="K239" s="8"/>
      <c r="L239" s="9"/>
      <c r="M239" s="10"/>
      <c r="N239" s="84"/>
      <c r="O239" s="330"/>
      <c r="P239" s="331"/>
      <c r="Q239" s="332"/>
      <c r="R239" s="14"/>
      <c r="S239" s="333"/>
      <c r="T239" s="15"/>
      <c r="U239" s="15"/>
      <c r="V239" s="15"/>
      <c r="W239" s="8"/>
      <c r="X239" s="8"/>
      <c r="Y239" s="57"/>
      <c r="Z239" s="57"/>
      <c r="AA239" s="15"/>
      <c r="AB239" s="15"/>
      <c r="AC239" s="15"/>
      <c r="AD239" s="15"/>
      <c r="AE239" s="58"/>
      <c r="AF239" s="58"/>
      <c r="AG239" s="15"/>
      <c r="AH239" s="25"/>
      <c r="AI239" s="26"/>
      <c r="AJ239" s="27"/>
      <c r="AK239" s="27"/>
      <c r="AL239" s="28"/>
    </row>
    <row r="240" ht="12.75" customHeight="1">
      <c r="A240" s="26"/>
      <c r="B240" s="29"/>
      <c r="C240" s="329"/>
      <c r="D240" s="93"/>
      <c r="E240" s="5"/>
      <c r="F240" s="5"/>
      <c r="G240" s="5"/>
      <c r="H240" s="5"/>
      <c r="I240" s="5"/>
      <c r="J240" s="5"/>
      <c r="K240" s="8"/>
      <c r="L240" s="9"/>
      <c r="M240" s="10"/>
      <c r="N240" s="84"/>
      <c r="O240" s="330"/>
      <c r="P240" s="331"/>
      <c r="Q240" s="332"/>
      <c r="R240" s="14"/>
      <c r="S240" s="333"/>
      <c r="T240" s="15"/>
      <c r="U240" s="15"/>
      <c r="V240" s="15"/>
      <c r="W240" s="8"/>
      <c r="X240" s="8"/>
      <c r="Y240" s="57"/>
      <c r="Z240" s="57"/>
      <c r="AA240" s="15"/>
      <c r="AB240" s="15"/>
      <c r="AC240" s="15"/>
      <c r="AD240" s="15"/>
      <c r="AE240" s="58"/>
      <c r="AF240" s="58"/>
      <c r="AG240" s="15"/>
      <c r="AH240" s="25"/>
      <c r="AI240" s="26"/>
      <c r="AJ240" s="27"/>
      <c r="AK240" s="27"/>
      <c r="AL240" s="28"/>
    </row>
    <row r="241" ht="12.75" customHeight="1">
      <c r="A241" s="26"/>
      <c r="B241" s="29"/>
      <c r="C241" s="329"/>
      <c r="D241" s="93"/>
      <c r="E241" s="5"/>
      <c r="F241" s="5"/>
      <c r="G241" s="5"/>
      <c r="H241" s="5"/>
      <c r="I241" s="5"/>
      <c r="J241" s="5"/>
      <c r="K241" s="8"/>
      <c r="L241" s="9"/>
      <c r="M241" s="10"/>
      <c r="N241" s="84"/>
      <c r="O241" s="330"/>
      <c r="P241" s="331"/>
      <c r="Q241" s="332"/>
      <c r="R241" s="14"/>
      <c r="S241" s="333"/>
      <c r="T241" s="15"/>
      <c r="U241" s="15"/>
      <c r="V241" s="15"/>
      <c r="W241" s="8"/>
      <c r="X241" s="8"/>
      <c r="Y241" s="57"/>
      <c r="Z241" s="57"/>
      <c r="AA241" s="15"/>
      <c r="AB241" s="15"/>
      <c r="AC241" s="15"/>
      <c r="AD241" s="15"/>
      <c r="AE241" s="58"/>
      <c r="AF241" s="58"/>
      <c r="AG241" s="15"/>
      <c r="AH241" s="25"/>
      <c r="AI241" s="26"/>
      <c r="AJ241" s="27"/>
      <c r="AK241" s="27"/>
      <c r="AL241" s="28"/>
    </row>
    <row r="242" ht="12.75" customHeight="1">
      <c r="A242" s="26"/>
      <c r="B242" s="29"/>
      <c r="C242" s="329"/>
      <c r="D242" s="93"/>
      <c r="E242" s="5"/>
      <c r="F242" s="5"/>
      <c r="G242" s="5"/>
      <c r="H242" s="5"/>
      <c r="I242" s="5"/>
      <c r="J242" s="5"/>
      <c r="K242" s="8"/>
      <c r="L242" s="9"/>
      <c r="M242" s="10"/>
      <c r="N242" s="84"/>
      <c r="O242" s="330"/>
      <c r="P242" s="331"/>
      <c r="Q242" s="332"/>
      <c r="R242" s="14"/>
      <c r="S242" s="333"/>
      <c r="T242" s="15"/>
      <c r="U242" s="15"/>
      <c r="V242" s="15"/>
      <c r="W242" s="8"/>
      <c r="X242" s="8"/>
      <c r="Y242" s="57"/>
      <c r="Z242" s="57"/>
      <c r="AA242" s="15"/>
      <c r="AB242" s="15"/>
      <c r="AC242" s="15"/>
      <c r="AD242" s="15"/>
      <c r="AE242" s="58"/>
      <c r="AF242" s="58"/>
      <c r="AG242" s="15"/>
      <c r="AH242" s="25"/>
      <c r="AI242" s="26"/>
      <c r="AJ242" s="27"/>
      <c r="AK242" s="27"/>
      <c r="AL242" s="28"/>
    </row>
    <row r="243" ht="12.75" customHeight="1">
      <c r="A243" s="26"/>
      <c r="B243" s="29"/>
      <c r="C243" s="329"/>
      <c r="D243" s="93"/>
      <c r="E243" s="5"/>
      <c r="F243" s="5"/>
      <c r="G243" s="5"/>
      <c r="H243" s="5"/>
      <c r="I243" s="5"/>
      <c r="J243" s="5"/>
      <c r="K243" s="8"/>
      <c r="L243" s="9"/>
      <c r="M243" s="10"/>
      <c r="N243" s="84"/>
      <c r="O243" s="330"/>
      <c r="P243" s="331"/>
      <c r="Q243" s="332"/>
      <c r="R243" s="14"/>
      <c r="S243" s="333"/>
      <c r="T243" s="15"/>
      <c r="U243" s="15"/>
      <c r="V243" s="15"/>
      <c r="W243" s="8"/>
      <c r="X243" s="8"/>
      <c r="Y243" s="57"/>
      <c r="Z243" s="57"/>
      <c r="AA243" s="15"/>
      <c r="AB243" s="15"/>
      <c r="AC243" s="15"/>
      <c r="AD243" s="15"/>
      <c r="AE243" s="58"/>
      <c r="AF243" s="58"/>
      <c r="AG243" s="15"/>
      <c r="AH243" s="25"/>
      <c r="AI243" s="26"/>
      <c r="AJ243" s="27"/>
      <c r="AK243" s="27"/>
      <c r="AL243" s="28"/>
    </row>
    <row r="244" ht="12.75" customHeight="1">
      <c r="A244" s="26"/>
      <c r="B244" s="29"/>
      <c r="C244" s="329"/>
      <c r="D244" s="93"/>
      <c r="E244" s="5"/>
      <c r="F244" s="5"/>
      <c r="G244" s="5"/>
      <c r="H244" s="5"/>
      <c r="I244" s="5"/>
      <c r="J244" s="5"/>
      <c r="K244" s="8"/>
      <c r="L244" s="9"/>
      <c r="M244" s="10"/>
      <c r="N244" s="84"/>
      <c r="O244" s="330"/>
      <c r="P244" s="331"/>
      <c r="Q244" s="332"/>
      <c r="R244" s="14"/>
      <c r="S244" s="333"/>
      <c r="T244" s="15"/>
      <c r="U244" s="15"/>
      <c r="V244" s="15"/>
      <c r="W244" s="8"/>
      <c r="X244" s="8"/>
      <c r="Y244" s="57"/>
      <c r="Z244" s="57"/>
      <c r="AA244" s="15"/>
      <c r="AB244" s="15"/>
      <c r="AC244" s="15"/>
      <c r="AD244" s="15"/>
      <c r="AE244" s="58"/>
      <c r="AF244" s="58"/>
      <c r="AG244" s="15"/>
      <c r="AH244" s="25"/>
      <c r="AI244" s="26"/>
      <c r="AJ244" s="27"/>
      <c r="AK244" s="27"/>
      <c r="AL244" s="28"/>
    </row>
    <row r="245" ht="12.75" customHeight="1">
      <c r="A245" s="26"/>
      <c r="B245" s="29"/>
      <c r="C245" s="329"/>
      <c r="D245" s="93"/>
      <c r="E245" s="5"/>
      <c r="F245" s="5"/>
      <c r="G245" s="5"/>
      <c r="H245" s="5"/>
      <c r="I245" s="5"/>
      <c r="J245" s="5"/>
      <c r="K245" s="8"/>
      <c r="L245" s="9"/>
      <c r="M245" s="10"/>
      <c r="N245" s="84"/>
      <c r="O245" s="330"/>
      <c r="P245" s="331"/>
      <c r="Q245" s="332"/>
      <c r="R245" s="14"/>
      <c r="S245" s="333"/>
      <c r="T245" s="15"/>
      <c r="U245" s="15"/>
      <c r="V245" s="15"/>
      <c r="W245" s="8"/>
      <c r="X245" s="8"/>
      <c r="Y245" s="57"/>
      <c r="Z245" s="57"/>
      <c r="AA245" s="15"/>
      <c r="AB245" s="15"/>
      <c r="AC245" s="15"/>
      <c r="AD245" s="15"/>
      <c r="AE245" s="58"/>
      <c r="AF245" s="58"/>
      <c r="AG245" s="15"/>
      <c r="AH245" s="25"/>
      <c r="AI245" s="26"/>
      <c r="AJ245" s="27"/>
      <c r="AK245" s="27"/>
      <c r="AL245" s="28"/>
    </row>
    <row r="246" ht="12.75" customHeight="1">
      <c r="A246" s="26"/>
      <c r="B246" s="29"/>
      <c r="C246" s="329"/>
      <c r="D246" s="93"/>
      <c r="E246" s="5"/>
      <c r="F246" s="5"/>
      <c r="G246" s="5"/>
      <c r="H246" s="5"/>
      <c r="I246" s="5"/>
      <c r="J246" s="5"/>
      <c r="K246" s="8"/>
      <c r="L246" s="9"/>
      <c r="M246" s="10"/>
      <c r="N246" s="84"/>
      <c r="O246" s="330"/>
      <c r="P246" s="331"/>
      <c r="Q246" s="332"/>
      <c r="R246" s="14"/>
      <c r="S246" s="333"/>
      <c r="T246" s="15"/>
      <c r="U246" s="15"/>
      <c r="V246" s="15"/>
      <c r="W246" s="8"/>
      <c r="X246" s="8"/>
      <c r="Y246" s="57"/>
      <c r="Z246" s="57"/>
      <c r="AA246" s="15"/>
      <c r="AB246" s="15"/>
      <c r="AC246" s="15"/>
      <c r="AD246" s="15"/>
      <c r="AE246" s="58"/>
      <c r="AF246" s="58"/>
      <c r="AG246" s="15"/>
      <c r="AH246" s="25"/>
      <c r="AI246" s="26"/>
      <c r="AJ246" s="27"/>
      <c r="AK246" s="27"/>
      <c r="AL246" s="28"/>
    </row>
    <row r="247" ht="12.75" customHeight="1">
      <c r="A247" s="26"/>
      <c r="B247" s="29"/>
      <c r="C247" s="329"/>
      <c r="D247" s="93"/>
      <c r="E247" s="5"/>
      <c r="F247" s="5"/>
      <c r="G247" s="5"/>
      <c r="H247" s="5"/>
      <c r="I247" s="5"/>
      <c r="J247" s="5"/>
      <c r="K247" s="8"/>
      <c r="L247" s="9"/>
      <c r="M247" s="10"/>
      <c r="N247" s="84"/>
      <c r="O247" s="330"/>
      <c r="P247" s="331"/>
      <c r="Q247" s="332"/>
      <c r="R247" s="14"/>
      <c r="S247" s="333"/>
      <c r="T247" s="15"/>
      <c r="U247" s="15"/>
      <c r="V247" s="15"/>
      <c r="W247" s="8"/>
      <c r="X247" s="8"/>
      <c r="Y247" s="57"/>
      <c r="Z247" s="57"/>
      <c r="AA247" s="15"/>
      <c r="AB247" s="15"/>
      <c r="AC247" s="15"/>
      <c r="AD247" s="15"/>
      <c r="AE247" s="58"/>
      <c r="AF247" s="58"/>
      <c r="AG247" s="15"/>
      <c r="AH247" s="25"/>
      <c r="AI247" s="26"/>
      <c r="AJ247" s="27"/>
      <c r="AK247" s="27"/>
      <c r="AL247" s="28"/>
    </row>
    <row r="248" ht="12.75" customHeight="1">
      <c r="A248" s="26"/>
      <c r="B248" s="29"/>
      <c r="C248" s="329"/>
      <c r="D248" s="93"/>
      <c r="E248" s="5"/>
      <c r="F248" s="5"/>
      <c r="G248" s="5"/>
      <c r="H248" s="5"/>
      <c r="I248" s="5"/>
      <c r="J248" s="5"/>
      <c r="K248" s="8"/>
      <c r="L248" s="9"/>
      <c r="M248" s="10"/>
      <c r="N248" s="84"/>
      <c r="O248" s="330"/>
      <c r="P248" s="331"/>
      <c r="Q248" s="332"/>
      <c r="R248" s="14"/>
      <c r="S248" s="333"/>
      <c r="T248" s="15"/>
      <c r="U248" s="15"/>
      <c r="V248" s="15"/>
      <c r="W248" s="8"/>
      <c r="X248" s="8"/>
      <c r="Y248" s="57"/>
      <c r="Z248" s="57"/>
      <c r="AA248" s="15"/>
      <c r="AB248" s="15"/>
      <c r="AC248" s="15"/>
      <c r="AD248" s="15"/>
      <c r="AE248" s="58"/>
      <c r="AF248" s="58"/>
      <c r="AG248" s="15"/>
      <c r="AH248" s="25"/>
      <c r="AI248" s="26"/>
      <c r="AJ248" s="27"/>
      <c r="AK248" s="27"/>
      <c r="AL248" s="28"/>
    </row>
    <row r="249" ht="12.75" customHeight="1">
      <c r="A249" s="26"/>
      <c r="B249" s="29"/>
      <c r="C249" s="329"/>
      <c r="D249" s="93"/>
      <c r="E249" s="5"/>
      <c r="F249" s="5"/>
      <c r="G249" s="5"/>
      <c r="H249" s="5"/>
      <c r="I249" s="5"/>
      <c r="J249" s="5"/>
      <c r="K249" s="8"/>
      <c r="L249" s="9"/>
      <c r="M249" s="10"/>
      <c r="N249" s="84"/>
      <c r="O249" s="330"/>
      <c r="P249" s="331"/>
      <c r="Q249" s="332"/>
      <c r="R249" s="14"/>
      <c r="S249" s="333"/>
      <c r="T249" s="15"/>
      <c r="U249" s="15"/>
      <c r="V249" s="15"/>
      <c r="W249" s="8"/>
      <c r="X249" s="8"/>
      <c r="Y249" s="57"/>
      <c r="Z249" s="57"/>
      <c r="AA249" s="15"/>
      <c r="AB249" s="15"/>
      <c r="AC249" s="15"/>
      <c r="AD249" s="15"/>
      <c r="AE249" s="58"/>
      <c r="AF249" s="58"/>
      <c r="AG249" s="15"/>
      <c r="AH249" s="25"/>
      <c r="AI249" s="26"/>
      <c r="AJ249" s="27"/>
      <c r="AK249" s="27"/>
      <c r="AL249" s="28"/>
    </row>
    <row r="250" ht="12.75" customHeight="1">
      <c r="A250" s="26"/>
      <c r="B250" s="29"/>
      <c r="C250" s="329"/>
      <c r="D250" s="93"/>
      <c r="E250" s="5"/>
      <c r="F250" s="5"/>
      <c r="G250" s="5"/>
      <c r="H250" s="5"/>
      <c r="I250" s="5"/>
      <c r="J250" s="5"/>
      <c r="K250" s="8"/>
      <c r="L250" s="9"/>
      <c r="M250" s="10"/>
      <c r="N250" s="84"/>
      <c r="O250" s="330"/>
      <c r="P250" s="331"/>
      <c r="Q250" s="332"/>
      <c r="R250" s="14"/>
      <c r="S250" s="333"/>
      <c r="T250" s="15"/>
      <c r="U250" s="15"/>
      <c r="V250" s="15"/>
      <c r="W250" s="8"/>
      <c r="X250" s="8"/>
      <c r="Y250" s="57"/>
      <c r="Z250" s="57"/>
      <c r="AA250" s="15"/>
      <c r="AB250" s="15"/>
      <c r="AC250" s="15"/>
      <c r="AD250" s="15"/>
      <c r="AE250" s="58"/>
      <c r="AF250" s="58"/>
      <c r="AG250" s="15"/>
      <c r="AH250" s="25"/>
      <c r="AI250" s="26"/>
      <c r="AJ250" s="27"/>
      <c r="AK250" s="27"/>
      <c r="AL250" s="28"/>
    </row>
    <row r="251" ht="12.75" customHeight="1">
      <c r="A251" s="26"/>
      <c r="B251" s="29"/>
      <c r="C251" s="329"/>
      <c r="D251" s="93"/>
      <c r="E251" s="5"/>
      <c r="F251" s="5"/>
      <c r="G251" s="5"/>
      <c r="H251" s="5"/>
      <c r="I251" s="5"/>
      <c r="J251" s="5"/>
      <c r="K251" s="8"/>
      <c r="L251" s="9"/>
      <c r="M251" s="10"/>
      <c r="N251" s="84"/>
      <c r="O251" s="330"/>
      <c r="P251" s="331"/>
      <c r="Q251" s="332"/>
      <c r="R251" s="14"/>
      <c r="S251" s="333"/>
      <c r="T251" s="15"/>
      <c r="U251" s="15"/>
      <c r="V251" s="15"/>
      <c r="W251" s="8"/>
      <c r="X251" s="8"/>
      <c r="Y251" s="57"/>
      <c r="Z251" s="57"/>
      <c r="AA251" s="15"/>
      <c r="AB251" s="15"/>
      <c r="AC251" s="15"/>
      <c r="AD251" s="15"/>
      <c r="AE251" s="58"/>
      <c r="AF251" s="58"/>
      <c r="AG251" s="15"/>
      <c r="AH251" s="25"/>
      <c r="AI251" s="26"/>
      <c r="AJ251" s="27"/>
      <c r="AK251" s="27"/>
      <c r="AL251" s="28"/>
    </row>
    <row r="252" ht="12.75" customHeight="1">
      <c r="A252" s="26"/>
      <c r="B252" s="29"/>
      <c r="C252" s="329"/>
      <c r="D252" s="93"/>
      <c r="E252" s="5"/>
      <c r="F252" s="5"/>
      <c r="G252" s="5"/>
      <c r="H252" s="5"/>
      <c r="I252" s="5"/>
      <c r="J252" s="5"/>
      <c r="K252" s="8"/>
      <c r="L252" s="9"/>
      <c r="M252" s="10"/>
      <c r="N252" s="84"/>
      <c r="O252" s="330"/>
      <c r="P252" s="331"/>
      <c r="Q252" s="332"/>
      <c r="R252" s="14"/>
      <c r="S252" s="333"/>
      <c r="T252" s="15"/>
      <c r="U252" s="15"/>
      <c r="V252" s="15"/>
      <c r="W252" s="8"/>
      <c r="X252" s="8"/>
      <c r="Y252" s="57"/>
      <c r="Z252" s="57"/>
      <c r="AA252" s="15"/>
      <c r="AB252" s="15"/>
      <c r="AC252" s="15"/>
      <c r="AD252" s="15"/>
      <c r="AE252" s="58"/>
      <c r="AF252" s="58"/>
      <c r="AG252" s="15"/>
      <c r="AH252" s="25"/>
      <c r="AI252" s="26"/>
      <c r="AJ252" s="27"/>
      <c r="AK252" s="27"/>
      <c r="AL252" s="28"/>
    </row>
    <row r="253" ht="12.75" customHeight="1">
      <c r="A253" s="26"/>
      <c r="B253" s="29"/>
      <c r="C253" s="329"/>
      <c r="D253" s="93"/>
      <c r="E253" s="5"/>
      <c r="F253" s="5"/>
      <c r="G253" s="5"/>
      <c r="H253" s="5"/>
      <c r="I253" s="5"/>
      <c r="J253" s="5"/>
      <c r="K253" s="8"/>
      <c r="L253" s="9"/>
      <c r="M253" s="10"/>
      <c r="N253" s="84"/>
      <c r="O253" s="330"/>
      <c r="P253" s="331"/>
      <c r="Q253" s="332"/>
      <c r="R253" s="14"/>
      <c r="S253" s="333"/>
      <c r="T253" s="15"/>
      <c r="U253" s="15"/>
      <c r="V253" s="15"/>
      <c r="W253" s="8"/>
      <c r="X253" s="8"/>
      <c r="Y253" s="57"/>
      <c r="Z253" s="57"/>
      <c r="AA253" s="15"/>
      <c r="AB253" s="15"/>
      <c r="AC253" s="15"/>
      <c r="AD253" s="15"/>
      <c r="AE253" s="58"/>
      <c r="AF253" s="58"/>
      <c r="AG253" s="15"/>
      <c r="AH253" s="25"/>
      <c r="AI253" s="26"/>
      <c r="AJ253" s="27"/>
      <c r="AK253" s="27"/>
      <c r="AL253" s="28"/>
    </row>
    <row r="254" ht="12.75" customHeight="1">
      <c r="A254" s="26"/>
      <c r="B254" s="29"/>
      <c r="C254" s="329"/>
      <c r="D254" s="93"/>
      <c r="E254" s="5"/>
      <c r="F254" s="5"/>
      <c r="G254" s="5"/>
      <c r="H254" s="5"/>
      <c r="I254" s="5"/>
      <c r="J254" s="5"/>
      <c r="K254" s="8"/>
      <c r="L254" s="9"/>
      <c r="M254" s="10"/>
      <c r="N254" s="84"/>
      <c r="O254" s="330"/>
      <c r="P254" s="331"/>
      <c r="Q254" s="332"/>
      <c r="R254" s="14"/>
      <c r="S254" s="333"/>
      <c r="T254" s="15"/>
      <c r="U254" s="15"/>
      <c r="V254" s="15"/>
      <c r="W254" s="8"/>
      <c r="X254" s="8"/>
      <c r="Y254" s="57"/>
      <c r="Z254" s="57"/>
      <c r="AA254" s="15"/>
      <c r="AB254" s="15"/>
      <c r="AC254" s="15"/>
      <c r="AD254" s="15"/>
      <c r="AE254" s="58"/>
      <c r="AF254" s="58"/>
      <c r="AG254" s="15"/>
      <c r="AH254" s="25"/>
      <c r="AI254" s="26"/>
      <c r="AJ254" s="27"/>
      <c r="AK254" s="27"/>
      <c r="AL254" s="28"/>
    </row>
    <row r="255" ht="12.75" customHeight="1">
      <c r="A255" s="26"/>
      <c r="B255" s="29"/>
      <c r="C255" s="329"/>
      <c r="D255" s="93"/>
      <c r="E255" s="5"/>
      <c r="F255" s="5"/>
      <c r="G255" s="5"/>
      <c r="H255" s="5"/>
      <c r="I255" s="5"/>
      <c r="J255" s="5"/>
      <c r="K255" s="8"/>
      <c r="L255" s="9"/>
      <c r="M255" s="10"/>
      <c r="N255" s="84"/>
      <c r="O255" s="330"/>
      <c r="P255" s="331"/>
      <c r="Q255" s="332"/>
      <c r="R255" s="14"/>
      <c r="S255" s="333"/>
      <c r="T255" s="15"/>
      <c r="U255" s="15"/>
      <c r="V255" s="15"/>
      <c r="W255" s="8"/>
      <c r="X255" s="8"/>
      <c r="Y255" s="57"/>
      <c r="Z255" s="57"/>
      <c r="AA255" s="15"/>
      <c r="AB255" s="15"/>
      <c r="AC255" s="15"/>
      <c r="AD255" s="15"/>
      <c r="AE255" s="58"/>
      <c r="AF255" s="58"/>
      <c r="AG255" s="15"/>
      <c r="AH255" s="25"/>
      <c r="AI255" s="26"/>
      <c r="AJ255" s="27"/>
      <c r="AK255" s="27"/>
      <c r="AL255" s="28"/>
    </row>
    <row r="256" ht="12.75" customHeight="1">
      <c r="A256" s="26"/>
      <c r="B256" s="29"/>
      <c r="C256" s="329"/>
      <c r="D256" s="93"/>
      <c r="E256" s="5"/>
      <c r="F256" s="5"/>
      <c r="G256" s="5"/>
      <c r="H256" s="5"/>
      <c r="I256" s="5"/>
      <c r="J256" s="5"/>
      <c r="K256" s="8"/>
      <c r="L256" s="9"/>
      <c r="M256" s="10"/>
      <c r="N256" s="84"/>
      <c r="O256" s="330"/>
      <c r="P256" s="331"/>
      <c r="Q256" s="332"/>
      <c r="R256" s="14"/>
      <c r="S256" s="333"/>
      <c r="T256" s="15"/>
      <c r="U256" s="15"/>
      <c r="V256" s="15"/>
      <c r="W256" s="8"/>
      <c r="X256" s="8"/>
      <c r="Y256" s="57"/>
      <c r="Z256" s="57"/>
      <c r="AA256" s="15"/>
      <c r="AB256" s="15"/>
      <c r="AC256" s="15"/>
      <c r="AD256" s="15"/>
      <c r="AE256" s="58"/>
      <c r="AF256" s="58"/>
      <c r="AG256" s="15"/>
      <c r="AH256" s="25"/>
      <c r="AI256" s="26"/>
      <c r="AJ256" s="27"/>
      <c r="AK256" s="27"/>
      <c r="AL256" s="28"/>
    </row>
    <row r="257" ht="12.75" customHeight="1">
      <c r="A257" s="26"/>
      <c r="B257" s="29"/>
      <c r="C257" s="329"/>
      <c r="D257" s="93"/>
      <c r="E257" s="5"/>
      <c r="F257" s="5"/>
      <c r="G257" s="5"/>
      <c r="H257" s="5"/>
      <c r="I257" s="5"/>
      <c r="J257" s="5"/>
      <c r="K257" s="8"/>
      <c r="L257" s="9"/>
      <c r="M257" s="10"/>
      <c r="N257" s="84"/>
      <c r="O257" s="330"/>
      <c r="P257" s="331"/>
      <c r="Q257" s="332"/>
      <c r="R257" s="14"/>
      <c r="S257" s="333"/>
      <c r="T257" s="15"/>
      <c r="U257" s="15"/>
      <c r="V257" s="15"/>
      <c r="W257" s="8"/>
      <c r="X257" s="8"/>
      <c r="Y257" s="57"/>
      <c r="Z257" s="57"/>
      <c r="AA257" s="15"/>
      <c r="AB257" s="15"/>
      <c r="AC257" s="15"/>
      <c r="AD257" s="15"/>
      <c r="AE257" s="58"/>
      <c r="AF257" s="58"/>
      <c r="AG257" s="15"/>
      <c r="AH257" s="25"/>
      <c r="AI257" s="26"/>
      <c r="AJ257" s="27"/>
      <c r="AK257" s="27"/>
      <c r="AL257" s="28"/>
    </row>
    <row r="258" ht="12.75" customHeight="1">
      <c r="A258" s="26"/>
      <c r="B258" s="29"/>
      <c r="C258" s="329"/>
      <c r="D258" s="93"/>
      <c r="E258" s="5"/>
      <c r="F258" s="5"/>
      <c r="G258" s="5"/>
      <c r="H258" s="5"/>
      <c r="I258" s="5"/>
      <c r="J258" s="5"/>
      <c r="K258" s="8"/>
      <c r="L258" s="9"/>
      <c r="M258" s="10"/>
      <c r="N258" s="84"/>
      <c r="O258" s="330"/>
      <c r="P258" s="331"/>
      <c r="Q258" s="332"/>
      <c r="R258" s="14"/>
      <c r="S258" s="333"/>
      <c r="T258" s="15"/>
      <c r="U258" s="15"/>
      <c r="V258" s="15"/>
      <c r="W258" s="8"/>
      <c r="X258" s="8"/>
      <c r="Y258" s="57"/>
      <c r="Z258" s="57"/>
      <c r="AA258" s="15"/>
      <c r="AB258" s="15"/>
      <c r="AC258" s="15"/>
      <c r="AD258" s="15"/>
      <c r="AE258" s="58"/>
      <c r="AF258" s="58"/>
      <c r="AG258" s="15"/>
      <c r="AH258" s="25"/>
      <c r="AI258" s="26"/>
      <c r="AJ258" s="27"/>
      <c r="AK258" s="27"/>
      <c r="AL258" s="28"/>
    </row>
    <row r="259" ht="12.75" customHeight="1">
      <c r="A259" s="26"/>
      <c r="B259" s="29"/>
      <c r="C259" s="329"/>
      <c r="D259" s="93"/>
      <c r="E259" s="5"/>
      <c r="F259" s="5"/>
      <c r="G259" s="5"/>
      <c r="H259" s="5"/>
      <c r="I259" s="5"/>
      <c r="J259" s="5"/>
      <c r="K259" s="8"/>
      <c r="L259" s="9"/>
      <c r="M259" s="10"/>
      <c r="N259" s="84"/>
      <c r="O259" s="330"/>
      <c r="P259" s="331"/>
      <c r="Q259" s="332"/>
      <c r="R259" s="14"/>
      <c r="S259" s="333"/>
      <c r="T259" s="15"/>
      <c r="U259" s="15"/>
      <c r="V259" s="15"/>
      <c r="W259" s="8"/>
      <c r="X259" s="8"/>
      <c r="Y259" s="57"/>
      <c r="Z259" s="57"/>
      <c r="AA259" s="15"/>
      <c r="AB259" s="15"/>
      <c r="AC259" s="15"/>
      <c r="AD259" s="15"/>
      <c r="AE259" s="58"/>
      <c r="AF259" s="58"/>
      <c r="AG259" s="15"/>
      <c r="AH259" s="25"/>
      <c r="AI259" s="26"/>
      <c r="AJ259" s="27"/>
      <c r="AK259" s="27"/>
      <c r="AL259" s="28"/>
    </row>
    <row r="260" ht="12.75" customHeight="1">
      <c r="A260" s="26"/>
      <c r="B260" s="29"/>
      <c r="C260" s="329"/>
      <c r="D260" s="93"/>
      <c r="E260" s="5"/>
      <c r="F260" s="5"/>
      <c r="G260" s="5"/>
      <c r="H260" s="5"/>
      <c r="I260" s="5"/>
      <c r="J260" s="5"/>
      <c r="K260" s="8"/>
      <c r="L260" s="9"/>
      <c r="M260" s="10"/>
      <c r="N260" s="84"/>
      <c r="O260" s="330"/>
      <c r="P260" s="331"/>
      <c r="Q260" s="332"/>
      <c r="R260" s="14"/>
      <c r="S260" s="333"/>
      <c r="T260" s="15"/>
      <c r="U260" s="15"/>
      <c r="V260" s="15"/>
      <c r="W260" s="8"/>
      <c r="X260" s="8"/>
      <c r="Y260" s="57"/>
      <c r="Z260" s="57"/>
      <c r="AA260" s="15"/>
      <c r="AB260" s="15"/>
      <c r="AC260" s="15"/>
      <c r="AD260" s="15"/>
      <c r="AE260" s="58"/>
      <c r="AF260" s="58"/>
      <c r="AG260" s="15"/>
      <c r="AH260" s="25"/>
      <c r="AI260" s="26"/>
      <c r="AJ260" s="27"/>
      <c r="AK260" s="27"/>
      <c r="AL260" s="28"/>
    </row>
    <row r="261" ht="12.75" customHeight="1">
      <c r="A261" s="26"/>
      <c r="B261" s="29"/>
      <c r="C261" s="329"/>
      <c r="D261" s="93"/>
      <c r="E261" s="5"/>
      <c r="F261" s="5"/>
      <c r="G261" s="5"/>
      <c r="H261" s="5"/>
      <c r="I261" s="5"/>
      <c r="J261" s="5"/>
      <c r="K261" s="8"/>
      <c r="L261" s="9"/>
      <c r="M261" s="10"/>
      <c r="N261" s="84"/>
      <c r="O261" s="330"/>
      <c r="P261" s="331"/>
      <c r="Q261" s="332"/>
      <c r="R261" s="14"/>
      <c r="S261" s="333"/>
      <c r="T261" s="15"/>
      <c r="U261" s="15"/>
      <c r="V261" s="15"/>
      <c r="W261" s="8"/>
      <c r="X261" s="8"/>
      <c r="Y261" s="57"/>
      <c r="Z261" s="57"/>
      <c r="AA261" s="15"/>
      <c r="AB261" s="15"/>
      <c r="AC261" s="15"/>
      <c r="AD261" s="15"/>
      <c r="AE261" s="58"/>
      <c r="AF261" s="58"/>
      <c r="AG261" s="15"/>
      <c r="AH261" s="25"/>
      <c r="AI261" s="26"/>
      <c r="AJ261" s="27"/>
      <c r="AK261" s="27"/>
      <c r="AL261" s="28"/>
    </row>
    <row r="262" ht="12.75" customHeight="1">
      <c r="A262" s="26"/>
      <c r="B262" s="29"/>
      <c r="C262" s="329"/>
      <c r="D262" s="93"/>
      <c r="E262" s="5"/>
      <c r="F262" s="5"/>
      <c r="G262" s="5"/>
      <c r="H262" s="5"/>
      <c r="I262" s="5"/>
      <c r="J262" s="5"/>
      <c r="K262" s="8"/>
      <c r="L262" s="9"/>
      <c r="M262" s="10"/>
      <c r="N262" s="84"/>
      <c r="O262" s="330"/>
      <c r="P262" s="331"/>
      <c r="Q262" s="332"/>
      <c r="R262" s="14"/>
      <c r="S262" s="333"/>
      <c r="T262" s="15"/>
      <c r="U262" s="15"/>
      <c r="V262" s="15"/>
      <c r="W262" s="8"/>
      <c r="X262" s="8"/>
      <c r="Y262" s="57"/>
      <c r="Z262" s="57"/>
      <c r="AA262" s="15"/>
      <c r="AB262" s="15"/>
      <c r="AC262" s="15"/>
      <c r="AD262" s="15"/>
      <c r="AE262" s="58"/>
      <c r="AF262" s="58"/>
      <c r="AG262" s="15"/>
      <c r="AH262" s="25"/>
      <c r="AI262" s="26"/>
      <c r="AJ262" s="27"/>
      <c r="AK262" s="27"/>
      <c r="AL262" s="28"/>
    </row>
    <row r="263" ht="12.75" customHeight="1">
      <c r="A263" s="26"/>
      <c r="B263" s="29"/>
      <c r="C263" s="329"/>
      <c r="D263" s="93"/>
      <c r="E263" s="5"/>
      <c r="F263" s="5"/>
      <c r="G263" s="5"/>
      <c r="H263" s="5"/>
      <c r="I263" s="5"/>
      <c r="J263" s="5"/>
      <c r="K263" s="8"/>
      <c r="L263" s="9"/>
      <c r="M263" s="10"/>
      <c r="N263" s="84"/>
      <c r="O263" s="330"/>
      <c r="P263" s="331"/>
      <c r="Q263" s="332"/>
      <c r="R263" s="14"/>
      <c r="S263" s="333"/>
      <c r="T263" s="15"/>
      <c r="U263" s="15"/>
      <c r="V263" s="15"/>
      <c r="W263" s="8"/>
      <c r="X263" s="8"/>
      <c r="Y263" s="57"/>
      <c r="Z263" s="57"/>
      <c r="AA263" s="15"/>
      <c r="AB263" s="15"/>
      <c r="AC263" s="15"/>
      <c r="AD263" s="15"/>
      <c r="AE263" s="58"/>
      <c r="AF263" s="58"/>
      <c r="AG263" s="15"/>
      <c r="AH263" s="25"/>
      <c r="AI263" s="26"/>
      <c r="AJ263" s="27"/>
      <c r="AK263" s="27"/>
      <c r="AL263" s="28"/>
    </row>
    <row r="264" ht="12.75" customHeight="1">
      <c r="A264" s="26"/>
      <c r="B264" s="29"/>
      <c r="C264" s="329"/>
      <c r="D264" s="93"/>
      <c r="E264" s="5"/>
      <c r="F264" s="5"/>
      <c r="G264" s="5"/>
      <c r="H264" s="5"/>
      <c r="I264" s="5"/>
      <c r="J264" s="5"/>
      <c r="K264" s="8"/>
      <c r="L264" s="9"/>
      <c r="M264" s="10"/>
      <c r="N264" s="84"/>
      <c r="O264" s="330"/>
      <c r="P264" s="331"/>
      <c r="Q264" s="332"/>
      <c r="R264" s="14"/>
      <c r="S264" s="333"/>
      <c r="T264" s="15"/>
      <c r="U264" s="15"/>
      <c r="V264" s="15"/>
      <c r="W264" s="8"/>
      <c r="X264" s="8"/>
      <c r="Y264" s="57"/>
      <c r="Z264" s="57"/>
      <c r="AA264" s="15"/>
      <c r="AB264" s="15"/>
      <c r="AC264" s="15"/>
      <c r="AD264" s="15"/>
      <c r="AE264" s="58"/>
      <c r="AF264" s="58"/>
      <c r="AG264" s="15"/>
      <c r="AH264" s="25"/>
      <c r="AI264" s="26"/>
      <c r="AJ264" s="27"/>
      <c r="AK264" s="27"/>
      <c r="AL264" s="28"/>
    </row>
    <row r="265" ht="12.75" customHeight="1">
      <c r="A265" s="26"/>
      <c r="B265" s="29"/>
      <c r="C265" s="329"/>
      <c r="D265" s="93"/>
      <c r="E265" s="5"/>
      <c r="F265" s="5"/>
      <c r="G265" s="5"/>
      <c r="H265" s="5"/>
      <c r="I265" s="5"/>
      <c r="J265" s="5"/>
      <c r="K265" s="8"/>
      <c r="L265" s="9"/>
      <c r="M265" s="10"/>
      <c r="N265" s="84"/>
      <c r="O265" s="330"/>
      <c r="P265" s="331"/>
      <c r="Q265" s="332"/>
      <c r="R265" s="14"/>
      <c r="S265" s="333"/>
      <c r="T265" s="15"/>
      <c r="U265" s="15"/>
      <c r="V265" s="15"/>
      <c r="W265" s="8"/>
      <c r="X265" s="8"/>
      <c r="Y265" s="57"/>
      <c r="Z265" s="57"/>
      <c r="AA265" s="15"/>
      <c r="AB265" s="15"/>
      <c r="AC265" s="15"/>
      <c r="AD265" s="15"/>
      <c r="AE265" s="58"/>
      <c r="AF265" s="58"/>
      <c r="AG265" s="15"/>
      <c r="AH265" s="25"/>
      <c r="AI265" s="26"/>
      <c r="AJ265" s="27"/>
      <c r="AK265" s="27"/>
      <c r="AL265" s="28"/>
    </row>
    <row r="266" ht="12.75" customHeight="1">
      <c r="A266" s="26"/>
      <c r="B266" s="29"/>
      <c r="C266" s="329"/>
      <c r="D266" s="93"/>
      <c r="E266" s="5"/>
      <c r="F266" s="5"/>
      <c r="G266" s="5"/>
      <c r="H266" s="5"/>
      <c r="I266" s="5"/>
      <c r="J266" s="5"/>
      <c r="K266" s="8"/>
      <c r="L266" s="9"/>
      <c r="M266" s="10"/>
      <c r="N266" s="84"/>
      <c r="O266" s="330"/>
      <c r="P266" s="331"/>
      <c r="Q266" s="332"/>
      <c r="R266" s="14"/>
      <c r="S266" s="333"/>
      <c r="T266" s="15"/>
      <c r="U266" s="15"/>
      <c r="V266" s="15"/>
      <c r="W266" s="8"/>
      <c r="X266" s="8"/>
      <c r="Y266" s="57"/>
      <c r="Z266" s="57"/>
      <c r="AA266" s="15"/>
      <c r="AB266" s="15"/>
      <c r="AC266" s="15"/>
      <c r="AD266" s="15"/>
      <c r="AE266" s="58"/>
      <c r="AF266" s="58"/>
      <c r="AG266" s="15"/>
      <c r="AH266" s="25"/>
      <c r="AI266" s="26"/>
      <c r="AJ266" s="27"/>
      <c r="AK266" s="27"/>
      <c r="AL266" s="28"/>
    </row>
    <row r="267" ht="12.75" customHeight="1">
      <c r="A267" s="26"/>
      <c r="B267" s="29"/>
      <c r="C267" s="329"/>
      <c r="D267" s="93"/>
      <c r="E267" s="5"/>
      <c r="F267" s="5"/>
      <c r="G267" s="5"/>
      <c r="H267" s="5"/>
      <c r="I267" s="5"/>
      <c r="J267" s="5"/>
      <c r="K267" s="8"/>
      <c r="L267" s="9"/>
      <c r="M267" s="10"/>
      <c r="N267" s="84"/>
      <c r="O267" s="330"/>
      <c r="P267" s="331"/>
      <c r="Q267" s="332"/>
      <c r="R267" s="14"/>
      <c r="S267" s="333"/>
      <c r="T267" s="15"/>
      <c r="U267" s="15"/>
      <c r="V267" s="15"/>
      <c r="W267" s="8"/>
      <c r="X267" s="8"/>
      <c r="Y267" s="57"/>
      <c r="Z267" s="57"/>
      <c r="AA267" s="15"/>
      <c r="AB267" s="15"/>
      <c r="AC267" s="15"/>
      <c r="AD267" s="15"/>
      <c r="AE267" s="58"/>
      <c r="AF267" s="58"/>
      <c r="AG267" s="15"/>
      <c r="AH267" s="25"/>
      <c r="AI267" s="26"/>
      <c r="AJ267" s="27"/>
      <c r="AK267" s="27"/>
      <c r="AL267" s="28"/>
    </row>
    <row r="268" ht="12.75" customHeight="1">
      <c r="A268" s="26"/>
      <c r="B268" s="29"/>
      <c r="C268" s="329"/>
      <c r="D268" s="93"/>
      <c r="E268" s="5"/>
      <c r="F268" s="5"/>
      <c r="G268" s="5"/>
      <c r="H268" s="5"/>
      <c r="I268" s="5"/>
      <c r="J268" s="5"/>
      <c r="K268" s="8"/>
      <c r="L268" s="9"/>
      <c r="M268" s="10"/>
      <c r="N268" s="84"/>
      <c r="O268" s="330"/>
      <c r="P268" s="331"/>
      <c r="Q268" s="332"/>
      <c r="R268" s="14"/>
      <c r="S268" s="333"/>
      <c r="T268" s="15"/>
      <c r="U268" s="15"/>
      <c r="V268" s="15"/>
      <c r="W268" s="8"/>
      <c r="X268" s="8"/>
      <c r="Y268" s="57"/>
      <c r="Z268" s="57"/>
      <c r="AA268" s="15"/>
      <c r="AB268" s="15"/>
      <c r="AC268" s="15"/>
      <c r="AD268" s="15"/>
      <c r="AE268" s="58"/>
      <c r="AF268" s="58"/>
      <c r="AG268" s="15"/>
      <c r="AH268" s="25"/>
      <c r="AI268" s="26"/>
      <c r="AJ268" s="27"/>
      <c r="AK268" s="27"/>
      <c r="AL268" s="28"/>
    </row>
    <row r="269" ht="12.75" customHeight="1">
      <c r="A269" s="26"/>
      <c r="B269" s="29"/>
      <c r="C269" s="329"/>
      <c r="D269" s="93"/>
      <c r="E269" s="5"/>
      <c r="F269" s="5"/>
      <c r="G269" s="5"/>
      <c r="H269" s="5"/>
      <c r="I269" s="5"/>
      <c r="J269" s="5"/>
      <c r="K269" s="8"/>
      <c r="L269" s="9"/>
      <c r="M269" s="10"/>
      <c r="N269" s="84"/>
      <c r="O269" s="330"/>
      <c r="P269" s="331"/>
      <c r="Q269" s="332"/>
      <c r="R269" s="14"/>
      <c r="S269" s="333"/>
      <c r="T269" s="15"/>
      <c r="U269" s="15"/>
      <c r="V269" s="15"/>
      <c r="W269" s="8"/>
      <c r="X269" s="8"/>
      <c r="Y269" s="57"/>
      <c r="Z269" s="57"/>
      <c r="AA269" s="15"/>
      <c r="AB269" s="15"/>
      <c r="AC269" s="15"/>
      <c r="AD269" s="15"/>
      <c r="AE269" s="58"/>
      <c r="AF269" s="58"/>
      <c r="AG269" s="15"/>
      <c r="AH269" s="25"/>
      <c r="AI269" s="26"/>
      <c r="AJ269" s="27"/>
      <c r="AK269" s="27"/>
      <c r="AL269" s="28"/>
    </row>
    <row r="270" ht="12.75" customHeight="1">
      <c r="A270" s="26"/>
      <c r="B270" s="29"/>
      <c r="C270" s="329"/>
      <c r="D270" s="93"/>
      <c r="E270" s="5"/>
      <c r="F270" s="5"/>
      <c r="G270" s="5"/>
      <c r="H270" s="5"/>
      <c r="I270" s="5"/>
      <c r="J270" s="5"/>
      <c r="K270" s="8"/>
      <c r="L270" s="9"/>
      <c r="M270" s="10"/>
      <c r="N270" s="84"/>
      <c r="O270" s="330"/>
      <c r="P270" s="331"/>
      <c r="Q270" s="332"/>
      <c r="R270" s="14"/>
      <c r="S270" s="333"/>
      <c r="T270" s="15"/>
      <c r="U270" s="15"/>
      <c r="V270" s="15"/>
      <c r="W270" s="8"/>
      <c r="X270" s="8"/>
      <c r="Y270" s="57"/>
      <c r="Z270" s="57"/>
      <c r="AA270" s="15"/>
      <c r="AB270" s="15"/>
      <c r="AC270" s="15"/>
      <c r="AD270" s="15"/>
      <c r="AE270" s="58"/>
      <c r="AF270" s="58"/>
      <c r="AG270" s="15"/>
      <c r="AH270" s="25"/>
      <c r="AI270" s="26"/>
      <c r="AJ270" s="27"/>
      <c r="AK270" s="27"/>
      <c r="AL270" s="28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338"/>
      <c r="O271" s="339"/>
      <c r="P271" s="340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8"/>
    </row>
    <row r="272" ht="15.75" customHeight="1">
      <c r="O272" s="341"/>
      <c r="P272" s="341"/>
      <c r="AL272" s="342"/>
    </row>
    <row r="273" ht="15.75" customHeight="1">
      <c r="O273" s="341"/>
      <c r="P273" s="341"/>
      <c r="AL273" s="342"/>
    </row>
    <row r="274" ht="15.75" customHeight="1">
      <c r="O274" s="341"/>
      <c r="P274" s="341"/>
      <c r="AL274" s="342"/>
    </row>
    <row r="275" ht="15.75" customHeight="1">
      <c r="O275" s="341"/>
      <c r="P275" s="341"/>
      <c r="AL275" s="342"/>
    </row>
    <row r="276" ht="15.75" customHeight="1">
      <c r="O276" s="341"/>
      <c r="P276" s="341"/>
      <c r="AL276" s="342"/>
    </row>
    <row r="277" ht="15.75" customHeight="1">
      <c r="O277" s="341"/>
      <c r="P277" s="341"/>
      <c r="AL277" s="342"/>
    </row>
    <row r="278" ht="15.75" customHeight="1">
      <c r="O278" s="341"/>
      <c r="P278" s="341"/>
      <c r="AL278" s="342"/>
    </row>
    <row r="279" ht="15.75" customHeight="1">
      <c r="O279" s="341"/>
      <c r="P279" s="341"/>
      <c r="AL279" s="342"/>
    </row>
    <row r="280" ht="15.75" customHeight="1">
      <c r="O280" s="341"/>
      <c r="P280" s="341"/>
      <c r="AL280" s="342"/>
    </row>
    <row r="281" ht="15.75" customHeight="1">
      <c r="O281" s="341"/>
      <c r="P281" s="341"/>
      <c r="AL281" s="342"/>
    </row>
    <row r="282" ht="15.75" customHeight="1">
      <c r="O282" s="341"/>
      <c r="P282" s="341"/>
      <c r="AL282" s="342"/>
    </row>
    <row r="283" ht="15.75" customHeight="1">
      <c r="O283" s="341"/>
      <c r="P283" s="341"/>
      <c r="AL283" s="342"/>
    </row>
    <row r="284" ht="15.75" customHeight="1">
      <c r="O284" s="341"/>
      <c r="P284" s="341"/>
      <c r="AL284" s="342"/>
    </row>
    <row r="285" ht="15.75" customHeight="1">
      <c r="O285" s="341"/>
      <c r="P285" s="341"/>
      <c r="AL285" s="342"/>
    </row>
    <row r="286" ht="15.75" customHeight="1">
      <c r="O286" s="341"/>
      <c r="P286" s="341"/>
      <c r="AL286" s="342"/>
    </row>
    <row r="287" ht="15.75" customHeight="1">
      <c r="O287" s="341"/>
      <c r="P287" s="341"/>
      <c r="AL287" s="342"/>
    </row>
    <row r="288" ht="15.75" customHeight="1">
      <c r="O288" s="341"/>
      <c r="P288" s="341"/>
      <c r="AL288" s="342"/>
    </row>
    <row r="289" ht="15.75" customHeight="1">
      <c r="O289" s="341"/>
      <c r="P289" s="341"/>
      <c r="AL289" s="342"/>
    </row>
    <row r="290" ht="15.75" customHeight="1">
      <c r="O290" s="341"/>
      <c r="P290" s="341"/>
      <c r="AL290" s="342"/>
    </row>
    <row r="291" ht="15.75" customHeight="1">
      <c r="O291" s="341"/>
      <c r="P291" s="341"/>
      <c r="AL291" s="342"/>
    </row>
    <row r="292" ht="15.75" customHeight="1">
      <c r="O292" s="341"/>
      <c r="P292" s="341"/>
      <c r="AL292" s="342"/>
    </row>
    <row r="293" ht="15.75" customHeight="1">
      <c r="O293" s="341"/>
      <c r="P293" s="341"/>
      <c r="AL293" s="342"/>
    </row>
    <row r="294" ht="15.75" customHeight="1">
      <c r="O294" s="341"/>
      <c r="P294" s="341"/>
      <c r="AL294" s="342"/>
    </row>
    <row r="295" ht="15.75" customHeight="1">
      <c r="O295" s="341"/>
      <c r="P295" s="341"/>
      <c r="AL295" s="342"/>
    </row>
    <row r="296" ht="15.75" customHeight="1">
      <c r="O296" s="341"/>
      <c r="P296" s="341"/>
      <c r="AL296" s="342"/>
    </row>
    <row r="297" ht="15.75" customHeight="1">
      <c r="O297" s="341"/>
      <c r="P297" s="341"/>
      <c r="AL297" s="342"/>
    </row>
    <row r="298" ht="15.75" customHeight="1">
      <c r="O298" s="341"/>
      <c r="P298" s="341"/>
      <c r="AL298" s="342"/>
    </row>
    <row r="299" ht="15.75" customHeight="1">
      <c r="O299" s="341"/>
      <c r="P299" s="341"/>
      <c r="AL299" s="342"/>
    </row>
    <row r="300" ht="15.75" customHeight="1">
      <c r="O300" s="341"/>
      <c r="P300" s="341"/>
      <c r="AL300" s="342"/>
    </row>
    <row r="301" ht="15.75" customHeight="1">
      <c r="O301" s="341"/>
      <c r="P301" s="341"/>
      <c r="AL301" s="342"/>
    </row>
    <row r="302" ht="15.75" customHeight="1">
      <c r="O302" s="341"/>
      <c r="P302" s="341"/>
      <c r="AL302" s="342"/>
    </row>
    <row r="303" ht="15.75" customHeight="1">
      <c r="O303" s="341"/>
      <c r="P303" s="341"/>
      <c r="AL303" s="342"/>
    </row>
    <row r="304" ht="15.75" customHeight="1">
      <c r="O304" s="341"/>
      <c r="P304" s="341"/>
      <c r="AL304" s="342"/>
    </row>
    <row r="305" ht="15.75" customHeight="1">
      <c r="O305" s="341"/>
      <c r="P305" s="341"/>
      <c r="AL305" s="342"/>
    </row>
    <row r="306" ht="15.75" customHeight="1">
      <c r="O306" s="341"/>
      <c r="P306" s="341"/>
      <c r="AL306" s="342"/>
    </row>
    <row r="307" ht="15.75" customHeight="1">
      <c r="O307" s="341"/>
      <c r="P307" s="341"/>
      <c r="AL307" s="342"/>
    </row>
    <row r="308" ht="15.75" customHeight="1">
      <c r="O308" s="341"/>
      <c r="P308" s="341"/>
      <c r="AL308" s="342"/>
    </row>
    <row r="309" ht="15.75" customHeight="1">
      <c r="O309" s="341"/>
      <c r="P309" s="341"/>
      <c r="AL309" s="342"/>
    </row>
    <row r="310" ht="15.75" customHeight="1">
      <c r="O310" s="341"/>
      <c r="P310" s="341"/>
      <c r="AL310" s="342"/>
    </row>
    <row r="311" ht="15.75" customHeight="1">
      <c r="O311" s="341"/>
      <c r="P311" s="341"/>
      <c r="AL311" s="342"/>
    </row>
    <row r="312" ht="15.75" customHeight="1">
      <c r="O312" s="341"/>
      <c r="P312" s="341"/>
      <c r="AL312" s="342"/>
    </row>
    <row r="313" ht="15.75" customHeight="1">
      <c r="O313" s="341"/>
      <c r="P313" s="341"/>
      <c r="AL313" s="342"/>
    </row>
    <row r="314" ht="15.75" customHeight="1">
      <c r="O314" s="341"/>
      <c r="P314" s="341"/>
      <c r="AL314" s="342"/>
    </row>
    <row r="315" ht="15.75" customHeight="1">
      <c r="O315" s="341"/>
      <c r="P315" s="341"/>
      <c r="AL315" s="342"/>
    </row>
    <row r="316" ht="15.75" customHeight="1">
      <c r="O316" s="341"/>
      <c r="P316" s="341"/>
      <c r="AL316" s="342"/>
    </row>
    <row r="317" ht="15.75" customHeight="1">
      <c r="O317" s="341"/>
      <c r="P317" s="341"/>
      <c r="AL317" s="342"/>
    </row>
    <row r="318" ht="15.75" customHeight="1">
      <c r="O318" s="341"/>
      <c r="P318" s="341"/>
      <c r="AL318" s="342"/>
    </row>
    <row r="319" ht="15.75" customHeight="1">
      <c r="O319" s="341"/>
      <c r="P319" s="341"/>
      <c r="AL319" s="342"/>
    </row>
    <row r="320" ht="15.75" customHeight="1">
      <c r="O320" s="341"/>
      <c r="P320" s="341"/>
      <c r="AL320" s="342"/>
    </row>
    <row r="321" ht="15.75" customHeight="1">
      <c r="O321" s="341"/>
      <c r="P321" s="341"/>
      <c r="AL321" s="342"/>
    </row>
    <row r="322" ht="15.75" customHeight="1">
      <c r="O322" s="341"/>
      <c r="P322" s="341"/>
      <c r="AL322" s="342"/>
    </row>
    <row r="323" ht="15.75" customHeight="1">
      <c r="O323" s="341"/>
      <c r="P323" s="341"/>
      <c r="AL323" s="342"/>
    </row>
    <row r="324" ht="15.75" customHeight="1">
      <c r="O324" s="341"/>
      <c r="P324" s="341"/>
      <c r="AL324" s="342"/>
    </row>
    <row r="325" ht="15.75" customHeight="1">
      <c r="O325" s="341"/>
      <c r="P325" s="341"/>
      <c r="AL325" s="342"/>
    </row>
    <row r="326" ht="15.75" customHeight="1">
      <c r="O326" s="341"/>
      <c r="P326" s="341"/>
      <c r="AL326" s="342"/>
    </row>
    <row r="327" ht="15.75" customHeight="1">
      <c r="O327" s="341"/>
      <c r="P327" s="341"/>
      <c r="AL327" s="342"/>
    </row>
    <row r="328" ht="15.75" customHeight="1">
      <c r="O328" s="341"/>
      <c r="P328" s="341"/>
      <c r="AL328" s="342"/>
    </row>
    <row r="329" ht="15.75" customHeight="1">
      <c r="O329" s="341"/>
      <c r="P329" s="341"/>
      <c r="AL329" s="342"/>
    </row>
    <row r="330" ht="15.75" customHeight="1">
      <c r="O330" s="341"/>
      <c r="P330" s="341"/>
      <c r="AL330" s="342"/>
    </row>
    <row r="331" ht="15.75" customHeight="1">
      <c r="O331" s="341"/>
      <c r="P331" s="341"/>
      <c r="AL331" s="342"/>
    </row>
    <row r="332" ht="15.75" customHeight="1">
      <c r="O332" s="341"/>
      <c r="P332" s="341"/>
      <c r="AL332" s="342"/>
    </row>
    <row r="333" ht="15.75" customHeight="1">
      <c r="O333" s="341"/>
      <c r="P333" s="341"/>
      <c r="AL333" s="342"/>
    </row>
    <row r="334" ht="15.75" customHeight="1">
      <c r="O334" s="341"/>
      <c r="P334" s="341"/>
      <c r="AL334" s="342"/>
    </row>
    <row r="335" ht="15.75" customHeight="1">
      <c r="O335" s="341"/>
      <c r="P335" s="341"/>
      <c r="AL335" s="342"/>
    </row>
    <row r="336" ht="15.75" customHeight="1">
      <c r="O336" s="341"/>
      <c r="P336" s="341"/>
      <c r="AL336" s="342"/>
    </row>
    <row r="337" ht="15.75" customHeight="1">
      <c r="O337" s="341"/>
      <c r="P337" s="341"/>
      <c r="AL337" s="342"/>
    </row>
    <row r="338" ht="15.75" customHeight="1">
      <c r="O338" s="341"/>
      <c r="P338" s="341"/>
      <c r="AL338" s="342"/>
    </row>
    <row r="339" ht="15.75" customHeight="1">
      <c r="O339" s="341"/>
      <c r="P339" s="341"/>
      <c r="AL339" s="342"/>
    </row>
    <row r="340" ht="15.75" customHeight="1">
      <c r="O340" s="341"/>
      <c r="P340" s="341"/>
      <c r="AL340" s="342"/>
    </row>
    <row r="341" ht="15.75" customHeight="1">
      <c r="O341" s="341"/>
      <c r="P341" s="341"/>
      <c r="AL341" s="342"/>
    </row>
    <row r="342" ht="15.75" customHeight="1">
      <c r="O342" s="341"/>
      <c r="P342" s="341"/>
      <c r="AL342" s="342"/>
    </row>
    <row r="343" ht="15.75" customHeight="1">
      <c r="O343" s="341"/>
      <c r="P343" s="341"/>
      <c r="AL343" s="342"/>
    </row>
    <row r="344" ht="15.75" customHeight="1">
      <c r="O344" s="341"/>
      <c r="P344" s="341"/>
      <c r="AL344" s="342"/>
    </row>
    <row r="345" ht="15.75" customHeight="1">
      <c r="O345" s="341"/>
      <c r="P345" s="341"/>
      <c r="AL345" s="342"/>
    </row>
    <row r="346" ht="15.75" customHeight="1">
      <c r="O346" s="341"/>
      <c r="P346" s="341"/>
      <c r="AL346" s="342"/>
    </row>
    <row r="347" ht="15.75" customHeight="1">
      <c r="O347" s="341"/>
      <c r="P347" s="341"/>
      <c r="AL347" s="342"/>
    </row>
    <row r="348" ht="15.75" customHeight="1">
      <c r="O348" s="341"/>
      <c r="P348" s="341"/>
      <c r="AL348" s="342"/>
    </row>
    <row r="349" ht="15.75" customHeight="1">
      <c r="O349" s="341"/>
      <c r="P349" s="341"/>
      <c r="AL349" s="342"/>
    </row>
    <row r="350" ht="15.75" customHeight="1">
      <c r="O350" s="341"/>
      <c r="P350" s="341"/>
      <c r="AL350" s="342"/>
    </row>
    <row r="351" ht="15.75" customHeight="1">
      <c r="O351" s="341"/>
      <c r="P351" s="341"/>
      <c r="AL351" s="342"/>
    </row>
    <row r="352" ht="15.75" customHeight="1">
      <c r="O352" s="341"/>
      <c r="P352" s="341"/>
      <c r="AL352" s="342"/>
    </row>
    <row r="353" ht="15.75" customHeight="1">
      <c r="O353" s="341"/>
      <c r="P353" s="341"/>
      <c r="AL353" s="342"/>
    </row>
    <row r="354" ht="15.75" customHeight="1">
      <c r="O354" s="341"/>
      <c r="P354" s="341"/>
      <c r="AL354" s="342"/>
    </row>
    <row r="355" ht="15.75" customHeight="1">
      <c r="O355" s="341"/>
      <c r="P355" s="341"/>
      <c r="AL355" s="342"/>
    </row>
    <row r="356" ht="15.75" customHeight="1">
      <c r="O356" s="341"/>
      <c r="P356" s="341"/>
      <c r="AL356" s="342"/>
    </row>
    <row r="357" ht="15.75" customHeight="1">
      <c r="O357" s="341"/>
      <c r="P357" s="341"/>
      <c r="AL357" s="342"/>
    </row>
    <row r="358" ht="15.75" customHeight="1">
      <c r="O358" s="341"/>
      <c r="P358" s="341"/>
      <c r="AL358" s="342"/>
    </row>
    <row r="359" ht="15.75" customHeight="1">
      <c r="O359" s="341"/>
      <c r="P359" s="341"/>
      <c r="AL359" s="342"/>
    </row>
    <row r="360" ht="15.75" customHeight="1">
      <c r="O360" s="341"/>
      <c r="P360" s="341"/>
      <c r="AL360" s="342"/>
    </row>
    <row r="361" ht="15.75" customHeight="1">
      <c r="O361" s="341"/>
      <c r="P361" s="341"/>
      <c r="AL361" s="342"/>
    </row>
    <row r="362" ht="15.75" customHeight="1">
      <c r="O362" s="341"/>
      <c r="P362" s="341"/>
      <c r="AL362" s="342"/>
    </row>
    <row r="363" ht="15.75" customHeight="1">
      <c r="O363" s="341"/>
      <c r="P363" s="341"/>
      <c r="AL363" s="342"/>
    </row>
    <row r="364" ht="15.75" customHeight="1">
      <c r="O364" s="341"/>
      <c r="P364" s="341"/>
      <c r="AL364" s="342"/>
    </row>
    <row r="365" ht="15.75" customHeight="1">
      <c r="O365" s="341"/>
      <c r="P365" s="341"/>
      <c r="AL365" s="342"/>
    </row>
    <row r="366" ht="15.75" customHeight="1">
      <c r="O366" s="341"/>
      <c r="P366" s="341"/>
      <c r="AL366" s="342"/>
    </row>
    <row r="367" ht="15.75" customHeight="1">
      <c r="O367" s="341"/>
      <c r="P367" s="341"/>
      <c r="AL367" s="342"/>
    </row>
    <row r="368" ht="15.75" customHeight="1">
      <c r="O368" s="341"/>
      <c r="P368" s="341"/>
      <c r="AL368" s="342"/>
    </row>
    <row r="369" ht="15.75" customHeight="1">
      <c r="O369" s="341"/>
      <c r="P369" s="341"/>
      <c r="AL369" s="342"/>
    </row>
    <row r="370" ht="15.75" customHeight="1">
      <c r="O370" s="341"/>
      <c r="P370" s="341"/>
      <c r="AL370" s="342"/>
    </row>
    <row r="371" ht="15.75" customHeight="1">
      <c r="O371" s="341"/>
      <c r="P371" s="341"/>
      <c r="AL371" s="342"/>
    </row>
    <row r="372" ht="15.75" customHeight="1">
      <c r="O372" s="341"/>
      <c r="P372" s="341"/>
      <c r="AL372" s="342"/>
    </row>
    <row r="373" ht="15.75" customHeight="1">
      <c r="O373" s="341"/>
      <c r="P373" s="341"/>
      <c r="AL373" s="342"/>
    </row>
    <row r="374" ht="15.75" customHeight="1">
      <c r="O374" s="341"/>
      <c r="P374" s="341"/>
      <c r="AL374" s="342"/>
    </row>
    <row r="375" ht="15.75" customHeight="1">
      <c r="O375" s="341"/>
      <c r="P375" s="341"/>
      <c r="AL375" s="342"/>
    </row>
    <row r="376" ht="15.75" customHeight="1">
      <c r="O376" s="341"/>
      <c r="P376" s="341"/>
      <c r="AL376" s="342"/>
    </row>
    <row r="377" ht="15.75" customHeight="1">
      <c r="O377" s="341"/>
      <c r="P377" s="341"/>
      <c r="AL377" s="342"/>
    </row>
    <row r="378" ht="15.75" customHeight="1">
      <c r="O378" s="341"/>
      <c r="P378" s="341"/>
      <c r="AL378" s="342"/>
    </row>
    <row r="379" ht="15.75" customHeight="1">
      <c r="O379" s="341"/>
      <c r="P379" s="341"/>
      <c r="AL379" s="342"/>
    </row>
    <row r="380" ht="15.75" customHeight="1">
      <c r="O380" s="341"/>
      <c r="P380" s="341"/>
      <c r="AL380" s="342"/>
    </row>
    <row r="381" ht="15.75" customHeight="1">
      <c r="O381" s="341"/>
      <c r="P381" s="341"/>
      <c r="AL381" s="342"/>
    </row>
    <row r="382" ht="15.75" customHeight="1">
      <c r="O382" s="341"/>
      <c r="P382" s="341"/>
      <c r="AL382" s="342"/>
    </row>
    <row r="383" ht="15.75" customHeight="1">
      <c r="O383" s="341"/>
      <c r="P383" s="341"/>
      <c r="AL383" s="342"/>
    </row>
    <row r="384" ht="15.75" customHeight="1">
      <c r="O384" s="341"/>
      <c r="P384" s="341"/>
      <c r="AL384" s="342"/>
    </row>
    <row r="385" ht="15.75" customHeight="1">
      <c r="O385" s="341"/>
      <c r="P385" s="341"/>
      <c r="AL385" s="342"/>
    </row>
    <row r="386" ht="15.75" customHeight="1">
      <c r="O386" s="341"/>
      <c r="P386" s="341"/>
      <c r="AL386" s="342"/>
    </row>
    <row r="387" ht="15.75" customHeight="1">
      <c r="O387" s="341"/>
      <c r="P387" s="341"/>
      <c r="AL387" s="342"/>
    </row>
    <row r="388" ht="15.75" customHeight="1">
      <c r="O388" s="341"/>
      <c r="P388" s="341"/>
      <c r="AL388" s="342"/>
    </row>
    <row r="389" ht="15.75" customHeight="1">
      <c r="O389" s="341"/>
      <c r="P389" s="341"/>
      <c r="AL389" s="342"/>
    </row>
    <row r="390" ht="15.75" customHeight="1">
      <c r="O390" s="341"/>
      <c r="P390" s="341"/>
      <c r="AL390" s="342"/>
    </row>
    <row r="391" ht="15.75" customHeight="1">
      <c r="O391" s="341"/>
      <c r="P391" s="341"/>
      <c r="AL391" s="342"/>
    </row>
    <row r="392" ht="15.75" customHeight="1">
      <c r="O392" s="341"/>
      <c r="P392" s="341"/>
      <c r="AL392" s="342"/>
    </row>
    <row r="393" ht="15.75" customHeight="1">
      <c r="O393" s="341"/>
      <c r="P393" s="341"/>
      <c r="AL393" s="342"/>
    </row>
    <row r="394" ht="15.75" customHeight="1">
      <c r="O394" s="341"/>
      <c r="P394" s="341"/>
      <c r="AL394" s="342"/>
    </row>
    <row r="395" ht="15.75" customHeight="1">
      <c r="O395" s="341"/>
      <c r="P395" s="341"/>
      <c r="AL395" s="342"/>
    </row>
    <row r="396" ht="15.75" customHeight="1">
      <c r="O396" s="341"/>
      <c r="P396" s="341"/>
      <c r="AL396" s="342"/>
    </row>
    <row r="397" ht="15.75" customHeight="1">
      <c r="O397" s="341"/>
      <c r="P397" s="341"/>
      <c r="AL397" s="342"/>
    </row>
    <row r="398" ht="15.75" customHeight="1">
      <c r="O398" s="341"/>
      <c r="P398" s="341"/>
      <c r="AL398" s="342"/>
    </row>
    <row r="399" ht="15.75" customHeight="1">
      <c r="O399" s="341"/>
      <c r="P399" s="341"/>
      <c r="AL399" s="342"/>
    </row>
    <row r="400" ht="15.75" customHeight="1">
      <c r="O400" s="341"/>
      <c r="P400" s="341"/>
      <c r="AL400" s="342"/>
    </row>
    <row r="401" ht="15.75" customHeight="1">
      <c r="O401" s="341"/>
      <c r="P401" s="341"/>
      <c r="AL401" s="342"/>
    </row>
    <row r="402" ht="15.75" customHeight="1">
      <c r="O402" s="341"/>
      <c r="P402" s="341"/>
      <c r="AL402" s="342"/>
    </row>
    <row r="403" ht="15.75" customHeight="1">
      <c r="O403" s="341"/>
      <c r="P403" s="341"/>
      <c r="AL403" s="342"/>
    </row>
    <row r="404" ht="15.75" customHeight="1">
      <c r="O404" s="341"/>
      <c r="P404" s="341"/>
      <c r="AL404" s="342"/>
    </row>
    <row r="405" ht="15.75" customHeight="1">
      <c r="O405" s="341"/>
      <c r="P405" s="341"/>
      <c r="AL405" s="342"/>
    </row>
    <row r="406" ht="15.75" customHeight="1">
      <c r="O406" s="341"/>
      <c r="P406" s="341"/>
      <c r="AL406" s="342"/>
    </row>
    <row r="407" ht="15.75" customHeight="1">
      <c r="O407" s="341"/>
      <c r="P407" s="341"/>
      <c r="AL407" s="342"/>
    </row>
    <row r="408" ht="15.75" customHeight="1">
      <c r="O408" s="341"/>
      <c r="P408" s="341"/>
      <c r="AL408" s="342"/>
    </row>
    <row r="409" ht="15.75" customHeight="1">
      <c r="O409" s="341"/>
      <c r="P409" s="341"/>
      <c r="AL409" s="342"/>
    </row>
    <row r="410" ht="15.75" customHeight="1">
      <c r="O410" s="341"/>
      <c r="P410" s="341"/>
      <c r="AL410" s="342"/>
    </row>
    <row r="411" ht="15.75" customHeight="1">
      <c r="O411" s="341"/>
      <c r="P411" s="341"/>
      <c r="AL411" s="342"/>
    </row>
    <row r="412" ht="15.75" customHeight="1">
      <c r="O412" s="341"/>
      <c r="P412" s="341"/>
      <c r="AL412" s="342"/>
    </row>
    <row r="413" ht="15.75" customHeight="1">
      <c r="O413" s="341"/>
      <c r="P413" s="341"/>
      <c r="AL413" s="342"/>
    </row>
    <row r="414" ht="15.75" customHeight="1">
      <c r="O414" s="341"/>
      <c r="P414" s="341"/>
      <c r="AL414" s="342"/>
    </row>
    <row r="415" ht="15.75" customHeight="1">
      <c r="O415" s="341"/>
      <c r="P415" s="341"/>
      <c r="AL415" s="342"/>
    </row>
    <row r="416" ht="15.75" customHeight="1">
      <c r="O416" s="341"/>
      <c r="P416" s="341"/>
      <c r="AL416" s="342"/>
    </row>
    <row r="417" ht="15.75" customHeight="1">
      <c r="O417" s="341"/>
      <c r="P417" s="341"/>
      <c r="AL417" s="342"/>
    </row>
    <row r="418" ht="15.75" customHeight="1">
      <c r="O418" s="341"/>
      <c r="P418" s="341"/>
      <c r="AL418" s="342"/>
    </row>
    <row r="419" ht="15.75" customHeight="1">
      <c r="O419" s="341"/>
      <c r="P419" s="341"/>
      <c r="AL419" s="342"/>
    </row>
    <row r="420" ht="15.75" customHeight="1">
      <c r="O420" s="341"/>
      <c r="P420" s="341"/>
      <c r="AL420" s="342"/>
    </row>
    <row r="421" ht="15.75" customHeight="1">
      <c r="O421" s="341"/>
      <c r="P421" s="341"/>
      <c r="AL421" s="342"/>
    </row>
    <row r="422" ht="15.75" customHeight="1">
      <c r="O422" s="341"/>
      <c r="P422" s="341"/>
      <c r="AL422" s="342"/>
    </row>
    <row r="423" ht="15.75" customHeight="1">
      <c r="O423" s="341"/>
      <c r="P423" s="341"/>
      <c r="AL423" s="342"/>
    </row>
    <row r="424" ht="15.75" customHeight="1">
      <c r="O424" s="341"/>
      <c r="P424" s="341"/>
      <c r="AL424" s="342"/>
    </row>
    <row r="425" ht="15.75" customHeight="1">
      <c r="O425" s="341"/>
      <c r="P425" s="341"/>
      <c r="AL425" s="342"/>
    </row>
    <row r="426" ht="15.75" customHeight="1">
      <c r="O426" s="341"/>
      <c r="P426" s="341"/>
      <c r="AL426" s="342"/>
    </row>
    <row r="427" ht="15.75" customHeight="1">
      <c r="O427" s="341"/>
      <c r="P427" s="341"/>
      <c r="AL427" s="342"/>
    </row>
    <row r="428" ht="15.75" customHeight="1">
      <c r="O428" s="341"/>
      <c r="P428" s="341"/>
      <c r="AL428" s="342"/>
    </row>
    <row r="429" ht="15.75" customHeight="1">
      <c r="O429" s="341"/>
      <c r="P429" s="341"/>
      <c r="AL429" s="342"/>
    </row>
    <row r="430" ht="15.75" customHeight="1">
      <c r="O430" s="341"/>
      <c r="P430" s="341"/>
      <c r="AL430" s="342"/>
    </row>
    <row r="431" ht="15.75" customHeight="1">
      <c r="O431" s="341"/>
      <c r="P431" s="341"/>
      <c r="AL431" s="342"/>
    </row>
    <row r="432" ht="15.75" customHeight="1">
      <c r="O432" s="341"/>
      <c r="P432" s="341"/>
      <c r="AL432" s="342"/>
    </row>
    <row r="433" ht="15.75" customHeight="1">
      <c r="O433" s="341"/>
      <c r="P433" s="341"/>
      <c r="AL433" s="342"/>
    </row>
    <row r="434" ht="15.75" customHeight="1">
      <c r="O434" s="341"/>
      <c r="P434" s="341"/>
      <c r="AL434" s="342"/>
    </row>
    <row r="435" ht="15.75" customHeight="1">
      <c r="O435" s="341"/>
      <c r="P435" s="341"/>
      <c r="AL435" s="342"/>
    </row>
    <row r="436" ht="15.75" customHeight="1">
      <c r="O436" s="341"/>
      <c r="P436" s="341"/>
      <c r="AL436" s="342"/>
    </row>
    <row r="437" ht="15.75" customHeight="1">
      <c r="O437" s="341"/>
      <c r="P437" s="341"/>
      <c r="AL437" s="342"/>
    </row>
    <row r="438" ht="15.75" customHeight="1">
      <c r="O438" s="341"/>
      <c r="P438" s="341"/>
      <c r="AL438" s="342"/>
    </row>
    <row r="439" ht="15.75" customHeight="1">
      <c r="O439" s="341"/>
      <c r="P439" s="341"/>
      <c r="AL439" s="342"/>
    </row>
    <row r="440" ht="15.75" customHeight="1">
      <c r="O440" s="341"/>
      <c r="P440" s="341"/>
      <c r="AL440" s="342"/>
    </row>
    <row r="441" ht="15.75" customHeight="1">
      <c r="O441" s="341"/>
      <c r="P441" s="341"/>
      <c r="AL441" s="342"/>
    </row>
    <row r="442" ht="15.75" customHeight="1">
      <c r="O442" s="341"/>
      <c r="P442" s="341"/>
      <c r="AL442" s="342"/>
    </row>
    <row r="443" ht="15.75" customHeight="1">
      <c r="O443" s="341"/>
      <c r="P443" s="341"/>
      <c r="AL443" s="342"/>
    </row>
    <row r="444" ht="15.75" customHeight="1">
      <c r="O444" s="341"/>
      <c r="P444" s="341"/>
      <c r="AL444" s="342"/>
    </row>
    <row r="445" ht="15.75" customHeight="1">
      <c r="O445" s="341"/>
      <c r="P445" s="341"/>
      <c r="AL445" s="342"/>
    </row>
    <row r="446" ht="15.75" customHeight="1">
      <c r="O446" s="341"/>
      <c r="P446" s="341"/>
      <c r="AL446" s="342"/>
    </row>
    <row r="447" ht="15.75" customHeight="1">
      <c r="O447" s="341"/>
      <c r="P447" s="341"/>
      <c r="AL447" s="342"/>
    </row>
    <row r="448" ht="15.75" customHeight="1">
      <c r="O448" s="341"/>
      <c r="P448" s="341"/>
      <c r="AL448" s="342"/>
    </row>
    <row r="449" ht="15.75" customHeight="1">
      <c r="O449" s="341"/>
      <c r="P449" s="341"/>
      <c r="AL449" s="342"/>
    </row>
    <row r="450" ht="15.75" customHeight="1">
      <c r="O450" s="341"/>
      <c r="P450" s="341"/>
      <c r="AL450" s="342"/>
    </row>
    <row r="451" ht="15.75" customHeight="1">
      <c r="O451" s="341"/>
      <c r="P451" s="341"/>
      <c r="AL451" s="342"/>
    </row>
    <row r="452" ht="15.75" customHeight="1">
      <c r="O452" s="341"/>
      <c r="P452" s="341"/>
      <c r="AL452" s="342"/>
    </row>
    <row r="453" ht="15.75" customHeight="1">
      <c r="O453" s="341"/>
      <c r="P453" s="341"/>
      <c r="AL453" s="342"/>
    </row>
    <row r="454" ht="15.75" customHeight="1">
      <c r="O454" s="341"/>
      <c r="P454" s="341"/>
      <c r="AL454" s="342"/>
    </row>
    <row r="455" ht="15.75" customHeight="1">
      <c r="O455" s="341"/>
      <c r="P455" s="341"/>
      <c r="AL455" s="342"/>
    </row>
    <row r="456" ht="15.75" customHeight="1">
      <c r="O456" s="341"/>
      <c r="P456" s="341"/>
      <c r="AL456" s="342"/>
    </row>
    <row r="457" ht="15.75" customHeight="1">
      <c r="O457" s="341"/>
      <c r="P457" s="341"/>
      <c r="AL457" s="342"/>
    </row>
    <row r="458" ht="15.75" customHeight="1">
      <c r="O458" s="341"/>
      <c r="P458" s="341"/>
      <c r="AL458" s="342"/>
    </row>
    <row r="459" ht="15.75" customHeight="1">
      <c r="O459" s="341"/>
      <c r="P459" s="341"/>
      <c r="AL459" s="342"/>
    </row>
    <row r="460" ht="15.75" customHeight="1">
      <c r="O460" s="341"/>
      <c r="P460" s="341"/>
      <c r="AL460" s="342"/>
    </row>
    <row r="461" ht="15.75" customHeight="1">
      <c r="O461" s="341"/>
      <c r="P461" s="341"/>
      <c r="AL461" s="342"/>
    </row>
    <row r="462" ht="15.75" customHeight="1">
      <c r="O462" s="341"/>
      <c r="P462" s="341"/>
      <c r="AL462" s="342"/>
    </row>
    <row r="463" ht="15.75" customHeight="1">
      <c r="O463" s="341"/>
      <c r="P463" s="341"/>
      <c r="AL463" s="342"/>
    </row>
    <row r="464" ht="15.75" customHeight="1">
      <c r="O464" s="341"/>
      <c r="P464" s="341"/>
      <c r="AL464" s="342"/>
    </row>
    <row r="465" ht="15.75" customHeight="1">
      <c r="O465" s="341"/>
      <c r="P465" s="341"/>
      <c r="AL465" s="342"/>
    </row>
    <row r="466" ht="15.75" customHeight="1">
      <c r="O466" s="341"/>
      <c r="P466" s="341"/>
      <c r="AL466" s="342"/>
    </row>
    <row r="467" ht="15.75" customHeight="1">
      <c r="O467" s="341"/>
      <c r="P467" s="341"/>
      <c r="AL467" s="342"/>
    </row>
    <row r="468" ht="15.75" customHeight="1">
      <c r="O468" s="341"/>
      <c r="P468" s="341"/>
      <c r="AL468" s="342"/>
    </row>
    <row r="469" ht="15.75" customHeight="1">
      <c r="O469" s="341"/>
      <c r="P469" s="341"/>
      <c r="AL469" s="342"/>
    </row>
    <row r="470" ht="15.75" customHeight="1">
      <c r="O470" s="341"/>
      <c r="P470" s="341"/>
      <c r="AL470" s="342"/>
    </row>
    <row r="471" ht="15.75" customHeight="1">
      <c r="O471" s="341"/>
      <c r="P471" s="341"/>
      <c r="AL471" s="342"/>
    </row>
    <row r="472" ht="15.75" customHeight="1">
      <c r="O472" s="341"/>
      <c r="P472" s="341"/>
      <c r="AL472" s="342"/>
    </row>
    <row r="473" ht="15.75" customHeight="1">
      <c r="O473" s="341"/>
      <c r="P473" s="341"/>
      <c r="AL473" s="342"/>
    </row>
    <row r="474" ht="15.75" customHeight="1">
      <c r="O474" s="341"/>
      <c r="P474" s="341"/>
      <c r="AL474" s="342"/>
    </row>
    <row r="475" ht="15.75" customHeight="1">
      <c r="O475" s="341"/>
      <c r="P475" s="341"/>
      <c r="AL475" s="342"/>
    </row>
    <row r="476" ht="15.75" customHeight="1">
      <c r="O476" s="341"/>
      <c r="P476" s="341"/>
      <c r="AL476" s="342"/>
    </row>
    <row r="477" ht="15.75" customHeight="1">
      <c r="O477" s="341"/>
      <c r="P477" s="341"/>
      <c r="AL477" s="342"/>
    </row>
    <row r="478" ht="15.75" customHeight="1">
      <c r="O478" s="341"/>
      <c r="P478" s="341"/>
      <c r="AL478" s="342"/>
    </row>
    <row r="479" ht="15.75" customHeight="1">
      <c r="O479" s="341"/>
      <c r="P479" s="341"/>
      <c r="AL479" s="342"/>
    </row>
    <row r="480" ht="15.75" customHeight="1">
      <c r="O480" s="341"/>
      <c r="P480" s="341"/>
      <c r="AL480" s="342"/>
    </row>
    <row r="481" ht="15.75" customHeight="1">
      <c r="O481" s="341"/>
      <c r="P481" s="341"/>
      <c r="AL481" s="342"/>
    </row>
    <row r="482" ht="15.75" customHeight="1">
      <c r="O482" s="341"/>
      <c r="P482" s="341"/>
      <c r="AL482" s="342"/>
    </row>
    <row r="483" ht="15.75" customHeight="1">
      <c r="O483" s="341"/>
      <c r="P483" s="341"/>
      <c r="AL483" s="342"/>
    </row>
    <row r="484" ht="15.75" customHeight="1">
      <c r="O484" s="341"/>
      <c r="P484" s="341"/>
      <c r="AL484" s="342"/>
    </row>
    <row r="485" ht="15.75" customHeight="1">
      <c r="O485" s="341"/>
      <c r="P485" s="341"/>
      <c r="AL485" s="342"/>
    </row>
    <row r="486" ht="15.75" customHeight="1">
      <c r="O486" s="341"/>
      <c r="P486" s="341"/>
      <c r="AL486" s="342"/>
    </row>
    <row r="487" ht="15.75" customHeight="1">
      <c r="O487" s="341"/>
      <c r="P487" s="341"/>
      <c r="AL487" s="342"/>
    </row>
    <row r="488" ht="15.75" customHeight="1">
      <c r="O488" s="341"/>
      <c r="P488" s="341"/>
      <c r="AL488" s="342"/>
    </row>
    <row r="489" ht="15.75" customHeight="1">
      <c r="O489" s="341"/>
      <c r="P489" s="341"/>
      <c r="AL489" s="342"/>
    </row>
    <row r="490" ht="15.75" customHeight="1">
      <c r="O490" s="341"/>
      <c r="P490" s="341"/>
      <c r="AL490" s="342"/>
    </row>
    <row r="491" ht="15.75" customHeight="1">
      <c r="O491" s="341"/>
      <c r="P491" s="341"/>
      <c r="AL491" s="342"/>
    </row>
    <row r="492" ht="15.75" customHeight="1">
      <c r="O492" s="341"/>
      <c r="P492" s="341"/>
      <c r="AL492" s="342"/>
    </row>
    <row r="493" ht="15.75" customHeight="1">
      <c r="O493" s="341"/>
      <c r="P493" s="341"/>
      <c r="AL493" s="342"/>
    </row>
    <row r="494" ht="15.75" customHeight="1">
      <c r="O494" s="341"/>
      <c r="P494" s="341"/>
      <c r="AL494" s="342"/>
    </row>
    <row r="495" ht="15.75" customHeight="1">
      <c r="O495" s="341"/>
      <c r="P495" s="341"/>
      <c r="AL495" s="342"/>
    </row>
    <row r="496" ht="15.75" customHeight="1">
      <c r="O496" s="341"/>
      <c r="P496" s="341"/>
      <c r="AL496" s="342"/>
    </row>
    <row r="497" ht="15.75" customHeight="1">
      <c r="O497" s="341"/>
      <c r="P497" s="341"/>
      <c r="AL497" s="342"/>
    </row>
    <row r="498" ht="15.75" customHeight="1">
      <c r="O498" s="341"/>
      <c r="P498" s="341"/>
      <c r="AL498" s="342"/>
    </row>
    <row r="499" ht="15.75" customHeight="1">
      <c r="O499" s="341"/>
      <c r="P499" s="341"/>
      <c r="AL499" s="342"/>
    </row>
    <row r="500" ht="15.75" customHeight="1">
      <c r="O500" s="341"/>
      <c r="P500" s="341"/>
      <c r="AL500" s="342"/>
    </row>
    <row r="501" ht="15.75" customHeight="1">
      <c r="O501" s="341"/>
      <c r="P501" s="341"/>
      <c r="AL501" s="342"/>
    </row>
    <row r="502" ht="15.75" customHeight="1">
      <c r="O502" s="341"/>
      <c r="P502" s="341"/>
      <c r="AL502" s="342"/>
    </row>
    <row r="503" ht="15.75" customHeight="1">
      <c r="O503" s="341"/>
      <c r="P503" s="341"/>
      <c r="AL503" s="342"/>
    </row>
    <row r="504" ht="15.75" customHeight="1">
      <c r="O504" s="341"/>
      <c r="P504" s="341"/>
      <c r="AL504" s="342"/>
    </row>
    <row r="505" ht="15.75" customHeight="1">
      <c r="O505" s="341"/>
      <c r="P505" s="341"/>
      <c r="AL505" s="342"/>
    </row>
    <row r="506" ht="15.75" customHeight="1">
      <c r="O506" s="341"/>
      <c r="P506" s="341"/>
      <c r="AL506" s="342"/>
    </row>
    <row r="507" ht="15.75" customHeight="1">
      <c r="O507" s="341"/>
      <c r="P507" s="341"/>
      <c r="AL507" s="342"/>
    </row>
    <row r="508" ht="15.75" customHeight="1">
      <c r="O508" s="341"/>
      <c r="P508" s="341"/>
      <c r="AL508" s="342"/>
    </row>
    <row r="509" ht="15.75" customHeight="1">
      <c r="O509" s="341"/>
      <c r="P509" s="341"/>
      <c r="AL509" s="342"/>
    </row>
    <row r="510" ht="15.75" customHeight="1">
      <c r="O510" s="341"/>
      <c r="P510" s="341"/>
      <c r="AL510" s="342"/>
    </row>
    <row r="511" ht="15.75" customHeight="1">
      <c r="O511" s="341"/>
      <c r="P511" s="341"/>
      <c r="AL511" s="342"/>
    </row>
    <row r="512" ht="15.75" customHeight="1">
      <c r="O512" s="341"/>
      <c r="P512" s="341"/>
      <c r="AL512" s="342"/>
    </row>
    <row r="513" ht="15.75" customHeight="1">
      <c r="O513" s="341"/>
      <c r="P513" s="341"/>
      <c r="AL513" s="342"/>
    </row>
    <row r="514" ht="15.75" customHeight="1">
      <c r="O514" s="341"/>
      <c r="P514" s="341"/>
      <c r="AL514" s="342"/>
    </row>
    <row r="515" ht="15.75" customHeight="1">
      <c r="O515" s="341"/>
      <c r="P515" s="341"/>
      <c r="AL515" s="342"/>
    </row>
    <row r="516" ht="15.75" customHeight="1">
      <c r="O516" s="341"/>
      <c r="P516" s="341"/>
      <c r="AL516" s="342"/>
    </row>
    <row r="517" ht="15.75" customHeight="1">
      <c r="O517" s="341"/>
      <c r="P517" s="341"/>
      <c r="AL517" s="342"/>
    </row>
    <row r="518" ht="15.75" customHeight="1">
      <c r="O518" s="341"/>
      <c r="P518" s="341"/>
      <c r="AL518" s="342"/>
    </row>
    <row r="519" ht="15.75" customHeight="1">
      <c r="O519" s="341"/>
      <c r="P519" s="341"/>
      <c r="AL519" s="342"/>
    </row>
    <row r="520" ht="15.75" customHeight="1">
      <c r="O520" s="341"/>
      <c r="P520" s="341"/>
      <c r="AL520" s="342"/>
    </row>
    <row r="521" ht="15.75" customHeight="1">
      <c r="O521" s="341"/>
      <c r="P521" s="341"/>
      <c r="AL521" s="342"/>
    </row>
    <row r="522" ht="15.75" customHeight="1">
      <c r="O522" s="341"/>
      <c r="P522" s="341"/>
      <c r="AL522" s="342"/>
    </row>
    <row r="523" ht="15.75" customHeight="1">
      <c r="O523" s="341"/>
      <c r="P523" s="341"/>
      <c r="AL523" s="342"/>
    </row>
    <row r="524" ht="15.75" customHeight="1">
      <c r="O524" s="341"/>
      <c r="P524" s="341"/>
      <c r="AL524" s="342"/>
    </row>
    <row r="525" ht="15.75" customHeight="1">
      <c r="O525" s="341"/>
      <c r="P525" s="341"/>
      <c r="AL525" s="342"/>
    </row>
    <row r="526" ht="15.75" customHeight="1">
      <c r="O526" s="341"/>
      <c r="P526" s="341"/>
      <c r="AL526" s="342"/>
    </row>
    <row r="527" ht="15.75" customHeight="1">
      <c r="O527" s="341"/>
      <c r="P527" s="341"/>
      <c r="AL527" s="342"/>
    </row>
    <row r="528" ht="15.75" customHeight="1">
      <c r="O528" s="341"/>
      <c r="P528" s="341"/>
      <c r="AL528" s="342"/>
    </row>
    <row r="529" ht="15.75" customHeight="1">
      <c r="O529" s="341"/>
      <c r="P529" s="341"/>
      <c r="AL529" s="342"/>
    </row>
    <row r="530" ht="15.75" customHeight="1">
      <c r="O530" s="341"/>
      <c r="P530" s="341"/>
      <c r="AL530" s="342"/>
    </row>
    <row r="531" ht="15.75" customHeight="1">
      <c r="O531" s="341"/>
      <c r="P531" s="341"/>
      <c r="AL531" s="342"/>
    </row>
    <row r="532" ht="15.75" customHeight="1">
      <c r="O532" s="341"/>
      <c r="P532" s="341"/>
      <c r="AL532" s="342"/>
    </row>
    <row r="533" ht="15.75" customHeight="1">
      <c r="O533" s="341"/>
      <c r="P533" s="341"/>
      <c r="AL533" s="342"/>
    </row>
    <row r="534" ht="15.75" customHeight="1">
      <c r="O534" s="341"/>
      <c r="P534" s="341"/>
      <c r="AL534" s="342"/>
    </row>
    <row r="535" ht="15.75" customHeight="1">
      <c r="O535" s="341"/>
      <c r="P535" s="341"/>
      <c r="AL535" s="342"/>
    </row>
    <row r="536" ht="15.75" customHeight="1">
      <c r="O536" s="341"/>
      <c r="P536" s="341"/>
      <c r="AL536" s="342"/>
    </row>
    <row r="537" ht="15.75" customHeight="1">
      <c r="O537" s="341"/>
      <c r="P537" s="341"/>
      <c r="AL537" s="342"/>
    </row>
    <row r="538" ht="15.75" customHeight="1">
      <c r="O538" s="341"/>
      <c r="P538" s="341"/>
      <c r="AL538" s="342"/>
    </row>
    <row r="539" ht="15.75" customHeight="1">
      <c r="O539" s="341"/>
      <c r="P539" s="341"/>
      <c r="AL539" s="342"/>
    </row>
    <row r="540" ht="15.75" customHeight="1">
      <c r="O540" s="341"/>
      <c r="P540" s="341"/>
      <c r="AL540" s="342"/>
    </row>
    <row r="541" ht="15.75" customHeight="1">
      <c r="O541" s="341"/>
      <c r="P541" s="341"/>
      <c r="AL541" s="342"/>
    </row>
    <row r="542" ht="15.75" customHeight="1">
      <c r="O542" s="341"/>
      <c r="P542" s="341"/>
      <c r="AL542" s="342"/>
    </row>
    <row r="543" ht="15.75" customHeight="1">
      <c r="O543" s="341"/>
      <c r="P543" s="341"/>
      <c r="AL543" s="342"/>
    </row>
    <row r="544" ht="15.75" customHeight="1">
      <c r="O544" s="341"/>
      <c r="P544" s="341"/>
      <c r="AL544" s="342"/>
    </row>
    <row r="545" ht="15.75" customHeight="1">
      <c r="O545" s="341"/>
      <c r="P545" s="341"/>
      <c r="AL545" s="342"/>
    </row>
    <row r="546" ht="15.75" customHeight="1">
      <c r="O546" s="341"/>
      <c r="P546" s="341"/>
      <c r="AL546" s="342"/>
    </row>
    <row r="547" ht="15.75" customHeight="1">
      <c r="O547" s="341"/>
      <c r="P547" s="341"/>
      <c r="AL547" s="342"/>
    </row>
    <row r="548" ht="15.75" customHeight="1">
      <c r="O548" s="341"/>
      <c r="P548" s="341"/>
      <c r="AL548" s="342"/>
    </row>
    <row r="549" ht="15.75" customHeight="1">
      <c r="O549" s="341"/>
      <c r="P549" s="341"/>
      <c r="AL549" s="342"/>
    </row>
    <row r="550" ht="15.75" customHeight="1">
      <c r="O550" s="341"/>
      <c r="P550" s="341"/>
      <c r="AL550" s="342"/>
    </row>
    <row r="551" ht="15.75" customHeight="1">
      <c r="O551" s="341"/>
      <c r="P551" s="341"/>
      <c r="AL551" s="342"/>
    </row>
    <row r="552" ht="15.75" customHeight="1">
      <c r="O552" s="341"/>
      <c r="P552" s="341"/>
      <c r="AL552" s="342"/>
    </row>
    <row r="553" ht="15.75" customHeight="1">
      <c r="O553" s="341"/>
      <c r="P553" s="341"/>
      <c r="AL553" s="342"/>
    </row>
    <row r="554" ht="15.75" customHeight="1">
      <c r="O554" s="341"/>
      <c r="P554" s="341"/>
      <c r="AL554" s="342"/>
    </row>
    <row r="555" ht="15.75" customHeight="1">
      <c r="O555" s="341"/>
      <c r="P555" s="341"/>
      <c r="AL555" s="342"/>
    </row>
    <row r="556" ht="15.75" customHeight="1">
      <c r="O556" s="341"/>
      <c r="P556" s="341"/>
      <c r="AL556" s="342"/>
    </row>
    <row r="557" ht="15.75" customHeight="1">
      <c r="O557" s="341"/>
      <c r="P557" s="341"/>
      <c r="AL557" s="342"/>
    </row>
    <row r="558" ht="15.75" customHeight="1">
      <c r="O558" s="341"/>
      <c r="P558" s="341"/>
      <c r="AL558" s="342"/>
    </row>
    <row r="559" ht="15.75" customHeight="1">
      <c r="O559" s="341"/>
      <c r="P559" s="341"/>
      <c r="AL559" s="342"/>
    </row>
    <row r="560" ht="15.75" customHeight="1">
      <c r="O560" s="341"/>
      <c r="P560" s="341"/>
      <c r="AL560" s="342"/>
    </row>
    <row r="561" ht="15.75" customHeight="1">
      <c r="O561" s="341"/>
      <c r="P561" s="341"/>
      <c r="AL561" s="342"/>
    </row>
    <row r="562" ht="15.75" customHeight="1">
      <c r="O562" s="341"/>
      <c r="P562" s="341"/>
      <c r="AL562" s="342"/>
    </row>
    <row r="563" ht="15.75" customHeight="1">
      <c r="O563" s="341"/>
      <c r="P563" s="341"/>
      <c r="AL563" s="342"/>
    </row>
    <row r="564" ht="15.75" customHeight="1">
      <c r="O564" s="341"/>
      <c r="P564" s="341"/>
      <c r="AL564" s="342"/>
    </row>
    <row r="565" ht="15.75" customHeight="1">
      <c r="O565" s="341"/>
      <c r="P565" s="341"/>
      <c r="AL565" s="342"/>
    </row>
    <row r="566" ht="15.75" customHeight="1">
      <c r="O566" s="341"/>
      <c r="P566" s="341"/>
      <c r="AL566" s="342"/>
    </row>
    <row r="567" ht="15.75" customHeight="1">
      <c r="O567" s="341"/>
      <c r="P567" s="341"/>
      <c r="AL567" s="342"/>
    </row>
    <row r="568" ht="15.75" customHeight="1">
      <c r="O568" s="341"/>
      <c r="P568" s="341"/>
      <c r="AL568" s="342"/>
    </row>
    <row r="569" ht="15.75" customHeight="1">
      <c r="O569" s="341"/>
      <c r="P569" s="341"/>
      <c r="AL569" s="342"/>
    </row>
    <row r="570" ht="15.75" customHeight="1">
      <c r="O570" s="341"/>
      <c r="P570" s="341"/>
      <c r="AL570" s="342"/>
    </row>
    <row r="571" ht="15.75" customHeight="1">
      <c r="O571" s="341"/>
      <c r="P571" s="341"/>
      <c r="AL571" s="342"/>
    </row>
    <row r="572" ht="15.75" customHeight="1">
      <c r="O572" s="341"/>
      <c r="P572" s="341"/>
      <c r="AL572" s="342"/>
    </row>
    <row r="573" ht="15.75" customHeight="1">
      <c r="O573" s="341"/>
      <c r="P573" s="341"/>
      <c r="AL573" s="342"/>
    </row>
    <row r="574" ht="15.75" customHeight="1">
      <c r="O574" s="341"/>
      <c r="P574" s="341"/>
      <c r="AL574" s="342"/>
    </row>
    <row r="575" ht="15.75" customHeight="1">
      <c r="O575" s="341"/>
      <c r="P575" s="341"/>
      <c r="AL575" s="342"/>
    </row>
    <row r="576" ht="15.75" customHeight="1">
      <c r="O576" s="341"/>
      <c r="P576" s="341"/>
      <c r="AL576" s="342"/>
    </row>
    <row r="577" ht="15.75" customHeight="1">
      <c r="O577" s="341"/>
      <c r="P577" s="341"/>
      <c r="AL577" s="342"/>
    </row>
    <row r="578" ht="15.75" customHeight="1">
      <c r="O578" s="341"/>
      <c r="P578" s="341"/>
      <c r="AL578" s="342"/>
    </row>
    <row r="579" ht="15.75" customHeight="1">
      <c r="O579" s="341"/>
      <c r="P579" s="341"/>
      <c r="AL579" s="342"/>
    </row>
    <row r="580" ht="15.75" customHeight="1">
      <c r="O580" s="341"/>
      <c r="P580" s="341"/>
      <c r="AL580" s="342"/>
    </row>
    <row r="581" ht="15.75" customHeight="1">
      <c r="O581" s="341"/>
      <c r="P581" s="341"/>
      <c r="AL581" s="342"/>
    </row>
    <row r="582" ht="15.75" customHeight="1">
      <c r="O582" s="341"/>
      <c r="P582" s="341"/>
      <c r="AL582" s="342"/>
    </row>
    <row r="583" ht="15.75" customHeight="1">
      <c r="O583" s="341"/>
      <c r="P583" s="341"/>
      <c r="AL583" s="342"/>
    </row>
    <row r="584" ht="15.75" customHeight="1">
      <c r="O584" s="341"/>
      <c r="P584" s="341"/>
      <c r="AL584" s="342"/>
    </row>
    <row r="585" ht="15.75" customHeight="1">
      <c r="O585" s="341"/>
      <c r="P585" s="341"/>
      <c r="AL585" s="342"/>
    </row>
    <row r="586" ht="15.75" customHeight="1">
      <c r="O586" s="341"/>
      <c r="P586" s="341"/>
      <c r="AL586" s="342"/>
    </row>
    <row r="587" ht="15.75" customHeight="1">
      <c r="O587" s="341"/>
      <c r="P587" s="341"/>
      <c r="AL587" s="342"/>
    </row>
    <row r="588" ht="15.75" customHeight="1">
      <c r="O588" s="341"/>
      <c r="P588" s="341"/>
      <c r="AL588" s="342"/>
    </row>
    <row r="589" ht="15.75" customHeight="1">
      <c r="O589" s="341"/>
      <c r="P589" s="341"/>
      <c r="AL589" s="342"/>
    </row>
    <row r="590" ht="15.75" customHeight="1">
      <c r="O590" s="341"/>
      <c r="P590" s="341"/>
      <c r="AL590" s="342"/>
    </row>
    <row r="591" ht="15.75" customHeight="1">
      <c r="O591" s="341"/>
      <c r="P591" s="341"/>
      <c r="AL591" s="342"/>
    </row>
    <row r="592" ht="15.75" customHeight="1">
      <c r="O592" s="341"/>
      <c r="P592" s="341"/>
      <c r="AL592" s="342"/>
    </row>
    <row r="593" ht="15.75" customHeight="1">
      <c r="O593" s="341"/>
      <c r="P593" s="341"/>
      <c r="AL593" s="342"/>
    </row>
    <row r="594" ht="15.75" customHeight="1">
      <c r="O594" s="341"/>
      <c r="P594" s="341"/>
      <c r="AL594" s="342"/>
    </row>
    <row r="595" ht="15.75" customHeight="1">
      <c r="O595" s="341"/>
      <c r="P595" s="341"/>
      <c r="AL595" s="342"/>
    </row>
    <row r="596" ht="15.75" customHeight="1">
      <c r="O596" s="341"/>
      <c r="P596" s="341"/>
      <c r="AL596" s="342"/>
    </row>
    <row r="597" ht="15.75" customHeight="1">
      <c r="O597" s="341"/>
      <c r="P597" s="341"/>
      <c r="AL597" s="342"/>
    </row>
    <row r="598" ht="15.75" customHeight="1">
      <c r="O598" s="341"/>
      <c r="P598" s="341"/>
      <c r="AL598" s="342"/>
    </row>
    <row r="599" ht="15.75" customHeight="1">
      <c r="O599" s="341"/>
      <c r="P599" s="341"/>
      <c r="AL599" s="342"/>
    </row>
    <row r="600" ht="15.75" customHeight="1">
      <c r="O600" s="341"/>
      <c r="P600" s="341"/>
      <c r="AL600" s="342"/>
    </row>
    <row r="601" ht="15.75" customHeight="1">
      <c r="O601" s="341"/>
      <c r="P601" s="341"/>
      <c r="AL601" s="342"/>
    </row>
    <row r="602" ht="15.75" customHeight="1">
      <c r="O602" s="341"/>
      <c r="P602" s="341"/>
      <c r="AL602" s="342"/>
    </row>
    <row r="603" ht="15.75" customHeight="1">
      <c r="O603" s="341"/>
      <c r="P603" s="341"/>
      <c r="AL603" s="342"/>
    </row>
    <row r="604" ht="15.75" customHeight="1">
      <c r="O604" s="341"/>
      <c r="P604" s="341"/>
      <c r="AL604" s="342"/>
    </row>
    <row r="605" ht="15.75" customHeight="1">
      <c r="O605" s="341"/>
      <c r="P605" s="341"/>
      <c r="AL605" s="342"/>
    </row>
    <row r="606" ht="15.75" customHeight="1">
      <c r="O606" s="341"/>
      <c r="P606" s="341"/>
      <c r="AL606" s="342"/>
    </row>
    <row r="607" ht="15.75" customHeight="1">
      <c r="O607" s="341"/>
      <c r="P607" s="341"/>
      <c r="AL607" s="342"/>
    </row>
    <row r="608" ht="15.75" customHeight="1">
      <c r="O608" s="341"/>
      <c r="P608" s="341"/>
      <c r="AL608" s="342"/>
    </row>
    <row r="609" ht="15.75" customHeight="1">
      <c r="O609" s="341"/>
      <c r="P609" s="341"/>
      <c r="AL609" s="342"/>
    </row>
    <row r="610" ht="15.75" customHeight="1">
      <c r="O610" s="341"/>
      <c r="P610" s="341"/>
      <c r="AL610" s="342"/>
    </row>
    <row r="611" ht="15.75" customHeight="1">
      <c r="O611" s="341"/>
      <c r="P611" s="341"/>
      <c r="AL611" s="342"/>
    </row>
    <row r="612" ht="15.75" customHeight="1">
      <c r="O612" s="341"/>
      <c r="P612" s="341"/>
      <c r="AL612" s="342"/>
    </row>
    <row r="613" ht="15.75" customHeight="1">
      <c r="O613" s="341"/>
      <c r="P613" s="341"/>
      <c r="AL613" s="342"/>
    </row>
    <row r="614" ht="15.75" customHeight="1">
      <c r="O614" s="341"/>
      <c r="P614" s="341"/>
      <c r="AL614" s="342"/>
    </row>
    <row r="615" ht="15.75" customHeight="1">
      <c r="O615" s="341"/>
      <c r="P615" s="341"/>
      <c r="AL615" s="342"/>
    </row>
    <row r="616" ht="15.75" customHeight="1">
      <c r="O616" s="341"/>
      <c r="P616" s="341"/>
      <c r="AL616" s="342"/>
    </row>
    <row r="617" ht="15.75" customHeight="1">
      <c r="O617" s="341"/>
      <c r="P617" s="341"/>
      <c r="AL617" s="342"/>
    </row>
    <row r="618" ht="15.75" customHeight="1">
      <c r="O618" s="341"/>
      <c r="P618" s="341"/>
      <c r="AL618" s="342"/>
    </row>
    <row r="619" ht="15.75" customHeight="1">
      <c r="O619" s="341"/>
      <c r="P619" s="341"/>
      <c r="AL619" s="342"/>
    </row>
    <row r="620" ht="15.75" customHeight="1">
      <c r="O620" s="341"/>
      <c r="P620" s="341"/>
      <c r="AL620" s="342"/>
    </row>
    <row r="621" ht="15.75" customHeight="1">
      <c r="O621" s="341"/>
      <c r="P621" s="341"/>
      <c r="AL621" s="342"/>
    </row>
    <row r="622" ht="15.75" customHeight="1">
      <c r="O622" s="341"/>
      <c r="P622" s="341"/>
      <c r="AL622" s="342"/>
    </row>
    <row r="623" ht="15.75" customHeight="1">
      <c r="O623" s="341"/>
      <c r="P623" s="341"/>
      <c r="AL623" s="342"/>
    </row>
    <row r="624" ht="15.75" customHeight="1">
      <c r="O624" s="341"/>
      <c r="P624" s="341"/>
      <c r="AL624" s="342"/>
    </row>
    <row r="625" ht="15.75" customHeight="1">
      <c r="O625" s="341"/>
      <c r="P625" s="341"/>
      <c r="AL625" s="342"/>
    </row>
    <row r="626" ht="15.75" customHeight="1">
      <c r="O626" s="341"/>
      <c r="P626" s="341"/>
      <c r="AL626" s="342"/>
    </row>
    <row r="627" ht="15.75" customHeight="1">
      <c r="O627" s="341"/>
      <c r="P627" s="341"/>
      <c r="AL627" s="342"/>
    </row>
    <row r="628" ht="15.75" customHeight="1">
      <c r="O628" s="341"/>
      <c r="P628" s="341"/>
      <c r="AL628" s="342"/>
    </row>
    <row r="629" ht="15.75" customHeight="1">
      <c r="O629" s="341"/>
      <c r="P629" s="341"/>
      <c r="AL629" s="342"/>
    </row>
    <row r="630" ht="15.75" customHeight="1">
      <c r="O630" s="341"/>
      <c r="P630" s="341"/>
      <c r="AL630" s="342"/>
    </row>
    <row r="631" ht="15.75" customHeight="1">
      <c r="O631" s="341"/>
      <c r="P631" s="341"/>
      <c r="AL631" s="342"/>
    </row>
    <row r="632" ht="15.75" customHeight="1">
      <c r="O632" s="341"/>
      <c r="P632" s="341"/>
      <c r="AL632" s="342"/>
    </row>
    <row r="633" ht="15.75" customHeight="1">
      <c r="O633" s="341"/>
      <c r="P633" s="341"/>
      <c r="AL633" s="342"/>
    </row>
    <row r="634" ht="15.75" customHeight="1">
      <c r="O634" s="341"/>
      <c r="P634" s="341"/>
      <c r="AL634" s="342"/>
    </row>
    <row r="635" ht="15.75" customHeight="1">
      <c r="O635" s="341"/>
      <c r="P635" s="341"/>
      <c r="AL635" s="342"/>
    </row>
    <row r="636" ht="15.75" customHeight="1">
      <c r="O636" s="341"/>
      <c r="P636" s="341"/>
      <c r="AL636" s="342"/>
    </row>
    <row r="637" ht="15.75" customHeight="1">
      <c r="O637" s="341"/>
      <c r="P637" s="341"/>
      <c r="AL637" s="342"/>
    </row>
    <row r="638" ht="15.75" customHeight="1">
      <c r="O638" s="341"/>
      <c r="P638" s="341"/>
      <c r="AL638" s="342"/>
    </row>
    <row r="639" ht="15.75" customHeight="1">
      <c r="O639" s="341"/>
      <c r="P639" s="341"/>
      <c r="AL639" s="342"/>
    </row>
    <row r="640" ht="15.75" customHeight="1">
      <c r="O640" s="341"/>
      <c r="P640" s="341"/>
      <c r="AL640" s="342"/>
    </row>
    <row r="641" ht="15.75" customHeight="1">
      <c r="O641" s="341"/>
      <c r="P641" s="341"/>
      <c r="AL641" s="342"/>
    </row>
    <row r="642" ht="15.75" customHeight="1">
      <c r="O642" s="341"/>
      <c r="P642" s="341"/>
      <c r="AL642" s="342"/>
    </row>
    <row r="643" ht="15.75" customHeight="1">
      <c r="O643" s="341"/>
      <c r="P643" s="341"/>
      <c r="AL643" s="342"/>
    </row>
    <row r="644" ht="15.75" customHeight="1">
      <c r="O644" s="341"/>
      <c r="P644" s="341"/>
      <c r="AL644" s="342"/>
    </row>
    <row r="645" ht="15.75" customHeight="1">
      <c r="O645" s="341"/>
      <c r="P645" s="341"/>
      <c r="AL645" s="342"/>
    </row>
    <row r="646" ht="15.75" customHeight="1">
      <c r="O646" s="341"/>
      <c r="P646" s="341"/>
      <c r="AL646" s="342"/>
    </row>
    <row r="647" ht="15.75" customHeight="1">
      <c r="O647" s="341"/>
      <c r="P647" s="341"/>
      <c r="AL647" s="342"/>
    </row>
    <row r="648" ht="15.75" customHeight="1">
      <c r="O648" s="341"/>
      <c r="P648" s="341"/>
      <c r="AL648" s="342"/>
    </row>
    <row r="649" ht="15.75" customHeight="1">
      <c r="O649" s="341"/>
      <c r="P649" s="341"/>
      <c r="AL649" s="342"/>
    </row>
    <row r="650" ht="15.75" customHeight="1">
      <c r="O650" s="341"/>
      <c r="P650" s="341"/>
      <c r="AL650" s="342"/>
    </row>
    <row r="651" ht="15.75" customHeight="1">
      <c r="O651" s="341"/>
      <c r="P651" s="341"/>
      <c r="AL651" s="342"/>
    </row>
    <row r="652" ht="15.75" customHeight="1">
      <c r="O652" s="341"/>
      <c r="P652" s="341"/>
      <c r="AL652" s="342"/>
    </row>
    <row r="653" ht="15.75" customHeight="1">
      <c r="O653" s="341"/>
      <c r="P653" s="341"/>
      <c r="AL653" s="342"/>
    </row>
    <row r="654" ht="15.75" customHeight="1">
      <c r="O654" s="341"/>
      <c r="P654" s="341"/>
      <c r="AL654" s="342"/>
    </row>
    <row r="655" ht="15.75" customHeight="1">
      <c r="O655" s="341"/>
      <c r="P655" s="341"/>
      <c r="AL655" s="342"/>
    </row>
    <row r="656" ht="15.75" customHeight="1">
      <c r="O656" s="341"/>
      <c r="P656" s="341"/>
      <c r="AL656" s="342"/>
    </row>
    <row r="657" ht="15.75" customHeight="1">
      <c r="O657" s="341"/>
      <c r="P657" s="341"/>
      <c r="AL657" s="342"/>
    </row>
    <row r="658" ht="15.75" customHeight="1">
      <c r="O658" s="341"/>
      <c r="P658" s="341"/>
      <c r="AL658" s="342"/>
    </row>
    <row r="659" ht="15.75" customHeight="1">
      <c r="O659" s="341"/>
      <c r="P659" s="341"/>
      <c r="AL659" s="342"/>
    </row>
    <row r="660" ht="15.75" customHeight="1">
      <c r="O660" s="341"/>
      <c r="P660" s="341"/>
      <c r="AL660" s="342"/>
    </row>
    <row r="661" ht="15.75" customHeight="1">
      <c r="O661" s="341"/>
      <c r="P661" s="341"/>
      <c r="AL661" s="342"/>
    </row>
    <row r="662" ht="15.75" customHeight="1">
      <c r="O662" s="341"/>
      <c r="P662" s="341"/>
      <c r="AL662" s="342"/>
    </row>
    <row r="663" ht="15.75" customHeight="1">
      <c r="O663" s="341"/>
      <c r="P663" s="341"/>
      <c r="AL663" s="342"/>
    </row>
    <row r="664" ht="15.75" customHeight="1">
      <c r="O664" s="341"/>
      <c r="P664" s="341"/>
      <c r="AL664" s="342"/>
    </row>
    <row r="665" ht="15.75" customHeight="1">
      <c r="O665" s="341"/>
      <c r="P665" s="341"/>
      <c r="AL665" s="342"/>
    </row>
    <row r="666" ht="15.75" customHeight="1">
      <c r="O666" s="341"/>
      <c r="P666" s="341"/>
      <c r="AL666" s="342"/>
    </row>
    <row r="667" ht="15.75" customHeight="1">
      <c r="O667" s="341"/>
      <c r="P667" s="341"/>
      <c r="AL667" s="342"/>
    </row>
    <row r="668" ht="15.75" customHeight="1">
      <c r="O668" s="341"/>
      <c r="P668" s="341"/>
      <c r="AL668" s="342"/>
    </row>
    <row r="669" ht="15.75" customHeight="1">
      <c r="O669" s="341"/>
      <c r="P669" s="341"/>
      <c r="AL669" s="342"/>
    </row>
    <row r="670" ht="15.75" customHeight="1">
      <c r="O670" s="341"/>
      <c r="P670" s="341"/>
      <c r="AL670" s="342"/>
    </row>
    <row r="671" ht="15.75" customHeight="1">
      <c r="O671" s="341"/>
      <c r="P671" s="341"/>
      <c r="AL671" s="342"/>
    </row>
    <row r="672" ht="15.75" customHeight="1">
      <c r="O672" s="341"/>
      <c r="P672" s="341"/>
      <c r="AL672" s="342"/>
    </row>
    <row r="673" ht="15.75" customHeight="1">
      <c r="O673" s="341"/>
      <c r="P673" s="341"/>
      <c r="AL673" s="342"/>
    </row>
    <row r="674" ht="15.75" customHeight="1">
      <c r="O674" s="341"/>
      <c r="P674" s="341"/>
      <c r="AL674" s="342"/>
    </row>
    <row r="675" ht="15.75" customHeight="1">
      <c r="O675" s="341"/>
      <c r="P675" s="341"/>
      <c r="AL675" s="342"/>
    </row>
    <row r="676" ht="15.75" customHeight="1">
      <c r="O676" s="341"/>
      <c r="P676" s="341"/>
      <c r="AL676" s="342"/>
    </row>
    <row r="677" ht="15.75" customHeight="1">
      <c r="O677" s="341"/>
      <c r="P677" s="341"/>
      <c r="AL677" s="342"/>
    </row>
    <row r="678" ht="15.75" customHeight="1">
      <c r="O678" s="341"/>
      <c r="P678" s="341"/>
      <c r="AL678" s="342"/>
    </row>
    <row r="679" ht="15.75" customHeight="1">
      <c r="O679" s="341"/>
      <c r="P679" s="341"/>
      <c r="AL679" s="342"/>
    </row>
    <row r="680" ht="15.75" customHeight="1">
      <c r="O680" s="341"/>
      <c r="P680" s="341"/>
      <c r="AL680" s="342"/>
    </row>
    <row r="681" ht="15.75" customHeight="1">
      <c r="O681" s="341"/>
      <c r="P681" s="341"/>
      <c r="AL681" s="342"/>
    </row>
    <row r="682" ht="15.75" customHeight="1">
      <c r="O682" s="341"/>
      <c r="P682" s="341"/>
      <c r="AL682" s="342"/>
    </row>
    <row r="683" ht="15.75" customHeight="1">
      <c r="O683" s="341"/>
      <c r="P683" s="341"/>
      <c r="AL683" s="342"/>
    </row>
    <row r="684" ht="15.75" customHeight="1">
      <c r="O684" s="341"/>
      <c r="P684" s="341"/>
      <c r="AL684" s="342"/>
    </row>
    <row r="685" ht="15.75" customHeight="1">
      <c r="O685" s="341"/>
      <c r="P685" s="341"/>
      <c r="AL685" s="342"/>
    </row>
    <row r="686" ht="15.75" customHeight="1">
      <c r="O686" s="341"/>
      <c r="P686" s="341"/>
      <c r="AL686" s="342"/>
    </row>
    <row r="687" ht="15.75" customHeight="1">
      <c r="O687" s="341"/>
      <c r="P687" s="341"/>
      <c r="AL687" s="342"/>
    </row>
    <row r="688" ht="15.75" customHeight="1">
      <c r="O688" s="341"/>
      <c r="P688" s="341"/>
      <c r="AL688" s="342"/>
    </row>
    <row r="689" ht="15.75" customHeight="1">
      <c r="O689" s="341"/>
      <c r="P689" s="341"/>
      <c r="AL689" s="342"/>
    </row>
    <row r="690" ht="15.75" customHeight="1">
      <c r="O690" s="341"/>
      <c r="P690" s="341"/>
      <c r="AL690" s="342"/>
    </row>
    <row r="691" ht="15.75" customHeight="1">
      <c r="O691" s="341"/>
      <c r="P691" s="341"/>
      <c r="AL691" s="342"/>
    </row>
    <row r="692" ht="15.75" customHeight="1">
      <c r="O692" s="341"/>
      <c r="P692" s="341"/>
      <c r="AL692" s="342"/>
    </row>
    <row r="693" ht="15.75" customHeight="1">
      <c r="O693" s="341"/>
      <c r="P693" s="341"/>
      <c r="AL693" s="342"/>
    </row>
    <row r="694" ht="15.75" customHeight="1">
      <c r="O694" s="341"/>
      <c r="P694" s="341"/>
      <c r="AL694" s="342"/>
    </row>
    <row r="695" ht="15.75" customHeight="1">
      <c r="O695" s="341"/>
      <c r="P695" s="341"/>
      <c r="AL695" s="342"/>
    </row>
    <row r="696" ht="15.75" customHeight="1">
      <c r="O696" s="341"/>
      <c r="P696" s="341"/>
      <c r="AL696" s="342"/>
    </row>
    <row r="697" ht="15.75" customHeight="1">
      <c r="O697" s="341"/>
      <c r="P697" s="341"/>
      <c r="AL697" s="342"/>
    </row>
    <row r="698" ht="15.75" customHeight="1">
      <c r="O698" s="341"/>
      <c r="P698" s="341"/>
      <c r="AL698" s="342"/>
    </row>
    <row r="699" ht="15.75" customHeight="1">
      <c r="O699" s="341"/>
      <c r="P699" s="341"/>
      <c r="AL699" s="342"/>
    </row>
    <row r="700" ht="15.75" customHeight="1">
      <c r="O700" s="341"/>
      <c r="P700" s="341"/>
      <c r="AL700" s="342"/>
    </row>
    <row r="701" ht="15.75" customHeight="1">
      <c r="O701" s="341"/>
      <c r="P701" s="341"/>
      <c r="AL701" s="342"/>
    </row>
    <row r="702" ht="15.75" customHeight="1">
      <c r="O702" s="341"/>
      <c r="P702" s="341"/>
      <c r="AL702" s="342"/>
    </row>
    <row r="703" ht="15.75" customHeight="1">
      <c r="O703" s="341"/>
      <c r="P703" s="341"/>
      <c r="AL703" s="342"/>
    </row>
    <row r="704" ht="15.75" customHeight="1">
      <c r="O704" s="341"/>
      <c r="P704" s="341"/>
      <c r="AL704" s="342"/>
    </row>
    <row r="705" ht="15.75" customHeight="1">
      <c r="O705" s="341"/>
      <c r="P705" s="341"/>
      <c r="AL705" s="342"/>
    </row>
    <row r="706" ht="15.75" customHeight="1">
      <c r="O706" s="341"/>
      <c r="P706" s="341"/>
      <c r="AL706" s="342"/>
    </row>
    <row r="707" ht="15.75" customHeight="1">
      <c r="O707" s="341"/>
      <c r="P707" s="341"/>
      <c r="AL707" s="342"/>
    </row>
    <row r="708" ht="15.75" customHeight="1">
      <c r="O708" s="341"/>
      <c r="P708" s="341"/>
      <c r="AL708" s="342"/>
    </row>
    <row r="709" ht="15.75" customHeight="1">
      <c r="O709" s="341"/>
      <c r="P709" s="341"/>
      <c r="AL709" s="342"/>
    </row>
    <row r="710" ht="15.75" customHeight="1">
      <c r="O710" s="341"/>
      <c r="P710" s="341"/>
      <c r="AL710" s="342"/>
    </row>
    <row r="711" ht="15.75" customHeight="1">
      <c r="O711" s="341"/>
      <c r="P711" s="341"/>
      <c r="AL711" s="342"/>
    </row>
    <row r="712" ht="15.75" customHeight="1">
      <c r="O712" s="341"/>
      <c r="P712" s="341"/>
      <c r="AL712" s="342"/>
    </row>
    <row r="713" ht="15.75" customHeight="1">
      <c r="O713" s="341"/>
      <c r="P713" s="341"/>
      <c r="AL713" s="342"/>
    </row>
    <row r="714" ht="15.75" customHeight="1">
      <c r="O714" s="341"/>
      <c r="P714" s="341"/>
      <c r="AL714" s="342"/>
    </row>
    <row r="715" ht="15.75" customHeight="1">
      <c r="O715" s="341"/>
      <c r="P715" s="341"/>
      <c r="AL715" s="342"/>
    </row>
    <row r="716" ht="15.75" customHeight="1">
      <c r="O716" s="341"/>
      <c r="P716" s="341"/>
      <c r="AL716" s="342"/>
    </row>
    <row r="717" ht="15.75" customHeight="1">
      <c r="O717" s="341"/>
      <c r="P717" s="341"/>
      <c r="AL717" s="342"/>
    </row>
    <row r="718" ht="15.75" customHeight="1">
      <c r="O718" s="341"/>
      <c r="P718" s="341"/>
      <c r="AL718" s="342"/>
    </row>
    <row r="719" ht="15.75" customHeight="1">
      <c r="O719" s="341"/>
      <c r="P719" s="341"/>
      <c r="AL719" s="342"/>
    </row>
    <row r="720" ht="15.75" customHeight="1">
      <c r="O720" s="341"/>
      <c r="P720" s="341"/>
      <c r="AL720" s="342"/>
    </row>
    <row r="721" ht="15.75" customHeight="1">
      <c r="O721" s="341"/>
      <c r="P721" s="341"/>
      <c r="AL721" s="342"/>
    </row>
    <row r="722" ht="15.75" customHeight="1">
      <c r="O722" s="341"/>
      <c r="P722" s="341"/>
      <c r="AL722" s="342"/>
    </row>
    <row r="723" ht="15.75" customHeight="1">
      <c r="O723" s="341"/>
      <c r="P723" s="341"/>
      <c r="AL723" s="342"/>
    </row>
    <row r="724" ht="15.75" customHeight="1">
      <c r="O724" s="341"/>
      <c r="P724" s="341"/>
      <c r="AL724" s="342"/>
    </row>
    <row r="725" ht="15.75" customHeight="1">
      <c r="O725" s="341"/>
      <c r="P725" s="341"/>
      <c r="AL725" s="342"/>
    </row>
    <row r="726" ht="15.75" customHeight="1">
      <c r="O726" s="341"/>
      <c r="P726" s="341"/>
      <c r="AL726" s="342"/>
    </row>
    <row r="727" ht="15.75" customHeight="1">
      <c r="O727" s="341"/>
      <c r="P727" s="341"/>
      <c r="AL727" s="342"/>
    </row>
    <row r="728" ht="15.75" customHeight="1">
      <c r="O728" s="341"/>
      <c r="P728" s="341"/>
      <c r="AL728" s="342"/>
    </row>
    <row r="729" ht="15.75" customHeight="1">
      <c r="O729" s="341"/>
      <c r="P729" s="341"/>
      <c r="AL729" s="342"/>
    </row>
    <row r="730" ht="15.75" customHeight="1">
      <c r="O730" s="341"/>
      <c r="P730" s="341"/>
      <c r="AL730" s="342"/>
    </row>
    <row r="731" ht="15.75" customHeight="1">
      <c r="O731" s="341"/>
      <c r="P731" s="341"/>
      <c r="AL731" s="342"/>
    </row>
    <row r="732" ht="15.75" customHeight="1">
      <c r="O732" s="341"/>
      <c r="P732" s="341"/>
      <c r="AL732" s="342"/>
    </row>
    <row r="733" ht="15.75" customHeight="1">
      <c r="O733" s="341"/>
      <c r="P733" s="341"/>
      <c r="AL733" s="342"/>
    </row>
    <row r="734" ht="15.75" customHeight="1">
      <c r="O734" s="341"/>
      <c r="P734" s="341"/>
      <c r="AL734" s="342"/>
    </row>
    <row r="735" ht="15.75" customHeight="1">
      <c r="O735" s="341"/>
      <c r="P735" s="341"/>
      <c r="AL735" s="342"/>
    </row>
    <row r="736" ht="15.75" customHeight="1">
      <c r="O736" s="341"/>
      <c r="P736" s="341"/>
      <c r="AL736" s="342"/>
    </row>
    <row r="737" ht="15.75" customHeight="1">
      <c r="O737" s="341"/>
      <c r="P737" s="341"/>
      <c r="AL737" s="342"/>
    </row>
    <row r="738" ht="15.75" customHeight="1">
      <c r="O738" s="341"/>
      <c r="P738" s="341"/>
      <c r="AL738" s="342"/>
    </row>
    <row r="739" ht="15.75" customHeight="1">
      <c r="O739" s="341"/>
      <c r="P739" s="341"/>
      <c r="AL739" s="342"/>
    </row>
    <row r="740" ht="15.75" customHeight="1">
      <c r="O740" s="341"/>
      <c r="P740" s="341"/>
      <c r="AL740" s="342"/>
    </row>
    <row r="741" ht="15.75" customHeight="1">
      <c r="O741" s="341"/>
      <c r="P741" s="341"/>
      <c r="AL741" s="342"/>
    </row>
    <row r="742" ht="15.75" customHeight="1">
      <c r="O742" s="341"/>
      <c r="P742" s="341"/>
      <c r="AL742" s="342"/>
    </row>
    <row r="743" ht="15.75" customHeight="1">
      <c r="O743" s="341"/>
      <c r="P743" s="341"/>
      <c r="AL743" s="342"/>
    </row>
    <row r="744" ht="15.75" customHeight="1">
      <c r="O744" s="341"/>
      <c r="P744" s="341"/>
      <c r="AL744" s="342"/>
    </row>
    <row r="745" ht="15.75" customHeight="1">
      <c r="O745" s="341"/>
      <c r="P745" s="341"/>
      <c r="AL745" s="342"/>
    </row>
    <row r="746" ht="15.75" customHeight="1">
      <c r="O746" s="341"/>
      <c r="P746" s="341"/>
      <c r="AL746" s="342"/>
    </row>
    <row r="747" ht="15.75" customHeight="1">
      <c r="O747" s="341"/>
      <c r="P747" s="341"/>
      <c r="AL747" s="342"/>
    </row>
    <row r="748" ht="15.75" customHeight="1">
      <c r="O748" s="341"/>
      <c r="P748" s="341"/>
      <c r="AL748" s="342"/>
    </row>
    <row r="749" ht="15.75" customHeight="1">
      <c r="O749" s="341"/>
      <c r="P749" s="341"/>
      <c r="AL749" s="342"/>
    </row>
    <row r="750" ht="15.75" customHeight="1">
      <c r="O750" s="341"/>
      <c r="P750" s="341"/>
      <c r="AL750" s="342"/>
    </row>
    <row r="751" ht="15.75" customHeight="1">
      <c r="O751" s="341"/>
      <c r="P751" s="341"/>
      <c r="AL751" s="342"/>
    </row>
    <row r="752" ht="15.75" customHeight="1">
      <c r="O752" s="341"/>
      <c r="P752" s="341"/>
      <c r="AL752" s="342"/>
    </row>
    <row r="753" ht="15.75" customHeight="1">
      <c r="O753" s="341"/>
      <c r="P753" s="341"/>
      <c r="AL753" s="342"/>
    </row>
    <row r="754" ht="15.75" customHeight="1">
      <c r="O754" s="341"/>
      <c r="P754" s="341"/>
      <c r="AL754" s="342"/>
    </row>
    <row r="755" ht="15.75" customHeight="1">
      <c r="O755" s="341"/>
      <c r="P755" s="341"/>
      <c r="AL755" s="342"/>
    </row>
    <row r="756" ht="15.75" customHeight="1">
      <c r="O756" s="341"/>
      <c r="P756" s="341"/>
      <c r="AL756" s="342"/>
    </row>
    <row r="757" ht="15.75" customHeight="1">
      <c r="O757" s="341"/>
      <c r="P757" s="341"/>
      <c r="AL757" s="342"/>
    </row>
    <row r="758" ht="15.75" customHeight="1">
      <c r="O758" s="341"/>
      <c r="P758" s="341"/>
      <c r="AL758" s="342"/>
    </row>
    <row r="759" ht="15.75" customHeight="1">
      <c r="O759" s="341"/>
      <c r="P759" s="341"/>
      <c r="AL759" s="342"/>
    </row>
    <row r="760" ht="15.75" customHeight="1">
      <c r="O760" s="341"/>
      <c r="P760" s="341"/>
      <c r="AL760" s="342"/>
    </row>
    <row r="761" ht="15.75" customHeight="1">
      <c r="O761" s="341"/>
      <c r="P761" s="341"/>
      <c r="AL761" s="342"/>
    </row>
    <row r="762" ht="15.75" customHeight="1">
      <c r="O762" s="341"/>
      <c r="P762" s="341"/>
      <c r="AL762" s="342"/>
    </row>
    <row r="763" ht="15.75" customHeight="1">
      <c r="O763" s="341"/>
      <c r="P763" s="341"/>
      <c r="AL763" s="342"/>
    </row>
    <row r="764" ht="15.75" customHeight="1">
      <c r="O764" s="341"/>
      <c r="P764" s="341"/>
      <c r="AL764" s="342"/>
    </row>
    <row r="765" ht="15.75" customHeight="1">
      <c r="O765" s="341"/>
      <c r="P765" s="341"/>
      <c r="AL765" s="342"/>
    </row>
    <row r="766" ht="15.75" customHeight="1">
      <c r="O766" s="341"/>
      <c r="P766" s="341"/>
      <c r="AL766" s="342"/>
    </row>
    <row r="767" ht="15.75" customHeight="1">
      <c r="O767" s="341"/>
      <c r="P767" s="341"/>
      <c r="AL767" s="342"/>
    </row>
    <row r="768" ht="15.75" customHeight="1">
      <c r="O768" s="341"/>
      <c r="P768" s="341"/>
      <c r="AL768" s="342"/>
    </row>
    <row r="769" ht="15.75" customHeight="1">
      <c r="O769" s="341"/>
      <c r="P769" s="341"/>
      <c r="AL769" s="342"/>
    </row>
    <row r="770" ht="15.75" customHeight="1">
      <c r="O770" s="341"/>
      <c r="P770" s="341"/>
      <c r="AL770" s="342"/>
    </row>
    <row r="771" ht="15.75" customHeight="1">
      <c r="O771" s="341"/>
      <c r="P771" s="341"/>
      <c r="AL771" s="342"/>
    </row>
    <row r="772" ht="15.75" customHeight="1">
      <c r="O772" s="341"/>
      <c r="P772" s="341"/>
      <c r="AL772" s="342"/>
    </row>
    <row r="773" ht="15.75" customHeight="1">
      <c r="O773" s="341"/>
      <c r="P773" s="341"/>
      <c r="AL773" s="342"/>
    </row>
    <row r="774" ht="15.75" customHeight="1">
      <c r="O774" s="341"/>
      <c r="P774" s="341"/>
      <c r="AL774" s="342"/>
    </row>
    <row r="775" ht="15.75" customHeight="1">
      <c r="O775" s="341"/>
      <c r="P775" s="341"/>
      <c r="AL775" s="342"/>
    </row>
    <row r="776" ht="15.75" customHeight="1">
      <c r="O776" s="341"/>
      <c r="P776" s="341"/>
      <c r="AL776" s="342"/>
    </row>
    <row r="777" ht="15.75" customHeight="1">
      <c r="O777" s="341"/>
      <c r="P777" s="341"/>
      <c r="AL777" s="342"/>
    </row>
    <row r="778" ht="15.75" customHeight="1">
      <c r="O778" s="341"/>
      <c r="P778" s="341"/>
      <c r="AL778" s="342"/>
    </row>
    <row r="779" ht="15.75" customHeight="1">
      <c r="O779" s="341"/>
      <c r="P779" s="341"/>
      <c r="AL779" s="342"/>
    </row>
    <row r="780" ht="15.75" customHeight="1">
      <c r="O780" s="341"/>
      <c r="P780" s="341"/>
      <c r="AL780" s="342"/>
    </row>
    <row r="781" ht="15.75" customHeight="1">
      <c r="O781" s="341"/>
      <c r="P781" s="341"/>
      <c r="AL781" s="342"/>
    </row>
    <row r="782" ht="15.75" customHeight="1">
      <c r="O782" s="341"/>
      <c r="P782" s="341"/>
      <c r="AL782" s="342"/>
    </row>
    <row r="783" ht="15.75" customHeight="1">
      <c r="O783" s="341"/>
      <c r="P783" s="341"/>
      <c r="AL783" s="342"/>
    </row>
    <row r="784" ht="15.75" customHeight="1">
      <c r="O784" s="341"/>
      <c r="P784" s="341"/>
      <c r="AL784" s="342"/>
    </row>
    <row r="785" ht="15.75" customHeight="1">
      <c r="O785" s="341"/>
      <c r="P785" s="341"/>
      <c r="AL785" s="342"/>
    </row>
    <row r="786" ht="15.75" customHeight="1">
      <c r="O786" s="341"/>
      <c r="P786" s="341"/>
      <c r="AL786" s="342"/>
    </row>
    <row r="787" ht="15.75" customHeight="1">
      <c r="O787" s="341"/>
      <c r="P787" s="341"/>
      <c r="AL787" s="342"/>
    </row>
    <row r="788" ht="15.75" customHeight="1">
      <c r="O788" s="341"/>
      <c r="P788" s="341"/>
      <c r="AL788" s="342"/>
    </row>
    <row r="789" ht="15.75" customHeight="1">
      <c r="O789" s="341"/>
      <c r="P789" s="341"/>
      <c r="AL789" s="342"/>
    </row>
    <row r="790" ht="15.75" customHeight="1">
      <c r="O790" s="341"/>
      <c r="P790" s="341"/>
      <c r="AL790" s="342"/>
    </row>
    <row r="791" ht="15.75" customHeight="1">
      <c r="O791" s="341"/>
      <c r="P791" s="341"/>
      <c r="AL791" s="342"/>
    </row>
    <row r="792" ht="15.75" customHeight="1">
      <c r="O792" s="341"/>
      <c r="P792" s="341"/>
      <c r="AL792" s="342"/>
    </row>
    <row r="793" ht="15.75" customHeight="1">
      <c r="O793" s="341"/>
      <c r="P793" s="341"/>
      <c r="AL793" s="342"/>
    </row>
    <row r="794" ht="15.75" customHeight="1">
      <c r="O794" s="341"/>
      <c r="P794" s="341"/>
      <c r="AL794" s="342"/>
    </row>
    <row r="795" ht="15.75" customHeight="1">
      <c r="O795" s="341"/>
      <c r="P795" s="341"/>
      <c r="AL795" s="342"/>
    </row>
    <row r="796" ht="15.75" customHeight="1">
      <c r="O796" s="341"/>
      <c r="P796" s="341"/>
      <c r="AL796" s="342"/>
    </row>
    <row r="797" ht="15.75" customHeight="1">
      <c r="O797" s="341"/>
      <c r="P797" s="341"/>
      <c r="AL797" s="342"/>
    </row>
    <row r="798" ht="15.75" customHeight="1">
      <c r="O798" s="341"/>
      <c r="P798" s="341"/>
      <c r="AL798" s="342"/>
    </row>
    <row r="799" ht="15.75" customHeight="1">
      <c r="O799" s="341"/>
      <c r="P799" s="341"/>
      <c r="AL799" s="342"/>
    </row>
    <row r="800" ht="15.75" customHeight="1">
      <c r="O800" s="341"/>
      <c r="P800" s="341"/>
      <c r="AL800" s="342"/>
    </row>
    <row r="801" ht="15.75" customHeight="1">
      <c r="O801" s="341"/>
      <c r="P801" s="341"/>
      <c r="AL801" s="342"/>
    </row>
    <row r="802" ht="15.75" customHeight="1">
      <c r="O802" s="341"/>
      <c r="P802" s="341"/>
      <c r="AL802" s="342"/>
    </row>
    <row r="803" ht="15.75" customHeight="1">
      <c r="O803" s="341"/>
      <c r="P803" s="341"/>
      <c r="AL803" s="342"/>
    </row>
    <row r="804" ht="15.75" customHeight="1">
      <c r="O804" s="341"/>
      <c r="P804" s="341"/>
      <c r="AL804" s="342"/>
    </row>
    <row r="805" ht="15.75" customHeight="1">
      <c r="O805" s="341"/>
      <c r="P805" s="341"/>
      <c r="AL805" s="342"/>
    </row>
    <row r="806" ht="15.75" customHeight="1">
      <c r="O806" s="341"/>
      <c r="P806" s="341"/>
      <c r="AL806" s="342"/>
    </row>
    <row r="807" ht="15.75" customHeight="1">
      <c r="O807" s="341"/>
      <c r="P807" s="341"/>
      <c r="AL807" s="342"/>
    </row>
    <row r="808" ht="15.75" customHeight="1">
      <c r="O808" s="341"/>
      <c r="P808" s="341"/>
      <c r="AL808" s="342"/>
    </row>
    <row r="809" ht="15.75" customHeight="1">
      <c r="O809" s="341"/>
      <c r="P809" s="341"/>
      <c r="AL809" s="342"/>
    </row>
    <row r="810" ht="15.75" customHeight="1">
      <c r="O810" s="341"/>
      <c r="P810" s="341"/>
      <c r="AL810" s="342"/>
    </row>
    <row r="811" ht="15.75" customHeight="1">
      <c r="O811" s="341"/>
      <c r="P811" s="341"/>
      <c r="AL811" s="342"/>
    </row>
    <row r="812" ht="15.75" customHeight="1">
      <c r="O812" s="341"/>
      <c r="P812" s="341"/>
      <c r="AL812" s="342"/>
    </row>
    <row r="813" ht="15.75" customHeight="1">
      <c r="O813" s="341"/>
      <c r="P813" s="341"/>
      <c r="AL813" s="342"/>
    </row>
    <row r="814" ht="15.75" customHeight="1">
      <c r="O814" s="341"/>
      <c r="P814" s="341"/>
      <c r="AL814" s="342"/>
    </row>
    <row r="815" ht="15.75" customHeight="1">
      <c r="O815" s="341"/>
      <c r="P815" s="341"/>
      <c r="AL815" s="342"/>
    </row>
    <row r="816" ht="15.75" customHeight="1">
      <c r="O816" s="341"/>
      <c r="P816" s="341"/>
      <c r="AL816" s="342"/>
    </row>
    <row r="817" ht="15.75" customHeight="1">
      <c r="O817" s="341"/>
      <c r="P817" s="341"/>
      <c r="AL817" s="342"/>
    </row>
    <row r="818" ht="15.75" customHeight="1">
      <c r="O818" s="341"/>
      <c r="P818" s="341"/>
      <c r="AL818" s="342"/>
    </row>
    <row r="819" ht="15.75" customHeight="1">
      <c r="O819" s="341"/>
      <c r="P819" s="341"/>
      <c r="AL819" s="342"/>
    </row>
    <row r="820" ht="15.75" customHeight="1">
      <c r="O820" s="341"/>
      <c r="P820" s="341"/>
      <c r="AL820" s="342"/>
    </row>
    <row r="821" ht="15.75" customHeight="1">
      <c r="O821" s="341"/>
      <c r="P821" s="341"/>
      <c r="AL821" s="342"/>
    </row>
    <row r="822" ht="15.75" customHeight="1">
      <c r="O822" s="341"/>
      <c r="P822" s="341"/>
      <c r="AL822" s="342"/>
    </row>
    <row r="823" ht="15.75" customHeight="1">
      <c r="O823" s="341"/>
      <c r="P823" s="341"/>
      <c r="AL823" s="342"/>
    </row>
    <row r="824" ht="15.75" customHeight="1">
      <c r="O824" s="341"/>
      <c r="P824" s="341"/>
      <c r="AL824" s="342"/>
    </row>
    <row r="825" ht="15.75" customHeight="1">
      <c r="O825" s="341"/>
      <c r="P825" s="341"/>
      <c r="AL825" s="342"/>
    </row>
    <row r="826" ht="15.75" customHeight="1">
      <c r="O826" s="341"/>
      <c r="P826" s="341"/>
      <c r="AL826" s="342"/>
    </row>
    <row r="827" ht="15.75" customHeight="1">
      <c r="O827" s="341"/>
      <c r="P827" s="341"/>
      <c r="AL827" s="342"/>
    </row>
    <row r="828" ht="15.75" customHeight="1">
      <c r="O828" s="341"/>
      <c r="P828" s="341"/>
      <c r="AL828" s="342"/>
    </row>
    <row r="829" ht="15.75" customHeight="1">
      <c r="O829" s="341"/>
      <c r="P829" s="341"/>
      <c r="AL829" s="342"/>
    </row>
    <row r="830" ht="15.75" customHeight="1">
      <c r="O830" s="341"/>
      <c r="P830" s="341"/>
      <c r="AL830" s="342"/>
    </row>
    <row r="831" ht="15.75" customHeight="1">
      <c r="O831" s="341"/>
      <c r="P831" s="341"/>
      <c r="AL831" s="342"/>
    </row>
    <row r="832" ht="15.75" customHeight="1">
      <c r="O832" s="341"/>
      <c r="P832" s="341"/>
      <c r="AL832" s="342"/>
    </row>
    <row r="833" ht="15.75" customHeight="1">
      <c r="O833" s="341"/>
      <c r="P833" s="341"/>
      <c r="AL833" s="342"/>
    </row>
    <row r="834" ht="15.75" customHeight="1">
      <c r="O834" s="341"/>
      <c r="P834" s="341"/>
      <c r="AL834" s="342"/>
    </row>
    <row r="835" ht="15.75" customHeight="1">
      <c r="O835" s="341"/>
      <c r="P835" s="341"/>
      <c r="AL835" s="342"/>
    </row>
    <row r="836" ht="15.75" customHeight="1">
      <c r="O836" s="341"/>
      <c r="P836" s="341"/>
      <c r="AL836" s="342"/>
    </row>
    <row r="837" ht="15.75" customHeight="1">
      <c r="O837" s="341"/>
      <c r="P837" s="341"/>
      <c r="AL837" s="342"/>
    </row>
    <row r="838" ht="15.75" customHeight="1">
      <c r="O838" s="341"/>
      <c r="P838" s="341"/>
      <c r="AL838" s="342"/>
    </row>
    <row r="839" ht="15.75" customHeight="1">
      <c r="O839" s="341"/>
      <c r="P839" s="341"/>
      <c r="AL839" s="342"/>
    </row>
    <row r="840" ht="15.75" customHeight="1">
      <c r="O840" s="341"/>
      <c r="P840" s="341"/>
      <c r="AL840" s="342"/>
    </row>
    <row r="841" ht="15.75" customHeight="1">
      <c r="O841" s="341"/>
      <c r="P841" s="341"/>
      <c r="AL841" s="342"/>
    </row>
    <row r="842" ht="15.75" customHeight="1">
      <c r="O842" s="341"/>
      <c r="P842" s="341"/>
      <c r="AL842" s="342"/>
    </row>
    <row r="843" ht="15.75" customHeight="1">
      <c r="O843" s="341"/>
      <c r="P843" s="341"/>
      <c r="AL843" s="342"/>
    </row>
    <row r="844" ht="15.75" customHeight="1">
      <c r="O844" s="341"/>
      <c r="P844" s="341"/>
      <c r="AL844" s="342"/>
    </row>
    <row r="845" ht="15.75" customHeight="1">
      <c r="O845" s="341"/>
      <c r="P845" s="341"/>
      <c r="AL845" s="342"/>
    </row>
    <row r="846" ht="15.75" customHeight="1">
      <c r="O846" s="341"/>
      <c r="P846" s="341"/>
      <c r="AL846" s="342"/>
    </row>
    <row r="847" ht="15.75" customHeight="1">
      <c r="O847" s="341"/>
      <c r="P847" s="341"/>
      <c r="AL847" s="342"/>
    </row>
    <row r="848" ht="15.75" customHeight="1">
      <c r="O848" s="341"/>
      <c r="P848" s="341"/>
      <c r="AL848" s="342"/>
    </row>
    <row r="849" ht="15.75" customHeight="1">
      <c r="O849" s="341"/>
      <c r="P849" s="341"/>
      <c r="AL849" s="342"/>
    </row>
    <row r="850" ht="15.75" customHeight="1">
      <c r="O850" s="341"/>
      <c r="P850" s="341"/>
      <c r="AL850" s="342"/>
    </row>
    <row r="851" ht="15.75" customHeight="1">
      <c r="O851" s="341"/>
      <c r="P851" s="341"/>
      <c r="AL851" s="342"/>
    </row>
    <row r="852" ht="15.75" customHeight="1">
      <c r="O852" s="341"/>
      <c r="P852" s="341"/>
      <c r="AL852" s="342"/>
    </row>
    <row r="853" ht="15.75" customHeight="1">
      <c r="O853" s="341"/>
      <c r="P853" s="341"/>
      <c r="AL853" s="342"/>
    </row>
    <row r="854" ht="15.75" customHeight="1">
      <c r="O854" s="341"/>
      <c r="P854" s="341"/>
      <c r="AL854" s="342"/>
    </row>
    <row r="855" ht="15.75" customHeight="1">
      <c r="O855" s="341"/>
      <c r="P855" s="341"/>
      <c r="AL855" s="342"/>
    </row>
    <row r="856" ht="15.75" customHeight="1">
      <c r="O856" s="341"/>
      <c r="P856" s="341"/>
      <c r="AL856" s="342"/>
    </row>
    <row r="857" ht="15.75" customHeight="1">
      <c r="O857" s="341"/>
      <c r="P857" s="341"/>
      <c r="AL857" s="342"/>
    </row>
    <row r="858" ht="15.75" customHeight="1">
      <c r="O858" s="341"/>
      <c r="P858" s="341"/>
      <c r="AL858" s="342"/>
    </row>
    <row r="859" ht="15.75" customHeight="1">
      <c r="O859" s="341"/>
      <c r="P859" s="341"/>
      <c r="AL859" s="342"/>
    </row>
    <row r="860" ht="15.75" customHeight="1">
      <c r="O860" s="341"/>
      <c r="P860" s="341"/>
      <c r="AL860" s="342"/>
    </row>
    <row r="861" ht="15.75" customHeight="1">
      <c r="O861" s="341"/>
      <c r="P861" s="341"/>
      <c r="AL861" s="342"/>
    </row>
    <row r="862" ht="15.75" customHeight="1">
      <c r="O862" s="341"/>
      <c r="P862" s="341"/>
      <c r="AL862" s="342"/>
    </row>
    <row r="863" ht="15.75" customHeight="1">
      <c r="O863" s="341"/>
      <c r="P863" s="341"/>
      <c r="AL863" s="342"/>
    </row>
    <row r="864" ht="15.75" customHeight="1">
      <c r="O864" s="341"/>
      <c r="P864" s="341"/>
      <c r="AL864" s="342"/>
    </row>
    <row r="865" ht="15.75" customHeight="1">
      <c r="O865" s="341"/>
      <c r="P865" s="341"/>
      <c r="AL865" s="342"/>
    </row>
    <row r="866" ht="15.75" customHeight="1">
      <c r="O866" s="341"/>
      <c r="P866" s="341"/>
      <c r="AL866" s="342"/>
    </row>
    <row r="867" ht="15.75" customHeight="1">
      <c r="O867" s="341"/>
      <c r="P867" s="341"/>
      <c r="AL867" s="342"/>
    </row>
    <row r="868" ht="15.75" customHeight="1">
      <c r="O868" s="341"/>
      <c r="P868" s="341"/>
      <c r="AL868" s="342"/>
    </row>
    <row r="869" ht="15.75" customHeight="1">
      <c r="O869" s="341"/>
      <c r="P869" s="341"/>
      <c r="AL869" s="342"/>
    </row>
    <row r="870" ht="15.75" customHeight="1">
      <c r="O870" s="341"/>
      <c r="P870" s="341"/>
      <c r="AL870" s="342"/>
    </row>
    <row r="871" ht="15.75" customHeight="1">
      <c r="O871" s="341"/>
      <c r="P871" s="341"/>
      <c r="AL871" s="342"/>
    </row>
    <row r="872" ht="15.75" customHeight="1">
      <c r="O872" s="341"/>
      <c r="P872" s="341"/>
      <c r="AL872" s="342"/>
    </row>
    <row r="873" ht="15.75" customHeight="1">
      <c r="O873" s="341"/>
      <c r="P873" s="341"/>
      <c r="AL873" s="342"/>
    </row>
    <row r="874" ht="15.75" customHeight="1">
      <c r="O874" s="341"/>
      <c r="P874" s="341"/>
      <c r="AL874" s="342"/>
    </row>
    <row r="875" ht="15.75" customHeight="1">
      <c r="O875" s="341"/>
      <c r="P875" s="341"/>
      <c r="AL875" s="342"/>
    </row>
    <row r="876" ht="15.75" customHeight="1">
      <c r="O876" s="341"/>
      <c r="P876" s="341"/>
      <c r="AL876" s="342"/>
    </row>
    <row r="877" ht="15.75" customHeight="1">
      <c r="O877" s="341"/>
      <c r="P877" s="341"/>
      <c r="AL877" s="342"/>
    </row>
    <row r="878" ht="15.75" customHeight="1">
      <c r="O878" s="341"/>
      <c r="P878" s="341"/>
      <c r="AL878" s="342"/>
    </row>
    <row r="879" ht="15.75" customHeight="1">
      <c r="O879" s="341"/>
      <c r="P879" s="341"/>
      <c r="AL879" s="342"/>
    </row>
    <row r="880" ht="15.75" customHeight="1">
      <c r="O880" s="341"/>
      <c r="P880" s="341"/>
      <c r="AL880" s="342"/>
    </row>
    <row r="881" ht="15.75" customHeight="1">
      <c r="O881" s="341"/>
      <c r="P881" s="341"/>
      <c r="AL881" s="342"/>
    </row>
    <row r="882" ht="15.75" customHeight="1">
      <c r="O882" s="341"/>
      <c r="P882" s="341"/>
      <c r="AL882" s="342"/>
    </row>
    <row r="883" ht="15.75" customHeight="1">
      <c r="O883" s="341"/>
      <c r="P883" s="341"/>
      <c r="AL883" s="342"/>
    </row>
    <row r="884" ht="15.75" customHeight="1">
      <c r="O884" s="341"/>
      <c r="P884" s="341"/>
      <c r="AL884" s="342"/>
    </row>
    <row r="885" ht="15.75" customHeight="1">
      <c r="O885" s="341"/>
      <c r="P885" s="341"/>
      <c r="AL885" s="342"/>
    </row>
    <row r="886" ht="15.75" customHeight="1">
      <c r="O886" s="341"/>
      <c r="P886" s="341"/>
      <c r="AL886" s="342"/>
    </row>
    <row r="887" ht="15.75" customHeight="1">
      <c r="O887" s="341"/>
      <c r="P887" s="341"/>
      <c r="AL887" s="342"/>
    </row>
    <row r="888" ht="15.75" customHeight="1">
      <c r="O888" s="341"/>
      <c r="P888" s="341"/>
      <c r="AL888" s="342"/>
    </row>
    <row r="889" ht="15.75" customHeight="1">
      <c r="O889" s="341"/>
      <c r="P889" s="341"/>
      <c r="AL889" s="342"/>
    </row>
    <row r="890" ht="15.75" customHeight="1">
      <c r="O890" s="341"/>
      <c r="P890" s="341"/>
      <c r="AL890" s="342"/>
    </row>
    <row r="891" ht="15.75" customHeight="1">
      <c r="O891" s="341"/>
      <c r="P891" s="341"/>
      <c r="AL891" s="342"/>
    </row>
    <row r="892" ht="15.75" customHeight="1">
      <c r="O892" s="341"/>
      <c r="P892" s="341"/>
      <c r="AL892" s="342"/>
    </row>
    <row r="893" ht="15.75" customHeight="1">
      <c r="O893" s="341"/>
      <c r="P893" s="341"/>
      <c r="AL893" s="342"/>
    </row>
    <row r="894" ht="15.75" customHeight="1">
      <c r="O894" s="341"/>
      <c r="P894" s="341"/>
      <c r="AL894" s="342"/>
    </row>
    <row r="895" ht="15.75" customHeight="1">
      <c r="O895" s="341"/>
      <c r="P895" s="341"/>
      <c r="AL895" s="342"/>
    </row>
    <row r="896" ht="15.75" customHeight="1">
      <c r="O896" s="341"/>
      <c r="P896" s="341"/>
      <c r="AL896" s="342"/>
    </row>
    <row r="897" ht="15.75" customHeight="1">
      <c r="O897" s="341"/>
      <c r="P897" s="341"/>
      <c r="AL897" s="342"/>
    </row>
    <row r="898" ht="15.75" customHeight="1">
      <c r="O898" s="341"/>
      <c r="P898" s="341"/>
      <c r="AL898" s="342"/>
    </row>
    <row r="899" ht="15.75" customHeight="1">
      <c r="O899" s="341"/>
      <c r="P899" s="341"/>
      <c r="AL899" s="342"/>
    </row>
    <row r="900" ht="15.75" customHeight="1">
      <c r="O900" s="341"/>
      <c r="P900" s="341"/>
      <c r="AL900" s="342"/>
    </row>
    <row r="901" ht="15.75" customHeight="1">
      <c r="O901" s="341"/>
      <c r="P901" s="341"/>
      <c r="AL901" s="342"/>
    </row>
    <row r="902" ht="15.75" customHeight="1">
      <c r="O902" s="341"/>
      <c r="P902" s="341"/>
      <c r="AL902" s="342"/>
    </row>
    <row r="903" ht="15.75" customHeight="1">
      <c r="O903" s="341"/>
      <c r="P903" s="341"/>
      <c r="AL903" s="342"/>
    </row>
    <row r="904" ht="15.75" customHeight="1">
      <c r="O904" s="341"/>
      <c r="P904" s="341"/>
      <c r="AL904" s="342"/>
    </row>
    <row r="905" ht="15.75" customHeight="1">
      <c r="O905" s="341"/>
      <c r="P905" s="341"/>
      <c r="AL905" s="342"/>
    </row>
    <row r="906" ht="15.75" customHeight="1">
      <c r="O906" s="341"/>
      <c r="P906" s="341"/>
      <c r="AL906" s="342"/>
    </row>
    <row r="907" ht="15.75" customHeight="1">
      <c r="O907" s="341"/>
      <c r="P907" s="341"/>
      <c r="AL907" s="342"/>
    </row>
    <row r="908" ht="15.75" customHeight="1">
      <c r="O908" s="341"/>
      <c r="P908" s="341"/>
      <c r="AL908" s="342"/>
    </row>
    <row r="909" ht="15.75" customHeight="1">
      <c r="O909" s="341"/>
      <c r="P909" s="341"/>
      <c r="AL909" s="342"/>
    </row>
    <row r="910" ht="15.75" customHeight="1">
      <c r="O910" s="341"/>
      <c r="P910" s="341"/>
      <c r="AL910" s="342"/>
    </row>
    <row r="911" ht="15.75" customHeight="1">
      <c r="O911" s="341"/>
      <c r="P911" s="341"/>
      <c r="AL911" s="342"/>
    </row>
    <row r="912" ht="15.75" customHeight="1">
      <c r="O912" s="341"/>
      <c r="P912" s="341"/>
      <c r="AL912" s="342"/>
    </row>
    <row r="913" ht="15.75" customHeight="1">
      <c r="O913" s="341"/>
      <c r="P913" s="341"/>
      <c r="AL913" s="342"/>
    </row>
    <row r="914" ht="15.75" customHeight="1">
      <c r="O914" s="341"/>
      <c r="P914" s="341"/>
      <c r="AL914" s="342"/>
    </row>
    <row r="915" ht="15.75" customHeight="1">
      <c r="O915" s="341"/>
      <c r="P915" s="341"/>
      <c r="AL915" s="342"/>
    </row>
    <row r="916" ht="15.75" customHeight="1">
      <c r="O916" s="341"/>
      <c r="P916" s="341"/>
      <c r="AL916" s="342"/>
    </row>
    <row r="917" ht="15.75" customHeight="1">
      <c r="O917" s="341"/>
      <c r="P917" s="341"/>
      <c r="AL917" s="342"/>
    </row>
    <row r="918" ht="15.75" customHeight="1">
      <c r="O918" s="341"/>
      <c r="P918" s="341"/>
      <c r="AL918" s="342"/>
    </row>
    <row r="919" ht="15.75" customHeight="1">
      <c r="O919" s="341"/>
      <c r="P919" s="341"/>
      <c r="AL919" s="342"/>
    </row>
    <row r="920" ht="15.75" customHeight="1">
      <c r="O920" s="341"/>
      <c r="P920" s="341"/>
      <c r="AL920" s="342"/>
    </row>
    <row r="921" ht="15.75" customHeight="1">
      <c r="O921" s="341"/>
      <c r="P921" s="341"/>
      <c r="AL921" s="342"/>
    </row>
    <row r="922" ht="15.75" customHeight="1">
      <c r="O922" s="341"/>
      <c r="P922" s="341"/>
      <c r="AL922" s="342"/>
    </row>
    <row r="923" ht="15.75" customHeight="1">
      <c r="O923" s="341"/>
      <c r="P923" s="341"/>
      <c r="AL923" s="342"/>
    </row>
    <row r="924" ht="15.75" customHeight="1">
      <c r="O924" s="341"/>
      <c r="P924" s="341"/>
      <c r="AL924" s="342"/>
    </row>
    <row r="925" ht="15.75" customHeight="1">
      <c r="O925" s="341"/>
      <c r="P925" s="341"/>
      <c r="AL925" s="342"/>
    </row>
    <row r="926" ht="15.75" customHeight="1">
      <c r="O926" s="341"/>
      <c r="P926" s="341"/>
      <c r="AL926" s="342"/>
    </row>
    <row r="927" ht="15.75" customHeight="1">
      <c r="O927" s="341"/>
      <c r="P927" s="341"/>
      <c r="AL927" s="342"/>
    </row>
    <row r="928" ht="15.75" customHeight="1">
      <c r="O928" s="341"/>
      <c r="P928" s="341"/>
      <c r="AL928" s="342"/>
    </row>
    <row r="929" ht="15.75" customHeight="1">
      <c r="O929" s="341"/>
      <c r="P929" s="341"/>
      <c r="AL929" s="342"/>
    </row>
    <row r="930" ht="15.75" customHeight="1">
      <c r="O930" s="341"/>
      <c r="P930" s="341"/>
      <c r="AL930" s="342"/>
    </row>
    <row r="931" ht="15.75" customHeight="1">
      <c r="O931" s="341"/>
      <c r="P931" s="341"/>
      <c r="AL931" s="342"/>
    </row>
    <row r="932" ht="15.75" customHeight="1">
      <c r="O932" s="341"/>
      <c r="P932" s="341"/>
      <c r="AL932" s="342"/>
    </row>
    <row r="933" ht="15.75" customHeight="1">
      <c r="O933" s="341"/>
      <c r="P933" s="341"/>
      <c r="AL933" s="342"/>
    </row>
    <row r="934" ht="15.75" customHeight="1">
      <c r="O934" s="341"/>
      <c r="P934" s="341"/>
      <c r="AL934" s="342"/>
    </row>
    <row r="935" ht="15.75" customHeight="1">
      <c r="O935" s="341"/>
      <c r="P935" s="341"/>
      <c r="AL935" s="342"/>
    </row>
    <row r="936" ht="15.75" customHeight="1">
      <c r="O936" s="341"/>
      <c r="P936" s="341"/>
      <c r="AL936" s="342"/>
    </row>
    <row r="937" ht="15.75" customHeight="1">
      <c r="O937" s="341"/>
      <c r="P937" s="341"/>
      <c r="AL937" s="342"/>
    </row>
    <row r="938" ht="15.75" customHeight="1">
      <c r="O938" s="341"/>
      <c r="P938" s="341"/>
      <c r="AL938" s="342"/>
    </row>
    <row r="939" ht="15.75" customHeight="1">
      <c r="O939" s="341"/>
      <c r="P939" s="341"/>
      <c r="AL939" s="342"/>
    </row>
    <row r="940" ht="15.75" customHeight="1">
      <c r="O940" s="341"/>
      <c r="P940" s="341"/>
      <c r="AL940" s="342"/>
    </row>
    <row r="941" ht="15.75" customHeight="1">
      <c r="O941" s="341"/>
      <c r="P941" s="341"/>
      <c r="AL941" s="342"/>
    </row>
    <row r="942" ht="15.75" customHeight="1">
      <c r="O942" s="341"/>
      <c r="P942" s="341"/>
      <c r="AL942" s="342"/>
    </row>
    <row r="943" ht="15.75" customHeight="1">
      <c r="O943" s="341"/>
      <c r="P943" s="341"/>
      <c r="AL943" s="342"/>
    </row>
    <row r="944" ht="15.75" customHeight="1">
      <c r="O944" s="341"/>
      <c r="P944" s="341"/>
      <c r="AL944" s="342"/>
    </row>
    <row r="945" ht="15.75" customHeight="1">
      <c r="O945" s="341"/>
      <c r="P945" s="341"/>
      <c r="AL945" s="342"/>
    </row>
    <row r="946" ht="15.75" customHeight="1">
      <c r="O946" s="341"/>
      <c r="P946" s="341"/>
      <c r="AL946" s="342"/>
    </row>
    <row r="947" ht="15.75" customHeight="1">
      <c r="O947" s="341"/>
      <c r="P947" s="341"/>
      <c r="AL947" s="342"/>
    </row>
    <row r="948" ht="15.75" customHeight="1">
      <c r="O948" s="341"/>
      <c r="P948" s="341"/>
      <c r="AL948" s="342"/>
    </row>
    <row r="949" ht="15.75" customHeight="1">
      <c r="O949" s="341"/>
      <c r="P949" s="341"/>
      <c r="AL949" s="342"/>
    </row>
    <row r="950" ht="15.75" customHeight="1">
      <c r="O950" s="341"/>
      <c r="P950" s="341"/>
      <c r="AL950" s="342"/>
    </row>
    <row r="951" ht="15.75" customHeight="1">
      <c r="O951" s="341"/>
      <c r="P951" s="341"/>
      <c r="AL951" s="342"/>
    </row>
    <row r="952" ht="15.75" customHeight="1">
      <c r="O952" s="341"/>
      <c r="P952" s="341"/>
      <c r="AL952" s="342"/>
    </row>
    <row r="953" ht="15.75" customHeight="1">
      <c r="O953" s="341"/>
      <c r="P953" s="341"/>
      <c r="AL953" s="342"/>
    </row>
    <row r="954" ht="15.75" customHeight="1">
      <c r="O954" s="341"/>
      <c r="P954" s="341"/>
      <c r="AL954" s="342"/>
    </row>
    <row r="955" ht="15.75" customHeight="1">
      <c r="O955" s="341"/>
      <c r="P955" s="341"/>
      <c r="AL955" s="342"/>
    </row>
    <row r="956" ht="15.75" customHeight="1">
      <c r="O956" s="341"/>
      <c r="P956" s="341"/>
      <c r="AL956" s="342"/>
    </row>
    <row r="957" ht="15.75" customHeight="1">
      <c r="O957" s="341"/>
      <c r="P957" s="341"/>
      <c r="AL957" s="342"/>
    </row>
    <row r="958" ht="15.75" customHeight="1">
      <c r="O958" s="341"/>
      <c r="P958" s="341"/>
      <c r="AL958" s="342"/>
    </row>
    <row r="959" ht="15.75" customHeight="1">
      <c r="O959" s="341"/>
      <c r="P959" s="341"/>
      <c r="AL959" s="342"/>
    </row>
    <row r="960" ht="15.75" customHeight="1">
      <c r="O960" s="341"/>
      <c r="P960" s="341"/>
      <c r="AL960" s="342"/>
    </row>
    <row r="961" ht="15.75" customHeight="1">
      <c r="O961" s="341"/>
      <c r="P961" s="341"/>
      <c r="AL961" s="342"/>
    </row>
    <row r="962" ht="15.75" customHeight="1">
      <c r="O962" s="341"/>
      <c r="P962" s="341"/>
      <c r="AL962" s="342"/>
    </row>
    <row r="963" ht="15.75" customHeight="1">
      <c r="O963" s="341"/>
      <c r="P963" s="341"/>
      <c r="AL963" s="342"/>
    </row>
    <row r="964" ht="15.75" customHeight="1">
      <c r="O964" s="341"/>
      <c r="P964" s="341"/>
      <c r="AL964" s="342"/>
    </row>
    <row r="965" ht="15.75" customHeight="1">
      <c r="O965" s="341"/>
      <c r="P965" s="341"/>
      <c r="AL965" s="342"/>
    </row>
    <row r="966" ht="15.75" customHeight="1">
      <c r="O966" s="341"/>
      <c r="P966" s="341"/>
      <c r="AL966" s="342"/>
    </row>
    <row r="967" ht="15.75" customHeight="1">
      <c r="O967" s="341"/>
      <c r="P967" s="341"/>
      <c r="AL967" s="342"/>
    </row>
    <row r="968" ht="15.75" customHeight="1">
      <c r="O968" s="341"/>
      <c r="P968" s="341"/>
      <c r="AL968" s="342"/>
    </row>
    <row r="969" ht="15.75" customHeight="1">
      <c r="O969" s="341"/>
      <c r="P969" s="341"/>
      <c r="AL969" s="342"/>
    </row>
    <row r="970" ht="15.75" customHeight="1">
      <c r="O970" s="341"/>
      <c r="P970" s="341"/>
      <c r="AL970" s="342"/>
    </row>
    <row r="971" ht="15.75" customHeight="1">
      <c r="O971" s="341"/>
      <c r="P971" s="341"/>
      <c r="AL971" s="342"/>
    </row>
    <row r="972" ht="15.75" customHeight="1">
      <c r="O972" s="341"/>
      <c r="P972" s="341"/>
      <c r="AL972" s="342"/>
    </row>
    <row r="973" ht="15.75" customHeight="1">
      <c r="O973" s="341"/>
      <c r="P973" s="341"/>
      <c r="AL973" s="342"/>
    </row>
    <row r="974" ht="15.75" customHeight="1">
      <c r="O974" s="341"/>
      <c r="P974" s="341"/>
      <c r="AL974" s="342"/>
    </row>
    <row r="975" ht="15.75" customHeight="1">
      <c r="O975" s="341"/>
      <c r="P975" s="341"/>
      <c r="AL975" s="342"/>
    </row>
    <row r="976" ht="15.75" customHeight="1">
      <c r="O976" s="341"/>
      <c r="P976" s="341"/>
      <c r="AL976" s="342"/>
    </row>
    <row r="977" ht="15.75" customHeight="1">
      <c r="O977" s="341"/>
      <c r="P977" s="341"/>
      <c r="AL977" s="342"/>
    </row>
    <row r="978" ht="15.75" customHeight="1">
      <c r="O978" s="341"/>
      <c r="P978" s="341"/>
      <c r="AL978" s="342"/>
    </row>
    <row r="979" ht="15.75" customHeight="1">
      <c r="O979" s="341"/>
      <c r="P979" s="341"/>
      <c r="AL979" s="342"/>
    </row>
    <row r="980" ht="15.75" customHeight="1">
      <c r="O980" s="341"/>
      <c r="P980" s="341"/>
      <c r="AL980" s="342"/>
    </row>
    <row r="981" ht="15.75" customHeight="1">
      <c r="O981" s="341"/>
      <c r="P981" s="341"/>
      <c r="AL981" s="342"/>
    </row>
    <row r="982" ht="15.75" customHeight="1">
      <c r="O982" s="341"/>
      <c r="P982" s="341"/>
      <c r="AL982" s="342"/>
    </row>
    <row r="983" ht="15.75" customHeight="1">
      <c r="O983" s="341"/>
      <c r="P983" s="341"/>
      <c r="AL983" s="342"/>
    </row>
    <row r="984" ht="15.75" customHeight="1">
      <c r="O984" s="341"/>
      <c r="P984" s="341"/>
      <c r="AL984" s="342"/>
    </row>
    <row r="985" ht="15.75" customHeight="1">
      <c r="O985" s="341"/>
      <c r="P985" s="341"/>
      <c r="AL985" s="342"/>
    </row>
    <row r="986" ht="15.75" customHeight="1">
      <c r="O986" s="341"/>
      <c r="P986" s="341"/>
      <c r="AL986" s="342"/>
    </row>
    <row r="987" ht="15.75" customHeight="1">
      <c r="O987" s="341"/>
      <c r="P987" s="341"/>
      <c r="AL987" s="342"/>
    </row>
    <row r="988" ht="15.75" customHeight="1">
      <c r="O988" s="341"/>
      <c r="P988" s="341"/>
      <c r="AL988" s="342"/>
    </row>
    <row r="989" ht="15.75" customHeight="1">
      <c r="O989" s="341"/>
      <c r="P989" s="341"/>
      <c r="AL989" s="342"/>
    </row>
    <row r="990" ht="15.75" customHeight="1">
      <c r="O990" s="341"/>
      <c r="P990" s="341"/>
      <c r="AL990" s="342"/>
    </row>
    <row r="991" ht="15.75" customHeight="1">
      <c r="O991" s="341"/>
      <c r="P991" s="341"/>
      <c r="AL991" s="342"/>
    </row>
    <row r="992" ht="15.75" customHeight="1">
      <c r="O992" s="341"/>
      <c r="P992" s="341"/>
      <c r="AL992" s="342"/>
    </row>
    <row r="993" ht="15.75" customHeight="1">
      <c r="O993" s="341"/>
      <c r="P993" s="341"/>
      <c r="AL993" s="342"/>
    </row>
    <row r="994" ht="15.75" customHeight="1">
      <c r="O994" s="341"/>
      <c r="P994" s="341"/>
      <c r="AL994" s="342"/>
    </row>
    <row r="995" ht="15.75" customHeight="1">
      <c r="O995" s="341"/>
      <c r="P995" s="341"/>
      <c r="AL995" s="342"/>
    </row>
    <row r="996" ht="15.75" customHeight="1">
      <c r="O996" s="341"/>
      <c r="P996" s="341"/>
      <c r="AL996" s="342"/>
    </row>
    <row r="997" ht="15.75" customHeight="1">
      <c r="O997" s="341"/>
      <c r="P997" s="341"/>
      <c r="AL997" s="342"/>
    </row>
    <row r="998" ht="15.75" customHeight="1">
      <c r="O998" s="341"/>
      <c r="P998" s="341"/>
      <c r="AL998" s="342"/>
    </row>
    <row r="999" ht="15.75" customHeight="1">
      <c r="O999" s="341"/>
      <c r="P999" s="341"/>
      <c r="AL999" s="342"/>
    </row>
    <row r="1000" ht="15.75" customHeight="1">
      <c r="O1000" s="341"/>
      <c r="P1000" s="341"/>
      <c r="AL1000" s="342"/>
    </row>
  </sheetData>
  <mergeCells count="7">
    <mergeCell ref="H1:I1"/>
    <mergeCell ref="J4:J5"/>
    <mergeCell ref="F8:K8"/>
    <mergeCell ref="O8:S8"/>
    <mergeCell ref="T8:V8"/>
    <mergeCell ref="X8:AD8"/>
    <mergeCell ref="AG8:AH8"/>
  </mergeCells>
  <conditionalFormatting sqref="AH53">
    <cfRule type="cellIs" dxfId="0" priority="1" operator="lessThan">
      <formula>0</formula>
    </cfRule>
  </conditionalFormatting>
  <conditionalFormatting sqref="AH53">
    <cfRule type="cellIs" dxfId="1" priority="2" operator="greaterThan">
      <formula>0.300001</formula>
    </cfRule>
  </conditionalFormatting>
  <conditionalFormatting sqref="AH53">
    <cfRule type="cellIs" dxfId="2" priority="3" operator="between">
      <formula>0.250001</formula>
      <formula>0.3</formula>
    </cfRule>
  </conditionalFormatting>
  <conditionalFormatting sqref="AH53">
    <cfRule type="cellIs" dxfId="3" priority="4" operator="between">
      <formula>0.200001</formula>
      <formula>0.25</formula>
    </cfRule>
  </conditionalFormatting>
  <conditionalFormatting sqref="AH53">
    <cfRule type="cellIs" dxfId="4" priority="5" operator="between">
      <formula>0.1500001</formula>
      <formula>0.2</formula>
    </cfRule>
  </conditionalFormatting>
  <conditionalFormatting sqref="AH53">
    <cfRule type="cellIs" dxfId="5" priority="6" operator="between">
      <formula>0.0000001</formula>
      <formula>0.15</formula>
    </cfRule>
  </conditionalFormatting>
  <printOptions/>
  <pageMargins bottom="0.7875" footer="0.0" header="0.0" left="0.7875" right="0.7875" top="0.78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61.43"/>
    <col customWidth="1" min="3" max="3" width="22.0"/>
    <col customWidth="1" min="4" max="5" width="9.0"/>
    <col customWidth="1" min="6" max="6" width="11.86"/>
    <col customWidth="1" min="7" max="10" width="9.0"/>
    <col customWidth="1" min="11" max="11" width="13.86"/>
    <col customWidth="1" min="12" max="15" width="9.0"/>
    <col customWidth="1" min="16" max="16" width="16.0"/>
    <col customWidth="1" min="17" max="17" width="12.86"/>
    <col customWidth="1" min="18" max="26" width="9.0"/>
  </cols>
  <sheetData>
    <row r="1">
      <c r="A1" s="343"/>
      <c r="B1" s="344">
        <v>46189.0</v>
      </c>
      <c r="C1" s="345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6"/>
      <c r="R1" s="343"/>
      <c r="S1" s="343"/>
      <c r="T1" s="343"/>
      <c r="U1" s="343"/>
      <c r="V1" s="343"/>
      <c r="W1" s="343"/>
      <c r="X1" s="343"/>
      <c r="Y1" s="343"/>
      <c r="Z1" s="343"/>
    </row>
    <row r="2">
      <c r="A2" s="347" t="s">
        <v>158</v>
      </c>
      <c r="B2" s="348">
        <v>80.0</v>
      </c>
      <c r="C2" s="349"/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1"/>
      <c r="R2" s="350"/>
      <c r="S2" s="350"/>
      <c r="T2" s="343"/>
      <c r="U2" s="343"/>
      <c r="V2" s="343"/>
      <c r="W2" s="343"/>
      <c r="X2" s="343"/>
      <c r="Y2" s="343"/>
      <c r="Z2" s="343"/>
    </row>
    <row r="3">
      <c r="A3" s="347" t="s">
        <v>159</v>
      </c>
      <c r="B3" s="348">
        <v>1487.0</v>
      </c>
      <c r="C3" s="349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  <c r="P3" s="350"/>
      <c r="Q3" s="351"/>
      <c r="R3" s="350"/>
      <c r="S3" s="350"/>
      <c r="T3" s="343"/>
      <c r="U3" s="343"/>
      <c r="V3" s="343"/>
      <c r="W3" s="343"/>
      <c r="X3" s="343"/>
      <c r="Y3" s="343"/>
      <c r="Z3" s="343"/>
    </row>
    <row r="4">
      <c r="A4" s="347" t="s">
        <v>160</v>
      </c>
      <c r="B4" s="348">
        <v>1.8</v>
      </c>
      <c r="C4" s="349"/>
      <c r="D4" s="350"/>
      <c r="E4" s="350"/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1"/>
      <c r="R4" s="350"/>
      <c r="S4" s="350"/>
      <c r="T4" s="343"/>
      <c r="U4" s="343"/>
      <c r="V4" s="343"/>
      <c r="W4" s="343"/>
      <c r="X4" s="343"/>
      <c r="Y4" s="343"/>
      <c r="Z4" s="343"/>
    </row>
    <row r="5">
      <c r="A5" s="350"/>
      <c r="B5" s="350"/>
      <c r="C5" s="349"/>
      <c r="D5" s="350"/>
      <c r="E5" s="350"/>
      <c r="F5" s="350"/>
      <c r="G5" s="350"/>
      <c r="H5" s="350"/>
      <c r="I5" s="350"/>
      <c r="J5" s="350"/>
      <c r="K5" s="350"/>
      <c r="L5" s="350"/>
      <c r="M5" s="350"/>
      <c r="N5" s="350"/>
      <c r="O5" s="350"/>
      <c r="P5" s="350"/>
      <c r="Q5" s="351"/>
      <c r="R5" s="350"/>
      <c r="S5" s="350"/>
      <c r="T5" s="343"/>
      <c r="U5" s="343"/>
      <c r="V5" s="343"/>
      <c r="W5" s="343"/>
      <c r="X5" s="343"/>
      <c r="Y5" s="343"/>
      <c r="Z5" s="343"/>
    </row>
    <row r="6">
      <c r="A6" s="350"/>
      <c r="B6" s="350"/>
      <c r="C6" s="349"/>
      <c r="D6" s="350"/>
      <c r="E6" s="350"/>
      <c r="F6" s="350"/>
      <c r="G6" s="350"/>
      <c r="H6" s="350"/>
      <c r="I6" s="350"/>
      <c r="J6" s="350"/>
      <c r="K6" s="350"/>
      <c r="L6" s="350"/>
      <c r="M6" s="350"/>
      <c r="N6" s="350"/>
      <c r="O6" s="350"/>
      <c r="P6" s="350"/>
      <c r="Q6" s="351"/>
      <c r="R6" s="350"/>
      <c r="S6" s="350"/>
      <c r="T6" s="343"/>
      <c r="U6" s="343"/>
      <c r="V6" s="343"/>
      <c r="W6" s="343"/>
      <c r="X6" s="343"/>
      <c r="Y6" s="343"/>
      <c r="Z6" s="343"/>
    </row>
    <row r="7">
      <c r="A7" s="352" t="s">
        <v>161</v>
      </c>
      <c r="B7" s="352" t="s">
        <v>162</v>
      </c>
      <c r="C7" s="353" t="s">
        <v>163</v>
      </c>
      <c r="D7" s="352" t="s">
        <v>164</v>
      </c>
      <c r="E7" s="352" t="s">
        <v>165</v>
      </c>
      <c r="F7" s="352" t="s">
        <v>166</v>
      </c>
      <c r="G7" s="352" t="s">
        <v>167</v>
      </c>
      <c r="H7" s="352" t="s">
        <v>168</v>
      </c>
      <c r="I7" s="352" t="s">
        <v>169</v>
      </c>
      <c r="J7" s="352" t="s">
        <v>170</v>
      </c>
      <c r="K7" s="352" t="s">
        <v>171</v>
      </c>
      <c r="L7" s="352" t="s">
        <v>172</v>
      </c>
      <c r="M7" s="352" t="s">
        <v>173</v>
      </c>
      <c r="N7" s="352" t="s">
        <v>174</v>
      </c>
      <c r="O7" s="352" t="s">
        <v>175</v>
      </c>
      <c r="P7" s="352" t="s">
        <v>176</v>
      </c>
      <c r="Q7" s="354" t="s">
        <v>177</v>
      </c>
      <c r="R7" s="350"/>
      <c r="S7" s="350"/>
      <c r="T7" s="343"/>
      <c r="U7" s="343"/>
      <c r="V7" s="343"/>
      <c r="W7" s="343"/>
      <c r="X7" s="343"/>
      <c r="Y7" s="343"/>
      <c r="Z7" s="343"/>
    </row>
    <row r="8">
      <c r="A8" s="350" t="s">
        <v>178</v>
      </c>
      <c r="B8" s="350" t="s">
        <v>179</v>
      </c>
      <c r="C8" s="349">
        <v>8.809606850475E12</v>
      </c>
      <c r="D8" s="350">
        <v>25008.0</v>
      </c>
      <c r="E8" s="350">
        <v>9953.0</v>
      </c>
      <c r="F8" s="350">
        <v>2.48904624E8</v>
      </c>
      <c r="G8" s="350">
        <v>24.0</v>
      </c>
      <c r="H8" s="350">
        <v>0.0155</v>
      </c>
      <c r="I8" s="350">
        <v>6.1</v>
      </c>
      <c r="J8" s="350">
        <v>1042.0</v>
      </c>
      <c r="K8" s="350">
        <v>16.151</v>
      </c>
      <c r="L8" s="350">
        <v>6356.2</v>
      </c>
      <c r="M8" s="348">
        <v>0.254166666666667</v>
      </c>
      <c r="N8" s="348">
        <v>535.46738399462</v>
      </c>
      <c r="O8" s="348">
        <v>36.6</v>
      </c>
      <c r="P8" s="348">
        <f t="shared" ref="P8:P56" si="1">N8+O8</f>
        <v>572.067384</v>
      </c>
      <c r="Q8" s="351">
        <f t="shared" ref="Q8:Q56" si="2">PRODUCT(P8*D8)</f>
        <v>14306261.14</v>
      </c>
      <c r="R8" s="350"/>
      <c r="S8" s="350"/>
      <c r="T8" s="343"/>
      <c r="U8" s="343"/>
      <c r="V8" s="343"/>
      <c r="W8" s="343"/>
      <c r="X8" s="343"/>
      <c r="Y8" s="343"/>
      <c r="Z8" s="343"/>
    </row>
    <row r="9">
      <c r="A9" s="350" t="s">
        <v>178</v>
      </c>
      <c r="B9" s="350" t="s">
        <v>155</v>
      </c>
      <c r="C9" s="349">
        <v>8.809463992615E12</v>
      </c>
      <c r="D9" s="350">
        <v>1200.0</v>
      </c>
      <c r="E9" s="350">
        <v>7350.0</v>
      </c>
      <c r="F9" s="350">
        <v>8820000.0</v>
      </c>
      <c r="G9" s="350">
        <v>24.0</v>
      </c>
      <c r="H9" s="350">
        <v>0.0242</v>
      </c>
      <c r="I9" s="350">
        <v>6.1</v>
      </c>
      <c r="J9" s="350">
        <v>50.0</v>
      </c>
      <c r="K9" s="350">
        <v>1.21</v>
      </c>
      <c r="L9" s="350">
        <v>305.0</v>
      </c>
      <c r="M9" s="348">
        <v>0.254166666666667</v>
      </c>
      <c r="N9" s="348">
        <v>395.427034297243</v>
      </c>
      <c r="O9" s="348">
        <v>36.6</v>
      </c>
      <c r="P9" s="348">
        <f t="shared" si="1"/>
        <v>432.0270343</v>
      </c>
      <c r="Q9" s="351">
        <f t="shared" si="2"/>
        <v>518432.4412</v>
      </c>
      <c r="R9" s="350"/>
      <c r="S9" s="350"/>
      <c r="T9" s="343"/>
      <c r="U9" s="343"/>
      <c r="V9" s="343"/>
      <c r="W9" s="343"/>
      <c r="X9" s="343"/>
      <c r="Y9" s="343"/>
      <c r="Z9" s="343"/>
    </row>
    <row r="10">
      <c r="A10" s="350" t="s">
        <v>178</v>
      </c>
      <c r="B10" s="350" t="s">
        <v>180</v>
      </c>
      <c r="C10" s="349">
        <v>8.809971482349E12</v>
      </c>
      <c r="D10" s="350">
        <v>480.0</v>
      </c>
      <c r="E10" s="350">
        <v>7600.0</v>
      </c>
      <c r="F10" s="350">
        <v>3648000.0</v>
      </c>
      <c r="G10" s="350">
        <v>40.0</v>
      </c>
      <c r="H10" s="350">
        <v>0.033</v>
      </c>
      <c r="I10" s="350">
        <v>5.4</v>
      </c>
      <c r="J10" s="350">
        <v>12.0</v>
      </c>
      <c r="K10" s="350">
        <v>0.396</v>
      </c>
      <c r="L10" s="350">
        <v>64.8</v>
      </c>
      <c r="M10" s="348">
        <v>0.135</v>
      </c>
      <c r="N10" s="348">
        <v>408.876933422999</v>
      </c>
      <c r="O10" s="348">
        <v>19.44</v>
      </c>
      <c r="P10" s="348">
        <f t="shared" si="1"/>
        <v>428.3169334</v>
      </c>
      <c r="Q10" s="351">
        <f t="shared" si="2"/>
        <v>205592.128</v>
      </c>
      <c r="R10" s="350"/>
      <c r="S10" s="350"/>
      <c r="T10" s="343"/>
      <c r="U10" s="343"/>
      <c r="V10" s="343"/>
      <c r="W10" s="343"/>
      <c r="X10" s="343"/>
      <c r="Y10" s="343"/>
      <c r="Z10" s="343"/>
    </row>
    <row r="11">
      <c r="A11" s="350" t="s">
        <v>178</v>
      </c>
      <c r="B11" s="350" t="s">
        <v>181</v>
      </c>
      <c r="C11" s="349">
        <v>8.809606852332E12</v>
      </c>
      <c r="D11" s="350">
        <v>448.0</v>
      </c>
      <c r="E11" s="350">
        <v>5400.0</v>
      </c>
      <c r="F11" s="350">
        <v>2419200.0</v>
      </c>
      <c r="G11" s="350">
        <v>64.0</v>
      </c>
      <c r="H11" s="350">
        <v>0.0234</v>
      </c>
      <c r="I11" s="350">
        <v>6.8</v>
      </c>
      <c r="J11" s="350">
        <v>7.0</v>
      </c>
      <c r="K11" s="350">
        <v>0.1638</v>
      </c>
      <c r="L11" s="350">
        <v>47.6</v>
      </c>
      <c r="M11" s="348">
        <v>0.10625</v>
      </c>
      <c r="N11" s="348">
        <v>290.517821116342</v>
      </c>
      <c r="O11" s="348">
        <v>15.3</v>
      </c>
      <c r="P11" s="348">
        <f t="shared" si="1"/>
        <v>305.8178211</v>
      </c>
      <c r="Q11" s="351">
        <f t="shared" si="2"/>
        <v>137006.3839</v>
      </c>
      <c r="R11" s="350"/>
      <c r="S11" s="350"/>
      <c r="T11" s="343"/>
      <c r="U11" s="343"/>
      <c r="V11" s="343"/>
      <c r="W11" s="343"/>
      <c r="X11" s="343"/>
      <c r="Y11" s="343"/>
      <c r="Z11" s="343"/>
    </row>
    <row r="12">
      <c r="A12" s="350" t="s">
        <v>178</v>
      </c>
      <c r="B12" s="350" t="s">
        <v>182</v>
      </c>
      <c r="C12" s="349">
        <v>8.809541379468E12</v>
      </c>
      <c r="D12" s="350">
        <v>312.0</v>
      </c>
      <c r="E12" s="350">
        <v>6550.0</v>
      </c>
      <c r="F12" s="350">
        <v>2043600.0</v>
      </c>
      <c r="G12" s="350">
        <v>24.0</v>
      </c>
      <c r="H12" s="350">
        <v>0.0143</v>
      </c>
      <c r="I12" s="350">
        <v>6.0</v>
      </c>
      <c r="J12" s="350">
        <v>13.0</v>
      </c>
      <c r="K12" s="350">
        <v>0.1859</v>
      </c>
      <c r="L12" s="350">
        <v>78.0</v>
      </c>
      <c r="M12" s="348">
        <v>0.25</v>
      </c>
      <c r="N12" s="348">
        <v>352.387357094822</v>
      </c>
      <c r="O12" s="348">
        <v>36.0</v>
      </c>
      <c r="P12" s="348">
        <f t="shared" si="1"/>
        <v>388.3873571</v>
      </c>
      <c r="Q12" s="351">
        <f t="shared" si="2"/>
        <v>121176.8554</v>
      </c>
      <c r="R12" s="350"/>
      <c r="S12" s="350"/>
      <c r="T12" s="343"/>
      <c r="U12" s="343"/>
      <c r="V12" s="343"/>
      <c r="W12" s="343"/>
      <c r="X12" s="343"/>
      <c r="Y12" s="343"/>
      <c r="Z12" s="343"/>
    </row>
    <row r="13">
      <c r="A13" s="350" t="s">
        <v>178</v>
      </c>
      <c r="B13" s="350" t="s">
        <v>183</v>
      </c>
      <c r="C13" s="349">
        <v>8.806050298525E12</v>
      </c>
      <c r="D13" s="350">
        <v>315.0</v>
      </c>
      <c r="E13" s="350">
        <v>7100.0</v>
      </c>
      <c r="F13" s="350">
        <v>2236500.0</v>
      </c>
      <c r="G13" s="350">
        <v>35.0</v>
      </c>
      <c r="H13" s="350">
        <v>0.0205</v>
      </c>
      <c r="I13" s="350">
        <v>6.8</v>
      </c>
      <c r="J13" s="350">
        <v>9.0</v>
      </c>
      <c r="K13" s="350">
        <v>0.1845</v>
      </c>
      <c r="L13" s="350">
        <v>61.2</v>
      </c>
      <c r="M13" s="348">
        <v>0.194285714285714</v>
      </c>
      <c r="N13" s="348">
        <v>381.977135171486</v>
      </c>
      <c r="O13" s="348">
        <v>27.9771428571429</v>
      </c>
      <c r="P13" s="348">
        <f t="shared" si="1"/>
        <v>409.954278</v>
      </c>
      <c r="Q13" s="351">
        <f t="shared" si="2"/>
        <v>129135.5976</v>
      </c>
      <c r="R13" s="350"/>
      <c r="S13" s="350"/>
      <c r="T13" s="343"/>
      <c r="U13" s="343"/>
      <c r="V13" s="343"/>
      <c r="W13" s="343"/>
      <c r="X13" s="343"/>
      <c r="Y13" s="343"/>
      <c r="Z13" s="343"/>
    </row>
    <row r="14">
      <c r="A14" s="350" t="s">
        <v>184</v>
      </c>
      <c r="B14" s="350" t="s">
        <v>185</v>
      </c>
      <c r="C14" s="349" t="s">
        <v>186</v>
      </c>
      <c r="D14" s="350">
        <v>6000.0</v>
      </c>
      <c r="E14" s="350">
        <v>4090.0</v>
      </c>
      <c r="F14" s="350">
        <v>2.454E7</v>
      </c>
      <c r="G14" s="350">
        <v>20.0</v>
      </c>
      <c r="H14" s="350">
        <v>0.0504</v>
      </c>
      <c r="I14" s="350">
        <v>24.0</v>
      </c>
      <c r="J14" s="350">
        <v>300.0</v>
      </c>
      <c r="K14" s="350">
        <v>15.12</v>
      </c>
      <c r="L14" s="350">
        <v>7200.0</v>
      </c>
      <c r="M14" s="348">
        <v>1.2</v>
      </c>
      <c r="N14" s="348">
        <v>220.040349697377</v>
      </c>
      <c r="O14" s="348">
        <v>172.8</v>
      </c>
      <c r="P14" s="348">
        <f t="shared" si="1"/>
        <v>392.8403497</v>
      </c>
      <c r="Q14" s="351">
        <f t="shared" si="2"/>
        <v>2357042.098</v>
      </c>
      <c r="R14" s="350"/>
      <c r="S14" s="350"/>
      <c r="T14" s="343"/>
      <c r="U14" s="343"/>
      <c r="V14" s="343"/>
      <c r="W14" s="343"/>
      <c r="X14" s="343"/>
      <c r="Y14" s="343"/>
      <c r="Z14" s="343"/>
    </row>
    <row r="15">
      <c r="A15" s="350" t="s">
        <v>184</v>
      </c>
      <c r="B15" s="350" t="s">
        <v>187</v>
      </c>
      <c r="C15" s="349" t="s">
        <v>188</v>
      </c>
      <c r="D15" s="350">
        <v>1000.0</v>
      </c>
      <c r="E15" s="350">
        <v>4090.0</v>
      </c>
      <c r="F15" s="350">
        <v>4090000.0</v>
      </c>
      <c r="G15" s="350">
        <v>20.0</v>
      </c>
      <c r="H15" s="350">
        <v>0.0504</v>
      </c>
      <c r="I15" s="350">
        <v>24.0</v>
      </c>
      <c r="J15" s="350">
        <v>50.0</v>
      </c>
      <c r="K15" s="350">
        <v>2.52</v>
      </c>
      <c r="L15" s="350">
        <v>1200.0</v>
      </c>
      <c r="M15" s="348">
        <v>1.2</v>
      </c>
      <c r="N15" s="348">
        <v>220.040349697377</v>
      </c>
      <c r="O15" s="348">
        <v>172.8</v>
      </c>
      <c r="P15" s="348">
        <f t="shared" si="1"/>
        <v>392.8403497</v>
      </c>
      <c r="Q15" s="351">
        <f t="shared" si="2"/>
        <v>392840.3497</v>
      </c>
      <c r="R15" s="350"/>
      <c r="S15" s="350"/>
      <c r="T15" s="343"/>
      <c r="U15" s="343"/>
      <c r="V15" s="343"/>
      <c r="W15" s="343"/>
      <c r="X15" s="343"/>
      <c r="Y15" s="343"/>
      <c r="Z15" s="343"/>
    </row>
    <row r="16">
      <c r="A16" s="350" t="s">
        <v>189</v>
      </c>
      <c r="B16" s="350" t="s">
        <v>190</v>
      </c>
      <c r="C16" s="349">
        <v>8.809738608364E12</v>
      </c>
      <c r="D16" s="350">
        <v>25020.0</v>
      </c>
      <c r="E16" s="350">
        <v>6220.0</v>
      </c>
      <c r="F16" s="350">
        <v>1.556244E8</v>
      </c>
      <c r="G16" s="350">
        <v>30.0</v>
      </c>
      <c r="H16" s="350">
        <v>0.022</v>
      </c>
      <c r="I16" s="350">
        <v>7.0</v>
      </c>
      <c r="J16" s="350">
        <v>834.0</v>
      </c>
      <c r="K16" s="350">
        <v>18.348</v>
      </c>
      <c r="L16" s="350">
        <v>5838.0</v>
      </c>
      <c r="M16" s="348">
        <v>0.233333333333333</v>
      </c>
      <c r="N16" s="348">
        <v>334.633490248823</v>
      </c>
      <c r="O16" s="348">
        <v>33.6</v>
      </c>
      <c r="P16" s="348">
        <f t="shared" si="1"/>
        <v>368.2334902</v>
      </c>
      <c r="Q16" s="351">
        <f t="shared" si="2"/>
        <v>9213201.926</v>
      </c>
      <c r="R16" s="350"/>
      <c r="S16" s="350"/>
      <c r="T16" s="343"/>
      <c r="U16" s="343"/>
      <c r="V16" s="343"/>
      <c r="W16" s="343"/>
      <c r="X16" s="343"/>
      <c r="Y16" s="343"/>
      <c r="Z16" s="343"/>
    </row>
    <row r="17">
      <c r="A17" s="350" t="s">
        <v>189</v>
      </c>
      <c r="B17" s="350" t="s">
        <v>191</v>
      </c>
      <c r="C17" s="349">
        <v>8.809738599044E12</v>
      </c>
      <c r="D17" s="350">
        <v>600.0</v>
      </c>
      <c r="E17" s="350">
        <v>7150.0</v>
      </c>
      <c r="F17" s="350">
        <v>4290000.0</v>
      </c>
      <c r="G17" s="350">
        <v>30.0</v>
      </c>
      <c r="H17" s="350">
        <v>0.022</v>
      </c>
      <c r="I17" s="350">
        <v>7.0</v>
      </c>
      <c r="J17" s="350">
        <v>20.0</v>
      </c>
      <c r="K17" s="350">
        <v>0.44</v>
      </c>
      <c r="L17" s="350">
        <v>140.0</v>
      </c>
      <c r="M17" s="348">
        <v>0.233333333333333</v>
      </c>
      <c r="N17" s="348">
        <v>384.667114996638</v>
      </c>
      <c r="O17" s="348">
        <v>33.6</v>
      </c>
      <c r="P17" s="348">
        <f t="shared" si="1"/>
        <v>418.267115</v>
      </c>
      <c r="Q17" s="351">
        <f t="shared" si="2"/>
        <v>250960.269</v>
      </c>
      <c r="R17" s="350"/>
      <c r="S17" s="350"/>
      <c r="T17" s="343"/>
      <c r="U17" s="343"/>
      <c r="V17" s="343"/>
      <c r="W17" s="343"/>
      <c r="X17" s="343"/>
      <c r="Y17" s="343"/>
      <c r="Z17" s="343"/>
    </row>
    <row r="18">
      <c r="A18" s="350" t="s">
        <v>189</v>
      </c>
      <c r="B18" s="350" t="s">
        <v>192</v>
      </c>
      <c r="C18" s="349">
        <v>8.809864754126E12</v>
      </c>
      <c r="D18" s="350">
        <v>600.0</v>
      </c>
      <c r="E18" s="350">
        <v>6380.0</v>
      </c>
      <c r="F18" s="350">
        <v>3828000.0</v>
      </c>
      <c r="G18" s="350">
        <v>30.0</v>
      </c>
      <c r="H18" s="350">
        <v>0.02</v>
      </c>
      <c r="I18" s="350">
        <v>6.0</v>
      </c>
      <c r="J18" s="350">
        <v>20.0</v>
      </c>
      <c r="K18" s="350">
        <v>0.4</v>
      </c>
      <c r="L18" s="350">
        <v>120.0</v>
      </c>
      <c r="M18" s="348">
        <v>0.2</v>
      </c>
      <c r="N18" s="348">
        <v>343.241425689307</v>
      </c>
      <c r="O18" s="348">
        <v>28.8</v>
      </c>
      <c r="P18" s="348">
        <f t="shared" si="1"/>
        <v>372.0414257</v>
      </c>
      <c r="Q18" s="351">
        <f t="shared" si="2"/>
        <v>223224.8554</v>
      </c>
      <c r="R18" s="350"/>
      <c r="S18" s="350"/>
      <c r="T18" s="343"/>
      <c r="U18" s="343"/>
      <c r="V18" s="343"/>
      <c r="W18" s="343"/>
      <c r="X18" s="343"/>
      <c r="Y18" s="343"/>
      <c r="Z18" s="343"/>
    </row>
    <row r="19">
      <c r="A19" s="350" t="s">
        <v>189</v>
      </c>
      <c r="B19" s="350" t="s">
        <v>193</v>
      </c>
      <c r="C19" s="349">
        <v>8.809849802408E12</v>
      </c>
      <c r="D19" s="350">
        <v>400.0</v>
      </c>
      <c r="E19" s="350">
        <v>7590.0</v>
      </c>
      <c r="F19" s="350">
        <v>3036000.0</v>
      </c>
      <c r="G19" s="350">
        <v>40.0</v>
      </c>
      <c r="H19" s="350">
        <v>0.01</v>
      </c>
      <c r="I19" s="350">
        <v>10.0</v>
      </c>
      <c r="J19" s="350">
        <v>10.0</v>
      </c>
      <c r="K19" s="350">
        <v>0.1</v>
      </c>
      <c r="L19" s="350">
        <v>100.0</v>
      </c>
      <c r="M19" s="348">
        <v>0.25</v>
      </c>
      <c r="N19" s="348">
        <v>408.338937457969</v>
      </c>
      <c r="O19" s="348">
        <v>36.0</v>
      </c>
      <c r="P19" s="348">
        <f t="shared" si="1"/>
        <v>444.3389375</v>
      </c>
      <c r="Q19" s="351">
        <f t="shared" si="2"/>
        <v>177735.575</v>
      </c>
      <c r="R19" s="350"/>
      <c r="S19" s="350"/>
      <c r="T19" s="343"/>
      <c r="U19" s="343"/>
      <c r="V19" s="343"/>
      <c r="W19" s="343"/>
      <c r="X19" s="343"/>
      <c r="Y19" s="343"/>
      <c r="Z19" s="343"/>
    </row>
    <row r="20">
      <c r="A20" s="350" t="s">
        <v>189</v>
      </c>
      <c r="B20" s="350" t="s">
        <v>194</v>
      </c>
      <c r="C20" s="349">
        <v>8.809783325674E12</v>
      </c>
      <c r="D20" s="350">
        <v>240.0</v>
      </c>
      <c r="E20" s="350">
        <v>11200.0</v>
      </c>
      <c r="F20" s="350">
        <v>2688000.0</v>
      </c>
      <c r="G20" s="350">
        <v>60.0</v>
      </c>
      <c r="H20" s="350">
        <v>0.0175</v>
      </c>
      <c r="I20" s="350">
        <v>6.25</v>
      </c>
      <c r="J20" s="350">
        <v>4.0</v>
      </c>
      <c r="K20" s="350">
        <v>0.07</v>
      </c>
      <c r="L20" s="350">
        <v>25.0</v>
      </c>
      <c r="M20" s="348">
        <v>0.104166666666667</v>
      </c>
      <c r="N20" s="348">
        <v>602.555480833894</v>
      </c>
      <c r="O20" s="348">
        <v>15.0</v>
      </c>
      <c r="P20" s="348">
        <f t="shared" si="1"/>
        <v>617.5554808</v>
      </c>
      <c r="Q20" s="351">
        <f t="shared" si="2"/>
        <v>148213.3154</v>
      </c>
      <c r="R20" s="350"/>
      <c r="S20" s="350"/>
      <c r="T20" s="343"/>
      <c r="U20" s="343"/>
      <c r="V20" s="343"/>
      <c r="W20" s="343"/>
      <c r="X20" s="343"/>
      <c r="Y20" s="343"/>
      <c r="Z20" s="343"/>
    </row>
    <row r="21" ht="15.75" customHeight="1">
      <c r="A21" s="350" t="s">
        <v>195</v>
      </c>
      <c r="B21" s="350" t="s">
        <v>196</v>
      </c>
      <c r="C21" s="349">
        <v>8.809576260601E12</v>
      </c>
      <c r="D21" s="350">
        <v>1500.0</v>
      </c>
      <c r="E21" s="350">
        <v>8100.0</v>
      </c>
      <c r="F21" s="350">
        <v>1.215E7</v>
      </c>
      <c r="G21" s="350">
        <v>50.0</v>
      </c>
      <c r="H21" s="350">
        <v>0.0182</v>
      </c>
      <c r="I21" s="350">
        <v>10.3</v>
      </c>
      <c r="J21" s="350">
        <v>30.0</v>
      </c>
      <c r="K21" s="350">
        <v>0.546</v>
      </c>
      <c r="L21" s="350">
        <v>309.0</v>
      </c>
      <c r="M21" s="348">
        <v>0.206</v>
      </c>
      <c r="N21" s="348">
        <v>435.776731674513</v>
      </c>
      <c r="O21" s="348">
        <v>29.664</v>
      </c>
      <c r="P21" s="348">
        <f t="shared" si="1"/>
        <v>465.4407317</v>
      </c>
      <c r="Q21" s="351">
        <f t="shared" si="2"/>
        <v>698161.0975</v>
      </c>
      <c r="R21" s="350"/>
      <c r="S21" s="350"/>
      <c r="T21" s="343"/>
      <c r="U21" s="343"/>
      <c r="V21" s="343"/>
      <c r="W21" s="343"/>
      <c r="X21" s="343"/>
      <c r="Y21" s="343"/>
      <c r="Z21" s="343"/>
    </row>
    <row r="22" ht="15.75" customHeight="1">
      <c r="A22" s="350" t="s">
        <v>195</v>
      </c>
      <c r="B22" s="350" t="s">
        <v>197</v>
      </c>
      <c r="C22" s="349">
        <v>8.809576261172E12</v>
      </c>
      <c r="D22" s="350">
        <v>900.0</v>
      </c>
      <c r="E22" s="350">
        <v>10400.0</v>
      </c>
      <c r="F22" s="350">
        <v>9360000.0</v>
      </c>
      <c r="G22" s="350">
        <v>50.0</v>
      </c>
      <c r="H22" s="350">
        <v>0.0243</v>
      </c>
      <c r="I22" s="350">
        <v>13.9</v>
      </c>
      <c r="J22" s="350">
        <v>18.0</v>
      </c>
      <c r="K22" s="350">
        <v>0.4374</v>
      </c>
      <c r="L22" s="350">
        <v>250.2</v>
      </c>
      <c r="M22" s="348">
        <v>0.278</v>
      </c>
      <c r="N22" s="348">
        <v>559.515803631473</v>
      </c>
      <c r="O22" s="348">
        <v>40.032</v>
      </c>
      <c r="P22" s="348">
        <f t="shared" si="1"/>
        <v>599.5478036</v>
      </c>
      <c r="Q22" s="351">
        <f t="shared" si="2"/>
        <v>539593.0233</v>
      </c>
      <c r="R22" s="350"/>
      <c r="S22" s="350"/>
      <c r="T22" s="343"/>
      <c r="U22" s="343"/>
      <c r="V22" s="343"/>
      <c r="W22" s="343"/>
      <c r="X22" s="343"/>
      <c r="Y22" s="343"/>
      <c r="Z22" s="343"/>
    </row>
    <row r="23" ht="15.75" customHeight="1">
      <c r="A23" s="350" t="s">
        <v>195</v>
      </c>
      <c r="B23" s="350" t="s">
        <v>198</v>
      </c>
      <c r="C23" s="349">
        <v>8.809576261134E12</v>
      </c>
      <c r="D23" s="350">
        <v>920.0</v>
      </c>
      <c r="E23" s="350">
        <v>10300.0</v>
      </c>
      <c r="F23" s="350">
        <v>9476000.0</v>
      </c>
      <c r="G23" s="350">
        <v>40.0</v>
      </c>
      <c r="H23" s="350">
        <v>0.0172</v>
      </c>
      <c r="I23" s="350">
        <v>7.6</v>
      </c>
      <c r="J23" s="350">
        <v>23.0</v>
      </c>
      <c r="K23" s="350">
        <v>0.3956</v>
      </c>
      <c r="L23" s="350">
        <v>174.8</v>
      </c>
      <c r="M23" s="348">
        <v>0.19</v>
      </c>
      <c r="N23" s="348">
        <v>554.13584398117</v>
      </c>
      <c r="O23" s="348">
        <v>27.36</v>
      </c>
      <c r="P23" s="348">
        <f t="shared" si="1"/>
        <v>581.495844</v>
      </c>
      <c r="Q23" s="351">
        <f t="shared" si="2"/>
        <v>534976.1765</v>
      </c>
      <c r="R23" s="350"/>
      <c r="S23" s="350"/>
      <c r="T23" s="343"/>
      <c r="U23" s="343"/>
      <c r="V23" s="343"/>
      <c r="W23" s="343"/>
      <c r="X23" s="343"/>
      <c r="Y23" s="343"/>
      <c r="Z23" s="343"/>
    </row>
    <row r="24" ht="15.75" customHeight="1">
      <c r="A24" s="350" t="s">
        <v>199</v>
      </c>
      <c r="B24" s="350" t="s">
        <v>200</v>
      </c>
      <c r="C24" s="349">
        <v>8.80964073719E12</v>
      </c>
      <c r="D24" s="350">
        <v>594.0</v>
      </c>
      <c r="E24" s="350">
        <v>16500.0</v>
      </c>
      <c r="F24" s="350">
        <v>9801000.0</v>
      </c>
      <c r="G24" s="350">
        <v>54.0</v>
      </c>
      <c r="H24" s="350">
        <v>0.0155</v>
      </c>
      <c r="I24" s="350">
        <v>8.0</v>
      </c>
      <c r="J24" s="350">
        <v>11.0</v>
      </c>
      <c r="K24" s="350">
        <v>0.1705</v>
      </c>
      <c r="L24" s="350">
        <v>88.0</v>
      </c>
      <c r="M24" s="348">
        <v>0.148148148148148</v>
      </c>
      <c r="N24" s="348">
        <v>887.693342299933</v>
      </c>
      <c r="O24" s="348">
        <v>21.3333333333333</v>
      </c>
      <c r="P24" s="348">
        <f t="shared" si="1"/>
        <v>909.0266756</v>
      </c>
      <c r="Q24" s="351">
        <f t="shared" si="2"/>
        <v>539961.8453</v>
      </c>
      <c r="R24" s="350"/>
      <c r="S24" s="350"/>
      <c r="T24" s="343"/>
      <c r="U24" s="343"/>
      <c r="V24" s="343"/>
      <c r="W24" s="343"/>
      <c r="X24" s="343"/>
      <c r="Y24" s="343"/>
      <c r="Z24" s="343"/>
    </row>
    <row r="25" ht="15.75" customHeight="1">
      <c r="A25" s="350" t="s">
        <v>199</v>
      </c>
      <c r="B25" s="350" t="s">
        <v>201</v>
      </c>
      <c r="C25" s="349">
        <v>8.80964073355E12</v>
      </c>
      <c r="D25" s="350">
        <v>216.0</v>
      </c>
      <c r="E25" s="350">
        <v>14000.0</v>
      </c>
      <c r="F25" s="350">
        <v>3024000.0</v>
      </c>
      <c r="G25" s="350">
        <v>54.0</v>
      </c>
      <c r="H25" s="350">
        <v>0.0155</v>
      </c>
      <c r="I25" s="350">
        <v>8.0</v>
      </c>
      <c r="J25" s="350">
        <v>4.0</v>
      </c>
      <c r="K25" s="350">
        <v>0.062</v>
      </c>
      <c r="L25" s="350">
        <v>32.0</v>
      </c>
      <c r="M25" s="348">
        <v>0.148148148148148</v>
      </c>
      <c r="N25" s="348">
        <v>753.194351042367</v>
      </c>
      <c r="O25" s="348">
        <v>21.3333333333333</v>
      </c>
      <c r="P25" s="348">
        <f t="shared" si="1"/>
        <v>774.5276844</v>
      </c>
      <c r="Q25" s="351">
        <f t="shared" si="2"/>
        <v>167297.9798</v>
      </c>
      <c r="R25" s="350"/>
      <c r="S25" s="350"/>
      <c r="T25" s="343"/>
      <c r="U25" s="343"/>
      <c r="V25" s="343"/>
      <c r="W25" s="343"/>
      <c r="X25" s="343"/>
      <c r="Y25" s="343"/>
      <c r="Z25" s="343"/>
    </row>
    <row r="26" ht="15.75" customHeight="1">
      <c r="A26" s="350" t="s">
        <v>199</v>
      </c>
      <c r="B26" s="350" t="s">
        <v>202</v>
      </c>
      <c r="C26" s="349">
        <v>8.809640734526E12</v>
      </c>
      <c r="D26" s="350">
        <v>540.0</v>
      </c>
      <c r="E26" s="350">
        <v>15800.0</v>
      </c>
      <c r="F26" s="350">
        <v>8532000.0</v>
      </c>
      <c r="G26" s="350">
        <v>54.0</v>
      </c>
      <c r="H26" s="350">
        <v>0.0155</v>
      </c>
      <c r="I26" s="350">
        <v>8.0</v>
      </c>
      <c r="J26" s="350">
        <v>10.0</v>
      </c>
      <c r="K26" s="350">
        <v>0.155</v>
      </c>
      <c r="L26" s="350">
        <v>80.0</v>
      </c>
      <c r="M26" s="348">
        <v>0.148148148148148</v>
      </c>
      <c r="N26" s="348">
        <v>850.033624747814</v>
      </c>
      <c r="O26" s="348">
        <v>21.3333333333333</v>
      </c>
      <c r="P26" s="348">
        <f t="shared" si="1"/>
        <v>871.3669581</v>
      </c>
      <c r="Q26" s="351">
        <f t="shared" si="2"/>
        <v>470538.1574</v>
      </c>
      <c r="R26" s="350"/>
      <c r="S26" s="350"/>
      <c r="T26" s="343"/>
      <c r="U26" s="343"/>
      <c r="V26" s="343"/>
      <c r="W26" s="343"/>
      <c r="X26" s="343"/>
      <c r="Y26" s="343"/>
      <c r="Z26" s="343"/>
    </row>
    <row r="27" ht="15.75" customHeight="1">
      <c r="A27" s="350" t="s">
        <v>199</v>
      </c>
      <c r="B27" s="350" t="s">
        <v>203</v>
      </c>
      <c r="C27" s="349">
        <v>8.809640734373E12</v>
      </c>
      <c r="D27" s="350">
        <v>120.0</v>
      </c>
      <c r="E27" s="350">
        <v>18100.0</v>
      </c>
      <c r="F27" s="350">
        <v>2172000.0</v>
      </c>
      <c r="G27" s="350">
        <v>40.0</v>
      </c>
      <c r="H27" s="350">
        <v>0.0225</v>
      </c>
      <c r="I27" s="350">
        <v>9.0</v>
      </c>
      <c r="J27" s="350">
        <v>3.0</v>
      </c>
      <c r="K27" s="350">
        <v>0.0675</v>
      </c>
      <c r="L27" s="350">
        <v>27.0</v>
      </c>
      <c r="M27" s="348">
        <v>0.225</v>
      </c>
      <c r="N27" s="348">
        <v>973.772696704775</v>
      </c>
      <c r="O27" s="348">
        <v>32.4</v>
      </c>
      <c r="P27" s="348">
        <f t="shared" si="1"/>
        <v>1006.172697</v>
      </c>
      <c r="Q27" s="351">
        <f t="shared" si="2"/>
        <v>120740.7236</v>
      </c>
      <c r="R27" s="350"/>
      <c r="S27" s="350"/>
      <c r="T27" s="343"/>
      <c r="U27" s="343"/>
      <c r="V27" s="343"/>
      <c r="W27" s="343"/>
      <c r="X27" s="343"/>
      <c r="Y27" s="343"/>
      <c r="Z27" s="343"/>
    </row>
    <row r="28" ht="15.75" customHeight="1">
      <c r="A28" s="350" t="s">
        <v>199</v>
      </c>
      <c r="B28" s="350" t="s">
        <v>204</v>
      </c>
      <c r="C28" s="349">
        <v>8.809640738135E12</v>
      </c>
      <c r="D28" s="350">
        <v>180.0</v>
      </c>
      <c r="E28" s="350">
        <v>16500.0</v>
      </c>
      <c r="F28" s="350">
        <v>2970000.0</v>
      </c>
      <c r="G28" s="350">
        <v>90.0</v>
      </c>
      <c r="H28" s="350">
        <v>0.0155</v>
      </c>
      <c r="I28" s="350">
        <v>5.5</v>
      </c>
      <c r="J28" s="350">
        <v>2.0</v>
      </c>
      <c r="K28" s="350">
        <v>0.031</v>
      </c>
      <c r="L28" s="350">
        <v>11.0</v>
      </c>
      <c r="M28" s="348">
        <v>0.0611111111111111</v>
      </c>
      <c r="N28" s="348">
        <v>887.693342299933</v>
      </c>
      <c r="O28" s="348">
        <v>8.8</v>
      </c>
      <c r="P28" s="348">
        <f t="shared" si="1"/>
        <v>896.4933423</v>
      </c>
      <c r="Q28" s="351">
        <f t="shared" si="2"/>
        <v>161368.8016</v>
      </c>
      <c r="R28" s="350"/>
      <c r="S28" s="350"/>
      <c r="T28" s="343"/>
      <c r="U28" s="343"/>
      <c r="V28" s="343"/>
      <c r="W28" s="343"/>
      <c r="X28" s="343"/>
      <c r="Y28" s="343"/>
      <c r="Z28" s="343"/>
    </row>
    <row r="29" ht="15.75" customHeight="1">
      <c r="A29" s="350" t="s">
        <v>205</v>
      </c>
      <c r="B29" s="350" t="s">
        <v>206</v>
      </c>
      <c r="C29" s="349">
        <v>8.800256108053E12</v>
      </c>
      <c r="D29" s="350">
        <v>320.0</v>
      </c>
      <c r="E29" s="350">
        <v>10600.0</v>
      </c>
      <c r="F29" s="350">
        <v>3392000.0</v>
      </c>
      <c r="G29" s="350">
        <v>80.0</v>
      </c>
      <c r="H29" s="350">
        <v>0.0255</v>
      </c>
      <c r="I29" s="350">
        <v>12.1</v>
      </c>
      <c r="J29" s="350">
        <v>4.0</v>
      </c>
      <c r="K29" s="350">
        <v>0.102</v>
      </c>
      <c r="L29" s="350">
        <v>48.4</v>
      </c>
      <c r="M29" s="348">
        <v>0.15125</v>
      </c>
      <c r="N29" s="348">
        <v>570.275722932078</v>
      </c>
      <c r="O29" s="348">
        <v>21.78</v>
      </c>
      <c r="P29" s="348">
        <f t="shared" si="1"/>
        <v>592.0557229</v>
      </c>
      <c r="Q29" s="351">
        <f t="shared" si="2"/>
        <v>189457.8313</v>
      </c>
      <c r="R29" s="350"/>
      <c r="S29" s="350"/>
      <c r="T29" s="343"/>
      <c r="U29" s="343"/>
      <c r="V29" s="343"/>
      <c r="W29" s="343"/>
      <c r="X29" s="343"/>
      <c r="Y29" s="343"/>
      <c r="Z29" s="343"/>
    </row>
    <row r="30" ht="15.75" customHeight="1">
      <c r="A30" s="350" t="s">
        <v>205</v>
      </c>
      <c r="B30" s="350" t="s">
        <v>207</v>
      </c>
      <c r="C30" s="349">
        <v>8.800256115549E12</v>
      </c>
      <c r="D30" s="350">
        <v>400.0</v>
      </c>
      <c r="E30" s="350">
        <v>13100.0</v>
      </c>
      <c r="F30" s="350">
        <v>5240000.0</v>
      </c>
      <c r="G30" s="350">
        <v>100.0</v>
      </c>
      <c r="H30" s="350">
        <v>0.03</v>
      </c>
      <c r="I30" s="350">
        <v>9.3</v>
      </c>
      <c r="J30" s="350">
        <v>4.0</v>
      </c>
      <c r="K30" s="350">
        <v>0.12</v>
      </c>
      <c r="L30" s="350">
        <v>37.2</v>
      </c>
      <c r="M30" s="348">
        <v>0.093</v>
      </c>
      <c r="N30" s="348">
        <v>704.774714189644</v>
      </c>
      <c r="O30" s="348">
        <v>13.392</v>
      </c>
      <c r="P30" s="348">
        <f t="shared" si="1"/>
        <v>718.1667142</v>
      </c>
      <c r="Q30" s="351">
        <f t="shared" si="2"/>
        <v>287266.6857</v>
      </c>
      <c r="R30" s="350"/>
      <c r="S30" s="350"/>
      <c r="T30" s="343"/>
      <c r="U30" s="343"/>
      <c r="V30" s="343"/>
      <c r="W30" s="343"/>
      <c r="X30" s="343"/>
      <c r="Y30" s="343"/>
      <c r="Z30" s="343"/>
    </row>
    <row r="31" ht="15.75" customHeight="1">
      <c r="A31" s="350" t="s">
        <v>205</v>
      </c>
      <c r="B31" s="350" t="s">
        <v>208</v>
      </c>
      <c r="C31" s="349">
        <v>8.800256115532E12</v>
      </c>
      <c r="D31" s="350">
        <v>300.0</v>
      </c>
      <c r="E31" s="350">
        <v>11900.0</v>
      </c>
      <c r="F31" s="350">
        <v>3570000.0</v>
      </c>
      <c r="G31" s="350">
        <v>100.0</v>
      </c>
      <c r="H31" s="350">
        <v>0.0356</v>
      </c>
      <c r="I31" s="350">
        <v>9.3</v>
      </c>
      <c r="J31" s="350">
        <v>3.0</v>
      </c>
      <c r="K31" s="350">
        <v>0.1068</v>
      </c>
      <c r="L31" s="350">
        <v>27.9</v>
      </c>
      <c r="M31" s="348">
        <v>0.093</v>
      </c>
      <c r="N31" s="348">
        <v>640.215198386012</v>
      </c>
      <c r="O31" s="348">
        <v>13.392</v>
      </c>
      <c r="P31" s="348">
        <f t="shared" si="1"/>
        <v>653.6071984</v>
      </c>
      <c r="Q31" s="351">
        <f t="shared" si="2"/>
        <v>196082.1595</v>
      </c>
      <c r="R31" s="350"/>
      <c r="S31" s="350"/>
      <c r="T31" s="343"/>
      <c r="U31" s="343"/>
      <c r="V31" s="343"/>
      <c r="W31" s="343"/>
      <c r="X31" s="343"/>
      <c r="Y31" s="343"/>
      <c r="Z31" s="343"/>
    </row>
    <row r="32" ht="15.75" customHeight="1">
      <c r="A32" s="350" t="s">
        <v>205</v>
      </c>
      <c r="B32" s="350" t="s">
        <v>209</v>
      </c>
      <c r="C32" s="349">
        <v>8.800256112159E12</v>
      </c>
      <c r="D32" s="350">
        <v>240.0</v>
      </c>
      <c r="E32" s="350">
        <v>10800.0</v>
      </c>
      <c r="F32" s="350">
        <v>2592000.0</v>
      </c>
      <c r="G32" s="350">
        <v>80.0</v>
      </c>
      <c r="H32" s="350">
        <v>0.0563</v>
      </c>
      <c r="I32" s="350">
        <v>22.8</v>
      </c>
      <c r="J32" s="350">
        <v>3.0</v>
      </c>
      <c r="K32" s="350">
        <v>0.1689</v>
      </c>
      <c r="L32" s="350">
        <v>68.4</v>
      </c>
      <c r="M32" s="348">
        <v>0.285</v>
      </c>
      <c r="N32" s="348">
        <v>581.035642232683</v>
      </c>
      <c r="O32" s="348">
        <v>41.04</v>
      </c>
      <c r="P32" s="348">
        <f t="shared" si="1"/>
        <v>622.0756422</v>
      </c>
      <c r="Q32" s="351">
        <f t="shared" si="2"/>
        <v>149298.1541</v>
      </c>
      <c r="R32" s="350"/>
      <c r="S32" s="350"/>
      <c r="T32" s="343"/>
      <c r="U32" s="343"/>
      <c r="V32" s="343"/>
      <c r="W32" s="343"/>
      <c r="X32" s="343"/>
      <c r="Y32" s="343"/>
      <c r="Z32" s="343"/>
    </row>
    <row r="33" ht="15.75" customHeight="1">
      <c r="A33" s="350" t="s">
        <v>205</v>
      </c>
      <c r="B33" s="350" t="s">
        <v>210</v>
      </c>
      <c r="C33" s="349">
        <v>8.80025611966E12</v>
      </c>
      <c r="D33" s="350">
        <v>240.0</v>
      </c>
      <c r="E33" s="350">
        <v>14300.0</v>
      </c>
      <c r="F33" s="350">
        <v>3432000.0</v>
      </c>
      <c r="G33" s="350">
        <v>80.0</v>
      </c>
      <c r="H33" s="350">
        <v>0.038</v>
      </c>
      <c r="I33" s="350">
        <v>12.2</v>
      </c>
      <c r="J33" s="350">
        <v>3.0</v>
      </c>
      <c r="K33" s="350">
        <v>0.114</v>
      </c>
      <c r="L33" s="350">
        <v>36.6</v>
      </c>
      <c r="M33" s="348">
        <v>0.1525</v>
      </c>
      <c r="N33" s="348">
        <v>769.334229993275</v>
      </c>
      <c r="O33" s="348">
        <v>21.96</v>
      </c>
      <c r="P33" s="348">
        <f t="shared" si="1"/>
        <v>791.29423</v>
      </c>
      <c r="Q33" s="351">
        <f t="shared" si="2"/>
        <v>189910.6152</v>
      </c>
      <c r="R33" s="350"/>
      <c r="S33" s="350"/>
      <c r="T33" s="343"/>
      <c r="U33" s="343"/>
      <c r="V33" s="343"/>
      <c r="W33" s="343"/>
      <c r="X33" s="343"/>
      <c r="Y33" s="343"/>
      <c r="Z33" s="343"/>
    </row>
    <row r="34" ht="15.75" customHeight="1">
      <c r="A34" s="350" t="s">
        <v>205</v>
      </c>
      <c r="B34" s="350" t="s">
        <v>211</v>
      </c>
      <c r="C34" s="349">
        <v>8.800256112227E12</v>
      </c>
      <c r="D34" s="350">
        <v>240.0</v>
      </c>
      <c r="E34" s="350">
        <v>9700.0</v>
      </c>
      <c r="F34" s="350">
        <v>2328000.0</v>
      </c>
      <c r="G34" s="350">
        <v>80.0</v>
      </c>
      <c r="H34" s="350">
        <v>0.0288</v>
      </c>
      <c r="I34" s="350">
        <v>9.4</v>
      </c>
      <c r="J34" s="350">
        <v>3.0</v>
      </c>
      <c r="K34" s="350">
        <v>0.0864</v>
      </c>
      <c r="L34" s="350">
        <v>28.2</v>
      </c>
      <c r="M34" s="348">
        <v>0.1175</v>
      </c>
      <c r="N34" s="348">
        <v>521.856086079354</v>
      </c>
      <c r="O34" s="348">
        <v>16.92</v>
      </c>
      <c r="P34" s="348">
        <f t="shared" si="1"/>
        <v>538.7760861</v>
      </c>
      <c r="Q34" s="351">
        <f t="shared" si="2"/>
        <v>129306.2607</v>
      </c>
      <c r="R34" s="350"/>
      <c r="S34" s="350"/>
      <c r="T34" s="343"/>
      <c r="U34" s="343"/>
      <c r="V34" s="343"/>
      <c r="W34" s="343"/>
      <c r="X34" s="343"/>
      <c r="Y34" s="343"/>
      <c r="Z34" s="343"/>
    </row>
    <row r="35" ht="15.75" customHeight="1">
      <c r="A35" s="350" t="s">
        <v>106</v>
      </c>
      <c r="B35" s="350" t="s">
        <v>107</v>
      </c>
      <c r="C35" s="349">
        <v>8.803463006501E12</v>
      </c>
      <c r="D35" s="350">
        <v>528.0</v>
      </c>
      <c r="E35" s="350">
        <v>8300.0</v>
      </c>
      <c r="F35" s="350">
        <v>4382400.0</v>
      </c>
      <c r="G35" s="350">
        <v>48.0</v>
      </c>
      <c r="H35" s="350">
        <v>0.0086</v>
      </c>
      <c r="I35" s="350">
        <v>2.1</v>
      </c>
      <c r="J35" s="350">
        <v>11.0</v>
      </c>
      <c r="K35" s="350">
        <v>0.0946</v>
      </c>
      <c r="L35" s="350">
        <v>23.1</v>
      </c>
      <c r="M35" s="348">
        <v>0.04375</v>
      </c>
      <c r="N35" s="348">
        <v>446.536650975118</v>
      </c>
      <c r="O35" s="348">
        <v>6.3</v>
      </c>
      <c r="P35" s="348">
        <f t="shared" si="1"/>
        <v>452.836651</v>
      </c>
      <c r="Q35" s="351">
        <f t="shared" si="2"/>
        <v>239097.7517</v>
      </c>
      <c r="R35" s="350"/>
      <c r="S35" s="350"/>
      <c r="T35" s="343"/>
      <c r="U35" s="343"/>
      <c r="V35" s="343"/>
      <c r="W35" s="343"/>
      <c r="X35" s="343"/>
      <c r="Y35" s="343"/>
      <c r="Z35" s="343"/>
    </row>
    <row r="36" ht="15.75" customHeight="1">
      <c r="A36" s="350" t="s">
        <v>106</v>
      </c>
      <c r="B36" s="350" t="s">
        <v>212</v>
      </c>
      <c r="C36" s="349">
        <v>8.809695679544E12</v>
      </c>
      <c r="D36" s="350">
        <v>1056.0</v>
      </c>
      <c r="E36" s="350">
        <v>15000.0</v>
      </c>
      <c r="F36" s="350">
        <v>1.584E7</v>
      </c>
      <c r="G36" s="350">
        <v>96.0</v>
      </c>
      <c r="H36" s="350">
        <v>0.0152</v>
      </c>
      <c r="I36" s="350">
        <v>3.0</v>
      </c>
      <c r="J36" s="350">
        <v>11.0</v>
      </c>
      <c r="K36" s="350">
        <v>0.1672</v>
      </c>
      <c r="L36" s="350">
        <v>33.0</v>
      </c>
      <c r="M36" s="348">
        <v>0.03125</v>
      </c>
      <c r="N36" s="348">
        <v>806.993947545393</v>
      </c>
      <c r="O36" s="348">
        <v>4.5</v>
      </c>
      <c r="P36" s="348">
        <f t="shared" si="1"/>
        <v>811.4939475</v>
      </c>
      <c r="Q36" s="351">
        <f t="shared" si="2"/>
        <v>856937.6086</v>
      </c>
      <c r="R36" s="350"/>
      <c r="S36" s="350"/>
      <c r="T36" s="343"/>
      <c r="U36" s="343"/>
      <c r="V36" s="343"/>
      <c r="W36" s="343"/>
      <c r="X36" s="343"/>
      <c r="Y36" s="343"/>
      <c r="Z36" s="343"/>
    </row>
    <row r="37" ht="15.75" customHeight="1">
      <c r="A37" s="350" t="s">
        <v>117</v>
      </c>
      <c r="B37" s="350" t="s">
        <v>213</v>
      </c>
      <c r="C37" s="349">
        <v>8.80933131936E12</v>
      </c>
      <c r="D37" s="350">
        <v>1530.0</v>
      </c>
      <c r="E37" s="350">
        <v>6400.0</v>
      </c>
      <c r="F37" s="350">
        <v>9792000.0</v>
      </c>
      <c r="G37" s="350">
        <v>90.0</v>
      </c>
      <c r="H37" s="350">
        <v>0.0181</v>
      </c>
      <c r="I37" s="350">
        <v>10.5</v>
      </c>
      <c r="J37" s="350">
        <v>17.0</v>
      </c>
      <c r="K37" s="350">
        <v>0.3077</v>
      </c>
      <c r="L37" s="350">
        <v>178.5</v>
      </c>
      <c r="M37" s="348">
        <v>0.116666666666667</v>
      </c>
      <c r="N37" s="348">
        <v>344.317417619368</v>
      </c>
      <c r="O37" s="348">
        <v>16.8</v>
      </c>
      <c r="P37" s="348">
        <f t="shared" si="1"/>
        <v>361.1174176</v>
      </c>
      <c r="Q37" s="351">
        <f t="shared" si="2"/>
        <v>552509.649</v>
      </c>
      <c r="R37" s="350"/>
      <c r="S37" s="350"/>
      <c r="T37" s="343"/>
      <c r="U37" s="343"/>
      <c r="V37" s="343"/>
      <c r="W37" s="343"/>
      <c r="X37" s="343"/>
      <c r="Y37" s="343"/>
      <c r="Z37" s="343"/>
    </row>
    <row r="38" ht="15.75" customHeight="1">
      <c r="A38" s="350" t="s">
        <v>117</v>
      </c>
      <c r="B38" s="350" t="s">
        <v>214</v>
      </c>
      <c r="C38" s="349">
        <v>8.809563068258E12</v>
      </c>
      <c r="D38" s="350">
        <v>1344.0</v>
      </c>
      <c r="E38" s="350">
        <v>4100.0</v>
      </c>
      <c r="F38" s="350">
        <v>5510400.0</v>
      </c>
      <c r="G38" s="350">
        <v>96.0</v>
      </c>
      <c r="H38" s="350">
        <v>0.014</v>
      </c>
      <c r="I38" s="350">
        <v>4.5</v>
      </c>
      <c r="J38" s="350">
        <v>14.0</v>
      </c>
      <c r="K38" s="350">
        <v>0.196</v>
      </c>
      <c r="L38" s="350">
        <v>63.0</v>
      </c>
      <c r="M38" s="348">
        <v>0.046875</v>
      </c>
      <c r="N38" s="348">
        <v>220.578345662407</v>
      </c>
      <c r="O38" s="348">
        <v>6.75</v>
      </c>
      <c r="P38" s="348">
        <f t="shared" si="1"/>
        <v>227.3283457</v>
      </c>
      <c r="Q38" s="351">
        <f t="shared" si="2"/>
        <v>305529.2966</v>
      </c>
      <c r="R38" s="350"/>
      <c r="S38" s="350"/>
      <c r="T38" s="343"/>
      <c r="U38" s="343"/>
      <c r="V38" s="343"/>
      <c r="W38" s="343"/>
      <c r="X38" s="343"/>
      <c r="Y38" s="343"/>
      <c r="Z38" s="343"/>
    </row>
    <row r="39" ht="15.75" customHeight="1">
      <c r="A39" s="350" t="s">
        <v>117</v>
      </c>
      <c r="B39" s="350" t="s">
        <v>215</v>
      </c>
      <c r="C39" s="349">
        <v>8.809563066773E12</v>
      </c>
      <c r="D39" s="350">
        <v>1248.0</v>
      </c>
      <c r="E39" s="350">
        <v>4600.0</v>
      </c>
      <c r="F39" s="350">
        <v>5740800.0</v>
      </c>
      <c r="G39" s="350">
        <v>96.0</v>
      </c>
      <c r="H39" s="350">
        <v>0.014</v>
      </c>
      <c r="I39" s="350">
        <v>4.5</v>
      </c>
      <c r="J39" s="350">
        <v>13.0</v>
      </c>
      <c r="K39" s="350">
        <v>0.182</v>
      </c>
      <c r="L39" s="350">
        <v>58.5</v>
      </c>
      <c r="M39" s="348">
        <v>0.046875</v>
      </c>
      <c r="N39" s="348">
        <v>247.478143913921</v>
      </c>
      <c r="O39" s="348">
        <v>6.75</v>
      </c>
      <c r="P39" s="348">
        <f t="shared" si="1"/>
        <v>254.2281439</v>
      </c>
      <c r="Q39" s="351">
        <f t="shared" si="2"/>
        <v>317276.7236</v>
      </c>
      <c r="R39" s="350"/>
      <c r="S39" s="350"/>
      <c r="T39" s="343"/>
      <c r="U39" s="343"/>
      <c r="V39" s="343"/>
      <c r="W39" s="343"/>
      <c r="X39" s="343"/>
      <c r="Y39" s="343"/>
      <c r="Z39" s="343"/>
    </row>
    <row r="40" ht="15.75" customHeight="1">
      <c r="A40" s="350" t="s">
        <v>117</v>
      </c>
      <c r="B40" s="350" t="s">
        <v>216</v>
      </c>
      <c r="C40" s="349">
        <v>8.809331319193E12</v>
      </c>
      <c r="D40" s="350">
        <v>1200.0</v>
      </c>
      <c r="E40" s="350">
        <v>5200.0</v>
      </c>
      <c r="F40" s="350">
        <v>6240000.0</v>
      </c>
      <c r="G40" s="350">
        <v>60.0</v>
      </c>
      <c r="H40" s="350">
        <v>0.014</v>
      </c>
      <c r="I40" s="350">
        <v>4.5</v>
      </c>
      <c r="J40" s="350">
        <v>20.0</v>
      </c>
      <c r="K40" s="350">
        <v>0.28</v>
      </c>
      <c r="L40" s="350">
        <v>90.0</v>
      </c>
      <c r="M40" s="348">
        <v>0.075</v>
      </c>
      <c r="N40" s="348">
        <v>279.757901815736</v>
      </c>
      <c r="O40" s="348">
        <v>10.8</v>
      </c>
      <c r="P40" s="348">
        <f t="shared" si="1"/>
        <v>290.5579018</v>
      </c>
      <c r="Q40" s="351">
        <f t="shared" si="2"/>
        <v>348669.4822</v>
      </c>
      <c r="R40" s="350"/>
      <c r="S40" s="350"/>
      <c r="T40" s="343"/>
      <c r="U40" s="343"/>
      <c r="V40" s="343"/>
      <c r="W40" s="343"/>
      <c r="X40" s="343"/>
      <c r="Y40" s="343"/>
      <c r="Z40" s="343"/>
    </row>
    <row r="41" ht="15.75" customHeight="1">
      <c r="A41" s="350" t="s">
        <v>117</v>
      </c>
      <c r="B41" s="350" t="s">
        <v>217</v>
      </c>
      <c r="C41" s="349">
        <v>8.809563066797E12</v>
      </c>
      <c r="D41" s="350">
        <v>1020.0</v>
      </c>
      <c r="E41" s="350">
        <v>2750.0</v>
      </c>
      <c r="F41" s="350">
        <v>2805000.0</v>
      </c>
      <c r="G41" s="350">
        <v>60.0</v>
      </c>
      <c r="H41" s="350">
        <v>0.014</v>
      </c>
      <c r="I41" s="350">
        <v>4.5</v>
      </c>
      <c r="J41" s="350">
        <v>17.0</v>
      </c>
      <c r="K41" s="350">
        <v>0.238</v>
      </c>
      <c r="L41" s="350">
        <v>76.5</v>
      </c>
      <c r="M41" s="348">
        <v>0.075</v>
      </c>
      <c r="N41" s="348">
        <v>147.948890383322</v>
      </c>
      <c r="O41" s="348">
        <v>10.8</v>
      </c>
      <c r="P41" s="348">
        <f t="shared" si="1"/>
        <v>158.7488904</v>
      </c>
      <c r="Q41" s="351">
        <f t="shared" si="2"/>
        <v>161923.8682</v>
      </c>
      <c r="R41" s="350"/>
      <c r="S41" s="350"/>
      <c r="T41" s="343"/>
      <c r="U41" s="343"/>
      <c r="V41" s="343"/>
      <c r="W41" s="343"/>
      <c r="X41" s="343"/>
      <c r="Y41" s="343"/>
      <c r="Z41" s="343"/>
    </row>
    <row r="42" ht="15.75" customHeight="1">
      <c r="A42" s="350" t="s">
        <v>117</v>
      </c>
      <c r="B42" s="350" t="s">
        <v>218</v>
      </c>
      <c r="C42" s="349">
        <v>8.809563067923E12</v>
      </c>
      <c r="D42" s="350">
        <v>1053.0</v>
      </c>
      <c r="E42" s="350">
        <v>5700.0</v>
      </c>
      <c r="F42" s="350">
        <v>6002100.0</v>
      </c>
      <c r="G42" s="350">
        <v>117.0</v>
      </c>
      <c r="H42" s="350">
        <v>0.014</v>
      </c>
      <c r="I42" s="350">
        <v>8.0</v>
      </c>
      <c r="J42" s="350">
        <v>9.0</v>
      </c>
      <c r="K42" s="350">
        <v>0.126</v>
      </c>
      <c r="L42" s="350">
        <v>72.0</v>
      </c>
      <c r="M42" s="348">
        <v>0.0683760683760684</v>
      </c>
      <c r="N42" s="348">
        <v>306.657700067249</v>
      </c>
      <c r="O42" s="348">
        <v>9.84615384615385</v>
      </c>
      <c r="P42" s="348">
        <f t="shared" si="1"/>
        <v>316.5038539</v>
      </c>
      <c r="Q42" s="351">
        <f t="shared" si="2"/>
        <v>333278.5582</v>
      </c>
      <c r="R42" s="350"/>
      <c r="S42" s="350"/>
      <c r="T42" s="343"/>
      <c r="U42" s="343"/>
      <c r="V42" s="343"/>
      <c r="W42" s="343"/>
      <c r="X42" s="343"/>
      <c r="Y42" s="343"/>
      <c r="Z42" s="343"/>
    </row>
    <row r="43" ht="15.75" customHeight="1">
      <c r="A43" s="350" t="s">
        <v>117</v>
      </c>
      <c r="B43" s="350" t="s">
        <v>219</v>
      </c>
      <c r="C43" s="349">
        <v>8.809331313818E12</v>
      </c>
      <c r="D43" s="350">
        <v>480.0</v>
      </c>
      <c r="E43" s="350">
        <v>4750.0</v>
      </c>
      <c r="F43" s="350">
        <v>2280000.0</v>
      </c>
      <c r="G43" s="350">
        <v>96.0</v>
      </c>
      <c r="H43" s="350">
        <v>0.014</v>
      </c>
      <c r="I43" s="350">
        <v>4.1</v>
      </c>
      <c r="J43" s="350">
        <v>5.0</v>
      </c>
      <c r="K43" s="350">
        <v>0.07</v>
      </c>
      <c r="L43" s="350">
        <v>20.5</v>
      </c>
      <c r="M43" s="348">
        <v>0.0427083333333333</v>
      </c>
      <c r="N43" s="348">
        <v>255.548083389375</v>
      </c>
      <c r="O43" s="348">
        <v>6.15</v>
      </c>
      <c r="P43" s="348">
        <f t="shared" si="1"/>
        <v>261.6980834</v>
      </c>
      <c r="Q43" s="351">
        <f t="shared" si="2"/>
        <v>125615.08</v>
      </c>
      <c r="R43" s="350"/>
      <c r="S43" s="350"/>
      <c r="T43" s="343"/>
      <c r="U43" s="343"/>
      <c r="V43" s="343"/>
      <c r="W43" s="343"/>
      <c r="X43" s="343"/>
      <c r="Y43" s="343"/>
      <c r="Z43" s="343"/>
    </row>
    <row r="44" ht="15.75" customHeight="1">
      <c r="A44" s="350" t="s">
        <v>117</v>
      </c>
      <c r="B44" s="350" t="s">
        <v>220</v>
      </c>
      <c r="C44" s="349">
        <v>8.809563068081E12</v>
      </c>
      <c r="D44" s="350">
        <v>400.0</v>
      </c>
      <c r="E44" s="350">
        <v>5000.0</v>
      </c>
      <c r="F44" s="350">
        <v>2000000.0</v>
      </c>
      <c r="G44" s="350">
        <v>80.0</v>
      </c>
      <c r="H44" s="350">
        <v>0.0264</v>
      </c>
      <c r="I44" s="350">
        <v>16.0</v>
      </c>
      <c r="J44" s="350">
        <v>5.0</v>
      </c>
      <c r="K44" s="350">
        <v>0.132</v>
      </c>
      <c r="L44" s="350">
        <v>80.0</v>
      </c>
      <c r="M44" s="348">
        <v>0.2</v>
      </c>
      <c r="N44" s="348">
        <v>268.997982515131</v>
      </c>
      <c r="O44" s="348">
        <v>28.8</v>
      </c>
      <c r="P44" s="348">
        <f t="shared" si="1"/>
        <v>297.7979825</v>
      </c>
      <c r="Q44" s="351">
        <f t="shared" si="2"/>
        <v>119119.193</v>
      </c>
      <c r="R44" s="350"/>
      <c r="S44" s="350"/>
      <c r="T44" s="343"/>
      <c r="U44" s="343"/>
      <c r="V44" s="343"/>
      <c r="W44" s="343"/>
      <c r="X44" s="343"/>
      <c r="Y44" s="343"/>
      <c r="Z44" s="343"/>
    </row>
    <row r="45" ht="15.75" customHeight="1">
      <c r="A45" s="350" t="s">
        <v>117</v>
      </c>
      <c r="B45" s="350" t="s">
        <v>221</v>
      </c>
      <c r="C45" s="349">
        <v>8.809331317182E12</v>
      </c>
      <c r="D45" s="350">
        <v>420.0</v>
      </c>
      <c r="E45" s="350">
        <v>7500.0</v>
      </c>
      <c r="F45" s="350">
        <v>3150000.0</v>
      </c>
      <c r="G45" s="350">
        <v>60.0</v>
      </c>
      <c r="H45" s="350">
        <v>0.014</v>
      </c>
      <c r="I45" s="350">
        <v>4.5</v>
      </c>
      <c r="J45" s="350">
        <v>7.0</v>
      </c>
      <c r="K45" s="350">
        <v>0.098</v>
      </c>
      <c r="L45" s="350">
        <v>31.5</v>
      </c>
      <c r="M45" s="348">
        <v>0.075</v>
      </c>
      <c r="N45" s="348">
        <v>403.496973772697</v>
      </c>
      <c r="O45" s="348">
        <v>10.8</v>
      </c>
      <c r="P45" s="348">
        <f t="shared" si="1"/>
        <v>414.2969738</v>
      </c>
      <c r="Q45" s="351">
        <f t="shared" si="2"/>
        <v>174004.729</v>
      </c>
      <c r="R45" s="350"/>
      <c r="S45" s="350"/>
      <c r="T45" s="343"/>
      <c r="U45" s="343"/>
      <c r="V45" s="343"/>
      <c r="W45" s="343"/>
      <c r="X45" s="343"/>
      <c r="Y45" s="343"/>
      <c r="Z45" s="343"/>
    </row>
    <row r="46" ht="15.75" customHeight="1">
      <c r="A46" s="350" t="s">
        <v>222</v>
      </c>
      <c r="B46" s="350" t="s">
        <v>223</v>
      </c>
      <c r="C46" s="349">
        <v>8.809605870993E12</v>
      </c>
      <c r="D46" s="350">
        <v>1000.0</v>
      </c>
      <c r="E46" s="350">
        <v>3880.0</v>
      </c>
      <c r="F46" s="350">
        <v>3880000.0</v>
      </c>
      <c r="G46" s="350">
        <v>100.0</v>
      </c>
      <c r="H46" s="350">
        <v>0.0314</v>
      </c>
      <c r="I46" s="350">
        <v>15.0</v>
      </c>
      <c r="J46" s="350">
        <v>10.0</v>
      </c>
      <c r="K46" s="350">
        <v>0.314</v>
      </c>
      <c r="L46" s="350">
        <v>150.0</v>
      </c>
      <c r="M46" s="348">
        <v>0.15</v>
      </c>
      <c r="N46" s="348">
        <v>208.742434431742</v>
      </c>
      <c r="O46" s="348">
        <v>21.6</v>
      </c>
      <c r="P46" s="348">
        <f t="shared" si="1"/>
        <v>230.3424344</v>
      </c>
      <c r="Q46" s="351">
        <f t="shared" si="2"/>
        <v>230342.4344</v>
      </c>
      <c r="R46" s="350"/>
      <c r="S46" s="350"/>
      <c r="T46" s="343"/>
      <c r="U46" s="343"/>
      <c r="V46" s="343"/>
      <c r="W46" s="343"/>
      <c r="X46" s="343"/>
      <c r="Y46" s="343"/>
      <c r="Z46" s="343"/>
    </row>
    <row r="47" ht="15.75" customHeight="1">
      <c r="A47" s="350" t="s">
        <v>222</v>
      </c>
      <c r="B47" s="350" t="s">
        <v>224</v>
      </c>
      <c r="C47" s="349">
        <v>8.809605871006E12</v>
      </c>
      <c r="D47" s="350">
        <v>200.0</v>
      </c>
      <c r="E47" s="350">
        <v>3880.0</v>
      </c>
      <c r="F47" s="350">
        <v>776000.0</v>
      </c>
      <c r="G47" s="350">
        <v>100.0</v>
      </c>
      <c r="H47" s="350">
        <v>0.0314</v>
      </c>
      <c r="I47" s="350">
        <v>15.0</v>
      </c>
      <c r="J47" s="350">
        <v>2.0</v>
      </c>
      <c r="K47" s="350">
        <v>0.0628</v>
      </c>
      <c r="L47" s="350">
        <v>30.0</v>
      </c>
      <c r="M47" s="348">
        <v>0.15</v>
      </c>
      <c r="N47" s="348">
        <v>208.742434431742</v>
      </c>
      <c r="O47" s="348">
        <v>21.6</v>
      </c>
      <c r="P47" s="348">
        <f t="shared" si="1"/>
        <v>230.3424344</v>
      </c>
      <c r="Q47" s="351">
        <f t="shared" si="2"/>
        <v>46068.48689</v>
      </c>
      <c r="R47" s="350"/>
      <c r="S47" s="350"/>
      <c r="T47" s="343"/>
      <c r="U47" s="343"/>
      <c r="V47" s="343"/>
      <c r="W47" s="343"/>
      <c r="X47" s="343"/>
      <c r="Y47" s="343"/>
      <c r="Z47" s="343"/>
    </row>
    <row r="48" ht="15.75" customHeight="1">
      <c r="A48" s="350" t="s">
        <v>222</v>
      </c>
      <c r="B48" s="350" t="s">
        <v>225</v>
      </c>
      <c r="C48" s="349">
        <v>8.809605871938E12</v>
      </c>
      <c r="D48" s="350">
        <v>200.0</v>
      </c>
      <c r="E48" s="350">
        <v>4006.0</v>
      </c>
      <c r="F48" s="350">
        <v>801200.0</v>
      </c>
      <c r="G48" s="350">
        <v>100.0</v>
      </c>
      <c r="H48" s="350">
        <v>0.0314</v>
      </c>
      <c r="I48" s="350">
        <v>15.0</v>
      </c>
      <c r="J48" s="350">
        <v>2.0</v>
      </c>
      <c r="K48" s="350">
        <v>0.0628</v>
      </c>
      <c r="L48" s="350">
        <v>30.0</v>
      </c>
      <c r="M48" s="348">
        <v>0.15</v>
      </c>
      <c r="N48" s="348">
        <v>215.521183591123</v>
      </c>
      <c r="O48" s="348">
        <v>21.6</v>
      </c>
      <c r="P48" s="348">
        <f t="shared" si="1"/>
        <v>237.1211836</v>
      </c>
      <c r="Q48" s="351">
        <f t="shared" si="2"/>
        <v>47424.23672</v>
      </c>
      <c r="R48" s="350"/>
      <c r="S48" s="350"/>
      <c r="T48" s="343"/>
      <c r="U48" s="343"/>
      <c r="V48" s="343"/>
      <c r="W48" s="343"/>
      <c r="X48" s="343"/>
      <c r="Y48" s="343"/>
      <c r="Z48" s="343"/>
    </row>
    <row r="49" ht="15.75" customHeight="1">
      <c r="A49" s="350" t="s">
        <v>222</v>
      </c>
      <c r="B49" s="350" t="s">
        <v>226</v>
      </c>
      <c r="C49" s="349">
        <v>8.809605870993E12</v>
      </c>
      <c r="D49" s="350">
        <v>400.0</v>
      </c>
      <c r="E49" s="350">
        <v>4006.0</v>
      </c>
      <c r="F49" s="350">
        <v>1602400.0</v>
      </c>
      <c r="G49" s="350">
        <v>100.0</v>
      </c>
      <c r="H49" s="350">
        <v>0.0314</v>
      </c>
      <c r="I49" s="350">
        <v>15.0</v>
      </c>
      <c r="J49" s="350">
        <v>4.0</v>
      </c>
      <c r="K49" s="350">
        <v>0.1256</v>
      </c>
      <c r="L49" s="350">
        <v>60.0</v>
      </c>
      <c r="M49" s="348">
        <v>0.15</v>
      </c>
      <c r="N49" s="348">
        <v>215.521183591123</v>
      </c>
      <c r="O49" s="348">
        <v>21.6</v>
      </c>
      <c r="P49" s="348">
        <f t="shared" si="1"/>
        <v>237.1211836</v>
      </c>
      <c r="Q49" s="351">
        <f t="shared" si="2"/>
        <v>94848.47344</v>
      </c>
      <c r="R49" s="350"/>
      <c r="S49" s="350"/>
      <c r="T49" s="343"/>
      <c r="U49" s="343"/>
      <c r="V49" s="343"/>
      <c r="W49" s="343"/>
      <c r="X49" s="343"/>
      <c r="Y49" s="343"/>
      <c r="Z49" s="343"/>
    </row>
    <row r="50" ht="15.75" customHeight="1">
      <c r="A50" s="350" t="s">
        <v>222</v>
      </c>
      <c r="B50" s="350" t="s">
        <v>227</v>
      </c>
      <c r="C50" s="349">
        <v>8.809605870993E12</v>
      </c>
      <c r="D50" s="350">
        <v>700.0</v>
      </c>
      <c r="E50" s="350">
        <v>3880.0</v>
      </c>
      <c r="F50" s="350">
        <v>2716000.0</v>
      </c>
      <c r="G50" s="350">
        <v>100.0</v>
      </c>
      <c r="H50" s="350">
        <v>0.0314</v>
      </c>
      <c r="I50" s="350">
        <v>15.0</v>
      </c>
      <c r="J50" s="350">
        <v>7.0</v>
      </c>
      <c r="K50" s="350">
        <v>0.2198</v>
      </c>
      <c r="L50" s="350">
        <v>105.0</v>
      </c>
      <c r="M50" s="348">
        <v>0.15</v>
      </c>
      <c r="N50" s="348">
        <v>208.742434431742</v>
      </c>
      <c r="O50" s="348">
        <v>21.6</v>
      </c>
      <c r="P50" s="348">
        <f t="shared" si="1"/>
        <v>230.3424344</v>
      </c>
      <c r="Q50" s="351">
        <f t="shared" si="2"/>
        <v>161239.7041</v>
      </c>
      <c r="R50" s="350"/>
      <c r="S50" s="350"/>
      <c r="T50" s="343"/>
      <c r="U50" s="343"/>
      <c r="V50" s="343"/>
      <c r="W50" s="343"/>
      <c r="X50" s="343"/>
      <c r="Y50" s="343"/>
      <c r="Z50" s="343"/>
    </row>
    <row r="51" ht="15.75" customHeight="1">
      <c r="A51" s="350" t="s">
        <v>222</v>
      </c>
      <c r="B51" s="350" t="s">
        <v>228</v>
      </c>
      <c r="C51" s="349">
        <v>8.809474498816E12</v>
      </c>
      <c r="D51" s="350">
        <v>400.0</v>
      </c>
      <c r="E51" s="350">
        <v>3094.0</v>
      </c>
      <c r="F51" s="350">
        <v>1237600.0</v>
      </c>
      <c r="G51" s="350">
        <v>100.0</v>
      </c>
      <c r="H51" s="350">
        <v>0.0314</v>
      </c>
      <c r="I51" s="350">
        <v>15.0</v>
      </c>
      <c r="J51" s="350">
        <v>4.0</v>
      </c>
      <c r="K51" s="350">
        <v>0.1256</v>
      </c>
      <c r="L51" s="350">
        <v>60.0</v>
      </c>
      <c r="M51" s="348">
        <v>0.15</v>
      </c>
      <c r="N51" s="348">
        <v>166.455951580363</v>
      </c>
      <c r="O51" s="348">
        <v>21.6</v>
      </c>
      <c r="P51" s="348">
        <f t="shared" si="1"/>
        <v>188.0559516</v>
      </c>
      <c r="Q51" s="351">
        <f t="shared" si="2"/>
        <v>75222.38063</v>
      </c>
      <c r="R51" s="350"/>
      <c r="S51" s="350"/>
      <c r="T51" s="343"/>
      <c r="U51" s="343"/>
      <c r="V51" s="343"/>
      <c r="W51" s="343"/>
      <c r="X51" s="343"/>
      <c r="Y51" s="343"/>
      <c r="Z51" s="343"/>
    </row>
    <row r="52" ht="15.75" customHeight="1">
      <c r="A52" s="350" t="s">
        <v>229</v>
      </c>
      <c r="B52" s="350" t="s">
        <v>230</v>
      </c>
      <c r="C52" s="349">
        <v>8.809665594488E12</v>
      </c>
      <c r="D52" s="350">
        <v>560.0</v>
      </c>
      <c r="E52" s="350">
        <v>6840.0</v>
      </c>
      <c r="F52" s="350">
        <v>3830400.0</v>
      </c>
      <c r="G52" s="350">
        <v>80.0</v>
      </c>
      <c r="H52" s="350">
        <v>0.0304</v>
      </c>
      <c r="I52" s="350">
        <v>12.4</v>
      </c>
      <c r="J52" s="350">
        <v>7.0</v>
      </c>
      <c r="K52" s="350">
        <v>0.2128</v>
      </c>
      <c r="L52" s="350">
        <v>86.8</v>
      </c>
      <c r="M52" s="348">
        <v>0.155</v>
      </c>
      <c r="N52" s="348">
        <v>367.989240080699</v>
      </c>
      <c r="O52" s="348">
        <v>22.32</v>
      </c>
      <c r="P52" s="348">
        <f t="shared" si="1"/>
        <v>390.3092401</v>
      </c>
      <c r="Q52" s="351">
        <f t="shared" si="2"/>
        <v>218573.1744</v>
      </c>
      <c r="R52" s="350"/>
      <c r="S52" s="350"/>
      <c r="T52" s="343"/>
      <c r="U52" s="343"/>
      <c r="V52" s="343"/>
      <c r="W52" s="343"/>
      <c r="X52" s="343"/>
      <c r="Y52" s="343"/>
      <c r="Z52" s="343"/>
    </row>
    <row r="53" ht="15.75" customHeight="1">
      <c r="A53" s="350" t="s">
        <v>229</v>
      </c>
      <c r="B53" s="350" t="s">
        <v>231</v>
      </c>
      <c r="C53" s="349">
        <v>8.809665594457E12</v>
      </c>
      <c r="D53" s="350">
        <v>560.0</v>
      </c>
      <c r="E53" s="350">
        <v>6840.0</v>
      </c>
      <c r="F53" s="350">
        <v>3830400.0</v>
      </c>
      <c r="G53" s="350">
        <v>80.0</v>
      </c>
      <c r="H53" s="350">
        <v>0.0304</v>
      </c>
      <c r="I53" s="350">
        <v>12.4</v>
      </c>
      <c r="J53" s="350">
        <v>7.0</v>
      </c>
      <c r="K53" s="350">
        <v>0.2128</v>
      </c>
      <c r="L53" s="350">
        <v>86.8</v>
      </c>
      <c r="M53" s="348">
        <v>0.155</v>
      </c>
      <c r="N53" s="348">
        <v>367.989240080699</v>
      </c>
      <c r="O53" s="348">
        <v>22.32</v>
      </c>
      <c r="P53" s="348">
        <f t="shared" si="1"/>
        <v>390.3092401</v>
      </c>
      <c r="Q53" s="351">
        <f t="shared" si="2"/>
        <v>218573.1744</v>
      </c>
      <c r="R53" s="350"/>
      <c r="S53" s="350"/>
      <c r="T53" s="343"/>
      <c r="U53" s="343"/>
      <c r="V53" s="343"/>
      <c r="W53" s="343"/>
      <c r="X53" s="343"/>
      <c r="Y53" s="343"/>
      <c r="Z53" s="343"/>
    </row>
    <row r="54" ht="15.75" customHeight="1">
      <c r="A54" s="350" t="s">
        <v>229</v>
      </c>
      <c r="B54" s="350" t="s">
        <v>232</v>
      </c>
      <c r="C54" s="349">
        <v>8.809665594464E12</v>
      </c>
      <c r="D54" s="350">
        <v>320.0</v>
      </c>
      <c r="E54" s="350">
        <v>6840.0</v>
      </c>
      <c r="F54" s="350">
        <v>2188800.0</v>
      </c>
      <c r="G54" s="350">
        <v>80.0</v>
      </c>
      <c r="H54" s="350">
        <v>0.0304</v>
      </c>
      <c r="I54" s="350">
        <v>12.4</v>
      </c>
      <c r="J54" s="350">
        <v>4.0</v>
      </c>
      <c r="K54" s="350">
        <v>0.1216</v>
      </c>
      <c r="L54" s="350">
        <v>49.6</v>
      </c>
      <c r="M54" s="348">
        <v>0.155</v>
      </c>
      <c r="N54" s="348">
        <v>367.989240080699</v>
      </c>
      <c r="O54" s="348">
        <v>22.32</v>
      </c>
      <c r="P54" s="348">
        <f t="shared" si="1"/>
        <v>390.3092401</v>
      </c>
      <c r="Q54" s="351">
        <f t="shared" si="2"/>
        <v>124898.9568</v>
      </c>
      <c r="R54" s="350"/>
      <c r="S54" s="350"/>
      <c r="T54" s="343"/>
      <c r="U54" s="343"/>
      <c r="V54" s="343"/>
      <c r="W54" s="343"/>
      <c r="X54" s="343"/>
      <c r="Y54" s="343"/>
      <c r="Z54" s="343"/>
    </row>
    <row r="55" ht="15.75" customHeight="1">
      <c r="A55" s="350" t="s">
        <v>229</v>
      </c>
      <c r="B55" s="350" t="s">
        <v>233</v>
      </c>
      <c r="C55" s="349">
        <v>8.809665594471E12</v>
      </c>
      <c r="D55" s="350">
        <v>320.0</v>
      </c>
      <c r="E55" s="350">
        <v>6840.0</v>
      </c>
      <c r="F55" s="350">
        <v>2188800.0</v>
      </c>
      <c r="G55" s="350">
        <v>80.0</v>
      </c>
      <c r="H55" s="350">
        <v>0.0304</v>
      </c>
      <c r="I55" s="350">
        <v>12.4</v>
      </c>
      <c r="J55" s="350">
        <v>4.0</v>
      </c>
      <c r="K55" s="350">
        <v>0.1216</v>
      </c>
      <c r="L55" s="350">
        <v>49.6</v>
      </c>
      <c r="M55" s="348">
        <v>0.155</v>
      </c>
      <c r="N55" s="348">
        <v>367.989240080699</v>
      </c>
      <c r="O55" s="348">
        <v>22.32</v>
      </c>
      <c r="P55" s="348">
        <f t="shared" si="1"/>
        <v>390.3092401</v>
      </c>
      <c r="Q55" s="351">
        <f t="shared" si="2"/>
        <v>124898.9568</v>
      </c>
      <c r="R55" s="350"/>
      <c r="S55" s="350"/>
      <c r="T55" s="343"/>
      <c r="U55" s="343"/>
      <c r="V55" s="343"/>
      <c r="W55" s="343"/>
      <c r="X55" s="343"/>
      <c r="Y55" s="343"/>
      <c r="Z55" s="343"/>
    </row>
    <row r="56" ht="15.75" customHeight="1">
      <c r="A56" s="350" t="s">
        <v>234</v>
      </c>
      <c r="B56" s="350" t="s">
        <v>235</v>
      </c>
      <c r="C56" s="349">
        <v>8.809730950881E12</v>
      </c>
      <c r="D56" s="350">
        <v>1200.0</v>
      </c>
      <c r="E56" s="350">
        <v>5925.0</v>
      </c>
      <c r="F56" s="350">
        <v>7110000.0</v>
      </c>
      <c r="G56" s="350">
        <v>60.0</v>
      </c>
      <c r="H56" s="350">
        <v>0.0323</v>
      </c>
      <c r="I56" s="350">
        <v>13.6</v>
      </c>
      <c r="J56" s="350">
        <v>20.0</v>
      </c>
      <c r="K56" s="350">
        <v>0.646</v>
      </c>
      <c r="L56" s="350">
        <v>272.0</v>
      </c>
      <c r="M56" s="348">
        <v>0.226666666666667</v>
      </c>
      <c r="N56" s="348">
        <v>318.76260928043</v>
      </c>
      <c r="O56" s="348">
        <v>32.64</v>
      </c>
      <c r="P56" s="348">
        <f t="shared" si="1"/>
        <v>351.4026093</v>
      </c>
      <c r="Q56" s="351">
        <f t="shared" si="2"/>
        <v>421683.1311</v>
      </c>
      <c r="R56" s="350"/>
      <c r="S56" s="350"/>
      <c r="T56" s="343"/>
      <c r="U56" s="343"/>
      <c r="V56" s="343"/>
      <c r="W56" s="343"/>
      <c r="X56" s="343"/>
      <c r="Y56" s="343"/>
      <c r="Z56" s="343"/>
    </row>
    <row r="57" ht="15.75" customHeight="1">
      <c r="A57" s="347" t="s">
        <v>236</v>
      </c>
      <c r="B57" s="347"/>
      <c r="C57" s="355"/>
      <c r="D57" s="347">
        <v>84472.0</v>
      </c>
      <c r="E57" s="347"/>
      <c r="F57" s="347">
        <v>6.38111624E8</v>
      </c>
      <c r="G57" s="347"/>
      <c r="H57" s="347"/>
      <c r="I57" s="347"/>
      <c r="J57" s="347"/>
      <c r="K57" s="347">
        <v>61.9692</v>
      </c>
      <c r="L57" s="347">
        <v>24460.9</v>
      </c>
      <c r="M57" s="356"/>
      <c r="N57" s="356"/>
      <c r="O57" s="356"/>
      <c r="P57" s="356"/>
      <c r="Q57" s="357">
        <f>SUM(Q8:Q56)</f>
        <v>37852517.5</v>
      </c>
      <c r="R57" s="347"/>
      <c r="S57" s="347"/>
      <c r="T57" s="358"/>
      <c r="U57" s="358"/>
      <c r="V57" s="358"/>
      <c r="W57" s="358"/>
      <c r="X57" s="358"/>
      <c r="Y57" s="358"/>
      <c r="Z57" s="358"/>
    </row>
    <row r="58" ht="15.75" customHeight="1">
      <c r="A58" s="350"/>
      <c r="B58" s="350"/>
      <c r="C58" s="349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1"/>
      <c r="R58" s="350"/>
      <c r="S58" s="350"/>
      <c r="T58" s="343"/>
      <c r="U58" s="343"/>
      <c r="V58" s="343"/>
      <c r="W58" s="343"/>
      <c r="X58" s="343"/>
      <c r="Y58" s="343"/>
      <c r="Z58" s="343"/>
    </row>
    <row r="59" ht="15.75" customHeight="1">
      <c r="A59" s="343"/>
      <c r="B59" s="343"/>
      <c r="C59" s="345"/>
      <c r="D59" s="343"/>
      <c r="E59" s="343"/>
      <c r="F59" s="343"/>
      <c r="G59" s="343"/>
      <c r="H59" s="343"/>
      <c r="I59" s="343"/>
      <c r="J59" s="343"/>
      <c r="K59" s="343"/>
      <c r="L59" s="343"/>
      <c r="M59" s="343"/>
      <c r="N59" s="343"/>
      <c r="O59" s="343"/>
      <c r="P59" s="343"/>
      <c r="Q59" s="346"/>
      <c r="R59" s="343"/>
      <c r="S59" s="343"/>
      <c r="T59" s="343"/>
      <c r="U59" s="343"/>
      <c r="V59" s="343"/>
      <c r="W59" s="343"/>
      <c r="X59" s="343"/>
      <c r="Y59" s="343"/>
      <c r="Z59" s="343"/>
    </row>
    <row r="60" ht="15.75" customHeight="1">
      <c r="A60" s="343"/>
      <c r="B60" s="343"/>
      <c r="C60" s="345"/>
      <c r="D60" s="343"/>
      <c r="E60" s="343"/>
      <c r="F60" s="343"/>
      <c r="G60" s="343"/>
      <c r="H60" s="343"/>
      <c r="I60" s="343"/>
      <c r="J60" s="343"/>
      <c r="K60" s="343"/>
      <c r="L60" s="343"/>
      <c r="M60" s="343"/>
      <c r="N60" s="343"/>
      <c r="O60" s="343"/>
      <c r="P60" s="343"/>
      <c r="Q60" s="346"/>
      <c r="R60" s="343"/>
      <c r="S60" s="343"/>
      <c r="T60" s="343"/>
      <c r="U60" s="343"/>
      <c r="V60" s="343"/>
      <c r="W60" s="343"/>
      <c r="X60" s="343"/>
      <c r="Y60" s="343"/>
      <c r="Z60" s="343"/>
    </row>
    <row r="61" ht="15.75" customHeight="1">
      <c r="A61" s="343"/>
      <c r="B61" s="343"/>
      <c r="C61" s="345"/>
      <c r="D61" s="343"/>
      <c r="E61" s="343"/>
      <c r="F61" s="343"/>
      <c r="G61" s="343"/>
      <c r="H61" s="343"/>
      <c r="I61" s="343"/>
      <c r="J61" s="343"/>
      <c r="K61" s="343"/>
      <c r="L61" s="343"/>
      <c r="M61" s="343"/>
      <c r="N61" s="343"/>
      <c r="O61" s="343"/>
      <c r="P61" s="343"/>
      <c r="Q61" s="346"/>
      <c r="R61" s="343"/>
      <c r="S61" s="343"/>
      <c r="T61" s="343"/>
      <c r="U61" s="343"/>
      <c r="V61" s="343"/>
      <c r="W61" s="343"/>
      <c r="X61" s="343"/>
      <c r="Y61" s="343"/>
      <c r="Z61" s="343"/>
    </row>
    <row r="62" ht="15.75" customHeight="1">
      <c r="A62" s="343"/>
      <c r="B62" s="343"/>
      <c r="C62" s="345"/>
      <c r="D62" s="343"/>
      <c r="E62" s="343"/>
      <c r="F62" s="343"/>
      <c r="G62" s="343"/>
      <c r="H62" s="343"/>
      <c r="I62" s="343"/>
      <c r="J62" s="343"/>
      <c r="K62" s="343"/>
      <c r="L62" s="343"/>
      <c r="M62" s="343"/>
      <c r="N62" s="343"/>
      <c r="O62" s="343"/>
      <c r="P62" s="343"/>
      <c r="Q62" s="346"/>
      <c r="R62" s="343"/>
      <c r="S62" s="343"/>
      <c r="T62" s="343"/>
      <c r="U62" s="343"/>
      <c r="V62" s="343"/>
      <c r="W62" s="343"/>
      <c r="X62" s="343"/>
      <c r="Y62" s="343"/>
      <c r="Z62" s="343"/>
    </row>
    <row r="63" ht="15.75" customHeight="1">
      <c r="A63" s="343"/>
      <c r="B63" s="343"/>
      <c r="C63" s="345"/>
      <c r="D63" s="343"/>
      <c r="E63" s="343"/>
      <c r="F63" s="343"/>
      <c r="G63" s="343"/>
      <c r="H63" s="343"/>
      <c r="I63" s="343"/>
      <c r="J63" s="343"/>
      <c r="K63" s="343"/>
      <c r="L63" s="343"/>
      <c r="M63" s="343"/>
      <c r="N63" s="343"/>
      <c r="O63" s="343"/>
      <c r="P63" s="343"/>
      <c r="Q63" s="346"/>
      <c r="R63" s="343"/>
      <c r="S63" s="343"/>
      <c r="T63" s="343"/>
      <c r="U63" s="343"/>
      <c r="V63" s="343"/>
      <c r="W63" s="343"/>
      <c r="X63" s="343"/>
      <c r="Y63" s="343"/>
      <c r="Z63" s="343"/>
    </row>
    <row r="64" ht="15.75" customHeight="1">
      <c r="A64" s="343"/>
      <c r="B64" s="343"/>
      <c r="C64" s="345"/>
      <c r="D64" s="343"/>
      <c r="E64" s="343"/>
      <c r="F64" s="343"/>
      <c r="G64" s="343"/>
      <c r="H64" s="343"/>
      <c r="I64" s="343"/>
      <c r="J64" s="343"/>
      <c r="K64" s="343"/>
      <c r="L64" s="343"/>
      <c r="M64" s="343"/>
      <c r="N64" s="343"/>
      <c r="O64" s="343"/>
      <c r="P64" s="343"/>
      <c r="Q64" s="346"/>
      <c r="R64" s="343"/>
      <c r="S64" s="343"/>
      <c r="T64" s="343"/>
      <c r="U64" s="343"/>
      <c r="V64" s="343"/>
      <c r="W64" s="343"/>
      <c r="X64" s="343"/>
      <c r="Y64" s="343"/>
      <c r="Z64" s="343"/>
    </row>
    <row r="65" ht="15.75" customHeight="1">
      <c r="A65" s="343"/>
      <c r="B65" s="343"/>
      <c r="C65" s="345"/>
      <c r="D65" s="343"/>
      <c r="E65" s="343"/>
      <c r="F65" s="343"/>
      <c r="G65" s="343"/>
      <c r="H65" s="343"/>
      <c r="I65" s="343"/>
      <c r="J65" s="343"/>
      <c r="K65" s="343"/>
      <c r="L65" s="343"/>
      <c r="M65" s="343"/>
      <c r="N65" s="343"/>
      <c r="O65" s="343"/>
      <c r="P65" s="343"/>
      <c r="Q65" s="346"/>
      <c r="R65" s="343"/>
      <c r="S65" s="343"/>
      <c r="T65" s="343"/>
      <c r="U65" s="343"/>
      <c r="V65" s="343"/>
      <c r="W65" s="343"/>
      <c r="X65" s="343"/>
      <c r="Y65" s="343"/>
      <c r="Z65" s="343"/>
    </row>
    <row r="66" ht="15.75" customHeight="1">
      <c r="A66" s="343"/>
      <c r="B66" s="343"/>
      <c r="C66" s="345"/>
      <c r="D66" s="343"/>
      <c r="E66" s="343"/>
      <c r="F66" s="343"/>
      <c r="G66" s="343"/>
      <c r="H66" s="343"/>
      <c r="I66" s="343"/>
      <c r="J66" s="343"/>
      <c r="K66" s="343"/>
      <c r="L66" s="343"/>
      <c r="M66" s="343"/>
      <c r="N66" s="343"/>
      <c r="O66" s="343"/>
      <c r="P66" s="343"/>
      <c r="Q66" s="346"/>
      <c r="R66" s="343"/>
      <c r="S66" s="343"/>
      <c r="T66" s="343"/>
      <c r="U66" s="343"/>
      <c r="V66" s="343"/>
      <c r="W66" s="343"/>
      <c r="X66" s="343"/>
      <c r="Y66" s="343"/>
      <c r="Z66" s="343"/>
    </row>
    <row r="67" ht="15.75" customHeight="1">
      <c r="A67" s="343"/>
      <c r="B67" s="343"/>
      <c r="C67" s="345"/>
      <c r="D67" s="343"/>
      <c r="E67" s="343"/>
      <c r="F67" s="343"/>
      <c r="G67" s="343"/>
      <c r="H67" s="343"/>
      <c r="I67" s="343"/>
      <c r="J67" s="343"/>
      <c r="K67" s="343"/>
      <c r="L67" s="343"/>
      <c r="M67" s="343"/>
      <c r="N67" s="343"/>
      <c r="O67" s="343"/>
      <c r="P67" s="343"/>
      <c r="Q67" s="346"/>
      <c r="R67" s="343"/>
      <c r="S67" s="343"/>
      <c r="T67" s="343"/>
      <c r="U67" s="343"/>
      <c r="V67" s="343"/>
      <c r="W67" s="343"/>
      <c r="X67" s="343"/>
      <c r="Y67" s="343"/>
      <c r="Z67" s="343"/>
    </row>
    <row r="68" ht="15.75" customHeight="1">
      <c r="A68" s="343"/>
      <c r="B68" s="343"/>
      <c r="C68" s="345"/>
      <c r="D68" s="343"/>
      <c r="E68" s="343"/>
      <c r="F68" s="343"/>
      <c r="G68" s="343"/>
      <c r="H68" s="343"/>
      <c r="I68" s="343"/>
      <c r="J68" s="343"/>
      <c r="K68" s="343"/>
      <c r="L68" s="343"/>
      <c r="M68" s="343"/>
      <c r="N68" s="343"/>
      <c r="O68" s="343"/>
      <c r="P68" s="343"/>
      <c r="Q68" s="346"/>
      <c r="R68" s="343"/>
      <c r="S68" s="343"/>
      <c r="T68" s="343"/>
      <c r="U68" s="343"/>
      <c r="V68" s="343"/>
      <c r="W68" s="343"/>
      <c r="X68" s="343"/>
      <c r="Y68" s="343"/>
      <c r="Z68" s="343"/>
    </row>
    <row r="69" ht="15.75" customHeight="1">
      <c r="A69" s="343"/>
      <c r="B69" s="343"/>
      <c r="C69" s="345"/>
      <c r="D69" s="343"/>
      <c r="E69" s="343"/>
      <c r="F69" s="343"/>
      <c r="G69" s="343"/>
      <c r="H69" s="343"/>
      <c r="I69" s="343"/>
      <c r="J69" s="343"/>
      <c r="K69" s="343"/>
      <c r="L69" s="343"/>
      <c r="M69" s="343"/>
      <c r="N69" s="343"/>
      <c r="O69" s="343"/>
      <c r="P69" s="343"/>
      <c r="Q69" s="346"/>
      <c r="R69" s="343"/>
      <c r="S69" s="343"/>
      <c r="T69" s="343"/>
      <c r="U69" s="343"/>
      <c r="V69" s="343"/>
      <c r="W69" s="343"/>
      <c r="X69" s="343"/>
      <c r="Y69" s="343"/>
      <c r="Z69" s="343"/>
    </row>
    <row r="70" ht="15.75" customHeight="1">
      <c r="A70" s="343"/>
      <c r="B70" s="343"/>
      <c r="C70" s="345"/>
      <c r="D70" s="343"/>
      <c r="E70" s="343"/>
      <c r="F70" s="343"/>
      <c r="G70" s="343"/>
      <c r="H70" s="343"/>
      <c r="I70" s="343"/>
      <c r="J70" s="343"/>
      <c r="K70" s="343"/>
      <c r="L70" s="343"/>
      <c r="M70" s="343"/>
      <c r="N70" s="343"/>
      <c r="O70" s="343"/>
      <c r="P70" s="343"/>
      <c r="Q70" s="346"/>
      <c r="R70" s="343"/>
      <c r="S70" s="343"/>
      <c r="T70" s="343"/>
      <c r="U70" s="343"/>
      <c r="V70" s="343"/>
      <c r="W70" s="343"/>
      <c r="X70" s="343"/>
      <c r="Y70" s="343"/>
      <c r="Z70" s="343"/>
    </row>
    <row r="71" ht="15.75" customHeight="1">
      <c r="A71" s="343"/>
      <c r="B71" s="343"/>
      <c r="C71" s="345"/>
      <c r="D71" s="343"/>
      <c r="E71" s="343"/>
      <c r="F71" s="343"/>
      <c r="G71" s="343"/>
      <c r="H71" s="343"/>
      <c r="I71" s="343"/>
      <c r="J71" s="343"/>
      <c r="K71" s="343"/>
      <c r="L71" s="343"/>
      <c r="M71" s="343"/>
      <c r="N71" s="343"/>
      <c r="O71" s="343"/>
      <c r="P71" s="343"/>
      <c r="Q71" s="346"/>
      <c r="R71" s="343"/>
      <c r="S71" s="343"/>
      <c r="T71" s="343"/>
      <c r="U71" s="343"/>
      <c r="V71" s="343"/>
      <c r="W71" s="343"/>
      <c r="X71" s="343"/>
      <c r="Y71" s="343"/>
      <c r="Z71" s="343"/>
    </row>
    <row r="72" ht="15.75" customHeight="1">
      <c r="A72" s="343"/>
      <c r="B72" s="343"/>
      <c r="C72" s="345"/>
      <c r="D72" s="343"/>
      <c r="E72" s="343"/>
      <c r="F72" s="343"/>
      <c r="G72" s="343"/>
      <c r="H72" s="343"/>
      <c r="I72" s="343"/>
      <c r="J72" s="343"/>
      <c r="K72" s="343"/>
      <c r="L72" s="343"/>
      <c r="M72" s="343"/>
      <c r="N72" s="343"/>
      <c r="O72" s="343"/>
      <c r="P72" s="343"/>
      <c r="Q72" s="346"/>
      <c r="R72" s="343"/>
      <c r="S72" s="343"/>
      <c r="T72" s="343"/>
      <c r="U72" s="343"/>
      <c r="V72" s="343"/>
      <c r="W72" s="343"/>
      <c r="X72" s="343"/>
      <c r="Y72" s="343"/>
      <c r="Z72" s="343"/>
    </row>
    <row r="73" ht="15.75" customHeight="1">
      <c r="A73" s="343"/>
      <c r="B73" s="343"/>
      <c r="C73" s="345"/>
      <c r="D73" s="343"/>
      <c r="E73" s="343"/>
      <c r="F73" s="343"/>
      <c r="G73" s="343"/>
      <c r="H73" s="343"/>
      <c r="I73" s="343"/>
      <c r="J73" s="343"/>
      <c r="K73" s="343"/>
      <c r="L73" s="343"/>
      <c r="M73" s="343"/>
      <c r="N73" s="343"/>
      <c r="O73" s="343"/>
      <c r="P73" s="343"/>
      <c r="Q73" s="346"/>
      <c r="R73" s="343"/>
      <c r="S73" s="343"/>
      <c r="T73" s="343"/>
      <c r="U73" s="343"/>
      <c r="V73" s="343"/>
      <c r="W73" s="343"/>
      <c r="X73" s="343"/>
      <c r="Y73" s="343"/>
      <c r="Z73" s="343"/>
    </row>
    <row r="74" ht="15.75" customHeight="1">
      <c r="A74" s="343"/>
      <c r="B74" s="343"/>
      <c r="C74" s="345"/>
      <c r="D74" s="343"/>
      <c r="E74" s="343"/>
      <c r="F74" s="343"/>
      <c r="G74" s="343"/>
      <c r="H74" s="343"/>
      <c r="I74" s="343"/>
      <c r="J74" s="343"/>
      <c r="K74" s="343"/>
      <c r="L74" s="343"/>
      <c r="M74" s="343"/>
      <c r="N74" s="343"/>
      <c r="O74" s="343"/>
      <c r="P74" s="343"/>
      <c r="Q74" s="346"/>
      <c r="R74" s="343"/>
      <c r="S74" s="343"/>
      <c r="T74" s="343"/>
      <c r="U74" s="343"/>
      <c r="V74" s="343"/>
      <c r="W74" s="343"/>
      <c r="X74" s="343"/>
      <c r="Y74" s="343"/>
      <c r="Z74" s="343"/>
    </row>
    <row r="75" ht="15.75" customHeight="1">
      <c r="A75" s="343"/>
      <c r="B75" s="343"/>
      <c r="C75" s="345"/>
      <c r="D75" s="343"/>
      <c r="E75" s="343"/>
      <c r="F75" s="343"/>
      <c r="G75" s="343"/>
      <c r="H75" s="343"/>
      <c r="I75" s="343"/>
      <c r="J75" s="343"/>
      <c r="K75" s="343"/>
      <c r="L75" s="343"/>
      <c r="M75" s="343"/>
      <c r="N75" s="343"/>
      <c r="O75" s="343"/>
      <c r="P75" s="343"/>
      <c r="Q75" s="346"/>
      <c r="R75" s="343"/>
      <c r="S75" s="343"/>
      <c r="T75" s="343"/>
      <c r="U75" s="343"/>
      <c r="V75" s="343"/>
      <c r="W75" s="343"/>
      <c r="X75" s="343"/>
      <c r="Y75" s="343"/>
      <c r="Z75" s="343"/>
    </row>
    <row r="76" ht="15.75" customHeight="1">
      <c r="A76" s="343"/>
      <c r="B76" s="343"/>
      <c r="C76" s="345"/>
      <c r="D76" s="343"/>
      <c r="E76" s="343"/>
      <c r="F76" s="343"/>
      <c r="G76" s="343"/>
      <c r="H76" s="343"/>
      <c r="I76" s="343"/>
      <c r="J76" s="343"/>
      <c r="K76" s="343"/>
      <c r="L76" s="343"/>
      <c r="M76" s="343"/>
      <c r="N76" s="343"/>
      <c r="O76" s="343"/>
      <c r="P76" s="343"/>
      <c r="Q76" s="346"/>
      <c r="R76" s="343"/>
      <c r="S76" s="343"/>
      <c r="T76" s="343"/>
      <c r="U76" s="343"/>
      <c r="V76" s="343"/>
      <c r="W76" s="343"/>
      <c r="X76" s="343"/>
      <c r="Y76" s="343"/>
      <c r="Z76" s="343"/>
    </row>
    <row r="77" ht="15.75" customHeight="1">
      <c r="A77" s="343"/>
      <c r="B77" s="343"/>
      <c r="C77" s="345"/>
      <c r="D77" s="343"/>
      <c r="E77" s="343"/>
      <c r="F77" s="343"/>
      <c r="G77" s="343"/>
      <c r="H77" s="343"/>
      <c r="I77" s="343"/>
      <c r="J77" s="343"/>
      <c r="K77" s="343"/>
      <c r="L77" s="343"/>
      <c r="M77" s="343"/>
      <c r="N77" s="343"/>
      <c r="O77" s="343"/>
      <c r="P77" s="343"/>
      <c r="Q77" s="346"/>
      <c r="R77" s="343"/>
      <c r="S77" s="343"/>
      <c r="T77" s="343"/>
      <c r="U77" s="343"/>
      <c r="V77" s="343"/>
      <c r="W77" s="343"/>
      <c r="X77" s="343"/>
      <c r="Y77" s="343"/>
      <c r="Z77" s="343"/>
    </row>
    <row r="78" ht="15.75" customHeight="1">
      <c r="A78" s="343"/>
      <c r="B78" s="343"/>
      <c r="C78" s="345"/>
      <c r="D78" s="343"/>
      <c r="E78" s="343"/>
      <c r="F78" s="343"/>
      <c r="G78" s="343"/>
      <c r="H78" s="343"/>
      <c r="I78" s="343"/>
      <c r="J78" s="343"/>
      <c r="K78" s="343"/>
      <c r="L78" s="343"/>
      <c r="M78" s="343"/>
      <c r="N78" s="343"/>
      <c r="O78" s="343"/>
      <c r="P78" s="343"/>
      <c r="Q78" s="346"/>
      <c r="R78" s="343"/>
      <c r="S78" s="343"/>
      <c r="T78" s="343"/>
      <c r="U78" s="343"/>
      <c r="V78" s="343"/>
      <c r="W78" s="343"/>
      <c r="X78" s="343"/>
      <c r="Y78" s="343"/>
      <c r="Z78" s="343"/>
    </row>
    <row r="79" ht="15.75" customHeight="1">
      <c r="A79" s="343"/>
      <c r="B79" s="343"/>
      <c r="C79" s="345"/>
      <c r="D79" s="343"/>
      <c r="E79" s="343"/>
      <c r="F79" s="343"/>
      <c r="G79" s="343"/>
      <c r="H79" s="343"/>
      <c r="I79" s="343"/>
      <c r="J79" s="343"/>
      <c r="K79" s="343"/>
      <c r="L79" s="343"/>
      <c r="M79" s="343"/>
      <c r="N79" s="343"/>
      <c r="O79" s="343"/>
      <c r="P79" s="343"/>
      <c r="Q79" s="346"/>
      <c r="R79" s="343"/>
      <c r="S79" s="343"/>
      <c r="T79" s="343"/>
      <c r="U79" s="343"/>
      <c r="V79" s="343"/>
      <c r="W79" s="343"/>
      <c r="X79" s="343"/>
      <c r="Y79" s="343"/>
      <c r="Z79" s="343"/>
    </row>
    <row r="80" ht="15.75" customHeight="1">
      <c r="A80" s="343"/>
      <c r="B80" s="343"/>
      <c r="C80" s="345"/>
      <c r="D80" s="343"/>
      <c r="E80" s="343"/>
      <c r="F80" s="343"/>
      <c r="G80" s="343"/>
      <c r="H80" s="343"/>
      <c r="I80" s="343"/>
      <c r="J80" s="343"/>
      <c r="K80" s="343"/>
      <c r="L80" s="343"/>
      <c r="M80" s="343"/>
      <c r="N80" s="343"/>
      <c r="O80" s="343"/>
      <c r="P80" s="343"/>
      <c r="Q80" s="346"/>
      <c r="R80" s="343"/>
      <c r="S80" s="343"/>
      <c r="T80" s="343"/>
      <c r="U80" s="343"/>
      <c r="V80" s="343"/>
      <c r="W80" s="343"/>
      <c r="X80" s="343"/>
      <c r="Y80" s="343"/>
      <c r="Z80" s="343"/>
    </row>
    <row r="81" ht="15.75" customHeight="1">
      <c r="A81" s="343"/>
      <c r="B81" s="343"/>
      <c r="C81" s="345"/>
      <c r="D81" s="343"/>
      <c r="E81" s="343"/>
      <c r="F81" s="343"/>
      <c r="G81" s="343"/>
      <c r="H81" s="343"/>
      <c r="I81" s="343"/>
      <c r="J81" s="343"/>
      <c r="K81" s="343"/>
      <c r="L81" s="343"/>
      <c r="M81" s="343"/>
      <c r="N81" s="343"/>
      <c r="O81" s="343"/>
      <c r="P81" s="343"/>
      <c r="Q81" s="346"/>
      <c r="R81" s="343"/>
      <c r="S81" s="343"/>
      <c r="T81" s="343"/>
      <c r="U81" s="343"/>
      <c r="V81" s="343"/>
      <c r="W81" s="343"/>
      <c r="X81" s="343"/>
      <c r="Y81" s="343"/>
      <c r="Z81" s="343"/>
    </row>
    <row r="82" ht="15.75" customHeight="1">
      <c r="A82" s="343"/>
      <c r="B82" s="343"/>
      <c r="C82" s="345"/>
      <c r="D82" s="343"/>
      <c r="E82" s="343"/>
      <c r="F82" s="343"/>
      <c r="G82" s="343"/>
      <c r="H82" s="343"/>
      <c r="I82" s="343"/>
      <c r="J82" s="343"/>
      <c r="K82" s="343"/>
      <c r="L82" s="343"/>
      <c r="M82" s="343"/>
      <c r="N82" s="343"/>
      <c r="O82" s="343"/>
      <c r="P82" s="343"/>
      <c r="Q82" s="346"/>
      <c r="R82" s="343"/>
      <c r="S82" s="343"/>
      <c r="T82" s="343"/>
      <c r="U82" s="343"/>
      <c r="V82" s="343"/>
      <c r="W82" s="343"/>
      <c r="X82" s="343"/>
      <c r="Y82" s="343"/>
      <c r="Z82" s="343"/>
    </row>
    <row r="83" ht="15.75" customHeight="1">
      <c r="A83" s="343"/>
      <c r="B83" s="343"/>
      <c r="C83" s="345"/>
      <c r="D83" s="343"/>
      <c r="E83" s="343"/>
      <c r="F83" s="343"/>
      <c r="G83" s="343"/>
      <c r="H83" s="343"/>
      <c r="I83" s="343"/>
      <c r="J83" s="343"/>
      <c r="K83" s="343"/>
      <c r="L83" s="343"/>
      <c r="M83" s="343"/>
      <c r="N83" s="343"/>
      <c r="O83" s="343"/>
      <c r="P83" s="343"/>
      <c r="Q83" s="346"/>
      <c r="R83" s="343"/>
      <c r="S83" s="343"/>
      <c r="T83" s="343"/>
      <c r="U83" s="343"/>
      <c r="V83" s="343"/>
      <c r="W83" s="343"/>
      <c r="X83" s="343"/>
      <c r="Y83" s="343"/>
      <c r="Z83" s="343"/>
    </row>
    <row r="84" ht="15.75" customHeight="1">
      <c r="A84" s="343"/>
      <c r="B84" s="343"/>
      <c r="C84" s="345"/>
      <c r="D84" s="343"/>
      <c r="E84" s="343"/>
      <c r="F84" s="343"/>
      <c r="G84" s="343"/>
      <c r="H84" s="343"/>
      <c r="I84" s="343"/>
      <c r="J84" s="343"/>
      <c r="K84" s="343"/>
      <c r="L84" s="343"/>
      <c r="M84" s="343"/>
      <c r="N84" s="343"/>
      <c r="O84" s="343"/>
      <c r="P84" s="343"/>
      <c r="Q84" s="346"/>
      <c r="R84" s="343"/>
      <c r="S84" s="343"/>
      <c r="T84" s="343"/>
      <c r="U84" s="343"/>
      <c r="V84" s="343"/>
      <c r="W84" s="343"/>
      <c r="X84" s="343"/>
      <c r="Y84" s="343"/>
      <c r="Z84" s="343"/>
    </row>
    <row r="85" ht="15.75" customHeight="1">
      <c r="A85" s="343"/>
      <c r="B85" s="343"/>
      <c r="C85" s="345"/>
      <c r="D85" s="343"/>
      <c r="E85" s="343"/>
      <c r="F85" s="343"/>
      <c r="G85" s="343"/>
      <c r="H85" s="343"/>
      <c r="I85" s="343"/>
      <c r="J85" s="343"/>
      <c r="K85" s="343"/>
      <c r="L85" s="343"/>
      <c r="M85" s="343"/>
      <c r="N85" s="343"/>
      <c r="O85" s="343"/>
      <c r="P85" s="343"/>
      <c r="Q85" s="346"/>
      <c r="R85" s="343"/>
      <c r="S85" s="343"/>
      <c r="T85" s="343"/>
      <c r="U85" s="343"/>
      <c r="V85" s="343"/>
      <c r="W85" s="343"/>
      <c r="X85" s="343"/>
      <c r="Y85" s="343"/>
      <c r="Z85" s="343"/>
    </row>
    <row r="86" ht="15.75" customHeight="1">
      <c r="A86" s="343"/>
      <c r="B86" s="343"/>
      <c r="C86" s="345"/>
      <c r="D86" s="343"/>
      <c r="E86" s="343"/>
      <c r="F86" s="343"/>
      <c r="G86" s="343"/>
      <c r="H86" s="343"/>
      <c r="I86" s="343"/>
      <c r="J86" s="343"/>
      <c r="K86" s="343"/>
      <c r="L86" s="343"/>
      <c r="M86" s="343"/>
      <c r="N86" s="343"/>
      <c r="O86" s="343"/>
      <c r="P86" s="343"/>
      <c r="Q86" s="346"/>
      <c r="R86" s="343"/>
      <c r="S86" s="343"/>
      <c r="T86" s="343"/>
      <c r="U86" s="343"/>
      <c r="V86" s="343"/>
      <c r="W86" s="343"/>
      <c r="X86" s="343"/>
      <c r="Y86" s="343"/>
      <c r="Z86" s="343"/>
    </row>
    <row r="87" ht="15.75" customHeight="1">
      <c r="A87" s="343"/>
      <c r="B87" s="343"/>
      <c r="C87" s="345"/>
      <c r="D87" s="343"/>
      <c r="E87" s="343"/>
      <c r="F87" s="343"/>
      <c r="G87" s="343"/>
      <c r="H87" s="343"/>
      <c r="I87" s="343"/>
      <c r="J87" s="343"/>
      <c r="K87" s="343"/>
      <c r="L87" s="343"/>
      <c r="M87" s="343"/>
      <c r="N87" s="343"/>
      <c r="O87" s="343"/>
      <c r="P87" s="343"/>
      <c r="Q87" s="346"/>
      <c r="R87" s="343"/>
      <c r="S87" s="343"/>
      <c r="T87" s="343"/>
      <c r="U87" s="343"/>
      <c r="V87" s="343"/>
      <c r="W87" s="343"/>
      <c r="X87" s="343"/>
      <c r="Y87" s="343"/>
      <c r="Z87" s="343"/>
    </row>
    <row r="88" ht="15.75" customHeight="1">
      <c r="A88" s="343"/>
      <c r="B88" s="343"/>
      <c r="C88" s="345"/>
      <c r="D88" s="343"/>
      <c r="E88" s="343"/>
      <c r="F88" s="343"/>
      <c r="G88" s="343"/>
      <c r="H88" s="343"/>
      <c r="I88" s="343"/>
      <c r="J88" s="343"/>
      <c r="K88" s="343"/>
      <c r="L88" s="343"/>
      <c r="M88" s="343"/>
      <c r="N88" s="343"/>
      <c r="O88" s="343"/>
      <c r="P88" s="343"/>
      <c r="Q88" s="346"/>
      <c r="R88" s="343"/>
      <c r="S88" s="343"/>
      <c r="T88" s="343"/>
      <c r="U88" s="343"/>
      <c r="V88" s="343"/>
      <c r="W88" s="343"/>
      <c r="X88" s="343"/>
      <c r="Y88" s="343"/>
      <c r="Z88" s="343"/>
    </row>
    <row r="89" ht="15.75" customHeight="1">
      <c r="A89" s="343"/>
      <c r="B89" s="343"/>
      <c r="C89" s="345"/>
      <c r="D89" s="343"/>
      <c r="E89" s="343"/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6"/>
      <c r="R89" s="343"/>
      <c r="S89" s="343"/>
      <c r="T89" s="343"/>
      <c r="U89" s="343"/>
      <c r="V89" s="343"/>
      <c r="W89" s="343"/>
      <c r="X89" s="343"/>
      <c r="Y89" s="343"/>
      <c r="Z89" s="343"/>
    </row>
    <row r="90" ht="15.75" customHeight="1">
      <c r="A90" s="343"/>
      <c r="B90" s="343"/>
      <c r="C90" s="345"/>
      <c r="D90" s="343"/>
      <c r="E90" s="343"/>
      <c r="F90" s="343"/>
      <c r="G90" s="343"/>
      <c r="H90" s="343"/>
      <c r="I90" s="343"/>
      <c r="J90" s="343"/>
      <c r="K90" s="343"/>
      <c r="L90" s="343"/>
      <c r="M90" s="343"/>
      <c r="N90" s="343"/>
      <c r="O90" s="343"/>
      <c r="P90" s="343"/>
      <c r="Q90" s="346"/>
      <c r="R90" s="343"/>
      <c r="S90" s="343"/>
      <c r="T90" s="343"/>
      <c r="U90" s="343"/>
      <c r="V90" s="343"/>
      <c r="W90" s="343"/>
      <c r="X90" s="343"/>
      <c r="Y90" s="343"/>
      <c r="Z90" s="343"/>
    </row>
    <row r="91" ht="15.75" customHeight="1">
      <c r="A91" s="343"/>
      <c r="B91" s="343"/>
      <c r="C91" s="345"/>
      <c r="D91" s="343"/>
      <c r="E91" s="343"/>
      <c r="F91" s="343"/>
      <c r="G91" s="343"/>
      <c r="H91" s="343"/>
      <c r="I91" s="343"/>
      <c r="J91" s="343"/>
      <c r="K91" s="343"/>
      <c r="L91" s="343"/>
      <c r="M91" s="343"/>
      <c r="N91" s="343"/>
      <c r="O91" s="343"/>
      <c r="P91" s="343"/>
      <c r="Q91" s="346"/>
      <c r="R91" s="343"/>
      <c r="S91" s="343"/>
      <c r="T91" s="343"/>
      <c r="U91" s="343"/>
      <c r="V91" s="343"/>
      <c r="W91" s="343"/>
      <c r="X91" s="343"/>
      <c r="Y91" s="343"/>
      <c r="Z91" s="343"/>
    </row>
    <row r="92" ht="15.75" customHeight="1">
      <c r="A92" s="343"/>
      <c r="B92" s="343"/>
      <c r="C92" s="345"/>
      <c r="D92" s="343"/>
      <c r="E92" s="343"/>
      <c r="F92" s="343"/>
      <c r="G92" s="343"/>
      <c r="H92" s="343"/>
      <c r="I92" s="343"/>
      <c r="J92" s="343"/>
      <c r="K92" s="343"/>
      <c r="L92" s="343"/>
      <c r="M92" s="343"/>
      <c r="N92" s="343"/>
      <c r="O92" s="343"/>
      <c r="P92" s="343"/>
      <c r="Q92" s="346"/>
      <c r="R92" s="343"/>
      <c r="S92" s="343"/>
      <c r="T92" s="343"/>
      <c r="U92" s="343"/>
      <c r="V92" s="343"/>
      <c r="W92" s="343"/>
      <c r="X92" s="343"/>
      <c r="Y92" s="343"/>
      <c r="Z92" s="343"/>
    </row>
    <row r="93" ht="15.75" customHeight="1">
      <c r="A93" s="343"/>
      <c r="B93" s="343"/>
      <c r="C93" s="345"/>
      <c r="D93" s="343"/>
      <c r="E93" s="343"/>
      <c r="F93" s="343"/>
      <c r="G93" s="343"/>
      <c r="H93" s="343"/>
      <c r="I93" s="343"/>
      <c r="J93" s="343"/>
      <c r="K93" s="343"/>
      <c r="L93" s="343"/>
      <c r="M93" s="343"/>
      <c r="N93" s="343"/>
      <c r="O93" s="343"/>
      <c r="P93" s="343"/>
      <c r="Q93" s="346"/>
      <c r="R93" s="343"/>
      <c r="S93" s="343"/>
      <c r="T93" s="343"/>
      <c r="U93" s="343"/>
      <c r="V93" s="343"/>
      <c r="W93" s="343"/>
      <c r="X93" s="343"/>
      <c r="Y93" s="343"/>
      <c r="Z93" s="343"/>
    </row>
    <row r="94" ht="15.75" customHeight="1">
      <c r="A94" s="343"/>
      <c r="B94" s="343"/>
      <c r="C94" s="345"/>
      <c r="D94" s="343"/>
      <c r="E94" s="343"/>
      <c r="F94" s="343"/>
      <c r="G94" s="343"/>
      <c r="H94" s="343"/>
      <c r="I94" s="343"/>
      <c r="J94" s="343"/>
      <c r="K94" s="343"/>
      <c r="L94" s="343"/>
      <c r="M94" s="343"/>
      <c r="N94" s="343"/>
      <c r="O94" s="343"/>
      <c r="P94" s="343"/>
      <c r="Q94" s="346"/>
      <c r="R94" s="343"/>
      <c r="S94" s="343"/>
      <c r="T94" s="343"/>
      <c r="U94" s="343"/>
      <c r="V94" s="343"/>
      <c r="W94" s="343"/>
      <c r="X94" s="343"/>
      <c r="Y94" s="343"/>
      <c r="Z94" s="343"/>
    </row>
    <row r="95" ht="15.75" customHeight="1">
      <c r="A95" s="343"/>
      <c r="B95" s="343"/>
      <c r="C95" s="345"/>
      <c r="D95" s="343"/>
      <c r="E95" s="343"/>
      <c r="F95" s="343"/>
      <c r="G95" s="343"/>
      <c r="H95" s="343"/>
      <c r="I95" s="343"/>
      <c r="J95" s="343"/>
      <c r="K95" s="343"/>
      <c r="L95" s="343"/>
      <c r="M95" s="343"/>
      <c r="N95" s="343"/>
      <c r="O95" s="343"/>
      <c r="P95" s="343"/>
      <c r="Q95" s="346"/>
      <c r="R95" s="343"/>
      <c r="S95" s="343"/>
      <c r="T95" s="343"/>
      <c r="U95" s="343"/>
      <c r="V95" s="343"/>
      <c r="W95" s="343"/>
      <c r="X95" s="343"/>
      <c r="Y95" s="343"/>
      <c r="Z95" s="343"/>
    </row>
    <row r="96" ht="15.75" customHeight="1">
      <c r="A96" s="343"/>
      <c r="B96" s="343"/>
      <c r="C96" s="345"/>
      <c r="D96" s="343"/>
      <c r="E96" s="343"/>
      <c r="F96" s="343"/>
      <c r="G96" s="343"/>
      <c r="H96" s="343"/>
      <c r="I96" s="343"/>
      <c r="J96" s="343"/>
      <c r="K96" s="343"/>
      <c r="L96" s="343"/>
      <c r="M96" s="343"/>
      <c r="N96" s="343"/>
      <c r="O96" s="343"/>
      <c r="P96" s="343"/>
      <c r="Q96" s="346"/>
      <c r="R96" s="343"/>
      <c r="S96" s="343"/>
      <c r="T96" s="343"/>
      <c r="U96" s="343"/>
      <c r="V96" s="343"/>
      <c r="W96" s="343"/>
      <c r="X96" s="343"/>
      <c r="Y96" s="343"/>
      <c r="Z96" s="343"/>
    </row>
    <row r="97" ht="15.75" customHeight="1">
      <c r="A97" s="343"/>
      <c r="B97" s="343"/>
      <c r="C97" s="345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3"/>
      <c r="Q97" s="346"/>
      <c r="R97" s="343"/>
      <c r="S97" s="343"/>
      <c r="T97" s="343"/>
      <c r="U97" s="343"/>
      <c r="V97" s="343"/>
      <c r="W97" s="343"/>
      <c r="X97" s="343"/>
      <c r="Y97" s="343"/>
      <c r="Z97" s="343"/>
    </row>
    <row r="98" ht="15.75" customHeight="1">
      <c r="A98" s="343"/>
      <c r="B98" s="343"/>
      <c r="C98" s="345"/>
      <c r="D98" s="343"/>
      <c r="E98" s="343"/>
      <c r="F98" s="343"/>
      <c r="G98" s="343"/>
      <c r="H98" s="343"/>
      <c r="I98" s="343"/>
      <c r="J98" s="343"/>
      <c r="K98" s="343"/>
      <c r="L98" s="343"/>
      <c r="M98" s="343"/>
      <c r="N98" s="343"/>
      <c r="O98" s="343"/>
      <c r="P98" s="343"/>
      <c r="Q98" s="346"/>
      <c r="R98" s="343"/>
      <c r="S98" s="343"/>
      <c r="T98" s="343"/>
      <c r="U98" s="343"/>
      <c r="V98" s="343"/>
      <c r="W98" s="343"/>
      <c r="X98" s="343"/>
      <c r="Y98" s="343"/>
      <c r="Z98" s="343"/>
    </row>
    <row r="99" ht="15.75" customHeight="1">
      <c r="A99" s="343"/>
      <c r="B99" s="343"/>
      <c r="C99" s="345"/>
      <c r="D99" s="343"/>
      <c r="E99" s="343"/>
      <c r="F99" s="343"/>
      <c r="G99" s="343"/>
      <c r="H99" s="343"/>
      <c r="I99" s="343"/>
      <c r="J99" s="343"/>
      <c r="K99" s="343"/>
      <c r="L99" s="343"/>
      <c r="M99" s="343"/>
      <c r="N99" s="343"/>
      <c r="O99" s="343"/>
      <c r="P99" s="343"/>
      <c r="Q99" s="346"/>
      <c r="R99" s="343"/>
      <c r="S99" s="343"/>
      <c r="T99" s="343"/>
      <c r="U99" s="343"/>
      <c r="V99" s="343"/>
      <c r="W99" s="343"/>
      <c r="X99" s="343"/>
      <c r="Y99" s="343"/>
      <c r="Z99" s="343"/>
    </row>
    <row r="100" ht="15.75" customHeight="1">
      <c r="A100" s="343"/>
      <c r="B100" s="343"/>
      <c r="C100" s="345"/>
      <c r="D100" s="343"/>
      <c r="E100" s="343"/>
      <c r="F100" s="343"/>
      <c r="G100" s="343"/>
      <c r="H100" s="343"/>
      <c r="I100" s="343"/>
      <c r="J100" s="343"/>
      <c r="K100" s="343"/>
      <c r="L100" s="343"/>
      <c r="M100" s="343"/>
      <c r="N100" s="343"/>
      <c r="O100" s="343"/>
      <c r="P100" s="343"/>
      <c r="Q100" s="346"/>
      <c r="R100" s="343"/>
      <c r="S100" s="343"/>
      <c r="T100" s="343"/>
      <c r="U100" s="343"/>
      <c r="V100" s="343"/>
      <c r="W100" s="343"/>
      <c r="X100" s="343"/>
      <c r="Y100" s="343"/>
      <c r="Z100" s="343"/>
    </row>
    <row r="101" ht="15.75" customHeight="1">
      <c r="A101" s="343"/>
      <c r="B101" s="343"/>
      <c r="C101" s="345"/>
      <c r="D101" s="343"/>
      <c r="E101" s="343"/>
      <c r="F101" s="343"/>
      <c r="G101" s="343"/>
      <c r="H101" s="343"/>
      <c r="I101" s="343"/>
      <c r="J101" s="343"/>
      <c r="K101" s="343"/>
      <c r="L101" s="343"/>
      <c r="M101" s="343"/>
      <c r="N101" s="343"/>
      <c r="O101" s="343"/>
      <c r="P101" s="343"/>
      <c r="Q101" s="346"/>
      <c r="R101" s="343"/>
      <c r="S101" s="343"/>
      <c r="T101" s="343"/>
      <c r="U101" s="343"/>
      <c r="V101" s="343"/>
      <c r="W101" s="343"/>
      <c r="X101" s="343"/>
      <c r="Y101" s="343"/>
      <c r="Z101" s="343"/>
    </row>
    <row r="102" ht="15.75" customHeight="1">
      <c r="A102" s="343"/>
      <c r="B102" s="343"/>
      <c r="C102" s="345"/>
      <c r="D102" s="343"/>
      <c r="E102" s="343"/>
      <c r="F102" s="343"/>
      <c r="G102" s="343"/>
      <c r="H102" s="343"/>
      <c r="I102" s="343"/>
      <c r="J102" s="343"/>
      <c r="K102" s="343"/>
      <c r="L102" s="343"/>
      <c r="M102" s="343"/>
      <c r="N102" s="343"/>
      <c r="O102" s="343"/>
      <c r="P102" s="343"/>
      <c r="Q102" s="346"/>
      <c r="R102" s="343"/>
      <c r="S102" s="343"/>
      <c r="T102" s="343"/>
      <c r="U102" s="343"/>
      <c r="V102" s="343"/>
      <c r="W102" s="343"/>
      <c r="X102" s="343"/>
      <c r="Y102" s="343"/>
      <c r="Z102" s="343"/>
    </row>
    <row r="103" ht="15.75" customHeight="1">
      <c r="A103" s="343"/>
      <c r="B103" s="343"/>
      <c r="C103" s="345"/>
      <c r="D103" s="343"/>
      <c r="E103" s="343"/>
      <c r="F103" s="343"/>
      <c r="G103" s="343"/>
      <c r="H103" s="343"/>
      <c r="I103" s="343"/>
      <c r="J103" s="343"/>
      <c r="K103" s="343"/>
      <c r="L103" s="343"/>
      <c r="M103" s="343"/>
      <c r="N103" s="343"/>
      <c r="O103" s="343"/>
      <c r="P103" s="343"/>
      <c r="Q103" s="346"/>
      <c r="R103" s="343"/>
      <c r="S103" s="343"/>
      <c r="T103" s="343"/>
      <c r="U103" s="343"/>
      <c r="V103" s="343"/>
      <c r="W103" s="343"/>
      <c r="X103" s="343"/>
      <c r="Y103" s="343"/>
      <c r="Z103" s="343"/>
    </row>
    <row r="104" ht="15.75" customHeight="1">
      <c r="A104" s="343"/>
      <c r="B104" s="343"/>
      <c r="C104" s="345"/>
      <c r="D104" s="343"/>
      <c r="E104" s="343"/>
      <c r="F104" s="343"/>
      <c r="G104" s="343"/>
      <c r="H104" s="343"/>
      <c r="I104" s="343"/>
      <c r="J104" s="343"/>
      <c r="K104" s="343"/>
      <c r="L104" s="343"/>
      <c r="M104" s="343"/>
      <c r="N104" s="343"/>
      <c r="O104" s="343"/>
      <c r="P104" s="343"/>
      <c r="Q104" s="346"/>
      <c r="R104" s="343"/>
      <c r="S104" s="343"/>
      <c r="T104" s="343"/>
      <c r="U104" s="343"/>
      <c r="V104" s="343"/>
      <c r="W104" s="343"/>
      <c r="X104" s="343"/>
      <c r="Y104" s="343"/>
      <c r="Z104" s="343"/>
    </row>
    <row r="105" ht="15.75" customHeight="1">
      <c r="A105" s="343"/>
      <c r="B105" s="343"/>
      <c r="C105" s="345"/>
      <c r="D105" s="343"/>
      <c r="E105" s="343"/>
      <c r="F105" s="343"/>
      <c r="G105" s="343"/>
      <c r="H105" s="343"/>
      <c r="I105" s="343"/>
      <c r="J105" s="343"/>
      <c r="K105" s="343"/>
      <c r="L105" s="343"/>
      <c r="M105" s="343"/>
      <c r="N105" s="343"/>
      <c r="O105" s="343"/>
      <c r="P105" s="343"/>
      <c r="Q105" s="346"/>
      <c r="R105" s="343"/>
      <c r="S105" s="343"/>
      <c r="T105" s="343"/>
      <c r="U105" s="343"/>
      <c r="V105" s="343"/>
      <c r="W105" s="343"/>
      <c r="X105" s="343"/>
      <c r="Y105" s="343"/>
      <c r="Z105" s="343"/>
    </row>
    <row r="106" ht="15.75" customHeight="1">
      <c r="A106" s="343"/>
      <c r="B106" s="343"/>
      <c r="C106" s="345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3"/>
      <c r="Q106" s="346"/>
      <c r="R106" s="343"/>
      <c r="S106" s="343"/>
      <c r="T106" s="343"/>
      <c r="U106" s="343"/>
      <c r="V106" s="343"/>
      <c r="W106" s="343"/>
      <c r="X106" s="343"/>
      <c r="Y106" s="343"/>
      <c r="Z106" s="343"/>
    </row>
    <row r="107" ht="15.75" customHeight="1">
      <c r="A107" s="343"/>
      <c r="B107" s="343"/>
      <c r="C107" s="345"/>
      <c r="D107" s="343"/>
      <c r="E107" s="343"/>
      <c r="F107" s="343"/>
      <c r="G107" s="343"/>
      <c r="H107" s="343"/>
      <c r="I107" s="343"/>
      <c r="J107" s="343"/>
      <c r="K107" s="343"/>
      <c r="L107" s="343"/>
      <c r="M107" s="343"/>
      <c r="N107" s="343"/>
      <c r="O107" s="343"/>
      <c r="P107" s="343"/>
      <c r="Q107" s="346"/>
      <c r="R107" s="343"/>
      <c r="S107" s="343"/>
      <c r="T107" s="343"/>
      <c r="U107" s="343"/>
      <c r="V107" s="343"/>
      <c r="W107" s="343"/>
      <c r="X107" s="343"/>
      <c r="Y107" s="343"/>
      <c r="Z107" s="343"/>
    </row>
    <row r="108" ht="15.75" customHeight="1">
      <c r="A108" s="343"/>
      <c r="B108" s="343"/>
      <c r="C108" s="345"/>
      <c r="D108" s="343"/>
      <c r="E108" s="343"/>
      <c r="F108" s="343"/>
      <c r="G108" s="343"/>
      <c r="H108" s="343"/>
      <c r="I108" s="343"/>
      <c r="J108" s="343"/>
      <c r="K108" s="343"/>
      <c r="L108" s="343"/>
      <c r="M108" s="343"/>
      <c r="N108" s="343"/>
      <c r="O108" s="343"/>
      <c r="P108" s="343"/>
      <c r="Q108" s="346"/>
      <c r="R108" s="343"/>
      <c r="S108" s="343"/>
      <c r="T108" s="343"/>
      <c r="U108" s="343"/>
      <c r="V108" s="343"/>
      <c r="W108" s="343"/>
      <c r="X108" s="343"/>
      <c r="Y108" s="343"/>
      <c r="Z108" s="343"/>
    </row>
    <row r="109" ht="15.75" customHeight="1">
      <c r="A109" s="343"/>
      <c r="B109" s="343"/>
      <c r="C109" s="345"/>
      <c r="D109" s="343"/>
      <c r="E109" s="343"/>
      <c r="F109" s="343"/>
      <c r="G109" s="343"/>
      <c r="H109" s="343"/>
      <c r="I109" s="343"/>
      <c r="J109" s="343"/>
      <c r="K109" s="343"/>
      <c r="L109" s="343"/>
      <c r="M109" s="343"/>
      <c r="N109" s="343"/>
      <c r="O109" s="343"/>
      <c r="P109" s="343"/>
      <c r="Q109" s="346"/>
      <c r="R109" s="343"/>
      <c r="S109" s="343"/>
      <c r="T109" s="343"/>
      <c r="U109" s="343"/>
      <c r="V109" s="343"/>
      <c r="W109" s="343"/>
      <c r="X109" s="343"/>
      <c r="Y109" s="343"/>
      <c r="Z109" s="343"/>
    </row>
    <row r="110" ht="15.75" customHeight="1">
      <c r="A110" s="343"/>
      <c r="B110" s="343"/>
      <c r="C110" s="345"/>
      <c r="D110" s="343"/>
      <c r="E110" s="343"/>
      <c r="F110" s="343"/>
      <c r="G110" s="343"/>
      <c r="H110" s="343"/>
      <c r="I110" s="343"/>
      <c r="J110" s="343"/>
      <c r="K110" s="343"/>
      <c r="L110" s="343"/>
      <c r="M110" s="343"/>
      <c r="N110" s="343"/>
      <c r="O110" s="343"/>
      <c r="P110" s="343"/>
      <c r="Q110" s="346"/>
      <c r="R110" s="343"/>
      <c r="S110" s="343"/>
      <c r="T110" s="343"/>
      <c r="U110" s="343"/>
      <c r="V110" s="343"/>
      <c r="W110" s="343"/>
      <c r="X110" s="343"/>
      <c r="Y110" s="343"/>
      <c r="Z110" s="343"/>
    </row>
    <row r="111" ht="15.75" customHeight="1">
      <c r="A111" s="343"/>
      <c r="B111" s="343"/>
      <c r="C111" s="345"/>
      <c r="D111" s="343"/>
      <c r="E111" s="343"/>
      <c r="F111" s="343"/>
      <c r="G111" s="343"/>
      <c r="H111" s="343"/>
      <c r="I111" s="343"/>
      <c r="J111" s="343"/>
      <c r="K111" s="343"/>
      <c r="L111" s="343"/>
      <c r="M111" s="343"/>
      <c r="N111" s="343"/>
      <c r="O111" s="343"/>
      <c r="P111" s="343"/>
      <c r="Q111" s="346"/>
      <c r="R111" s="343"/>
      <c r="S111" s="343"/>
      <c r="T111" s="343"/>
      <c r="U111" s="343"/>
      <c r="V111" s="343"/>
      <c r="W111" s="343"/>
      <c r="X111" s="343"/>
      <c r="Y111" s="343"/>
      <c r="Z111" s="343"/>
    </row>
    <row r="112" ht="15.75" customHeight="1">
      <c r="A112" s="343"/>
      <c r="B112" s="343"/>
      <c r="C112" s="345"/>
      <c r="D112" s="343"/>
      <c r="E112" s="343"/>
      <c r="F112" s="343"/>
      <c r="G112" s="343"/>
      <c r="H112" s="343"/>
      <c r="I112" s="343"/>
      <c r="J112" s="343"/>
      <c r="K112" s="343"/>
      <c r="L112" s="343"/>
      <c r="M112" s="343"/>
      <c r="N112" s="343"/>
      <c r="O112" s="343"/>
      <c r="P112" s="343"/>
      <c r="Q112" s="346"/>
      <c r="R112" s="343"/>
      <c r="S112" s="343"/>
      <c r="T112" s="343"/>
      <c r="U112" s="343"/>
      <c r="V112" s="343"/>
      <c r="W112" s="343"/>
      <c r="X112" s="343"/>
      <c r="Y112" s="343"/>
      <c r="Z112" s="343"/>
    </row>
    <row r="113" ht="15.75" customHeight="1">
      <c r="A113" s="343"/>
      <c r="B113" s="343"/>
      <c r="C113" s="345"/>
      <c r="D113" s="343"/>
      <c r="E113" s="343"/>
      <c r="F113" s="343"/>
      <c r="G113" s="343"/>
      <c r="H113" s="343"/>
      <c r="I113" s="343"/>
      <c r="J113" s="343"/>
      <c r="K113" s="343"/>
      <c r="L113" s="343"/>
      <c r="M113" s="343"/>
      <c r="N113" s="343"/>
      <c r="O113" s="343"/>
      <c r="P113" s="343"/>
      <c r="Q113" s="346"/>
      <c r="R113" s="343"/>
      <c r="S113" s="343"/>
      <c r="T113" s="343"/>
      <c r="U113" s="343"/>
      <c r="V113" s="343"/>
      <c r="W113" s="343"/>
      <c r="X113" s="343"/>
      <c r="Y113" s="343"/>
      <c r="Z113" s="343"/>
    </row>
    <row r="114" ht="15.75" customHeight="1">
      <c r="A114" s="343"/>
      <c r="B114" s="343"/>
      <c r="C114" s="345"/>
      <c r="D114" s="343"/>
      <c r="E114" s="343"/>
      <c r="F114" s="343"/>
      <c r="G114" s="343"/>
      <c r="H114" s="343"/>
      <c r="I114" s="343"/>
      <c r="J114" s="343"/>
      <c r="K114" s="343"/>
      <c r="L114" s="343"/>
      <c r="M114" s="343"/>
      <c r="N114" s="343"/>
      <c r="O114" s="343"/>
      <c r="P114" s="343"/>
      <c r="Q114" s="346"/>
      <c r="R114" s="343"/>
      <c r="S114" s="343"/>
      <c r="T114" s="343"/>
      <c r="U114" s="343"/>
      <c r="V114" s="343"/>
      <c r="W114" s="343"/>
      <c r="X114" s="343"/>
      <c r="Y114" s="343"/>
      <c r="Z114" s="343"/>
    </row>
    <row r="115" ht="15.75" customHeight="1">
      <c r="A115" s="343"/>
      <c r="B115" s="343"/>
      <c r="C115" s="345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  <c r="O115" s="343"/>
      <c r="P115" s="343"/>
      <c r="Q115" s="346"/>
      <c r="R115" s="343"/>
      <c r="S115" s="343"/>
      <c r="T115" s="343"/>
      <c r="U115" s="343"/>
      <c r="V115" s="343"/>
      <c r="W115" s="343"/>
      <c r="X115" s="343"/>
      <c r="Y115" s="343"/>
      <c r="Z115" s="343"/>
    </row>
    <row r="116" ht="15.75" customHeight="1">
      <c r="A116" s="343"/>
      <c r="B116" s="343"/>
      <c r="C116" s="345"/>
      <c r="D116" s="343"/>
      <c r="E116" s="343"/>
      <c r="F116" s="343"/>
      <c r="G116" s="343"/>
      <c r="H116" s="343"/>
      <c r="I116" s="343"/>
      <c r="J116" s="343"/>
      <c r="K116" s="343"/>
      <c r="L116" s="343"/>
      <c r="M116" s="343"/>
      <c r="N116" s="343"/>
      <c r="O116" s="343"/>
      <c r="P116" s="343"/>
      <c r="Q116" s="346"/>
      <c r="R116" s="343"/>
      <c r="S116" s="343"/>
      <c r="T116" s="343"/>
      <c r="U116" s="343"/>
      <c r="V116" s="343"/>
      <c r="W116" s="343"/>
      <c r="X116" s="343"/>
      <c r="Y116" s="343"/>
      <c r="Z116" s="343"/>
    </row>
    <row r="117" ht="15.75" customHeight="1">
      <c r="A117" s="343"/>
      <c r="B117" s="343"/>
      <c r="C117" s="345"/>
      <c r="D117" s="343"/>
      <c r="E117" s="343"/>
      <c r="F117" s="343"/>
      <c r="G117" s="343"/>
      <c r="H117" s="343"/>
      <c r="I117" s="343"/>
      <c r="J117" s="343"/>
      <c r="K117" s="343"/>
      <c r="L117" s="343"/>
      <c r="M117" s="343"/>
      <c r="N117" s="343"/>
      <c r="O117" s="343"/>
      <c r="P117" s="343"/>
      <c r="Q117" s="346"/>
      <c r="R117" s="343"/>
      <c r="S117" s="343"/>
      <c r="T117" s="343"/>
      <c r="U117" s="343"/>
      <c r="V117" s="343"/>
      <c r="W117" s="343"/>
      <c r="X117" s="343"/>
      <c r="Y117" s="343"/>
      <c r="Z117" s="343"/>
    </row>
    <row r="118" ht="15.75" customHeight="1">
      <c r="A118" s="343"/>
      <c r="B118" s="343"/>
      <c r="C118" s="345"/>
      <c r="D118" s="343"/>
      <c r="E118" s="343"/>
      <c r="F118" s="343"/>
      <c r="G118" s="343"/>
      <c r="H118" s="343"/>
      <c r="I118" s="343"/>
      <c r="J118" s="343"/>
      <c r="K118" s="343"/>
      <c r="L118" s="343"/>
      <c r="M118" s="343"/>
      <c r="N118" s="343"/>
      <c r="O118" s="343"/>
      <c r="P118" s="343"/>
      <c r="Q118" s="346"/>
      <c r="R118" s="343"/>
      <c r="S118" s="343"/>
      <c r="T118" s="343"/>
      <c r="U118" s="343"/>
      <c r="V118" s="343"/>
      <c r="W118" s="343"/>
      <c r="X118" s="343"/>
      <c r="Y118" s="343"/>
      <c r="Z118" s="343"/>
    </row>
    <row r="119" ht="15.75" customHeight="1">
      <c r="A119" s="343"/>
      <c r="B119" s="343"/>
      <c r="C119" s="345"/>
      <c r="D119" s="343"/>
      <c r="E119" s="343"/>
      <c r="F119" s="343"/>
      <c r="G119" s="343"/>
      <c r="H119" s="343"/>
      <c r="I119" s="343"/>
      <c r="J119" s="343"/>
      <c r="K119" s="343"/>
      <c r="L119" s="343"/>
      <c r="M119" s="343"/>
      <c r="N119" s="343"/>
      <c r="O119" s="343"/>
      <c r="P119" s="343"/>
      <c r="Q119" s="346"/>
      <c r="R119" s="343"/>
      <c r="S119" s="343"/>
      <c r="T119" s="343"/>
      <c r="U119" s="343"/>
      <c r="V119" s="343"/>
      <c r="W119" s="343"/>
      <c r="X119" s="343"/>
      <c r="Y119" s="343"/>
      <c r="Z119" s="343"/>
    </row>
    <row r="120" ht="15.75" customHeight="1">
      <c r="A120" s="343"/>
      <c r="B120" s="343"/>
      <c r="C120" s="345"/>
      <c r="D120" s="343"/>
      <c r="E120" s="343"/>
      <c r="F120" s="343"/>
      <c r="G120" s="343"/>
      <c r="H120" s="343"/>
      <c r="I120" s="343"/>
      <c r="J120" s="343"/>
      <c r="K120" s="343"/>
      <c r="L120" s="343"/>
      <c r="M120" s="343"/>
      <c r="N120" s="343"/>
      <c r="O120" s="343"/>
      <c r="P120" s="343"/>
      <c r="Q120" s="346"/>
      <c r="R120" s="343"/>
      <c r="S120" s="343"/>
      <c r="T120" s="343"/>
      <c r="U120" s="343"/>
      <c r="V120" s="343"/>
      <c r="W120" s="343"/>
      <c r="X120" s="343"/>
      <c r="Y120" s="343"/>
      <c r="Z120" s="343"/>
    </row>
    <row r="121" ht="15.75" customHeight="1">
      <c r="A121" s="343"/>
      <c r="B121" s="343"/>
      <c r="C121" s="345"/>
      <c r="D121" s="343"/>
      <c r="E121" s="343"/>
      <c r="F121" s="343"/>
      <c r="G121" s="343"/>
      <c r="H121" s="343"/>
      <c r="I121" s="343"/>
      <c r="J121" s="343"/>
      <c r="K121" s="343"/>
      <c r="L121" s="343"/>
      <c r="M121" s="343"/>
      <c r="N121" s="343"/>
      <c r="O121" s="343"/>
      <c r="P121" s="343"/>
      <c r="Q121" s="346"/>
      <c r="R121" s="343"/>
      <c r="S121" s="343"/>
      <c r="T121" s="343"/>
      <c r="U121" s="343"/>
      <c r="V121" s="343"/>
      <c r="W121" s="343"/>
      <c r="X121" s="343"/>
      <c r="Y121" s="343"/>
      <c r="Z121" s="343"/>
    </row>
    <row r="122" ht="15.75" customHeight="1">
      <c r="A122" s="343"/>
      <c r="B122" s="343"/>
      <c r="C122" s="345"/>
      <c r="D122" s="343"/>
      <c r="E122" s="343"/>
      <c r="F122" s="343"/>
      <c r="G122" s="343"/>
      <c r="H122" s="343"/>
      <c r="I122" s="343"/>
      <c r="J122" s="343"/>
      <c r="K122" s="343"/>
      <c r="L122" s="343"/>
      <c r="M122" s="343"/>
      <c r="N122" s="343"/>
      <c r="O122" s="343"/>
      <c r="P122" s="343"/>
      <c r="Q122" s="346"/>
      <c r="R122" s="343"/>
      <c r="S122" s="343"/>
      <c r="T122" s="343"/>
      <c r="U122" s="343"/>
      <c r="V122" s="343"/>
      <c r="W122" s="343"/>
      <c r="X122" s="343"/>
      <c r="Y122" s="343"/>
      <c r="Z122" s="343"/>
    </row>
    <row r="123" ht="15.75" customHeight="1">
      <c r="A123" s="343"/>
      <c r="B123" s="343"/>
      <c r="C123" s="345"/>
      <c r="D123" s="343"/>
      <c r="E123" s="343"/>
      <c r="F123" s="343"/>
      <c r="G123" s="343"/>
      <c r="H123" s="343"/>
      <c r="I123" s="343"/>
      <c r="J123" s="343"/>
      <c r="K123" s="343"/>
      <c r="L123" s="343"/>
      <c r="M123" s="343"/>
      <c r="N123" s="343"/>
      <c r="O123" s="343"/>
      <c r="P123" s="343"/>
      <c r="Q123" s="346"/>
      <c r="R123" s="343"/>
      <c r="S123" s="343"/>
      <c r="T123" s="343"/>
      <c r="U123" s="343"/>
      <c r="V123" s="343"/>
      <c r="W123" s="343"/>
      <c r="X123" s="343"/>
      <c r="Y123" s="343"/>
      <c r="Z123" s="343"/>
    </row>
    <row r="124" ht="15.75" customHeight="1">
      <c r="A124" s="343"/>
      <c r="B124" s="343"/>
      <c r="C124" s="345"/>
      <c r="D124" s="343"/>
      <c r="E124" s="343"/>
      <c r="F124" s="343"/>
      <c r="G124" s="343"/>
      <c r="H124" s="343"/>
      <c r="I124" s="343"/>
      <c r="J124" s="343"/>
      <c r="K124" s="343"/>
      <c r="L124" s="343"/>
      <c r="M124" s="343"/>
      <c r="N124" s="343"/>
      <c r="O124" s="343"/>
      <c r="P124" s="343"/>
      <c r="Q124" s="346"/>
      <c r="R124" s="343"/>
      <c r="S124" s="343"/>
      <c r="T124" s="343"/>
      <c r="U124" s="343"/>
      <c r="V124" s="343"/>
      <c r="W124" s="343"/>
      <c r="X124" s="343"/>
      <c r="Y124" s="343"/>
      <c r="Z124" s="343"/>
    </row>
    <row r="125" ht="15.75" customHeight="1">
      <c r="A125" s="343"/>
      <c r="B125" s="343"/>
      <c r="C125" s="345"/>
      <c r="D125" s="343"/>
      <c r="E125" s="343"/>
      <c r="F125" s="343"/>
      <c r="G125" s="343"/>
      <c r="H125" s="343"/>
      <c r="I125" s="343"/>
      <c r="J125" s="343"/>
      <c r="K125" s="343"/>
      <c r="L125" s="343"/>
      <c r="M125" s="343"/>
      <c r="N125" s="343"/>
      <c r="O125" s="343"/>
      <c r="P125" s="343"/>
      <c r="Q125" s="346"/>
      <c r="R125" s="343"/>
      <c r="S125" s="343"/>
      <c r="T125" s="343"/>
      <c r="U125" s="343"/>
      <c r="V125" s="343"/>
      <c r="W125" s="343"/>
      <c r="X125" s="343"/>
      <c r="Y125" s="343"/>
      <c r="Z125" s="343"/>
    </row>
    <row r="126" ht="15.75" customHeight="1">
      <c r="A126" s="343"/>
      <c r="B126" s="343"/>
      <c r="C126" s="345"/>
      <c r="D126" s="343"/>
      <c r="E126" s="343"/>
      <c r="F126" s="343"/>
      <c r="G126" s="343"/>
      <c r="H126" s="343"/>
      <c r="I126" s="343"/>
      <c r="J126" s="343"/>
      <c r="K126" s="343"/>
      <c r="L126" s="343"/>
      <c r="M126" s="343"/>
      <c r="N126" s="343"/>
      <c r="O126" s="343"/>
      <c r="P126" s="343"/>
      <c r="Q126" s="346"/>
      <c r="R126" s="343"/>
      <c r="S126" s="343"/>
      <c r="T126" s="343"/>
      <c r="U126" s="343"/>
      <c r="V126" s="343"/>
      <c r="W126" s="343"/>
      <c r="X126" s="343"/>
      <c r="Y126" s="343"/>
      <c r="Z126" s="343"/>
    </row>
    <row r="127" ht="15.75" customHeight="1">
      <c r="A127" s="343"/>
      <c r="B127" s="343"/>
      <c r="C127" s="345"/>
      <c r="D127" s="343"/>
      <c r="E127" s="343"/>
      <c r="F127" s="343"/>
      <c r="G127" s="343"/>
      <c r="H127" s="343"/>
      <c r="I127" s="343"/>
      <c r="J127" s="343"/>
      <c r="K127" s="343"/>
      <c r="L127" s="343"/>
      <c r="M127" s="343"/>
      <c r="N127" s="343"/>
      <c r="O127" s="343"/>
      <c r="P127" s="343"/>
      <c r="Q127" s="346"/>
      <c r="R127" s="343"/>
      <c r="S127" s="343"/>
      <c r="T127" s="343"/>
      <c r="U127" s="343"/>
      <c r="V127" s="343"/>
      <c r="W127" s="343"/>
      <c r="X127" s="343"/>
      <c r="Y127" s="343"/>
      <c r="Z127" s="343"/>
    </row>
    <row r="128" ht="15.75" customHeight="1">
      <c r="A128" s="343"/>
      <c r="B128" s="343"/>
      <c r="C128" s="345"/>
      <c r="D128" s="343"/>
      <c r="E128" s="343"/>
      <c r="F128" s="343"/>
      <c r="G128" s="343"/>
      <c r="H128" s="343"/>
      <c r="I128" s="343"/>
      <c r="J128" s="343"/>
      <c r="K128" s="343"/>
      <c r="L128" s="343"/>
      <c r="M128" s="343"/>
      <c r="N128" s="343"/>
      <c r="O128" s="343"/>
      <c r="P128" s="343"/>
      <c r="Q128" s="346"/>
      <c r="R128" s="343"/>
      <c r="S128" s="343"/>
      <c r="T128" s="343"/>
      <c r="U128" s="343"/>
      <c r="V128" s="343"/>
      <c r="W128" s="343"/>
      <c r="X128" s="343"/>
      <c r="Y128" s="343"/>
      <c r="Z128" s="343"/>
    </row>
    <row r="129" ht="15.75" customHeight="1">
      <c r="A129" s="343"/>
      <c r="B129" s="343"/>
      <c r="C129" s="345"/>
      <c r="D129" s="343"/>
      <c r="E129" s="343"/>
      <c r="F129" s="343"/>
      <c r="G129" s="343"/>
      <c r="H129" s="343"/>
      <c r="I129" s="343"/>
      <c r="J129" s="343"/>
      <c r="K129" s="343"/>
      <c r="L129" s="343"/>
      <c r="M129" s="343"/>
      <c r="N129" s="343"/>
      <c r="O129" s="343"/>
      <c r="P129" s="343"/>
      <c r="Q129" s="346"/>
      <c r="R129" s="343"/>
      <c r="S129" s="343"/>
      <c r="T129" s="343"/>
      <c r="U129" s="343"/>
      <c r="V129" s="343"/>
      <c r="W129" s="343"/>
      <c r="X129" s="343"/>
      <c r="Y129" s="343"/>
      <c r="Z129" s="343"/>
    </row>
    <row r="130" ht="15.75" customHeight="1">
      <c r="A130" s="343"/>
      <c r="B130" s="343"/>
      <c r="C130" s="345"/>
      <c r="D130" s="343"/>
      <c r="E130" s="343"/>
      <c r="F130" s="343"/>
      <c r="G130" s="343"/>
      <c r="H130" s="343"/>
      <c r="I130" s="343"/>
      <c r="J130" s="343"/>
      <c r="K130" s="343"/>
      <c r="L130" s="343"/>
      <c r="M130" s="343"/>
      <c r="N130" s="343"/>
      <c r="O130" s="343"/>
      <c r="P130" s="343"/>
      <c r="Q130" s="346"/>
      <c r="R130" s="343"/>
      <c r="S130" s="343"/>
      <c r="T130" s="343"/>
      <c r="U130" s="343"/>
      <c r="V130" s="343"/>
      <c r="W130" s="343"/>
      <c r="X130" s="343"/>
      <c r="Y130" s="343"/>
      <c r="Z130" s="343"/>
    </row>
    <row r="131" ht="15.75" customHeight="1">
      <c r="A131" s="343"/>
      <c r="B131" s="343"/>
      <c r="C131" s="345"/>
      <c r="D131" s="343"/>
      <c r="E131" s="343"/>
      <c r="F131" s="343"/>
      <c r="G131" s="343"/>
      <c r="H131" s="343"/>
      <c r="I131" s="343"/>
      <c r="J131" s="343"/>
      <c r="K131" s="343"/>
      <c r="L131" s="343"/>
      <c r="M131" s="343"/>
      <c r="N131" s="343"/>
      <c r="O131" s="343"/>
      <c r="P131" s="343"/>
      <c r="Q131" s="346"/>
      <c r="R131" s="343"/>
      <c r="S131" s="343"/>
      <c r="T131" s="343"/>
      <c r="U131" s="343"/>
      <c r="V131" s="343"/>
      <c r="W131" s="343"/>
      <c r="X131" s="343"/>
      <c r="Y131" s="343"/>
      <c r="Z131" s="343"/>
    </row>
    <row r="132" ht="15.75" customHeight="1">
      <c r="A132" s="343"/>
      <c r="B132" s="343"/>
      <c r="C132" s="345"/>
      <c r="D132" s="343"/>
      <c r="E132" s="343"/>
      <c r="F132" s="343"/>
      <c r="G132" s="343"/>
      <c r="H132" s="343"/>
      <c r="I132" s="343"/>
      <c r="J132" s="343"/>
      <c r="K132" s="343"/>
      <c r="L132" s="343"/>
      <c r="M132" s="343"/>
      <c r="N132" s="343"/>
      <c r="O132" s="343"/>
      <c r="P132" s="343"/>
      <c r="Q132" s="346"/>
      <c r="R132" s="343"/>
      <c r="S132" s="343"/>
      <c r="T132" s="343"/>
      <c r="U132" s="343"/>
      <c r="V132" s="343"/>
      <c r="W132" s="343"/>
      <c r="X132" s="343"/>
      <c r="Y132" s="343"/>
      <c r="Z132" s="343"/>
    </row>
    <row r="133" ht="15.75" customHeight="1">
      <c r="A133" s="343"/>
      <c r="B133" s="343"/>
      <c r="C133" s="345"/>
      <c r="D133" s="343"/>
      <c r="E133" s="343"/>
      <c r="F133" s="343"/>
      <c r="G133" s="343"/>
      <c r="H133" s="343"/>
      <c r="I133" s="343"/>
      <c r="J133" s="343"/>
      <c r="K133" s="343"/>
      <c r="L133" s="343"/>
      <c r="M133" s="343"/>
      <c r="N133" s="343"/>
      <c r="O133" s="343"/>
      <c r="P133" s="343"/>
      <c r="Q133" s="346"/>
      <c r="R133" s="343"/>
      <c r="S133" s="343"/>
      <c r="T133" s="343"/>
      <c r="U133" s="343"/>
      <c r="V133" s="343"/>
      <c r="W133" s="343"/>
      <c r="X133" s="343"/>
      <c r="Y133" s="343"/>
      <c r="Z133" s="343"/>
    </row>
    <row r="134" ht="15.75" customHeight="1">
      <c r="A134" s="343"/>
      <c r="B134" s="343"/>
      <c r="C134" s="345"/>
      <c r="D134" s="343"/>
      <c r="E134" s="343"/>
      <c r="F134" s="343"/>
      <c r="G134" s="343"/>
      <c r="H134" s="343"/>
      <c r="I134" s="343"/>
      <c r="J134" s="343"/>
      <c r="K134" s="343"/>
      <c r="L134" s="343"/>
      <c r="M134" s="343"/>
      <c r="N134" s="343"/>
      <c r="O134" s="343"/>
      <c r="P134" s="343"/>
      <c r="Q134" s="346"/>
      <c r="R134" s="343"/>
      <c r="S134" s="343"/>
      <c r="T134" s="343"/>
      <c r="U134" s="343"/>
      <c r="V134" s="343"/>
      <c r="W134" s="343"/>
      <c r="X134" s="343"/>
      <c r="Y134" s="343"/>
      <c r="Z134" s="343"/>
    </row>
    <row r="135" ht="15.75" customHeight="1">
      <c r="A135" s="343"/>
      <c r="B135" s="343"/>
      <c r="C135" s="345"/>
      <c r="D135" s="343"/>
      <c r="E135" s="343"/>
      <c r="F135" s="343"/>
      <c r="G135" s="343"/>
      <c r="H135" s="343"/>
      <c r="I135" s="343"/>
      <c r="J135" s="343"/>
      <c r="K135" s="343"/>
      <c r="L135" s="343"/>
      <c r="M135" s="343"/>
      <c r="N135" s="343"/>
      <c r="O135" s="343"/>
      <c r="P135" s="343"/>
      <c r="Q135" s="346"/>
      <c r="R135" s="343"/>
      <c r="S135" s="343"/>
      <c r="T135" s="343"/>
      <c r="U135" s="343"/>
      <c r="V135" s="343"/>
      <c r="W135" s="343"/>
      <c r="X135" s="343"/>
      <c r="Y135" s="343"/>
      <c r="Z135" s="343"/>
    </row>
    <row r="136" ht="15.75" customHeight="1">
      <c r="A136" s="343"/>
      <c r="B136" s="343"/>
      <c r="C136" s="345"/>
      <c r="D136" s="343"/>
      <c r="E136" s="343"/>
      <c r="F136" s="343"/>
      <c r="G136" s="343"/>
      <c r="H136" s="343"/>
      <c r="I136" s="343"/>
      <c r="J136" s="343"/>
      <c r="K136" s="343"/>
      <c r="L136" s="343"/>
      <c r="M136" s="343"/>
      <c r="N136" s="343"/>
      <c r="O136" s="343"/>
      <c r="P136" s="343"/>
      <c r="Q136" s="346"/>
      <c r="R136" s="343"/>
      <c r="S136" s="343"/>
      <c r="T136" s="343"/>
      <c r="U136" s="343"/>
      <c r="V136" s="343"/>
      <c r="W136" s="343"/>
      <c r="X136" s="343"/>
      <c r="Y136" s="343"/>
      <c r="Z136" s="343"/>
    </row>
    <row r="137" ht="15.75" customHeight="1">
      <c r="A137" s="343"/>
      <c r="B137" s="343"/>
      <c r="C137" s="345"/>
      <c r="D137" s="343"/>
      <c r="E137" s="343"/>
      <c r="F137" s="343"/>
      <c r="G137" s="343"/>
      <c r="H137" s="343"/>
      <c r="I137" s="343"/>
      <c r="J137" s="343"/>
      <c r="K137" s="343"/>
      <c r="L137" s="343"/>
      <c r="M137" s="343"/>
      <c r="N137" s="343"/>
      <c r="O137" s="343"/>
      <c r="P137" s="343"/>
      <c r="Q137" s="346"/>
      <c r="R137" s="343"/>
      <c r="S137" s="343"/>
      <c r="T137" s="343"/>
      <c r="U137" s="343"/>
      <c r="V137" s="343"/>
      <c r="W137" s="343"/>
      <c r="X137" s="343"/>
      <c r="Y137" s="343"/>
      <c r="Z137" s="343"/>
    </row>
    <row r="138" ht="15.75" customHeight="1">
      <c r="A138" s="343"/>
      <c r="B138" s="343"/>
      <c r="C138" s="345"/>
      <c r="D138" s="343"/>
      <c r="E138" s="343"/>
      <c r="F138" s="343"/>
      <c r="G138" s="343"/>
      <c r="H138" s="343"/>
      <c r="I138" s="343"/>
      <c r="J138" s="343"/>
      <c r="K138" s="343"/>
      <c r="L138" s="343"/>
      <c r="M138" s="343"/>
      <c r="N138" s="343"/>
      <c r="O138" s="343"/>
      <c r="P138" s="343"/>
      <c r="Q138" s="346"/>
      <c r="R138" s="343"/>
      <c r="S138" s="343"/>
      <c r="T138" s="343"/>
      <c r="U138" s="343"/>
      <c r="V138" s="343"/>
      <c r="W138" s="343"/>
      <c r="X138" s="343"/>
      <c r="Y138" s="343"/>
      <c r="Z138" s="343"/>
    </row>
    <row r="139" ht="15.75" customHeight="1">
      <c r="A139" s="343"/>
      <c r="B139" s="343"/>
      <c r="C139" s="345"/>
      <c r="D139" s="343"/>
      <c r="E139" s="343"/>
      <c r="F139" s="343"/>
      <c r="G139" s="343"/>
      <c r="H139" s="343"/>
      <c r="I139" s="343"/>
      <c r="J139" s="343"/>
      <c r="K139" s="343"/>
      <c r="L139" s="343"/>
      <c r="M139" s="343"/>
      <c r="N139" s="343"/>
      <c r="O139" s="343"/>
      <c r="P139" s="343"/>
      <c r="Q139" s="346"/>
      <c r="R139" s="343"/>
      <c r="S139" s="343"/>
      <c r="T139" s="343"/>
      <c r="U139" s="343"/>
      <c r="V139" s="343"/>
      <c r="W139" s="343"/>
      <c r="X139" s="343"/>
      <c r="Y139" s="343"/>
      <c r="Z139" s="343"/>
    </row>
    <row r="140" ht="15.75" customHeight="1">
      <c r="A140" s="343"/>
      <c r="B140" s="343"/>
      <c r="C140" s="345"/>
      <c r="D140" s="343"/>
      <c r="E140" s="343"/>
      <c r="F140" s="343"/>
      <c r="G140" s="343"/>
      <c r="H140" s="343"/>
      <c r="I140" s="343"/>
      <c r="J140" s="343"/>
      <c r="K140" s="343"/>
      <c r="L140" s="343"/>
      <c r="M140" s="343"/>
      <c r="N140" s="343"/>
      <c r="O140" s="343"/>
      <c r="P140" s="343"/>
      <c r="Q140" s="346"/>
      <c r="R140" s="343"/>
      <c r="S140" s="343"/>
      <c r="T140" s="343"/>
      <c r="U140" s="343"/>
      <c r="V140" s="343"/>
      <c r="W140" s="343"/>
      <c r="X140" s="343"/>
      <c r="Y140" s="343"/>
      <c r="Z140" s="343"/>
    </row>
    <row r="141" ht="15.75" customHeight="1">
      <c r="A141" s="343"/>
      <c r="B141" s="343"/>
      <c r="C141" s="345"/>
      <c r="D141" s="343"/>
      <c r="E141" s="343"/>
      <c r="F141" s="343"/>
      <c r="G141" s="343"/>
      <c r="H141" s="343"/>
      <c r="I141" s="343"/>
      <c r="J141" s="343"/>
      <c r="K141" s="343"/>
      <c r="L141" s="343"/>
      <c r="M141" s="343"/>
      <c r="N141" s="343"/>
      <c r="O141" s="343"/>
      <c r="P141" s="343"/>
      <c r="Q141" s="346"/>
      <c r="R141" s="343"/>
      <c r="S141" s="343"/>
      <c r="T141" s="343"/>
      <c r="U141" s="343"/>
      <c r="V141" s="343"/>
      <c r="W141" s="343"/>
      <c r="X141" s="343"/>
      <c r="Y141" s="343"/>
      <c r="Z141" s="343"/>
    </row>
    <row r="142" ht="15.75" customHeight="1">
      <c r="A142" s="343"/>
      <c r="B142" s="343"/>
      <c r="C142" s="345"/>
      <c r="D142" s="343"/>
      <c r="E142" s="343"/>
      <c r="F142" s="343"/>
      <c r="G142" s="343"/>
      <c r="H142" s="343"/>
      <c r="I142" s="343"/>
      <c r="J142" s="343"/>
      <c r="K142" s="343"/>
      <c r="L142" s="343"/>
      <c r="M142" s="343"/>
      <c r="N142" s="343"/>
      <c r="O142" s="343"/>
      <c r="P142" s="343"/>
      <c r="Q142" s="346"/>
      <c r="R142" s="343"/>
      <c r="S142" s="343"/>
      <c r="T142" s="343"/>
      <c r="U142" s="343"/>
      <c r="V142" s="343"/>
      <c r="W142" s="343"/>
      <c r="X142" s="343"/>
      <c r="Y142" s="343"/>
      <c r="Z142" s="343"/>
    </row>
    <row r="143" ht="15.75" customHeight="1">
      <c r="A143" s="343"/>
      <c r="B143" s="343"/>
      <c r="C143" s="345"/>
      <c r="D143" s="343"/>
      <c r="E143" s="343"/>
      <c r="F143" s="343"/>
      <c r="G143" s="343"/>
      <c r="H143" s="343"/>
      <c r="I143" s="343"/>
      <c r="J143" s="343"/>
      <c r="K143" s="343"/>
      <c r="L143" s="343"/>
      <c r="M143" s="343"/>
      <c r="N143" s="343"/>
      <c r="O143" s="343"/>
      <c r="P143" s="343"/>
      <c r="Q143" s="346"/>
      <c r="R143" s="343"/>
      <c r="S143" s="343"/>
      <c r="T143" s="343"/>
      <c r="U143" s="343"/>
      <c r="V143" s="343"/>
      <c r="W143" s="343"/>
      <c r="X143" s="343"/>
      <c r="Y143" s="343"/>
      <c r="Z143" s="343"/>
    </row>
    <row r="144" ht="15.75" customHeight="1">
      <c r="A144" s="343"/>
      <c r="B144" s="343"/>
      <c r="C144" s="345"/>
      <c r="D144" s="343"/>
      <c r="E144" s="343"/>
      <c r="F144" s="343"/>
      <c r="G144" s="343"/>
      <c r="H144" s="343"/>
      <c r="I144" s="343"/>
      <c r="J144" s="343"/>
      <c r="K144" s="343"/>
      <c r="L144" s="343"/>
      <c r="M144" s="343"/>
      <c r="N144" s="343"/>
      <c r="O144" s="343"/>
      <c r="P144" s="343"/>
      <c r="Q144" s="346"/>
      <c r="R144" s="343"/>
      <c r="S144" s="343"/>
      <c r="T144" s="343"/>
      <c r="U144" s="343"/>
      <c r="V144" s="343"/>
      <c r="W144" s="343"/>
      <c r="X144" s="343"/>
      <c r="Y144" s="343"/>
      <c r="Z144" s="343"/>
    </row>
    <row r="145" ht="15.75" customHeight="1">
      <c r="A145" s="343"/>
      <c r="B145" s="343"/>
      <c r="C145" s="345"/>
      <c r="D145" s="343"/>
      <c r="E145" s="343"/>
      <c r="F145" s="343"/>
      <c r="G145" s="343"/>
      <c r="H145" s="343"/>
      <c r="I145" s="343"/>
      <c r="J145" s="343"/>
      <c r="K145" s="343"/>
      <c r="L145" s="343"/>
      <c r="M145" s="343"/>
      <c r="N145" s="343"/>
      <c r="O145" s="343"/>
      <c r="P145" s="343"/>
      <c r="Q145" s="346"/>
      <c r="R145" s="343"/>
      <c r="S145" s="343"/>
      <c r="T145" s="343"/>
      <c r="U145" s="343"/>
      <c r="V145" s="343"/>
      <c r="W145" s="343"/>
      <c r="X145" s="343"/>
      <c r="Y145" s="343"/>
      <c r="Z145" s="343"/>
    </row>
    <row r="146" ht="15.75" customHeight="1">
      <c r="A146" s="343"/>
      <c r="B146" s="343"/>
      <c r="C146" s="345"/>
      <c r="D146" s="343"/>
      <c r="E146" s="343"/>
      <c r="F146" s="343"/>
      <c r="G146" s="343"/>
      <c r="H146" s="343"/>
      <c r="I146" s="343"/>
      <c r="J146" s="343"/>
      <c r="K146" s="343"/>
      <c r="L146" s="343"/>
      <c r="M146" s="343"/>
      <c r="N146" s="343"/>
      <c r="O146" s="343"/>
      <c r="P146" s="343"/>
      <c r="Q146" s="346"/>
      <c r="R146" s="343"/>
      <c r="S146" s="343"/>
      <c r="T146" s="343"/>
      <c r="U146" s="343"/>
      <c r="V146" s="343"/>
      <c r="W146" s="343"/>
      <c r="X146" s="343"/>
      <c r="Y146" s="343"/>
      <c r="Z146" s="343"/>
    </row>
    <row r="147" ht="15.75" customHeight="1">
      <c r="A147" s="343"/>
      <c r="B147" s="343"/>
      <c r="C147" s="345"/>
      <c r="D147" s="343"/>
      <c r="E147" s="343"/>
      <c r="F147" s="343"/>
      <c r="G147" s="343"/>
      <c r="H147" s="343"/>
      <c r="I147" s="343"/>
      <c r="J147" s="343"/>
      <c r="K147" s="343"/>
      <c r="L147" s="343"/>
      <c r="M147" s="343"/>
      <c r="N147" s="343"/>
      <c r="O147" s="343"/>
      <c r="P147" s="343"/>
      <c r="Q147" s="346"/>
      <c r="R147" s="343"/>
      <c r="S147" s="343"/>
      <c r="T147" s="343"/>
      <c r="U147" s="343"/>
      <c r="V147" s="343"/>
      <c r="W147" s="343"/>
      <c r="X147" s="343"/>
      <c r="Y147" s="343"/>
      <c r="Z147" s="343"/>
    </row>
    <row r="148" ht="15.75" customHeight="1">
      <c r="A148" s="343"/>
      <c r="B148" s="343"/>
      <c r="C148" s="345"/>
      <c r="D148" s="343"/>
      <c r="E148" s="343"/>
      <c r="F148" s="343"/>
      <c r="G148" s="343"/>
      <c r="H148" s="343"/>
      <c r="I148" s="343"/>
      <c r="J148" s="343"/>
      <c r="K148" s="343"/>
      <c r="L148" s="343"/>
      <c r="M148" s="343"/>
      <c r="N148" s="343"/>
      <c r="O148" s="343"/>
      <c r="P148" s="343"/>
      <c r="Q148" s="346"/>
      <c r="R148" s="343"/>
      <c r="S148" s="343"/>
      <c r="T148" s="343"/>
      <c r="U148" s="343"/>
      <c r="V148" s="343"/>
      <c r="W148" s="343"/>
      <c r="X148" s="343"/>
      <c r="Y148" s="343"/>
      <c r="Z148" s="343"/>
    </row>
    <row r="149" ht="15.75" customHeight="1">
      <c r="A149" s="343"/>
      <c r="B149" s="343"/>
      <c r="C149" s="345"/>
      <c r="D149" s="343"/>
      <c r="E149" s="343"/>
      <c r="F149" s="343"/>
      <c r="G149" s="343"/>
      <c r="H149" s="343"/>
      <c r="I149" s="343"/>
      <c r="J149" s="343"/>
      <c r="K149" s="343"/>
      <c r="L149" s="343"/>
      <c r="M149" s="343"/>
      <c r="N149" s="343"/>
      <c r="O149" s="343"/>
      <c r="P149" s="343"/>
      <c r="Q149" s="346"/>
      <c r="R149" s="343"/>
      <c r="S149" s="343"/>
      <c r="T149" s="343"/>
      <c r="U149" s="343"/>
      <c r="V149" s="343"/>
      <c r="W149" s="343"/>
      <c r="X149" s="343"/>
      <c r="Y149" s="343"/>
      <c r="Z149" s="343"/>
    </row>
    <row r="150" ht="15.75" customHeight="1">
      <c r="A150" s="343"/>
      <c r="B150" s="343"/>
      <c r="C150" s="345"/>
      <c r="D150" s="343"/>
      <c r="E150" s="343"/>
      <c r="F150" s="343"/>
      <c r="G150" s="343"/>
      <c r="H150" s="343"/>
      <c r="I150" s="343"/>
      <c r="J150" s="343"/>
      <c r="K150" s="343"/>
      <c r="L150" s="343"/>
      <c r="M150" s="343"/>
      <c r="N150" s="343"/>
      <c r="O150" s="343"/>
      <c r="P150" s="343"/>
      <c r="Q150" s="346"/>
      <c r="R150" s="343"/>
      <c r="S150" s="343"/>
      <c r="T150" s="343"/>
      <c r="U150" s="343"/>
      <c r="V150" s="343"/>
      <c r="W150" s="343"/>
      <c r="X150" s="343"/>
      <c r="Y150" s="343"/>
      <c r="Z150" s="343"/>
    </row>
    <row r="151" ht="15.75" customHeight="1">
      <c r="A151" s="343"/>
      <c r="B151" s="343"/>
      <c r="C151" s="345"/>
      <c r="D151" s="343"/>
      <c r="E151" s="343"/>
      <c r="F151" s="343"/>
      <c r="G151" s="343"/>
      <c r="H151" s="343"/>
      <c r="I151" s="343"/>
      <c r="J151" s="343"/>
      <c r="K151" s="343"/>
      <c r="L151" s="343"/>
      <c r="M151" s="343"/>
      <c r="N151" s="343"/>
      <c r="O151" s="343"/>
      <c r="P151" s="343"/>
      <c r="Q151" s="346"/>
      <c r="R151" s="343"/>
      <c r="S151" s="343"/>
      <c r="T151" s="343"/>
      <c r="U151" s="343"/>
      <c r="V151" s="343"/>
      <c r="W151" s="343"/>
      <c r="X151" s="343"/>
      <c r="Y151" s="343"/>
      <c r="Z151" s="343"/>
    </row>
    <row r="152" ht="15.75" customHeight="1">
      <c r="A152" s="343"/>
      <c r="B152" s="343"/>
      <c r="C152" s="345"/>
      <c r="D152" s="343"/>
      <c r="E152" s="343"/>
      <c r="F152" s="343"/>
      <c r="G152" s="343"/>
      <c r="H152" s="343"/>
      <c r="I152" s="343"/>
      <c r="J152" s="343"/>
      <c r="K152" s="343"/>
      <c r="L152" s="343"/>
      <c r="M152" s="343"/>
      <c r="N152" s="343"/>
      <c r="O152" s="343"/>
      <c r="P152" s="343"/>
      <c r="Q152" s="346"/>
      <c r="R152" s="343"/>
      <c r="S152" s="343"/>
      <c r="T152" s="343"/>
      <c r="U152" s="343"/>
      <c r="V152" s="343"/>
      <c r="W152" s="343"/>
      <c r="X152" s="343"/>
      <c r="Y152" s="343"/>
      <c r="Z152" s="343"/>
    </row>
    <row r="153" ht="15.75" customHeight="1">
      <c r="A153" s="343"/>
      <c r="B153" s="343"/>
      <c r="C153" s="345"/>
      <c r="D153" s="343"/>
      <c r="E153" s="343"/>
      <c r="F153" s="343"/>
      <c r="G153" s="343"/>
      <c r="H153" s="343"/>
      <c r="I153" s="343"/>
      <c r="J153" s="343"/>
      <c r="K153" s="343"/>
      <c r="L153" s="343"/>
      <c r="M153" s="343"/>
      <c r="N153" s="343"/>
      <c r="O153" s="343"/>
      <c r="P153" s="343"/>
      <c r="Q153" s="346"/>
      <c r="R153" s="343"/>
      <c r="S153" s="343"/>
      <c r="T153" s="343"/>
      <c r="U153" s="343"/>
      <c r="V153" s="343"/>
      <c r="W153" s="343"/>
      <c r="X153" s="343"/>
      <c r="Y153" s="343"/>
      <c r="Z153" s="343"/>
    </row>
    <row r="154" ht="15.75" customHeight="1">
      <c r="A154" s="343"/>
      <c r="B154" s="343"/>
      <c r="C154" s="345"/>
      <c r="D154" s="343"/>
      <c r="E154" s="343"/>
      <c r="F154" s="343"/>
      <c r="G154" s="343"/>
      <c r="H154" s="343"/>
      <c r="I154" s="343"/>
      <c r="J154" s="343"/>
      <c r="K154" s="343"/>
      <c r="L154" s="343"/>
      <c r="M154" s="343"/>
      <c r="N154" s="343"/>
      <c r="O154" s="343"/>
      <c r="P154" s="343"/>
      <c r="Q154" s="346"/>
      <c r="R154" s="343"/>
      <c r="S154" s="343"/>
      <c r="T154" s="343"/>
      <c r="U154" s="343"/>
      <c r="V154" s="343"/>
      <c r="W154" s="343"/>
      <c r="X154" s="343"/>
      <c r="Y154" s="343"/>
      <c r="Z154" s="343"/>
    </row>
    <row r="155" ht="15.75" customHeight="1">
      <c r="A155" s="343"/>
      <c r="B155" s="343"/>
      <c r="C155" s="345"/>
      <c r="D155" s="343"/>
      <c r="E155" s="343"/>
      <c r="F155" s="343"/>
      <c r="G155" s="343"/>
      <c r="H155" s="343"/>
      <c r="I155" s="343"/>
      <c r="J155" s="343"/>
      <c r="K155" s="343"/>
      <c r="L155" s="343"/>
      <c r="M155" s="343"/>
      <c r="N155" s="343"/>
      <c r="O155" s="343"/>
      <c r="P155" s="343"/>
      <c r="Q155" s="346"/>
      <c r="R155" s="343"/>
      <c r="S155" s="343"/>
      <c r="T155" s="343"/>
      <c r="U155" s="343"/>
      <c r="V155" s="343"/>
      <c r="W155" s="343"/>
      <c r="X155" s="343"/>
      <c r="Y155" s="343"/>
      <c r="Z155" s="343"/>
    </row>
    <row r="156" ht="15.75" customHeight="1">
      <c r="A156" s="343"/>
      <c r="B156" s="343"/>
      <c r="C156" s="345"/>
      <c r="D156" s="343"/>
      <c r="E156" s="343"/>
      <c r="F156" s="343"/>
      <c r="G156" s="343"/>
      <c r="H156" s="343"/>
      <c r="I156" s="343"/>
      <c r="J156" s="343"/>
      <c r="K156" s="343"/>
      <c r="L156" s="343"/>
      <c r="M156" s="343"/>
      <c r="N156" s="343"/>
      <c r="O156" s="343"/>
      <c r="P156" s="343"/>
      <c r="Q156" s="346"/>
      <c r="R156" s="343"/>
      <c r="S156" s="343"/>
      <c r="T156" s="343"/>
      <c r="U156" s="343"/>
      <c r="V156" s="343"/>
      <c r="W156" s="343"/>
      <c r="X156" s="343"/>
      <c r="Y156" s="343"/>
      <c r="Z156" s="343"/>
    </row>
    <row r="157" ht="15.75" customHeight="1">
      <c r="A157" s="343"/>
      <c r="B157" s="343"/>
      <c r="C157" s="345"/>
      <c r="D157" s="343"/>
      <c r="E157" s="343"/>
      <c r="F157" s="343"/>
      <c r="G157" s="343"/>
      <c r="H157" s="343"/>
      <c r="I157" s="343"/>
      <c r="J157" s="343"/>
      <c r="K157" s="343"/>
      <c r="L157" s="343"/>
      <c r="M157" s="343"/>
      <c r="N157" s="343"/>
      <c r="O157" s="343"/>
      <c r="P157" s="343"/>
      <c r="Q157" s="346"/>
      <c r="R157" s="343"/>
      <c r="S157" s="343"/>
      <c r="T157" s="343"/>
      <c r="U157" s="343"/>
      <c r="V157" s="343"/>
      <c r="W157" s="343"/>
      <c r="X157" s="343"/>
      <c r="Y157" s="343"/>
      <c r="Z157" s="343"/>
    </row>
    <row r="158" ht="15.75" customHeight="1">
      <c r="A158" s="343"/>
      <c r="B158" s="343"/>
      <c r="C158" s="345"/>
      <c r="D158" s="343"/>
      <c r="E158" s="343"/>
      <c r="F158" s="343"/>
      <c r="G158" s="343"/>
      <c r="H158" s="343"/>
      <c r="I158" s="343"/>
      <c r="J158" s="343"/>
      <c r="K158" s="343"/>
      <c r="L158" s="343"/>
      <c r="M158" s="343"/>
      <c r="N158" s="343"/>
      <c r="O158" s="343"/>
      <c r="P158" s="343"/>
      <c r="Q158" s="346"/>
      <c r="R158" s="343"/>
      <c r="S158" s="343"/>
      <c r="T158" s="343"/>
      <c r="U158" s="343"/>
      <c r="V158" s="343"/>
      <c r="W158" s="343"/>
      <c r="X158" s="343"/>
      <c r="Y158" s="343"/>
      <c r="Z158" s="343"/>
    </row>
    <row r="159" ht="15.75" customHeight="1">
      <c r="A159" s="343"/>
      <c r="B159" s="343"/>
      <c r="C159" s="345"/>
      <c r="D159" s="343"/>
      <c r="E159" s="343"/>
      <c r="F159" s="343"/>
      <c r="G159" s="343"/>
      <c r="H159" s="343"/>
      <c r="I159" s="343"/>
      <c r="J159" s="343"/>
      <c r="K159" s="343"/>
      <c r="L159" s="343"/>
      <c r="M159" s="343"/>
      <c r="N159" s="343"/>
      <c r="O159" s="343"/>
      <c r="P159" s="343"/>
      <c r="Q159" s="346"/>
      <c r="R159" s="343"/>
      <c r="S159" s="343"/>
      <c r="T159" s="343"/>
      <c r="U159" s="343"/>
      <c r="V159" s="343"/>
      <c r="W159" s="343"/>
      <c r="X159" s="343"/>
      <c r="Y159" s="343"/>
      <c r="Z159" s="343"/>
    </row>
    <row r="160" ht="15.75" customHeight="1">
      <c r="A160" s="343"/>
      <c r="B160" s="343"/>
      <c r="C160" s="345"/>
      <c r="D160" s="343"/>
      <c r="E160" s="343"/>
      <c r="F160" s="343"/>
      <c r="G160" s="343"/>
      <c r="H160" s="343"/>
      <c r="I160" s="343"/>
      <c r="J160" s="343"/>
      <c r="K160" s="343"/>
      <c r="L160" s="343"/>
      <c r="M160" s="343"/>
      <c r="N160" s="343"/>
      <c r="O160" s="343"/>
      <c r="P160" s="343"/>
      <c r="Q160" s="346"/>
      <c r="R160" s="343"/>
      <c r="S160" s="343"/>
      <c r="T160" s="343"/>
      <c r="U160" s="343"/>
      <c r="V160" s="343"/>
      <c r="W160" s="343"/>
      <c r="X160" s="343"/>
      <c r="Y160" s="343"/>
      <c r="Z160" s="343"/>
    </row>
    <row r="161" ht="15.75" customHeight="1">
      <c r="A161" s="343"/>
      <c r="B161" s="343"/>
      <c r="C161" s="345"/>
      <c r="D161" s="343"/>
      <c r="E161" s="343"/>
      <c r="F161" s="343"/>
      <c r="G161" s="343"/>
      <c r="H161" s="343"/>
      <c r="I161" s="343"/>
      <c r="J161" s="343"/>
      <c r="K161" s="343"/>
      <c r="L161" s="343"/>
      <c r="M161" s="343"/>
      <c r="N161" s="343"/>
      <c r="O161" s="343"/>
      <c r="P161" s="343"/>
      <c r="Q161" s="346"/>
      <c r="R161" s="343"/>
      <c r="S161" s="343"/>
      <c r="T161" s="343"/>
      <c r="U161" s="343"/>
      <c r="V161" s="343"/>
      <c r="W161" s="343"/>
      <c r="X161" s="343"/>
      <c r="Y161" s="343"/>
      <c r="Z161" s="343"/>
    </row>
    <row r="162" ht="15.75" customHeight="1">
      <c r="A162" s="343"/>
      <c r="B162" s="343"/>
      <c r="C162" s="345"/>
      <c r="D162" s="343"/>
      <c r="E162" s="343"/>
      <c r="F162" s="343"/>
      <c r="G162" s="343"/>
      <c r="H162" s="343"/>
      <c r="I162" s="343"/>
      <c r="J162" s="343"/>
      <c r="K162" s="343"/>
      <c r="L162" s="343"/>
      <c r="M162" s="343"/>
      <c r="N162" s="343"/>
      <c r="O162" s="343"/>
      <c r="P162" s="343"/>
      <c r="Q162" s="346"/>
      <c r="R162" s="343"/>
      <c r="S162" s="343"/>
      <c r="T162" s="343"/>
      <c r="U162" s="343"/>
      <c r="V162" s="343"/>
      <c r="W162" s="343"/>
      <c r="X162" s="343"/>
      <c r="Y162" s="343"/>
      <c r="Z162" s="343"/>
    </row>
    <row r="163" ht="15.75" customHeight="1">
      <c r="A163" s="343"/>
      <c r="B163" s="343"/>
      <c r="C163" s="345"/>
      <c r="D163" s="343"/>
      <c r="E163" s="343"/>
      <c r="F163" s="343"/>
      <c r="G163" s="343"/>
      <c r="H163" s="343"/>
      <c r="I163" s="343"/>
      <c r="J163" s="343"/>
      <c r="K163" s="343"/>
      <c r="L163" s="343"/>
      <c r="M163" s="343"/>
      <c r="N163" s="343"/>
      <c r="O163" s="343"/>
      <c r="P163" s="343"/>
      <c r="Q163" s="346"/>
      <c r="R163" s="343"/>
      <c r="S163" s="343"/>
      <c r="T163" s="343"/>
      <c r="U163" s="343"/>
      <c r="V163" s="343"/>
      <c r="W163" s="343"/>
      <c r="X163" s="343"/>
      <c r="Y163" s="343"/>
      <c r="Z163" s="343"/>
    </row>
    <row r="164" ht="15.75" customHeight="1">
      <c r="A164" s="343"/>
      <c r="B164" s="343"/>
      <c r="C164" s="345"/>
      <c r="D164" s="343"/>
      <c r="E164" s="343"/>
      <c r="F164" s="343"/>
      <c r="G164" s="343"/>
      <c r="H164" s="343"/>
      <c r="I164" s="343"/>
      <c r="J164" s="343"/>
      <c r="K164" s="343"/>
      <c r="L164" s="343"/>
      <c r="M164" s="343"/>
      <c r="N164" s="343"/>
      <c r="O164" s="343"/>
      <c r="P164" s="343"/>
      <c r="Q164" s="346"/>
      <c r="R164" s="343"/>
      <c r="S164" s="343"/>
      <c r="T164" s="343"/>
      <c r="U164" s="343"/>
      <c r="V164" s="343"/>
      <c r="W164" s="343"/>
      <c r="X164" s="343"/>
      <c r="Y164" s="343"/>
      <c r="Z164" s="343"/>
    </row>
    <row r="165" ht="15.75" customHeight="1">
      <c r="A165" s="343"/>
      <c r="B165" s="343"/>
      <c r="C165" s="345"/>
      <c r="D165" s="343"/>
      <c r="E165" s="343"/>
      <c r="F165" s="343"/>
      <c r="G165" s="343"/>
      <c r="H165" s="343"/>
      <c r="I165" s="343"/>
      <c r="J165" s="343"/>
      <c r="K165" s="343"/>
      <c r="L165" s="343"/>
      <c r="M165" s="343"/>
      <c r="N165" s="343"/>
      <c r="O165" s="343"/>
      <c r="P165" s="343"/>
      <c r="Q165" s="346"/>
      <c r="R165" s="343"/>
      <c r="S165" s="343"/>
      <c r="T165" s="343"/>
      <c r="U165" s="343"/>
      <c r="V165" s="343"/>
      <c r="W165" s="343"/>
      <c r="X165" s="343"/>
      <c r="Y165" s="343"/>
      <c r="Z165" s="343"/>
    </row>
    <row r="166" ht="15.75" customHeight="1">
      <c r="A166" s="343"/>
      <c r="B166" s="343"/>
      <c r="C166" s="345"/>
      <c r="D166" s="343"/>
      <c r="E166" s="343"/>
      <c r="F166" s="343"/>
      <c r="G166" s="343"/>
      <c r="H166" s="343"/>
      <c r="I166" s="343"/>
      <c r="J166" s="343"/>
      <c r="K166" s="343"/>
      <c r="L166" s="343"/>
      <c r="M166" s="343"/>
      <c r="N166" s="343"/>
      <c r="O166" s="343"/>
      <c r="P166" s="343"/>
      <c r="Q166" s="346"/>
      <c r="R166" s="343"/>
      <c r="S166" s="343"/>
      <c r="T166" s="343"/>
      <c r="U166" s="343"/>
      <c r="V166" s="343"/>
      <c r="W166" s="343"/>
      <c r="X166" s="343"/>
      <c r="Y166" s="343"/>
      <c r="Z166" s="343"/>
    </row>
    <row r="167" ht="15.75" customHeight="1">
      <c r="A167" s="343"/>
      <c r="B167" s="343"/>
      <c r="C167" s="345"/>
      <c r="D167" s="343"/>
      <c r="E167" s="343"/>
      <c r="F167" s="343"/>
      <c r="G167" s="343"/>
      <c r="H167" s="343"/>
      <c r="I167" s="343"/>
      <c r="J167" s="343"/>
      <c r="K167" s="343"/>
      <c r="L167" s="343"/>
      <c r="M167" s="343"/>
      <c r="N167" s="343"/>
      <c r="O167" s="343"/>
      <c r="P167" s="343"/>
      <c r="Q167" s="346"/>
      <c r="R167" s="343"/>
      <c r="S167" s="343"/>
      <c r="T167" s="343"/>
      <c r="U167" s="343"/>
      <c r="V167" s="343"/>
      <c r="W167" s="343"/>
      <c r="X167" s="343"/>
      <c r="Y167" s="343"/>
      <c r="Z167" s="343"/>
    </row>
    <row r="168" ht="15.75" customHeight="1">
      <c r="A168" s="343"/>
      <c r="B168" s="343"/>
      <c r="C168" s="345"/>
      <c r="D168" s="343"/>
      <c r="E168" s="343"/>
      <c r="F168" s="343"/>
      <c r="G168" s="343"/>
      <c r="H168" s="343"/>
      <c r="I168" s="343"/>
      <c r="J168" s="343"/>
      <c r="K168" s="343"/>
      <c r="L168" s="343"/>
      <c r="M168" s="343"/>
      <c r="N168" s="343"/>
      <c r="O168" s="343"/>
      <c r="P168" s="343"/>
      <c r="Q168" s="346"/>
      <c r="R168" s="343"/>
      <c r="S168" s="343"/>
      <c r="T168" s="343"/>
      <c r="U168" s="343"/>
      <c r="V168" s="343"/>
      <c r="W168" s="343"/>
      <c r="X168" s="343"/>
      <c r="Y168" s="343"/>
      <c r="Z168" s="343"/>
    </row>
    <row r="169" ht="15.75" customHeight="1">
      <c r="A169" s="343"/>
      <c r="B169" s="343"/>
      <c r="C169" s="345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6"/>
      <c r="R169" s="343"/>
      <c r="S169" s="343"/>
      <c r="T169" s="343"/>
      <c r="U169" s="343"/>
      <c r="V169" s="343"/>
      <c r="W169" s="343"/>
      <c r="X169" s="343"/>
      <c r="Y169" s="343"/>
      <c r="Z169" s="343"/>
    </row>
    <row r="170" ht="15.75" customHeight="1">
      <c r="A170" s="343"/>
      <c r="B170" s="343"/>
      <c r="C170" s="345"/>
      <c r="D170" s="343"/>
      <c r="E170" s="343"/>
      <c r="F170" s="343"/>
      <c r="G170" s="343"/>
      <c r="H170" s="343"/>
      <c r="I170" s="343"/>
      <c r="J170" s="343"/>
      <c r="K170" s="343"/>
      <c r="L170" s="343"/>
      <c r="M170" s="343"/>
      <c r="N170" s="343"/>
      <c r="O170" s="343"/>
      <c r="P170" s="343"/>
      <c r="Q170" s="346"/>
      <c r="R170" s="343"/>
      <c r="S170" s="343"/>
      <c r="T170" s="343"/>
      <c r="U170" s="343"/>
      <c r="V170" s="343"/>
      <c r="W170" s="343"/>
      <c r="X170" s="343"/>
      <c r="Y170" s="343"/>
      <c r="Z170" s="343"/>
    </row>
    <row r="171" ht="15.75" customHeight="1">
      <c r="A171" s="343"/>
      <c r="B171" s="343"/>
      <c r="C171" s="345"/>
      <c r="D171" s="343"/>
      <c r="E171" s="343"/>
      <c r="F171" s="343"/>
      <c r="G171" s="343"/>
      <c r="H171" s="343"/>
      <c r="I171" s="343"/>
      <c r="J171" s="343"/>
      <c r="K171" s="343"/>
      <c r="L171" s="343"/>
      <c r="M171" s="343"/>
      <c r="N171" s="343"/>
      <c r="O171" s="343"/>
      <c r="P171" s="343"/>
      <c r="Q171" s="346"/>
      <c r="R171" s="343"/>
      <c r="S171" s="343"/>
      <c r="T171" s="343"/>
      <c r="U171" s="343"/>
      <c r="V171" s="343"/>
      <c r="W171" s="343"/>
      <c r="X171" s="343"/>
      <c r="Y171" s="343"/>
      <c r="Z171" s="343"/>
    </row>
    <row r="172" ht="15.75" customHeight="1">
      <c r="A172" s="343"/>
      <c r="B172" s="343"/>
      <c r="C172" s="345"/>
      <c r="D172" s="343"/>
      <c r="E172" s="343"/>
      <c r="F172" s="343"/>
      <c r="G172" s="343"/>
      <c r="H172" s="343"/>
      <c r="I172" s="343"/>
      <c r="J172" s="343"/>
      <c r="K172" s="343"/>
      <c r="L172" s="343"/>
      <c r="M172" s="343"/>
      <c r="N172" s="343"/>
      <c r="O172" s="343"/>
      <c r="P172" s="343"/>
      <c r="Q172" s="346"/>
      <c r="R172" s="343"/>
      <c r="S172" s="343"/>
      <c r="T172" s="343"/>
      <c r="U172" s="343"/>
      <c r="V172" s="343"/>
      <c r="W172" s="343"/>
      <c r="X172" s="343"/>
      <c r="Y172" s="343"/>
      <c r="Z172" s="343"/>
    </row>
    <row r="173" ht="15.75" customHeight="1">
      <c r="A173" s="343"/>
      <c r="B173" s="343"/>
      <c r="C173" s="345"/>
      <c r="D173" s="343"/>
      <c r="E173" s="343"/>
      <c r="F173" s="343"/>
      <c r="G173" s="343"/>
      <c r="H173" s="343"/>
      <c r="I173" s="343"/>
      <c r="J173" s="343"/>
      <c r="K173" s="343"/>
      <c r="L173" s="343"/>
      <c r="M173" s="343"/>
      <c r="N173" s="343"/>
      <c r="O173" s="343"/>
      <c r="P173" s="343"/>
      <c r="Q173" s="346"/>
      <c r="R173" s="343"/>
      <c r="S173" s="343"/>
      <c r="T173" s="343"/>
      <c r="U173" s="343"/>
      <c r="V173" s="343"/>
      <c r="W173" s="343"/>
      <c r="X173" s="343"/>
      <c r="Y173" s="343"/>
      <c r="Z173" s="343"/>
    </row>
    <row r="174" ht="15.75" customHeight="1">
      <c r="A174" s="343"/>
      <c r="B174" s="343"/>
      <c r="C174" s="345"/>
      <c r="D174" s="343"/>
      <c r="E174" s="343"/>
      <c r="F174" s="343"/>
      <c r="G174" s="343"/>
      <c r="H174" s="343"/>
      <c r="I174" s="343"/>
      <c r="J174" s="343"/>
      <c r="K174" s="343"/>
      <c r="L174" s="343"/>
      <c r="M174" s="343"/>
      <c r="N174" s="343"/>
      <c r="O174" s="343"/>
      <c r="P174" s="343"/>
      <c r="Q174" s="346"/>
      <c r="R174" s="343"/>
      <c r="S174" s="343"/>
      <c r="T174" s="343"/>
      <c r="U174" s="343"/>
      <c r="V174" s="343"/>
      <c r="W174" s="343"/>
      <c r="X174" s="343"/>
      <c r="Y174" s="343"/>
      <c r="Z174" s="343"/>
    </row>
    <row r="175" ht="15.75" customHeight="1">
      <c r="A175" s="343"/>
      <c r="B175" s="343"/>
      <c r="C175" s="345"/>
      <c r="D175" s="343"/>
      <c r="E175" s="343"/>
      <c r="F175" s="343"/>
      <c r="G175" s="343"/>
      <c r="H175" s="343"/>
      <c r="I175" s="343"/>
      <c r="J175" s="343"/>
      <c r="K175" s="343"/>
      <c r="L175" s="343"/>
      <c r="M175" s="343"/>
      <c r="N175" s="343"/>
      <c r="O175" s="343"/>
      <c r="P175" s="343"/>
      <c r="Q175" s="346"/>
      <c r="R175" s="343"/>
      <c r="S175" s="343"/>
      <c r="T175" s="343"/>
      <c r="U175" s="343"/>
      <c r="V175" s="343"/>
      <c r="W175" s="343"/>
      <c r="X175" s="343"/>
      <c r="Y175" s="343"/>
      <c r="Z175" s="343"/>
    </row>
    <row r="176" ht="15.75" customHeight="1">
      <c r="A176" s="343"/>
      <c r="B176" s="343"/>
      <c r="C176" s="345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6"/>
      <c r="R176" s="343"/>
      <c r="S176" s="343"/>
      <c r="T176" s="343"/>
      <c r="U176" s="343"/>
      <c r="V176" s="343"/>
      <c r="W176" s="343"/>
      <c r="X176" s="343"/>
      <c r="Y176" s="343"/>
      <c r="Z176" s="343"/>
    </row>
    <row r="177" ht="15.75" customHeight="1">
      <c r="A177" s="343"/>
      <c r="B177" s="343"/>
      <c r="C177" s="345"/>
      <c r="D177" s="343"/>
      <c r="E177" s="343"/>
      <c r="F177" s="343"/>
      <c r="G177" s="343"/>
      <c r="H177" s="343"/>
      <c r="I177" s="343"/>
      <c r="J177" s="343"/>
      <c r="K177" s="343"/>
      <c r="L177" s="343"/>
      <c r="M177" s="343"/>
      <c r="N177" s="343"/>
      <c r="O177" s="343"/>
      <c r="P177" s="343"/>
      <c r="Q177" s="346"/>
      <c r="R177" s="343"/>
      <c r="S177" s="343"/>
      <c r="T177" s="343"/>
      <c r="U177" s="343"/>
      <c r="V177" s="343"/>
      <c r="W177" s="343"/>
      <c r="X177" s="343"/>
      <c r="Y177" s="343"/>
      <c r="Z177" s="343"/>
    </row>
    <row r="178" ht="15.75" customHeight="1">
      <c r="A178" s="343"/>
      <c r="B178" s="343"/>
      <c r="C178" s="345"/>
      <c r="D178" s="343"/>
      <c r="E178" s="343"/>
      <c r="F178" s="343"/>
      <c r="G178" s="343"/>
      <c r="H178" s="343"/>
      <c r="I178" s="343"/>
      <c r="J178" s="343"/>
      <c r="K178" s="343"/>
      <c r="L178" s="343"/>
      <c r="M178" s="343"/>
      <c r="N178" s="343"/>
      <c r="O178" s="343"/>
      <c r="P178" s="343"/>
      <c r="Q178" s="346"/>
      <c r="R178" s="343"/>
      <c r="S178" s="343"/>
      <c r="T178" s="343"/>
      <c r="U178" s="343"/>
      <c r="V178" s="343"/>
      <c r="W178" s="343"/>
      <c r="X178" s="343"/>
      <c r="Y178" s="343"/>
      <c r="Z178" s="343"/>
    </row>
    <row r="179" ht="15.75" customHeight="1">
      <c r="A179" s="343"/>
      <c r="B179" s="343"/>
      <c r="C179" s="345"/>
      <c r="D179" s="343"/>
      <c r="E179" s="343"/>
      <c r="F179" s="343"/>
      <c r="G179" s="343"/>
      <c r="H179" s="343"/>
      <c r="I179" s="343"/>
      <c r="J179" s="343"/>
      <c r="K179" s="343"/>
      <c r="L179" s="343"/>
      <c r="M179" s="343"/>
      <c r="N179" s="343"/>
      <c r="O179" s="343"/>
      <c r="P179" s="343"/>
      <c r="Q179" s="346"/>
      <c r="R179" s="343"/>
      <c r="S179" s="343"/>
      <c r="T179" s="343"/>
      <c r="U179" s="343"/>
      <c r="V179" s="343"/>
      <c r="W179" s="343"/>
      <c r="X179" s="343"/>
      <c r="Y179" s="343"/>
      <c r="Z179" s="343"/>
    </row>
    <row r="180" ht="15.75" customHeight="1">
      <c r="A180" s="343"/>
      <c r="B180" s="343"/>
      <c r="C180" s="345"/>
      <c r="D180" s="343"/>
      <c r="E180" s="343"/>
      <c r="F180" s="343"/>
      <c r="G180" s="343"/>
      <c r="H180" s="343"/>
      <c r="I180" s="343"/>
      <c r="J180" s="343"/>
      <c r="K180" s="343"/>
      <c r="L180" s="343"/>
      <c r="M180" s="343"/>
      <c r="N180" s="343"/>
      <c r="O180" s="343"/>
      <c r="P180" s="343"/>
      <c r="Q180" s="346"/>
      <c r="R180" s="343"/>
      <c r="S180" s="343"/>
      <c r="T180" s="343"/>
      <c r="U180" s="343"/>
      <c r="V180" s="343"/>
      <c r="W180" s="343"/>
      <c r="X180" s="343"/>
      <c r="Y180" s="343"/>
      <c r="Z180" s="343"/>
    </row>
    <row r="181" ht="15.75" customHeight="1">
      <c r="A181" s="343"/>
      <c r="B181" s="343"/>
      <c r="C181" s="345"/>
      <c r="D181" s="343"/>
      <c r="E181" s="343"/>
      <c r="F181" s="343"/>
      <c r="G181" s="343"/>
      <c r="H181" s="343"/>
      <c r="I181" s="343"/>
      <c r="J181" s="343"/>
      <c r="K181" s="343"/>
      <c r="L181" s="343"/>
      <c r="M181" s="343"/>
      <c r="N181" s="343"/>
      <c r="O181" s="343"/>
      <c r="P181" s="343"/>
      <c r="Q181" s="346"/>
      <c r="R181" s="343"/>
      <c r="S181" s="343"/>
      <c r="T181" s="343"/>
      <c r="U181" s="343"/>
      <c r="V181" s="343"/>
      <c r="W181" s="343"/>
      <c r="X181" s="343"/>
      <c r="Y181" s="343"/>
      <c r="Z181" s="343"/>
    </row>
    <row r="182" ht="15.75" customHeight="1">
      <c r="A182" s="343"/>
      <c r="B182" s="343"/>
      <c r="C182" s="345"/>
      <c r="D182" s="343"/>
      <c r="E182" s="343"/>
      <c r="F182" s="343"/>
      <c r="G182" s="343"/>
      <c r="H182" s="343"/>
      <c r="I182" s="343"/>
      <c r="J182" s="343"/>
      <c r="K182" s="343"/>
      <c r="L182" s="343"/>
      <c r="M182" s="343"/>
      <c r="N182" s="343"/>
      <c r="O182" s="343"/>
      <c r="P182" s="343"/>
      <c r="Q182" s="346"/>
      <c r="R182" s="343"/>
      <c r="S182" s="343"/>
      <c r="T182" s="343"/>
      <c r="U182" s="343"/>
      <c r="V182" s="343"/>
      <c r="W182" s="343"/>
      <c r="X182" s="343"/>
      <c r="Y182" s="343"/>
      <c r="Z182" s="343"/>
    </row>
    <row r="183" ht="15.75" customHeight="1">
      <c r="A183" s="343"/>
      <c r="B183" s="343"/>
      <c r="C183" s="345"/>
      <c r="D183" s="343"/>
      <c r="E183" s="343"/>
      <c r="F183" s="343"/>
      <c r="G183" s="343"/>
      <c r="H183" s="343"/>
      <c r="I183" s="343"/>
      <c r="J183" s="343"/>
      <c r="K183" s="343"/>
      <c r="L183" s="343"/>
      <c r="M183" s="343"/>
      <c r="N183" s="343"/>
      <c r="O183" s="343"/>
      <c r="P183" s="343"/>
      <c r="Q183" s="346"/>
      <c r="R183" s="343"/>
      <c r="S183" s="343"/>
      <c r="T183" s="343"/>
      <c r="U183" s="343"/>
      <c r="V183" s="343"/>
      <c r="W183" s="343"/>
      <c r="X183" s="343"/>
      <c r="Y183" s="343"/>
      <c r="Z183" s="343"/>
    </row>
    <row r="184" ht="15.75" customHeight="1">
      <c r="A184" s="343"/>
      <c r="B184" s="343"/>
      <c r="C184" s="345"/>
      <c r="D184" s="343"/>
      <c r="E184" s="343"/>
      <c r="F184" s="343"/>
      <c r="G184" s="343"/>
      <c r="H184" s="343"/>
      <c r="I184" s="343"/>
      <c r="J184" s="343"/>
      <c r="K184" s="343"/>
      <c r="L184" s="343"/>
      <c r="M184" s="343"/>
      <c r="N184" s="343"/>
      <c r="O184" s="343"/>
      <c r="P184" s="343"/>
      <c r="Q184" s="346"/>
      <c r="R184" s="343"/>
      <c r="S184" s="343"/>
      <c r="T184" s="343"/>
      <c r="U184" s="343"/>
      <c r="V184" s="343"/>
      <c r="W184" s="343"/>
      <c r="X184" s="343"/>
      <c r="Y184" s="343"/>
      <c r="Z184" s="343"/>
    </row>
    <row r="185" ht="15.75" customHeight="1">
      <c r="A185" s="343"/>
      <c r="B185" s="343"/>
      <c r="C185" s="345"/>
      <c r="D185" s="343"/>
      <c r="E185" s="343"/>
      <c r="F185" s="343"/>
      <c r="G185" s="343"/>
      <c r="H185" s="343"/>
      <c r="I185" s="343"/>
      <c r="J185" s="343"/>
      <c r="K185" s="343"/>
      <c r="L185" s="343"/>
      <c r="M185" s="343"/>
      <c r="N185" s="343"/>
      <c r="O185" s="343"/>
      <c r="P185" s="343"/>
      <c r="Q185" s="346"/>
      <c r="R185" s="343"/>
      <c r="S185" s="343"/>
      <c r="T185" s="343"/>
      <c r="U185" s="343"/>
      <c r="V185" s="343"/>
      <c r="W185" s="343"/>
      <c r="X185" s="343"/>
      <c r="Y185" s="343"/>
      <c r="Z185" s="343"/>
    </row>
    <row r="186" ht="15.75" customHeight="1">
      <c r="A186" s="343"/>
      <c r="B186" s="343"/>
      <c r="C186" s="345"/>
      <c r="D186" s="343"/>
      <c r="E186" s="343"/>
      <c r="F186" s="343"/>
      <c r="G186" s="343"/>
      <c r="H186" s="343"/>
      <c r="I186" s="343"/>
      <c r="J186" s="343"/>
      <c r="K186" s="343"/>
      <c r="L186" s="343"/>
      <c r="M186" s="343"/>
      <c r="N186" s="343"/>
      <c r="O186" s="343"/>
      <c r="P186" s="343"/>
      <c r="Q186" s="346"/>
      <c r="R186" s="343"/>
      <c r="S186" s="343"/>
      <c r="T186" s="343"/>
      <c r="U186" s="343"/>
      <c r="V186" s="343"/>
      <c r="W186" s="343"/>
      <c r="X186" s="343"/>
      <c r="Y186" s="343"/>
      <c r="Z186" s="343"/>
    </row>
    <row r="187" ht="15.75" customHeight="1">
      <c r="A187" s="343"/>
      <c r="B187" s="343"/>
      <c r="C187" s="345"/>
      <c r="D187" s="343"/>
      <c r="E187" s="343"/>
      <c r="F187" s="343"/>
      <c r="G187" s="343"/>
      <c r="H187" s="343"/>
      <c r="I187" s="343"/>
      <c r="J187" s="343"/>
      <c r="K187" s="343"/>
      <c r="L187" s="343"/>
      <c r="M187" s="343"/>
      <c r="N187" s="343"/>
      <c r="O187" s="343"/>
      <c r="P187" s="343"/>
      <c r="Q187" s="346"/>
      <c r="R187" s="343"/>
      <c r="S187" s="343"/>
      <c r="T187" s="343"/>
      <c r="U187" s="343"/>
      <c r="V187" s="343"/>
      <c r="W187" s="343"/>
      <c r="X187" s="343"/>
      <c r="Y187" s="343"/>
      <c r="Z187" s="343"/>
    </row>
    <row r="188" ht="15.75" customHeight="1">
      <c r="A188" s="343"/>
      <c r="B188" s="343"/>
      <c r="C188" s="345"/>
      <c r="D188" s="343"/>
      <c r="E188" s="343"/>
      <c r="F188" s="343"/>
      <c r="G188" s="343"/>
      <c r="H188" s="343"/>
      <c r="I188" s="343"/>
      <c r="J188" s="343"/>
      <c r="K188" s="343"/>
      <c r="L188" s="343"/>
      <c r="M188" s="343"/>
      <c r="N188" s="343"/>
      <c r="O188" s="343"/>
      <c r="P188" s="343"/>
      <c r="Q188" s="346"/>
      <c r="R188" s="343"/>
      <c r="S188" s="343"/>
      <c r="T188" s="343"/>
      <c r="U188" s="343"/>
      <c r="V188" s="343"/>
      <c r="W188" s="343"/>
      <c r="X188" s="343"/>
      <c r="Y188" s="343"/>
      <c r="Z188" s="343"/>
    </row>
    <row r="189" ht="15.75" customHeight="1">
      <c r="A189" s="343"/>
      <c r="B189" s="343"/>
      <c r="C189" s="345"/>
      <c r="D189" s="343"/>
      <c r="E189" s="343"/>
      <c r="F189" s="343"/>
      <c r="G189" s="343"/>
      <c r="H189" s="343"/>
      <c r="I189" s="343"/>
      <c r="J189" s="343"/>
      <c r="K189" s="343"/>
      <c r="L189" s="343"/>
      <c r="M189" s="343"/>
      <c r="N189" s="343"/>
      <c r="O189" s="343"/>
      <c r="P189" s="343"/>
      <c r="Q189" s="346"/>
      <c r="R189" s="343"/>
      <c r="S189" s="343"/>
      <c r="T189" s="343"/>
      <c r="U189" s="343"/>
      <c r="V189" s="343"/>
      <c r="W189" s="343"/>
      <c r="X189" s="343"/>
      <c r="Y189" s="343"/>
      <c r="Z189" s="343"/>
    </row>
    <row r="190" ht="15.75" customHeight="1">
      <c r="A190" s="343"/>
      <c r="B190" s="343"/>
      <c r="C190" s="345"/>
      <c r="D190" s="343"/>
      <c r="E190" s="343"/>
      <c r="F190" s="343"/>
      <c r="G190" s="343"/>
      <c r="H190" s="343"/>
      <c r="I190" s="343"/>
      <c r="J190" s="343"/>
      <c r="K190" s="343"/>
      <c r="L190" s="343"/>
      <c r="M190" s="343"/>
      <c r="N190" s="343"/>
      <c r="O190" s="343"/>
      <c r="P190" s="343"/>
      <c r="Q190" s="346"/>
      <c r="R190" s="343"/>
      <c r="S190" s="343"/>
      <c r="T190" s="343"/>
      <c r="U190" s="343"/>
      <c r="V190" s="343"/>
      <c r="W190" s="343"/>
      <c r="X190" s="343"/>
      <c r="Y190" s="343"/>
      <c r="Z190" s="343"/>
    </row>
    <row r="191" ht="15.75" customHeight="1">
      <c r="A191" s="343"/>
      <c r="B191" s="343"/>
      <c r="C191" s="345"/>
      <c r="D191" s="343"/>
      <c r="E191" s="343"/>
      <c r="F191" s="343"/>
      <c r="G191" s="343"/>
      <c r="H191" s="343"/>
      <c r="I191" s="343"/>
      <c r="J191" s="343"/>
      <c r="K191" s="343"/>
      <c r="L191" s="343"/>
      <c r="M191" s="343"/>
      <c r="N191" s="343"/>
      <c r="O191" s="343"/>
      <c r="P191" s="343"/>
      <c r="Q191" s="346"/>
      <c r="R191" s="343"/>
      <c r="S191" s="343"/>
      <c r="T191" s="343"/>
      <c r="U191" s="343"/>
      <c r="V191" s="343"/>
      <c r="W191" s="343"/>
      <c r="X191" s="343"/>
      <c r="Y191" s="343"/>
      <c r="Z191" s="343"/>
    </row>
    <row r="192" ht="15.75" customHeight="1">
      <c r="A192" s="343"/>
      <c r="B192" s="343"/>
      <c r="C192" s="345"/>
      <c r="D192" s="343"/>
      <c r="E192" s="343"/>
      <c r="F192" s="343"/>
      <c r="G192" s="343"/>
      <c r="H192" s="343"/>
      <c r="I192" s="343"/>
      <c r="J192" s="343"/>
      <c r="K192" s="343"/>
      <c r="L192" s="343"/>
      <c r="M192" s="343"/>
      <c r="N192" s="343"/>
      <c r="O192" s="343"/>
      <c r="P192" s="343"/>
      <c r="Q192" s="346"/>
      <c r="R192" s="343"/>
      <c r="S192" s="343"/>
      <c r="T192" s="343"/>
      <c r="U192" s="343"/>
      <c r="V192" s="343"/>
      <c r="W192" s="343"/>
      <c r="X192" s="343"/>
      <c r="Y192" s="343"/>
      <c r="Z192" s="343"/>
    </row>
    <row r="193" ht="15.75" customHeight="1">
      <c r="A193" s="343"/>
      <c r="B193" s="343"/>
      <c r="C193" s="345"/>
      <c r="D193" s="343"/>
      <c r="E193" s="343"/>
      <c r="F193" s="343"/>
      <c r="G193" s="343"/>
      <c r="H193" s="343"/>
      <c r="I193" s="343"/>
      <c r="J193" s="343"/>
      <c r="K193" s="343"/>
      <c r="L193" s="343"/>
      <c r="M193" s="343"/>
      <c r="N193" s="343"/>
      <c r="O193" s="343"/>
      <c r="P193" s="343"/>
      <c r="Q193" s="346"/>
      <c r="R193" s="343"/>
      <c r="S193" s="343"/>
      <c r="T193" s="343"/>
      <c r="U193" s="343"/>
      <c r="V193" s="343"/>
      <c r="W193" s="343"/>
      <c r="X193" s="343"/>
      <c r="Y193" s="343"/>
      <c r="Z193" s="343"/>
    </row>
    <row r="194" ht="15.75" customHeight="1">
      <c r="A194" s="343"/>
      <c r="B194" s="343"/>
      <c r="C194" s="345"/>
      <c r="D194" s="343"/>
      <c r="E194" s="343"/>
      <c r="F194" s="343"/>
      <c r="G194" s="343"/>
      <c r="H194" s="343"/>
      <c r="I194" s="343"/>
      <c r="J194" s="343"/>
      <c r="K194" s="343"/>
      <c r="L194" s="343"/>
      <c r="M194" s="343"/>
      <c r="N194" s="343"/>
      <c r="O194" s="343"/>
      <c r="P194" s="343"/>
      <c r="Q194" s="346"/>
      <c r="R194" s="343"/>
      <c r="S194" s="343"/>
      <c r="T194" s="343"/>
      <c r="U194" s="343"/>
      <c r="V194" s="343"/>
      <c r="W194" s="343"/>
      <c r="X194" s="343"/>
      <c r="Y194" s="343"/>
      <c r="Z194" s="343"/>
    </row>
    <row r="195" ht="15.75" customHeight="1">
      <c r="A195" s="343"/>
      <c r="B195" s="343"/>
      <c r="C195" s="345"/>
      <c r="D195" s="343"/>
      <c r="E195" s="343"/>
      <c r="F195" s="343"/>
      <c r="G195" s="343"/>
      <c r="H195" s="343"/>
      <c r="I195" s="343"/>
      <c r="J195" s="343"/>
      <c r="K195" s="343"/>
      <c r="L195" s="343"/>
      <c r="M195" s="343"/>
      <c r="N195" s="343"/>
      <c r="O195" s="343"/>
      <c r="P195" s="343"/>
      <c r="Q195" s="346"/>
      <c r="R195" s="343"/>
      <c r="S195" s="343"/>
      <c r="T195" s="343"/>
      <c r="U195" s="343"/>
      <c r="V195" s="343"/>
      <c r="W195" s="343"/>
      <c r="X195" s="343"/>
      <c r="Y195" s="343"/>
      <c r="Z195" s="343"/>
    </row>
    <row r="196" ht="15.75" customHeight="1">
      <c r="A196" s="343"/>
      <c r="B196" s="343"/>
      <c r="C196" s="345"/>
      <c r="D196" s="343"/>
      <c r="E196" s="343"/>
      <c r="F196" s="343"/>
      <c r="G196" s="343"/>
      <c r="H196" s="343"/>
      <c r="I196" s="343"/>
      <c r="J196" s="343"/>
      <c r="K196" s="343"/>
      <c r="L196" s="343"/>
      <c r="M196" s="343"/>
      <c r="N196" s="343"/>
      <c r="O196" s="343"/>
      <c r="P196" s="343"/>
      <c r="Q196" s="346"/>
      <c r="R196" s="343"/>
      <c r="S196" s="343"/>
      <c r="T196" s="343"/>
      <c r="U196" s="343"/>
      <c r="V196" s="343"/>
      <c r="W196" s="343"/>
      <c r="X196" s="343"/>
      <c r="Y196" s="343"/>
      <c r="Z196" s="343"/>
    </row>
    <row r="197" ht="15.75" customHeight="1">
      <c r="A197" s="343"/>
      <c r="B197" s="343"/>
      <c r="C197" s="345"/>
      <c r="D197" s="343"/>
      <c r="E197" s="343"/>
      <c r="F197" s="343"/>
      <c r="G197" s="343"/>
      <c r="H197" s="343"/>
      <c r="I197" s="343"/>
      <c r="J197" s="343"/>
      <c r="K197" s="343"/>
      <c r="L197" s="343"/>
      <c r="M197" s="343"/>
      <c r="N197" s="343"/>
      <c r="O197" s="343"/>
      <c r="P197" s="343"/>
      <c r="Q197" s="346"/>
      <c r="R197" s="343"/>
      <c r="S197" s="343"/>
      <c r="T197" s="343"/>
      <c r="U197" s="343"/>
      <c r="V197" s="343"/>
      <c r="W197" s="343"/>
      <c r="X197" s="343"/>
      <c r="Y197" s="343"/>
      <c r="Z197" s="343"/>
    </row>
    <row r="198" ht="15.75" customHeight="1">
      <c r="A198" s="343"/>
      <c r="B198" s="343"/>
      <c r="C198" s="345"/>
      <c r="D198" s="343"/>
      <c r="E198" s="343"/>
      <c r="F198" s="343"/>
      <c r="G198" s="343"/>
      <c r="H198" s="343"/>
      <c r="I198" s="343"/>
      <c r="J198" s="343"/>
      <c r="K198" s="343"/>
      <c r="L198" s="343"/>
      <c r="M198" s="343"/>
      <c r="N198" s="343"/>
      <c r="O198" s="343"/>
      <c r="P198" s="343"/>
      <c r="Q198" s="346"/>
      <c r="R198" s="343"/>
      <c r="S198" s="343"/>
      <c r="T198" s="343"/>
      <c r="U198" s="343"/>
      <c r="V198" s="343"/>
      <c r="W198" s="343"/>
      <c r="X198" s="343"/>
      <c r="Y198" s="343"/>
      <c r="Z198" s="343"/>
    </row>
    <row r="199" ht="15.75" customHeight="1">
      <c r="A199" s="343"/>
      <c r="B199" s="343"/>
      <c r="C199" s="345"/>
      <c r="D199" s="343"/>
      <c r="E199" s="343"/>
      <c r="F199" s="343"/>
      <c r="G199" s="343"/>
      <c r="H199" s="343"/>
      <c r="I199" s="343"/>
      <c r="J199" s="343"/>
      <c r="K199" s="343"/>
      <c r="L199" s="343"/>
      <c r="M199" s="343"/>
      <c r="N199" s="343"/>
      <c r="O199" s="343"/>
      <c r="P199" s="343"/>
      <c r="Q199" s="346"/>
      <c r="R199" s="343"/>
      <c r="S199" s="343"/>
      <c r="T199" s="343"/>
      <c r="U199" s="343"/>
      <c r="V199" s="343"/>
      <c r="W199" s="343"/>
      <c r="X199" s="343"/>
      <c r="Y199" s="343"/>
      <c r="Z199" s="343"/>
    </row>
    <row r="200" ht="15.75" customHeight="1">
      <c r="A200" s="343"/>
      <c r="B200" s="343"/>
      <c r="C200" s="345"/>
      <c r="D200" s="343"/>
      <c r="E200" s="343"/>
      <c r="F200" s="343"/>
      <c r="G200" s="343"/>
      <c r="H200" s="343"/>
      <c r="I200" s="343"/>
      <c r="J200" s="343"/>
      <c r="K200" s="343"/>
      <c r="L200" s="343"/>
      <c r="M200" s="343"/>
      <c r="N200" s="343"/>
      <c r="O200" s="343"/>
      <c r="P200" s="343"/>
      <c r="Q200" s="346"/>
      <c r="R200" s="343"/>
      <c r="S200" s="343"/>
      <c r="T200" s="343"/>
      <c r="U200" s="343"/>
      <c r="V200" s="343"/>
      <c r="W200" s="343"/>
      <c r="X200" s="343"/>
      <c r="Y200" s="343"/>
      <c r="Z200" s="343"/>
    </row>
    <row r="201" ht="15.75" customHeight="1">
      <c r="A201" s="343"/>
      <c r="B201" s="343"/>
      <c r="C201" s="345"/>
      <c r="D201" s="343"/>
      <c r="E201" s="343"/>
      <c r="F201" s="343"/>
      <c r="G201" s="343"/>
      <c r="H201" s="343"/>
      <c r="I201" s="343"/>
      <c r="J201" s="343"/>
      <c r="K201" s="343"/>
      <c r="L201" s="343"/>
      <c r="M201" s="343"/>
      <c r="N201" s="343"/>
      <c r="O201" s="343"/>
      <c r="P201" s="343"/>
      <c r="Q201" s="346"/>
      <c r="R201" s="343"/>
      <c r="S201" s="343"/>
      <c r="T201" s="343"/>
      <c r="U201" s="343"/>
      <c r="V201" s="343"/>
      <c r="W201" s="343"/>
      <c r="X201" s="343"/>
      <c r="Y201" s="343"/>
      <c r="Z201" s="343"/>
    </row>
    <row r="202" ht="15.75" customHeight="1">
      <c r="A202" s="343"/>
      <c r="B202" s="343"/>
      <c r="C202" s="345"/>
      <c r="D202" s="343"/>
      <c r="E202" s="343"/>
      <c r="F202" s="343"/>
      <c r="G202" s="343"/>
      <c r="H202" s="343"/>
      <c r="I202" s="343"/>
      <c r="J202" s="343"/>
      <c r="K202" s="343"/>
      <c r="L202" s="343"/>
      <c r="M202" s="343"/>
      <c r="N202" s="343"/>
      <c r="O202" s="343"/>
      <c r="P202" s="343"/>
      <c r="Q202" s="346"/>
      <c r="R202" s="343"/>
      <c r="S202" s="343"/>
      <c r="T202" s="343"/>
      <c r="U202" s="343"/>
      <c r="V202" s="343"/>
      <c r="W202" s="343"/>
      <c r="X202" s="343"/>
      <c r="Y202" s="343"/>
      <c r="Z202" s="343"/>
    </row>
    <row r="203" ht="15.75" customHeight="1">
      <c r="A203" s="343"/>
      <c r="B203" s="343"/>
      <c r="C203" s="345"/>
      <c r="D203" s="343"/>
      <c r="E203" s="343"/>
      <c r="F203" s="343"/>
      <c r="G203" s="343"/>
      <c r="H203" s="343"/>
      <c r="I203" s="343"/>
      <c r="J203" s="343"/>
      <c r="K203" s="343"/>
      <c r="L203" s="343"/>
      <c r="M203" s="343"/>
      <c r="N203" s="343"/>
      <c r="O203" s="343"/>
      <c r="P203" s="343"/>
      <c r="Q203" s="346"/>
      <c r="R203" s="343"/>
      <c r="S203" s="343"/>
      <c r="T203" s="343"/>
      <c r="U203" s="343"/>
      <c r="V203" s="343"/>
      <c r="W203" s="343"/>
      <c r="X203" s="343"/>
      <c r="Y203" s="343"/>
      <c r="Z203" s="343"/>
    </row>
    <row r="204" ht="15.75" customHeight="1">
      <c r="A204" s="343"/>
      <c r="B204" s="343"/>
      <c r="C204" s="345"/>
      <c r="D204" s="343"/>
      <c r="E204" s="343"/>
      <c r="F204" s="343"/>
      <c r="G204" s="343"/>
      <c r="H204" s="343"/>
      <c r="I204" s="343"/>
      <c r="J204" s="343"/>
      <c r="K204" s="343"/>
      <c r="L204" s="343"/>
      <c r="M204" s="343"/>
      <c r="N204" s="343"/>
      <c r="O204" s="343"/>
      <c r="P204" s="343"/>
      <c r="Q204" s="346"/>
      <c r="R204" s="343"/>
      <c r="S204" s="343"/>
      <c r="T204" s="343"/>
      <c r="U204" s="343"/>
      <c r="V204" s="343"/>
      <c r="W204" s="343"/>
      <c r="X204" s="343"/>
      <c r="Y204" s="343"/>
      <c r="Z204" s="343"/>
    </row>
    <row r="205" ht="15.75" customHeight="1">
      <c r="A205" s="343"/>
      <c r="B205" s="343"/>
      <c r="C205" s="345"/>
      <c r="D205" s="343"/>
      <c r="E205" s="343"/>
      <c r="F205" s="343"/>
      <c r="G205" s="343"/>
      <c r="H205" s="343"/>
      <c r="I205" s="343"/>
      <c r="J205" s="343"/>
      <c r="K205" s="343"/>
      <c r="L205" s="343"/>
      <c r="M205" s="343"/>
      <c r="N205" s="343"/>
      <c r="O205" s="343"/>
      <c r="P205" s="343"/>
      <c r="Q205" s="346"/>
      <c r="R205" s="343"/>
      <c r="S205" s="343"/>
      <c r="T205" s="343"/>
      <c r="U205" s="343"/>
      <c r="V205" s="343"/>
      <c r="W205" s="343"/>
      <c r="X205" s="343"/>
      <c r="Y205" s="343"/>
      <c r="Z205" s="343"/>
    </row>
    <row r="206" ht="15.75" customHeight="1">
      <c r="A206" s="343"/>
      <c r="B206" s="343"/>
      <c r="C206" s="345"/>
      <c r="D206" s="343"/>
      <c r="E206" s="343"/>
      <c r="F206" s="343"/>
      <c r="G206" s="343"/>
      <c r="H206" s="343"/>
      <c r="I206" s="343"/>
      <c r="J206" s="343"/>
      <c r="K206" s="343"/>
      <c r="L206" s="343"/>
      <c r="M206" s="343"/>
      <c r="N206" s="343"/>
      <c r="O206" s="343"/>
      <c r="P206" s="343"/>
      <c r="Q206" s="346"/>
      <c r="R206" s="343"/>
      <c r="S206" s="343"/>
      <c r="T206" s="343"/>
      <c r="U206" s="343"/>
      <c r="V206" s="343"/>
      <c r="W206" s="343"/>
      <c r="X206" s="343"/>
      <c r="Y206" s="343"/>
      <c r="Z206" s="343"/>
    </row>
    <row r="207" ht="15.75" customHeight="1">
      <c r="A207" s="343"/>
      <c r="B207" s="343"/>
      <c r="C207" s="345"/>
      <c r="D207" s="343"/>
      <c r="E207" s="343"/>
      <c r="F207" s="343"/>
      <c r="G207" s="343"/>
      <c r="H207" s="343"/>
      <c r="I207" s="343"/>
      <c r="J207" s="343"/>
      <c r="K207" s="343"/>
      <c r="L207" s="343"/>
      <c r="M207" s="343"/>
      <c r="N207" s="343"/>
      <c r="O207" s="343"/>
      <c r="P207" s="343"/>
      <c r="Q207" s="346"/>
      <c r="R207" s="343"/>
      <c r="S207" s="343"/>
      <c r="T207" s="343"/>
      <c r="U207" s="343"/>
      <c r="V207" s="343"/>
      <c r="W207" s="343"/>
      <c r="X207" s="343"/>
      <c r="Y207" s="343"/>
      <c r="Z207" s="343"/>
    </row>
    <row r="208" ht="15.75" customHeight="1">
      <c r="A208" s="343"/>
      <c r="B208" s="343"/>
      <c r="C208" s="345"/>
      <c r="D208" s="343"/>
      <c r="E208" s="343"/>
      <c r="F208" s="343"/>
      <c r="G208" s="343"/>
      <c r="H208" s="343"/>
      <c r="I208" s="343"/>
      <c r="J208" s="343"/>
      <c r="K208" s="343"/>
      <c r="L208" s="343"/>
      <c r="M208" s="343"/>
      <c r="N208" s="343"/>
      <c r="O208" s="343"/>
      <c r="P208" s="343"/>
      <c r="Q208" s="346"/>
      <c r="R208" s="343"/>
      <c r="S208" s="343"/>
      <c r="T208" s="343"/>
      <c r="U208" s="343"/>
      <c r="V208" s="343"/>
      <c r="W208" s="343"/>
      <c r="X208" s="343"/>
      <c r="Y208" s="343"/>
      <c r="Z208" s="343"/>
    </row>
    <row r="209" ht="15.75" customHeight="1">
      <c r="A209" s="343"/>
      <c r="B209" s="343"/>
      <c r="C209" s="345"/>
      <c r="D209" s="343"/>
      <c r="E209" s="343"/>
      <c r="F209" s="343"/>
      <c r="G209" s="343"/>
      <c r="H209" s="343"/>
      <c r="I209" s="343"/>
      <c r="J209" s="343"/>
      <c r="K209" s="343"/>
      <c r="L209" s="343"/>
      <c r="M209" s="343"/>
      <c r="N209" s="343"/>
      <c r="O209" s="343"/>
      <c r="P209" s="343"/>
      <c r="Q209" s="346"/>
      <c r="R209" s="343"/>
      <c r="S209" s="343"/>
      <c r="T209" s="343"/>
      <c r="U209" s="343"/>
      <c r="V209" s="343"/>
      <c r="W209" s="343"/>
      <c r="X209" s="343"/>
      <c r="Y209" s="343"/>
      <c r="Z209" s="343"/>
    </row>
    <row r="210" ht="15.75" customHeight="1">
      <c r="A210" s="343"/>
      <c r="B210" s="343"/>
      <c r="C210" s="345"/>
      <c r="D210" s="343"/>
      <c r="E210" s="343"/>
      <c r="F210" s="343"/>
      <c r="G210" s="343"/>
      <c r="H210" s="343"/>
      <c r="I210" s="343"/>
      <c r="J210" s="343"/>
      <c r="K210" s="343"/>
      <c r="L210" s="343"/>
      <c r="M210" s="343"/>
      <c r="N210" s="343"/>
      <c r="O210" s="343"/>
      <c r="P210" s="343"/>
      <c r="Q210" s="346"/>
      <c r="R210" s="343"/>
      <c r="S210" s="343"/>
      <c r="T210" s="343"/>
      <c r="U210" s="343"/>
      <c r="V210" s="343"/>
      <c r="W210" s="343"/>
      <c r="X210" s="343"/>
      <c r="Y210" s="343"/>
      <c r="Z210" s="343"/>
    </row>
    <row r="211" ht="15.75" customHeight="1">
      <c r="A211" s="343"/>
      <c r="B211" s="343"/>
      <c r="C211" s="345"/>
      <c r="D211" s="343"/>
      <c r="E211" s="343"/>
      <c r="F211" s="343"/>
      <c r="G211" s="343"/>
      <c r="H211" s="343"/>
      <c r="I211" s="343"/>
      <c r="J211" s="343"/>
      <c r="K211" s="343"/>
      <c r="L211" s="343"/>
      <c r="M211" s="343"/>
      <c r="N211" s="343"/>
      <c r="O211" s="343"/>
      <c r="P211" s="343"/>
      <c r="Q211" s="346"/>
      <c r="R211" s="343"/>
      <c r="S211" s="343"/>
      <c r="T211" s="343"/>
      <c r="U211" s="343"/>
      <c r="V211" s="343"/>
      <c r="W211" s="343"/>
      <c r="X211" s="343"/>
      <c r="Y211" s="343"/>
      <c r="Z211" s="343"/>
    </row>
    <row r="212" ht="15.75" customHeight="1">
      <c r="A212" s="343"/>
      <c r="B212" s="343"/>
      <c r="C212" s="345"/>
      <c r="D212" s="343"/>
      <c r="E212" s="343"/>
      <c r="F212" s="343"/>
      <c r="G212" s="343"/>
      <c r="H212" s="343"/>
      <c r="I212" s="343"/>
      <c r="J212" s="343"/>
      <c r="K212" s="343"/>
      <c r="L212" s="343"/>
      <c r="M212" s="343"/>
      <c r="N212" s="343"/>
      <c r="O212" s="343"/>
      <c r="P212" s="343"/>
      <c r="Q212" s="346"/>
      <c r="R212" s="343"/>
      <c r="S212" s="343"/>
      <c r="T212" s="343"/>
      <c r="U212" s="343"/>
      <c r="V212" s="343"/>
      <c r="W212" s="343"/>
      <c r="X212" s="343"/>
      <c r="Y212" s="343"/>
      <c r="Z212" s="343"/>
    </row>
    <row r="213" ht="15.75" customHeight="1">
      <c r="A213" s="343"/>
      <c r="B213" s="343"/>
      <c r="C213" s="345"/>
      <c r="D213" s="343"/>
      <c r="E213" s="343"/>
      <c r="F213" s="343"/>
      <c r="G213" s="343"/>
      <c r="H213" s="343"/>
      <c r="I213" s="343"/>
      <c r="J213" s="343"/>
      <c r="K213" s="343"/>
      <c r="L213" s="343"/>
      <c r="M213" s="343"/>
      <c r="N213" s="343"/>
      <c r="O213" s="343"/>
      <c r="P213" s="343"/>
      <c r="Q213" s="346"/>
      <c r="R213" s="343"/>
      <c r="S213" s="343"/>
      <c r="T213" s="343"/>
      <c r="U213" s="343"/>
      <c r="V213" s="343"/>
      <c r="W213" s="343"/>
      <c r="X213" s="343"/>
      <c r="Y213" s="343"/>
      <c r="Z213" s="343"/>
    </row>
    <row r="214" ht="15.75" customHeight="1">
      <c r="A214" s="343"/>
      <c r="B214" s="343"/>
      <c r="C214" s="345"/>
      <c r="D214" s="343"/>
      <c r="E214" s="343"/>
      <c r="F214" s="343"/>
      <c r="G214" s="343"/>
      <c r="H214" s="343"/>
      <c r="I214" s="343"/>
      <c r="J214" s="343"/>
      <c r="K214" s="343"/>
      <c r="L214" s="343"/>
      <c r="M214" s="343"/>
      <c r="N214" s="343"/>
      <c r="O214" s="343"/>
      <c r="P214" s="343"/>
      <c r="Q214" s="346"/>
      <c r="R214" s="343"/>
      <c r="S214" s="343"/>
      <c r="T214" s="343"/>
      <c r="U214" s="343"/>
      <c r="V214" s="343"/>
      <c r="W214" s="343"/>
      <c r="X214" s="343"/>
      <c r="Y214" s="343"/>
      <c r="Z214" s="343"/>
    </row>
    <row r="215" ht="15.75" customHeight="1">
      <c r="A215" s="343"/>
      <c r="B215" s="343"/>
      <c r="C215" s="345"/>
      <c r="D215" s="343"/>
      <c r="E215" s="343"/>
      <c r="F215" s="343"/>
      <c r="G215" s="343"/>
      <c r="H215" s="343"/>
      <c r="I215" s="343"/>
      <c r="J215" s="343"/>
      <c r="K215" s="343"/>
      <c r="L215" s="343"/>
      <c r="M215" s="343"/>
      <c r="N215" s="343"/>
      <c r="O215" s="343"/>
      <c r="P215" s="343"/>
      <c r="Q215" s="346"/>
      <c r="R215" s="343"/>
      <c r="S215" s="343"/>
      <c r="T215" s="343"/>
      <c r="U215" s="343"/>
      <c r="V215" s="343"/>
      <c r="W215" s="343"/>
      <c r="X215" s="343"/>
      <c r="Y215" s="343"/>
      <c r="Z215" s="343"/>
    </row>
    <row r="216" ht="15.75" customHeight="1">
      <c r="A216" s="343"/>
      <c r="B216" s="343"/>
      <c r="C216" s="345"/>
      <c r="D216" s="343"/>
      <c r="E216" s="343"/>
      <c r="F216" s="343"/>
      <c r="G216" s="343"/>
      <c r="H216" s="343"/>
      <c r="I216" s="343"/>
      <c r="J216" s="343"/>
      <c r="K216" s="343"/>
      <c r="L216" s="343"/>
      <c r="M216" s="343"/>
      <c r="N216" s="343"/>
      <c r="O216" s="343"/>
      <c r="P216" s="343"/>
      <c r="Q216" s="346"/>
      <c r="R216" s="343"/>
      <c r="S216" s="343"/>
      <c r="T216" s="343"/>
      <c r="U216" s="343"/>
      <c r="V216" s="343"/>
      <c r="W216" s="343"/>
      <c r="X216" s="343"/>
      <c r="Y216" s="343"/>
      <c r="Z216" s="343"/>
    </row>
    <row r="217" ht="15.75" customHeight="1">
      <c r="A217" s="343"/>
      <c r="B217" s="343"/>
      <c r="C217" s="345"/>
      <c r="D217" s="343"/>
      <c r="E217" s="343"/>
      <c r="F217" s="343"/>
      <c r="G217" s="343"/>
      <c r="H217" s="343"/>
      <c r="I217" s="343"/>
      <c r="J217" s="343"/>
      <c r="K217" s="343"/>
      <c r="L217" s="343"/>
      <c r="M217" s="343"/>
      <c r="N217" s="343"/>
      <c r="O217" s="343"/>
      <c r="P217" s="343"/>
      <c r="Q217" s="346"/>
      <c r="R217" s="343"/>
      <c r="S217" s="343"/>
      <c r="T217" s="343"/>
      <c r="U217" s="343"/>
      <c r="V217" s="343"/>
      <c r="W217" s="343"/>
      <c r="X217" s="343"/>
      <c r="Y217" s="343"/>
      <c r="Z217" s="343"/>
    </row>
    <row r="218" ht="15.75" customHeight="1">
      <c r="A218" s="343"/>
      <c r="B218" s="343"/>
      <c r="C218" s="345"/>
      <c r="D218" s="343"/>
      <c r="E218" s="343"/>
      <c r="F218" s="343"/>
      <c r="G218" s="343"/>
      <c r="H218" s="343"/>
      <c r="I218" s="343"/>
      <c r="J218" s="343"/>
      <c r="K218" s="343"/>
      <c r="L218" s="343"/>
      <c r="M218" s="343"/>
      <c r="N218" s="343"/>
      <c r="O218" s="343"/>
      <c r="P218" s="343"/>
      <c r="Q218" s="346"/>
      <c r="R218" s="343"/>
      <c r="S218" s="343"/>
      <c r="T218" s="343"/>
      <c r="U218" s="343"/>
      <c r="V218" s="343"/>
      <c r="W218" s="343"/>
      <c r="X218" s="343"/>
      <c r="Y218" s="343"/>
      <c r="Z218" s="343"/>
    </row>
    <row r="219" ht="15.75" customHeight="1">
      <c r="A219" s="343"/>
      <c r="B219" s="343"/>
      <c r="C219" s="345"/>
      <c r="D219" s="343"/>
      <c r="E219" s="343"/>
      <c r="F219" s="343"/>
      <c r="G219" s="343"/>
      <c r="H219" s="343"/>
      <c r="I219" s="343"/>
      <c r="J219" s="343"/>
      <c r="K219" s="343"/>
      <c r="L219" s="343"/>
      <c r="M219" s="343"/>
      <c r="N219" s="343"/>
      <c r="O219" s="343"/>
      <c r="P219" s="343"/>
      <c r="Q219" s="346"/>
      <c r="R219" s="343"/>
      <c r="S219" s="343"/>
      <c r="T219" s="343"/>
      <c r="U219" s="343"/>
      <c r="V219" s="343"/>
      <c r="W219" s="343"/>
      <c r="X219" s="343"/>
      <c r="Y219" s="343"/>
      <c r="Z219" s="343"/>
    </row>
    <row r="220" ht="15.75" customHeight="1">
      <c r="A220" s="343"/>
      <c r="B220" s="343"/>
      <c r="C220" s="345"/>
      <c r="D220" s="343"/>
      <c r="E220" s="343"/>
      <c r="F220" s="343"/>
      <c r="G220" s="343"/>
      <c r="H220" s="343"/>
      <c r="I220" s="343"/>
      <c r="J220" s="343"/>
      <c r="K220" s="343"/>
      <c r="L220" s="343"/>
      <c r="M220" s="343"/>
      <c r="N220" s="343"/>
      <c r="O220" s="343"/>
      <c r="P220" s="343"/>
      <c r="Q220" s="346"/>
      <c r="R220" s="343"/>
      <c r="S220" s="343"/>
      <c r="T220" s="343"/>
      <c r="U220" s="343"/>
      <c r="V220" s="343"/>
      <c r="W220" s="343"/>
      <c r="X220" s="343"/>
      <c r="Y220" s="343"/>
      <c r="Z220" s="343"/>
    </row>
    <row r="221" ht="15.75" customHeight="1">
      <c r="A221" s="343"/>
      <c r="B221" s="343"/>
      <c r="C221" s="345"/>
      <c r="D221" s="343"/>
      <c r="E221" s="343"/>
      <c r="F221" s="343"/>
      <c r="G221" s="343"/>
      <c r="H221" s="343"/>
      <c r="I221" s="343"/>
      <c r="J221" s="343"/>
      <c r="K221" s="343"/>
      <c r="L221" s="343"/>
      <c r="M221" s="343"/>
      <c r="N221" s="343"/>
      <c r="O221" s="343"/>
      <c r="P221" s="343"/>
      <c r="Q221" s="346"/>
      <c r="R221" s="343"/>
      <c r="S221" s="343"/>
      <c r="T221" s="343"/>
      <c r="U221" s="343"/>
      <c r="V221" s="343"/>
      <c r="W221" s="343"/>
      <c r="X221" s="343"/>
      <c r="Y221" s="343"/>
      <c r="Z221" s="343"/>
    </row>
    <row r="222" ht="15.75" customHeight="1">
      <c r="A222" s="343"/>
      <c r="B222" s="343"/>
      <c r="C222" s="345"/>
      <c r="D222" s="343"/>
      <c r="E222" s="343"/>
      <c r="F222" s="343"/>
      <c r="G222" s="343"/>
      <c r="H222" s="343"/>
      <c r="I222" s="343"/>
      <c r="J222" s="343"/>
      <c r="K222" s="343"/>
      <c r="L222" s="343"/>
      <c r="M222" s="343"/>
      <c r="N222" s="343"/>
      <c r="O222" s="343"/>
      <c r="P222" s="343"/>
      <c r="Q222" s="346"/>
      <c r="R222" s="343"/>
      <c r="S222" s="343"/>
      <c r="T222" s="343"/>
      <c r="U222" s="343"/>
      <c r="V222" s="343"/>
      <c r="W222" s="343"/>
      <c r="X222" s="343"/>
      <c r="Y222" s="343"/>
      <c r="Z222" s="343"/>
    </row>
    <row r="223" ht="15.75" customHeight="1">
      <c r="A223" s="343"/>
      <c r="B223" s="343"/>
      <c r="C223" s="345"/>
      <c r="D223" s="343"/>
      <c r="E223" s="343"/>
      <c r="F223" s="343"/>
      <c r="G223" s="343"/>
      <c r="H223" s="343"/>
      <c r="I223" s="343"/>
      <c r="J223" s="343"/>
      <c r="K223" s="343"/>
      <c r="L223" s="343"/>
      <c r="M223" s="343"/>
      <c r="N223" s="343"/>
      <c r="O223" s="343"/>
      <c r="P223" s="343"/>
      <c r="Q223" s="346"/>
      <c r="R223" s="343"/>
      <c r="S223" s="343"/>
      <c r="T223" s="343"/>
      <c r="U223" s="343"/>
      <c r="V223" s="343"/>
      <c r="W223" s="343"/>
      <c r="X223" s="343"/>
      <c r="Y223" s="343"/>
      <c r="Z223" s="343"/>
    </row>
    <row r="224" ht="15.75" customHeight="1">
      <c r="A224" s="343"/>
      <c r="B224" s="343"/>
      <c r="C224" s="345"/>
      <c r="D224" s="343"/>
      <c r="E224" s="343"/>
      <c r="F224" s="343"/>
      <c r="G224" s="343"/>
      <c r="H224" s="343"/>
      <c r="I224" s="343"/>
      <c r="J224" s="343"/>
      <c r="K224" s="343"/>
      <c r="L224" s="343"/>
      <c r="M224" s="343"/>
      <c r="N224" s="343"/>
      <c r="O224" s="343"/>
      <c r="P224" s="343"/>
      <c r="Q224" s="346"/>
      <c r="R224" s="343"/>
      <c r="S224" s="343"/>
      <c r="T224" s="343"/>
      <c r="U224" s="343"/>
      <c r="V224" s="343"/>
      <c r="W224" s="343"/>
      <c r="X224" s="343"/>
      <c r="Y224" s="343"/>
      <c r="Z224" s="343"/>
    </row>
    <row r="225" ht="15.75" customHeight="1">
      <c r="A225" s="343"/>
      <c r="B225" s="343"/>
      <c r="C225" s="345"/>
      <c r="D225" s="343"/>
      <c r="E225" s="343"/>
      <c r="F225" s="343"/>
      <c r="G225" s="343"/>
      <c r="H225" s="343"/>
      <c r="I225" s="343"/>
      <c r="J225" s="343"/>
      <c r="K225" s="343"/>
      <c r="L225" s="343"/>
      <c r="M225" s="343"/>
      <c r="N225" s="343"/>
      <c r="O225" s="343"/>
      <c r="P225" s="343"/>
      <c r="Q225" s="346"/>
      <c r="R225" s="343"/>
      <c r="S225" s="343"/>
      <c r="T225" s="343"/>
      <c r="U225" s="343"/>
      <c r="V225" s="343"/>
      <c r="W225" s="343"/>
      <c r="X225" s="343"/>
      <c r="Y225" s="343"/>
      <c r="Z225" s="343"/>
    </row>
    <row r="226" ht="15.75" customHeight="1">
      <c r="A226" s="343"/>
      <c r="B226" s="343"/>
      <c r="C226" s="345"/>
      <c r="D226" s="343"/>
      <c r="E226" s="343"/>
      <c r="F226" s="343"/>
      <c r="G226" s="343"/>
      <c r="H226" s="343"/>
      <c r="I226" s="343"/>
      <c r="J226" s="343"/>
      <c r="K226" s="343"/>
      <c r="L226" s="343"/>
      <c r="M226" s="343"/>
      <c r="N226" s="343"/>
      <c r="O226" s="343"/>
      <c r="P226" s="343"/>
      <c r="Q226" s="346"/>
      <c r="R226" s="343"/>
      <c r="S226" s="343"/>
      <c r="T226" s="343"/>
      <c r="U226" s="343"/>
      <c r="V226" s="343"/>
      <c r="W226" s="343"/>
      <c r="X226" s="343"/>
      <c r="Y226" s="343"/>
      <c r="Z226" s="343"/>
    </row>
    <row r="227" ht="15.75" customHeight="1">
      <c r="A227" s="343"/>
      <c r="B227" s="343"/>
      <c r="C227" s="345"/>
      <c r="D227" s="343"/>
      <c r="E227" s="343"/>
      <c r="F227" s="343"/>
      <c r="G227" s="343"/>
      <c r="H227" s="343"/>
      <c r="I227" s="343"/>
      <c r="J227" s="343"/>
      <c r="K227" s="343"/>
      <c r="L227" s="343"/>
      <c r="M227" s="343"/>
      <c r="N227" s="343"/>
      <c r="O227" s="343"/>
      <c r="P227" s="343"/>
      <c r="Q227" s="346"/>
      <c r="R227" s="343"/>
      <c r="S227" s="343"/>
      <c r="T227" s="343"/>
      <c r="U227" s="343"/>
      <c r="V227" s="343"/>
      <c r="W227" s="343"/>
      <c r="X227" s="343"/>
      <c r="Y227" s="343"/>
      <c r="Z227" s="343"/>
    </row>
    <row r="228" ht="15.75" customHeight="1">
      <c r="A228" s="343"/>
      <c r="B228" s="343"/>
      <c r="C228" s="345"/>
      <c r="D228" s="343"/>
      <c r="E228" s="343"/>
      <c r="F228" s="343"/>
      <c r="G228" s="343"/>
      <c r="H228" s="343"/>
      <c r="I228" s="343"/>
      <c r="J228" s="343"/>
      <c r="K228" s="343"/>
      <c r="L228" s="343"/>
      <c r="M228" s="343"/>
      <c r="N228" s="343"/>
      <c r="O228" s="343"/>
      <c r="P228" s="343"/>
      <c r="Q228" s="346"/>
      <c r="R228" s="343"/>
      <c r="S228" s="343"/>
      <c r="T228" s="343"/>
      <c r="U228" s="343"/>
      <c r="V228" s="343"/>
      <c r="W228" s="343"/>
      <c r="X228" s="343"/>
      <c r="Y228" s="343"/>
      <c r="Z228" s="343"/>
    </row>
    <row r="229" ht="15.75" customHeight="1">
      <c r="A229" s="343"/>
      <c r="B229" s="343"/>
      <c r="C229" s="345"/>
      <c r="D229" s="343"/>
      <c r="E229" s="343"/>
      <c r="F229" s="343"/>
      <c r="G229" s="343"/>
      <c r="H229" s="343"/>
      <c r="I229" s="343"/>
      <c r="J229" s="343"/>
      <c r="K229" s="343"/>
      <c r="L229" s="343"/>
      <c r="M229" s="343"/>
      <c r="N229" s="343"/>
      <c r="O229" s="343"/>
      <c r="P229" s="343"/>
      <c r="Q229" s="346"/>
      <c r="R229" s="343"/>
      <c r="S229" s="343"/>
      <c r="T229" s="343"/>
      <c r="U229" s="343"/>
      <c r="V229" s="343"/>
      <c r="W229" s="343"/>
      <c r="X229" s="343"/>
      <c r="Y229" s="343"/>
      <c r="Z229" s="343"/>
    </row>
    <row r="230" ht="15.75" customHeight="1">
      <c r="A230" s="343"/>
      <c r="B230" s="343"/>
      <c r="C230" s="345"/>
      <c r="D230" s="343"/>
      <c r="E230" s="343"/>
      <c r="F230" s="343"/>
      <c r="G230" s="343"/>
      <c r="H230" s="343"/>
      <c r="I230" s="343"/>
      <c r="J230" s="343"/>
      <c r="K230" s="343"/>
      <c r="L230" s="343"/>
      <c r="M230" s="343"/>
      <c r="N230" s="343"/>
      <c r="O230" s="343"/>
      <c r="P230" s="343"/>
      <c r="Q230" s="346"/>
      <c r="R230" s="343"/>
      <c r="S230" s="343"/>
      <c r="T230" s="343"/>
      <c r="U230" s="343"/>
      <c r="V230" s="343"/>
      <c r="W230" s="343"/>
      <c r="X230" s="343"/>
      <c r="Y230" s="343"/>
      <c r="Z230" s="343"/>
    </row>
    <row r="231" ht="15.75" customHeight="1">
      <c r="A231" s="343"/>
      <c r="B231" s="343"/>
      <c r="C231" s="345"/>
      <c r="D231" s="343"/>
      <c r="E231" s="343"/>
      <c r="F231" s="343"/>
      <c r="G231" s="343"/>
      <c r="H231" s="343"/>
      <c r="I231" s="343"/>
      <c r="J231" s="343"/>
      <c r="K231" s="343"/>
      <c r="L231" s="343"/>
      <c r="M231" s="343"/>
      <c r="N231" s="343"/>
      <c r="O231" s="343"/>
      <c r="P231" s="343"/>
      <c r="Q231" s="346"/>
      <c r="R231" s="343"/>
      <c r="S231" s="343"/>
      <c r="T231" s="343"/>
      <c r="U231" s="343"/>
      <c r="V231" s="343"/>
      <c r="W231" s="343"/>
      <c r="X231" s="343"/>
      <c r="Y231" s="343"/>
      <c r="Z231" s="343"/>
    </row>
    <row r="232" ht="15.75" customHeight="1">
      <c r="A232" s="343"/>
      <c r="B232" s="343"/>
      <c r="C232" s="345"/>
      <c r="D232" s="343"/>
      <c r="E232" s="343"/>
      <c r="F232" s="343"/>
      <c r="G232" s="343"/>
      <c r="H232" s="343"/>
      <c r="I232" s="343"/>
      <c r="J232" s="343"/>
      <c r="K232" s="343"/>
      <c r="L232" s="343"/>
      <c r="M232" s="343"/>
      <c r="N232" s="343"/>
      <c r="O232" s="343"/>
      <c r="P232" s="343"/>
      <c r="Q232" s="346"/>
      <c r="R232" s="343"/>
      <c r="S232" s="343"/>
      <c r="T232" s="343"/>
      <c r="U232" s="343"/>
      <c r="V232" s="343"/>
      <c r="W232" s="343"/>
      <c r="X232" s="343"/>
      <c r="Y232" s="343"/>
      <c r="Z232" s="343"/>
    </row>
    <row r="233" ht="15.75" customHeight="1">
      <c r="A233" s="343"/>
      <c r="B233" s="343"/>
      <c r="C233" s="345"/>
      <c r="D233" s="343"/>
      <c r="E233" s="343"/>
      <c r="F233" s="343"/>
      <c r="G233" s="343"/>
      <c r="H233" s="343"/>
      <c r="I233" s="343"/>
      <c r="J233" s="343"/>
      <c r="K233" s="343"/>
      <c r="L233" s="343"/>
      <c r="M233" s="343"/>
      <c r="N233" s="343"/>
      <c r="O233" s="343"/>
      <c r="P233" s="343"/>
      <c r="Q233" s="346"/>
      <c r="R233" s="343"/>
      <c r="S233" s="343"/>
      <c r="T233" s="343"/>
      <c r="U233" s="343"/>
      <c r="V233" s="343"/>
      <c r="W233" s="343"/>
      <c r="X233" s="343"/>
      <c r="Y233" s="343"/>
      <c r="Z233" s="343"/>
    </row>
    <row r="234" ht="15.75" customHeight="1">
      <c r="A234" s="343"/>
      <c r="B234" s="343"/>
      <c r="C234" s="345"/>
      <c r="D234" s="343"/>
      <c r="E234" s="343"/>
      <c r="F234" s="343"/>
      <c r="G234" s="343"/>
      <c r="H234" s="343"/>
      <c r="I234" s="343"/>
      <c r="J234" s="343"/>
      <c r="K234" s="343"/>
      <c r="L234" s="343"/>
      <c r="M234" s="343"/>
      <c r="N234" s="343"/>
      <c r="O234" s="343"/>
      <c r="P234" s="343"/>
      <c r="Q234" s="346"/>
      <c r="R234" s="343"/>
      <c r="S234" s="343"/>
      <c r="T234" s="343"/>
      <c r="U234" s="343"/>
      <c r="V234" s="343"/>
      <c r="W234" s="343"/>
      <c r="X234" s="343"/>
      <c r="Y234" s="343"/>
      <c r="Z234" s="343"/>
    </row>
    <row r="235" ht="15.75" customHeight="1">
      <c r="A235" s="343"/>
      <c r="B235" s="343"/>
      <c r="C235" s="345"/>
      <c r="D235" s="343"/>
      <c r="E235" s="343"/>
      <c r="F235" s="343"/>
      <c r="G235" s="343"/>
      <c r="H235" s="343"/>
      <c r="I235" s="343"/>
      <c r="J235" s="343"/>
      <c r="K235" s="343"/>
      <c r="L235" s="343"/>
      <c r="M235" s="343"/>
      <c r="N235" s="343"/>
      <c r="O235" s="343"/>
      <c r="P235" s="343"/>
      <c r="Q235" s="346"/>
      <c r="R235" s="343"/>
      <c r="S235" s="343"/>
      <c r="T235" s="343"/>
      <c r="U235" s="343"/>
      <c r="V235" s="343"/>
      <c r="W235" s="343"/>
      <c r="X235" s="343"/>
      <c r="Y235" s="343"/>
      <c r="Z235" s="343"/>
    </row>
    <row r="236" ht="15.75" customHeight="1">
      <c r="A236" s="343"/>
      <c r="B236" s="343"/>
      <c r="C236" s="345"/>
      <c r="D236" s="343"/>
      <c r="E236" s="343"/>
      <c r="F236" s="343"/>
      <c r="G236" s="343"/>
      <c r="H236" s="343"/>
      <c r="I236" s="343"/>
      <c r="J236" s="343"/>
      <c r="K236" s="343"/>
      <c r="L236" s="343"/>
      <c r="M236" s="343"/>
      <c r="N236" s="343"/>
      <c r="O236" s="343"/>
      <c r="P236" s="343"/>
      <c r="Q236" s="346"/>
      <c r="R236" s="343"/>
      <c r="S236" s="343"/>
      <c r="T236" s="343"/>
      <c r="U236" s="343"/>
      <c r="V236" s="343"/>
      <c r="W236" s="343"/>
      <c r="X236" s="343"/>
      <c r="Y236" s="343"/>
      <c r="Z236" s="343"/>
    </row>
    <row r="237" ht="15.75" customHeight="1">
      <c r="A237" s="343"/>
      <c r="B237" s="343"/>
      <c r="C237" s="345"/>
      <c r="D237" s="343"/>
      <c r="E237" s="343"/>
      <c r="F237" s="343"/>
      <c r="G237" s="343"/>
      <c r="H237" s="343"/>
      <c r="I237" s="343"/>
      <c r="J237" s="343"/>
      <c r="K237" s="343"/>
      <c r="L237" s="343"/>
      <c r="M237" s="343"/>
      <c r="N237" s="343"/>
      <c r="O237" s="343"/>
      <c r="P237" s="343"/>
      <c r="Q237" s="346"/>
      <c r="R237" s="343"/>
      <c r="S237" s="343"/>
      <c r="T237" s="343"/>
      <c r="U237" s="343"/>
      <c r="V237" s="343"/>
      <c r="W237" s="343"/>
      <c r="X237" s="343"/>
      <c r="Y237" s="343"/>
      <c r="Z237" s="343"/>
    </row>
    <row r="238" ht="15.75" customHeight="1">
      <c r="A238" s="343"/>
      <c r="B238" s="343"/>
      <c r="C238" s="345"/>
      <c r="D238" s="343"/>
      <c r="E238" s="343"/>
      <c r="F238" s="343"/>
      <c r="G238" s="343"/>
      <c r="H238" s="343"/>
      <c r="I238" s="343"/>
      <c r="J238" s="343"/>
      <c r="K238" s="343"/>
      <c r="L238" s="343"/>
      <c r="M238" s="343"/>
      <c r="N238" s="343"/>
      <c r="O238" s="343"/>
      <c r="P238" s="343"/>
      <c r="Q238" s="346"/>
      <c r="R238" s="343"/>
      <c r="S238" s="343"/>
      <c r="T238" s="343"/>
      <c r="U238" s="343"/>
      <c r="V238" s="343"/>
      <c r="W238" s="343"/>
      <c r="X238" s="343"/>
      <c r="Y238" s="343"/>
      <c r="Z238" s="343"/>
    </row>
    <row r="239" ht="15.75" customHeight="1">
      <c r="A239" s="343"/>
      <c r="B239" s="343"/>
      <c r="C239" s="345"/>
      <c r="D239" s="343"/>
      <c r="E239" s="343"/>
      <c r="F239" s="343"/>
      <c r="G239" s="343"/>
      <c r="H239" s="343"/>
      <c r="I239" s="343"/>
      <c r="J239" s="343"/>
      <c r="K239" s="343"/>
      <c r="L239" s="343"/>
      <c r="M239" s="343"/>
      <c r="N239" s="343"/>
      <c r="O239" s="343"/>
      <c r="P239" s="343"/>
      <c r="Q239" s="346"/>
      <c r="R239" s="343"/>
      <c r="S239" s="343"/>
      <c r="T239" s="343"/>
      <c r="U239" s="343"/>
      <c r="V239" s="343"/>
      <c r="W239" s="343"/>
      <c r="X239" s="343"/>
      <c r="Y239" s="343"/>
      <c r="Z239" s="343"/>
    </row>
    <row r="240" ht="15.75" customHeight="1">
      <c r="A240" s="343"/>
      <c r="B240" s="343"/>
      <c r="C240" s="345"/>
      <c r="D240" s="343"/>
      <c r="E240" s="343"/>
      <c r="F240" s="343"/>
      <c r="G240" s="343"/>
      <c r="H240" s="343"/>
      <c r="I240" s="343"/>
      <c r="J240" s="343"/>
      <c r="K240" s="343"/>
      <c r="L240" s="343"/>
      <c r="M240" s="343"/>
      <c r="N240" s="343"/>
      <c r="O240" s="343"/>
      <c r="P240" s="343"/>
      <c r="Q240" s="346"/>
      <c r="R240" s="343"/>
      <c r="S240" s="343"/>
      <c r="T240" s="343"/>
      <c r="U240" s="343"/>
      <c r="V240" s="343"/>
      <c r="W240" s="343"/>
      <c r="X240" s="343"/>
      <c r="Y240" s="343"/>
      <c r="Z240" s="343"/>
    </row>
    <row r="241" ht="15.75" customHeight="1">
      <c r="A241" s="343"/>
      <c r="B241" s="343"/>
      <c r="C241" s="345"/>
      <c r="D241" s="343"/>
      <c r="E241" s="343"/>
      <c r="F241" s="343"/>
      <c r="G241" s="343"/>
      <c r="H241" s="343"/>
      <c r="I241" s="343"/>
      <c r="J241" s="343"/>
      <c r="K241" s="343"/>
      <c r="L241" s="343"/>
      <c r="M241" s="343"/>
      <c r="N241" s="343"/>
      <c r="O241" s="343"/>
      <c r="P241" s="343"/>
      <c r="Q241" s="346"/>
      <c r="R241" s="343"/>
      <c r="S241" s="343"/>
      <c r="T241" s="343"/>
      <c r="U241" s="343"/>
      <c r="V241" s="343"/>
      <c r="W241" s="343"/>
      <c r="X241" s="343"/>
      <c r="Y241" s="343"/>
      <c r="Z241" s="343"/>
    </row>
    <row r="242" ht="15.75" customHeight="1">
      <c r="A242" s="343"/>
      <c r="B242" s="343"/>
      <c r="C242" s="345"/>
      <c r="D242" s="343"/>
      <c r="E242" s="343"/>
      <c r="F242" s="343"/>
      <c r="G242" s="343"/>
      <c r="H242" s="343"/>
      <c r="I242" s="343"/>
      <c r="J242" s="343"/>
      <c r="K242" s="343"/>
      <c r="L242" s="343"/>
      <c r="M242" s="343"/>
      <c r="N242" s="343"/>
      <c r="O242" s="343"/>
      <c r="P242" s="343"/>
      <c r="Q242" s="346"/>
      <c r="R242" s="343"/>
      <c r="S242" s="343"/>
      <c r="T242" s="343"/>
      <c r="U242" s="343"/>
      <c r="V242" s="343"/>
      <c r="W242" s="343"/>
      <c r="X242" s="343"/>
      <c r="Y242" s="343"/>
      <c r="Z242" s="343"/>
    </row>
    <row r="243" ht="15.75" customHeight="1">
      <c r="A243" s="343"/>
      <c r="B243" s="343"/>
      <c r="C243" s="345"/>
      <c r="D243" s="343"/>
      <c r="E243" s="343"/>
      <c r="F243" s="343"/>
      <c r="G243" s="343"/>
      <c r="H243" s="343"/>
      <c r="I243" s="343"/>
      <c r="J243" s="343"/>
      <c r="K243" s="343"/>
      <c r="L243" s="343"/>
      <c r="M243" s="343"/>
      <c r="N243" s="343"/>
      <c r="O243" s="343"/>
      <c r="P243" s="343"/>
      <c r="Q243" s="346"/>
      <c r="R243" s="343"/>
      <c r="S243" s="343"/>
      <c r="T243" s="343"/>
      <c r="U243" s="343"/>
      <c r="V243" s="343"/>
      <c r="W243" s="343"/>
      <c r="X243" s="343"/>
      <c r="Y243" s="343"/>
      <c r="Z243" s="343"/>
    </row>
    <row r="244" ht="15.75" customHeight="1">
      <c r="A244" s="343"/>
      <c r="B244" s="343"/>
      <c r="C244" s="345"/>
      <c r="D244" s="343"/>
      <c r="E244" s="343"/>
      <c r="F244" s="343"/>
      <c r="G244" s="343"/>
      <c r="H244" s="343"/>
      <c r="I244" s="343"/>
      <c r="J244" s="343"/>
      <c r="K244" s="343"/>
      <c r="L244" s="343"/>
      <c r="M244" s="343"/>
      <c r="N244" s="343"/>
      <c r="O244" s="343"/>
      <c r="P244" s="343"/>
      <c r="Q244" s="346"/>
      <c r="R244" s="343"/>
      <c r="S244" s="343"/>
      <c r="T244" s="343"/>
      <c r="U244" s="343"/>
      <c r="V244" s="343"/>
      <c r="W244" s="343"/>
      <c r="X244" s="343"/>
      <c r="Y244" s="343"/>
      <c r="Z244" s="343"/>
    </row>
    <row r="245" ht="15.75" customHeight="1">
      <c r="A245" s="343"/>
      <c r="B245" s="343"/>
      <c r="C245" s="345"/>
      <c r="D245" s="343"/>
      <c r="E245" s="343"/>
      <c r="F245" s="343"/>
      <c r="G245" s="343"/>
      <c r="H245" s="343"/>
      <c r="I245" s="343"/>
      <c r="J245" s="343"/>
      <c r="K245" s="343"/>
      <c r="L245" s="343"/>
      <c r="M245" s="343"/>
      <c r="N245" s="343"/>
      <c r="O245" s="343"/>
      <c r="P245" s="343"/>
      <c r="Q245" s="346"/>
      <c r="R245" s="343"/>
      <c r="S245" s="343"/>
      <c r="T245" s="343"/>
      <c r="U245" s="343"/>
      <c r="V245" s="343"/>
      <c r="W245" s="343"/>
      <c r="X245" s="343"/>
      <c r="Y245" s="343"/>
      <c r="Z245" s="343"/>
    </row>
    <row r="246" ht="15.75" customHeight="1">
      <c r="A246" s="343"/>
      <c r="B246" s="343"/>
      <c r="C246" s="345"/>
      <c r="D246" s="343"/>
      <c r="E246" s="343"/>
      <c r="F246" s="343"/>
      <c r="G246" s="343"/>
      <c r="H246" s="343"/>
      <c r="I246" s="343"/>
      <c r="J246" s="343"/>
      <c r="K246" s="343"/>
      <c r="L246" s="343"/>
      <c r="M246" s="343"/>
      <c r="N246" s="343"/>
      <c r="O246" s="343"/>
      <c r="P246" s="343"/>
      <c r="Q246" s="346"/>
      <c r="R246" s="343"/>
      <c r="S246" s="343"/>
      <c r="T246" s="343"/>
      <c r="U246" s="343"/>
      <c r="V246" s="343"/>
      <c r="W246" s="343"/>
      <c r="X246" s="343"/>
      <c r="Y246" s="343"/>
      <c r="Z246" s="343"/>
    </row>
    <row r="247" ht="15.75" customHeight="1">
      <c r="A247" s="343"/>
      <c r="B247" s="343"/>
      <c r="C247" s="345"/>
      <c r="D247" s="343"/>
      <c r="E247" s="343"/>
      <c r="F247" s="343"/>
      <c r="G247" s="343"/>
      <c r="H247" s="343"/>
      <c r="I247" s="343"/>
      <c r="J247" s="343"/>
      <c r="K247" s="343"/>
      <c r="L247" s="343"/>
      <c r="M247" s="343"/>
      <c r="N247" s="343"/>
      <c r="O247" s="343"/>
      <c r="P247" s="343"/>
      <c r="Q247" s="346"/>
      <c r="R247" s="343"/>
      <c r="S247" s="343"/>
      <c r="T247" s="343"/>
      <c r="U247" s="343"/>
      <c r="V247" s="343"/>
      <c r="W247" s="343"/>
      <c r="X247" s="343"/>
      <c r="Y247" s="343"/>
      <c r="Z247" s="343"/>
    </row>
    <row r="248" ht="15.75" customHeight="1">
      <c r="A248" s="343"/>
      <c r="B248" s="343"/>
      <c r="C248" s="345"/>
      <c r="D248" s="343"/>
      <c r="E248" s="343"/>
      <c r="F248" s="343"/>
      <c r="G248" s="343"/>
      <c r="H248" s="343"/>
      <c r="I248" s="343"/>
      <c r="J248" s="343"/>
      <c r="K248" s="343"/>
      <c r="L248" s="343"/>
      <c r="M248" s="343"/>
      <c r="N248" s="343"/>
      <c r="O248" s="343"/>
      <c r="P248" s="343"/>
      <c r="Q248" s="346"/>
      <c r="R248" s="343"/>
      <c r="S248" s="343"/>
      <c r="T248" s="343"/>
      <c r="U248" s="343"/>
      <c r="V248" s="343"/>
      <c r="W248" s="343"/>
      <c r="X248" s="343"/>
      <c r="Y248" s="343"/>
      <c r="Z248" s="343"/>
    </row>
    <row r="249" ht="15.75" customHeight="1">
      <c r="A249" s="343"/>
      <c r="B249" s="343"/>
      <c r="C249" s="345"/>
      <c r="D249" s="343"/>
      <c r="E249" s="343"/>
      <c r="F249" s="343"/>
      <c r="G249" s="343"/>
      <c r="H249" s="343"/>
      <c r="I249" s="343"/>
      <c r="J249" s="343"/>
      <c r="K249" s="343"/>
      <c r="L249" s="343"/>
      <c r="M249" s="343"/>
      <c r="N249" s="343"/>
      <c r="O249" s="343"/>
      <c r="P249" s="343"/>
      <c r="Q249" s="346"/>
      <c r="R249" s="343"/>
      <c r="S249" s="343"/>
      <c r="T249" s="343"/>
      <c r="U249" s="343"/>
      <c r="V249" s="343"/>
      <c r="W249" s="343"/>
      <c r="X249" s="343"/>
      <c r="Y249" s="343"/>
      <c r="Z249" s="343"/>
    </row>
    <row r="250" ht="15.75" customHeight="1">
      <c r="A250" s="343"/>
      <c r="B250" s="343"/>
      <c r="C250" s="345"/>
      <c r="D250" s="343"/>
      <c r="E250" s="343"/>
      <c r="F250" s="343"/>
      <c r="G250" s="343"/>
      <c r="H250" s="343"/>
      <c r="I250" s="343"/>
      <c r="J250" s="343"/>
      <c r="K250" s="343"/>
      <c r="L250" s="343"/>
      <c r="M250" s="343"/>
      <c r="N250" s="343"/>
      <c r="O250" s="343"/>
      <c r="P250" s="343"/>
      <c r="Q250" s="346"/>
      <c r="R250" s="343"/>
      <c r="S250" s="343"/>
      <c r="T250" s="343"/>
      <c r="U250" s="343"/>
      <c r="V250" s="343"/>
      <c r="W250" s="343"/>
      <c r="X250" s="343"/>
      <c r="Y250" s="343"/>
      <c r="Z250" s="343"/>
    </row>
    <row r="251" ht="15.75" customHeight="1">
      <c r="A251" s="343"/>
      <c r="B251" s="343"/>
      <c r="C251" s="345"/>
      <c r="D251" s="343"/>
      <c r="E251" s="343"/>
      <c r="F251" s="343"/>
      <c r="G251" s="343"/>
      <c r="H251" s="343"/>
      <c r="I251" s="343"/>
      <c r="J251" s="343"/>
      <c r="K251" s="343"/>
      <c r="L251" s="343"/>
      <c r="M251" s="343"/>
      <c r="N251" s="343"/>
      <c r="O251" s="343"/>
      <c r="P251" s="343"/>
      <c r="Q251" s="346"/>
      <c r="R251" s="343"/>
      <c r="S251" s="343"/>
      <c r="T251" s="343"/>
      <c r="U251" s="343"/>
      <c r="V251" s="343"/>
      <c r="W251" s="343"/>
      <c r="X251" s="343"/>
      <c r="Y251" s="343"/>
      <c r="Z251" s="343"/>
    </row>
    <row r="252" ht="15.75" customHeight="1">
      <c r="A252" s="343"/>
      <c r="B252" s="343"/>
      <c r="C252" s="345"/>
      <c r="D252" s="343"/>
      <c r="E252" s="343"/>
      <c r="F252" s="343"/>
      <c r="G252" s="343"/>
      <c r="H252" s="343"/>
      <c r="I252" s="343"/>
      <c r="J252" s="343"/>
      <c r="K252" s="343"/>
      <c r="L252" s="343"/>
      <c r="M252" s="343"/>
      <c r="N252" s="343"/>
      <c r="O252" s="343"/>
      <c r="P252" s="343"/>
      <c r="Q252" s="346"/>
      <c r="R252" s="343"/>
      <c r="S252" s="343"/>
      <c r="T252" s="343"/>
      <c r="U252" s="343"/>
      <c r="V252" s="343"/>
      <c r="W252" s="343"/>
      <c r="X252" s="343"/>
      <c r="Y252" s="343"/>
      <c r="Z252" s="343"/>
    </row>
    <row r="253" ht="15.75" customHeight="1">
      <c r="A253" s="343"/>
      <c r="B253" s="343"/>
      <c r="C253" s="345"/>
      <c r="D253" s="343"/>
      <c r="E253" s="343"/>
      <c r="F253" s="343"/>
      <c r="G253" s="343"/>
      <c r="H253" s="343"/>
      <c r="I253" s="343"/>
      <c r="J253" s="343"/>
      <c r="K253" s="343"/>
      <c r="L253" s="343"/>
      <c r="M253" s="343"/>
      <c r="N253" s="343"/>
      <c r="O253" s="343"/>
      <c r="P253" s="343"/>
      <c r="Q253" s="346"/>
      <c r="R253" s="343"/>
      <c r="S253" s="343"/>
      <c r="T253" s="343"/>
      <c r="U253" s="343"/>
      <c r="V253" s="343"/>
      <c r="W253" s="343"/>
      <c r="X253" s="343"/>
      <c r="Y253" s="343"/>
      <c r="Z253" s="343"/>
    </row>
    <row r="254" ht="15.75" customHeight="1">
      <c r="A254" s="343"/>
      <c r="B254" s="343"/>
      <c r="C254" s="345"/>
      <c r="D254" s="343"/>
      <c r="E254" s="343"/>
      <c r="F254" s="343"/>
      <c r="G254" s="343"/>
      <c r="H254" s="343"/>
      <c r="I254" s="343"/>
      <c r="J254" s="343"/>
      <c r="K254" s="343"/>
      <c r="L254" s="343"/>
      <c r="M254" s="343"/>
      <c r="N254" s="343"/>
      <c r="O254" s="343"/>
      <c r="P254" s="343"/>
      <c r="Q254" s="346"/>
      <c r="R254" s="343"/>
      <c r="S254" s="343"/>
      <c r="T254" s="343"/>
      <c r="U254" s="343"/>
      <c r="V254" s="343"/>
      <c r="W254" s="343"/>
      <c r="X254" s="343"/>
      <c r="Y254" s="343"/>
      <c r="Z254" s="343"/>
    </row>
    <row r="255" ht="15.75" customHeight="1">
      <c r="A255" s="343"/>
      <c r="B255" s="343"/>
      <c r="C255" s="345"/>
      <c r="D255" s="343"/>
      <c r="E255" s="343"/>
      <c r="F255" s="343"/>
      <c r="G255" s="343"/>
      <c r="H255" s="343"/>
      <c r="I255" s="343"/>
      <c r="J255" s="343"/>
      <c r="K255" s="343"/>
      <c r="L255" s="343"/>
      <c r="M255" s="343"/>
      <c r="N255" s="343"/>
      <c r="O255" s="343"/>
      <c r="P255" s="343"/>
      <c r="Q255" s="346"/>
      <c r="R255" s="343"/>
      <c r="S255" s="343"/>
      <c r="T255" s="343"/>
      <c r="U255" s="343"/>
      <c r="V255" s="343"/>
      <c r="W255" s="343"/>
      <c r="X255" s="343"/>
      <c r="Y255" s="343"/>
      <c r="Z255" s="343"/>
    </row>
    <row r="256" ht="15.75" customHeight="1">
      <c r="A256" s="343"/>
      <c r="B256" s="343"/>
      <c r="C256" s="345"/>
      <c r="D256" s="343"/>
      <c r="E256" s="343"/>
      <c r="F256" s="343"/>
      <c r="G256" s="343"/>
      <c r="H256" s="343"/>
      <c r="I256" s="343"/>
      <c r="J256" s="343"/>
      <c r="K256" s="343"/>
      <c r="L256" s="343"/>
      <c r="M256" s="343"/>
      <c r="N256" s="343"/>
      <c r="O256" s="343"/>
      <c r="P256" s="343"/>
      <c r="Q256" s="346"/>
      <c r="R256" s="343"/>
      <c r="S256" s="343"/>
      <c r="T256" s="343"/>
      <c r="U256" s="343"/>
      <c r="V256" s="343"/>
      <c r="W256" s="343"/>
      <c r="X256" s="343"/>
      <c r="Y256" s="343"/>
      <c r="Z256" s="343"/>
    </row>
    <row r="257" ht="15.75" customHeight="1">
      <c r="A257" s="343"/>
      <c r="B257" s="343"/>
      <c r="C257" s="345"/>
      <c r="D257" s="343"/>
      <c r="E257" s="343"/>
      <c r="F257" s="343"/>
      <c r="G257" s="343"/>
      <c r="H257" s="343"/>
      <c r="I257" s="343"/>
      <c r="J257" s="343"/>
      <c r="K257" s="343"/>
      <c r="L257" s="343"/>
      <c r="M257" s="343"/>
      <c r="N257" s="343"/>
      <c r="O257" s="343"/>
      <c r="P257" s="343"/>
      <c r="Q257" s="346"/>
      <c r="R257" s="343"/>
      <c r="S257" s="343"/>
      <c r="T257" s="343"/>
      <c r="U257" s="343"/>
      <c r="V257" s="343"/>
      <c r="W257" s="343"/>
      <c r="X257" s="343"/>
      <c r="Y257" s="343"/>
      <c r="Z257" s="343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46.43"/>
    <col customWidth="1" min="3" max="3" width="15.14"/>
    <col customWidth="1" min="4" max="5" width="12.57"/>
    <col customWidth="1" min="6" max="6" width="15.71"/>
    <col customWidth="1" min="7" max="26" width="12.57"/>
  </cols>
  <sheetData>
    <row r="1" ht="15.75" customHeight="1">
      <c r="A1" s="359" t="s">
        <v>161</v>
      </c>
      <c r="B1" s="359" t="s">
        <v>162</v>
      </c>
      <c r="C1" s="360" t="s">
        <v>163</v>
      </c>
      <c r="D1" s="361" t="s">
        <v>164</v>
      </c>
      <c r="E1" s="362" t="s">
        <v>165</v>
      </c>
      <c r="F1" s="362" t="s">
        <v>166</v>
      </c>
      <c r="G1" s="361" t="s">
        <v>167</v>
      </c>
      <c r="H1" s="363" t="s">
        <v>168</v>
      </c>
      <c r="I1" s="364" t="s">
        <v>169</v>
      </c>
      <c r="J1" s="365" t="s">
        <v>170</v>
      </c>
      <c r="K1" s="366" t="s">
        <v>171</v>
      </c>
      <c r="L1" s="367" t="s">
        <v>172</v>
      </c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</row>
    <row r="2" ht="15.75" customHeight="1">
      <c r="A2" s="369" t="s">
        <v>178</v>
      </c>
      <c r="B2" s="370" t="s">
        <v>179</v>
      </c>
      <c r="C2" s="371">
        <v>8.809606850475E12</v>
      </c>
      <c r="D2" s="372">
        <v>25008.0</v>
      </c>
      <c r="E2" s="373">
        <v>9953.0</v>
      </c>
      <c r="F2" s="373">
        <f t="shared" ref="F2:F50" si="1">PRODUCT(E2*D2)</f>
        <v>248904624</v>
      </c>
      <c r="G2" s="374">
        <v>24.0</v>
      </c>
      <c r="H2" s="375">
        <v>0.0155</v>
      </c>
      <c r="I2" s="376">
        <v>6.1</v>
      </c>
      <c r="J2" s="377">
        <f t="shared" ref="J2:J50" si="2">D2/G2</f>
        <v>1042</v>
      </c>
      <c r="K2" s="378">
        <f t="shared" ref="K2:K50" si="3">J2*H2</f>
        <v>16.151</v>
      </c>
      <c r="L2" s="377">
        <f t="shared" ref="L2:L50" si="4">J2*I2</f>
        <v>6356.2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379" t="s">
        <v>178</v>
      </c>
      <c r="B3" s="380" t="s">
        <v>155</v>
      </c>
      <c r="C3" s="381">
        <v>8.809463992615E12</v>
      </c>
      <c r="D3" s="382">
        <v>1200.0</v>
      </c>
      <c r="E3" s="383">
        <v>7350.0</v>
      </c>
      <c r="F3" s="373">
        <f t="shared" si="1"/>
        <v>8820000</v>
      </c>
      <c r="G3" s="382">
        <v>24.0</v>
      </c>
      <c r="H3" s="384">
        <v>0.0242</v>
      </c>
      <c r="I3" s="385">
        <v>6.1</v>
      </c>
      <c r="J3" s="385">
        <f t="shared" si="2"/>
        <v>50</v>
      </c>
      <c r="K3" s="384">
        <f t="shared" si="3"/>
        <v>1.21</v>
      </c>
      <c r="L3" s="385">
        <f t="shared" si="4"/>
        <v>305</v>
      </c>
      <c r="M3" s="386"/>
      <c r="N3" s="386"/>
      <c r="O3" s="386"/>
      <c r="P3" s="386"/>
      <c r="Q3" s="386"/>
      <c r="R3" s="386"/>
      <c r="S3" s="386"/>
      <c r="T3" s="386"/>
      <c r="U3" s="386"/>
      <c r="V3" s="386"/>
      <c r="W3" s="386"/>
      <c r="X3" s="386"/>
      <c r="Y3" s="386"/>
      <c r="Z3" s="386"/>
    </row>
    <row r="4" ht="15.75" customHeight="1">
      <c r="A4" s="379" t="s">
        <v>178</v>
      </c>
      <c r="B4" s="380" t="s">
        <v>180</v>
      </c>
      <c r="C4" s="381">
        <v>8.809971482349E12</v>
      </c>
      <c r="D4" s="382">
        <v>480.0</v>
      </c>
      <c r="E4" s="387">
        <v>7600.0</v>
      </c>
      <c r="F4" s="373">
        <f t="shared" si="1"/>
        <v>3648000</v>
      </c>
      <c r="G4" s="382">
        <v>40.0</v>
      </c>
      <c r="H4" s="384">
        <v>0.033</v>
      </c>
      <c r="I4" s="385">
        <v>5.4</v>
      </c>
      <c r="J4" s="385">
        <f t="shared" si="2"/>
        <v>12</v>
      </c>
      <c r="K4" s="384">
        <f t="shared" si="3"/>
        <v>0.396</v>
      </c>
      <c r="L4" s="385">
        <f t="shared" si="4"/>
        <v>64.8</v>
      </c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6"/>
      <c r="X4" s="386"/>
      <c r="Y4" s="386"/>
      <c r="Z4" s="386"/>
    </row>
    <row r="5" ht="15.75" customHeight="1">
      <c r="A5" s="379" t="s">
        <v>178</v>
      </c>
      <c r="B5" s="380" t="s">
        <v>181</v>
      </c>
      <c r="C5" s="381">
        <v>8.809606852332E12</v>
      </c>
      <c r="D5" s="382">
        <v>448.0</v>
      </c>
      <c r="E5" s="387">
        <v>5400.0</v>
      </c>
      <c r="F5" s="373">
        <f t="shared" si="1"/>
        <v>2419200</v>
      </c>
      <c r="G5" s="382">
        <v>64.0</v>
      </c>
      <c r="H5" s="384">
        <v>0.0234</v>
      </c>
      <c r="I5" s="385">
        <v>6.8</v>
      </c>
      <c r="J5" s="385">
        <f t="shared" si="2"/>
        <v>7</v>
      </c>
      <c r="K5" s="384">
        <f t="shared" si="3"/>
        <v>0.1638</v>
      </c>
      <c r="L5" s="385">
        <f t="shared" si="4"/>
        <v>47.6</v>
      </c>
      <c r="M5" s="386"/>
      <c r="N5" s="386"/>
      <c r="O5" s="386"/>
      <c r="P5" s="386"/>
      <c r="Q5" s="386"/>
      <c r="R5" s="386"/>
      <c r="S5" s="386"/>
      <c r="T5" s="386"/>
      <c r="U5" s="386"/>
      <c r="V5" s="386"/>
      <c r="W5" s="386"/>
      <c r="X5" s="386"/>
      <c r="Y5" s="386"/>
      <c r="Z5" s="386"/>
    </row>
    <row r="6" ht="15.75" customHeight="1">
      <c r="A6" s="379" t="s">
        <v>178</v>
      </c>
      <c r="B6" s="380" t="s">
        <v>237</v>
      </c>
      <c r="C6" s="381">
        <v>8.809541379468E12</v>
      </c>
      <c r="D6" s="382">
        <v>312.0</v>
      </c>
      <c r="E6" s="383">
        <v>6550.0</v>
      </c>
      <c r="F6" s="373">
        <f t="shared" si="1"/>
        <v>2043600</v>
      </c>
      <c r="G6" s="382">
        <v>24.0</v>
      </c>
      <c r="H6" s="384">
        <v>0.0143</v>
      </c>
      <c r="I6" s="385">
        <v>6.0</v>
      </c>
      <c r="J6" s="385">
        <f t="shared" si="2"/>
        <v>13</v>
      </c>
      <c r="K6" s="384">
        <f t="shared" si="3"/>
        <v>0.1859</v>
      </c>
      <c r="L6" s="385">
        <f t="shared" si="4"/>
        <v>78</v>
      </c>
      <c r="M6" s="386"/>
      <c r="N6" s="386"/>
      <c r="O6" s="386"/>
      <c r="P6" s="386"/>
      <c r="Q6" s="386"/>
      <c r="R6" s="386"/>
      <c r="S6" s="386"/>
      <c r="T6" s="386"/>
      <c r="U6" s="386"/>
      <c r="V6" s="386"/>
      <c r="W6" s="386"/>
      <c r="X6" s="386"/>
      <c r="Y6" s="386"/>
      <c r="Z6" s="386"/>
    </row>
    <row r="7" ht="15.75" customHeight="1">
      <c r="A7" s="379" t="s">
        <v>178</v>
      </c>
      <c r="B7" s="380" t="s">
        <v>183</v>
      </c>
      <c r="C7" s="381">
        <v>8.806050298525E12</v>
      </c>
      <c r="D7" s="382">
        <v>315.0</v>
      </c>
      <c r="E7" s="383">
        <v>7100.0</v>
      </c>
      <c r="F7" s="373">
        <f t="shared" si="1"/>
        <v>2236500</v>
      </c>
      <c r="G7" s="382">
        <v>35.0</v>
      </c>
      <c r="H7" s="384">
        <v>0.0205</v>
      </c>
      <c r="I7" s="385">
        <v>6.8</v>
      </c>
      <c r="J7" s="385">
        <f t="shared" si="2"/>
        <v>9</v>
      </c>
      <c r="K7" s="384">
        <f t="shared" si="3"/>
        <v>0.1845</v>
      </c>
      <c r="L7" s="385">
        <f t="shared" si="4"/>
        <v>61.2</v>
      </c>
      <c r="M7" s="386"/>
      <c r="N7" s="386"/>
      <c r="O7" s="386"/>
      <c r="P7" s="386"/>
      <c r="Q7" s="386"/>
      <c r="R7" s="386"/>
      <c r="S7" s="386"/>
      <c r="T7" s="386"/>
      <c r="U7" s="386"/>
      <c r="V7" s="386"/>
      <c r="W7" s="386"/>
      <c r="X7" s="386"/>
      <c r="Y7" s="386"/>
      <c r="Z7" s="386"/>
    </row>
    <row r="8" ht="15.75" customHeight="1">
      <c r="A8" s="379" t="s">
        <v>184</v>
      </c>
      <c r="B8" s="380" t="s">
        <v>185</v>
      </c>
      <c r="C8" s="381" t="s">
        <v>186</v>
      </c>
      <c r="D8" s="382">
        <v>6000.0</v>
      </c>
      <c r="E8" s="387">
        <v>4090.0</v>
      </c>
      <c r="F8" s="373">
        <f t="shared" si="1"/>
        <v>24540000</v>
      </c>
      <c r="G8" s="382">
        <v>20.0</v>
      </c>
      <c r="H8" s="384">
        <v>0.0504</v>
      </c>
      <c r="I8" s="385">
        <v>24.0</v>
      </c>
      <c r="J8" s="385">
        <f t="shared" si="2"/>
        <v>300</v>
      </c>
      <c r="K8" s="384">
        <f t="shared" si="3"/>
        <v>15.12</v>
      </c>
      <c r="L8" s="385">
        <f t="shared" si="4"/>
        <v>7200</v>
      </c>
      <c r="M8" s="386"/>
      <c r="N8" s="386"/>
      <c r="O8" s="386"/>
      <c r="P8" s="386"/>
      <c r="Q8" s="386"/>
      <c r="R8" s="386"/>
      <c r="S8" s="386"/>
      <c r="T8" s="386"/>
      <c r="U8" s="386"/>
      <c r="V8" s="386"/>
      <c r="W8" s="386"/>
      <c r="X8" s="386"/>
      <c r="Y8" s="386"/>
      <c r="Z8" s="386"/>
    </row>
    <row r="9" ht="15.75" customHeight="1">
      <c r="A9" s="379" t="s">
        <v>184</v>
      </c>
      <c r="B9" s="380" t="s">
        <v>187</v>
      </c>
      <c r="C9" s="381" t="s">
        <v>188</v>
      </c>
      <c r="D9" s="382">
        <v>1000.0</v>
      </c>
      <c r="E9" s="387">
        <v>4090.0</v>
      </c>
      <c r="F9" s="373">
        <f t="shared" si="1"/>
        <v>4090000</v>
      </c>
      <c r="G9" s="382">
        <v>20.0</v>
      </c>
      <c r="H9" s="384">
        <v>0.0504</v>
      </c>
      <c r="I9" s="385">
        <v>24.0</v>
      </c>
      <c r="J9" s="385">
        <f t="shared" si="2"/>
        <v>50</v>
      </c>
      <c r="K9" s="384">
        <f t="shared" si="3"/>
        <v>2.52</v>
      </c>
      <c r="L9" s="385">
        <f t="shared" si="4"/>
        <v>1200</v>
      </c>
      <c r="M9" s="386"/>
      <c r="N9" s="386"/>
      <c r="O9" s="386"/>
      <c r="P9" s="386"/>
      <c r="Q9" s="386"/>
      <c r="R9" s="386"/>
      <c r="S9" s="386"/>
      <c r="T9" s="386"/>
      <c r="U9" s="386"/>
      <c r="V9" s="386"/>
      <c r="W9" s="386"/>
      <c r="X9" s="386"/>
      <c r="Y9" s="386"/>
      <c r="Z9" s="386"/>
    </row>
    <row r="10" ht="15.75" customHeight="1">
      <c r="A10" s="379" t="s">
        <v>189</v>
      </c>
      <c r="B10" s="170" t="s">
        <v>190</v>
      </c>
      <c r="C10" s="381">
        <v>8.809738608364E12</v>
      </c>
      <c r="D10" s="382">
        <v>25020.0</v>
      </c>
      <c r="E10" s="383">
        <v>6220.0</v>
      </c>
      <c r="F10" s="373">
        <f t="shared" si="1"/>
        <v>155624400</v>
      </c>
      <c r="G10" s="382">
        <v>30.0</v>
      </c>
      <c r="H10" s="384">
        <v>0.022</v>
      </c>
      <c r="I10" s="385">
        <v>7.0</v>
      </c>
      <c r="J10" s="385">
        <f t="shared" si="2"/>
        <v>834</v>
      </c>
      <c r="K10" s="384">
        <f t="shared" si="3"/>
        <v>18.348</v>
      </c>
      <c r="L10" s="385">
        <f t="shared" si="4"/>
        <v>5838</v>
      </c>
      <c r="M10" s="386"/>
      <c r="N10" s="386"/>
      <c r="O10" s="386"/>
      <c r="P10" s="386"/>
      <c r="Q10" s="386"/>
      <c r="R10" s="386"/>
      <c r="S10" s="386"/>
      <c r="T10" s="386"/>
      <c r="U10" s="386"/>
      <c r="V10" s="386"/>
      <c r="W10" s="386"/>
      <c r="X10" s="386"/>
      <c r="Y10" s="386"/>
      <c r="Z10" s="386"/>
    </row>
    <row r="11" ht="15.75" customHeight="1">
      <c r="A11" s="379" t="s">
        <v>189</v>
      </c>
      <c r="B11" s="170" t="s">
        <v>191</v>
      </c>
      <c r="C11" s="381">
        <v>8.809738599044E12</v>
      </c>
      <c r="D11" s="382">
        <v>600.0</v>
      </c>
      <c r="E11" s="383">
        <v>7150.0</v>
      </c>
      <c r="F11" s="373">
        <f t="shared" si="1"/>
        <v>4290000</v>
      </c>
      <c r="G11" s="388">
        <v>30.0</v>
      </c>
      <c r="H11" s="389">
        <v>0.022</v>
      </c>
      <c r="I11" s="389">
        <v>7.0</v>
      </c>
      <c r="J11" s="385">
        <f t="shared" si="2"/>
        <v>20</v>
      </c>
      <c r="K11" s="384">
        <f t="shared" si="3"/>
        <v>0.44</v>
      </c>
      <c r="L11" s="385">
        <f t="shared" si="4"/>
        <v>140</v>
      </c>
      <c r="M11" s="386"/>
      <c r="N11" s="386"/>
      <c r="O11" s="386"/>
      <c r="P11" s="386"/>
      <c r="Q11" s="386"/>
      <c r="R11" s="386"/>
      <c r="S11" s="386"/>
      <c r="T11" s="386"/>
      <c r="U11" s="386"/>
      <c r="V11" s="386"/>
      <c r="W11" s="386"/>
      <c r="X11" s="386"/>
      <c r="Y11" s="386"/>
      <c r="Z11" s="386"/>
    </row>
    <row r="12" ht="15.75" customHeight="1">
      <c r="A12" s="379" t="s">
        <v>189</v>
      </c>
      <c r="B12" s="170" t="s">
        <v>192</v>
      </c>
      <c r="C12" s="381">
        <v>8.809864754126E12</v>
      </c>
      <c r="D12" s="382">
        <v>600.0</v>
      </c>
      <c r="E12" s="387">
        <v>6380.0</v>
      </c>
      <c r="F12" s="373">
        <f t="shared" si="1"/>
        <v>3828000</v>
      </c>
      <c r="G12" s="390">
        <v>30.0</v>
      </c>
      <c r="H12" s="391">
        <v>0.02</v>
      </c>
      <c r="I12" s="391">
        <v>6.0</v>
      </c>
      <c r="J12" s="385">
        <f t="shared" si="2"/>
        <v>20</v>
      </c>
      <c r="K12" s="384">
        <f t="shared" si="3"/>
        <v>0.4</v>
      </c>
      <c r="L12" s="385">
        <f t="shared" si="4"/>
        <v>120</v>
      </c>
      <c r="M12" s="386"/>
      <c r="N12" s="386"/>
      <c r="O12" s="386"/>
      <c r="P12" s="386"/>
      <c r="Q12" s="386"/>
      <c r="R12" s="386"/>
      <c r="S12" s="386"/>
      <c r="T12" s="386"/>
      <c r="U12" s="386"/>
      <c r="V12" s="386"/>
      <c r="W12" s="386"/>
      <c r="X12" s="386"/>
      <c r="Y12" s="386"/>
      <c r="Z12" s="386"/>
    </row>
    <row r="13" ht="15.75" customHeight="1">
      <c r="A13" s="379" t="s">
        <v>189</v>
      </c>
      <c r="B13" s="170" t="s">
        <v>193</v>
      </c>
      <c r="C13" s="381">
        <v>8.809849802408E12</v>
      </c>
      <c r="D13" s="382">
        <v>400.0</v>
      </c>
      <c r="E13" s="387">
        <v>7590.0</v>
      </c>
      <c r="F13" s="373">
        <f t="shared" si="1"/>
        <v>3036000</v>
      </c>
      <c r="G13" s="390">
        <v>40.0</v>
      </c>
      <c r="H13" s="391">
        <v>0.01</v>
      </c>
      <c r="I13" s="391">
        <v>10.0</v>
      </c>
      <c r="J13" s="385">
        <f t="shared" si="2"/>
        <v>10</v>
      </c>
      <c r="K13" s="384">
        <f t="shared" si="3"/>
        <v>0.1</v>
      </c>
      <c r="L13" s="385">
        <f t="shared" si="4"/>
        <v>100</v>
      </c>
      <c r="M13" s="386"/>
      <c r="N13" s="386"/>
      <c r="O13" s="386"/>
      <c r="P13" s="386"/>
      <c r="Q13" s="386"/>
      <c r="R13" s="386"/>
      <c r="S13" s="386"/>
      <c r="T13" s="386"/>
      <c r="U13" s="386"/>
      <c r="V13" s="386"/>
      <c r="W13" s="386"/>
      <c r="X13" s="386"/>
      <c r="Y13" s="386"/>
      <c r="Z13" s="386"/>
    </row>
    <row r="14" ht="15.75" customHeight="1">
      <c r="A14" s="379" t="s">
        <v>189</v>
      </c>
      <c r="B14" s="170" t="s">
        <v>194</v>
      </c>
      <c r="C14" s="381">
        <v>8.809783325674E12</v>
      </c>
      <c r="D14" s="382">
        <v>240.0</v>
      </c>
      <c r="E14" s="387">
        <v>11200.0</v>
      </c>
      <c r="F14" s="373">
        <f t="shared" si="1"/>
        <v>2688000</v>
      </c>
      <c r="G14" s="390">
        <v>60.0</v>
      </c>
      <c r="H14" s="391">
        <v>0.0175</v>
      </c>
      <c r="I14" s="391">
        <v>6.25</v>
      </c>
      <c r="J14" s="385">
        <f t="shared" si="2"/>
        <v>4</v>
      </c>
      <c r="K14" s="384">
        <f t="shared" si="3"/>
        <v>0.07</v>
      </c>
      <c r="L14" s="385">
        <f t="shared" si="4"/>
        <v>25</v>
      </c>
      <c r="M14" s="386"/>
      <c r="N14" s="386"/>
      <c r="O14" s="386"/>
      <c r="P14" s="386"/>
      <c r="Q14" s="386"/>
      <c r="R14" s="386"/>
      <c r="S14" s="386"/>
      <c r="T14" s="386"/>
      <c r="U14" s="386"/>
      <c r="V14" s="386"/>
      <c r="W14" s="386"/>
      <c r="X14" s="386"/>
      <c r="Y14" s="386"/>
      <c r="Z14" s="386"/>
    </row>
    <row r="15" ht="15.75" customHeight="1">
      <c r="A15" s="379" t="s">
        <v>195</v>
      </c>
      <c r="B15" s="380" t="s">
        <v>196</v>
      </c>
      <c r="C15" s="381">
        <v>8.809576260601E12</v>
      </c>
      <c r="D15" s="382">
        <v>1500.0</v>
      </c>
      <c r="E15" s="383">
        <v>8100.0</v>
      </c>
      <c r="F15" s="373">
        <f t="shared" si="1"/>
        <v>12150000</v>
      </c>
      <c r="G15" s="382">
        <v>50.0</v>
      </c>
      <c r="H15" s="384">
        <v>0.0182</v>
      </c>
      <c r="I15" s="385">
        <v>10.3</v>
      </c>
      <c r="J15" s="385">
        <f t="shared" si="2"/>
        <v>30</v>
      </c>
      <c r="K15" s="384">
        <f t="shared" si="3"/>
        <v>0.546</v>
      </c>
      <c r="L15" s="385">
        <f t="shared" si="4"/>
        <v>309</v>
      </c>
      <c r="M15" s="386"/>
      <c r="N15" s="386"/>
      <c r="O15" s="386"/>
      <c r="P15" s="386"/>
      <c r="Q15" s="386"/>
      <c r="R15" s="386"/>
      <c r="S15" s="386"/>
      <c r="T15" s="386"/>
      <c r="U15" s="386"/>
      <c r="V15" s="386"/>
      <c r="W15" s="386"/>
      <c r="X15" s="386"/>
      <c r="Y15" s="386"/>
      <c r="Z15" s="386"/>
    </row>
    <row r="16" ht="15.75" customHeight="1">
      <c r="A16" s="379" t="s">
        <v>195</v>
      </c>
      <c r="B16" s="380" t="s">
        <v>197</v>
      </c>
      <c r="C16" s="381">
        <v>8.809576261172E12</v>
      </c>
      <c r="D16" s="382">
        <v>900.0</v>
      </c>
      <c r="E16" s="383">
        <v>10400.0</v>
      </c>
      <c r="F16" s="373">
        <f t="shared" si="1"/>
        <v>9360000</v>
      </c>
      <c r="G16" s="382">
        <v>50.0</v>
      </c>
      <c r="H16" s="384">
        <v>0.0243</v>
      </c>
      <c r="I16" s="385">
        <v>13.9</v>
      </c>
      <c r="J16" s="385">
        <f t="shared" si="2"/>
        <v>18</v>
      </c>
      <c r="K16" s="384">
        <f t="shared" si="3"/>
        <v>0.4374</v>
      </c>
      <c r="L16" s="385">
        <f t="shared" si="4"/>
        <v>250.2</v>
      </c>
      <c r="M16" s="386"/>
      <c r="N16" s="386"/>
      <c r="O16" s="386"/>
      <c r="P16" s="386"/>
      <c r="Q16" s="386"/>
      <c r="R16" s="386"/>
      <c r="S16" s="386"/>
      <c r="T16" s="386"/>
      <c r="U16" s="386"/>
      <c r="V16" s="386"/>
      <c r="W16" s="386"/>
      <c r="X16" s="386"/>
      <c r="Y16" s="386"/>
      <c r="Z16" s="386"/>
    </row>
    <row r="17" ht="15.75" customHeight="1">
      <c r="A17" s="379" t="s">
        <v>195</v>
      </c>
      <c r="B17" s="380" t="s">
        <v>198</v>
      </c>
      <c r="C17" s="381">
        <v>8.809576261134E12</v>
      </c>
      <c r="D17" s="382">
        <v>920.0</v>
      </c>
      <c r="E17" s="383">
        <v>10300.0</v>
      </c>
      <c r="F17" s="373">
        <f t="shared" si="1"/>
        <v>9476000</v>
      </c>
      <c r="G17" s="382">
        <v>40.0</v>
      </c>
      <c r="H17" s="384">
        <v>0.0172</v>
      </c>
      <c r="I17" s="385">
        <v>7.6</v>
      </c>
      <c r="J17" s="385">
        <f t="shared" si="2"/>
        <v>23</v>
      </c>
      <c r="K17" s="384">
        <f t="shared" si="3"/>
        <v>0.3956</v>
      </c>
      <c r="L17" s="385">
        <f t="shared" si="4"/>
        <v>174.8</v>
      </c>
      <c r="M17" s="386"/>
      <c r="N17" s="386"/>
      <c r="O17" s="386"/>
      <c r="P17" s="386"/>
      <c r="Q17" s="386"/>
      <c r="R17" s="386"/>
      <c r="S17" s="386"/>
      <c r="T17" s="386"/>
      <c r="U17" s="386"/>
      <c r="V17" s="386"/>
      <c r="W17" s="386"/>
      <c r="X17" s="386"/>
      <c r="Y17" s="386"/>
      <c r="Z17" s="386"/>
    </row>
    <row r="18" ht="15.75" customHeight="1">
      <c r="A18" s="379" t="s">
        <v>199</v>
      </c>
      <c r="B18" s="170" t="s">
        <v>200</v>
      </c>
      <c r="C18" s="381">
        <v>8.80964073719E12</v>
      </c>
      <c r="D18" s="382">
        <v>594.0</v>
      </c>
      <c r="E18" s="383">
        <v>16500.0</v>
      </c>
      <c r="F18" s="373">
        <f t="shared" si="1"/>
        <v>9801000</v>
      </c>
      <c r="G18" s="382">
        <v>54.0</v>
      </c>
      <c r="H18" s="384">
        <v>0.0155</v>
      </c>
      <c r="I18" s="385">
        <v>8.0</v>
      </c>
      <c r="J18" s="385">
        <f t="shared" si="2"/>
        <v>11</v>
      </c>
      <c r="K18" s="384">
        <f t="shared" si="3"/>
        <v>0.1705</v>
      </c>
      <c r="L18" s="385">
        <f t="shared" si="4"/>
        <v>88</v>
      </c>
      <c r="M18" s="386"/>
      <c r="N18" s="386"/>
      <c r="O18" s="386"/>
      <c r="P18" s="386"/>
      <c r="Q18" s="386"/>
      <c r="R18" s="386"/>
      <c r="S18" s="386"/>
      <c r="T18" s="386"/>
      <c r="U18" s="386"/>
      <c r="V18" s="386"/>
      <c r="W18" s="386"/>
      <c r="X18" s="386"/>
      <c r="Y18" s="386"/>
      <c r="Z18" s="386"/>
    </row>
    <row r="19" ht="15.75" customHeight="1">
      <c r="A19" s="379" t="s">
        <v>199</v>
      </c>
      <c r="B19" s="170" t="s">
        <v>201</v>
      </c>
      <c r="C19" s="381">
        <v>8.80964073355E12</v>
      </c>
      <c r="D19" s="382">
        <v>216.0</v>
      </c>
      <c r="E19" s="383">
        <v>14000.0</v>
      </c>
      <c r="F19" s="373">
        <f t="shared" si="1"/>
        <v>3024000</v>
      </c>
      <c r="G19" s="382">
        <v>54.0</v>
      </c>
      <c r="H19" s="384">
        <v>0.0155</v>
      </c>
      <c r="I19" s="385">
        <v>8.0</v>
      </c>
      <c r="J19" s="385">
        <f t="shared" si="2"/>
        <v>4</v>
      </c>
      <c r="K19" s="384">
        <f t="shared" si="3"/>
        <v>0.062</v>
      </c>
      <c r="L19" s="385">
        <f t="shared" si="4"/>
        <v>32</v>
      </c>
      <c r="M19" s="386"/>
      <c r="N19" s="386"/>
      <c r="O19" s="386"/>
      <c r="P19" s="386"/>
      <c r="Q19" s="386"/>
      <c r="R19" s="386"/>
      <c r="S19" s="386"/>
      <c r="T19" s="386"/>
      <c r="U19" s="386"/>
      <c r="V19" s="386"/>
      <c r="W19" s="386"/>
      <c r="X19" s="386"/>
      <c r="Y19" s="386"/>
      <c r="Z19" s="386"/>
    </row>
    <row r="20" ht="15.75" customHeight="1">
      <c r="A20" s="392" t="s">
        <v>199</v>
      </c>
      <c r="B20" s="119" t="s">
        <v>202</v>
      </c>
      <c r="C20" s="393">
        <v>8.809640734526E12</v>
      </c>
      <c r="D20" s="394">
        <v>540.0</v>
      </c>
      <c r="E20" s="395">
        <v>15800.0</v>
      </c>
      <c r="F20" s="373">
        <f t="shared" si="1"/>
        <v>8532000</v>
      </c>
      <c r="G20" s="394">
        <v>54.0</v>
      </c>
      <c r="H20" s="396">
        <v>0.0155</v>
      </c>
      <c r="I20" s="397">
        <v>8.0</v>
      </c>
      <c r="J20" s="397">
        <f t="shared" si="2"/>
        <v>10</v>
      </c>
      <c r="K20" s="396">
        <f t="shared" si="3"/>
        <v>0.155</v>
      </c>
      <c r="L20" s="397">
        <f t="shared" si="4"/>
        <v>80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392" t="s">
        <v>199</v>
      </c>
      <c r="B21" s="119" t="s">
        <v>203</v>
      </c>
      <c r="C21" s="393">
        <v>8.809640734373E12</v>
      </c>
      <c r="D21" s="394">
        <v>120.0</v>
      </c>
      <c r="E21" s="395">
        <v>18100.0</v>
      </c>
      <c r="F21" s="373">
        <f t="shared" si="1"/>
        <v>2172000</v>
      </c>
      <c r="G21" s="394">
        <v>40.0</v>
      </c>
      <c r="H21" s="396">
        <v>0.0225</v>
      </c>
      <c r="I21" s="397">
        <v>9.0</v>
      </c>
      <c r="J21" s="397">
        <f t="shared" si="2"/>
        <v>3</v>
      </c>
      <c r="K21" s="396">
        <f t="shared" si="3"/>
        <v>0.0675</v>
      </c>
      <c r="L21" s="397">
        <f t="shared" si="4"/>
        <v>27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392" t="s">
        <v>199</v>
      </c>
      <c r="B22" s="119" t="s">
        <v>204</v>
      </c>
      <c r="C22" s="393">
        <v>8.809640738135E12</v>
      </c>
      <c r="D22" s="394">
        <v>180.0</v>
      </c>
      <c r="E22" s="395">
        <v>16500.0</v>
      </c>
      <c r="F22" s="373">
        <f t="shared" si="1"/>
        <v>2970000</v>
      </c>
      <c r="G22" s="394">
        <v>90.0</v>
      </c>
      <c r="H22" s="398">
        <v>0.0155</v>
      </c>
      <c r="I22" s="399">
        <v>5.5</v>
      </c>
      <c r="J22" s="397">
        <f t="shared" si="2"/>
        <v>2</v>
      </c>
      <c r="K22" s="396">
        <f t="shared" si="3"/>
        <v>0.031</v>
      </c>
      <c r="L22" s="397">
        <f t="shared" si="4"/>
        <v>11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392" t="s">
        <v>205</v>
      </c>
      <c r="B23" s="119" t="s">
        <v>206</v>
      </c>
      <c r="C23" s="393">
        <v>8.800256108053E12</v>
      </c>
      <c r="D23" s="394">
        <v>320.0</v>
      </c>
      <c r="E23" s="395">
        <v>10600.0</v>
      </c>
      <c r="F23" s="373">
        <f t="shared" si="1"/>
        <v>3392000</v>
      </c>
      <c r="G23" s="394">
        <v>80.0</v>
      </c>
      <c r="H23" s="396">
        <v>0.0255</v>
      </c>
      <c r="I23" s="397">
        <v>12.1</v>
      </c>
      <c r="J23" s="397">
        <f t="shared" si="2"/>
        <v>4</v>
      </c>
      <c r="K23" s="396">
        <f t="shared" si="3"/>
        <v>0.102</v>
      </c>
      <c r="L23" s="397">
        <f t="shared" si="4"/>
        <v>48.4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392" t="s">
        <v>205</v>
      </c>
      <c r="B24" s="119" t="s">
        <v>207</v>
      </c>
      <c r="C24" s="393">
        <v>8.800256115549E12</v>
      </c>
      <c r="D24" s="394">
        <v>400.0</v>
      </c>
      <c r="E24" s="395">
        <v>13100.0</v>
      </c>
      <c r="F24" s="373">
        <f t="shared" si="1"/>
        <v>5240000</v>
      </c>
      <c r="G24" s="394">
        <v>100.0</v>
      </c>
      <c r="H24" s="396">
        <v>0.03</v>
      </c>
      <c r="I24" s="397">
        <v>9.3</v>
      </c>
      <c r="J24" s="397">
        <f t="shared" si="2"/>
        <v>4</v>
      </c>
      <c r="K24" s="396">
        <f t="shared" si="3"/>
        <v>0.12</v>
      </c>
      <c r="L24" s="397">
        <f t="shared" si="4"/>
        <v>37.2</v>
      </c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392" t="s">
        <v>205</v>
      </c>
      <c r="B25" s="119" t="s">
        <v>208</v>
      </c>
      <c r="C25" s="393">
        <v>8.800256115532E12</v>
      </c>
      <c r="D25" s="394">
        <v>300.0</v>
      </c>
      <c r="E25" s="395">
        <v>11900.0</v>
      </c>
      <c r="F25" s="373">
        <f t="shared" si="1"/>
        <v>3570000</v>
      </c>
      <c r="G25" s="394">
        <v>100.0</v>
      </c>
      <c r="H25" s="396">
        <v>0.0356</v>
      </c>
      <c r="I25" s="397">
        <v>9.3</v>
      </c>
      <c r="J25" s="397">
        <f t="shared" si="2"/>
        <v>3</v>
      </c>
      <c r="K25" s="396">
        <f t="shared" si="3"/>
        <v>0.1068</v>
      </c>
      <c r="L25" s="397">
        <f t="shared" si="4"/>
        <v>27.9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392" t="s">
        <v>205</v>
      </c>
      <c r="B26" s="119" t="s">
        <v>209</v>
      </c>
      <c r="C26" s="393">
        <v>8.800256112159E12</v>
      </c>
      <c r="D26" s="394">
        <v>240.0</v>
      </c>
      <c r="E26" s="395">
        <v>10800.0</v>
      </c>
      <c r="F26" s="373">
        <f t="shared" si="1"/>
        <v>2592000</v>
      </c>
      <c r="G26" s="394">
        <v>80.0</v>
      </c>
      <c r="H26" s="396">
        <v>0.0563</v>
      </c>
      <c r="I26" s="397">
        <v>22.8</v>
      </c>
      <c r="J26" s="397">
        <f t="shared" si="2"/>
        <v>3</v>
      </c>
      <c r="K26" s="396">
        <f t="shared" si="3"/>
        <v>0.1689</v>
      </c>
      <c r="L26" s="397">
        <f t="shared" si="4"/>
        <v>68.4</v>
      </c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392" t="s">
        <v>205</v>
      </c>
      <c r="B27" s="119" t="s">
        <v>210</v>
      </c>
      <c r="C27" s="393">
        <v>8.80025611966E12</v>
      </c>
      <c r="D27" s="394">
        <v>240.0</v>
      </c>
      <c r="E27" s="395">
        <v>14300.0</v>
      </c>
      <c r="F27" s="373">
        <f t="shared" si="1"/>
        <v>3432000</v>
      </c>
      <c r="G27" s="394">
        <v>80.0</v>
      </c>
      <c r="H27" s="396">
        <v>0.038</v>
      </c>
      <c r="I27" s="397">
        <v>12.2</v>
      </c>
      <c r="J27" s="397">
        <f t="shared" si="2"/>
        <v>3</v>
      </c>
      <c r="K27" s="396">
        <f t="shared" si="3"/>
        <v>0.114</v>
      </c>
      <c r="L27" s="397">
        <f t="shared" si="4"/>
        <v>36.6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92" t="s">
        <v>205</v>
      </c>
      <c r="B28" s="119" t="s">
        <v>211</v>
      </c>
      <c r="C28" s="393">
        <v>8.800256112227E12</v>
      </c>
      <c r="D28" s="394">
        <v>240.0</v>
      </c>
      <c r="E28" s="395">
        <v>9700.0</v>
      </c>
      <c r="F28" s="373">
        <f t="shared" si="1"/>
        <v>2328000</v>
      </c>
      <c r="G28" s="394">
        <v>80.0</v>
      </c>
      <c r="H28" s="396">
        <v>0.0288</v>
      </c>
      <c r="I28" s="397">
        <v>9.4</v>
      </c>
      <c r="J28" s="397">
        <f t="shared" si="2"/>
        <v>3</v>
      </c>
      <c r="K28" s="396">
        <f t="shared" si="3"/>
        <v>0.0864</v>
      </c>
      <c r="L28" s="397">
        <f t="shared" si="4"/>
        <v>28.2</v>
      </c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392" t="s">
        <v>106</v>
      </c>
      <c r="B29" s="119" t="s">
        <v>107</v>
      </c>
      <c r="C29" s="393">
        <v>8.803463006501E12</v>
      </c>
      <c r="D29" s="394">
        <v>528.0</v>
      </c>
      <c r="E29" s="395">
        <v>8300.0</v>
      </c>
      <c r="F29" s="373">
        <f t="shared" si="1"/>
        <v>4382400</v>
      </c>
      <c r="G29" s="394">
        <v>48.0</v>
      </c>
      <c r="H29" s="396">
        <v>0.0086</v>
      </c>
      <c r="I29" s="397">
        <v>2.1</v>
      </c>
      <c r="J29" s="397">
        <f t="shared" si="2"/>
        <v>11</v>
      </c>
      <c r="K29" s="396">
        <f t="shared" si="3"/>
        <v>0.0946</v>
      </c>
      <c r="L29" s="397">
        <f t="shared" si="4"/>
        <v>23.1</v>
      </c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392" t="s">
        <v>106</v>
      </c>
      <c r="B30" s="119" t="s">
        <v>238</v>
      </c>
      <c r="C30" s="393">
        <v>8.809695679544E12</v>
      </c>
      <c r="D30" s="394">
        <v>1056.0</v>
      </c>
      <c r="E30" s="400">
        <v>15000.0</v>
      </c>
      <c r="F30" s="373">
        <f t="shared" si="1"/>
        <v>15840000</v>
      </c>
      <c r="G30" s="394">
        <v>96.0</v>
      </c>
      <c r="H30" s="396">
        <v>0.0152</v>
      </c>
      <c r="I30" s="397">
        <v>3.0</v>
      </c>
      <c r="J30" s="397">
        <f t="shared" si="2"/>
        <v>11</v>
      </c>
      <c r="K30" s="396">
        <f t="shared" si="3"/>
        <v>0.1672</v>
      </c>
      <c r="L30" s="397">
        <f t="shared" si="4"/>
        <v>33</v>
      </c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392" t="s">
        <v>117</v>
      </c>
      <c r="B31" s="119" t="s">
        <v>213</v>
      </c>
      <c r="C31" s="393">
        <v>8.80933131936E12</v>
      </c>
      <c r="D31" s="394">
        <v>1530.0</v>
      </c>
      <c r="E31" s="395">
        <v>6400.0</v>
      </c>
      <c r="F31" s="373">
        <f t="shared" si="1"/>
        <v>9792000</v>
      </c>
      <c r="G31" s="394">
        <v>90.0</v>
      </c>
      <c r="H31" s="398">
        <v>0.0181</v>
      </c>
      <c r="I31" s="399">
        <v>10.5</v>
      </c>
      <c r="J31" s="397">
        <f t="shared" si="2"/>
        <v>17</v>
      </c>
      <c r="K31" s="396">
        <f t="shared" si="3"/>
        <v>0.3077</v>
      </c>
      <c r="L31" s="397">
        <f t="shared" si="4"/>
        <v>178.5</v>
      </c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392" t="s">
        <v>117</v>
      </c>
      <c r="B32" s="119" t="s">
        <v>214</v>
      </c>
      <c r="C32" s="393">
        <v>8.809563068258E12</v>
      </c>
      <c r="D32" s="394">
        <v>1344.0</v>
      </c>
      <c r="E32" s="395">
        <v>4100.0</v>
      </c>
      <c r="F32" s="373">
        <f t="shared" si="1"/>
        <v>5510400</v>
      </c>
      <c r="G32" s="394">
        <v>96.0</v>
      </c>
      <c r="H32" s="398">
        <v>0.014</v>
      </c>
      <c r="I32" s="399">
        <v>4.5</v>
      </c>
      <c r="J32" s="397">
        <f t="shared" si="2"/>
        <v>14</v>
      </c>
      <c r="K32" s="396">
        <f t="shared" si="3"/>
        <v>0.196</v>
      </c>
      <c r="L32" s="397">
        <f t="shared" si="4"/>
        <v>63</v>
      </c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392" t="s">
        <v>117</v>
      </c>
      <c r="B33" s="119" t="s">
        <v>215</v>
      </c>
      <c r="C33" s="393">
        <v>8.809563066773E12</v>
      </c>
      <c r="D33" s="394">
        <v>1248.0</v>
      </c>
      <c r="E33" s="395">
        <v>4600.0</v>
      </c>
      <c r="F33" s="373">
        <f t="shared" si="1"/>
        <v>5740800</v>
      </c>
      <c r="G33" s="394">
        <v>96.0</v>
      </c>
      <c r="H33" s="398">
        <v>0.014</v>
      </c>
      <c r="I33" s="399">
        <v>4.5</v>
      </c>
      <c r="J33" s="397">
        <f t="shared" si="2"/>
        <v>13</v>
      </c>
      <c r="K33" s="396">
        <f t="shared" si="3"/>
        <v>0.182</v>
      </c>
      <c r="L33" s="397">
        <f t="shared" si="4"/>
        <v>58.5</v>
      </c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392" t="s">
        <v>117</v>
      </c>
      <c r="B34" s="119" t="s">
        <v>216</v>
      </c>
      <c r="C34" s="393">
        <v>8.809331319193E12</v>
      </c>
      <c r="D34" s="394">
        <v>1200.0</v>
      </c>
      <c r="E34" s="395">
        <v>5200.0</v>
      </c>
      <c r="F34" s="373">
        <f t="shared" si="1"/>
        <v>6240000</v>
      </c>
      <c r="G34" s="401">
        <v>60.0</v>
      </c>
      <c r="H34" s="398">
        <v>0.014</v>
      </c>
      <c r="I34" s="399">
        <v>4.5</v>
      </c>
      <c r="J34" s="397">
        <f t="shared" si="2"/>
        <v>20</v>
      </c>
      <c r="K34" s="396">
        <f t="shared" si="3"/>
        <v>0.28</v>
      </c>
      <c r="L34" s="397">
        <f t="shared" si="4"/>
        <v>90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392" t="s">
        <v>117</v>
      </c>
      <c r="B35" s="119" t="s">
        <v>217</v>
      </c>
      <c r="C35" s="393">
        <v>8.809563066797E12</v>
      </c>
      <c r="D35" s="394">
        <v>1020.0</v>
      </c>
      <c r="E35" s="395">
        <v>2750.0</v>
      </c>
      <c r="F35" s="373">
        <f t="shared" si="1"/>
        <v>2805000</v>
      </c>
      <c r="G35" s="394">
        <v>60.0</v>
      </c>
      <c r="H35" s="398">
        <v>0.014</v>
      </c>
      <c r="I35" s="399">
        <v>4.5</v>
      </c>
      <c r="J35" s="397">
        <f t="shared" si="2"/>
        <v>17</v>
      </c>
      <c r="K35" s="396">
        <f t="shared" si="3"/>
        <v>0.238</v>
      </c>
      <c r="L35" s="397">
        <f t="shared" si="4"/>
        <v>76.5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392" t="s">
        <v>117</v>
      </c>
      <c r="B36" s="119" t="s">
        <v>218</v>
      </c>
      <c r="C36" s="393">
        <v>8.809563067923E12</v>
      </c>
      <c r="D36" s="394">
        <v>1053.0</v>
      </c>
      <c r="E36" s="395">
        <v>5700.0</v>
      </c>
      <c r="F36" s="373">
        <f t="shared" si="1"/>
        <v>6002100</v>
      </c>
      <c r="G36" s="394">
        <v>117.0</v>
      </c>
      <c r="H36" s="398">
        <v>0.014</v>
      </c>
      <c r="I36" s="399">
        <v>8.0</v>
      </c>
      <c r="J36" s="397">
        <f t="shared" si="2"/>
        <v>9</v>
      </c>
      <c r="K36" s="396">
        <f t="shared" si="3"/>
        <v>0.126</v>
      </c>
      <c r="L36" s="397">
        <f t="shared" si="4"/>
        <v>72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392" t="s">
        <v>117</v>
      </c>
      <c r="B37" s="119" t="s">
        <v>219</v>
      </c>
      <c r="C37" s="393">
        <v>8.809331313818E12</v>
      </c>
      <c r="D37" s="394">
        <v>480.0</v>
      </c>
      <c r="E37" s="395">
        <v>4750.0</v>
      </c>
      <c r="F37" s="373">
        <f t="shared" si="1"/>
        <v>2280000</v>
      </c>
      <c r="G37" s="394">
        <v>96.0</v>
      </c>
      <c r="H37" s="398">
        <v>0.014</v>
      </c>
      <c r="I37" s="399">
        <v>4.1</v>
      </c>
      <c r="J37" s="397">
        <f t="shared" si="2"/>
        <v>5</v>
      </c>
      <c r="K37" s="396">
        <f t="shared" si="3"/>
        <v>0.07</v>
      </c>
      <c r="L37" s="397">
        <f t="shared" si="4"/>
        <v>20.5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392" t="s">
        <v>117</v>
      </c>
      <c r="B38" s="119" t="s">
        <v>220</v>
      </c>
      <c r="C38" s="393">
        <v>8.809563068081E12</v>
      </c>
      <c r="D38" s="394">
        <v>400.0</v>
      </c>
      <c r="E38" s="395">
        <v>5000.0</v>
      </c>
      <c r="F38" s="373">
        <f t="shared" si="1"/>
        <v>2000000</v>
      </c>
      <c r="G38" s="394">
        <v>80.0</v>
      </c>
      <c r="H38" s="398">
        <v>0.0264</v>
      </c>
      <c r="I38" s="399">
        <v>16.0</v>
      </c>
      <c r="J38" s="397">
        <f t="shared" si="2"/>
        <v>5</v>
      </c>
      <c r="K38" s="396">
        <f t="shared" si="3"/>
        <v>0.132</v>
      </c>
      <c r="L38" s="397">
        <f t="shared" si="4"/>
        <v>80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392" t="s">
        <v>117</v>
      </c>
      <c r="B39" s="119" t="s">
        <v>221</v>
      </c>
      <c r="C39" s="393">
        <v>8.809331317182E12</v>
      </c>
      <c r="D39" s="394">
        <v>420.0</v>
      </c>
      <c r="E39" s="395">
        <v>7500.0</v>
      </c>
      <c r="F39" s="373">
        <f t="shared" si="1"/>
        <v>3150000</v>
      </c>
      <c r="G39" s="394">
        <v>60.0</v>
      </c>
      <c r="H39" s="398">
        <v>0.014</v>
      </c>
      <c r="I39" s="399">
        <v>4.5</v>
      </c>
      <c r="J39" s="397">
        <f t="shared" si="2"/>
        <v>7</v>
      </c>
      <c r="K39" s="396">
        <f t="shared" si="3"/>
        <v>0.098</v>
      </c>
      <c r="L39" s="397">
        <f t="shared" si="4"/>
        <v>31.5</v>
      </c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402" t="s">
        <v>222</v>
      </c>
      <c r="B40" s="403" t="s">
        <v>223</v>
      </c>
      <c r="C40" s="404">
        <v>8.809605870993E12</v>
      </c>
      <c r="D40" s="401">
        <v>1000.0</v>
      </c>
      <c r="E40" s="405">
        <v>3880.0</v>
      </c>
      <c r="F40" s="373">
        <f t="shared" si="1"/>
        <v>3880000</v>
      </c>
      <c r="G40" s="401">
        <v>100.0</v>
      </c>
      <c r="H40" s="398">
        <v>0.0314</v>
      </c>
      <c r="I40" s="399">
        <v>15.0</v>
      </c>
      <c r="J40" s="399">
        <f t="shared" si="2"/>
        <v>10</v>
      </c>
      <c r="K40" s="398">
        <f t="shared" si="3"/>
        <v>0.314</v>
      </c>
      <c r="L40" s="399">
        <f t="shared" si="4"/>
        <v>150</v>
      </c>
      <c r="M40" s="406"/>
      <c r="N40" s="406"/>
      <c r="O40" s="406"/>
      <c r="P40" s="406"/>
      <c r="Q40" s="406"/>
      <c r="R40" s="406"/>
      <c r="S40" s="406"/>
      <c r="T40" s="406"/>
      <c r="U40" s="406"/>
      <c r="V40" s="406"/>
      <c r="W40" s="406"/>
      <c r="X40" s="406"/>
      <c r="Y40" s="406"/>
      <c r="Z40" s="406"/>
    </row>
    <row r="41" ht="15.75" customHeight="1">
      <c r="A41" s="402" t="s">
        <v>222</v>
      </c>
      <c r="B41" s="403" t="s">
        <v>224</v>
      </c>
      <c r="C41" s="404">
        <v>8.809605871006E12</v>
      </c>
      <c r="D41" s="401">
        <v>200.0</v>
      </c>
      <c r="E41" s="405">
        <v>3880.0</v>
      </c>
      <c r="F41" s="373">
        <f t="shared" si="1"/>
        <v>776000</v>
      </c>
      <c r="G41" s="401">
        <v>100.0</v>
      </c>
      <c r="H41" s="398">
        <v>0.0314</v>
      </c>
      <c r="I41" s="399">
        <v>15.0</v>
      </c>
      <c r="J41" s="399">
        <f t="shared" si="2"/>
        <v>2</v>
      </c>
      <c r="K41" s="398">
        <f t="shared" si="3"/>
        <v>0.0628</v>
      </c>
      <c r="L41" s="399">
        <f t="shared" si="4"/>
        <v>30</v>
      </c>
      <c r="M41" s="406"/>
      <c r="N41" s="406"/>
      <c r="O41" s="406"/>
      <c r="P41" s="406"/>
      <c r="Q41" s="406"/>
      <c r="R41" s="406"/>
      <c r="S41" s="406"/>
      <c r="T41" s="406"/>
      <c r="U41" s="406"/>
      <c r="V41" s="406"/>
      <c r="W41" s="406"/>
      <c r="X41" s="406"/>
      <c r="Y41" s="406"/>
      <c r="Z41" s="406"/>
    </row>
    <row r="42" ht="15.75" customHeight="1">
      <c r="A42" s="402" t="s">
        <v>222</v>
      </c>
      <c r="B42" s="403" t="s">
        <v>225</v>
      </c>
      <c r="C42" s="404">
        <v>8.809605871938E12</v>
      </c>
      <c r="D42" s="401">
        <v>200.0</v>
      </c>
      <c r="E42" s="405">
        <v>4006.0</v>
      </c>
      <c r="F42" s="373">
        <f t="shared" si="1"/>
        <v>801200</v>
      </c>
      <c r="G42" s="401">
        <v>100.0</v>
      </c>
      <c r="H42" s="398">
        <v>0.0314</v>
      </c>
      <c r="I42" s="399">
        <v>15.0</v>
      </c>
      <c r="J42" s="399">
        <f t="shared" si="2"/>
        <v>2</v>
      </c>
      <c r="K42" s="398">
        <f t="shared" si="3"/>
        <v>0.0628</v>
      </c>
      <c r="L42" s="399">
        <f t="shared" si="4"/>
        <v>30</v>
      </c>
      <c r="M42" s="406"/>
      <c r="N42" s="406"/>
      <c r="O42" s="406"/>
      <c r="P42" s="406"/>
      <c r="Q42" s="406"/>
      <c r="R42" s="406"/>
      <c r="S42" s="406"/>
      <c r="T42" s="406"/>
      <c r="U42" s="406"/>
      <c r="V42" s="406"/>
      <c r="W42" s="406"/>
      <c r="X42" s="406"/>
      <c r="Y42" s="406"/>
      <c r="Z42" s="406"/>
    </row>
    <row r="43" ht="15.75" customHeight="1">
      <c r="A43" s="402" t="s">
        <v>222</v>
      </c>
      <c r="B43" s="403" t="s">
        <v>226</v>
      </c>
      <c r="C43" s="404">
        <v>8.809605870993E12</v>
      </c>
      <c r="D43" s="401">
        <v>400.0</v>
      </c>
      <c r="E43" s="405">
        <v>4006.0</v>
      </c>
      <c r="F43" s="373">
        <f t="shared" si="1"/>
        <v>1602400</v>
      </c>
      <c r="G43" s="401">
        <v>100.0</v>
      </c>
      <c r="H43" s="398">
        <v>0.0314</v>
      </c>
      <c r="I43" s="399">
        <v>15.0</v>
      </c>
      <c r="J43" s="399">
        <f t="shared" si="2"/>
        <v>4</v>
      </c>
      <c r="K43" s="398">
        <f t="shared" si="3"/>
        <v>0.1256</v>
      </c>
      <c r="L43" s="399">
        <f t="shared" si="4"/>
        <v>60</v>
      </c>
      <c r="M43" s="406"/>
      <c r="N43" s="406"/>
      <c r="O43" s="406"/>
      <c r="P43" s="406"/>
      <c r="Q43" s="406"/>
      <c r="R43" s="406"/>
      <c r="S43" s="406"/>
      <c r="T43" s="406"/>
      <c r="U43" s="406"/>
      <c r="V43" s="406"/>
      <c r="W43" s="406"/>
      <c r="X43" s="406"/>
      <c r="Y43" s="406"/>
      <c r="Z43" s="406"/>
    </row>
    <row r="44" ht="15.75" customHeight="1">
      <c r="A44" s="402" t="s">
        <v>222</v>
      </c>
      <c r="B44" s="403" t="s">
        <v>227</v>
      </c>
      <c r="C44" s="404">
        <v>8.809605870993E12</v>
      </c>
      <c r="D44" s="401">
        <v>700.0</v>
      </c>
      <c r="E44" s="405">
        <v>3880.0</v>
      </c>
      <c r="F44" s="373">
        <f t="shared" si="1"/>
        <v>2716000</v>
      </c>
      <c r="G44" s="401">
        <v>100.0</v>
      </c>
      <c r="H44" s="398">
        <v>0.0314</v>
      </c>
      <c r="I44" s="399">
        <v>15.0</v>
      </c>
      <c r="J44" s="399">
        <f t="shared" si="2"/>
        <v>7</v>
      </c>
      <c r="K44" s="398">
        <f t="shared" si="3"/>
        <v>0.2198</v>
      </c>
      <c r="L44" s="399">
        <f t="shared" si="4"/>
        <v>105</v>
      </c>
      <c r="M44" s="406"/>
      <c r="N44" s="406"/>
      <c r="O44" s="406"/>
      <c r="P44" s="406"/>
      <c r="Q44" s="406"/>
      <c r="R44" s="406"/>
      <c r="S44" s="406"/>
      <c r="T44" s="406"/>
      <c r="U44" s="406"/>
      <c r="V44" s="406"/>
      <c r="W44" s="406"/>
      <c r="X44" s="406"/>
      <c r="Y44" s="406"/>
      <c r="Z44" s="406"/>
    </row>
    <row r="45" ht="15.75" customHeight="1">
      <c r="A45" s="402" t="s">
        <v>222</v>
      </c>
      <c r="B45" s="403" t="s">
        <v>228</v>
      </c>
      <c r="C45" s="404">
        <v>8.809474498816E12</v>
      </c>
      <c r="D45" s="401">
        <v>400.0</v>
      </c>
      <c r="E45" s="405">
        <v>3094.0</v>
      </c>
      <c r="F45" s="373">
        <f t="shared" si="1"/>
        <v>1237600</v>
      </c>
      <c r="G45" s="401">
        <v>100.0</v>
      </c>
      <c r="H45" s="398">
        <v>0.0314</v>
      </c>
      <c r="I45" s="399">
        <v>15.0</v>
      </c>
      <c r="J45" s="399">
        <f t="shared" si="2"/>
        <v>4</v>
      </c>
      <c r="K45" s="398">
        <f t="shared" si="3"/>
        <v>0.1256</v>
      </c>
      <c r="L45" s="399">
        <f t="shared" si="4"/>
        <v>60</v>
      </c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</row>
    <row r="46" ht="15.75" customHeight="1">
      <c r="A46" s="146" t="s">
        <v>229</v>
      </c>
      <c r="B46" s="407" t="s">
        <v>230</v>
      </c>
      <c r="C46" s="408">
        <v>8.809665594488E12</v>
      </c>
      <c r="D46" s="409">
        <v>560.0</v>
      </c>
      <c r="E46" s="410">
        <v>6840.0</v>
      </c>
      <c r="F46" s="373">
        <f t="shared" si="1"/>
        <v>3830400</v>
      </c>
      <c r="G46" s="394">
        <v>80.0</v>
      </c>
      <c r="H46" s="396">
        <v>0.0304</v>
      </c>
      <c r="I46" s="397">
        <v>12.4</v>
      </c>
      <c r="J46" s="397">
        <f t="shared" si="2"/>
        <v>7</v>
      </c>
      <c r="K46" s="396">
        <f t="shared" si="3"/>
        <v>0.2128</v>
      </c>
      <c r="L46" s="397">
        <f t="shared" si="4"/>
        <v>86.8</v>
      </c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146" t="s">
        <v>229</v>
      </c>
      <c r="B47" s="146" t="s">
        <v>231</v>
      </c>
      <c r="C47" s="408">
        <v>8.809665594457E12</v>
      </c>
      <c r="D47" s="409">
        <v>560.0</v>
      </c>
      <c r="E47" s="410">
        <v>6840.0</v>
      </c>
      <c r="F47" s="373">
        <f t="shared" si="1"/>
        <v>3830400</v>
      </c>
      <c r="G47" s="394">
        <v>80.0</v>
      </c>
      <c r="H47" s="396">
        <v>0.0304</v>
      </c>
      <c r="I47" s="397">
        <v>12.4</v>
      </c>
      <c r="J47" s="397">
        <f t="shared" si="2"/>
        <v>7</v>
      </c>
      <c r="K47" s="396">
        <f t="shared" si="3"/>
        <v>0.2128</v>
      </c>
      <c r="L47" s="397">
        <f t="shared" si="4"/>
        <v>86.8</v>
      </c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146" t="s">
        <v>229</v>
      </c>
      <c r="B48" s="146" t="s">
        <v>232</v>
      </c>
      <c r="C48" s="408">
        <v>8.809665594464E12</v>
      </c>
      <c r="D48" s="409">
        <v>320.0</v>
      </c>
      <c r="E48" s="410">
        <v>6840.0</v>
      </c>
      <c r="F48" s="373">
        <f t="shared" si="1"/>
        <v>2188800</v>
      </c>
      <c r="G48" s="394">
        <v>80.0</v>
      </c>
      <c r="H48" s="396">
        <v>0.0304</v>
      </c>
      <c r="I48" s="397">
        <v>12.4</v>
      </c>
      <c r="J48" s="397">
        <f t="shared" si="2"/>
        <v>4</v>
      </c>
      <c r="K48" s="396">
        <f t="shared" si="3"/>
        <v>0.1216</v>
      </c>
      <c r="L48" s="397">
        <f t="shared" si="4"/>
        <v>49.6</v>
      </c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146" t="s">
        <v>229</v>
      </c>
      <c r="B49" s="146" t="s">
        <v>233</v>
      </c>
      <c r="C49" s="408">
        <v>8.809665594471E12</v>
      </c>
      <c r="D49" s="409">
        <v>320.0</v>
      </c>
      <c r="E49" s="410">
        <v>6840.0</v>
      </c>
      <c r="F49" s="373">
        <f t="shared" si="1"/>
        <v>2188800</v>
      </c>
      <c r="G49" s="394">
        <v>80.0</v>
      </c>
      <c r="H49" s="396">
        <v>0.0304</v>
      </c>
      <c r="I49" s="397">
        <v>12.4</v>
      </c>
      <c r="J49" s="397">
        <f t="shared" si="2"/>
        <v>4</v>
      </c>
      <c r="K49" s="396">
        <f t="shared" si="3"/>
        <v>0.1216</v>
      </c>
      <c r="L49" s="397">
        <f t="shared" si="4"/>
        <v>49.6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146" t="s">
        <v>234</v>
      </c>
      <c r="B50" s="146" t="s">
        <v>235</v>
      </c>
      <c r="C50" s="408">
        <v>8.809730950881E12</v>
      </c>
      <c r="D50" s="409">
        <v>1200.0</v>
      </c>
      <c r="E50" s="410">
        <v>5925.0</v>
      </c>
      <c r="F50" s="373">
        <f t="shared" si="1"/>
        <v>7110000</v>
      </c>
      <c r="G50" s="411">
        <v>60.0</v>
      </c>
      <c r="H50" s="389">
        <v>0.0323</v>
      </c>
      <c r="I50" s="389">
        <v>13.6</v>
      </c>
      <c r="J50" s="397">
        <f t="shared" si="2"/>
        <v>20</v>
      </c>
      <c r="K50" s="396">
        <f t="shared" si="3"/>
        <v>0.646</v>
      </c>
      <c r="L50" s="397">
        <f t="shared" si="4"/>
        <v>272</v>
      </c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392"/>
      <c r="B51" s="392"/>
      <c r="C51" s="412"/>
      <c r="D51" s="413">
        <f>SUM(D2:D50)</f>
        <v>84472</v>
      </c>
      <c r="E51" s="414"/>
      <c r="F51" s="373">
        <f>SUM(F2:F50)</f>
        <v>638111624</v>
      </c>
      <c r="G51" s="394"/>
      <c r="H51" s="396"/>
      <c r="I51" s="397"/>
      <c r="J51" s="397"/>
      <c r="K51" s="413">
        <f t="shared" ref="K51:L51" si="5">SUM(K2:K50)</f>
        <v>61.9692</v>
      </c>
      <c r="L51" s="413">
        <f t="shared" si="5"/>
        <v>24460.9</v>
      </c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27"/>
      <c r="C52" s="415"/>
      <c r="D52" s="416"/>
      <c r="E52" s="417"/>
      <c r="F52" s="417"/>
      <c r="G52" s="416"/>
      <c r="H52" s="418"/>
      <c r="I52" s="419"/>
      <c r="J52" s="419"/>
      <c r="K52" s="418"/>
      <c r="L52" s="419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27"/>
      <c r="C53" s="415"/>
      <c r="D53" s="416"/>
      <c r="E53" s="417"/>
      <c r="F53" s="417"/>
      <c r="G53" s="416"/>
      <c r="H53" s="418"/>
      <c r="I53" s="419"/>
      <c r="J53" s="419"/>
      <c r="K53" s="418"/>
      <c r="L53" s="419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27"/>
      <c r="C54" s="415"/>
      <c r="D54" s="416"/>
      <c r="E54" s="417"/>
      <c r="F54" s="417"/>
      <c r="G54" s="416"/>
      <c r="H54" s="418"/>
      <c r="I54" s="419"/>
      <c r="J54" s="419"/>
      <c r="K54" s="418"/>
      <c r="L54" s="419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27"/>
      <c r="C55" s="415"/>
      <c r="D55" s="416"/>
      <c r="E55" s="417"/>
      <c r="F55" s="417"/>
      <c r="G55" s="416"/>
      <c r="H55" s="27"/>
      <c r="I55" s="419"/>
      <c r="J55" s="419"/>
      <c r="K55" s="418"/>
      <c r="L55" s="419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27"/>
      <c r="C56" s="415"/>
      <c r="D56" s="416"/>
      <c r="E56" s="417"/>
      <c r="F56" s="417"/>
      <c r="G56" s="416"/>
      <c r="H56" s="27"/>
      <c r="I56" s="419"/>
      <c r="J56" s="419"/>
      <c r="K56" s="418"/>
      <c r="L56" s="419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27"/>
      <c r="C57" s="415"/>
      <c r="D57" s="416"/>
      <c r="E57" s="417"/>
      <c r="F57" s="417"/>
      <c r="G57" s="416"/>
      <c r="H57" s="27"/>
      <c r="I57" s="419"/>
      <c r="J57" s="419"/>
      <c r="K57" s="418"/>
      <c r="L57" s="419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27"/>
      <c r="C58" s="415"/>
      <c r="D58" s="416"/>
      <c r="E58" s="417"/>
      <c r="F58" s="417"/>
      <c r="G58" s="416"/>
      <c r="H58" s="27"/>
      <c r="I58" s="419"/>
      <c r="J58" s="419"/>
      <c r="K58" s="418"/>
      <c r="L58" s="419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27"/>
      <c r="C59" s="415"/>
      <c r="D59" s="416"/>
      <c r="E59" s="417"/>
      <c r="F59" s="417"/>
      <c r="G59" s="416"/>
      <c r="H59" s="27"/>
      <c r="I59" s="419"/>
      <c r="J59" s="419"/>
      <c r="K59" s="418"/>
      <c r="L59" s="419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27"/>
      <c r="C60" s="415"/>
      <c r="D60" s="416"/>
      <c r="E60" s="417"/>
      <c r="F60" s="417"/>
      <c r="G60" s="416"/>
      <c r="H60" s="27"/>
      <c r="I60" s="419"/>
      <c r="J60" s="419"/>
      <c r="K60" s="418"/>
      <c r="L60" s="419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27"/>
      <c r="C61" s="415"/>
      <c r="D61" s="416"/>
      <c r="E61" s="417"/>
      <c r="F61" s="417"/>
      <c r="G61" s="416"/>
      <c r="H61" s="27"/>
      <c r="I61" s="419"/>
      <c r="J61" s="419"/>
      <c r="K61" s="418"/>
      <c r="L61" s="419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27"/>
      <c r="C62" s="415"/>
      <c r="D62" s="416"/>
      <c r="E62" s="417"/>
      <c r="F62" s="417"/>
      <c r="G62" s="416"/>
      <c r="H62" s="27"/>
      <c r="I62" s="419"/>
      <c r="J62" s="419"/>
      <c r="K62" s="418"/>
      <c r="L62" s="419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27"/>
      <c r="C63" s="415"/>
      <c r="D63" s="416"/>
      <c r="E63" s="417"/>
      <c r="F63" s="417"/>
      <c r="G63" s="416"/>
      <c r="H63" s="27"/>
      <c r="I63" s="419"/>
      <c r="J63" s="419"/>
      <c r="K63" s="418"/>
      <c r="L63" s="419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27"/>
      <c r="C64" s="415"/>
      <c r="D64" s="416"/>
      <c r="E64" s="417"/>
      <c r="F64" s="417"/>
      <c r="G64" s="416"/>
      <c r="H64" s="418"/>
      <c r="I64" s="419"/>
      <c r="J64" s="419"/>
      <c r="K64" s="418"/>
      <c r="L64" s="419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27"/>
      <c r="C65" s="415"/>
      <c r="D65" s="416"/>
      <c r="E65" s="417"/>
      <c r="F65" s="417"/>
      <c r="G65" s="416"/>
      <c r="H65" s="418"/>
      <c r="I65" s="419"/>
      <c r="J65" s="419"/>
      <c r="K65" s="418"/>
      <c r="L65" s="419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415"/>
      <c r="D66" s="416"/>
      <c r="E66" s="417"/>
      <c r="F66" s="417"/>
      <c r="G66" s="416"/>
      <c r="H66" s="418"/>
      <c r="I66" s="419"/>
      <c r="J66" s="419"/>
      <c r="K66" s="418"/>
      <c r="L66" s="419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415"/>
      <c r="D67" s="416"/>
      <c r="E67" s="417"/>
      <c r="F67" s="417"/>
      <c r="G67" s="416"/>
      <c r="H67" s="418"/>
      <c r="I67" s="419"/>
      <c r="J67" s="419"/>
      <c r="K67" s="418"/>
      <c r="L67" s="419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415"/>
      <c r="D68" s="416"/>
      <c r="E68" s="417"/>
      <c r="F68" s="417"/>
      <c r="G68" s="416"/>
      <c r="H68" s="418"/>
      <c r="I68" s="419"/>
      <c r="J68" s="419"/>
      <c r="K68" s="418"/>
      <c r="L68" s="419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415"/>
      <c r="D69" s="416"/>
      <c r="E69" s="417"/>
      <c r="F69" s="417"/>
      <c r="G69" s="416"/>
      <c r="H69" s="418"/>
      <c r="I69" s="419"/>
      <c r="J69" s="419"/>
      <c r="K69" s="418"/>
      <c r="L69" s="419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415"/>
      <c r="D70" s="416"/>
      <c r="E70" s="417"/>
      <c r="F70" s="417"/>
      <c r="G70" s="416"/>
      <c r="H70" s="418"/>
      <c r="I70" s="419"/>
      <c r="J70" s="419"/>
      <c r="K70" s="418"/>
      <c r="L70" s="419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415"/>
      <c r="D71" s="416"/>
      <c r="E71" s="417"/>
      <c r="F71" s="417"/>
      <c r="G71" s="416"/>
      <c r="H71" s="418"/>
      <c r="I71" s="419"/>
      <c r="J71" s="419"/>
      <c r="K71" s="418"/>
      <c r="L71" s="419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415"/>
      <c r="D72" s="416"/>
      <c r="E72" s="417"/>
      <c r="F72" s="417"/>
      <c r="G72" s="416"/>
      <c r="H72" s="418"/>
      <c r="I72" s="419"/>
      <c r="J72" s="419"/>
      <c r="K72" s="418"/>
      <c r="L72" s="419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415"/>
      <c r="D73" s="416"/>
      <c r="E73" s="417"/>
      <c r="F73" s="417"/>
      <c r="G73" s="416"/>
      <c r="H73" s="418"/>
      <c r="I73" s="419"/>
      <c r="J73" s="419"/>
      <c r="K73" s="418"/>
      <c r="L73" s="419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415"/>
      <c r="D74" s="416"/>
      <c r="E74" s="417"/>
      <c r="F74" s="417"/>
      <c r="G74" s="416"/>
      <c r="H74" s="418"/>
      <c r="I74" s="419"/>
      <c r="J74" s="419"/>
      <c r="K74" s="418"/>
      <c r="L74" s="419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415"/>
      <c r="D75" s="416"/>
      <c r="E75" s="417"/>
      <c r="F75" s="417"/>
      <c r="G75" s="416"/>
      <c r="H75" s="418"/>
      <c r="I75" s="419"/>
      <c r="J75" s="419"/>
      <c r="K75" s="418"/>
      <c r="L75" s="419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415"/>
      <c r="D76" s="416"/>
      <c r="E76" s="417"/>
      <c r="F76" s="417"/>
      <c r="G76" s="416"/>
      <c r="H76" s="418"/>
      <c r="I76" s="419"/>
      <c r="J76" s="419"/>
      <c r="K76" s="418"/>
      <c r="L76" s="419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415"/>
      <c r="D77" s="416"/>
      <c r="E77" s="417"/>
      <c r="F77" s="417"/>
      <c r="G77" s="416"/>
      <c r="H77" s="418"/>
      <c r="I77" s="419"/>
      <c r="J77" s="419"/>
      <c r="K77" s="418"/>
      <c r="L77" s="419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415"/>
      <c r="D78" s="416"/>
      <c r="E78" s="417"/>
      <c r="F78" s="417"/>
      <c r="G78" s="416"/>
      <c r="H78" s="418"/>
      <c r="I78" s="419"/>
      <c r="J78" s="419"/>
      <c r="K78" s="418"/>
      <c r="L78" s="419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415"/>
      <c r="D79" s="416"/>
      <c r="E79" s="417"/>
      <c r="F79" s="417"/>
      <c r="G79" s="416"/>
      <c r="H79" s="418"/>
      <c r="I79" s="419"/>
      <c r="J79" s="419"/>
      <c r="K79" s="418"/>
      <c r="L79" s="419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415"/>
      <c r="D80" s="416"/>
      <c r="E80" s="417"/>
      <c r="F80" s="417"/>
      <c r="G80" s="416"/>
      <c r="H80" s="418"/>
      <c r="I80" s="419"/>
      <c r="J80" s="419"/>
      <c r="K80" s="418"/>
      <c r="L80" s="419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415"/>
      <c r="D81" s="416"/>
      <c r="E81" s="417"/>
      <c r="F81" s="417"/>
      <c r="G81" s="416"/>
      <c r="H81" s="418"/>
      <c r="I81" s="419"/>
      <c r="J81" s="419"/>
      <c r="K81" s="418"/>
      <c r="L81" s="419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415"/>
      <c r="D82" s="416"/>
      <c r="E82" s="417"/>
      <c r="F82" s="417"/>
      <c r="G82" s="416"/>
      <c r="H82" s="418"/>
      <c r="I82" s="419"/>
      <c r="J82" s="419"/>
      <c r="K82" s="418"/>
      <c r="L82" s="419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415"/>
      <c r="D83" s="416"/>
      <c r="E83" s="417"/>
      <c r="F83" s="417"/>
      <c r="G83" s="416"/>
      <c r="H83" s="418"/>
      <c r="I83" s="419"/>
      <c r="J83" s="419"/>
      <c r="K83" s="418"/>
      <c r="L83" s="419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415"/>
      <c r="D84" s="416"/>
      <c r="E84" s="417"/>
      <c r="F84" s="417"/>
      <c r="G84" s="416"/>
      <c r="H84" s="418"/>
      <c r="I84" s="419"/>
      <c r="J84" s="419"/>
      <c r="K84" s="418"/>
      <c r="L84" s="419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415"/>
      <c r="D85" s="416"/>
      <c r="E85" s="417"/>
      <c r="F85" s="417"/>
      <c r="G85" s="416"/>
      <c r="H85" s="418"/>
      <c r="I85" s="419"/>
      <c r="J85" s="419"/>
      <c r="K85" s="418"/>
      <c r="L85" s="419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415"/>
      <c r="D86" s="416"/>
      <c r="E86" s="417"/>
      <c r="F86" s="417"/>
      <c r="G86" s="416"/>
      <c r="H86" s="418"/>
      <c r="I86" s="419"/>
      <c r="J86" s="419"/>
      <c r="K86" s="418"/>
      <c r="L86" s="419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415"/>
      <c r="D87" s="416"/>
      <c r="E87" s="417"/>
      <c r="F87" s="417"/>
      <c r="G87" s="416"/>
      <c r="H87" s="418"/>
      <c r="I87" s="419"/>
      <c r="J87" s="419"/>
      <c r="K87" s="418"/>
      <c r="L87" s="419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415"/>
      <c r="D88" s="416"/>
      <c r="E88" s="417"/>
      <c r="F88" s="417"/>
      <c r="G88" s="416"/>
      <c r="H88" s="418"/>
      <c r="I88" s="419"/>
      <c r="J88" s="419"/>
      <c r="K88" s="418"/>
      <c r="L88" s="419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415"/>
      <c r="D89" s="416"/>
      <c r="E89" s="417"/>
      <c r="F89" s="417"/>
      <c r="G89" s="416"/>
      <c r="H89" s="418"/>
      <c r="I89" s="419"/>
      <c r="J89" s="419"/>
      <c r="K89" s="418"/>
      <c r="L89" s="419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415"/>
      <c r="D90" s="416"/>
      <c r="E90" s="417"/>
      <c r="F90" s="417"/>
      <c r="G90" s="416"/>
      <c r="H90" s="418"/>
      <c r="I90" s="419"/>
      <c r="J90" s="419"/>
      <c r="K90" s="418"/>
      <c r="L90" s="419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415"/>
      <c r="D91" s="416"/>
      <c r="E91" s="417"/>
      <c r="F91" s="417"/>
      <c r="G91" s="416"/>
      <c r="H91" s="418"/>
      <c r="I91" s="419"/>
      <c r="J91" s="419"/>
      <c r="K91" s="418"/>
      <c r="L91" s="419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415"/>
      <c r="D92" s="416"/>
      <c r="E92" s="417"/>
      <c r="F92" s="417"/>
      <c r="G92" s="416"/>
      <c r="H92" s="418"/>
      <c r="I92" s="419"/>
      <c r="J92" s="419"/>
      <c r="K92" s="418"/>
      <c r="L92" s="419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415"/>
      <c r="D93" s="416"/>
      <c r="E93" s="417"/>
      <c r="F93" s="417"/>
      <c r="G93" s="416"/>
      <c r="H93" s="418"/>
      <c r="I93" s="419"/>
      <c r="J93" s="419"/>
      <c r="K93" s="418"/>
      <c r="L93" s="419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415"/>
      <c r="D94" s="416"/>
      <c r="E94" s="417"/>
      <c r="F94" s="417"/>
      <c r="G94" s="416"/>
      <c r="H94" s="418"/>
      <c r="I94" s="419"/>
      <c r="J94" s="419"/>
      <c r="K94" s="418"/>
      <c r="L94" s="419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415"/>
      <c r="D95" s="416"/>
      <c r="E95" s="417"/>
      <c r="F95" s="417"/>
      <c r="G95" s="416"/>
      <c r="H95" s="418"/>
      <c r="I95" s="419"/>
      <c r="J95" s="419"/>
      <c r="K95" s="418"/>
      <c r="L95" s="419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415"/>
      <c r="D96" s="416"/>
      <c r="E96" s="417"/>
      <c r="F96" s="417"/>
      <c r="G96" s="416"/>
      <c r="H96" s="418"/>
      <c r="I96" s="419"/>
      <c r="J96" s="419"/>
      <c r="K96" s="418"/>
      <c r="L96" s="419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415"/>
      <c r="D97" s="416"/>
      <c r="E97" s="417"/>
      <c r="F97" s="417"/>
      <c r="G97" s="416"/>
      <c r="H97" s="418"/>
      <c r="I97" s="419"/>
      <c r="J97" s="419"/>
      <c r="K97" s="418"/>
      <c r="L97" s="419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415"/>
      <c r="D98" s="416"/>
      <c r="E98" s="417"/>
      <c r="F98" s="417"/>
      <c r="G98" s="416"/>
      <c r="H98" s="418"/>
      <c r="I98" s="419"/>
      <c r="J98" s="419"/>
      <c r="K98" s="418"/>
      <c r="L98" s="419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415"/>
      <c r="D99" s="416"/>
      <c r="E99" s="417"/>
      <c r="F99" s="417"/>
      <c r="G99" s="416"/>
      <c r="H99" s="418"/>
      <c r="I99" s="419"/>
      <c r="J99" s="419"/>
      <c r="K99" s="418"/>
      <c r="L99" s="419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415"/>
      <c r="D100" s="416"/>
      <c r="E100" s="417"/>
      <c r="F100" s="417"/>
      <c r="G100" s="416"/>
      <c r="H100" s="418"/>
      <c r="I100" s="419"/>
      <c r="J100" s="419"/>
      <c r="K100" s="418"/>
      <c r="L100" s="419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415"/>
      <c r="D101" s="416"/>
      <c r="E101" s="417"/>
      <c r="F101" s="417"/>
      <c r="G101" s="416"/>
      <c r="H101" s="418"/>
      <c r="I101" s="419"/>
      <c r="J101" s="419"/>
      <c r="K101" s="418"/>
      <c r="L101" s="419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415"/>
      <c r="D102" s="416"/>
      <c r="E102" s="417"/>
      <c r="F102" s="417"/>
      <c r="G102" s="416"/>
      <c r="H102" s="418"/>
      <c r="I102" s="419"/>
      <c r="J102" s="419"/>
      <c r="K102" s="418"/>
      <c r="L102" s="419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415"/>
      <c r="D103" s="416"/>
      <c r="E103" s="417"/>
      <c r="F103" s="417"/>
      <c r="G103" s="416"/>
      <c r="H103" s="418"/>
      <c r="I103" s="419"/>
      <c r="J103" s="419"/>
      <c r="K103" s="418"/>
      <c r="L103" s="419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415"/>
      <c r="D104" s="416"/>
      <c r="E104" s="417"/>
      <c r="F104" s="417"/>
      <c r="G104" s="416"/>
      <c r="H104" s="418"/>
      <c r="I104" s="419"/>
      <c r="J104" s="419"/>
      <c r="K104" s="418"/>
      <c r="L104" s="419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415"/>
      <c r="D105" s="416"/>
      <c r="E105" s="417"/>
      <c r="F105" s="417"/>
      <c r="G105" s="416"/>
      <c r="H105" s="418"/>
      <c r="I105" s="419"/>
      <c r="J105" s="419"/>
      <c r="K105" s="418"/>
      <c r="L105" s="419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415"/>
      <c r="D106" s="416"/>
      <c r="E106" s="417"/>
      <c r="F106" s="417"/>
      <c r="G106" s="416"/>
      <c r="H106" s="418"/>
      <c r="I106" s="419"/>
      <c r="J106" s="419"/>
      <c r="K106" s="418"/>
      <c r="L106" s="419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415"/>
      <c r="D107" s="416"/>
      <c r="E107" s="417"/>
      <c r="F107" s="417"/>
      <c r="G107" s="416"/>
      <c r="H107" s="418"/>
      <c r="I107" s="419"/>
      <c r="J107" s="419"/>
      <c r="K107" s="418"/>
      <c r="L107" s="419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415"/>
      <c r="D108" s="416"/>
      <c r="E108" s="417"/>
      <c r="F108" s="417"/>
      <c r="G108" s="416"/>
      <c r="H108" s="418"/>
      <c r="I108" s="419"/>
      <c r="J108" s="419"/>
      <c r="K108" s="418"/>
      <c r="L108" s="419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415"/>
      <c r="D109" s="416"/>
      <c r="E109" s="417"/>
      <c r="F109" s="417"/>
      <c r="G109" s="416"/>
      <c r="H109" s="418"/>
      <c r="I109" s="419"/>
      <c r="J109" s="419"/>
      <c r="K109" s="418"/>
      <c r="L109" s="419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415"/>
      <c r="D110" s="416"/>
      <c r="E110" s="417"/>
      <c r="F110" s="417"/>
      <c r="G110" s="416"/>
      <c r="H110" s="418"/>
      <c r="I110" s="419"/>
      <c r="J110" s="419"/>
      <c r="K110" s="418"/>
      <c r="L110" s="419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415"/>
      <c r="D111" s="416"/>
      <c r="E111" s="417"/>
      <c r="F111" s="417"/>
      <c r="G111" s="416"/>
      <c r="H111" s="418"/>
      <c r="I111" s="419"/>
      <c r="J111" s="419"/>
      <c r="K111" s="418"/>
      <c r="L111" s="419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415"/>
      <c r="D112" s="416"/>
      <c r="E112" s="417"/>
      <c r="F112" s="417"/>
      <c r="G112" s="416"/>
      <c r="H112" s="418"/>
      <c r="I112" s="419"/>
      <c r="J112" s="419"/>
      <c r="K112" s="418"/>
      <c r="L112" s="419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415"/>
      <c r="D113" s="416"/>
      <c r="E113" s="417"/>
      <c r="F113" s="417"/>
      <c r="G113" s="416"/>
      <c r="H113" s="418"/>
      <c r="I113" s="419"/>
      <c r="J113" s="419"/>
      <c r="K113" s="418"/>
      <c r="L113" s="419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415"/>
      <c r="D114" s="416"/>
      <c r="E114" s="417"/>
      <c r="F114" s="417"/>
      <c r="G114" s="416"/>
      <c r="H114" s="418"/>
      <c r="I114" s="419"/>
      <c r="J114" s="419"/>
      <c r="K114" s="418"/>
      <c r="L114" s="419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415"/>
      <c r="D115" s="416"/>
      <c r="E115" s="417"/>
      <c r="F115" s="417"/>
      <c r="G115" s="416"/>
      <c r="H115" s="418"/>
      <c r="I115" s="419"/>
      <c r="J115" s="419"/>
      <c r="K115" s="418"/>
      <c r="L115" s="419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415"/>
      <c r="D116" s="416"/>
      <c r="E116" s="417"/>
      <c r="F116" s="417"/>
      <c r="G116" s="416"/>
      <c r="H116" s="418"/>
      <c r="I116" s="419"/>
      <c r="J116" s="419"/>
      <c r="K116" s="418"/>
      <c r="L116" s="419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415"/>
      <c r="D117" s="416"/>
      <c r="E117" s="417"/>
      <c r="F117" s="417"/>
      <c r="G117" s="416"/>
      <c r="H117" s="418"/>
      <c r="I117" s="419"/>
      <c r="J117" s="419"/>
      <c r="K117" s="418"/>
      <c r="L117" s="419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415"/>
      <c r="D118" s="416"/>
      <c r="E118" s="417"/>
      <c r="F118" s="417"/>
      <c r="G118" s="416"/>
      <c r="H118" s="418"/>
      <c r="I118" s="419"/>
      <c r="J118" s="419"/>
      <c r="K118" s="418"/>
      <c r="L118" s="419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415"/>
      <c r="D119" s="416"/>
      <c r="E119" s="417"/>
      <c r="F119" s="417"/>
      <c r="G119" s="416"/>
      <c r="H119" s="418"/>
      <c r="I119" s="419"/>
      <c r="J119" s="419"/>
      <c r="K119" s="418"/>
      <c r="L119" s="419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415"/>
      <c r="D120" s="416"/>
      <c r="E120" s="417"/>
      <c r="F120" s="417"/>
      <c r="G120" s="416"/>
      <c r="H120" s="418"/>
      <c r="I120" s="419"/>
      <c r="J120" s="419"/>
      <c r="K120" s="418"/>
      <c r="L120" s="419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415"/>
      <c r="D121" s="416"/>
      <c r="E121" s="417"/>
      <c r="F121" s="417"/>
      <c r="G121" s="416"/>
      <c r="H121" s="418"/>
      <c r="I121" s="419"/>
      <c r="J121" s="419"/>
      <c r="K121" s="418"/>
      <c r="L121" s="419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415"/>
      <c r="D122" s="416"/>
      <c r="E122" s="417"/>
      <c r="F122" s="417"/>
      <c r="G122" s="416"/>
      <c r="H122" s="418"/>
      <c r="I122" s="419"/>
      <c r="J122" s="419"/>
      <c r="K122" s="418"/>
      <c r="L122" s="419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415"/>
      <c r="D123" s="416"/>
      <c r="E123" s="417"/>
      <c r="F123" s="417"/>
      <c r="G123" s="416"/>
      <c r="H123" s="418"/>
      <c r="I123" s="419"/>
      <c r="J123" s="419"/>
      <c r="K123" s="418"/>
      <c r="L123" s="419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415"/>
      <c r="D124" s="416"/>
      <c r="E124" s="417"/>
      <c r="F124" s="417"/>
      <c r="G124" s="416"/>
      <c r="H124" s="418"/>
      <c r="I124" s="419"/>
      <c r="J124" s="419"/>
      <c r="K124" s="418"/>
      <c r="L124" s="419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415"/>
      <c r="D125" s="416"/>
      <c r="E125" s="417"/>
      <c r="F125" s="417"/>
      <c r="G125" s="416"/>
      <c r="H125" s="418"/>
      <c r="I125" s="419"/>
      <c r="J125" s="419"/>
      <c r="K125" s="418"/>
      <c r="L125" s="419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415"/>
      <c r="D126" s="416"/>
      <c r="E126" s="417"/>
      <c r="F126" s="417"/>
      <c r="G126" s="416"/>
      <c r="H126" s="418"/>
      <c r="I126" s="419"/>
      <c r="J126" s="419"/>
      <c r="K126" s="418"/>
      <c r="L126" s="419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415"/>
      <c r="D127" s="416"/>
      <c r="E127" s="417"/>
      <c r="F127" s="417"/>
      <c r="G127" s="416"/>
      <c r="H127" s="418"/>
      <c r="I127" s="419"/>
      <c r="J127" s="419"/>
      <c r="K127" s="418"/>
      <c r="L127" s="419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415"/>
      <c r="D128" s="416"/>
      <c r="E128" s="417"/>
      <c r="F128" s="417"/>
      <c r="G128" s="416"/>
      <c r="H128" s="418"/>
      <c r="I128" s="419"/>
      <c r="J128" s="419"/>
      <c r="K128" s="418"/>
      <c r="L128" s="419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415"/>
      <c r="D129" s="416"/>
      <c r="E129" s="417"/>
      <c r="F129" s="417"/>
      <c r="G129" s="416"/>
      <c r="H129" s="418"/>
      <c r="I129" s="419"/>
      <c r="J129" s="419"/>
      <c r="K129" s="418"/>
      <c r="L129" s="419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415"/>
      <c r="D130" s="416"/>
      <c r="E130" s="417"/>
      <c r="F130" s="417"/>
      <c r="G130" s="416"/>
      <c r="H130" s="418"/>
      <c r="I130" s="419"/>
      <c r="J130" s="419"/>
      <c r="K130" s="418"/>
      <c r="L130" s="419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415"/>
      <c r="D131" s="416"/>
      <c r="E131" s="417"/>
      <c r="F131" s="417"/>
      <c r="G131" s="416"/>
      <c r="H131" s="418"/>
      <c r="I131" s="419"/>
      <c r="J131" s="419"/>
      <c r="K131" s="418"/>
      <c r="L131" s="419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415"/>
      <c r="D132" s="416"/>
      <c r="E132" s="417"/>
      <c r="F132" s="417"/>
      <c r="G132" s="416"/>
      <c r="H132" s="418"/>
      <c r="I132" s="419"/>
      <c r="J132" s="419"/>
      <c r="K132" s="418"/>
      <c r="L132" s="419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415"/>
      <c r="D133" s="416"/>
      <c r="E133" s="417"/>
      <c r="F133" s="417"/>
      <c r="G133" s="416"/>
      <c r="H133" s="418"/>
      <c r="I133" s="419"/>
      <c r="J133" s="419"/>
      <c r="K133" s="418"/>
      <c r="L133" s="419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415"/>
      <c r="D134" s="416"/>
      <c r="E134" s="417"/>
      <c r="F134" s="417"/>
      <c r="G134" s="416"/>
      <c r="H134" s="418"/>
      <c r="I134" s="419"/>
      <c r="J134" s="419"/>
      <c r="K134" s="418"/>
      <c r="L134" s="419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415"/>
      <c r="D135" s="416"/>
      <c r="E135" s="417"/>
      <c r="F135" s="417"/>
      <c r="G135" s="416"/>
      <c r="H135" s="418"/>
      <c r="I135" s="419"/>
      <c r="J135" s="419"/>
      <c r="K135" s="418"/>
      <c r="L135" s="419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415"/>
      <c r="D136" s="416"/>
      <c r="E136" s="417"/>
      <c r="F136" s="417"/>
      <c r="G136" s="416"/>
      <c r="H136" s="418"/>
      <c r="I136" s="419"/>
      <c r="J136" s="419"/>
      <c r="K136" s="418"/>
      <c r="L136" s="419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415"/>
      <c r="D137" s="416"/>
      <c r="E137" s="417"/>
      <c r="F137" s="417"/>
      <c r="G137" s="416"/>
      <c r="H137" s="418"/>
      <c r="I137" s="419"/>
      <c r="J137" s="419"/>
      <c r="K137" s="418"/>
      <c r="L137" s="419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415"/>
      <c r="D138" s="416"/>
      <c r="E138" s="417"/>
      <c r="F138" s="417"/>
      <c r="G138" s="416"/>
      <c r="H138" s="418"/>
      <c r="I138" s="419"/>
      <c r="J138" s="419"/>
      <c r="K138" s="418"/>
      <c r="L138" s="419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415"/>
      <c r="D139" s="416"/>
      <c r="E139" s="417"/>
      <c r="F139" s="417"/>
      <c r="G139" s="416"/>
      <c r="H139" s="418"/>
      <c r="I139" s="419"/>
      <c r="J139" s="419"/>
      <c r="K139" s="418"/>
      <c r="L139" s="419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415"/>
      <c r="D140" s="416"/>
      <c r="E140" s="417"/>
      <c r="F140" s="417"/>
      <c r="G140" s="416"/>
      <c r="H140" s="418"/>
      <c r="I140" s="419"/>
      <c r="J140" s="419"/>
      <c r="K140" s="418"/>
      <c r="L140" s="419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415"/>
      <c r="D141" s="416"/>
      <c r="E141" s="417"/>
      <c r="F141" s="417"/>
      <c r="G141" s="416"/>
      <c r="H141" s="418"/>
      <c r="I141" s="419"/>
      <c r="J141" s="419"/>
      <c r="K141" s="418"/>
      <c r="L141" s="419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415"/>
      <c r="D142" s="416"/>
      <c r="E142" s="417"/>
      <c r="F142" s="417"/>
      <c r="G142" s="416"/>
      <c r="H142" s="418"/>
      <c r="I142" s="419"/>
      <c r="J142" s="419"/>
      <c r="K142" s="418"/>
      <c r="L142" s="419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415"/>
      <c r="D143" s="416"/>
      <c r="E143" s="417"/>
      <c r="F143" s="417"/>
      <c r="G143" s="416"/>
      <c r="H143" s="418"/>
      <c r="I143" s="419"/>
      <c r="J143" s="419"/>
      <c r="K143" s="418"/>
      <c r="L143" s="419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415"/>
      <c r="D144" s="416"/>
      <c r="E144" s="417"/>
      <c r="F144" s="417"/>
      <c r="G144" s="416"/>
      <c r="H144" s="418"/>
      <c r="I144" s="419"/>
      <c r="J144" s="419"/>
      <c r="K144" s="418"/>
      <c r="L144" s="419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415"/>
      <c r="D145" s="416"/>
      <c r="E145" s="417"/>
      <c r="F145" s="417"/>
      <c r="G145" s="416"/>
      <c r="H145" s="418"/>
      <c r="I145" s="419"/>
      <c r="J145" s="419"/>
      <c r="K145" s="418"/>
      <c r="L145" s="419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415"/>
      <c r="D146" s="416"/>
      <c r="E146" s="417"/>
      <c r="F146" s="417"/>
      <c r="G146" s="416"/>
      <c r="H146" s="418"/>
      <c r="I146" s="419"/>
      <c r="J146" s="419"/>
      <c r="K146" s="418"/>
      <c r="L146" s="419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415"/>
      <c r="D147" s="416"/>
      <c r="E147" s="417"/>
      <c r="F147" s="417"/>
      <c r="G147" s="416"/>
      <c r="H147" s="418"/>
      <c r="I147" s="419"/>
      <c r="J147" s="419"/>
      <c r="K147" s="418"/>
      <c r="L147" s="419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415"/>
      <c r="D148" s="416"/>
      <c r="E148" s="417"/>
      <c r="F148" s="417"/>
      <c r="G148" s="416"/>
      <c r="H148" s="418"/>
      <c r="I148" s="419"/>
      <c r="J148" s="419"/>
      <c r="K148" s="418"/>
      <c r="L148" s="419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415"/>
      <c r="D149" s="416"/>
      <c r="E149" s="417"/>
      <c r="F149" s="417"/>
      <c r="G149" s="416"/>
      <c r="H149" s="418"/>
      <c r="I149" s="419"/>
      <c r="J149" s="419"/>
      <c r="K149" s="418"/>
      <c r="L149" s="419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415"/>
      <c r="D150" s="416"/>
      <c r="E150" s="417"/>
      <c r="F150" s="417"/>
      <c r="G150" s="416"/>
      <c r="H150" s="418"/>
      <c r="I150" s="419"/>
      <c r="J150" s="419"/>
      <c r="K150" s="418"/>
      <c r="L150" s="419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415"/>
      <c r="D151" s="416"/>
      <c r="E151" s="417"/>
      <c r="F151" s="417"/>
      <c r="G151" s="416"/>
      <c r="H151" s="418"/>
      <c r="I151" s="419"/>
      <c r="J151" s="419"/>
      <c r="K151" s="418"/>
      <c r="L151" s="419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415"/>
      <c r="D152" s="416"/>
      <c r="E152" s="417"/>
      <c r="F152" s="417"/>
      <c r="G152" s="416"/>
      <c r="H152" s="418"/>
      <c r="I152" s="419"/>
      <c r="J152" s="419"/>
      <c r="K152" s="418"/>
      <c r="L152" s="419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415"/>
      <c r="D153" s="416"/>
      <c r="E153" s="417"/>
      <c r="F153" s="417"/>
      <c r="G153" s="416"/>
      <c r="H153" s="418"/>
      <c r="I153" s="419"/>
      <c r="J153" s="419"/>
      <c r="K153" s="418"/>
      <c r="L153" s="419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415"/>
      <c r="D154" s="416"/>
      <c r="E154" s="417"/>
      <c r="F154" s="417"/>
      <c r="G154" s="416"/>
      <c r="H154" s="418"/>
      <c r="I154" s="419"/>
      <c r="J154" s="419"/>
      <c r="K154" s="418"/>
      <c r="L154" s="419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415"/>
      <c r="D155" s="416"/>
      <c r="E155" s="417"/>
      <c r="F155" s="417"/>
      <c r="G155" s="416"/>
      <c r="H155" s="418"/>
      <c r="I155" s="419"/>
      <c r="J155" s="419"/>
      <c r="K155" s="418"/>
      <c r="L155" s="419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415"/>
      <c r="D156" s="416"/>
      <c r="E156" s="417"/>
      <c r="F156" s="417"/>
      <c r="G156" s="416"/>
      <c r="H156" s="418"/>
      <c r="I156" s="419"/>
      <c r="J156" s="419"/>
      <c r="K156" s="418"/>
      <c r="L156" s="419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415"/>
      <c r="D157" s="416"/>
      <c r="E157" s="417"/>
      <c r="F157" s="417"/>
      <c r="G157" s="416"/>
      <c r="H157" s="418"/>
      <c r="I157" s="419"/>
      <c r="J157" s="419"/>
      <c r="K157" s="418"/>
      <c r="L157" s="419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415"/>
      <c r="D158" s="416"/>
      <c r="E158" s="417"/>
      <c r="F158" s="417"/>
      <c r="G158" s="416"/>
      <c r="H158" s="418"/>
      <c r="I158" s="419"/>
      <c r="J158" s="419"/>
      <c r="K158" s="418"/>
      <c r="L158" s="419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415"/>
      <c r="D159" s="416"/>
      <c r="E159" s="417"/>
      <c r="F159" s="417"/>
      <c r="G159" s="416"/>
      <c r="H159" s="418"/>
      <c r="I159" s="419"/>
      <c r="J159" s="419"/>
      <c r="K159" s="418"/>
      <c r="L159" s="419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415"/>
      <c r="D160" s="416"/>
      <c r="E160" s="417"/>
      <c r="F160" s="417"/>
      <c r="G160" s="416"/>
      <c r="H160" s="418"/>
      <c r="I160" s="419"/>
      <c r="J160" s="419"/>
      <c r="K160" s="418"/>
      <c r="L160" s="419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415"/>
      <c r="D161" s="416"/>
      <c r="E161" s="417"/>
      <c r="F161" s="417"/>
      <c r="G161" s="416"/>
      <c r="H161" s="418"/>
      <c r="I161" s="419"/>
      <c r="J161" s="419"/>
      <c r="K161" s="418"/>
      <c r="L161" s="419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415"/>
      <c r="D162" s="416"/>
      <c r="E162" s="417"/>
      <c r="F162" s="417"/>
      <c r="G162" s="416"/>
      <c r="H162" s="418"/>
      <c r="I162" s="419"/>
      <c r="J162" s="419"/>
      <c r="K162" s="418"/>
      <c r="L162" s="419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415"/>
      <c r="D163" s="416"/>
      <c r="E163" s="417"/>
      <c r="F163" s="417"/>
      <c r="G163" s="416"/>
      <c r="H163" s="418"/>
      <c r="I163" s="419"/>
      <c r="J163" s="419"/>
      <c r="K163" s="418"/>
      <c r="L163" s="419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415"/>
      <c r="D164" s="416"/>
      <c r="E164" s="417"/>
      <c r="F164" s="417"/>
      <c r="G164" s="416"/>
      <c r="H164" s="418"/>
      <c r="I164" s="419"/>
      <c r="J164" s="419"/>
      <c r="K164" s="418"/>
      <c r="L164" s="419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415"/>
      <c r="D165" s="416"/>
      <c r="E165" s="417"/>
      <c r="F165" s="417"/>
      <c r="G165" s="416"/>
      <c r="H165" s="418"/>
      <c r="I165" s="419"/>
      <c r="J165" s="419"/>
      <c r="K165" s="418"/>
      <c r="L165" s="419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415"/>
      <c r="D166" s="416"/>
      <c r="E166" s="417"/>
      <c r="F166" s="417"/>
      <c r="G166" s="416"/>
      <c r="H166" s="418"/>
      <c r="I166" s="419"/>
      <c r="J166" s="419"/>
      <c r="K166" s="418"/>
      <c r="L166" s="419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415"/>
      <c r="D167" s="416"/>
      <c r="E167" s="417"/>
      <c r="F167" s="417"/>
      <c r="G167" s="416"/>
      <c r="H167" s="418"/>
      <c r="I167" s="419"/>
      <c r="J167" s="419"/>
      <c r="K167" s="418"/>
      <c r="L167" s="419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415"/>
      <c r="D168" s="416"/>
      <c r="E168" s="417"/>
      <c r="F168" s="417"/>
      <c r="G168" s="416"/>
      <c r="H168" s="418"/>
      <c r="I168" s="419"/>
      <c r="J168" s="419"/>
      <c r="K168" s="418"/>
      <c r="L168" s="419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415"/>
      <c r="D169" s="416"/>
      <c r="E169" s="417"/>
      <c r="F169" s="417"/>
      <c r="G169" s="416"/>
      <c r="H169" s="418"/>
      <c r="I169" s="419"/>
      <c r="J169" s="419"/>
      <c r="K169" s="418"/>
      <c r="L169" s="419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415"/>
      <c r="D170" s="416"/>
      <c r="E170" s="417"/>
      <c r="F170" s="417"/>
      <c r="G170" s="416"/>
      <c r="H170" s="418"/>
      <c r="I170" s="419"/>
      <c r="J170" s="419"/>
      <c r="K170" s="418"/>
      <c r="L170" s="419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415"/>
      <c r="D171" s="416"/>
      <c r="E171" s="417"/>
      <c r="F171" s="417"/>
      <c r="G171" s="416"/>
      <c r="H171" s="418"/>
      <c r="I171" s="419"/>
      <c r="J171" s="419"/>
      <c r="K171" s="418"/>
      <c r="L171" s="419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415"/>
      <c r="D172" s="416"/>
      <c r="E172" s="417"/>
      <c r="F172" s="417"/>
      <c r="G172" s="416"/>
      <c r="H172" s="418"/>
      <c r="I172" s="419"/>
      <c r="J172" s="419"/>
      <c r="K172" s="418"/>
      <c r="L172" s="419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415"/>
      <c r="D173" s="416"/>
      <c r="E173" s="417"/>
      <c r="F173" s="417"/>
      <c r="G173" s="416"/>
      <c r="H173" s="418"/>
      <c r="I173" s="419"/>
      <c r="J173" s="419"/>
      <c r="K173" s="418"/>
      <c r="L173" s="419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415"/>
      <c r="D174" s="416"/>
      <c r="E174" s="417"/>
      <c r="F174" s="417"/>
      <c r="G174" s="416"/>
      <c r="H174" s="418"/>
      <c r="I174" s="419"/>
      <c r="J174" s="419"/>
      <c r="K174" s="418"/>
      <c r="L174" s="419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415"/>
      <c r="D175" s="416"/>
      <c r="E175" s="417"/>
      <c r="F175" s="417"/>
      <c r="G175" s="416"/>
      <c r="H175" s="418"/>
      <c r="I175" s="419"/>
      <c r="J175" s="419"/>
      <c r="K175" s="418"/>
      <c r="L175" s="419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415"/>
      <c r="D176" s="416"/>
      <c r="E176" s="417"/>
      <c r="F176" s="417"/>
      <c r="G176" s="416"/>
      <c r="H176" s="418"/>
      <c r="I176" s="419"/>
      <c r="J176" s="419"/>
      <c r="K176" s="418"/>
      <c r="L176" s="419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415"/>
      <c r="D177" s="416"/>
      <c r="E177" s="417"/>
      <c r="F177" s="417"/>
      <c r="G177" s="416"/>
      <c r="H177" s="418"/>
      <c r="I177" s="419"/>
      <c r="J177" s="419"/>
      <c r="K177" s="418"/>
      <c r="L177" s="419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415"/>
      <c r="D178" s="416"/>
      <c r="E178" s="417"/>
      <c r="F178" s="417"/>
      <c r="G178" s="416"/>
      <c r="H178" s="418"/>
      <c r="I178" s="419"/>
      <c r="J178" s="419"/>
      <c r="K178" s="418"/>
      <c r="L178" s="419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415"/>
      <c r="D179" s="416"/>
      <c r="E179" s="417"/>
      <c r="F179" s="417"/>
      <c r="G179" s="416"/>
      <c r="H179" s="418"/>
      <c r="I179" s="419"/>
      <c r="J179" s="419"/>
      <c r="K179" s="418"/>
      <c r="L179" s="419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415"/>
      <c r="D180" s="416"/>
      <c r="E180" s="417"/>
      <c r="F180" s="417"/>
      <c r="G180" s="416"/>
      <c r="H180" s="418"/>
      <c r="I180" s="419"/>
      <c r="J180" s="419"/>
      <c r="K180" s="418"/>
      <c r="L180" s="419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415"/>
      <c r="D181" s="416"/>
      <c r="E181" s="417"/>
      <c r="F181" s="417"/>
      <c r="G181" s="416"/>
      <c r="H181" s="418"/>
      <c r="I181" s="419"/>
      <c r="J181" s="419"/>
      <c r="K181" s="418"/>
      <c r="L181" s="419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415"/>
      <c r="D182" s="416"/>
      <c r="E182" s="417"/>
      <c r="F182" s="417"/>
      <c r="G182" s="416"/>
      <c r="H182" s="418"/>
      <c r="I182" s="419"/>
      <c r="J182" s="419"/>
      <c r="K182" s="418"/>
      <c r="L182" s="419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415"/>
      <c r="D183" s="416"/>
      <c r="E183" s="417"/>
      <c r="F183" s="417"/>
      <c r="G183" s="416"/>
      <c r="H183" s="418"/>
      <c r="I183" s="419"/>
      <c r="J183" s="419"/>
      <c r="K183" s="418"/>
      <c r="L183" s="419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415"/>
      <c r="D184" s="416"/>
      <c r="E184" s="417"/>
      <c r="F184" s="417"/>
      <c r="G184" s="416"/>
      <c r="H184" s="418"/>
      <c r="I184" s="419"/>
      <c r="J184" s="419"/>
      <c r="K184" s="418"/>
      <c r="L184" s="419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415"/>
      <c r="D185" s="416"/>
      <c r="E185" s="417"/>
      <c r="F185" s="417"/>
      <c r="G185" s="416"/>
      <c r="H185" s="418"/>
      <c r="I185" s="419"/>
      <c r="J185" s="419"/>
      <c r="K185" s="418"/>
      <c r="L185" s="419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415"/>
      <c r="D186" s="416"/>
      <c r="E186" s="417"/>
      <c r="F186" s="417"/>
      <c r="G186" s="416"/>
      <c r="H186" s="418"/>
      <c r="I186" s="419"/>
      <c r="J186" s="419"/>
      <c r="K186" s="418"/>
      <c r="L186" s="419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415"/>
      <c r="D187" s="416"/>
      <c r="E187" s="417"/>
      <c r="F187" s="417"/>
      <c r="G187" s="416"/>
      <c r="H187" s="418"/>
      <c r="I187" s="419"/>
      <c r="J187" s="419"/>
      <c r="K187" s="418"/>
      <c r="L187" s="419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415"/>
      <c r="D188" s="416"/>
      <c r="E188" s="417"/>
      <c r="F188" s="417"/>
      <c r="G188" s="416"/>
      <c r="H188" s="418"/>
      <c r="I188" s="419"/>
      <c r="J188" s="419"/>
      <c r="K188" s="418"/>
      <c r="L188" s="419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415"/>
      <c r="D189" s="416"/>
      <c r="E189" s="417"/>
      <c r="F189" s="417"/>
      <c r="G189" s="416"/>
      <c r="H189" s="418"/>
      <c r="I189" s="419"/>
      <c r="J189" s="419"/>
      <c r="K189" s="418"/>
      <c r="L189" s="419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415"/>
      <c r="D190" s="416"/>
      <c r="E190" s="417"/>
      <c r="F190" s="417"/>
      <c r="G190" s="416"/>
      <c r="H190" s="418"/>
      <c r="I190" s="419"/>
      <c r="J190" s="419"/>
      <c r="K190" s="418"/>
      <c r="L190" s="419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415"/>
      <c r="D191" s="416"/>
      <c r="E191" s="417"/>
      <c r="F191" s="417"/>
      <c r="G191" s="416"/>
      <c r="H191" s="418"/>
      <c r="I191" s="419"/>
      <c r="J191" s="419"/>
      <c r="K191" s="418"/>
      <c r="L191" s="419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415"/>
      <c r="D192" s="416"/>
      <c r="E192" s="417"/>
      <c r="F192" s="417"/>
      <c r="G192" s="416"/>
      <c r="H192" s="418"/>
      <c r="I192" s="419"/>
      <c r="J192" s="419"/>
      <c r="K192" s="418"/>
      <c r="L192" s="419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415"/>
      <c r="D193" s="416"/>
      <c r="E193" s="417"/>
      <c r="F193" s="417"/>
      <c r="G193" s="416"/>
      <c r="H193" s="418"/>
      <c r="I193" s="419"/>
      <c r="J193" s="419"/>
      <c r="K193" s="418"/>
      <c r="L193" s="419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415"/>
      <c r="D194" s="416"/>
      <c r="E194" s="417"/>
      <c r="F194" s="417"/>
      <c r="G194" s="416"/>
      <c r="H194" s="418"/>
      <c r="I194" s="419"/>
      <c r="J194" s="419"/>
      <c r="K194" s="418"/>
      <c r="L194" s="419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415"/>
      <c r="D195" s="416"/>
      <c r="E195" s="417"/>
      <c r="F195" s="417"/>
      <c r="G195" s="416"/>
      <c r="H195" s="418"/>
      <c r="I195" s="419"/>
      <c r="J195" s="419"/>
      <c r="K195" s="418"/>
      <c r="L195" s="419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415"/>
      <c r="D196" s="416"/>
      <c r="E196" s="417"/>
      <c r="F196" s="417"/>
      <c r="G196" s="416"/>
      <c r="H196" s="418"/>
      <c r="I196" s="419"/>
      <c r="J196" s="419"/>
      <c r="K196" s="418"/>
      <c r="L196" s="419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415"/>
      <c r="D197" s="416"/>
      <c r="E197" s="417"/>
      <c r="F197" s="417"/>
      <c r="G197" s="416"/>
      <c r="H197" s="418"/>
      <c r="I197" s="419"/>
      <c r="J197" s="419"/>
      <c r="K197" s="418"/>
      <c r="L197" s="419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415"/>
      <c r="D198" s="416"/>
      <c r="E198" s="417"/>
      <c r="F198" s="417"/>
      <c r="G198" s="416"/>
      <c r="H198" s="418"/>
      <c r="I198" s="419"/>
      <c r="J198" s="419"/>
      <c r="K198" s="418"/>
      <c r="L198" s="419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415"/>
      <c r="D199" s="416"/>
      <c r="E199" s="417"/>
      <c r="F199" s="417"/>
      <c r="G199" s="416"/>
      <c r="H199" s="418"/>
      <c r="I199" s="419"/>
      <c r="J199" s="419"/>
      <c r="K199" s="418"/>
      <c r="L199" s="419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415"/>
      <c r="D200" s="416"/>
      <c r="E200" s="417"/>
      <c r="F200" s="417"/>
      <c r="G200" s="416"/>
      <c r="H200" s="418"/>
      <c r="I200" s="419"/>
      <c r="J200" s="419"/>
      <c r="K200" s="418"/>
      <c r="L200" s="419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415"/>
      <c r="D201" s="416"/>
      <c r="E201" s="417"/>
      <c r="F201" s="417"/>
      <c r="G201" s="416"/>
      <c r="H201" s="418"/>
      <c r="I201" s="419"/>
      <c r="J201" s="419"/>
      <c r="K201" s="418"/>
      <c r="L201" s="419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415"/>
      <c r="D202" s="416"/>
      <c r="E202" s="417"/>
      <c r="F202" s="417"/>
      <c r="G202" s="416"/>
      <c r="H202" s="418"/>
      <c r="I202" s="419"/>
      <c r="J202" s="419"/>
      <c r="K202" s="418"/>
      <c r="L202" s="419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415"/>
      <c r="D203" s="416"/>
      <c r="E203" s="417"/>
      <c r="F203" s="417"/>
      <c r="G203" s="416"/>
      <c r="H203" s="418"/>
      <c r="I203" s="419"/>
      <c r="J203" s="419"/>
      <c r="K203" s="418"/>
      <c r="L203" s="419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415"/>
      <c r="D204" s="416"/>
      <c r="E204" s="417"/>
      <c r="F204" s="417"/>
      <c r="G204" s="416"/>
      <c r="H204" s="418"/>
      <c r="I204" s="419"/>
      <c r="J204" s="419"/>
      <c r="K204" s="418"/>
      <c r="L204" s="419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415"/>
      <c r="D205" s="416"/>
      <c r="E205" s="417"/>
      <c r="F205" s="417"/>
      <c r="G205" s="416"/>
      <c r="H205" s="418"/>
      <c r="I205" s="419"/>
      <c r="J205" s="419"/>
      <c r="K205" s="418"/>
      <c r="L205" s="419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415"/>
      <c r="D206" s="416"/>
      <c r="E206" s="417"/>
      <c r="F206" s="417"/>
      <c r="G206" s="416"/>
      <c r="H206" s="418"/>
      <c r="I206" s="419"/>
      <c r="J206" s="419"/>
      <c r="K206" s="418"/>
      <c r="L206" s="419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415"/>
      <c r="D207" s="416"/>
      <c r="E207" s="417"/>
      <c r="F207" s="417"/>
      <c r="G207" s="416"/>
      <c r="H207" s="418"/>
      <c r="I207" s="419"/>
      <c r="J207" s="419"/>
      <c r="K207" s="418"/>
      <c r="L207" s="419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415"/>
      <c r="D208" s="416"/>
      <c r="E208" s="417"/>
      <c r="F208" s="417"/>
      <c r="G208" s="416"/>
      <c r="H208" s="418"/>
      <c r="I208" s="419"/>
      <c r="J208" s="419"/>
      <c r="K208" s="418"/>
      <c r="L208" s="419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415"/>
      <c r="D209" s="416"/>
      <c r="E209" s="417"/>
      <c r="F209" s="417"/>
      <c r="G209" s="416"/>
      <c r="H209" s="418"/>
      <c r="I209" s="419"/>
      <c r="J209" s="419"/>
      <c r="K209" s="418"/>
      <c r="L209" s="419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415"/>
      <c r="D210" s="416"/>
      <c r="E210" s="417"/>
      <c r="F210" s="417"/>
      <c r="G210" s="416"/>
      <c r="H210" s="418"/>
      <c r="I210" s="419"/>
      <c r="J210" s="419"/>
      <c r="K210" s="418"/>
      <c r="L210" s="419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415"/>
      <c r="D211" s="416"/>
      <c r="E211" s="417"/>
      <c r="F211" s="417"/>
      <c r="G211" s="416"/>
      <c r="H211" s="418"/>
      <c r="I211" s="419"/>
      <c r="J211" s="419"/>
      <c r="K211" s="418"/>
      <c r="L211" s="419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415"/>
      <c r="D212" s="416"/>
      <c r="E212" s="417"/>
      <c r="F212" s="417"/>
      <c r="G212" s="416"/>
      <c r="H212" s="418"/>
      <c r="I212" s="419"/>
      <c r="J212" s="419"/>
      <c r="K212" s="418"/>
      <c r="L212" s="419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415"/>
      <c r="D213" s="416"/>
      <c r="E213" s="417"/>
      <c r="F213" s="417"/>
      <c r="G213" s="416"/>
      <c r="H213" s="418"/>
      <c r="I213" s="419"/>
      <c r="J213" s="419"/>
      <c r="K213" s="418"/>
      <c r="L213" s="419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415"/>
      <c r="D214" s="416"/>
      <c r="E214" s="417"/>
      <c r="F214" s="417"/>
      <c r="G214" s="416"/>
      <c r="H214" s="418"/>
      <c r="I214" s="419"/>
      <c r="J214" s="419"/>
      <c r="K214" s="418"/>
      <c r="L214" s="419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415"/>
      <c r="D215" s="416"/>
      <c r="E215" s="417"/>
      <c r="F215" s="417"/>
      <c r="G215" s="416"/>
      <c r="H215" s="418"/>
      <c r="I215" s="419"/>
      <c r="J215" s="419"/>
      <c r="K215" s="418"/>
      <c r="L215" s="419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415"/>
      <c r="D216" s="416"/>
      <c r="E216" s="417"/>
      <c r="F216" s="417"/>
      <c r="G216" s="416"/>
      <c r="H216" s="418"/>
      <c r="I216" s="419"/>
      <c r="J216" s="419"/>
      <c r="K216" s="418"/>
      <c r="L216" s="419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415"/>
      <c r="D217" s="416"/>
      <c r="E217" s="417"/>
      <c r="F217" s="417"/>
      <c r="G217" s="416"/>
      <c r="H217" s="418"/>
      <c r="I217" s="419"/>
      <c r="J217" s="419"/>
      <c r="K217" s="418"/>
      <c r="L217" s="419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415"/>
      <c r="D218" s="416"/>
      <c r="E218" s="417"/>
      <c r="F218" s="417"/>
      <c r="G218" s="416"/>
      <c r="H218" s="418"/>
      <c r="I218" s="419"/>
      <c r="J218" s="419"/>
      <c r="K218" s="418"/>
      <c r="L218" s="419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415"/>
      <c r="D219" s="416"/>
      <c r="E219" s="417"/>
      <c r="F219" s="417"/>
      <c r="G219" s="416"/>
      <c r="H219" s="418"/>
      <c r="I219" s="419"/>
      <c r="J219" s="419"/>
      <c r="K219" s="418"/>
      <c r="L219" s="419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415"/>
      <c r="D220" s="416"/>
      <c r="E220" s="417"/>
      <c r="F220" s="417"/>
      <c r="G220" s="416"/>
      <c r="H220" s="418"/>
      <c r="I220" s="419"/>
      <c r="J220" s="419"/>
      <c r="K220" s="418"/>
      <c r="L220" s="419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415"/>
      <c r="D221" s="416"/>
      <c r="E221" s="417"/>
      <c r="F221" s="417"/>
      <c r="G221" s="416"/>
      <c r="H221" s="418"/>
      <c r="I221" s="419"/>
      <c r="J221" s="419"/>
      <c r="K221" s="418"/>
      <c r="L221" s="419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415"/>
      <c r="D222" s="416"/>
      <c r="E222" s="417"/>
      <c r="F222" s="417"/>
      <c r="G222" s="416"/>
      <c r="H222" s="418"/>
      <c r="I222" s="419"/>
      <c r="J222" s="419"/>
      <c r="K222" s="418"/>
      <c r="L222" s="419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415"/>
      <c r="D223" s="416"/>
      <c r="E223" s="417"/>
      <c r="F223" s="417"/>
      <c r="G223" s="416"/>
      <c r="H223" s="418"/>
      <c r="I223" s="419"/>
      <c r="J223" s="419"/>
      <c r="K223" s="418"/>
      <c r="L223" s="419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415"/>
      <c r="D224" s="416"/>
      <c r="E224" s="417"/>
      <c r="F224" s="417"/>
      <c r="G224" s="416"/>
      <c r="H224" s="418"/>
      <c r="I224" s="419"/>
      <c r="J224" s="419"/>
      <c r="K224" s="418"/>
      <c r="L224" s="419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415"/>
      <c r="D225" s="416"/>
      <c r="E225" s="417"/>
      <c r="F225" s="417"/>
      <c r="G225" s="416"/>
      <c r="H225" s="418"/>
      <c r="I225" s="419"/>
      <c r="J225" s="419"/>
      <c r="K225" s="418"/>
      <c r="L225" s="419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415"/>
      <c r="D226" s="416"/>
      <c r="E226" s="417"/>
      <c r="F226" s="417"/>
      <c r="G226" s="416"/>
      <c r="H226" s="418"/>
      <c r="I226" s="419"/>
      <c r="J226" s="419"/>
      <c r="K226" s="418"/>
      <c r="L226" s="419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415"/>
      <c r="D227" s="416"/>
      <c r="E227" s="417"/>
      <c r="F227" s="417"/>
      <c r="G227" s="416"/>
      <c r="H227" s="418"/>
      <c r="I227" s="419"/>
      <c r="J227" s="419"/>
      <c r="K227" s="418"/>
      <c r="L227" s="419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415"/>
      <c r="D228" s="416"/>
      <c r="E228" s="417"/>
      <c r="F228" s="417"/>
      <c r="G228" s="416"/>
      <c r="H228" s="418"/>
      <c r="I228" s="419"/>
      <c r="J228" s="419"/>
      <c r="K228" s="418"/>
      <c r="L228" s="419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415"/>
      <c r="D229" s="416"/>
      <c r="E229" s="417"/>
      <c r="F229" s="417"/>
      <c r="G229" s="416"/>
      <c r="H229" s="418"/>
      <c r="I229" s="419"/>
      <c r="J229" s="419"/>
      <c r="K229" s="418"/>
      <c r="L229" s="419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415"/>
      <c r="D230" s="416"/>
      <c r="E230" s="417"/>
      <c r="F230" s="417"/>
      <c r="G230" s="416"/>
      <c r="H230" s="418"/>
      <c r="I230" s="419"/>
      <c r="J230" s="419"/>
      <c r="K230" s="418"/>
      <c r="L230" s="419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415"/>
      <c r="D231" s="416"/>
      <c r="E231" s="417"/>
      <c r="F231" s="417"/>
      <c r="G231" s="416"/>
      <c r="H231" s="418"/>
      <c r="I231" s="419"/>
      <c r="J231" s="419"/>
      <c r="K231" s="418"/>
      <c r="L231" s="419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415"/>
      <c r="D232" s="416"/>
      <c r="E232" s="417"/>
      <c r="F232" s="417"/>
      <c r="G232" s="416"/>
      <c r="H232" s="418"/>
      <c r="I232" s="419"/>
      <c r="J232" s="419"/>
      <c r="K232" s="418"/>
      <c r="L232" s="419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415"/>
      <c r="D233" s="416"/>
      <c r="E233" s="417"/>
      <c r="F233" s="417"/>
      <c r="G233" s="416"/>
      <c r="H233" s="418"/>
      <c r="I233" s="419"/>
      <c r="J233" s="419"/>
      <c r="K233" s="418"/>
      <c r="L233" s="419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415"/>
      <c r="D234" s="416"/>
      <c r="E234" s="417"/>
      <c r="F234" s="417"/>
      <c r="G234" s="416"/>
      <c r="H234" s="418"/>
      <c r="I234" s="419"/>
      <c r="J234" s="419"/>
      <c r="K234" s="418"/>
      <c r="L234" s="419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415"/>
      <c r="D235" s="416"/>
      <c r="E235" s="417"/>
      <c r="F235" s="417"/>
      <c r="G235" s="416"/>
      <c r="H235" s="418"/>
      <c r="I235" s="419"/>
      <c r="J235" s="419"/>
      <c r="K235" s="418"/>
      <c r="L235" s="419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415"/>
      <c r="D236" s="416"/>
      <c r="E236" s="417"/>
      <c r="F236" s="417"/>
      <c r="G236" s="416"/>
      <c r="H236" s="418"/>
      <c r="I236" s="419"/>
      <c r="J236" s="419"/>
      <c r="K236" s="418"/>
      <c r="L236" s="419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415"/>
      <c r="D237" s="416"/>
      <c r="E237" s="417"/>
      <c r="F237" s="417"/>
      <c r="G237" s="416"/>
      <c r="H237" s="418"/>
      <c r="I237" s="419"/>
      <c r="J237" s="419"/>
      <c r="K237" s="418"/>
      <c r="L237" s="419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415"/>
      <c r="D238" s="416"/>
      <c r="E238" s="417"/>
      <c r="F238" s="417"/>
      <c r="G238" s="416"/>
      <c r="H238" s="418"/>
      <c r="I238" s="419"/>
      <c r="J238" s="419"/>
      <c r="K238" s="418"/>
      <c r="L238" s="419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415"/>
      <c r="D239" s="416"/>
      <c r="E239" s="417"/>
      <c r="F239" s="417"/>
      <c r="G239" s="416"/>
      <c r="H239" s="418"/>
      <c r="I239" s="419"/>
      <c r="J239" s="419"/>
      <c r="K239" s="418"/>
      <c r="L239" s="419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415"/>
      <c r="D240" s="416"/>
      <c r="E240" s="417"/>
      <c r="F240" s="417"/>
      <c r="G240" s="416"/>
      <c r="H240" s="418"/>
      <c r="I240" s="419"/>
      <c r="J240" s="419"/>
      <c r="K240" s="418"/>
      <c r="L240" s="419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415"/>
      <c r="D241" s="416"/>
      <c r="E241" s="417"/>
      <c r="F241" s="417"/>
      <c r="G241" s="416"/>
      <c r="H241" s="418"/>
      <c r="I241" s="419"/>
      <c r="J241" s="419"/>
      <c r="K241" s="418"/>
      <c r="L241" s="419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415"/>
      <c r="D242" s="416"/>
      <c r="E242" s="417"/>
      <c r="F242" s="417"/>
      <c r="G242" s="416"/>
      <c r="H242" s="418"/>
      <c r="I242" s="419"/>
      <c r="J242" s="419"/>
      <c r="K242" s="418"/>
      <c r="L242" s="419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415"/>
      <c r="D243" s="416"/>
      <c r="E243" s="417"/>
      <c r="F243" s="417"/>
      <c r="G243" s="416"/>
      <c r="H243" s="418"/>
      <c r="I243" s="419"/>
      <c r="J243" s="419"/>
      <c r="K243" s="418"/>
      <c r="L243" s="419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415"/>
      <c r="D244" s="416"/>
      <c r="E244" s="417"/>
      <c r="F244" s="417"/>
      <c r="G244" s="416"/>
      <c r="H244" s="418"/>
      <c r="I244" s="419"/>
      <c r="J244" s="419"/>
      <c r="K244" s="418"/>
      <c r="L244" s="419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415"/>
      <c r="D245" s="416"/>
      <c r="E245" s="417"/>
      <c r="F245" s="417"/>
      <c r="G245" s="416"/>
      <c r="H245" s="418"/>
      <c r="I245" s="419"/>
      <c r="J245" s="419"/>
      <c r="K245" s="418"/>
      <c r="L245" s="419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415"/>
      <c r="D246" s="416"/>
      <c r="E246" s="417"/>
      <c r="F246" s="417"/>
      <c r="G246" s="416"/>
      <c r="H246" s="418"/>
      <c r="I246" s="419"/>
      <c r="J246" s="419"/>
      <c r="K246" s="418"/>
      <c r="L246" s="419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415"/>
      <c r="D247" s="416"/>
      <c r="E247" s="417"/>
      <c r="F247" s="417"/>
      <c r="G247" s="416"/>
      <c r="H247" s="418"/>
      <c r="I247" s="419"/>
      <c r="J247" s="419"/>
      <c r="K247" s="418"/>
      <c r="L247" s="419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415"/>
      <c r="D248" s="416"/>
      <c r="E248" s="417"/>
      <c r="F248" s="417"/>
      <c r="G248" s="416"/>
      <c r="H248" s="418"/>
      <c r="I248" s="419"/>
      <c r="J248" s="419"/>
      <c r="K248" s="418"/>
      <c r="L248" s="419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415"/>
      <c r="D249" s="416"/>
      <c r="E249" s="417"/>
      <c r="F249" s="417"/>
      <c r="G249" s="416"/>
      <c r="H249" s="418"/>
      <c r="I249" s="419"/>
      <c r="J249" s="419"/>
      <c r="K249" s="418"/>
      <c r="L249" s="419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415"/>
      <c r="D250" s="416"/>
      <c r="E250" s="417"/>
      <c r="F250" s="417"/>
      <c r="G250" s="416"/>
      <c r="H250" s="418"/>
      <c r="I250" s="419"/>
      <c r="J250" s="419"/>
      <c r="K250" s="418"/>
      <c r="L250" s="419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415"/>
      <c r="D251" s="416"/>
      <c r="E251" s="417"/>
      <c r="F251" s="417"/>
      <c r="G251" s="416"/>
      <c r="H251" s="418"/>
      <c r="I251" s="419"/>
      <c r="J251" s="419"/>
      <c r="K251" s="418"/>
      <c r="L251" s="419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autoFilter ref="$A$1:$Z$1014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11.43"/>
    <col customWidth="1" min="3" max="3" width="45.71"/>
    <col customWidth="1" min="4" max="4" width="17.57"/>
    <col customWidth="1" min="5" max="5" width="8.57"/>
    <col customWidth="1" min="6" max="6" width="7.71"/>
    <col customWidth="1" min="7" max="7" width="5.86"/>
    <col customWidth="1" min="8" max="8" width="6.43"/>
    <col customWidth="1" min="9" max="37" width="12.57"/>
  </cols>
  <sheetData>
    <row r="1" ht="42.0" customHeight="1">
      <c r="A1" s="420" t="s">
        <v>161</v>
      </c>
      <c r="B1" s="420" t="s">
        <v>239</v>
      </c>
      <c r="C1" s="420" t="s">
        <v>162</v>
      </c>
      <c r="D1" s="421" t="s">
        <v>240</v>
      </c>
      <c r="E1" s="422" t="s">
        <v>241</v>
      </c>
      <c r="F1" s="422" t="s">
        <v>242</v>
      </c>
      <c r="G1" s="422" t="s">
        <v>243</v>
      </c>
      <c r="H1" s="422" t="s">
        <v>244</v>
      </c>
      <c r="I1" s="422" t="s">
        <v>245</v>
      </c>
      <c r="J1" s="422" t="s">
        <v>246</v>
      </c>
      <c r="K1" s="422" t="s">
        <v>247</v>
      </c>
      <c r="L1" s="422" t="s">
        <v>248</v>
      </c>
      <c r="M1" s="422" t="s">
        <v>249</v>
      </c>
      <c r="N1" s="422" t="s">
        <v>250</v>
      </c>
      <c r="O1" s="422" t="s">
        <v>251</v>
      </c>
      <c r="P1" s="422" t="s">
        <v>252</v>
      </c>
      <c r="Q1" s="420"/>
      <c r="R1" s="420"/>
      <c r="S1" s="420"/>
      <c r="T1" s="420"/>
      <c r="U1" s="420"/>
      <c r="V1" s="420"/>
      <c r="W1" s="420"/>
      <c r="X1" s="420"/>
      <c r="Y1" s="420"/>
      <c r="Z1" s="420"/>
      <c r="AA1" s="420"/>
      <c r="AB1" s="420"/>
      <c r="AC1" s="420"/>
      <c r="AD1" s="420"/>
      <c r="AE1" s="420"/>
      <c r="AF1" s="420"/>
      <c r="AG1" s="420"/>
      <c r="AH1" s="420"/>
      <c r="AI1" s="420"/>
      <c r="AJ1" s="420"/>
      <c r="AK1" s="420"/>
    </row>
    <row r="2" ht="15.75" customHeight="1">
      <c r="A2" s="423" t="s">
        <v>106</v>
      </c>
      <c r="B2" s="423">
        <v>4.84343485E8</v>
      </c>
      <c r="C2" s="423" t="s">
        <v>253</v>
      </c>
      <c r="D2" s="424">
        <v>8.809695679544E12</v>
      </c>
      <c r="E2" s="425">
        <v>875151.0</v>
      </c>
      <c r="F2" s="425">
        <v>457.0</v>
      </c>
      <c r="G2" s="425">
        <v>71.1</v>
      </c>
      <c r="H2" s="425">
        <v>625.0</v>
      </c>
      <c r="I2" s="425">
        <v>1929.0</v>
      </c>
      <c r="J2" s="425">
        <v>880.0</v>
      </c>
      <c r="K2" s="425">
        <v>39.7</v>
      </c>
      <c r="L2" s="425" t="s">
        <v>254</v>
      </c>
      <c r="M2" s="425" t="s">
        <v>255</v>
      </c>
      <c r="N2" s="425" t="s">
        <v>256</v>
      </c>
      <c r="O2" s="425">
        <v>1600.0</v>
      </c>
      <c r="P2" s="425">
        <v>21.8</v>
      </c>
      <c r="Q2" s="423" t="s">
        <v>257</v>
      </c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</row>
    <row r="3" ht="15.75" customHeight="1">
      <c r="A3" s="423" t="s">
        <v>106</v>
      </c>
      <c r="B3" s="423">
        <v>3.55577772E8</v>
      </c>
      <c r="C3" s="423" t="s">
        <v>258</v>
      </c>
      <c r="D3" s="424">
        <v>8.803463006853E12</v>
      </c>
      <c r="E3" s="425">
        <v>1373186.0</v>
      </c>
      <c r="F3" s="425">
        <v>372.0</v>
      </c>
      <c r="G3" s="425">
        <v>76.5</v>
      </c>
      <c r="H3" s="425">
        <v>1220.0</v>
      </c>
      <c r="I3" s="425">
        <v>3446.0</v>
      </c>
      <c r="J3" s="425">
        <v>1594.0</v>
      </c>
      <c r="K3" s="425">
        <v>45.6</v>
      </c>
      <c r="L3" s="425" t="s">
        <v>259</v>
      </c>
      <c r="M3" s="425" t="s">
        <v>260</v>
      </c>
      <c r="N3" s="425" t="s">
        <v>261</v>
      </c>
      <c r="O3" s="425">
        <v>1400.0</v>
      </c>
      <c r="P3" s="426">
        <v>49.9</v>
      </c>
      <c r="Q3" s="423" t="s">
        <v>257</v>
      </c>
      <c r="R3" s="427"/>
      <c r="S3" s="427"/>
      <c r="T3" s="427"/>
      <c r="U3" s="427"/>
      <c r="V3" s="427"/>
      <c r="W3" s="427"/>
      <c r="X3" s="427"/>
      <c r="Y3" s="427"/>
      <c r="Z3" s="427"/>
      <c r="AA3" s="427"/>
      <c r="AB3" s="427"/>
      <c r="AC3" s="427"/>
      <c r="AD3" s="427"/>
      <c r="AE3" s="427"/>
      <c r="AF3" s="427"/>
      <c r="AG3" s="427"/>
      <c r="AH3" s="427"/>
      <c r="AI3" s="427"/>
      <c r="AJ3" s="427"/>
      <c r="AK3" s="427"/>
    </row>
    <row r="4" ht="15.75" customHeight="1">
      <c r="A4" s="423" t="s">
        <v>106</v>
      </c>
      <c r="B4" s="423">
        <v>8.98382325E8</v>
      </c>
      <c r="C4" s="423" t="s">
        <v>262</v>
      </c>
      <c r="D4" s="428">
        <v>8.803463012199E12</v>
      </c>
      <c r="E4" s="425">
        <v>250380.0</v>
      </c>
      <c r="F4" s="425">
        <v>109.0</v>
      </c>
      <c r="G4" s="425">
        <v>57.0</v>
      </c>
      <c r="H4" s="425">
        <v>571.0</v>
      </c>
      <c r="I4" s="425">
        <v>2006.0</v>
      </c>
      <c r="J4" s="425">
        <v>1001.0</v>
      </c>
      <c r="K4" s="425">
        <v>28.4</v>
      </c>
      <c r="L4" s="425" t="s">
        <v>263</v>
      </c>
      <c r="M4" s="425" t="s">
        <v>264</v>
      </c>
      <c r="N4" s="425" t="s">
        <v>265</v>
      </c>
      <c r="O4" s="425">
        <v>648.0</v>
      </c>
      <c r="P4" s="425">
        <v>69.6</v>
      </c>
      <c r="Q4" s="423" t="s">
        <v>257</v>
      </c>
      <c r="R4" s="423"/>
      <c r="S4" s="423"/>
      <c r="T4" s="423"/>
      <c r="U4" s="423"/>
      <c r="V4" s="423"/>
      <c r="W4" s="423"/>
      <c r="X4" s="423"/>
      <c r="Y4" s="423"/>
      <c r="Z4" s="423"/>
      <c r="AA4" s="423"/>
      <c r="AB4" s="423"/>
      <c r="AC4" s="423"/>
      <c r="AD4" s="423"/>
      <c r="AE4" s="423"/>
      <c r="AF4" s="423"/>
      <c r="AG4" s="423"/>
      <c r="AH4" s="423"/>
      <c r="AI4" s="423"/>
      <c r="AJ4" s="423"/>
      <c r="AK4" s="423"/>
    </row>
    <row r="5" ht="15.75" customHeight="1">
      <c r="A5" s="423" t="s">
        <v>106</v>
      </c>
      <c r="B5" s="423">
        <v>2.75803395E8</v>
      </c>
      <c r="C5" s="423" t="s">
        <v>266</v>
      </c>
      <c r="D5" s="428">
        <v>8.809695678431E12</v>
      </c>
      <c r="E5" s="425">
        <v>325603.0</v>
      </c>
      <c r="F5" s="425">
        <v>101.0</v>
      </c>
      <c r="G5" s="425">
        <v>76.0</v>
      </c>
      <c r="H5" s="425">
        <v>1064.0</v>
      </c>
      <c r="I5" s="425">
        <v>3042.0</v>
      </c>
      <c r="J5" s="425">
        <v>1401.0</v>
      </c>
      <c r="K5" s="425">
        <v>45.0</v>
      </c>
      <c r="L5" s="425" t="s">
        <v>267</v>
      </c>
      <c r="M5" s="425" t="s">
        <v>268</v>
      </c>
      <c r="N5" s="425" t="s">
        <v>269</v>
      </c>
      <c r="O5" s="425">
        <v>500.0</v>
      </c>
      <c r="P5" s="429">
        <v>10.7</v>
      </c>
      <c r="Q5" s="423"/>
      <c r="R5" s="423"/>
      <c r="S5" s="423"/>
      <c r="T5" s="423"/>
      <c r="U5" s="423"/>
      <c r="V5" s="423"/>
      <c r="W5" s="423"/>
      <c r="X5" s="423"/>
      <c r="Y5" s="423"/>
      <c r="Z5" s="423"/>
      <c r="AA5" s="423"/>
      <c r="AB5" s="423"/>
      <c r="AC5" s="423"/>
      <c r="AD5" s="423"/>
      <c r="AE5" s="423"/>
      <c r="AF5" s="423"/>
      <c r="AG5" s="423"/>
      <c r="AH5" s="423"/>
      <c r="AI5" s="423"/>
      <c r="AJ5" s="423"/>
      <c r="AK5" s="423"/>
    </row>
    <row r="6" ht="15.75" customHeight="1">
      <c r="A6" s="423" t="s">
        <v>106</v>
      </c>
      <c r="B6" s="423">
        <v>4.48362224E8</v>
      </c>
      <c r="C6" s="423" t="s">
        <v>107</v>
      </c>
      <c r="D6" s="428">
        <v>8.803463006501E12</v>
      </c>
      <c r="E6" s="425">
        <v>200604.0</v>
      </c>
      <c r="F6" s="425">
        <v>124.0</v>
      </c>
      <c r="G6" s="425">
        <v>111.1</v>
      </c>
      <c r="H6" s="425">
        <v>616.0</v>
      </c>
      <c r="I6" s="425">
        <v>1540.0</v>
      </c>
      <c r="J6" s="425">
        <v>554.0</v>
      </c>
      <c r="K6" s="425">
        <v>71.4</v>
      </c>
      <c r="L6" s="425" t="s">
        <v>270</v>
      </c>
      <c r="M6" s="425" t="s">
        <v>271</v>
      </c>
      <c r="N6" s="425" t="s">
        <v>272</v>
      </c>
      <c r="O6" s="425">
        <v>500.0</v>
      </c>
      <c r="P6" s="425">
        <v>64.6</v>
      </c>
      <c r="Q6" s="423"/>
      <c r="R6" s="423"/>
      <c r="S6" s="423"/>
      <c r="T6" s="423"/>
      <c r="U6" s="423"/>
      <c r="V6" s="423"/>
      <c r="W6" s="423"/>
      <c r="X6" s="423"/>
      <c r="Y6" s="423"/>
      <c r="Z6" s="423"/>
      <c r="AA6" s="423"/>
      <c r="AB6" s="423"/>
      <c r="AC6" s="423"/>
      <c r="AD6" s="423"/>
      <c r="AE6" s="423"/>
      <c r="AF6" s="423"/>
      <c r="AG6" s="423"/>
      <c r="AH6" s="423"/>
      <c r="AI6" s="423"/>
      <c r="AJ6" s="423"/>
      <c r="AK6" s="423"/>
    </row>
    <row r="7" ht="15.75" customHeight="1">
      <c r="A7" s="423" t="s">
        <v>117</v>
      </c>
      <c r="B7" s="423">
        <v>4.18188294E8</v>
      </c>
      <c r="C7" s="423" t="s">
        <v>213</v>
      </c>
      <c r="D7" s="424">
        <v>8.80933131936E12</v>
      </c>
      <c r="E7" s="425">
        <v>261485.0</v>
      </c>
      <c r="F7" s="425">
        <v>172.0</v>
      </c>
      <c r="G7" s="425">
        <v>128.3</v>
      </c>
      <c r="H7" s="425">
        <v>512.0</v>
      </c>
      <c r="I7" s="425">
        <v>1236.0</v>
      </c>
      <c r="J7" s="425">
        <v>399.0</v>
      </c>
      <c r="K7" s="425">
        <v>84.1</v>
      </c>
      <c r="L7" s="425" t="s">
        <v>273</v>
      </c>
      <c r="M7" s="425" t="s">
        <v>274</v>
      </c>
      <c r="N7" s="425" t="s">
        <v>275</v>
      </c>
      <c r="O7" s="425">
        <v>1500.0</v>
      </c>
      <c r="P7" s="425">
        <v>149.0</v>
      </c>
      <c r="Q7" s="423"/>
      <c r="R7" s="423"/>
      <c r="S7" s="423"/>
      <c r="T7" s="423"/>
      <c r="U7" s="423"/>
      <c r="V7" s="423"/>
      <c r="W7" s="423"/>
      <c r="X7" s="423"/>
      <c r="Y7" s="423"/>
      <c r="Z7" s="423"/>
      <c r="AA7" s="423"/>
      <c r="AB7" s="423"/>
      <c r="AC7" s="423"/>
      <c r="AD7" s="423"/>
      <c r="AE7" s="423"/>
      <c r="AF7" s="423"/>
      <c r="AG7" s="423"/>
      <c r="AH7" s="423"/>
      <c r="AI7" s="423"/>
      <c r="AJ7" s="423"/>
      <c r="AK7" s="423"/>
    </row>
    <row r="8" ht="15.75" customHeight="1">
      <c r="A8" s="423" t="s">
        <v>117</v>
      </c>
      <c r="B8" s="423">
        <v>1.4268864E8</v>
      </c>
      <c r="C8" s="430" t="s">
        <v>214</v>
      </c>
      <c r="D8" s="424">
        <v>8.809563068258E12</v>
      </c>
      <c r="E8" s="425">
        <v>276027.0</v>
      </c>
      <c r="F8" s="425">
        <v>301.0</v>
      </c>
      <c r="G8" s="425">
        <v>175.8</v>
      </c>
      <c r="H8" s="425">
        <v>457.0</v>
      </c>
      <c r="I8" s="425">
        <v>1012.0</v>
      </c>
      <c r="J8" s="425">
        <v>260.0</v>
      </c>
      <c r="K8" s="425">
        <v>120.2</v>
      </c>
      <c r="L8" s="425" t="s">
        <v>276</v>
      </c>
      <c r="M8" s="425" t="s">
        <v>277</v>
      </c>
      <c r="N8" s="425" t="s">
        <v>278</v>
      </c>
      <c r="O8" s="425">
        <v>1350.0</v>
      </c>
      <c r="P8" s="425">
        <v>133.3</v>
      </c>
      <c r="Q8" s="423"/>
      <c r="R8" s="423"/>
      <c r="S8" s="423"/>
      <c r="T8" s="423"/>
      <c r="U8" s="423"/>
      <c r="V8" s="423"/>
      <c r="W8" s="423"/>
      <c r="X8" s="423"/>
      <c r="Y8" s="423"/>
      <c r="Z8" s="423"/>
      <c r="AA8" s="423"/>
      <c r="AB8" s="423"/>
      <c r="AC8" s="423"/>
      <c r="AD8" s="423"/>
      <c r="AE8" s="423"/>
      <c r="AF8" s="423"/>
      <c r="AG8" s="423"/>
      <c r="AH8" s="423"/>
      <c r="AI8" s="423"/>
      <c r="AJ8" s="423"/>
      <c r="AK8" s="423"/>
    </row>
    <row r="9" ht="15.75" customHeight="1">
      <c r="A9" s="423" t="s">
        <v>117</v>
      </c>
      <c r="B9" s="423">
        <v>6.49634583E8</v>
      </c>
      <c r="C9" s="423" t="s">
        <v>215</v>
      </c>
      <c r="D9" s="424">
        <v>8.809563066773E12</v>
      </c>
      <c r="E9" s="425">
        <v>356931.0</v>
      </c>
      <c r="F9" s="425">
        <v>327.0</v>
      </c>
      <c r="G9" s="425">
        <v>231.6</v>
      </c>
      <c r="H9" s="425">
        <v>681.0</v>
      </c>
      <c r="I9" s="425">
        <v>1311.0</v>
      </c>
      <c r="J9" s="425">
        <v>294.0</v>
      </c>
      <c r="K9" s="425">
        <v>167.9</v>
      </c>
      <c r="L9" s="431" t="s">
        <v>279</v>
      </c>
      <c r="M9" s="431" t="s">
        <v>280</v>
      </c>
      <c r="N9" s="431" t="s">
        <v>281</v>
      </c>
      <c r="O9" s="431">
        <v>1250.0</v>
      </c>
      <c r="P9" s="416">
        <v>116.6</v>
      </c>
      <c r="Q9" s="432"/>
      <c r="R9" s="432"/>
      <c r="S9" s="432"/>
      <c r="T9" s="432"/>
      <c r="U9" s="432"/>
      <c r="V9" s="432"/>
      <c r="W9" s="432"/>
      <c r="X9" s="432"/>
      <c r="Y9" s="432"/>
      <c r="Z9" s="432"/>
      <c r="AA9" s="432"/>
      <c r="AB9" s="432"/>
      <c r="AC9" s="432"/>
      <c r="AD9" s="432"/>
      <c r="AE9" s="432"/>
      <c r="AF9" s="432"/>
      <c r="AG9" s="432"/>
      <c r="AH9" s="432"/>
      <c r="AI9" s="432"/>
      <c r="AJ9" s="432"/>
      <c r="AK9" s="432"/>
    </row>
    <row r="10" ht="15.75" customHeight="1">
      <c r="A10" s="423" t="s">
        <v>117</v>
      </c>
      <c r="B10" s="423">
        <v>2.03956765E8</v>
      </c>
      <c r="C10" s="423" t="s">
        <v>216</v>
      </c>
      <c r="D10" s="424">
        <v>8.809331319193E12</v>
      </c>
      <c r="E10" s="425">
        <v>472463.0</v>
      </c>
      <c r="F10" s="425">
        <v>503.0</v>
      </c>
      <c r="G10" s="425">
        <v>129.3</v>
      </c>
      <c r="H10" s="425">
        <v>388.0</v>
      </c>
      <c r="I10" s="425">
        <v>978.0</v>
      </c>
      <c r="J10" s="425">
        <v>300.0</v>
      </c>
      <c r="K10" s="425">
        <v>82.8</v>
      </c>
      <c r="L10" s="431" t="s">
        <v>282</v>
      </c>
      <c r="M10" s="431" t="s">
        <v>283</v>
      </c>
      <c r="N10" s="431" t="s">
        <v>284</v>
      </c>
      <c r="O10" s="431">
        <v>1200.0</v>
      </c>
      <c r="P10" s="416">
        <v>80.2</v>
      </c>
      <c r="Q10" s="432"/>
      <c r="R10" s="432"/>
      <c r="S10" s="432"/>
      <c r="T10" s="432"/>
      <c r="U10" s="432"/>
      <c r="V10" s="432"/>
      <c r="W10" s="432"/>
      <c r="X10" s="432"/>
      <c r="Y10" s="432"/>
      <c r="Z10" s="432"/>
      <c r="AA10" s="432"/>
      <c r="AB10" s="432"/>
      <c r="AC10" s="432"/>
      <c r="AD10" s="432"/>
      <c r="AE10" s="432"/>
      <c r="AF10" s="432"/>
      <c r="AG10" s="432"/>
      <c r="AH10" s="432"/>
      <c r="AI10" s="432"/>
      <c r="AJ10" s="432"/>
      <c r="AK10" s="432"/>
    </row>
    <row r="11" ht="15.75" customHeight="1">
      <c r="A11" s="423" t="s">
        <v>117</v>
      </c>
      <c r="B11" s="423">
        <v>1.47853971E8</v>
      </c>
      <c r="C11" s="423" t="s">
        <v>217</v>
      </c>
      <c r="D11" s="424">
        <v>8.809563066797E12</v>
      </c>
      <c r="E11" s="425">
        <v>1515162.0</v>
      </c>
      <c r="F11" s="425">
        <v>2513.0</v>
      </c>
      <c r="G11" s="425">
        <v>141.7</v>
      </c>
      <c r="H11" s="425">
        <v>248.0</v>
      </c>
      <c r="I11" s="425">
        <v>671.0</v>
      </c>
      <c r="J11" s="425">
        <v>175.0</v>
      </c>
      <c r="K11" s="425">
        <v>86.9</v>
      </c>
      <c r="L11" s="425" t="s">
        <v>285</v>
      </c>
      <c r="M11" s="425" t="s">
        <v>286</v>
      </c>
      <c r="N11" s="425" t="s">
        <v>287</v>
      </c>
      <c r="O11" s="425">
        <v>1000.0</v>
      </c>
      <c r="P11" s="425">
        <v>88.3</v>
      </c>
      <c r="Q11" s="423"/>
      <c r="R11" s="423"/>
      <c r="S11" s="423"/>
      <c r="T11" s="423"/>
      <c r="U11" s="423"/>
      <c r="V11" s="423"/>
      <c r="W11" s="423"/>
      <c r="X11" s="423"/>
      <c r="Y11" s="423"/>
      <c r="Z11" s="423"/>
      <c r="AA11" s="423"/>
      <c r="AB11" s="423"/>
      <c r="AC11" s="423"/>
      <c r="AD11" s="423"/>
      <c r="AE11" s="423"/>
      <c r="AF11" s="423"/>
      <c r="AG11" s="423"/>
      <c r="AH11" s="423"/>
      <c r="AI11" s="423"/>
      <c r="AJ11" s="423"/>
      <c r="AK11" s="423"/>
    </row>
    <row r="12" ht="15.75" customHeight="1">
      <c r="A12" s="423" t="s">
        <v>117</v>
      </c>
      <c r="B12" s="423">
        <v>4.1814933E8</v>
      </c>
      <c r="C12" s="423" t="s">
        <v>218</v>
      </c>
      <c r="D12" s="424">
        <v>8.809563067923E12</v>
      </c>
      <c r="E12" s="425">
        <v>214828.0</v>
      </c>
      <c r="F12" s="425">
        <v>154.0</v>
      </c>
      <c r="G12" s="425">
        <v>200.8</v>
      </c>
      <c r="H12" s="425">
        <v>717.0</v>
      </c>
      <c r="I12" s="425">
        <v>1426.0</v>
      </c>
      <c r="J12" s="425">
        <v>357.0</v>
      </c>
      <c r="K12" s="425">
        <v>143.8</v>
      </c>
      <c r="L12" s="431" t="s">
        <v>288</v>
      </c>
      <c r="M12" s="431" t="s">
        <v>289</v>
      </c>
      <c r="N12" s="431" t="s">
        <v>290</v>
      </c>
      <c r="O12" s="431">
        <v>1000.0</v>
      </c>
      <c r="P12" s="416">
        <v>142.3</v>
      </c>
      <c r="Q12" s="432"/>
      <c r="R12" s="432"/>
      <c r="S12" s="432"/>
      <c r="T12" s="432"/>
      <c r="U12" s="432"/>
      <c r="V12" s="432"/>
      <c r="W12" s="432"/>
      <c r="X12" s="432"/>
      <c r="Y12" s="432"/>
      <c r="Z12" s="432"/>
      <c r="AA12" s="432"/>
      <c r="AB12" s="432"/>
      <c r="AC12" s="432"/>
      <c r="AD12" s="432"/>
      <c r="AE12" s="432"/>
      <c r="AF12" s="432"/>
      <c r="AG12" s="432"/>
      <c r="AH12" s="432"/>
      <c r="AI12" s="432"/>
      <c r="AJ12" s="432"/>
      <c r="AK12" s="432"/>
    </row>
    <row r="13" ht="15.75" customHeight="1">
      <c r="A13" s="423" t="s">
        <v>117</v>
      </c>
      <c r="B13" s="423">
        <v>2.30333227E8</v>
      </c>
      <c r="C13" s="423" t="s">
        <v>219</v>
      </c>
      <c r="D13" s="428">
        <v>8.809331313818E12</v>
      </c>
      <c r="E13" s="425">
        <v>248717.0</v>
      </c>
      <c r="F13" s="425">
        <v>243.0</v>
      </c>
      <c r="G13" s="425">
        <v>174.0</v>
      </c>
      <c r="H13" s="425">
        <v>522.0</v>
      </c>
      <c r="I13" s="425">
        <v>1133.0</v>
      </c>
      <c r="J13" s="425">
        <v>300.0</v>
      </c>
      <c r="K13" s="425">
        <v>120.0</v>
      </c>
      <c r="L13" s="425" t="s">
        <v>291</v>
      </c>
      <c r="M13" s="425" t="s">
        <v>292</v>
      </c>
      <c r="N13" s="425" t="s">
        <v>293</v>
      </c>
      <c r="O13" s="425">
        <v>500.0</v>
      </c>
      <c r="P13" s="425">
        <v>102.4</v>
      </c>
      <c r="Q13" s="423"/>
      <c r="R13" s="423"/>
      <c r="S13" s="423"/>
      <c r="T13" s="423"/>
      <c r="U13" s="423"/>
      <c r="V13" s="423"/>
      <c r="W13" s="423"/>
      <c r="X13" s="423"/>
      <c r="Y13" s="423"/>
      <c r="Z13" s="423"/>
      <c r="AA13" s="423"/>
      <c r="AB13" s="423"/>
      <c r="AC13" s="423"/>
      <c r="AD13" s="423"/>
      <c r="AE13" s="423"/>
      <c r="AF13" s="423"/>
      <c r="AG13" s="423"/>
      <c r="AH13" s="423"/>
      <c r="AI13" s="423"/>
      <c r="AJ13" s="423"/>
      <c r="AK13" s="423"/>
    </row>
    <row r="14" ht="15.75" customHeight="1">
      <c r="A14" s="423" t="s">
        <v>117</v>
      </c>
      <c r="B14" s="423">
        <v>4.18150578E8</v>
      </c>
      <c r="C14" s="423" t="s">
        <v>220</v>
      </c>
      <c r="D14" s="428">
        <v>8.809563068081E12</v>
      </c>
      <c r="E14" s="425">
        <v>252109.0</v>
      </c>
      <c r="F14" s="425">
        <v>213.0</v>
      </c>
      <c r="G14" s="425">
        <v>192.9</v>
      </c>
      <c r="H14" s="425">
        <v>602.0</v>
      </c>
      <c r="I14" s="425">
        <v>1242.0</v>
      </c>
      <c r="J14" s="425">
        <v>312.0</v>
      </c>
      <c r="K14" s="425">
        <v>136.1</v>
      </c>
      <c r="L14" s="425" t="s">
        <v>294</v>
      </c>
      <c r="M14" s="425" t="s">
        <v>295</v>
      </c>
      <c r="N14" s="425" t="s">
        <v>296</v>
      </c>
      <c r="O14" s="425">
        <v>400.0</v>
      </c>
      <c r="P14" s="425">
        <v>90.2</v>
      </c>
      <c r="Q14" s="423"/>
      <c r="R14" s="423"/>
      <c r="S14" s="423"/>
      <c r="T14" s="423"/>
      <c r="U14" s="423"/>
      <c r="V14" s="423"/>
      <c r="W14" s="423"/>
      <c r="X14" s="423"/>
      <c r="Y14" s="423"/>
      <c r="Z14" s="423"/>
      <c r="AA14" s="423"/>
      <c r="AB14" s="423"/>
      <c r="AC14" s="423"/>
      <c r="AD14" s="423"/>
      <c r="AE14" s="423"/>
      <c r="AF14" s="423"/>
      <c r="AG14" s="423"/>
      <c r="AH14" s="423"/>
      <c r="AI14" s="423"/>
      <c r="AJ14" s="423"/>
      <c r="AK14" s="423"/>
    </row>
    <row r="15" ht="15.75" customHeight="1">
      <c r="A15" s="423" t="s">
        <v>117</v>
      </c>
      <c r="B15" s="423">
        <v>7.91302264E8</v>
      </c>
      <c r="C15" s="423" t="s">
        <v>221</v>
      </c>
      <c r="D15" s="428">
        <v>8.809331317182E12</v>
      </c>
      <c r="E15" s="425">
        <v>61070.0</v>
      </c>
      <c r="F15" s="425">
        <v>33.0</v>
      </c>
      <c r="G15" s="425">
        <v>250.9</v>
      </c>
      <c r="H15" s="425">
        <v>1227.0</v>
      </c>
      <c r="I15" s="425">
        <v>2170.0</v>
      </c>
      <c r="J15" s="425">
        <v>489.0</v>
      </c>
      <c r="K15" s="425">
        <v>187.5</v>
      </c>
      <c r="L15" s="425" t="s">
        <v>297</v>
      </c>
      <c r="M15" s="425" t="s">
        <v>298</v>
      </c>
      <c r="N15" s="425" t="s">
        <v>299</v>
      </c>
      <c r="O15" s="425">
        <v>400.0</v>
      </c>
      <c r="P15" s="425">
        <v>159.7</v>
      </c>
      <c r="Q15" s="423"/>
      <c r="R15" s="423"/>
      <c r="S15" s="423"/>
      <c r="T15" s="423"/>
      <c r="U15" s="423"/>
      <c r="V15" s="423"/>
      <c r="W15" s="423"/>
      <c r="X15" s="423"/>
      <c r="Y15" s="423"/>
      <c r="Z15" s="423"/>
      <c r="AA15" s="423"/>
      <c r="AB15" s="423"/>
      <c r="AC15" s="423"/>
      <c r="AD15" s="423"/>
      <c r="AE15" s="423"/>
      <c r="AF15" s="423"/>
      <c r="AG15" s="423"/>
      <c r="AH15" s="423"/>
      <c r="AI15" s="423"/>
      <c r="AJ15" s="423"/>
      <c r="AK15" s="423"/>
    </row>
    <row r="16" ht="15.75" customHeight="1">
      <c r="A16" s="433" t="s">
        <v>189</v>
      </c>
      <c r="B16" s="423">
        <v>2.1296887E8</v>
      </c>
      <c r="C16" s="423" t="s">
        <v>300</v>
      </c>
      <c r="D16" s="428">
        <v>8.809657114731E12</v>
      </c>
      <c r="E16" s="425">
        <v>510421.0</v>
      </c>
      <c r="F16" s="425">
        <v>414.0</v>
      </c>
      <c r="G16" s="425">
        <v>90.9</v>
      </c>
      <c r="H16" s="425">
        <v>440.0</v>
      </c>
      <c r="I16" s="425">
        <v>1255.0</v>
      </c>
      <c r="J16" s="425">
        <v>484.0</v>
      </c>
      <c r="K16" s="425">
        <v>53.9</v>
      </c>
      <c r="L16" s="425" t="s">
        <v>301</v>
      </c>
      <c r="M16" s="425" t="s">
        <v>302</v>
      </c>
      <c r="N16" s="425" t="s">
        <v>303</v>
      </c>
      <c r="O16" s="425">
        <v>900.0</v>
      </c>
      <c r="P16" s="425">
        <v>45.2</v>
      </c>
      <c r="Q16" s="423" t="s">
        <v>257</v>
      </c>
      <c r="R16" s="423"/>
      <c r="S16" s="423"/>
      <c r="T16" s="423"/>
      <c r="U16" s="423"/>
      <c r="V16" s="423"/>
      <c r="W16" s="423"/>
      <c r="X16" s="423"/>
      <c r="Y16" s="423"/>
      <c r="Z16" s="423"/>
      <c r="AA16" s="423"/>
      <c r="AB16" s="423"/>
      <c r="AC16" s="423"/>
      <c r="AD16" s="423"/>
      <c r="AE16" s="423"/>
      <c r="AF16" s="423"/>
      <c r="AG16" s="423"/>
      <c r="AH16" s="423"/>
      <c r="AI16" s="423"/>
      <c r="AJ16" s="423"/>
      <c r="AK16" s="423"/>
    </row>
    <row r="17" ht="15.75" customHeight="1">
      <c r="A17" s="433" t="s">
        <v>189</v>
      </c>
      <c r="B17" s="423">
        <v>2.12957741E8</v>
      </c>
      <c r="C17" s="423" t="s">
        <v>192</v>
      </c>
      <c r="D17" s="428">
        <v>8.809864754126E12</v>
      </c>
      <c r="E17" s="425">
        <v>206176.0</v>
      </c>
      <c r="F17" s="425">
        <v>153.0</v>
      </c>
      <c r="G17" s="425">
        <v>100.4</v>
      </c>
      <c r="H17" s="425">
        <v>449.0</v>
      </c>
      <c r="I17" s="425">
        <v>1221.0</v>
      </c>
      <c r="J17" s="425">
        <v>447.0</v>
      </c>
      <c r="K17" s="425">
        <v>61.4</v>
      </c>
      <c r="L17" s="425" t="s">
        <v>304</v>
      </c>
      <c r="M17" s="425" t="s">
        <v>305</v>
      </c>
      <c r="N17" s="425" t="s">
        <v>306</v>
      </c>
      <c r="O17" s="425">
        <v>600.0</v>
      </c>
      <c r="P17" s="425">
        <v>77.9</v>
      </c>
      <c r="Q17" s="423"/>
      <c r="R17" s="423"/>
      <c r="S17" s="423"/>
      <c r="T17" s="423"/>
      <c r="U17" s="423"/>
      <c r="V17" s="423"/>
      <c r="W17" s="423"/>
      <c r="X17" s="423"/>
      <c r="Y17" s="423"/>
      <c r="Z17" s="423"/>
      <c r="AA17" s="423"/>
      <c r="AB17" s="423"/>
      <c r="AC17" s="423"/>
      <c r="AD17" s="423"/>
      <c r="AE17" s="423"/>
      <c r="AF17" s="423"/>
      <c r="AG17" s="423"/>
      <c r="AH17" s="423"/>
      <c r="AI17" s="423"/>
      <c r="AJ17" s="423"/>
      <c r="AK17" s="423"/>
    </row>
    <row r="18" ht="15.75" customHeight="1">
      <c r="A18" s="433" t="s">
        <v>189</v>
      </c>
      <c r="B18" s="423">
        <v>2.2150025E8</v>
      </c>
      <c r="C18" s="423" t="s">
        <v>193</v>
      </c>
      <c r="D18" s="428">
        <v>8.809849802408E12</v>
      </c>
      <c r="E18" s="425">
        <v>263707.0</v>
      </c>
      <c r="F18" s="425">
        <v>149.0</v>
      </c>
      <c r="G18" s="425">
        <v>144.4</v>
      </c>
      <c r="H18" s="425">
        <v>767.0</v>
      </c>
      <c r="I18" s="425">
        <v>1686.0</v>
      </c>
      <c r="J18" s="425">
        <v>531.0</v>
      </c>
      <c r="K18" s="425">
        <v>99.1</v>
      </c>
      <c r="L18" s="425" t="s">
        <v>307</v>
      </c>
      <c r="M18" s="425" t="s">
        <v>308</v>
      </c>
      <c r="N18" s="425" t="s">
        <v>309</v>
      </c>
      <c r="O18" s="425">
        <v>400.0</v>
      </c>
      <c r="P18" s="425">
        <v>117.3</v>
      </c>
      <c r="Q18" s="423"/>
      <c r="R18" s="423"/>
      <c r="S18" s="423"/>
      <c r="T18" s="423"/>
      <c r="U18" s="423"/>
      <c r="V18" s="423"/>
      <c r="W18" s="423"/>
      <c r="X18" s="423"/>
      <c r="Y18" s="423"/>
      <c r="Z18" s="423"/>
      <c r="AA18" s="423"/>
      <c r="AB18" s="423"/>
      <c r="AC18" s="423"/>
      <c r="AD18" s="423"/>
      <c r="AE18" s="423"/>
      <c r="AF18" s="423"/>
      <c r="AG18" s="423"/>
      <c r="AH18" s="423"/>
      <c r="AI18" s="423"/>
      <c r="AJ18" s="423"/>
      <c r="AK18" s="423"/>
    </row>
    <row r="19" ht="15.75" customHeight="1">
      <c r="A19" s="433" t="s">
        <v>189</v>
      </c>
      <c r="B19" s="423">
        <v>2.129621E8</v>
      </c>
      <c r="C19" s="423" t="s">
        <v>310</v>
      </c>
      <c r="D19" s="428">
        <v>8.809783325667E12</v>
      </c>
      <c r="E19" s="425">
        <v>190841.0</v>
      </c>
      <c r="F19" s="425">
        <v>117.0</v>
      </c>
      <c r="G19" s="425">
        <v>68.4</v>
      </c>
      <c r="H19" s="425">
        <v>459.0</v>
      </c>
      <c r="I19" s="425">
        <v>1494.0</v>
      </c>
      <c r="J19" s="425">
        <v>671.0</v>
      </c>
      <c r="K19" s="425">
        <v>36.6</v>
      </c>
      <c r="L19" s="425" t="s">
        <v>311</v>
      </c>
      <c r="M19" s="425" t="s">
        <v>312</v>
      </c>
      <c r="N19" s="425" t="s">
        <v>313</v>
      </c>
      <c r="O19" s="425">
        <v>200.0</v>
      </c>
      <c r="P19" s="429">
        <v>8.5</v>
      </c>
      <c r="Q19" s="423"/>
      <c r="R19" s="423"/>
      <c r="S19" s="423"/>
      <c r="T19" s="423"/>
      <c r="U19" s="423"/>
      <c r="V19" s="423"/>
      <c r="W19" s="423"/>
      <c r="X19" s="423"/>
      <c r="Y19" s="423"/>
      <c r="Z19" s="423"/>
      <c r="AA19" s="423"/>
      <c r="AB19" s="423"/>
      <c r="AC19" s="423"/>
      <c r="AD19" s="423"/>
      <c r="AE19" s="423"/>
      <c r="AF19" s="423"/>
      <c r="AG19" s="423"/>
      <c r="AH19" s="423"/>
      <c r="AI19" s="423"/>
      <c r="AJ19" s="423"/>
      <c r="AK19" s="423"/>
    </row>
    <row r="20" ht="15.75" customHeight="1">
      <c r="A20" s="433" t="s">
        <v>189</v>
      </c>
      <c r="B20" s="423">
        <v>4.10070711E8</v>
      </c>
      <c r="C20" s="423" t="s">
        <v>194</v>
      </c>
      <c r="D20" s="428">
        <v>8.809783325674E12</v>
      </c>
      <c r="E20" s="425">
        <v>527696.0</v>
      </c>
      <c r="F20" s="425">
        <v>275.0</v>
      </c>
      <c r="G20" s="425">
        <v>78.7</v>
      </c>
      <c r="H20" s="425">
        <v>616.0</v>
      </c>
      <c r="I20" s="425">
        <v>1805.0</v>
      </c>
      <c r="J20" s="425">
        <v>783.0</v>
      </c>
      <c r="K20" s="425">
        <v>45.7</v>
      </c>
      <c r="L20" s="425" t="s">
        <v>314</v>
      </c>
      <c r="M20" s="425" t="s">
        <v>315</v>
      </c>
      <c r="N20" s="425" t="s">
        <v>316</v>
      </c>
      <c r="O20" s="425">
        <v>200.0</v>
      </c>
      <c r="P20" s="425">
        <v>42.0</v>
      </c>
      <c r="Q20" s="423"/>
      <c r="R20" s="423"/>
      <c r="S20" s="423"/>
      <c r="T20" s="423"/>
      <c r="U20" s="423"/>
      <c r="V20" s="423"/>
      <c r="W20" s="423"/>
      <c r="X20" s="423"/>
      <c r="Y20" s="423"/>
      <c r="Z20" s="423"/>
      <c r="AA20" s="423"/>
      <c r="AB20" s="423"/>
      <c r="AC20" s="423"/>
      <c r="AD20" s="423"/>
      <c r="AE20" s="423"/>
      <c r="AF20" s="423"/>
      <c r="AG20" s="423"/>
      <c r="AH20" s="423"/>
      <c r="AI20" s="423"/>
      <c r="AJ20" s="423"/>
      <c r="AK20" s="423"/>
    </row>
    <row r="21" ht="15.75" customHeight="1">
      <c r="A21" s="433" t="s">
        <v>317</v>
      </c>
      <c r="B21" s="423">
        <v>2.30792047E8</v>
      </c>
      <c r="C21" s="423" t="s">
        <v>318</v>
      </c>
      <c r="D21" s="428">
        <v>8.809634610034E12</v>
      </c>
      <c r="E21" s="425">
        <v>1394091.0</v>
      </c>
      <c r="F21" s="425">
        <v>1077.0</v>
      </c>
      <c r="G21" s="425">
        <v>25.4</v>
      </c>
      <c r="H21" s="425">
        <v>169.0</v>
      </c>
      <c r="I21" s="425">
        <v>1147.0</v>
      </c>
      <c r="J21" s="425">
        <v>665.0</v>
      </c>
      <c r="K21" s="425">
        <v>0.8</v>
      </c>
      <c r="L21" s="425"/>
      <c r="M21" s="425"/>
      <c r="N21" s="425"/>
      <c r="O21" s="425"/>
      <c r="P21" s="425"/>
      <c r="Q21" s="423"/>
      <c r="R21" s="423"/>
      <c r="S21" s="423"/>
      <c r="T21" s="423"/>
      <c r="U21" s="423"/>
      <c r="V21" s="423"/>
      <c r="W21" s="423"/>
      <c r="X21" s="423"/>
      <c r="Y21" s="423"/>
      <c r="Z21" s="423"/>
      <c r="AA21" s="423"/>
      <c r="AB21" s="423"/>
      <c r="AC21" s="423"/>
      <c r="AD21" s="423"/>
      <c r="AE21" s="423"/>
      <c r="AF21" s="423"/>
      <c r="AG21" s="423"/>
      <c r="AH21" s="423"/>
      <c r="AI21" s="423"/>
      <c r="AJ21" s="423"/>
      <c r="AK21" s="423"/>
    </row>
    <row r="22" ht="15.75" customHeight="1">
      <c r="A22" s="433" t="s">
        <v>317</v>
      </c>
      <c r="B22" s="423">
        <v>3.90754464E8</v>
      </c>
      <c r="C22" s="423" t="s">
        <v>319</v>
      </c>
      <c r="D22" s="428">
        <v>8.809634610881E12</v>
      </c>
      <c r="E22" s="425">
        <v>614931.0</v>
      </c>
      <c r="F22" s="425">
        <v>430.0</v>
      </c>
      <c r="G22" s="425">
        <v>19.6</v>
      </c>
      <c r="H22" s="425">
        <v>149.0</v>
      </c>
      <c r="I22" s="425">
        <v>1235.0</v>
      </c>
      <c r="J22" s="425">
        <v>760.0</v>
      </c>
      <c r="K22" s="425">
        <v>-3.6</v>
      </c>
      <c r="L22" s="425"/>
      <c r="M22" s="425"/>
      <c r="N22" s="425"/>
      <c r="O22" s="425"/>
      <c r="P22" s="425"/>
      <c r="Q22" s="423"/>
      <c r="R22" s="423"/>
      <c r="S22" s="423"/>
      <c r="T22" s="423"/>
      <c r="U22" s="423"/>
      <c r="V22" s="423"/>
      <c r="W22" s="423"/>
      <c r="X22" s="423"/>
      <c r="Y22" s="423"/>
      <c r="Z22" s="423"/>
      <c r="AA22" s="423"/>
      <c r="AB22" s="423"/>
      <c r="AC22" s="423"/>
      <c r="AD22" s="423"/>
      <c r="AE22" s="423"/>
      <c r="AF22" s="423"/>
      <c r="AG22" s="423"/>
      <c r="AH22" s="423"/>
      <c r="AI22" s="423"/>
      <c r="AJ22" s="423"/>
      <c r="AK22" s="423"/>
    </row>
    <row r="23" ht="15.75" customHeight="1">
      <c r="A23" s="433" t="s">
        <v>317</v>
      </c>
      <c r="B23" s="423">
        <v>3.10450094E8</v>
      </c>
      <c r="C23" s="423" t="s">
        <v>320</v>
      </c>
      <c r="D23" s="428">
        <v>8.809634611246E12</v>
      </c>
      <c r="E23" s="425">
        <v>322456.0</v>
      </c>
      <c r="F23" s="425">
        <v>129.0</v>
      </c>
      <c r="G23" s="425">
        <v>45.6</v>
      </c>
      <c r="H23" s="425">
        <v>629.0</v>
      </c>
      <c r="I23" s="425">
        <v>2507.0</v>
      </c>
      <c r="J23" s="425">
        <v>1378.0</v>
      </c>
      <c r="K23" s="425">
        <v>19.7</v>
      </c>
      <c r="L23" s="425"/>
      <c r="M23" s="425"/>
      <c r="N23" s="425"/>
      <c r="O23" s="425"/>
      <c r="P23" s="425"/>
      <c r="Q23" s="423"/>
      <c r="R23" s="423"/>
      <c r="S23" s="423"/>
      <c r="T23" s="423"/>
      <c r="U23" s="423"/>
      <c r="V23" s="423"/>
      <c r="W23" s="423"/>
      <c r="X23" s="423"/>
      <c r="Y23" s="423"/>
      <c r="Z23" s="423"/>
      <c r="AA23" s="423"/>
      <c r="AB23" s="423"/>
      <c r="AC23" s="423"/>
      <c r="AD23" s="423"/>
      <c r="AE23" s="423"/>
      <c r="AF23" s="423"/>
      <c r="AG23" s="423"/>
      <c r="AH23" s="423"/>
      <c r="AI23" s="423"/>
      <c r="AJ23" s="423"/>
      <c r="AK23" s="423"/>
    </row>
    <row r="24" ht="15.75" customHeight="1">
      <c r="A24" s="433" t="s">
        <v>317</v>
      </c>
      <c r="B24" s="423">
        <v>2.90640006E8</v>
      </c>
      <c r="C24" s="423" t="s">
        <v>321</v>
      </c>
      <c r="D24" s="428">
        <v>8.809634610959E12</v>
      </c>
      <c r="E24" s="425">
        <v>310590.0</v>
      </c>
      <c r="F24" s="425">
        <v>217.0</v>
      </c>
      <c r="G24" s="425">
        <v>22.1</v>
      </c>
      <c r="H24" s="425">
        <v>168.0</v>
      </c>
      <c r="I24" s="425">
        <v>1258.0</v>
      </c>
      <c r="J24" s="425">
        <v>760.0</v>
      </c>
      <c r="K24" s="425">
        <v>-1.5</v>
      </c>
      <c r="L24" s="425"/>
      <c r="M24" s="425"/>
      <c r="N24" s="425"/>
      <c r="O24" s="425"/>
      <c r="P24" s="425"/>
      <c r="Q24" s="423"/>
      <c r="R24" s="423"/>
      <c r="S24" s="423"/>
      <c r="T24" s="423"/>
      <c r="U24" s="423"/>
      <c r="V24" s="423"/>
      <c r="W24" s="423"/>
      <c r="X24" s="423"/>
      <c r="Y24" s="423"/>
      <c r="Z24" s="423"/>
      <c r="AA24" s="423"/>
      <c r="AB24" s="423"/>
      <c r="AC24" s="423"/>
      <c r="AD24" s="423"/>
      <c r="AE24" s="423"/>
      <c r="AF24" s="423"/>
      <c r="AG24" s="423"/>
      <c r="AH24" s="423"/>
      <c r="AI24" s="423"/>
      <c r="AJ24" s="423"/>
      <c r="AK24" s="423"/>
    </row>
    <row r="25" ht="15.75" customHeight="1">
      <c r="A25" s="433" t="s">
        <v>317</v>
      </c>
      <c r="B25" s="423">
        <v>5.49915446E8</v>
      </c>
      <c r="C25" s="423" t="s">
        <v>322</v>
      </c>
      <c r="D25" s="428">
        <v>8.809634610102E12</v>
      </c>
      <c r="E25" s="425">
        <v>285104.0</v>
      </c>
      <c r="F25" s="425">
        <v>205.0</v>
      </c>
      <c r="G25" s="425">
        <v>23.7</v>
      </c>
      <c r="H25" s="425">
        <v>176.0</v>
      </c>
      <c r="I25" s="425">
        <v>1250.0</v>
      </c>
      <c r="J25" s="425">
        <v>743.0</v>
      </c>
      <c r="K25" s="425">
        <v>-0.3</v>
      </c>
      <c r="L25" s="425"/>
      <c r="M25" s="425"/>
      <c r="N25" s="425"/>
      <c r="O25" s="425"/>
      <c r="P25" s="425"/>
      <c r="Q25" s="423"/>
      <c r="R25" s="423"/>
      <c r="S25" s="423"/>
      <c r="T25" s="423"/>
      <c r="U25" s="423"/>
      <c r="V25" s="423"/>
      <c r="W25" s="423"/>
      <c r="X25" s="423"/>
      <c r="Y25" s="423"/>
      <c r="Z25" s="423"/>
      <c r="AA25" s="423"/>
      <c r="AB25" s="423"/>
      <c r="AC25" s="423"/>
      <c r="AD25" s="423"/>
      <c r="AE25" s="423"/>
      <c r="AF25" s="423"/>
      <c r="AG25" s="423"/>
      <c r="AH25" s="423"/>
      <c r="AI25" s="423"/>
      <c r="AJ25" s="423"/>
      <c r="AK25" s="423"/>
    </row>
    <row r="26" ht="15.75" customHeight="1">
      <c r="A26" s="433" t="s">
        <v>317</v>
      </c>
      <c r="B26" s="423">
        <v>5.79061174E8</v>
      </c>
      <c r="C26" s="423" t="s">
        <v>323</v>
      </c>
      <c r="D26" s="428">
        <v>8.809634611178E12</v>
      </c>
      <c r="E26" s="425">
        <v>230300.0</v>
      </c>
      <c r="F26" s="425">
        <v>154.0</v>
      </c>
      <c r="G26" s="425">
        <v>22.2</v>
      </c>
      <c r="H26" s="425">
        <v>169.0</v>
      </c>
      <c r="I26" s="425">
        <v>1258.0</v>
      </c>
      <c r="J26" s="425">
        <v>760.0</v>
      </c>
      <c r="K26" s="425">
        <v>-1.4</v>
      </c>
      <c r="L26" s="425"/>
      <c r="M26" s="425"/>
      <c r="N26" s="425"/>
      <c r="O26" s="425"/>
      <c r="P26" s="425"/>
      <c r="Q26" s="423"/>
      <c r="R26" s="423"/>
      <c r="S26" s="423"/>
      <c r="T26" s="423"/>
      <c r="U26" s="423"/>
      <c r="V26" s="423"/>
      <c r="W26" s="423"/>
      <c r="X26" s="423"/>
      <c r="Y26" s="423"/>
      <c r="Z26" s="423"/>
      <c r="AA26" s="423"/>
      <c r="AB26" s="423"/>
      <c r="AC26" s="423"/>
      <c r="AD26" s="423"/>
      <c r="AE26" s="423"/>
      <c r="AF26" s="423"/>
      <c r="AG26" s="423"/>
      <c r="AH26" s="423"/>
      <c r="AI26" s="423"/>
      <c r="AJ26" s="423"/>
      <c r="AK26" s="423"/>
    </row>
    <row r="27" ht="15.75" customHeight="1">
      <c r="A27" s="433" t="s">
        <v>317</v>
      </c>
      <c r="B27" s="423">
        <v>4.91494146E8</v>
      </c>
      <c r="C27" s="423" t="s">
        <v>324</v>
      </c>
      <c r="D27" s="428">
        <v>8.809634610652E12</v>
      </c>
      <c r="E27" s="425">
        <v>212302.0</v>
      </c>
      <c r="F27" s="425">
        <v>210.0</v>
      </c>
      <c r="G27" s="425">
        <v>21.1</v>
      </c>
      <c r="H27" s="425">
        <v>112.0</v>
      </c>
      <c r="I27" s="425">
        <v>929.0</v>
      </c>
      <c r="J27" s="425">
        <v>532.0</v>
      </c>
      <c r="K27" s="425">
        <v>-3.9</v>
      </c>
      <c r="L27" s="425"/>
      <c r="M27" s="425"/>
      <c r="N27" s="425"/>
      <c r="O27" s="425"/>
      <c r="P27" s="425"/>
      <c r="Q27" s="423"/>
      <c r="R27" s="423"/>
      <c r="S27" s="423"/>
      <c r="T27" s="423"/>
      <c r="U27" s="423"/>
      <c r="V27" s="423"/>
      <c r="W27" s="423"/>
      <c r="X27" s="423"/>
      <c r="Y27" s="423"/>
      <c r="Z27" s="423"/>
      <c r="AA27" s="423"/>
      <c r="AB27" s="423"/>
      <c r="AC27" s="423"/>
      <c r="AD27" s="423"/>
      <c r="AE27" s="423"/>
      <c r="AF27" s="423"/>
      <c r="AG27" s="423"/>
      <c r="AH27" s="423"/>
      <c r="AI27" s="423"/>
      <c r="AJ27" s="423"/>
      <c r="AK27" s="423"/>
    </row>
    <row r="28" ht="15.75" customHeight="1">
      <c r="A28" s="433" t="s">
        <v>317</v>
      </c>
      <c r="B28" s="423">
        <v>2.90670128E8</v>
      </c>
      <c r="C28" s="423" t="s">
        <v>325</v>
      </c>
      <c r="D28" s="428">
        <v>8.809634610966E12</v>
      </c>
      <c r="E28" s="425">
        <v>175823.0</v>
      </c>
      <c r="F28" s="425">
        <v>124.0</v>
      </c>
      <c r="G28" s="425">
        <v>25.8</v>
      </c>
      <c r="H28" s="425">
        <v>184.0</v>
      </c>
      <c r="I28" s="425">
        <v>1220.0</v>
      </c>
      <c r="J28" s="425">
        <v>713.0</v>
      </c>
      <c r="K28" s="425">
        <v>1.4</v>
      </c>
      <c r="L28" s="425"/>
      <c r="M28" s="425"/>
      <c r="N28" s="425"/>
      <c r="O28" s="425"/>
      <c r="P28" s="425"/>
      <c r="Q28" s="423"/>
      <c r="R28" s="423"/>
      <c r="S28" s="423"/>
      <c r="T28" s="423"/>
      <c r="U28" s="423"/>
      <c r="V28" s="423"/>
      <c r="W28" s="423"/>
      <c r="X28" s="423"/>
      <c r="Y28" s="423"/>
      <c r="Z28" s="423"/>
      <c r="AA28" s="423"/>
      <c r="AB28" s="423"/>
      <c r="AC28" s="423"/>
      <c r="AD28" s="423"/>
      <c r="AE28" s="423"/>
      <c r="AF28" s="423"/>
      <c r="AG28" s="423"/>
      <c r="AH28" s="423"/>
      <c r="AI28" s="423"/>
      <c r="AJ28" s="423"/>
      <c r="AK28" s="423"/>
    </row>
    <row r="29" ht="15.75" customHeight="1">
      <c r="A29" s="433" t="s">
        <v>317</v>
      </c>
      <c r="B29" s="423">
        <v>9.24627733E8</v>
      </c>
      <c r="C29" s="423" t="s">
        <v>326</v>
      </c>
      <c r="D29" s="428">
        <v>8.809634610201E12</v>
      </c>
      <c r="E29" s="425">
        <v>158073.0</v>
      </c>
      <c r="F29" s="425">
        <v>144.0</v>
      </c>
      <c r="G29" s="425">
        <v>11.9</v>
      </c>
      <c r="H29" s="425">
        <v>79.0</v>
      </c>
      <c r="I29" s="425">
        <v>1044.0</v>
      </c>
      <c r="J29" s="425">
        <v>665.0</v>
      </c>
      <c r="K29" s="425">
        <v>-10.5</v>
      </c>
      <c r="L29" s="425"/>
      <c r="M29" s="425"/>
      <c r="N29" s="425"/>
      <c r="O29" s="425"/>
      <c r="P29" s="425"/>
      <c r="Q29" s="423"/>
      <c r="R29" s="423"/>
      <c r="S29" s="423"/>
      <c r="T29" s="423"/>
      <c r="U29" s="423"/>
      <c r="V29" s="423"/>
      <c r="W29" s="423"/>
      <c r="X29" s="423"/>
      <c r="Y29" s="423"/>
      <c r="Z29" s="423"/>
      <c r="AA29" s="423"/>
      <c r="AB29" s="423"/>
      <c r="AC29" s="423"/>
      <c r="AD29" s="423"/>
      <c r="AE29" s="423"/>
      <c r="AF29" s="423"/>
      <c r="AG29" s="423"/>
      <c r="AH29" s="423"/>
      <c r="AI29" s="423"/>
      <c r="AJ29" s="423"/>
      <c r="AK29" s="423"/>
    </row>
    <row r="30" ht="15.75" customHeight="1">
      <c r="A30" s="433" t="s">
        <v>317</v>
      </c>
      <c r="B30" s="423">
        <v>4.91494166E8</v>
      </c>
      <c r="C30" s="423" t="s">
        <v>327</v>
      </c>
      <c r="D30" s="428">
        <v>8.809634610096E12</v>
      </c>
      <c r="E30" s="425">
        <v>156870.0</v>
      </c>
      <c r="F30" s="425">
        <v>143.0</v>
      </c>
      <c r="G30" s="425">
        <v>44.7</v>
      </c>
      <c r="H30" s="425">
        <v>229.0</v>
      </c>
      <c r="I30" s="425">
        <v>1041.0</v>
      </c>
      <c r="J30" s="425">
        <v>512.0</v>
      </c>
      <c r="K30" s="425">
        <v>15.7</v>
      </c>
      <c r="L30" s="425"/>
      <c r="M30" s="425"/>
      <c r="N30" s="425"/>
      <c r="O30" s="425"/>
      <c r="P30" s="425"/>
      <c r="Q30" s="423"/>
      <c r="R30" s="423"/>
      <c r="S30" s="423"/>
      <c r="T30" s="423"/>
      <c r="U30" s="423"/>
      <c r="V30" s="423"/>
      <c r="W30" s="423"/>
      <c r="X30" s="423"/>
      <c r="Y30" s="423"/>
      <c r="Z30" s="423"/>
      <c r="AA30" s="423"/>
      <c r="AB30" s="423"/>
      <c r="AC30" s="423"/>
      <c r="AD30" s="423"/>
      <c r="AE30" s="423"/>
      <c r="AF30" s="423"/>
      <c r="AG30" s="423"/>
      <c r="AH30" s="423"/>
      <c r="AI30" s="423"/>
      <c r="AJ30" s="423"/>
      <c r="AK30" s="423"/>
    </row>
    <row r="31" ht="15.75" customHeight="1">
      <c r="A31" s="433" t="s">
        <v>317</v>
      </c>
      <c r="B31" s="423">
        <v>5.97277316E8</v>
      </c>
      <c r="C31" s="423" t="s">
        <v>328</v>
      </c>
      <c r="D31" s="428">
        <v>8.809634610546E12</v>
      </c>
      <c r="E31" s="425">
        <v>147356.0</v>
      </c>
      <c r="F31" s="425">
        <v>120.0</v>
      </c>
      <c r="G31" s="425">
        <v>35.0</v>
      </c>
      <c r="H31" s="425">
        <v>216.0</v>
      </c>
      <c r="I31" s="425">
        <v>1147.0</v>
      </c>
      <c r="J31" s="425">
        <v>617.0</v>
      </c>
      <c r="K31" s="425">
        <v>8.4</v>
      </c>
      <c r="L31" s="425"/>
      <c r="M31" s="425"/>
      <c r="N31" s="425"/>
      <c r="O31" s="425"/>
      <c r="P31" s="425"/>
      <c r="Q31" s="423"/>
      <c r="R31" s="423"/>
      <c r="S31" s="423"/>
      <c r="T31" s="423"/>
      <c r="U31" s="423"/>
      <c r="V31" s="423"/>
      <c r="W31" s="423"/>
      <c r="X31" s="423"/>
      <c r="Y31" s="423"/>
      <c r="Z31" s="423"/>
      <c r="AA31" s="423"/>
      <c r="AB31" s="423"/>
      <c r="AC31" s="423"/>
      <c r="AD31" s="423"/>
      <c r="AE31" s="423"/>
      <c r="AF31" s="423"/>
      <c r="AG31" s="423"/>
      <c r="AH31" s="423"/>
      <c r="AI31" s="423"/>
      <c r="AJ31" s="423"/>
      <c r="AK31" s="423"/>
    </row>
    <row r="32" ht="15.75" customHeight="1">
      <c r="A32" s="433" t="s">
        <v>317</v>
      </c>
      <c r="B32" s="423">
        <v>5.97308411E8</v>
      </c>
      <c r="C32" s="423" t="s">
        <v>329</v>
      </c>
      <c r="D32" s="428">
        <v>8.809634610058E12</v>
      </c>
      <c r="E32" s="425">
        <v>137804.0</v>
      </c>
      <c r="F32" s="425">
        <v>165.0</v>
      </c>
      <c r="G32" s="425">
        <v>30.3</v>
      </c>
      <c r="H32" s="425">
        <v>101.0</v>
      </c>
      <c r="I32" s="425">
        <v>685.0</v>
      </c>
      <c r="J32" s="425">
        <v>333.0</v>
      </c>
      <c r="K32" s="425">
        <v>0.9</v>
      </c>
      <c r="L32" s="425"/>
      <c r="M32" s="425"/>
      <c r="N32" s="425"/>
      <c r="O32" s="425"/>
      <c r="P32" s="425"/>
      <c r="Q32" s="423"/>
      <c r="R32" s="423"/>
      <c r="S32" s="423"/>
      <c r="T32" s="423"/>
      <c r="U32" s="423"/>
      <c r="V32" s="423"/>
      <c r="W32" s="423"/>
      <c r="X32" s="423"/>
      <c r="Y32" s="423"/>
      <c r="Z32" s="423"/>
      <c r="AA32" s="423"/>
      <c r="AB32" s="423"/>
      <c r="AC32" s="423"/>
      <c r="AD32" s="423"/>
      <c r="AE32" s="423"/>
      <c r="AF32" s="423"/>
      <c r="AG32" s="423"/>
      <c r="AH32" s="423"/>
      <c r="AI32" s="423"/>
      <c r="AJ32" s="423"/>
      <c r="AK32" s="423"/>
    </row>
    <row r="33" ht="15.75" customHeight="1">
      <c r="A33" s="433" t="s">
        <v>317</v>
      </c>
      <c r="B33" s="423">
        <v>5.97218971E8</v>
      </c>
      <c r="C33" s="423" t="s">
        <v>330</v>
      </c>
      <c r="D33" s="428">
        <v>8.80963461014E12</v>
      </c>
      <c r="E33" s="425">
        <v>104689.0</v>
      </c>
      <c r="F33" s="425">
        <v>74.0</v>
      </c>
      <c r="G33" s="425">
        <v>41.2</v>
      </c>
      <c r="H33" s="425">
        <v>313.0</v>
      </c>
      <c r="I33" s="425">
        <v>1428.0</v>
      </c>
      <c r="J33" s="425">
        <v>760.0</v>
      </c>
      <c r="K33" s="425">
        <v>14.3</v>
      </c>
      <c r="L33" s="425"/>
      <c r="M33" s="425"/>
      <c r="N33" s="425"/>
      <c r="O33" s="425"/>
      <c r="P33" s="425"/>
      <c r="Q33" s="423"/>
      <c r="R33" s="423"/>
      <c r="S33" s="423"/>
      <c r="T33" s="423"/>
      <c r="U33" s="423"/>
      <c r="V33" s="423"/>
      <c r="W33" s="423"/>
      <c r="X33" s="423"/>
      <c r="Y33" s="423"/>
      <c r="Z33" s="423"/>
      <c r="AA33" s="423"/>
      <c r="AB33" s="423"/>
      <c r="AC33" s="423"/>
      <c r="AD33" s="423"/>
      <c r="AE33" s="423"/>
      <c r="AF33" s="423"/>
      <c r="AG33" s="423"/>
      <c r="AH33" s="423"/>
      <c r="AI33" s="423"/>
      <c r="AJ33" s="423"/>
      <c r="AK33" s="423"/>
    </row>
    <row r="34" ht="15.75" customHeight="1">
      <c r="A34" s="433" t="s">
        <v>317</v>
      </c>
      <c r="B34" s="423">
        <v>8.89537489E8</v>
      </c>
      <c r="C34" s="423" t="s">
        <v>331</v>
      </c>
      <c r="D34" s="428">
        <v>8.809634610829E12</v>
      </c>
      <c r="E34" s="425">
        <v>84376.0</v>
      </c>
      <c r="F34" s="425">
        <v>64.0</v>
      </c>
      <c r="G34" s="425">
        <v>131.6</v>
      </c>
      <c r="H34" s="425">
        <v>625.0</v>
      </c>
      <c r="I34" s="425">
        <v>1459.0</v>
      </c>
      <c r="J34" s="425">
        <v>475.0</v>
      </c>
      <c r="K34" s="425">
        <v>87.7</v>
      </c>
      <c r="L34" s="425"/>
      <c r="M34" s="425"/>
      <c r="N34" s="425"/>
      <c r="O34" s="425"/>
      <c r="P34" s="425"/>
      <c r="Q34" s="423"/>
      <c r="R34" s="423"/>
      <c r="S34" s="423"/>
      <c r="T34" s="423"/>
      <c r="U34" s="423"/>
      <c r="V34" s="423"/>
      <c r="W34" s="423"/>
      <c r="X34" s="423"/>
      <c r="Y34" s="423"/>
      <c r="Z34" s="423"/>
      <c r="AA34" s="423"/>
      <c r="AB34" s="423"/>
      <c r="AC34" s="423"/>
      <c r="AD34" s="423"/>
      <c r="AE34" s="423"/>
      <c r="AF34" s="423"/>
      <c r="AG34" s="423"/>
      <c r="AH34" s="423"/>
      <c r="AI34" s="423"/>
      <c r="AJ34" s="423"/>
      <c r="AK34" s="423"/>
    </row>
    <row r="35" ht="15.75" customHeight="1">
      <c r="A35" s="433" t="s">
        <v>317</v>
      </c>
      <c r="B35" s="423">
        <v>5.75273979E8</v>
      </c>
      <c r="C35" s="423" t="s">
        <v>332</v>
      </c>
      <c r="D35" s="428">
        <v>8.809115027917E12</v>
      </c>
      <c r="E35" s="425">
        <v>78377.0</v>
      </c>
      <c r="F35" s="425">
        <v>66.0</v>
      </c>
      <c r="G35" s="425">
        <v>18.8</v>
      </c>
      <c r="H35" s="425">
        <v>135.0</v>
      </c>
      <c r="I35" s="425">
        <v>1170.0</v>
      </c>
      <c r="J35" s="425">
        <v>718.0</v>
      </c>
      <c r="K35" s="425">
        <v>-4.5</v>
      </c>
      <c r="L35" s="425"/>
      <c r="M35" s="425"/>
      <c r="N35" s="425"/>
      <c r="O35" s="425"/>
      <c r="P35" s="425"/>
      <c r="Q35" s="423"/>
      <c r="R35" s="423"/>
      <c r="S35" s="423"/>
      <c r="T35" s="423"/>
      <c r="U35" s="423"/>
      <c r="V35" s="423"/>
      <c r="W35" s="423"/>
      <c r="X35" s="423"/>
      <c r="Y35" s="423"/>
      <c r="Z35" s="423"/>
      <c r="AA35" s="423"/>
      <c r="AB35" s="423"/>
      <c r="AC35" s="423"/>
      <c r="AD35" s="423"/>
      <c r="AE35" s="423"/>
      <c r="AF35" s="423"/>
      <c r="AG35" s="423"/>
      <c r="AH35" s="423"/>
      <c r="AI35" s="423"/>
      <c r="AJ35" s="423"/>
      <c r="AK35" s="423"/>
    </row>
    <row r="36" ht="15.75" customHeight="1">
      <c r="A36" s="433" t="s">
        <v>317</v>
      </c>
      <c r="B36" s="423">
        <v>7.66216864E8</v>
      </c>
      <c r="C36" s="423" t="s">
        <v>333</v>
      </c>
      <c r="D36" s="428">
        <v>8.809115027924E12</v>
      </c>
      <c r="E36" s="425">
        <v>76226.0</v>
      </c>
      <c r="F36" s="425">
        <v>91.0</v>
      </c>
      <c r="G36" s="425">
        <v>-31.6</v>
      </c>
      <c r="H36" s="425">
        <v>-227.0</v>
      </c>
      <c r="I36" s="425">
        <v>751.0</v>
      </c>
      <c r="J36" s="425">
        <v>718.0</v>
      </c>
      <c r="K36" s="425">
        <v>-46.6</v>
      </c>
      <c r="L36" s="431"/>
      <c r="M36" s="431"/>
      <c r="N36" s="431"/>
      <c r="O36" s="431"/>
      <c r="P36" s="416"/>
      <c r="Q36" s="432"/>
      <c r="R36" s="432"/>
      <c r="S36" s="432"/>
      <c r="T36" s="432"/>
      <c r="U36" s="432"/>
      <c r="V36" s="432"/>
      <c r="W36" s="432"/>
      <c r="X36" s="432"/>
      <c r="Y36" s="432"/>
      <c r="Z36" s="432"/>
      <c r="AA36" s="432"/>
      <c r="AB36" s="432"/>
      <c r="AC36" s="432"/>
      <c r="AD36" s="432"/>
      <c r="AE36" s="432"/>
      <c r="AF36" s="432"/>
      <c r="AG36" s="432"/>
      <c r="AH36" s="432"/>
      <c r="AI36" s="432"/>
      <c r="AJ36" s="432"/>
      <c r="AK36" s="432"/>
    </row>
    <row r="37" ht="15.75" customHeight="1">
      <c r="A37" s="433" t="s">
        <v>317</v>
      </c>
      <c r="B37" s="423">
        <v>4.91494163E8</v>
      </c>
      <c r="C37" s="423" t="s">
        <v>334</v>
      </c>
      <c r="D37" s="428">
        <v>8.809634610683E12</v>
      </c>
      <c r="E37" s="425">
        <v>71440.0</v>
      </c>
      <c r="F37" s="425">
        <v>59.0</v>
      </c>
      <c r="G37" s="425">
        <v>30.3</v>
      </c>
      <c r="H37" s="425">
        <v>194.0</v>
      </c>
      <c r="I37" s="425">
        <v>1149.0</v>
      </c>
      <c r="J37" s="425">
        <v>641.0</v>
      </c>
      <c r="K37" s="425">
        <v>4.7</v>
      </c>
      <c r="L37" s="431"/>
      <c r="M37" s="431"/>
      <c r="N37" s="431"/>
      <c r="O37" s="431"/>
      <c r="P37" s="416"/>
      <c r="Q37" s="432"/>
      <c r="R37" s="432"/>
      <c r="S37" s="432"/>
      <c r="T37" s="432"/>
      <c r="U37" s="432"/>
      <c r="V37" s="432"/>
      <c r="W37" s="432"/>
      <c r="X37" s="432"/>
      <c r="Y37" s="432"/>
      <c r="Z37" s="432"/>
      <c r="AA37" s="432"/>
      <c r="AB37" s="432"/>
      <c r="AC37" s="432"/>
      <c r="AD37" s="432"/>
      <c r="AE37" s="432"/>
      <c r="AF37" s="432"/>
      <c r="AG37" s="432"/>
      <c r="AH37" s="432"/>
      <c r="AI37" s="432"/>
      <c r="AJ37" s="432"/>
      <c r="AK37" s="423"/>
    </row>
    <row r="38" ht="15.75" customHeight="1">
      <c r="A38" s="433" t="s">
        <v>317</v>
      </c>
      <c r="B38" s="423">
        <v>4.91494154E8</v>
      </c>
      <c r="C38" s="423" t="s">
        <v>335</v>
      </c>
      <c r="D38" s="428">
        <v>8.809634610218E12</v>
      </c>
      <c r="E38" s="425">
        <v>67068.0</v>
      </c>
      <c r="F38" s="425">
        <v>52.0</v>
      </c>
      <c r="G38" s="425">
        <v>38.6</v>
      </c>
      <c r="H38" s="425">
        <v>246.0</v>
      </c>
      <c r="I38" s="425">
        <v>1205.0</v>
      </c>
      <c r="J38" s="425">
        <v>637.0</v>
      </c>
      <c r="K38" s="425">
        <v>11.6</v>
      </c>
      <c r="L38" s="431"/>
      <c r="M38" s="431"/>
      <c r="N38" s="431"/>
      <c r="O38" s="431"/>
      <c r="P38" s="416"/>
      <c r="Q38" s="432"/>
      <c r="R38" s="432"/>
      <c r="S38" s="432"/>
      <c r="T38" s="432"/>
      <c r="U38" s="432"/>
      <c r="V38" s="432"/>
      <c r="W38" s="432"/>
      <c r="X38" s="432"/>
      <c r="Y38" s="432"/>
      <c r="Z38" s="432"/>
      <c r="AA38" s="432"/>
      <c r="AB38" s="432"/>
      <c r="AC38" s="432"/>
      <c r="AD38" s="432"/>
      <c r="AE38" s="432"/>
      <c r="AF38" s="432"/>
      <c r="AG38" s="432"/>
      <c r="AH38" s="432"/>
      <c r="AI38" s="432"/>
      <c r="AJ38" s="432"/>
      <c r="AK38" s="423"/>
    </row>
    <row r="39" ht="15.75" customHeight="1">
      <c r="A39" s="433" t="s">
        <v>317</v>
      </c>
      <c r="B39" s="423">
        <v>5.97293734E8</v>
      </c>
      <c r="C39" s="423" t="s">
        <v>336</v>
      </c>
      <c r="D39" s="428">
        <v>8.809634611093E12</v>
      </c>
      <c r="E39" s="425">
        <v>64849.0</v>
      </c>
      <c r="F39" s="425">
        <v>60.0</v>
      </c>
      <c r="G39" s="425">
        <v>24.1</v>
      </c>
      <c r="H39" s="425">
        <v>144.0</v>
      </c>
      <c r="I39" s="425">
        <v>1041.0</v>
      </c>
      <c r="J39" s="425">
        <v>598.0</v>
      </c>
      <c r="K39" s="425">
        <v>-0.8</v>
      </c>
      <c r="L39" s="431"/>
      <c r="M39" s="431"/>
      <c r="N39" s="431"/>
      <c r="O39" s="431"/>
      <c r="P39" s="416"/>
      <c r="Q39" s="432"/>
      <c r="R39" s="432"/>
      <c r="S39" s="432"/>
      <c r="T39" s="432"/>
      <c r="U39" s="432"/>
      <c r="V39" s="432"/>
      <c r="W39" s="432"/>
      <c r="X39" s="432"/>
      <c r="Y39" s="432"/>
      <c r="Z39" s="432"/>
      <c r="AA39" s="432"/>
      <c r="AB39" s="432"/>
      <c r="AC39" s="432"/>
      <c r="AD39" s="432"/>
      <c r="AE39" s="432"/>
      <c r="AF39" s="432"/>
      <c r="AG39" s="432"/>
      <c r="AH39" s="432"/>
      <c r="AI39" s="432"/>
      <c r="AJ39" s="432"/>
      <c r="AK39" s="423"/>
    </row>
    <row r="40" ht="15.75" customHeight="1">
      <c r="A40" s="433" t="s">
        <v>317</v>
      </c>
      <c r="B40" s="423">
        <v>5.9720677E8</v>
      </c>
      <c r="C40" s="423" t="s">
        <v>337</v>
      </c>
      <c r="D40" s="428">
        <v>8.809634610041E12</v>
      </c>
      <c r="E40" s="425">
        <v>60114.0</v>
      </c>
      <c r="F40" s="425">
        <v>44.0</v>
      </c>
      <c r="G40" s="425">
        <v>7.2</v>
      </c>
      <c r="H40" s="425">
        <v>66.0</v>
      </c>
      <c r="I40" s="425">
        <v>1313.0</v>
      </c>
      <c r="J40" s="425">
        <v>911.0</v>
      </c>
      <c r="K40" s="425">
        <v>-13.3</v>
      </c>
      <c r="L40" s="431"/>
      <c r="M40" s="431"/>
      <c r="N40" s="431"/>
      <c r="O40" s="431"/>
      <c r="P40" s="416"/>
      <c r="Q40" s="432"/>
      <c r="R40" s="432"/>
      <c r="S40" s="432"/>
      <c r="T40" s="432"/>
      <c r="U40" s="432"/>
      <c r="V40" s="432"/>
      <c r="W40" s="432"/>
      <c r="X40" s="432"/>
      <c r="Y40" s="432"/>
      <c r="Z40" s="432"/>
      <c r="AA40" s="432"/>
      <c r="AB40" s="432"/>
      <c r="AC40" s="432"/>
      <c r="AD40" s="432"/>
      <c r="AE40" s="432"/>
      <c r="AF40" s="432"/>
      <c r="AG40" s="432"/>
      <c r="AH40" s="432"/>
      <c r="AI40" s="432"/>
      <c r="AJ40" s="423"/>
      <c r="AK40" s="423"/>
    </row>
    <row r="41" ht="15.75" customHeight="1">
      <c r="A41" s="433" t="s">
        <v>317</v>
      </c>
      <c r="B41" s="423">
        <v>5.75269775E8</v>
      </c>
      <c r="C41" s="423" t="s">
        <v>338</v>
      </c>
      <c r="D41" s="428">
        <v>8.809634610362E12</v>
      </c>
      <c r="E41" s="425">
        <v>58269.0</v>
      </c>
      <c r="F41" s="425">
        <v>59.0</v>
      </c>
      <c r="G41" s="425">
        <v>5.8</v>
      </c>
      <c r="H41" s="425">
        <v>36.0</v>
      </c>
      <c r="I41" s="425">
        <v>939.0</v>
      </c>
      <c r="J41" s="425">
        <v>617.0</v>
      </c>
      <c r="K41" s="425">
        <v>-15.9</v>
      </c>
      <c r="L41" s="431"/>
      <c r="M41" s="431"/>
      <c r="N41" s="431"/>
      <c r="O41" s="431"/>
      <c r="P41" s="416"/>
      <c r="Q41" s="432"/>
      <c r="R41" s="432"/>
      <c r="S41" s="432"/>
      <c r="T41" s="432"/>
      <c r="U41" s="432"/>
      <c r="V41" s="432"/>
      <c r="W41" s="432"/>
      <c r="X41" s="432"/>
      <c r="Y41" s="432"/>
      <c r="Z41" s="432"/>
      <c r="AA41" s="432"/>
      <c r="AB41" s="432"/>
      <c r="AC41" s="432"/>
      <c r="AD41" s="432"/>
      <c r="AE41" s="432"/>
      <c r="AF41" s="432"/>
      <c r="AG41" s="432"/>
      <c r="AH41" s="432"/>
      <c r="AI41" s="432"/>
      <c r="AJ41" s="423"/>
      <c r="AK41" s="423"/>
    </row>
    <row r="42" ht="15.75" customHeight="1">
      <c r="A42" s="433" t="s">
        <v>317</v>
      </c>
      <c r="B42" s="423">
        <v>5.97249904E8</v>
      </c>
      <c r="C42" s="423" t="s">
        <v>339</v>
      </c>
      <c r="D42" s="428">
        <v>8.809634610539E12</v>
      </c>
      <c r="E42" s="425">
        <v>54068.0</v>
      </c>
      <c r="F42" s="425">
        <v>44.0</v>
      </c>
      <c r="G42" s="425">
        <v>39.7</v>
      </c>
      <c r="H42" s="425">
        <v>245.0</v>
      </c>
      <c r="I42" s="425">
        <v>1180.0</v>
      </c>
      <c r="J42" s="425">
        <v>617.0</v>
      </c>
      <c r="K42" s="425">
        <v>12.4</v>
      </c>
      <c r="L42" s="431"/>
      <c r="M42" s="431"/>
      <c r="N42" s="431"/>
      <c r="O42" s="431"/>
      <c r="P42" s="416"/>
      <c r="Q42" s="432"/>
      <c r="R42" s="432"/>
      <c r="S42" s="432"/>
      <c r="T42" s="432"/>
      <c r="U42" s="432"/>
      <c r="V42" s="432"/>
      <c r="W42" s="432"/>
      <c r="X42" s="432"/>
      <c r="Y42" s="432"/>
      <c r="Z42" s="432"/>
      <c r="AA42" s="432"/>
      <c r="AB42" s="432"/>
      <c r="AC42" s="432"/>
      <c r="AD42" s="432"/>
      <c r="AE42" s="432"/>
      <c r="AF42" s="432"/>
      <c r="AG42" s="432"/>
      <c r="AH42" s="432"/>
      <c r="AI42" s="432"/>
      <c r="AJ42" s="423"/>
      <c r="AK42" s="423"/>
    </row>
    <row r="43" ht="15.75" customHeight="1">
      <c r="A43" s="433" t="s">
        <v>317</v>
      </c>
      <c r="B43" s="423">
        <v>8.35735714E8</v>
      </c>
      <c r="C43" s="423" t="s">
        <v>340</v>
      </c>
      <c r="D43" s="428">
        <v>8.809634610119E12</v>
      </c>
      <c r="E43" s="425">
        <v>46995.0</v>
      </c>
      <c r="F43" s="425">
        <v>33.0</v>
      </c>
      <c r="G43" s="425">
        <v>46.6</v>
      </c>
      <c r="H43" s="425">
        <v>331.0</v>
      </c>
      <c r="I43" s="425">
        <v>1394.0</v>
      </c>
      <c r="J43" s="425">
        <v>712.0</v>
      </c>
      <c r="K43" s="425">
        <v>18.6</v>
      </c>
      <c r="L43" s="431"/>
      <c r="M43" s="431"/>
      <c r="N43" s="431"/>
      <c r="O43" s="431"/>
      <c r="P43" s="416"/>
      <c r="Q43" s="432"/>
      <c r="R43" s="432"/>
      <c r="S43" s="432"/>
      <c r="T43" s="432"/>
      <c r="U43" s="432"/>
      <c r="V43" s="432"/>
      <c r="W43" s="432"/>
      <c r="X43" s="432"/>
      <c r="Y43" s="432"/>
      <c r="Z43" s="432"/>
      <c r="AA43" s="432"/>
      <c r="AB43" s="432"/>
      <c r="AC43" s="432"/>
      <c r="AD43" s="432"/>
      <c r="AE43" s="432"/>
      <c r="AF43" s="432"/>
      <c r="AG43" s="432"/>
      <c r="AH43" s="432"/>
      <c r="AI43" s="432"/>
      <c r="AJ43" s="423"/>
      <c r="AK43" s="423"/>
    </row>
    <row r="44" ht="15.75" customHeight="1">
      <c r="A44" s="433" t="s">
        <v>317</v>
      </c>
      <c r="B44" s="423">
        <v>4.9149416E8</v>
      </c>
      <c r="C44" s="423" t="s">
        <v>341</v>
      </c>
      <c r="D44" s="428">
        <v>8.80963461085E12</v>
      </c>
      <c r="E44" s="425">
        <v>34141.0</v>
      </c>
      <c r="F44" s="425">
        <v>34.0</v>
      </c>
      <c r="G44" s="425">
        <v>39.2</v>
      </c>
      <c r="H44" s="425">
        <v>186.0</v>
      </c>
      <c r="I44" s="425">
        <v>948.0</v>
      </c>
      <c r="J44" s="425">
        <v>475.0</v>
      </c>
      <c r="K44" s="425">
        <v>10.7</v>
      </c>
      <c r="L44" s="425"/>
      <c r="M44" s="425"/>
      <c r="N44" s="425"/>
      <c r="O44" s="425"/>
      <c r="P44" s="425"/>
      <c r="Q44" s="423"/>
      <c r="R44" s="423"/>
      <c r="S44" s="423"/>
      <c r="T44" s="423"/>
      <c r="U44" s="423"/>
      <c r="V44" s="423"/>
      <c r="W44" s="423"/>
      <c r="X44" s="423"/>
      <c r="Y44" s="423"/>
      <c r="Z44" s="423"/>
      <c r="AA44" s="423"/>
      <c r="AB44" s="423"/>
      <c r="AC44" s="423"/>
      <c r="AD44" s="423"/>
      <c r="AE44" s="423"/>
      <c r="AF44" s="423"/>
      <c r="AG44" s="423"/>
      <c r="AH44" s="423"/>
      <c r="AI44" s="423"/>
      <c r="AJ44" s="423"/>
      <c r="AK44" s="423"/>
    </row>
    <row r="45" ht="15.75" customHeight="1">
      <c r="A45" s="433" t="s">
        <v>317</v>
      </c>
      <c r="B45" s="423">
        <v>5.97293733E8</v>
      </c>
      <c r="C45" s="423" t="s">
        <v>342</v>
      </c>
      <c r="D45" s="428">
        <v>8.809634611109E12</v>
      </c>
      <c r="E45" s="425">
        <v>33564.0</v>
      </c>
      <c r="F45" s="425">
        <v>31.0</v>
      </c>
      <c r="G45" s="425">
        <v>24.1</v>
      </c>
      <c r="H45" s="425">
        <v>144.0</v>
      </c>
      <c r="I45" s="425">
        <v>1041.0</v>
      </c>
      <c r="J45" s="425">
        <v>598.0</v>
      </c>
      <c r="K45" s="425">
        <v>-0.8</v>
      </c>
      <c r="L45" s="425"/>
      <c r="M45" s="425"/>
      <c r="N45" s="425"/>
      <c r="O45" s="425"/>
      <c r="P45" s="425"/>
      <c r="Q45" s="423"/>
      <c r="R45" s="423"/>
      <c r="S45" s="423"/>
      <c r="T45" s="423"/>
      <c r="U45" s="423"/>
      <c r="V45" s="423"/>
      <c r="W45" s="423"/>
      <c r="X45" s="423"/>
      <c r="Y45" s="423"/>
      <c r="Z45" s="423"/>
      <c r="AA45" s="423"/>
      <c r="AB45" s="423"/>
      <c r="AC45" s="423"/>
      <c r="AD45" s="423"/>
      <c r="AE45" s="423"/>
      <c r="AF45" s="423"/>
      <c r="AG45" s="423"/>
      <c r="AH45" s="423"/>
      <c r="AI45" s="423"/>
      <c r="AJ45" s="423"/>
      <c r="AK45" s="423"/>
    </row>
    <row r="46" ht="15.75" customHeight="1">
      <c r="A46" s="433" t="s">
        <v>317</v>
      </c>
      <c r="B46" s="423">
        <v>5.79909662E8</v>
      </c>
      <c r="C46" s="423" t="s">
        <v>343</v>
      </c>
      <c r="D46" s="428">
        <v>8.809634610294E12</v>
      </c>
      <c r="E46" s="425">
        <v>28297.0</v>
      </c>
      <c r="F46" s="425">
        <v>21.0</v>
      </c>
      <c r="G46" s="425">
        <v>57.5</v>
      </c>
      <c r="H46" s="425">
        <v>437.0</v>
      </c>
      <c r="I46" s="425">
        <v>1570.0</v>
      </c>
      <c r="J46" s="425">
        <v>760.0</v>
      </c>
      <c r="K46" s="425">
        <v>28.0</v>
      </c>
      <c r="L46" s="425"/>
      <c r="M46" s="425"/>
      <c r="N46" s="425"/>
      <c r="O46" s="425"/>
      <c r="P46" s="425"/>
      <c r="Q46" s="423"/>
      <c r="R46" s="423"/>
      <c r="S46" s="423"/>
      <c r="T46" s="423"/>
      <c r="U46" s="423"/>
      <c r="V46" s="423"/>
      <c r="W46" s="423"/>
      <c r="X46" s="423"/>
      <c r="Y46" s="423"/>
      <c r="Z46" s="423"/>
      <c r="AA46" s="423"/>
      <c r="AB46" s="423"/>
      <c r="AC46" s="423"/>
      <c r="AD46" s="423"/>
      <c r="AE46" s="423"/>
      <c r="AF46" s="423"/>
      <c r="AG46" s="423"/>
      <c r="AH46" s="423"/>
      <c r="AI46" s="423"/>
      <c r="AJ46" s="423"/>
      <c r="AK46" s="423"/>
    </row>
    <row r="47" ht="15.75" customHeight="1">
      <c r="A47" s="433" t="s">
        <v>317</v>
      </c>
      <c r="B47" s="423">
        <v>5.97215915E8</v>
      </c>
      <c r="C47" s="423" t="s">
        <v>344</v>
      </c>
      <c r="D47" s="428">
        <v>8.809634610836E12</v>
      </c>
      <c r="E47" s="425">
        <v>20663.0</v>
      </c>
      <c r="F47" s="425">
        <v>21.0</v>
      </c>
      <c r="G47" s="425">
        <v>37.1</v>
      </c>
      <c r="H47" s="425">
        <v>176.0</v>
      </c>
      <c r="I47" s="425">
        <v>939.0</v>
      </c>
      <c r="J47" s="425">
        <v>475.0</v>
      </c>
      <c r="K47" s="425">
        <v>8.8</v>
      </c>
      <c r="L47" s="425"/>
      <c r="M47" s="425"/>
      <c r="N47" s="425"/>
      <c r="O47" s="425"/>
      <c r="P47" s="425"/>
      <c r="Q47" s="423"/>
      <c r="R47" s="423"/>
      <c r="S47" s="423"/>
      <c r="T47" s="423"/>
      <c r="U47" s="423"/>
      <c r="V47" s="423"/>
      <c r="W47" s="423"/>
      <c r="X47" s="423"/>
      <c r="Y47" s="423"/>
      <c r="Z47" s="423"/>
      <c r="AA47" s="423"/>
      <c r="AB47" s="423"/>
      <c r="AC47" s="423"/>
      <c r="AD47" s="423"/>
      <c r="AE47" s="423"/>
      <c r="AF47" s="423"/>
      <c r="AG47" s="423"/>
      <c r="AH47" s="423"/>
      <c r="AI47" s="423"/>
      <c r="AJ47" s="423"/>
      <c r="AK47" s="423"/>
    </row>
    <row r="48" ht="15.75" customHeight="1">
      <c r="A48" s="434" t="s">
        <v>117</v>
      </c>
      <c r="B48" s="423">
        <v>7.91282451E8</v>
      </c>
      <c r="C48" s="423" t="s">
        <v>345</v>
      </c>
      <c r="D48" s="428">
        <v>8.809563069736E12</v>
      </c>
      <c r="E48" s="425">
        <v>206867.0</v>
      </c>
      <c r="F48" s="425">
        <v>122.0</v>
      </c>
      <c r="G48" s="425">
        <v>244.0</v>
      </c>
      <c r="H48" s="425">
        <v>1120.0</v>
      </c>
      <c r="I48" s="425">
        <v>2011.0</v>
      </c>
      <c r="J48" s="425">
        <v>459.0</v>
      </c>
      <c r="K48" s="425">
        <v>181.4</v>
      </c>
      <c r="L48" s="425"/>
      <c r="M48" s="425"/>
      <c r="N48" s="425"/>
      <c r="O48" s="425"/>
      <c r="P48" s="425"/>
      <c r="Q48" s="423"/>
      <c r="R48" s="423"/>
      <c r="S48" s="423"/>
      <c r="T48" s="423"/>
      <c r="U48" s="423"/>
      <c r="V48" s="423"/>
      <c r="W48" s="423"/>
      <c r="X48" s="423"/>
      <c r="Y48" s="423"/>
      <c r="Z48" s="423"/>
      <c r="AA48" s="423"/>
      <c r="AB48" s="423"/>
      <c r="AC48" s="423"/>
      <c r="AD48" s="423"/>
      <c r="AE48" s="423"/>
      <c r="AF48" s="423"/>
      <c r="AG48" s="423"/>
      <c r="AH48" s="423"/>
      <c r="AI48" s="423"/>
      <c r="AJ48" s="423"/>
      <c r="AK48" s="423"/>
    </row>
    <row r="49" ht="15.75" customHeight="1">
      <c r="A49" s="434" t="s">
        <v>117</v>
      </c>
      <c r="B49" s="423">
        <v>7.62291222E8</v>
      </c>
      <c r="C49" s="423" t="s">
        <v>346</v>
      </c>
      <c r="D49" s="428">
        <v>8.809563069637E12</v>
      </c>
      <c r="E49" s="425">
        <v>201278.0</v>
      </c>
      <c r="F49" s="425">
        <v>191.0</v>
      </c>
      <c r="G49" s="425">
        <v>234.2</v>
      </c>
      <c r="H49" s="425">
        <v>658.0</v>
      </c>
      <c r="I49" s="425">
        <v>1270.0</v>
      </c>
      <c r="J49" s="425">
        <v>281.0</v>
      </c>
      <c r="K49" s="425">
        <v>169.6</v>
      </c>
      <c r="L49" s="425"/>
      <c r="M49" s="425"/>
      <c r="N49" s="425"/>
      <c r="O49" s="425"/>
      <c r="P49" s="425"/>
      <c r="Q49" s="423"/>
      <c r="R49" s="423"/>
      <c r="S49" s="423"/>
      <c r="T49" s="423"/>
      <c r="U49" s="423"/>
      <c r="V49" s="423"/>
      <c r="W49" s="423"/>
      <c r="X49" s="423"/>
      <c r="Y49" s="423"/>
      <c r="Z49" s="423"/>
      <c r="AA49" s="423"/>
      <c r="AB49" s="423"/>
      <c r="AC49" s="423"/>
      <c r="AD49" s="423"/>
      <c r="AE49" s="423"/>
      <c r="AF49" s="423"/>
      <c r="AG49" s="423"/>
      <c r="AH49" s="423"/>
      <c r="AI49" s="423"/>
      <c r="AJ49" s="423"/>
      <c r="AK49" s="423"/>
    </row>
    <row r="50" ht="15.75" customHeight="1">
      <c r="A50" s="434" t="s">
        <v>117</v>
      </c>
      <c r="B50" s="423">
        <v>4.18167133E8</v>
      </c>
      <c r="C50" s="423" t="s">
        <v>347</v>
      </c>
      <c r="D50" s="428">
        <v>8.80933131316E12</v>
      </c>
      <c r="E50" s="425">
        <v>181102.0</v>
      </c>
      <c r="F50" s="425">
        <v>236.0</v>
      </c>
      <c r="G50" s="425">
        <v>137.3</v>
      </c>
      <c r="H50" s="425">
        <v>280.0</v>
      </c>
      <c r="I50" s="425">
        <v>743.0</v>
      </c>
      <c r="J50" s="425">
        <v>204.0</v>
      </c>
      <c r="K50" s="425">
        <v>85.2</v>
      </c>
      <c r="L50" s="425"/>
      <c r="M50" s="425"/>
      <c r="N50" s="425"/>
      <c r="O50" s="425"/>
      <c r="P50" s="425"/>
      <c r="Q50" s="423"/>
      <c r="R50" s="423"/>
      <c r="S50" s="423"/>
      <c r="T50" s="423"/>
      <c r="U50" s="423"/>
      <c r="V50" s="423"/>
      <c r="W50" s="423"/>
      <c r="X50" s="423"/>
      <c r="Y50" s="423"/>
      <c r="Z50" s="423"/>
      <c r="AA50" s="423"/>
      <c r="AB50" s="423"/>
      <c r="AC50" s="423"/>
      <c r="AD50" s="423"/>
      <c r="AE50" s="423"/>
      <c r="AF50" s="423"/>
      <c r="AG50" s="423"/>
      <c r="AH50" s="423"/>
      <c r="AI50" s="423"/>
      <c r="AJ50" s="423"/>
      <c r="AK50" s="423"/>
    </row>
    <row r="51" ht="15.75" customHeight="1">
      <c r="A51" s="434" t="s">
        <v>117</v>
      </c>
      <c r="B51" s="423">
        <v>4.1815096E8</v>
      </c>
      <c r="C51" s="423" t="s">
        <v>348</v>
      </c>
      <c r="D51" s="424">
        <v>8.809331313863E12</v>
      </c>
      <c r="E51" s="425">
        <v>162303.0</v>
      </c>
      <c r="F51" s="425">
        <v>134.0</v>
      </c>
      <c r="G51" s="425">
        <v>290.6</v>
      </c>
      <c r="H51" s="425">
        <v>683.0</v>
      </c>
      <c r="I51" s="425">
        <v>1247.0</v>
      </c>
      <c r="J51" s="425">
        <v>235.0</v>
      </c>
      <c r="K51" s="425">
        <v>214.9</v>
      </c>
      <c r="L51" s="425"/>
      <c r="M51" s="425"/>
      <c r="N51" s="425"/>
      <c r="O51" s="425"/>
      <c r="P51" s="425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423"/>
      <c r="AG51" s="423"/>
      <c r="AH51" s="423"/>
      <c r="AI51" s="423"/>
      <c r="AJ51" s="423"/>
      <c r="AK51" s="423"/>
    </row>
    <row r="52" ht="15.75" customHeight="1">
      <c r="A52" s="434" t="s">
        <v>117</v>
      </c>
      <c r="B52" s="423">
        <v>4.18163217E8</v>
      </c>
      <c r="C52" s="423" t="s">
        <v>349</v>
      </c>
      <c r="D52" s="424">
        <v>8.809563069408E12</v>
      </c>
      <c r="E52" s="425">
        <v>135004.0</v>
      </c>
      <c r="F52" s="425">
        <v>136.0</v>
      </c>
      <c r="G52" s="425">
        <v>180.1</v>
      </c>
      <c r="H52" s="425">
        <v>490.0</v>
      </c>
      <c r="I52" s="425">
        <v>1064.0</v>
      </c>
      <c r="J52" s="425">
        <v>272.0</v>
      </c>
      <c r="K52" s="425">
        <v>124.3</v>
      </c>
      <c r="L52" s="425"/>
      <c r="M52" s="425"/>
      <c r="N52" s="425"/>
      <c r="O52" s="425"/>
      <c r="P52" s="425"/>
      <c r="Q52" s="423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423"/>
      <c r="AG52" s="423"/>
      <c r="AH52" s="423"/>
      <c r="AI52" s="423"/>
      <c r="AJ52" s="423"/>
      <c r="AK52" s="423"/>
    </row>
    <row r="53" ht="15.75" customHeight="1">
      <c r="A53" s="434" t="s">
        <v>117</v>
      </c>
      <c r="B53" s="423">
        <v>7.6228571E8</v>
      </c>
      <c r="C53" s="423" t="s">
        <v>350</v>
      </c>
      <c r="D53" s="424">
        <v>8.809563067275E12</v>
      </c>
      <c r="E53" s="425">
        <v>131456.0</v>
      </c>
      <c r="F53" s="425">
        <v>126.0</v>
      </c>
      <c r="G53" s="425">
        <v>231.3</v>
      </c>
      <c r="H53" s="425">
        <v>650.0</v>
      </c>
      <c r="I53" s="425">
        <v>1260.0</v>
      </c>
      <c r="J53" s="425">
        <v>281.0</v>
      </c>
      <c r="K53" s="425">
        <v>167.3</v>
      </c>
      <c r="L53" s="425"/>
      <c r="M53" s="425"/>
      <c r="N53" s="425"/>
      <c r="O53" s="425"/>
      <c r="P53" s="425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423"/>
      <c r="AG53" s="423"/>
      <c r="AH53" s="423"/>
      <c r="AI53" s="423"/>
      <c r="AJ53" s="423"/>
      <c r="AK53" s="423"/>
    </row>
    <row r="54" ht="15.75" customHeight="1">
      <c r="A54" s="434" t="s">
        <v>117</v>
      </c>
      <c r="B54" s="423">
        <v>4.1816984E8</v>
      </c>
      <c r="C54" s="423" t="s">
        <v>351</v>
      </c>
      <c r="D54" s="424">
        <v>8.809331313252E12</v>
      </c>
      <c r="E54" s="425">
        <v>123150.0</v>
      </c>
      <c r="F54" s="425">
        <v>132.0</v>
      </c>
      <c r="G54" s="425">
        <v>114.1</v>
      </c>
      <c r="H54" s="425">
        <v>292.0</v>
      </c>
      <c r="I54" s="425">
        <v>816.0</v>
      </c>
      <c r="J54" s="425">
        <v>256.0</v>
      </c>
      <c r="K54" s="425">
        <v>68.5</v>
      </c>
      <c r="L54" s="425"/>
      <c r="M54" s="425"/>
      <c r="N54" s="425"/>
      <c r="O54" s="425"/>
      <c r="P54" s="425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423"/>
      <c r="AG54" s="423"/>
      <c r="AH54" s="423"/>
      <c r="AI54" s="423"/>
      <c r="AJ54" s="423"/>
      <c r="AK54" s="423"/>
    </row>
    <row r="55" ht="15.75" customHeight="1">
      <c r="A55" s="434" t="s">
        <v>117</v>
      </c>
      <c r="B55" s="423">
        <v>4.1816503E8</v>
      </c>
      <c r="C55" s="423" t="s">
        <v>352</v>
      </c>
      <c r="D55" s="424">
        <v>8.809563069712E12</v>
      </c>
      <c r="E55" s="425">
        <v>121308.0</v>
      </c>
      <c r="F55" s="425">
        <v>111.0</v>
      </c>
      <c r="G55" s="425">
        <v>186.5</v>
      </c>
      <c r="H55" s="425">
        <v>524.0</v>
      </c>
      <c r="I55" s="425">
        <v>1115.0</v>
      </c>
      <c r="J55" s="425">
        <v>281.0</v>
      </c>
      <c r="K55" s="425">
        <v>129.8</v>
      </c>
      <c r="L55" s="425"/>
      <c r="M55" s="425"/>
      <c r="N55" s="425"/>
      <c r="O55" s="425"/>
      <c r="P55" s="425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423"/>
      <c r="AG55" s="423"/>
      <c r="AH55" s="423"/>
      <c r="AI55" s="423"/>
      <c r="AJ55" s="423"/>
      <c r="AK55" s="423"/>
    </row>
    <row r="56" ht="15.75" customHeight="1">
      <c r="A56" s="434" t="s">
        <v>117</v>
      </c>
      <c r="B56" s="423">
        <v>4.18148657E8</v>
      </c>
      <c r="C56" s="423" t="s">
        <v>353</v>
      </c>
      <c r="D56" s="424">
        <v>8.809563067114E12</v>
      </c>
      <c r="E56" s="425">
        <v>107069.0</v>
      </c>
      <c r="F56" s="425">
        <v>237.0</v>
      </c>
      <c r="G56" s="425">
        <v>97.6</v>
      </c>
      <c r="H56" s="425">
        <v>122.0</v>
      </c>
      <c r="I56" s="425">
        <v>467.0</v>
      </c>
      <c r="J56" s="425">
        <v>125.0</v>
      </c>
      <c r="K56" s="425">
        <v>44.2</v>
      </c>
      <c r="L56" s="425"/>
      <c r="M56" s="425"/>
      <c r="N56" s="425"/>
      <c r="O56" s="425"/>
      <c r="P56" s="425"/>
      <c r="Q56" s="423"/>
      <c r="R56" s="423"/>
      <c r="S56" s="423"/>
      <c r="T56" s="423"/>
      <c r="U56" s="423"/>
      <c r="V56" s="423"/>
      <c r="W56" s="423"/>
      <c r="X56" s="423"/>
      <c r="Y56" s="423"/>
      <c r="Z56" s="423"/>
      <c r="AA56" s="423"/>
      <c r="AB56" s="423"/>
      <c r="AC56" s="423"/>
      <c r="AD56" s="423"/>
      <c r="AE56" s="423"/>
      <c r="AF56" s="423"/>
      <c r="AG56" s="423"/>
      <c r="AH56" s="423"/>
      <c r="AI56" s="423"/>
      <c r="AJ56" s="423"/>
      <c r="AK56" s="423"/>
    </row>
    <row r="57" ht="15.75" customHeight="1">
      <c r="A57" s="434" t="s">
        <v>117</v>
      </c>
      <c r="B57" s="423">
        <v>4.18138334E8</v>
      </c>
      <c r="C57" s="423" t="s">
        <v>354</v>
      </c>
      <c r="D57" s="424">
        <v>8.809563067503E12</v>
      </c>
      <c r="E57" s="425">
        <v>100623.0</v>
      </c>
      <c r="F57" s="425">
        <v>119.0</v>
      </c>
      <c r="G57" s="425">
        <v>159.2</v>
      </c>
      <c r="H57" s="425">
        <v>347.0</v>
      </c>
      <c r="I57" s="425">
        <v>836.0</v>
      </c>
      <c r="J57" s="425">
        <v>218.0</v>
      </c>
      <c r="K57" s="425">
        <v>104.4</v>
      </c>
      <c r="L57" s="425"/>
      <c r="M57" s="425"/>
      <c r="N57" s="425"/>
      <c r="O57" s="425"/>
      <c r="P57" s="425"/>
      <c r="Q57" s="423"/>
      <c r="R57" s="423"/>
      <c r="S57" s="423"/>
      <c r="T57" s="423"/>
      <c r="U57" s="423"/>
      <c r="V57" s="423"/>
      <c r="W57" s="423"/>
      <c r="X57" s="423"/>
      <c r="Y57" s="423"/>
      <c r="Z57" s="423"/>
      <c r="AA57" s="423"/>
      <c r="AB57" s="423"/>
      <c r="AC57" s="423"/>
      <c r="AD57" s="423"/>
      <c r="AE57" s="423"/>
      <c r="AF57" s="423"/>
      <c r="AG57" s="423"/>
      <c r="AH57" s="423"/>
      <c r="AI57" s="423"/>
      <c r="AJ57" s="423"/>
      <c r="AK57" s="423"/>
    </row>
    <row r="58" ht="15.75" customHeight="1">
      <c r="A58" s="434" t="s">
        <v>117</v>
      </c>
      <c r="B58" s="423">
        <v>4.18189042E8</v>
      </c>
      <c r="C58" s="423" t="s">
        <v>355</v>
      </c>
      <c r="D58" s="424">
        <v>8.809563067916E12</v>
      </c>
      <c r="E58" s="425">
        <v>99669.0</v>
      </c>
      <c r="F58" s="425">
        <v>116.0</v>
      </c>
      <c r="G58" s="425">
        <v>50.5</v>
      </c>
      <c r="H58" s="425">
        <v>210.0</v>
      </c>
      <c r="I58" s="425">
        <v>906.0</v>
      </c>
      <c r="J58" s="425">
        <v>416.0</v>
      </c>
      <c r="K58" s="425">
        <v>19.4</v>
      </c>
      <c r="L58" s="431"/>
      <c r="M58" s="431"/>
      <c r="N58" s="431"/>
      <c r="O58" s="431"/>
      <c r="P58" s="416"/>
      <c r="Q58" s="432"/>
      <c r="R58" s="432"/>
      <c r="S58" s="432"/>
      <c r="T58" s="432"/>
      <c r="U58" s="432"/>
      <c r="V58" s="432"/>
      <c r="W58" s="432"/>
      <c r="X58" s="432"/>
      <c r="Y58" s="432"/>
      <c r="Z58" s="432"/>
      <c r="AA58" s="432"/>
      <c r="AB58" s="432"/>
      <c r="AC58" s="432"/>
      <c r="AD58" s="432"/>
      <c r="AE58" s="432"/>
      <c r="AF58" s="432"/>
      <c r="AG58" s="432"/>
      <c r="AH58" s="432"/>
      <c r="AI58" s="432"/>
      <c r="AJ58" s="423"/>
      <c r="AK58" s="423"/>
    </row>
    <row r="59" ht="15.75" customHeight="1">
      <c r="A59" s="434" t="s">
        <v>117</v>
      </c>
      <c r="B59" s="423">
        <v>9.82658928E8</v>
      </c>
      <c r="C59" s="423" t="s">
        <v>356</v>
      </c>
      <c r="D59" s="428">
        <v>8.809563069484E12</v>
      </c>
      <c r="E59" s="425">
        <v>94176.0</v>
      </c>
      <c r="F59" s="425">
        <v>92.0</v>
      </c>
      <c r="G59" s="425">
        <v>159.9</v>
      </c>
      <c r="H59" s="425">
        <v>435.0</v>
      </c>
      <c r="I59" s="425">
        <v>1001.0</v>
      </c>
      <c r="J59" s="425">
        <v>272.0</v>
      </c>
      <c r="K59" s="425">
        <v>107.4</v>
      </c>
      <c r="L59" s="425"/>
      <c r="M59" s="425"/>
      <c r="N59" s="425"/>
      <c r="O59" s="425"/>
      <c r="P59" s="425"/>
      <c r="Q59" s="423"/>
      <c r="R59" s="423"/>
      <c r="S59" s="423"/>
      <c r="T59" s="423"/>
      <c r="U59" s="423"/>
      <c r="V59" s="423"/>
      <c r="W59" s="423"/>
      <c r="X59" s="423"/>
      <c r="Y59" s="423"/>
      <c r="Z59" s="423"/>
      <c r="AA59" s="423"/>
      <c r="AB59" s="423"/>
      <c r="AC59" s="423"/>
      <c r="AD59" s="423"/>
      <c r="AE59" s="423"/>
      <c r="AF59" s="423"/>
      <c r="AG59" s="423"/>
      <c r="AH59" s="423"/>
      <c r="AI59" s="423"/>
      <c r="AJ59" s="423"/>
      <c r="AK59" s="423"/>
    </row>
    <row r="60" ht="15.75" customHeight="1">
      <c r="A60" s="434" t="s">
        <v>117</v>
      </c>
      <c r="B60" s="423">
        <v>9.82658938E8</v>
      </c>
      <c r="C60" s="423" t="s">
        <v>357</v>
      </c>
      <c r="D60" s="428">
        <v>8.809563069903E12</v>
      </c>
      <c r="E60" s="425">
        <v>81721.0</v>
      </c>
      <c r="F60" s="425">
        <v>76.0</v>
      </c>
      <c r="G60" s="425">
        <v>168.2</v>
      </c>
      <c r="H60" s="425">
        <v>461.0</v>
      </c>
      <c r="I60" s="425">
        <v>1033.0</v>
      </c>
      <c r="J60" s="425">
        <v>274.0</v>
      </c>
      <c r="K60" s="425">
        <v>114.4</v>
      </c>
      <c r="L60" s="425"/>
      <c r="M60" s="425"/>
      <c r="N60" s="425"/>
      <c r="O60" s="425"/>
      <c r="P60" s="425"/>
      <c r="Q60" s="423"/>
      <c r="R60" s="423"/>
      <c r="S60" s="423"/>
      <c r="T60" s="423"/>
      <c r="U60" s="423"/>
      <c r="V60" s="423"/>
      <c r="W60" s="423"/>
      <c r="X60" s="423"/>
      <c r="Y60" s="423"/>
      <c r="Z60" s="423"/>
      <c r="AA60" s="423"/>
      <c r="AB60" s="423"/>
      <c r="AC60" s="423"/>
      <c r="AD60" s="423"/>
      <c r="AE60" s="423"/>
      <c r="AF60" s="423"/>
      <c r="AG60" s="423"/>
      <c r="AH60" s="423"/>
      <c r="AI60" s="423"/>
      <c r="AJ60" s="423"/>
      <c r="AK60" s="423"/>
    </row>
    <row r="61" ht="15.75" customHeight="1">
      <c r="A61" s="434" t="s">
        <v>117</v>
      </c>
      <c r="B61" s="423">
        <v>4.18170696E8</v>
      </c>
      <c r="C61" s="423" t="s">
        <v>358</v>
      </c>
      <c r="D61" s="428">
        <v>8.809331313825E12</v>
      </c>
      <c r="E61" s="425">
        <v>80819.0</v>
      </c>
      <c r="F61" s="425">
        <v>72.0</v>
      </c>
      <c r="G61" s="425">
        <v>176.3</v>
      </c>
      <c r="H61" s="425">
        <v>529.0</v>
      </c>
      <c r="I61" s="425">
        <v>1141.0</v>
      </c>
      <c r="J61" s="425">
        <v>300.0</v>
      </c>
      <c r="K61" s="425">
        <v>122.0</v>
      </c>
      <c r="L61" s="425"/>
      <c r="M61" s="425"/>
      <c r="N61" s="425"/>
      <c r="O61" s="425"/>
      <c r="P61" s="425"/>
      <c r="Q61" s="423"/>
      <c r="R61" s="423"/>
      <c r="S61" s="423"/>
      <c r="T61" s="423"/>
      <c r="U61" s="423"/>
      <c r="V61" s="423"/>
      <c r="W61" s="423"/>
      <c r="X61" s="423"/>
      <c r="Y61" s="423"/>
      <c r="Z61" s="423"/>
      <c r="AA61" s="423"/>
      <c r="AB61" s="423"/>
      <c r="AC61" s="423"/>
      <c r="AD61" s="423"/>
      <c r="AE61" s="423"/>
      <c r="AF61" s="423"/>
      <c r="AG61" s="423"/>
      <c r="AH61" s="423"/>
      <c r="AI61" s="423"/>
      <c r="AJ61" s="423"/>
      <c r="AK61" s="423"/>
    </row>
    <row r="62" ht="15.75" customHeight="1">
      <c r="A62" s="434" t="s">
        <v>117</v>
      </c>
      <c r="B62" s="423">
        <v>5.2323409E8</v>
      </c>
      <c r="C62" s="423" t="s">
        <v>359</v>
      </c>
      <c r="D62" s="428">
        <v>8.809536067619E12</v>
      </c>
      <c r="E62" s="425">
        <v>57506.0</v>
      </c>
      <c r="F62" s="425">
        <v>63.0</v>
      </c>
      <c r="G62" s="425">
        <v>77.4</v>
      </c>
      <c r="H62" s="425">
        <v>284.0</v>
      </c>
      <c r="I62" s="425">
        <v>935.0</v>
      </c>
      <c r="J62" s="425">
        <v>367.0</v>
      </c>
      <c r="K62" s="425">
        <v>41.0</v>
      </c>
      <c r="L62" s="425"/>
      <c r="M62" s="425"/>
      <c r="N62" s="425"/>
      <c r="O62" s="425"/>
      <c r="P62" s="425"/>
      <c r="Q62" s="423"/>
      <c r="R62" s="423"/>
      <c r="S62" s="423"/>
      <c r="T62" s="423"/>
      <c r="U62" s="423"/>
      <c r="V62" s="423"/>
      <c r="W62" s="423"/>
      <c r="X62" s="423"/>
      <c r="Y62" s="423"/>
      <c r="Z62" s="423"/>
      <c r="AA62" s="423"/>
      <c r="AB62" s="423"/>
      <c r="AC62" s="423"/>
      <c r="AD62" s="423"/>
      <c r="AE62" s="423"/>
      <c r="AF62" s="423"/>
      <c r="AG62" s="423"/>
      <c r="AH62" s="423"/>
      <c r="AI62" s="423"/>
      <c r="AJ62" s="423"/>
      <c r="AK62" s="423"/>
    </row>
    <row r="63" ht="15.75" customHeight="1">
      <c r="A63" s="434" t="s">
        <v>117</v>
      </c>
      <c r="B63" s="423">
        <v>4.18189387E8</v>
      </c>
      <c r="C63" s="423" t="s">
        <v>360</v>
      </c>
      <c r="D63" s="428">
        <v>8.809563066926E12</v>
      </c>
      <c r="E63" s="425">
        <v>46545.0</v>
      </c>
      <c r="F63" s="425">
        <v>44.0</v>
      </c>
      <c r="G63" s="425">
        <v>349.8</v>
      </c>
      <c r="H63" s="425">
        <v>640.0</v>
      </c>
      <c r="I63" s="425">
        <v>1138.0</v>
      </c>
      <c r="J63" s="425">
        <v>183.0</v>
      </c>
      <c r="K63" s="425">
        <v>260.9</v>
      </c>
      <c r="L63" s="425"/>
      <c r="M63" s="425"/>
      <c r="N63" s="425"/>
      <c r="O63" s="425"/>
      <c r="P63" s="425"/>
      <c r="Q63" s="423"/>
      <c r="R63" s="423"/>
      <c r="S63" s="423"/>
      <c r="T63" s="423"/>
      <c r="U63" s="423"/>
      <c r="V63" s="423"/>
      <c r="W63" s="423"/>
      <c r="X63" s="423"/>
      <c r="Y63" s="423"/>
      <c r="Z63" s="423"/>
      <c r="AA63" s="423"/>
      <c r="AB63" s="423"/>
      <c r="AC63" s="423"/>
      <c r="AD63" s="423"/>
      <c r="AE63" s="423"/>
      <c r="AF63" s="423"/>
      <c r="AG63" s="423"/>
      <c r="AH63" s="423"/>
      <c r="AI63" s="423"/>
      <c r="AJ63" s="423"/>
      <c r="AK63" s="423"/>
    </row>
    <row r="64" ht="15.75" customHeight="1">
      <c r="A64" s="434" t="s">
        <v>117</v>
      </c>
      <c r="B64" s="423">
        <v>1.56398363E8</v>
      </c>
      <c r="C64" s="423" t="s">
        <v>361</v>
      </c>
      <c r="D64" s="428">
        <v>8.809331318516E12</v>
      </c>
      <c r="E64" s="425">
        <v>45926.0</v>
      </c>
      <c r="F64" s="425">
        <v>71.0</v>
      </c>
      <c r="G64" s="425">
        <v>35.0</v>
      </c>
      <c r="H64" s="425">
        <v>123.0</v>
      </c>
      <c r="I64" s="425">
        <v>731.0</v>
      </c>
      <c r="J64" s="425">
        <v>351.0</v>
      </c>
      <c r="K64" s="425">
        <v>5.3</v>
      </c>
      <c r="L64" s="425"/>
      <c r="M64" s="425"/>
      <c r="N64" s="425"/>
      <c r="O64" s="425"/>
      <c r="P64" s="425"/>
      <c r="Q64" s="423"/>
      <c r="R64" s="423"/>
      <c r="S64" s="423"/>
      <c r="T64" s="423"/>
      <c r="U64" s="423"/>
      <c r="V64" s="423"/>
      <c r="W64" s="423"/>
      <c r="X64" s="423"/>
      <c r="Y64" s="423"/>
      <c r="Z64" s="423"/>
      <c r="AA64" s="423"/>
      <c r="AB64" s="423"/>
      <c r="AC64" s="423"/>
      <c r="AD64" s="423"/>
      <c r="AE64" s="423"/>
      <c r="AF64" s="423"/>
      <c r="AG64" s="423"/>
      <c r="AH64" s="423"/>
      <c r="AI64" s="423"/>
      <c r="AJ64" s="423"/>
      <c r="AK64" s="423"/>
    </row>
    <row r="65" ht="15.75" customHeight="1">
      <c r="A65" s="434" t="s">
        <v>117</v>
      </c>
      <c r="B65" s="423">
        <v>1.48559839E8</v>
      </c>
      <c r="C65" s="423" t="s">
        <v>362</v>
      </c>
      <c r="D65" s="428">
        <v>8.809563066834E12</v>
      </c>
      <c r="E65" s="425">
        <v>43349.0</v>
      </c>
      <c r="F65" s="425">
        <v>75.0</v>
      </c>
      <c r="G65" s="425">
        <v>125.6</v>
      </c>
      <c r="H65" s="425">
        <v>201.0</v>
      </c>
      <c r="I65" s="425">
        <v>599.0</v>
      </c>
      <c r="J65" s="425">
        <v>160.0</v>
      </c>
      <c r="K65" s="425">
        <v>72.1</v>
      </c>
      <c r="L65" s="425"/>
      <c r="M65" s="425"/>
      <c r="N65" s="425"/>
      <c r="O65" s="425"/>
      <c r="P65" s="425"/>
      <c r="Q65" s="423"/>
      <c r="R65" s="423"/>
      <c r="S65" s="423"/>
      <c r="T65" s="423"/>
      <c r="U65" s="423"/>
      <c r="V65" s="423"/>
      <c r="W65" s="423"/>
      <c r="X65" s="423"/>
      <c r="Y65" s="423"/>
      <c r="Z65" s="423"/>
      <c r="AA65" s="423"/>
      <c r="AB65" s="423"/>
      <c r="AC65" s="423"/>
      <c r="AD65" s="423"/>
      <c r="AE65" s="423"/>
      <c r="AF65" s="423"/>
      <c r="AG65" s="423"/>
      <c r="AH65" s="423"/>
      <c r="AI65" s="423"/>
      <c r="AJ65" s="423"/>
      <c r="AK65" s="423"/>
    </row>
    <row r="66" ht="15.75" customHeight="1">
      <c r="A66" s="434" t="s">
        <v>117</v>
      </c>
      <c r="B66" s="423">
        <v>4.18156336E8</v>
      </c>
      <c r="C66" s="423" t="s">
        <v>363</v>
      </c>
      <c r="D66" s="428">
        <v>8.809563068807E12</v>
      </c>
      <c r="E66" s="425">
        <v>41810.0</v>
      </c>
      <c r="F66" s="425">
        <v>69.0</v>
      </c>
      <c r="G66" s="425">
        <v>159.9</v>
      </c>
      <c r="H66" s="425">
        <v>251.0</v>
      </c>
      <c r="I66" s="425">
        <v>653.0</v>
      </c>
      <c r="J66" s="425">
        <v>157.0</v>
      </c>
      <c r="K66" s="425">
        <v>100.4</v>
      </c>
      <c r="L66" s="425"/>
      <c r="M66" s="425"/>
      <c r="N66" s="425"/>
      <c r="O66" s="425"/>
      <c r="P66" s="425"/>
      <c r="Q66" s="423"/>
      <c r="R66" s="423"/>
      <c r="S66" s="423"/>
      <c r="T66" s="423"/>
      <c r="U66" s="423"/>
      <c r="V66" s="423"/>
      <c r="W66" s="423"/>
      <c r="X66" s="423"/>
      <c r="Y66" s="423"/>
      <c r="Z66" s="423"/>
      <c r="AA66" s="423"/>
      <c r="AB66" s="423"/>
      <c r="AC66" s="423"/>
      <c r="AD66" s="423"/>
      <c r="AE66" s="423"/>
      <c r="AF66" s="423"/>
      <c r="AG66" s="423"/>
      <c r="AH66" s="423"/>
      <c r="AI66" s="423"/>
      <c r="AJ66" s="423"/>
      <c r="AK66" s="423"/>
    </row>
    <row r="67" ht="15.75" customHeight="1">
      <c r="A67" s="434" t="s">
        <v>117</v>
      </c>
      <c r="B67" s="435">
        <v>9.10675359E8</v>
      </c>
      <c r="C67" s="435" t="s">
        <v>364</v>
      </c>
      <c r="D67" s="436">
        <v>8.809331318479E12</v>
      </c>
      <c r="E67" s="431">
        <v>35853.0</v>
      </c>
      <c r="F67" s="431">
        <v>33.0</v>
      </c>
      <c r="G67" s="431">
        <v>134.7</v>
      </c>
      <c r="H67" s="431">
        <v>404.0</v>
      </c>
      <c r="I67" s="431">
        <v>996.0</v>
      </c>
      <c r="J67" s="431">
        <v>300.0</v>
      </c>
      <c r="K67" s="431">
        <v>87.2</v>
      </c>
      <c r="L67" s="416"/>
      <c r="M67" s="416"/>
      <c r="N67" s="416"/>
      <c r="O67" s="416"/>
      <c r="P67" s="416"/>
      <c r="Q67" s="432"/>
      <c r="R67" s="432"/>
      <c r="S67" s="432"/>
      <c r="T67" s="432"/>
      <c r="U67" s="432"/>
      <c r="V67" s="432"/>
      <c r="W67" s="432"/>
      <c r="X67" s="432"/>
      <c r="Y67" s="423"/>
      <c r="Z67" s="423"/>
      <c r="AA67" s="423"/>
      <c r="AB67" s="423"/>
      <c r="AC67" s="423"/>
      <c r="AD67" s="423"/>
      <c r="AE67" s="423"/>
      <c r="AF67" s="423"/>
      <c r="AG67" s="423"/>
      <c r="AH67" s="423"/>
      <c r="AI67" s="423"/>
      <c r="AJ67" s="423"/>
      <c r="AK67" s="423"/>
    </row>
    <row r="68" ht="15.75" customHeight="1">
      <c r="A68" s="434" t="s">
        <v>117</v>
      </c>
      <c r="B68" s="435">
        <v>2.38838007E8</v>
      </c>
      <c r="C68" s="435" t="s">
        <v>365</v>
      </c>
      <c r="D68" s="436">
        <v>8.809563069897E12</v>
      </c>
      <c r="E68" s="431">
        <v>31866.0</v>
      </c>
      <c r="F68" s="431">
        <v>21.0</v>
      </c>
      <c r="G68" s="431">
        <v>117.0</v>
      </c>
      <c r="H68" s="431">
        <v>556.0</v>
      </c>
      <c r="I68" s="431">
        <v>1379.0</v>
      </c>
      <c r="J68" s="431">
        <v>475.0</v>
      </c>
      <c r="K68" s="431">
        <v>75.5</v>
      </c>
      <c r="L68" s="416"/>
      <c r="M68" s="416"/>
      <c r="N68" s="416"/>
      <c r="O68" s="416"/>
      <c r="P68" s="416"/>
      <c r="Q68" s="432"/>
      <c r="R68" s="432"/>
      <c r="S68" s="432"/>
      <c r="T68" s="432"/>
      <c r="U68" s="432"/>
      <c r="V68" s="432"/>
      <c r="W68" s="432"/>
      <c r="X68" s="432"/>
      <c r="Y68" s="423"/>
      <c r="Z68" s="423"/>
      <c r="AA68" s="423"/>
      <c r="AB68" s="423"/>
      <c r="AC68" s="423"/>
      <c r="AD68" s="423"/>
      <c r="AE68" s="423"/>
      <c r="AF68" s="423"/>
      <c r="AG68" s="423"/>
      <c r="AH68" s="423"/>
      <c r="AI68" s="423"/>
      <c r="AJ68" s="423"/>
      <c r="AK68" s="423"/>
    </row>
    <row r="69" ht="15.75" customHeight="1">
      <c r="A69" s="434" t="s">
        <v>117</v>
      </c>
      <c r="B69" s="435">
        <v>9.82658901E8</v>
      </c>
      <c r="C69" s="435" t="s">
        <v>366</v>
      </c>
      <c r="D69" s="436">
        <v>8.809563069033E12</v>
      </c>
      <c r="E69" s="431">
        <v>31823.0</v>
      </c>
      <c r="F69" s="431">
        <v>18.0</v>
      </c>
      <c r="G69" s="431">
        <v>290.8</v>
      </c>
      <c r="H69" s="431">
        <v>887.0</v>
      </c>
      <c r="I69" s="431">
        <v>1563.0</v>
      </c>
      <c r="J69" s="431">
        <v>305.0</v>
      </c>
      <c r="K69" s="431">
        <v>217.6</v>
      </c>
      <c r="L69" s="416"/>
      <c r="M69" s="416"/>
      <c r="N69" s="416"/>
      <c r="O69" s="416"/>
      <c r="P69" s="416"/>
      <c r="Q69" s="432"/>
      <c r="R69" s="432"/>
      <c r="S69" s="432"/>
      <c r="T69" s="432"/>
      <c r="U69" s="432"/>
      <c r="V69" s="432"/>
      <c r="W69" s="432"/>
      <c r="X69" s="432"/>
      <c r="Y69" s="423"/>
      <c r="Z69" s="423"/>
      <c r="AA69" s="423"/>
      <c r="AB69" s="423"/>
      <c r="AC69" s="423"/>
      <c r="AD69" s="423"/>
      <c r="AE69" s="423"/>
      <c r="AF69" s="423"/>
      <c r="AG69" s="423"/>
      <c r="AH69" s="423"/>
      <c r="AI69" s="423"/>
      <c r="AJ69" s="423"/>
      <c r="AK69" s="423"/>
    </row>
    <row r="70" ht="15.75" customHeight="1">
      <c r="A70" s="434" t="s">
        <v>117</v>
      </c>
      <c r="B70" s="435">
        <v>1.4776702E8</v>
      </c>
      <c r="C70" s="435" t="s">
        <v>367</v>
      </c>
      <c r="D70" s="436">
        <v>8.809331317151E12</v>
      </c>
      <c r="E70" s="431">
        <v>31691.0</v>
      </c>
      <c r="F70" s="431">
        <v>42.0</v>
      </c>
      <c r="G70" s="431">
        <v>143.7</v>
      </c>
      <c r="H70" s="431">
        <v>398.0</v>
      </c>
      <c r="I70" s="431">
        <v>967.0</v>
      </c>
      <c r="J70" s="431">
        <v>277.0</v>
      </c>
      <c r="K70" s="431">
        <v>93.9</v>
      </c>
      <c r="L70" s="416"/>
      <c r="M70" s="416"/>
      <c r="N70" s="416"/>
      <c r="O70" s="416"/>
      <c r="P70" s="416"/>
      <c r="Q70" s="432"/>
      <c r="R70" s="432"/>
      <c r="S70" s="432"/>
      <c r="T70" s="432"/>
      <c r="U70" s="432"/>
      <c r="V70" s="432"/>
      <c r="W70" s="432"/>
      <c r="X70" s="432"/>
      <c r="Y70" s="423"/>
      <c r="Z70" s="423"/>
      <c r="AA70" s="423"/>
      <c r="AB70" s="423"/>
      <c r="AC70" s="423"/>
      <c r="AD70" s="423"/>
      <c r="AE70" s="423"/>
      <c r="AF70" s="423"/>
      <c r="AG70" s="423"/>
      <c r="AH70" s="423"/>
      <c r="AI70" s="423"/>
      <c r="AJ70" s="423"/>
      <c r="AK70" s="423"/>
    </row>
    <row r="71" ht="15.75" customHeight="1">
      <c r="A71" s="434" t="s">
        <v>117</v>
      </c>
      <c r="B71" s="435">
        <v>1.55675008E8</v>
      </c>
      <c r="C71" s="435" t="s">
        <v>368</v>
      </c>
      <c r="D71" s="436">
        <v>8.809563068746E12</v>
      </c>
      <c r="E71" s="431">
        <v>26848.0</v>
      </c>
      <c r="F71" s="431">
        <v>33.0</v>
      </c>
      <c r="G71" s="431">
        <v>143.2</v>
      </c>
      <c r="H71" s="431">
        <v>262.0</v>
      </c>
      <c r="I71" s="431">
        <v>700.0</v>
      </c>
      <c r="J71" s="431">
        <v>183.0</v>
      </c>
      <c r="K71" s="431">
        <v>88.6</v>
      </c>
      <c r="L71" s="416"/>
      <c r="M71" s="416"/>
      <c r="N71" s="416"/>
      <c r="O71" s="416"/>
      <c r="P71" s="416"/>
      <c r="Q71" s="432"/>
      <c r="R71" s="432"/>
      <c r="S71" s="432"/>
      <c r="T71" s="432"/>
      <c r="U71" s="432"/>
      <c r="V71" s="432"/>
      <c r="W71" s="432"/>
      <c r="X71" s="432"/>
      <c r="Y71" s="423"/>
      <c r="Z71" s="423"/>
      <c r="AA71" s="423"/>
      <c r="AB71" s="423"/>
      <c r="AC71" s="423"/>
      <c r="AD71" s="423"/>
      <c r="AE71" s="423"/>
      <c r="AF71" s="423"/>
      <c r="AG71" s="423"/>
      <c r="AH71" s="423"/>
      <c r="AI71" s="423"/>
      <c r="AJ71" s="423"/>
      <c r="AK71" s="423"/>
    </row>
    <row r="72" ht="15.75" customHeight="1">
      <c r="A72" s="434" t="s">
        <v>117</v>
      </c>
      <c r="B72" s="435">
        <v>8.61430067E8</v>
      </c>
      <c r="C72" s="435" t="s">
        <v>369</v>
      </c>
      <c r="D72" s="436">
        <v>8.809563069842E12</v>
      </c>
      <c r="E72" s="431">
        <v>21077.0</v>
      </c>
      <c r="F72" s="431">
        <v>17.0</v>
      </c>
      <c r="G72" s="431">
        <v>202.8</v>
      </c>
      <c r="H72" s="431">
        <v>570.0</v>
      </c>
      <c r="I72" s="431">
        <v>1168.0</v>
      </c>
      <c r="J72" s="431">
        <v>281.0</v>
      </c>
      <c r="K72" s="431">
        <v>143.5</v>
      </c>
      <c r="L72" s="416"/>
      <c r="M72" s="416"/>
      <c r="N72" s="416"/>
      <c r="O72" s="416"/>
      <c r="P72" s="416"/>
      <c r="Q72" s="432"/>
      <c r="R72" s="432"/>
      <c r="S72" s="432"/>
      <c r="T72" s="432"/>
      <c r="U72" s="432"/>
      <c r="V72" s="432"/>
      <c r="W72" s="432"/>
      <c r="X72" s="432"/>
      <c r="Y72" s="423"/>
      <c r="Z72" s="423"/>
      <c r="AA72" s="423"/>
      <c r="AB72" s="423"/>
      <c r="AC72" s="423"/>
      <c r="AD72" s="423"/>
      <c r="AE72" s="423"/>
      <c r="AF72" s="423"/>
      <c r="AG72" s="423"/>
      <c r="AH72" s="423"/>
      <c r="AI72" s="423"/>
      <c r="AJ72" s="423"/>
      <c r="AK72" s="423"/>
    </row>
    <row r="73" ht="15.75" customHeight="1">
      <c r="A73" s="434" t="s">
        <v>117</v>
      </c>
      <c r="B73" s="435">
        <v>5.65120104E8</v>
      </c>
      <c r="C73" s="435" t="s">
        <v>370</v>
      </c>
      <c r="D73" s="436">
        <v>8.809563069743E12</v>
      </c>
      <c r="E73" s="431">
        <v>17881.0</v>
      </c>
      <c r="F73" s="431">
        <v>19.0</v>
      </c>
      <c r="G73" s="431">
        <v>175.8</v>
      </c>
      <c r="H73" s="431">
        <v>457.0</v>
      </c>
      <c r="I73" s="431">
        <v>1013.0</v>
      </c>
      <c r="J73" s="431">
        <v>260.0</v>
      </c>
      <c r="K73" s="431">
        <v>120.1</v>
      </c>
      <c r="L73" s="416"/>
      <c r="M73" s="416"/>
      <c r="N73" s="416"/>
      <c r="O73" s="416"/>
      <c r="P73" s="416"/>
      <c r="Q73" s="432"/>
      <c r="R73" s="432"/>
      <c r="S73" s="432"/>
      <c r="T73" s="432"/>
      <c r="U73" s="432"/>
      <c r="V73" s="432"/>
      <c r="W73" s="432"/>
      <c r="X73" s="432"/>
      <c r="Y73" s="423"/>
      <c r="Z73" s="423"/>
      <c r="AA73" s="423"/>
      <c r="AB73" s="423"/>
      <c r="AC73" s="423"/>
      <c r="AD73" s="423"/>
      <c r="AE73" s="423"/>
      <c r="AF73" s="423"/>
      <c r="AG73" s="423"/>
      <c r="AH73" s="423"/>
      <c r="AI73" s="423"/>
      <c r="AJ73" s="423"/>
      <c r="AK73" s="423"/>
    </row>
    <row r="74" ht="15.75" customHeight="1">
      <c r="A74" s="437" t="s">
        <v>189</v>
      </c>
      <c r="B74" s="435">
        <v>2.12798848E8</v>
      </c>
      <c r="C74" s="435" t="s">
        <v>371</v>
      </c>
      <c r="D74" s="436">
        <v>8.809782551814E12</v>
      </c>
      <c r="E74" s="431">
        <v>1709388.0</v>
      </c>
      <c r="F74" s="431">
        <v>1032.0</v>
      </c>
      <c r="G74" s="431">
        <v>69.4</v>
      </c>
      <c r="H74" s="431">
        <v>473.0</v>
      </c>
      <c r="I74" s="431">
        <v>1523.0</v>
      </c>
      <c r="J74" s="431">
        <v>682.0</v>
      </c>
      <c r="K74" s="431">
        <v>37.5</v>
      </c>
      <c r="L74" s="416"/>
      <c r="M74" s="416"/>
      <c r="N74" s="416"/>
      <c r="O74" s="416"/>
      <c r="P74" s="416"/>
      <c r="Q74" s="432"/>
      <c r="R74" s="432"/>
      <c r="S74" s="432"/>
      <c r="T74" s="432"/>
      <c r="U74" s="432"/>
      <c r="V74" s="432"/>
      <c r="W74" s="432"/>
      <c r="X74" s="432"/>
      <c r="Y74" s="423"/>
      <c r="Z74" s="423"/>
      <c r="AA74" s="423"/>
      <c r="AB74" s="423"/>
      <c r="AC74" s="423"/>
      <c r="AD74" s="423"/>
      <c r="AE74" s="423"/>
      <c r="AF74" s="423"/>
      <c r="AG74" s="423"/>
      <c r="AH74" s="423"/>
      <c r="AI74" s="423"/>
      <c r="AJ74" s="423"/>
      <c r="AK74" s="423"/>
    </row>
    <row r="75" ht="15.75" customHeight="1">
      <c r="A75" s="437" t="s">
        <v>189</v>
      </c>
      <c r="B75" s="435">
        <v>2.12798844E8</v>
      </c>
      <c r="C75" s="435" t="s">
        <v>372</v>
      </c>
      <c r="D75" s="436">
        <v>8.809875904459E12</v>
      </c>
      <c r="E75" s="431">
        <v>641913.0</v>
      </c>
      <c r="F75" s="431">
        <v>452.0</v>
      </c>
      <c r="G75" s="431">
        <v>72.7</v>
      </c>
      <c r="H75" s="431">
        <v>465.0</v>
      </c>
      <c r="I75" s="431">
        <v>1464.0</v>
      </c>
      <c r="J75" s="431">
        <v>639.0</v>
      </c>
      <c r="K75" s="431">
        <v>40.0</v>
      </c>
      <c r="L75" s="416"/>
      <c r="M75" s="416"/>
      <c r="N75" s="416"/>
      <c r="O75" s="416"/>
      <c r="P75" s="416"/>
      <c r="Q75" s="432"/>
      <c r="R75" s="432"/>
      <c r="S75" s="432"/>
      <c r="T75" s="432"/>
      <c r="U75" s="432"/>
      <c r="V75" s="432"/>
      <c r="W75" s="432"/>
      <c r="X75" s="432"/>
      <c r="Y75" s="423"/>
      <c r="Z75" s="423"/>
      <c r="AA75" s="423"/>
      <c r="AB75" s="423"/>
      <c r="AC75" s="423"/>
      <c r="AD75" s="423"/>
      <c r="AE75" s="423"/>
      <c r="AF75" s="423"/>
      <c r="AG75" s="423"/>
      <c r="AH75" s="423"/>
      <c r="AI75" s="423"/>
      <c r="AJ75" s="423"/>
      <c r="AK75" s="423"/>
    </row>
    <row r="76" ht="15.75" customHeight="1">
      <c r="A76" s="437" t="s">
        <v>189</v>
      </c>
      <c r="B76" s="435">
        <v>2.13416584E8</v>
      </c>
      <c r="C76" s="435" t="s">
        <v>373</v>
      </c>
      <c r="D76" s="436">
        <v>8.809864769977E12</v>
      </c>
      <c r="E76" s="431">
        <v>482413.0</v>
      </c>
      <c r="F76" s="431">
        <v>273.0</v>
      </c>
      <c r="G76" s="431">
        <v>84.2</v>
      </c>
      <c r="H76" s="431">
        <v>574.0</v>
      </c>
      <c r="I76" s="431">
        <v>1640.0</v>
      </c>
      <c r="J76" s="431">
        <v>682.0</v>
      </c>
      <c r="K76" s="431">
        <v>49.8</v>
      </c>
      <c r="L76" s="416"/>
      <c r="M76" s="416"/>
      <c r="N76" s="416"/>
      <c r="O76" s="416"/>
      <c r="P76" s="416"/>
      <c r="Q76" s="432"/>
      <c r="R76" s="432"/>
      <c r="S76" s="432"/>
      <c r="T76" s="432"/>
      <c r="U76" s="432"/>
      <c r="V76" s="432"/>
      <c r="W76" s="432"/>
      <c r="X76" s="432"/>
      <c r="Y76" s="423"/>
      <c r="Z76" s="423"/>
      <c r="AA76" s="423"/>
      <c r="AB76" s="423"/>
      <c r="AC76" s="423"/>
      <c r="AD76" s="423"/>
      <c r="AE76" s="423"/>
      <c r="AF76" s="423"/>
      <c r="AG76" s="423"/>
      <c r="AH76" s="423"/>
      <c r="AI76" s="423"/>
      <c r="AJ76" s="423"/>
      <c r="AK76" s="423"/>
    </row>
    <row r="77" ht="15.75" customHeight="1">
      <c r="A77" s="437" t="s">
        <v>189</v>
      </c>
      <c r="B77" s="423">
        <v>4.2323592E8</v>
      </c>
      <c r="C77" s="423" t="s">
        <v>374</v>
      </c>
      <c r="D77" s="428">
        <v>8.809962542212E12</v>
      </c>
      <c r="E77" s="425">
        <v>312202.0</v>
      </c>
      <c r="F77" s="425">
        <v>172.0</v>
      </c>
      <c r="G77" s="425">
        <v>76.1</v>
      </c>
      <c r="H77" s="425">
        <v>553.0</v>
      </c>
      <c r="I77" s="425">
        <v>1668.0</v>
      </c>
      <c r="J77" s="425">
        <v>727.0</v>
      </c>
      <c r="K77" s="425">
        <v>43.3</v>
      </c>
      <c r="L77" s="431"/>
      <c r="M77" s="431"/>
      <c r="N77" s="431"/>
      <c r="O77" s="431"/>
      <c r="P77" s="416"/>
      <c r="Q77" s="432"/>
      <c r="R77" s="432"/>
      <c r="S77" s="432"/>
      <c r="T77" s="432"/>
      <c r="U77" s="432"/>
      <c r="V77" s="432"/>
      <c r="W77" s="432"/>
      <c r="X77" s="432"/>
      <c r="Y77" s="432"/>
      <c r="Z77" s="432"/>
      <c r="AA77" s="432"/>
      <c r="AB77" s="432"/>
      <c r="AC77" s="432"/>
      <c r="AD77" s="432"/>
      <c r="AE77" s="432"/>
      <c r="AF77" s="432"/>
      <c r="AG77" s="432"/>
      <c r="AH77" s="432"/>
      <c r="AI77" s="432"/>
      <c r="AJ77" s="423"/>
      <c r="AK77" s="423"/>
    </row>
    <row r="78" ht="15.75" customHeight="1">
      <c r="A78" s="437" t="s">
        <v>189</v>
      </c>
      <c r="B78" s="423">
        <v>2.21483595E8</v>
      </c>
      <c r="C78" s="423" t="s">
        <v>375</v>
      </c>
      <c r="D78" s="428">
        <v>8.809738607343E12</v>
      </c>
      <c r="E78" s="425">
        <v>272724.0</v>
      </c>
      <c r="F78" s="425">
        <v>191.0</v>
      </c>
      <c r="G78" s="425">
        <v>113.2</v>
      </c>
      <c r="H78" s="425">
        <v>522.0</v>
      </c>
      <c r="I78" s="425">
        <v>1321.0</v>
      </c>
      <c r="J78" s="425">
        <v>461.0</v>
      </c>
      <c r="K78" s="425">
        <v>72.3</v>
      </c>
      <c r="L78" s="425"/>
      <c r="M78" s="425"/>
      <c r="N78" s="425"/>
      <c r="O78" s="425"/>
      <c r="P78" s="425"/>
      <c r="Q78" s="423"/>
      <c r="R78" s="423"/>
      <c r="S78" s="423"/>
      <c r="T78" s="423"/>
      <c r="U78" s="423"/>
      <c r="V78" s="423"/>
      <c r="W78" s="423"/>
      <c r="X78" s="423"/>
      <c r="Y78" s="423"/>
      <c r="Z78" s="423"/>
      <c r="AA78" s="423"/>
      <c r="AB78" s="423"/>
      <c r="AC78" s="423"/>
      <c r="AD78" s="423"/>
      <c r="AE78" s="423"/>
      <c r="AF78" s="423"/>
      <c r="AG78" s="423"/>
      <c r="AH78" s="423"/>
      <c r="AI78" s="423"/>
      <c r="AJ78" s="423"/>
      <c r="AK78" s="423"/>
    </row>
    <row r="79" ht="15.75" customHeight="1">
      <c r="A79" s="437" t="s">
        <v>189</v>
      </c>
      <c r="B79" s="423">
        <v>2.12798867E8</v>
      </c>
      <c r="C79" s="423" t="s">
        <v>376</v>
      </c>
      <c r="D79" s="428">
        <v>8.809782558523E12</v>
      </c>
      <c r="E79" s="425">
        <v>267021.0</v>
      </c>
      <c r="F79" s="425">
        <v>164.0</v>
      </c>
      <c r="G79" s="425">
        <v>69.4</v>
      </c>
      <c r="H79" s="425">
        <v>473.0</v>
      </c>
      <c r="I79" s="425">
        <v>1523.0</v>
      </c>
      <c r="J79" s="425">
        <v>682.0</v>
      </c>
      <c r="K79" s="425">
        <v>37.5</v>
      </c>
      <c r="L79" s="431"/>
      <c r="M79" s="431"/>
      <c r="N79" s="431"/>
      <c r="O79" s="431"/>
      <c r="P79" s="416"/>
      <c r="Q79" s="432"/>
      <c r="R79" s="432"/>
      <c r="S79" s="432"/>
      <c r="T79" s="432"/>
      <c r="U79" s="432"/>
      <c r="V79" s="432"/>
      <c r="W79" s="432"/>
      <c r="X79" s="432"/>
      <c r="Y79" s="432"/>
      <c r="Z79" s="432"/>
      <c r="AA79" s="432"/>
      <c r="AB79" s="432"/>
      <c r="AC79" s="432"/>
      <c r="AD79" s="432"/>
      <c r="AE79" s="432"/>
      <c r="AF79" s="432"/>
      <c r="AG79" s="432"/>
      <c r="AH79" s="432"/>
      <c r="AI79" s="432"/>
      <c r="AJ79" s="423"/>
      <c r="AK79" s="423"/>
    </row>
    <row r="80" ht="15.75" customHeight="1">
      <c r="A80" s="437" t="s">
        <v>189</v>
      </c>
      <c r="B80" s="423">
        <v>2.41746162E8</v>
      </c>
      <c r="C80" s="423" t="s">
        <v>377</v>
      </c>
      <c r="D80" s="428">
        <v>8.809962540713E12</v>
      </c>
      <c r="E80" s="425">
        <v>33386.0</v>
      </c>
      <c r="F80" s="425">
        <v>66.0</v>
      </c>
      <c r="G80" s="425">
        <v>15.7</v>
      </c>
      <c r="H80" s="425">
        <v>34.0</v>
      </c>
      <c r="I80" s="425">
        <v>474.0</v>
      </c>
      <c r="J80" s="425">
        <v>216.0</v>
      </c>
      <c r="K80" s="425">
        <v>-15.6</v>
      </c>
      <c r="L80" s="425"/>
      <c r="M80" s="425"/>
      <c r="N80" s="425"/>
      <c r="O80" s="425"/>
      <c r="P80" s="425"/>
      <c r="Q80" s="423"/>
      <c r="R80" s="423"/>
      <c r="S80" s="423"/>
      <c r="T80" s="423"/>
      <c r="U80" s="423"/>
      <c r="V80" s="423"/>
      <c r="W80" s="423"/>
      <c r="X80" s="423"/>
      <c r="Y80" s="423"/>
      <c r="Z80" s="423"/>
      <c r="AA80" s="423"/>
      <c r="AB80" s="423"/>
      <c r="AC80" s="423"/>
      <c r="AD80" s="423"/>
      <c r="AE80" s="423"/>
      <c r="AF80" s="423"/>
      <c r="AG80" s="423"/>
      <c r="AH80" s="423"/>
      <c r="AI80" s="423"/>
      <c r="AJ80" s="423"/>
      <c r="AK80" s="423"/>
    </row>
    <row r="81" ht="15.75" customHeight="1">
      <c r="A81" s="437" t="s">
        <v>189</v>
      </c>
      <c r="B81" s="423">
        <v>2.12806814E8</v>
      </c>
      <c r="C81" s="423" t="s">
        <v>378</v>
      </c>
      <c r="D81" s="428">
        <v>8.809962541239E12</v>
      </c>
      <c r="E81" s="425">
        <v>22323.0</v>
      </c>
      <c r="F81" s="425">
        <v>16.0</v>
      </c>
      <c r="G81" s="425">
        <v>59.4</v>
      </c>
      <c r="H81" s="425">
        <v>360.0</v>
      </c>
      <c r="I81" s="425">
        <v>1304.0</v>
      </c>
      <c r="J81" s="425">
        <v>606.0</v>
      </c>
      <c r="K81" s="425">
        <v>28.7</v>
      </c>
      <c r="L81" s="425"/>
      <c r="M81" s="425"/>
      <c r="N81" s="425"/>
      <c r="O81" s="425"/>
      <c r="P81" s="425"/>
      <c r="Q81" s="423"/>
      <c r="R81" s="423"/>
      <c r="S81" s="423"/>
      <c r="T81" s="423"/>
      <c r="U81" s="423"/>
      <c r="V81" s="423"/>
      <c r="W81" s="423"/>
      <c r="X81" s="423"/>
      <c r="Y81" s="423"/>
      <c r="Z81" s="423"/>
      <c r="AA81" s="423"/>
      <c r="AB81" s="423"/>
      <c r="AC81" s="423"/>
      <c r="AD81" s="423"/>
      <c r="AE81" s="423"/>
      <c r="AF81" s="423"/>
      <c r="AG81" s="423"/>
      <c r="AH81" s="423"/>
      <c r="AI81" s="423"/>
      <c r="AJ81" s="423"/>
      <c r="AK81" s="423"/>
    </row>
    <row r="82" ht="15.75" customHeight="1">
      <c r="A82" s="434" t="s">
        <v>106</v>
      </c>
      <c r="B82" s="423">
        <v>5.65203172E8</v>
      </c>
      <c r="C82" s="423" t="s">
        <v>379</v>
      </c>
      <c r="D82" s="428">
        <v>8.803463019792E12</v>
      </c>
      <c r="E82" s="425">
        <v>956884.0</v>
      </c>
      <c r="F82" s="425">
        <v>376.0</v>
      </c>
      <c r="G82" s="425">
        <v>111.4</v>
      </c>
      <c r="H82" s="425">
        <v>994.0</v>
      </c>
      <c r="I82" s="425">
        <v>2370.0</v>
      </c>
      <c r="J82" s="425">
        <v>892.0</v>
      </c>
      <c r="K82" s="425">
        <v>73.5</v>
      </c>
      <c r="L82" s="431"/>
      <c r="M82" s="431"/>
      <c r="N82" s="431"/>
      <c r="O82" s="431"/>
      <c r="P82" s="416"/>
      <c r="Q82" s="432"/>
      <c r="R82" s="432"/>
      <c r="S82" s="432"/>
      <c r="T82" s="432"/>
      <c r="U82" s="432"/>
      <c r="V82" s="432"/>
      <c r="W82" s="432"/>
      <c r="X82" s="432"/>
      <c r="Y82" s="432"/>
      <c r="Z82" s="432"/>
      <c r="AA82" s="432"/>
      <c r="AB82" s="432"/>
      <c r="AC82" s="432"/>
      <c r="AD82" s="432"/>
      <c r="AE82" s="432"/>
      <c r="AF82" s="432"/>
      <c r="AG82" s="432"/>
      <c r="AH82" s="432"/>
      <c r="AI82" s="432"/>
      <c r="AJ82" s="423"/>
      <c r="AK82" s="423"/>
    </row>
    <row r="83" ht="15.75" customHeight="1">
      <c r="A83" s="434" t="s">
        <v>106</v>
      </c>
      <c r="B83" s="423">
        <v>4.97469025E8</v>
      </c>
      <c r="C83" s="423" t="s">
        <v>380</v>
      </c>
      <c r="D83" s="428">
        <v>8.803463007393E12</v>
      </c>
      <c r="E83" s="425">
        <v>433978.0</v>
      </c>
      <c r="F83" s="425">
        <v>219.0</v>
      </c>
      <c r="G83" s="425">
        <v>58.1</v>
      </c>
      <c r="H83" s="425">
        <v>487.0</v>
      </c>
      <c r="I83" s="425">
        <v>1719.0</v>
      </c>
      <c r="J83" s="425">
        <v>839.0</v>
      </c>
      <c r="K83" s="425">
        <v>28.8</v>
      </c>
      <c r="L83" s="425"/>
      <c r="M83" s="425"/>
      <c r="N83" s="425"/>
      <c r="O83" s="425"/>
      <c r="P83" s="425"/>
      <c r="Q83" s="423"/>
      <c r="R83" s="423"/>
      <c r="S83" s="423"/>
      <c r="T83" s="423"/>
      <c r="U83" s="423"/>
      <c r="V83" s="423"/>
      <c r="W83" s="423"/>
      <c r="X83" s="423"/>
      <c r="Y83" s="423"/>
      <c r="Z83" s="423"/>
      <c r="AA83" s="423"/>
      <c r="AB83" s="423"/>
      <c r="AC83" s="423"/>
      <c r="AD83" s="423"/>
      <c r="AE83" s="423"/>
      <c r="AF83" s="423"/>
      <c r="AG83" s="423"/>
      <c r="AH83" s="423"/>
      <c r="AI83" s="423"/>
      <c r="AJ83" s="423"/>
      <c r="AK83" s="423"/>
    </row>
    <row r="84" ht="15.75" customHeight="1">
      <c r="A84" s="434" t="s">
        <v>106</v>
      </c>
      <c r="B84" s="423">
        <v>6.6917298E8</v>
      </c>
      <c r="C84" s="423" t="s">
        <v>381</v>
      </c>
      <c r="D84" s="428"/>
      <c r="E84" s="425">
        <v>371341.0</v>
      </c>
      <c r="F84" s="425">
        <v>44.0</v>
      </c>
      <c r="G84" s="425"/>
      <c r="H84" s="425"/>
      <c r="I84" s="425">
        <v>7885.0</v>
      </c>
      <c r="J84" s="425"/>
      <c r="K84" s="425"/>
      <c r="L84" s="425"/>
      <c r="M84" s="425"/>
      <c r="N84" s="425"/>
      <c r="O84" s="425"/>
      <c r="P84" s="425"/>
      <c r="Q84" s="423"/>
      <c r="R84" s="423"/>
      <c r="S84" s="423"/>
      <c r="T84" s="423"/>
      <c r="U84" s="423"/>
      <c r="V84" s="423"/>
      <c r="W84" s="423"/>
      <c r="X84" s="423"/>
      <c r="Y84" s="423"/>
      <c r="Z84" s="423"/>
      <c r="AA84" s="423"/>
      <c r="AB84" s="423"/>
      <c r="AC84" s="423"/>
      <c r="AD84" s="423"/>
      <c r="AE84" s="423"/>
      <c r="AF84" s="423"/>
      <c r="AG84" s="423"/>
      <c r="AH84" s="423"/>
      <c r="AI84" s="423"/>
      <c r="AJ84" s="423"/>
      <c r="AK84" s="423"/>
    </row>
    <row r="85" ht="15.75" customHeight="1">
      <c r="A85" s="434" t="s">
        <v>106</v>
      </c>
      <c r="B85" s="423">
        <v>5.65140287E8</v>
      </c>
      <c r="C85" s="423" t="s">
        <v>382</v>
      </c>
      <c r="D85" s="428">
        <v>8.803463010515E12</v>
      </c>
      <c r="E85" s="425">
        <v>262358.0</v>
      </c>
      <c r="F85" s="425">
        <v>129.0</v>
      </c>
      <c r="G85" s="425">
        <v>130.5</v>
      </c>
      <c r="H85" s="425">
        <v>917.0</v>
      </c>
      <c r="I85" s="425">
        <v>2062.0</v>
      </c>
      <c r="J85" s="425">
        <v>703.0</v>
      </c>
      <c r="K85" s="425">
        <v>88.6</v>
      </c>
      <c r="L85" s="431"/>
      <c r="M85" s="431"/>
      <c r="N85" s="431"/>
      <c r="O85" s="431"/>
      <c r="P85" s="416"/>
      <c r="Q85" s="338"/>
      <c r="R85" s="338"/>
      <c r="S85" s="338"/>
      <c r="T85" s="338"/>
      <c r="U85" s="338"/>
      <c r="V85" s="338"/>
      <c r="W85" s="338"/>
      <c r="X85" s="338"/>
      <c r="Y85" s="338"/>
      <c r="Z85" s="338"/>
      <c r="AA85" s="338"/>
      <c r="AB85" s="338"/>
      <c r="AC85" s="338"/>
      <c r="AD85" s="338"/>
      <c r="AE85" s="338"/>
      <c r="AF85" s="338"/>
      <c r="AG85" s="338"/>
      <c r="AH85" s="338"/>
      <c r="AI85" s="338"/>
      <c r="AJ85" s="423"/>
      <c r="AK85" s="423"/>
    </row>
    <row r="86" ht="15.75" customHeight="1">
      <c r="A86" s="434" t="s">
        <v>106</v>
      </c>
      <c r="B86" s="423">
        <v>5.60492389E8</v>
      </c>
      <c r="C86" s="423" t="s">
        <v>383</v>
      </c>
      <c r="D86" s="428">
        <v>8.803463009687E12</v>
      </c>
      <c r="E86" s="425">
        <v>251614.0</v>
      </c>
      <c r="F86" s="425">
        <v>126.0</v>
      </c>
      <c r="G86" s="425">
        <v>75.1</v>
      </c>
      <c r="H86" s="425">
        <v>676.0</v>
      </c>
      <c r="I86" s="425">
        <v>2009.0</v>
      </c>
      <c r="J86" s="425">
        <v>900.0</v>
      </c>
      <c r="K86" s="425">
        <v>43.2</v>
      </c>
      <c r="L86" s="425"/>
      <c r="M86" s="425"/>
      <c r="N86" s="425"/>
      <c r="O86" s="425"/>
      <c r="P86" s="425"/>
      <c r="Q86" s="423"/>
      <c r="R86" s="423"/>
      <c r="S86" s="423"/>
      <c r="T86" s="423"/>
      <c r="U86" s="423"/>
      <c r="V86" s="423"/>
      <c r="W86" s="423"/>
      <c r="X86" s="423"/>
      <c r="Y86" s="423"/>
      <c r="Z86" s="423"/>
      <c r="AA86" s="423"/>
      <c r="AB86" s="423"/>
      <c r="AC86" s="423"/>
      <c r="AD86" s="423"/>
      <c r="AE86" s="423"/>
      <c r="AF86" s="423"/>
      <c r="AG86" s="423"/>
      <c r="AH86" s="423"/>
      <c r="AI86" s="423"/>
      <c r="AJ86" s="423"/>
      <c r="AK86" s="423"/>
    </row>
    <row r="87" ht="15.75" customHeight="1">
      <c r="A87" s="434" t="s">
        <v>106</v>
      </c>
      <c r="B87" s="423">
        <v>2.96814383E8</v>
      </c>
      <c r="C87" s="423" t="s">
        <v>384</v>
      </c>
      <c r="D87" s="428"/>
      <c r="E87" s="425">
        <v>235026.0</v>
      </c>
      <c r="F87" s="425">
        <v>83.0</v>
      </c>
      <c r="G87" s="425"/>
      <c r="H87" s="425"/>
      <c r="I87" s="425">
        <v>2689.0</v>
      </c>
      <c r="J87" s="425"/>
      <c r="K87" s="425"/>
      <c r="L87" s="425"/>
      <c r="M87" s="425"/>
      <c r="N87" s="425"/>
      <c r="O87" s="425"/>
      <c r="P87" s="425"/>
      <c r="Q87" s="423"/>
      <c r="R87" s="423"/>
      <c r="S87" s="423"/>
      <c r="T87" s="423"/>
      <c r="U87" s="423"/>
      <c r="V87" s="423"/>
      <c r="W87" s="423"/>
      <c r="X87" s="423"/>
      <c r="Y87" s="423"/>
      <c r="Z87" s="423"/>
      <c r="AA87" s="423"/>
      <c r="AB87" s="423"/>
      <c r="AC87" s="423"/>
      <c r="AD87" s="423"/>
      <c r="AE87" s="423"/>
      <c r="AF87" s="423"/>
      <c r="AG87" s="423"/>
      <c r="AH87" s="423"/>
      <c r="AI87" s="423"/>
      <c r="AJ87" s="423"/>
      <c r="AK87" s="423"/>
    </row>
    <row r="88" ht="15.75" customHeight="1">
      <c r="A88" s="434" t="s">
        <v>106</v>
      </c>
      <c r="B88" s="423">
        <v>8.59125861E8</v>
      </c>
      <c r="C88" s="423" t="s">
        <v>385</v>
      </c>
      <c r="D88" s="428">
        <v>8.809695677243E12</v>
      </c>
      <c r="E88" s="425">
        <v>232725.0</v>
      </c>
      <c r="F88" s="425">
        <v>102.0</v>
      </c>
      <c r="G88" s="425">
        <v>135.4</v>
      </c>
      <c r="H88" s="425">
        <v>952.0</v>
      </c>
      <c r="I88" s="425">
        <v>2086.0</v>
      </c>
      <c r="J88" s="425">
        <v>703.0</v>
      </c>
      <c r="K88" s="425">
        <v>93.0</v>
      </c>
      <c r="L88" s="425"/>
      <c r="M88" s="425"/>
      <c r="N88" s="425"/>
      <c r="O88" s="425"/>
      <c r="P88" s="425"/>
      <c r="Q88" s="423"/>
      <c r="R88" s="423"/>
      <c r="S88" s="423"/>
      <c r="T88" s="423"/>
      <c r="U88" s="423"/>
      <c r="V88" s="423"/>
      <c r="W88" s="423"/>
      <c r="X88" s="423"/>
      <c r="Y88" s="423"/>
      <c r="Z88" s="423"/>
      <c r="AA88" s="423"/>
      <c r="AB88" s="423"/>
      <c r="AC88" s="423"/>
      <c r="AD88" s="423"/>
      <c r="AE88" s="423"/>
      <c r="AF88" s="423"/>
      <c r="AG88" s="423"/>
      <c r="AH88" s="423"/>
      <c r="AI88" s="423"/>
      <c r="AJ88" s="423"/>
      <c r="AK88" s="423"/>
    </row>
    <row r="89" ht="15.75" customHeight="1">
      <c r="A89" s="434" t="s">
        <v>106</v>
      </c>
      <c r="B89" s="423">
        <v>5.8451157E8</v>
      </c>
      <c r="C89" s="423" t="s">
        <v>386</v>
      </c>
      <c r="D89" s="428"/>
      <c r="E89" s="425">
        <v>225686.0</v>
      </c>
      <c r="F89" s="425">
        <v>107.0</v>
      </c>
      <c r="G89" s="425"/>
      <c r="H89" s="425"/>
      <c r="I89" s="425">
        <v>1967.0</v>
      </c>
      <c r="J89" s="425"/>
      <c r="K89" s="425"/>
      <c r="L89" s="425"/>
      <c r="M89" s="425"/>
      <c r="N89" s="425"/>
      <c r="O89" s="425"/>
      <c r="P89" s="425"/>
      <c r="Q89" s="423"/>
      <c r="R89" s="423"/>
      <c r="S89" s="423"/>
      <c r="T89" s="423"/>
      <c r="U89" s="423"/>
      <c r="V89" s="423"/>
      <c r="W89" s="423"/>
      <c r="X89" s="423"/>
      <c r="Y89" s="423"/>
      <c r="Z89" s="423"/>
      <c r="AA89" s="423"/>
      <c r="AB89" s="423"/>
      <c r="AC89" s="423"/>
      <c r="AD89" s="423"/>
      <c r="AE89" s="423"/>
      <c r="AF89" s="423"/>
      <c r="AG89" s="423"/>
      <c r="AH89" s="423"/>
      <c r="AI89" s="423"/>
      <c r="AJ89" s="423"/>
      <c r="AK89" s="423"/>
    </row>
    <row r="90" ht="15.75" customHeight="1">
      <c r="A90" s="434" t="s">
        <v>106</v>
      </c>
      <c r="B90" s="423">
        <v>9.4672035E8</v>
      </c>
      <c r="C90" s="423" t="s">
        <v>387</v>
      </c>
      <c r="D90" s="428">
        <v>8.809695679285E12</v>
      </c>
      <c r="E90" s="425">
        <v>207884.0</v>
      </c>
      <c r="F90" s="425">
        <v>69.0</v>
      </c>
      <c r="G90" s="425">
        <v>39.9</v>
      </c>
      <c r="H90" s="425">
        <v>539.0</v>
      </c>
      <c r="I90" s="425">
        <v>2372.0</v>
      </c>
      <c r="J90" s="425">
        <v>1349.0</v>
      </c>
      <c r="K90" s="425">
        <v>14.8</v>
      </c>
      <c r="L90" s="425"/>
      <c r="M90" s="425"/>
      <c r="N90" s="425"/>
      <c r="O90" s="425"/>
      <c r="P90" s="425"/>
      <c r="Q90" s="423"/>
      <c r="R90" s="423"/>
      <c r="S90" s="423"/>
      <c r="T90" s="423"/>
      <c r="U90" s="423"/>
      <c r="V90" s="423"/>
      <c r="W90" s="423"/>
      <c r="X90" s="423"/>
      <c r="Y90" s="423"/>
      <c r="Z90" s="423"/>
      <c r="AA90" s="423"/>
      <c r="AB90" s="423"/>
      <c r="AC90" s="423"/>
      <c r="AD90" s="423"/>
      <c r="AE90" s="423"/>
      <c r="AF90" s="423"/>
      <c r="AG90" s="423"/>
      <c r="AH90" s="423"/>
      <c r="AI90" s="423"/>
      <c r="AJ90" s="423"/>
      <c r="AK90" s="423"/>
    </row>
    <row r="91" ht="15.75" customHeight="1">
      <c r="A91" s="434" t="s">
        <v>106</v>
      </c>
      <c r="B91" s="423">
        <v>5.65220416E8</v>
      </c>
      <c r="C91" s="423" t="s">
        <v>388</v>
      </c>
      <c r="D91" s="428">
        <v>8.803463013288E12</v>
      </c>
      <c r="E91" s="425">
        <v>202204.0</v>
      </c>
      <c r="F91" s="425">
        <v>116.0</v>
      </c>
      <c r="G91" s="425">
        <v>75.1</v>
      </c>
      <c r="H91" s="425">
        <v>541.0</v>
      </c>
      <c r="I91" s="425">
        <v>1646.0</v>
      </c>
      <c r="J91" s="425">
        <v>720.0</v>
      </c>
      <c r="K91" s="425">
        <v>42.5</v>
      </c>
      <c r="L91" s="431"/>
      <c r="M91" s="431"/>
      <c r="N91" s="431"/>
      <c r="O91" s="431"/>
      <c r="P91" s="416"/>
      <c r="Q91" s="338"/>
      <c r="R91" s="338"/>
      <c r="S91" s="338"/>
      <c r="T91" s="338"/>
      <c r="U91" s="338"/>
      <c r="V91" s="338"/>
      <c r="W91" s="338"/>
      <c r="X91" s="338"/>
      <c r="Y91" s="338"/>
      <c r="Z91" s="338"/>
      <c r="AA91" s="338"/>
      <c r="AB91" s="338"/>
      <c r="AC91" s="338"/>
      <c r="AD91" s="338"/>
      <c r="AE91" s="338"/>
      <c r="AF91" s="338"/>
      <c r="AG91" s="338"/>
      <c r="AH91" s="338"/>
      <c r="AI91" s="338"/>
      <c r="AJ91" s="423"/>
      <c r="AK91" s="423"/>
    </row>
    <row r="92" ht="15.75" customHeight="1">
      <c r="A92" s="434" t="s">
        <v>106</v>
      </c>
      <c r="B92" s="423">
        <v>6.69164327E8</v>
      </c>
      <c r="C92" s="423" t="s">
        <v>389</v>
      </c>
      <c r="D92" s="428">
        <v>8.803463009946E12</v>
      </c>
      <c r="E92" s="425">
        <v>179516.0</v>
      </c>
      <c r="F92" s="425">
        <v>100.0</v>
      </c>
      <c r="G92" s="425">
        <v>96.2</v>
      </c>
      <c r="H92" s="425">
        <v>649.0</v>
      </c>
      <c r="I92" s="425">
        <v>1719.0</v>
      </c>
      <c r="J92" s="425">
        <v>675.0</v>
      </c>
      <c r="K92" s="425">
        <v>59.8</v>
      </c>
      <c r="L92" s="425"/>
      <c r="M92" s="425"/>
      <c r="N92" s="425"/>
      <c r="O92" s="425"/>
      <c r="P92" s="425"/>
      <c r="Q92" s="423"/>
      <c r="R92" s="423"/>
      <c r="S92" s="423"/>
      <c r="T92" s="423"/>
      <c r="U92" s="423"/>
      <c r="V92" s="423"/>
      <c r="W92" s="423"/>
      <c r="X92" s="423"/>
      <c r="Y92" s="423"/>
      <c r="Z92" s="423"/>
      <c r="AA92" s="423"/>
      <c r="AB92" s="423"/>
      <c r="AC92" s="423"/>
      <c r="AD92" s="423"/>
      <c r="AE92" s="423"/>
      <c r="AF92" s="423"/>
      <c r="AG92" s="423"/>
      <c r="AH92" s="423"/>
      <c r="AI92" s="423"/>
      <c r="AJ92" s="423"/>
      <c r="AK92" s="423"/>
    </row>
    <row r="93" ht="15.75" customHeight="1">
      <c r="A93" s="434" t="s">
        <v>106</v>
      </c>
      <c r="B93" s="423">
        <v>8.60505286E8</v>
      </c>
      <c r="C93" s="423" t="s">
        <v>390</v>
      </c>
      <c r="D93" s="428">
        <v>8.803463003517E12</v>
      </c>
      <c r="E93" s="425">
        <v>179298.0</v>
      </c>
      <c r="F93" s="425">
        <v>112.0</v>
      </c>
      <c r="G93" s="425">
        <v>52.8</v>
      </c>
      <c r="H93" s="425">
        <v>400.0</v>
      </c>
      <c r="I93" s="425">
        <v>1528.0</v>
      </c>
      <c r="J93" s="425">
        <v>759.0</v>
      </c>
      <c r="K93" s="425">
        <v>24.0</v>
      </c>
      <c r="L93" s="425"/>
      <c r="M93" s="425"/>
      <c r="N93" s="425"/>
      <c r="O93" s="425"/>
      <c r="P93" s="425"/>
      <c r="Q93" s="423"/>
      <c r="R93" s="423"/>
      <c r="S93" s="423"/>
      <c r="T93" s="423"/>
      <c r="U93" s="423"/>
      <c r="V93" s="423"/>
      <c r="W93" s="423"/>
      <c r="X93" s="423"/>
      <c r="Y93" s="423"/>
      <c r="Z93" s="423"/>
      <c r="AA93" s="423"/>
      <c r="AB93" s="423"/>
      <c r="AC93" s="423"/>
      <c r="AD93" s="423"/>
      <c r="AE93" s="423"/>
      <c r="AF93" s="423"/>
      <c r="AG93" s="423"/>
      <c r="AH93" s="423"/>
      <c r="AI93" s="423"/>
      <c r="AJ93" s="423"/>
      <c r="AK93" s="423"/>
    </row>
    <row r="94" ht="15.75" customHeight="1">
      <c r="A94" s="434" t="s">
        <v>106</v>
      </c>
      <c r="B94" s="423">
        <v>7.0334493E8</v>
      </c>
      <c r="C94" s="423" t="s">
        <v>391</v>
      </c>
      <c r="D94" s="428">
        <v>8.803463004552E12</v>
      </c>
      <c r="E94" s="425">
        <v>172983.0</v>
      </c>
      <c r="F94" s="425">
        <v>103.0</v>
      </c>
      <c r="G94" s="425">
        <v>51.4</v>
      </c>
      <c r="H94" s="425">
        <v>453.0</v>
      </c>
      <c r="I94" s="425">
        <v>1729.0</v>
      </c>
      <c r="J94" s="425">
        <v>880.0</v>
      </c>
      <c r="K94" s="425">
        <v>23.4</v>
      </c>
      <c r="L94" s="425"/>
      <c r="M94" s="425"/>
      <c r="N94" s="425"/>
      <c r="O94" s="425"/>
      <c r="P94" s="425"/>
      <c r="Q94" s="423"/>
      <c r="R94" s="423"/>
      <c r="S94" s="423"/>
      <c r="T94" s="423"/>
      <c r="U94" s="423"/>
      <c r="V94" s="423"/>
      <c r="W94" s="423"/>
      <c r="X94" s="423"/>
      <c r="Y94" s="423"/>
      <c r="Z94" s="423"/>
      <c r="AA94" s="423"/>
      <c r="AB94" s="423"/>
      <c r="AC94" s="423"/>
      <c r="AD94" s="423"/>
      <c r="AE94" s="423"/>
      <c r="AF94" s="423"/>
      <c r="AG94" s="423"/>
      <c r="AH94" s="423"/>
      <c r="AI94" s="423"/>
      <c r="AJ94" s="423"/>
      <c r="AK94" s="423"/>
    </row>
    <row r="95" ht="15.75" customHeight="1">
      <c r="A95" s="434" t="s">
        <v>106</v>
      </c>
      <c r="B95" s="423">
        <v>8.89717074E8</v>
      </c>
      <c r="C95" s="423" t="s">
        <v>392</v>
      </c>
      <c r="D95" s="428">
        <v>8.803463012106E12</v>
      </c>
      <c r="E95" s="425">
        <v>171656.0</v>
      </c>
      <c r="F95" s="425">
        <v>122.0</v>
      </c>
      <c r="G95" s="425">
        <v>102.1</v>
      </c>
      <c r="H95" s="425">
        <v>480.0</v>
      </c>
      <c r="I95" s="425">
        <v>1394.0</v>
      </c>
      <c r="J95" s="425">
        <v>470.0</v>
      </c>
      <c r="K95" s="425">
        <v>59.8</v>
      </c>
      <c r="L95" s="425"/>
      <c r="M95" s="425"/>
      <c r="N95" s="425"/>
      <c r="O95" s="425"/>
      <c r="P95" s="425"/>
      <c r="Q95" s="423"/>
      <c r="R95" s="423"/>
      <c r="S95" s="423"/>
      <c r="T95" s="423"/>
      <c r="U95" s="423"/>
      <c r="V95" s="423"/>
      <c r="W95" s="423"/>
      <c r="X95" s="423"/>
      <c r="Y95" s="423"/>
      <c r="Z95" s="423"/>
      <c r="AA95" s="423"/>
      <c r="AB95" s="423"/>
      <c r="AC95" s="423"/>
      <c r="AD95" s="423"/>
      <c r="AE95" s="423"/>
      <c r="AF95" s="423"/>
      <c r="AG95" s="423"/>
      <c r="AH95" s="423"/>
      <c r="AI95" s="423"/>
      <c r="AJ95" s="423"/>
      <c r="AK95" s="423"/>
    </row>
    <row r="96" ht="15.75" customHeight="1">
      <c r="A96" s="434" t="s">
        <v>106</v>
      </c>
      <c r="B96" s="423">
        <v>7.10586002E8</v>
      </c>
      <c r="C96" s="423" t="s">
        <v>393</v>
      </c>
      <c r="D96" s="428">
        <v>8.803463003685E12</v>
      </c>
      <c r="E96" s="425">
        <v>166663.0</v>
      </c>
      <c r="F96" s="425">
        <v>42.0</v>
      </c>
      <c r="G96" s="425">
        <v>122.0</v>
      </c>
      <c r="H96" s="425">
        <v>1722.0</v>
      </c>
      <c r="I96" s="425">
        <v>3816.0</v>
      </c>
      <c r="J96" s="425">
        <v>1411.0</v>
      </c>
      <c r="K96" s="425">
        <v>83.4</v>
      </c>
      <c r="L96" s="425"/>
      <c r="M96" s="425"/>
      <c r="N96" s="425"/>
      <c r="O96" s="425"/>
      <c r="P96" s="425"/>
      <c r="Q96" s="423"/>
      <c r="R96" s="423"/>
      <c r="S96" s="423"/>
      <c r="T96" s="423"/>
      <c r="U96" s="423"/>
      <c r="V96" s="423"/>
      <c r="W96" s="423"/>
      <c r="X96" s="423"/>
      <c r="Y96" s="423"/>
      <c r="Z96" s="423"/>
      <c r="AA96" s="423"/>
      <c r="AB96" s="423"/>
      <c r="AC96" s="423"/>
      <c r="AD96" s="423"/>
      <c r="AE96" s="423"/>
      <c r="AF96" s="423"/>
      <c r="AG96" s="423"/>
      <c r="AH96" s="423"/>
      <c r="AI96" s="423"/>
      <c r="AJ96" s="423"/>
      <c r="AK96" s="423"/>
    </row>
    <row r="97" ht="15.75" customHeight="1">
      <c r="A97" s="434" t="s">
        <v>106</v>
      </c>
      <c r="B97" s="423">
        <v>7.83252637E8</v>
      </c>
      <c r="C97" s="423" t="s">
        <v>394</v>
      </c>
      <c r="D97" s="428">
        <v>8.803463003692E12</v>
      </c>
      <c r="E97" s="425">
        <v>165029.0</v>
      </c>
      <c r="F97" s="425">
        <v>45.0</v>
      </c>
      <c r="G97" s="425">
        <v>73.7</v>
      </c>
      <c r="H97" s="425">
        <v>1039.0</v>
      </c>
      <c r="I97" s="425">
        <v>3025.0</v>
      </c>
      <c r="J97" s="425">
        <v>1411.0</v>
      </c>
      <c r="K97" s="425">
        <v>43.0</v>
      </c>
      <c r="L97" s="425"/>
      <c r="M97" s="425"/>
      <c r="N97" s="425"/>
      <c r="O97" s="425"/>
      <c r="P97" s="425"/>
      <c r="Q97" s="423"/>
      <c r="R97" s="423"/>
      <c r="S97" s="423"/>
      <c r="T97" s="423"/>
      <c r="U97" s="423"/>
      <c r="V97" s="423"/>
      <c r="W97" s="423"/>
      <c r="X97" s="423"/>
      <c r="Y97" s="423"/>
      <c r="Z97" s="423"/>
      <c r="AA97" s="423"/>
      <c r="AB97" s="423"/>
      <c r="AC97" s="423"/>
      <c r="AD97" s="423"/>
      <c r="AE97" s="423"/>
      <c r="AF97" s="423"/>
      <c r="AG97" s="423"/>
      <c r="AH97" s="423"/>
      <c r="AI97" s="423"/>
      <c r="AJ97" s="423"/>
      <c r="AK97" s="423"/>
    </row>
    <row r="98" ht="15.75" customHeight="1">
      <c r="A98" s="434" t="s">
        <v>106</v>
      </c>
      <c r="B98" s="423">
        <v>4.18171613E8</v>
      </c>
      <c r="C98" s="423" t="s">
        <v>395</v>
      </c>
      <c r="D98" s="428">
        <v>8.809695678363E12</v>
      </c>
      <c r="E98" s="425">
        <v>154336.0</v>
      </c>
      <c r="F98" s="425">
        <v>84.0</v>
      </c>
      <c r="G98" s="425">
        <v>25.2</v>
      </c>
      <c r="H98" s="425">
        <v>263.0</v>
      </c>
      <c r="I98" s="425">
        <v>1698.0</v>
      </c>
      <c r="J98" s="425">
        <v>1043.0</v>
      </c>
      <c r="K98" s="425">
        <v>2.0</v>
      </c>
      <c r="L98" s="425"/>
      <c r="M98" s="425"/>
      <c r="N98" s="425"/>
      <c r="O98" s="425"/>
      <c r="P98" s="425"/>
      <c r="Q98" s="423"/>
      <c r="R98" s="423"/>
      <c r="S98" s="423"/>
      <c r="T98" s="423"/>
      <c r="U98" s="423"/>
      <c r="V98" s="423"/>
      <c r="W98" s="423"/>
      <c r="X98" s="423"/>
      <c r="Y98" s="423"/>
      <c r="Z98" s="423"/>
      <c r="AA98" s="423"/>
      <c r="AB98" s="423"/>
      <c r="AC98" s="423"/>
      <c r="AD98" s="423"/>
      <c r="AE98" s="423"/>
      <c r="AF98" s="423"/>
      <c r="AG98" s="423"/>
      <c r="AH98" s="423"/>
      <c r="AI98" s="423"/>
      <c r="AJ98" s="423"/>
      <c r="AK98" s="423"/>
    </row>
    <row r="99" ht="15.75" customHeight="1">
      <c r="A99" s="434" t="s">
        <v>106</v>
      </c>
      <c r="B99" s="423">
        <v>7.83412446E8</v>
      </c>
      <c r="C99" s="423" t="s">
        <v>396</v>
      </c>
      <c r="D99" s="428"/>
      <c r="E99" s="425">
        <v>146506.0</v>
      </c>
      <c r="F99" s="425">
        <v>33.0</v>
      </c>
      <c r="G99" s="425"/>
      <c r="H99" s="425"/>
      <c r="I99" s="425">
        <v>3575.0</v>
      </c>
      <c r="J99" s="425"/>
      <c r="K99" s="425"/>
      <c r="L99" s="425"/>
      <c r="M99" s="425"/>
      <c r="N99" s="425"/>
      <c r="O99" s="425"/>
      <c r="P99" s="425"/>
      <c r="Q99" s="423"/>
      <c r="R99" s="423"/>
      <c r="S99" s="423"/>
      <c r="T99" s="423"/>
      <c r="U99" s="423"/>
      <c r="V99" s="423"/>
      <c r="W99" s="423"/>
      <c r="X99" s="423"/>
      <c r="Y99" s="423"/>
      <c r="Z99" s="423"/>
      <c r="AA99" s="423"/>
      <c r="AB99" s="423"/>
      <c r="AC99" s="423"/>
      <c r="AD99" s="423"/>
      <c r="AE99" s="423"/>
      <c r="AF99" s="423"/>
      <c r="AG99" s="423"/>
      <c r="AH99" s="423"/>
      <c r="AI99" s="423"/>
      <c r="AJ99" s="423"/>
      <c r="AK99" s="423"/>
    </row>
    <row r="100" ht="15.75" customHeight="1">
      <c r="A100" s="434" t="s">
        <v>106</v>
      </c>
      <c r="B100" s="423">
        <v>9.46362764E8</v>
      </c>
      <c r="C100" s="423" t="s">
        <v>397</v>
      </c>
      <c r="D100" s="428"/>
      <c r="E100" s="425">
        <v>143190.0</v>
      </c>
      <c r="F100" s="425">
        <v>98.0</v>
      </c>
      <c r="G100" s="425"/>
      <c r="H100" s="425"/>
      <c r="I100" s="425">
        <v>1423.0</v>
      </c>
      <c r="J100" s="425"/>
      <c r="K100" s="425"/>
      <c r="L100" s="425"/>
      <c r="M100" s="425"/>
      <c r="N100" s="425"/>
      <c r="O100" s="425"/>
      <c r="P100" s="425"/>
      <c r="Q100" s="423"/>
      <c r="R100" s="423"/>
      <c r="S100" s="423"/>
      <c r="T100" s="423"/>
      <c r="U100" s="423"/>
      <c r="V100" s="423"/>
      <c r="W100" s="423"/>
      <c r="X100" s="423"/>
      <c r="Y100" s="423"/>
      <c r="Z100" s="423"/>
      <c r="AA100" s="423"/>
      <c r="AB100" s="423"/>
      <c r="AC100" s="423"/>
      <c r="AD100" s="423"/>
      <c r="AE100" s="423"/>
      <c r="AF100" s="423"/>
      <c r="AG100" s="423"/>
      <c r="AH100" s="423"/>
      <c r="AI100" s="423"/>
      <c r="AJ100" s="423"/>
      <c r="AK100" s="423"/>
    </row>
    <row r="101" ht="15.75" customHeight="1">
      <c r="A101" s="434" t="s">
        <v>106</v>
      </c>
      <c r="B101" s="423">
        <v>8.60493579E8</v>
      </c>
      <c r="C101" s="423" t="s">
        <v>398</v>
      </c>
      <c r="D101" s="428">
        <v>8.809695677199E12</v>
      </c>
      <c r="E101" s="425">
        <v>137158.0</v>
      </c>
      <c r="F101" s="425">
        <v>82.0</v>
      </c>
      <c r="G101" s="425">
        <v>73.6</v>
      </c>
      <c r="H101" s="425">
        <v>517.0</v>
      </c>
      <c r="I101" s="425">
        <v>1599.0</v>
      </c>
      <c r="J101" s="425">
        <v>703.0</v>
      </c>
      <c r="K101" s="425">
        <v>41.1</v>
      </c>
      <c r="L101" s="425"/>
      <c r="M101" s="425"/>
      <c r="N101" s="425"/>
      <c r="O101" s="425"/>
      <c r="P101" s="425"/>
      <c r="Q101" s="423"/>
      <c r="R101" s="423"/>
      <c r="S101" s="423"/>
      <c r="T101" s="423"/>
      <c r="U101" s="423"/>
      <c r="V101" s="423"/>
      <c r="W101" s="423"/>
      <c r="X101" s="423"/>
      <c r="Y101" s="423"/>
      <c r="Z101" s="423"/>
      <c r="AA101" s="423"/>
      <c r="AB101" s="423"/>
      <c r="AC101" s="423"/>
      <c r="AD101" s="423"/>
      <c r="AE101" s="423"/>
      <c r="AF101" s="423"/>
      <c r="AG101" s="423"/>
      <c r="AH101" s="423"/>
      <c r="AI101" s="423"/>
      <c r="AJ101" s="423"/>
      <c r="AK101" s="423"/>
    </row>
    <row r="102" ht="15.75" customHeight="1">
      <c r="A102" s="434" t="s">
        <v>106</v>
      </c>
      <c r="B102" s="423">
        <v>7.57411599E8</v>
      </c>
      <c r="C102" s="423" t="s">
        <v>399</v>
      </c>
      <c r="D102" s="428">
        <v>8.803463013318E12</v>
      </c>
      <c r="E102" s="425">
        <v>134451.0</v>
      </c>
      <c r="F102" s="425">
        <v>74.0</v>
      </c>
      <c r="G102" s="425">
        <v>85.4</v>
      </c>
      <c r="H102" s="425">
        <v>615.0</v>
      </c>
      <c r="I102" s="425">
        <v>1732.0</v>
      </c>
      <c r="J102" s="425">
        <v>720.0</v>
      </c>
      <c r="K102" s="425">
        <v>51.1</v>
      </c>
      <c r="L102" s="425"/>
      <c r="M102" s="425"/>
      <c r="N102" s="425"/>
      <c r="O102" s="425"/>
      <c r="P102" s="425"/>
      <c r="Q102" s="423"/>
      <c r="R102" s="423"/>
      <c r="S102" s="423"/>
      <c r="T102" s="423"/>
      <c r="U102" s="423"/>
      <c r="V102" s="423"/>
      <c r="W102" s="423"/>
      <c r="X102" s="423"/>
      <c r="Y102" s="423"/>
      <c r="Z102" s="423"/>
      <c r="AA102" s="423"/>
      <c r="AB102" s="423"/>
      <c r="AC102" s="423"/>
      <c r="AD102" s="423"/>
      <c r="AE102" s="423"/>
      <c r="AF102" s="423"/>
      <c r="AG102" s="423"/>
      <c r="AH102" s="423"/>
      <c r="AI102" s="423"/>
      <c r="AJ102" s="423"/>
      <c r="AK102" s="423"/>
    </row>
    <row r="103" ht="15.75" customHeight="1">
      <c r="A103" s="434" t="s">
        <v>106</v>
      </c>
      <c r="B103" s="423">
        <v>5.65208715E8</v>
      </c>
      <c r="C103" s="423" t="s">
        <v>400</v>
      </c>
      <c r="D103" s="428">
        <v>8.803463012236E12</v>
      </c>
      <c r="E103" s="425">
        <v>132621.0</v>
      </c>
      <c r="F103" s="425">
        <v>62.0</v>
      </c>
      <c r="G103" s="425">
        <v>940.3</v>
      </c>
      <c r="H103" s="425">
        <v>1410.0</v>
      </c>
      <c r="I103" s="425">
        <v>1991.0</v>
      </c>
      <c r="J103" s="425">
        <v>150.0</v>
      </c>
      <c r="K103" s="425">
        <v>750.7</v>
      </c>
      <c r="L103" s="425"/>
      <c r="M103" s="425"/>
      <c r="N103" s="425"/>
      <c r="O103" s="425"/>
      <c r="P103" s="425"/>
      <c r="Q103" s="423"/>
      <c r="R103" s="423"/>
      <c r="S103" s="423"/>
      <c r="T103" s="423"/>
      <c r="U103" s="423"/>
      <c r="V103" s="423"/>
      <c r="W103" s="423"/>
      <c r="X103" s="423"/>
      <c r="Y103" s="423"/>
      <c r="Z103" s="423"/>
      <c r="AA103" s="423"/>
      <c r="AB103" s="423"/>
      <c r="AC103" s="423"/>
      <c r="AD103" s="423"/>
      <c r="AE103" s="423"/>
      <c r="AF103" s="423"/>
      <c r="AG103" s="423"/>
      <c r="AH103" s="423"/>
      <c r="AI103" s="423"/>
      <c r="AJ103" s="423"/>
      <c r="AK103" s="423"/>
    </row>
    <row r="104" ht="15.75" customHeight="1">
      <c r="A104" s="434" t="s">
        <v>106</v>
      </c>
      <c r="B104" s="423">
        <v>5.65233628E8</v>
      </c>
      <c r="C104" s="423" t="s">
        <v>401</v>
      </c>
      <c r="D104" s="428">
        <v>8.803463013301E12</v>
      </c>
      <c r="E104" s="425">
        <v>129511.0</v>
      </c>
      <c r="F104" s="425">
        <v>72.0</v>
      </c>
      <c r="G104" s="425">
        <v>75.1</v>
      </c>
      <c r="H104" s="425">
        <v>541.0</v>
      </c>
      <c r="I104" s="425">
        <v>1646.0</v>
      </c>
      <c r="J104" s="425">
        <v>720.0</v>
      </c>
      <c r="K104" s="425">
        <v>42.5</v>
      </c>
      <c r="L104" s="425"/>
      <c r="M104" s="425"/>
      <c r="N104" s="425"/>
      <c r="O104" s="425"/>
      <c r="P104" s="425"/>
      <c r="Q104" s="423"/>
      <c r="R104" s="423"/>
      <c r="S104" s="423"/>
      <c r="T104" s="423"/>
      <c r="U104" s="423"/>
      <c r="V104" s="423"/>
      <c r="W104" s="423"/>
      <c r="X104" s="423"/>
      <c r="Y104" s="423"/>
      <c r="Z104" s="423"/>
      <c r="AA104" s="423"/>
      <c r="AB104" s="423"/>
      <c r="AC104" s="423"/>
      <c r="AD104" s="423"/>
      <c r="AE104" s="423"/>
      <c r="AF104" s="423"/>
      <c r="AG104" s="423"/>
      <c r="AH104" s="423"/>
      <c r="AI104" s="423"/>
      <c r="AJ104" s="423"/>
      <c r="AK104" s="423"/>
    </row>
    <row r="105" ht="15.75" customHeight="1">
      <c r="A105" s="434" t="s">
        <v>106</v>
      </c>
      <c r="B105" s="423">
        <v>9.46362712E8</v>
      </c>
      <c r="C105" s="423" t="s">
        <v>402</v>
      </c>
      <c r="D105" s="428"/>
      <c r="E105" s="425">
        <v>121586.0</v>
      </c>
      <c r="F105" s="425">
        <v>74.0</v>
      </c>
      <c r="G105" s="425"/>
      <c r="H105" s="425"/>
      <c r="I105" s="425">
        <v>1541.0</v>
      </c>
      <c r="J105" s="425"/>
      <c r="K105" s="425"/>
      <c r="L105" s="425"/>
      <c r="M105" s="425"/>
      <c r="N105" s="425"/>
      <c r="O105" s="425"/>
      <c r="P105" s="425"/>
      <c r="Q105" s="423"/>
      <c r="R105" s="423"/>
      <c r="S105" s="423"/>
      <c r="T105" s="423"/>
      <c r="U105" s="423"/>
      <c r="V105" s="423"/>
      <c r="W105" s="423"/>
      <c r="X105" s="423"/>
      <c r="Y105" s="423"/>
      <c r="Z105" s="423"/>
      <c r="AA105" s="423"/>
      <c r="AB105" s="423"/>
      <c r="AC105" s="423"/>
      <c r="AD105" s="423"/>
      <c r="AE105" s="423"/>
      <c r="AF105" s="423"/>
      <c r="AG105" s="423"/>
      <c r="AH105" s="423"/>
      <c r="AI105" s="423"/>
      <c r="AJ105" s="423"/>
      <c r="AK105" s="423"/>
    </row>
    <row r="106" ht="15.75" customHeight="1">
      <c r="A106" s="434" t="s">
        <v>106</v>
      </c>
      <c r="B106" s="423">
        <v>7.58762687E8</v>
      </c>
      <c r="C106" s="423" t="s">
        <v>403</v>
      </c>
      <c r="D106" s="428"/>
      <c r="E106" s="425">
        <v>116669.0</v>
      </c>
      <c r="F106" s="425">
        <v>37.0</v>
      </c>
      <c r="G106" s="425"/>
      <c r="H106" s="425"/>
      <c r="I106" s="425">
        <v>2990.0</v>
      </c>
      <c r="J106" s="425"/>
      <c r="K106" s="425"/>
      <c r="L106" s="425"/>
      <c r="M106" s="425"/>
      <c r="N106" s="425"/>
      <c r="O106" s="425"/>
      <c r="P106" s="425"/>
      <c r="Q106" s="423"/>
      <c r="R106" s="423"/>
      <c r="S106" s="423"/>
      <c r="T106" s="423"/>
      <c r="U106" s="423"/>
      <c r="V106" s="423"/>
      <c r="W106" s="423"/>
      <c r="X106" s="423"/>
      <c r="Y106" s="423"/>
      <c r="Z106" s="423"/>
      <c r="AA106" s="423"/>
      <c r="AB106" s="423"/>
      <c r="AC106" s="423"/>
      <c r="AD106" s="423"/>
      <c r="AE106" s="423"/>
      <c r="AF106" s="423"/>
      <c r="AG106" s="423"/>
      <c r="AH106" s="423"/>
      <c r="AI106" s="423"/>
      <c r="AJ106" s="423"/>
      <c r="AK106" s="423"/>
    </row>
    <row r="107" ht="15.75" customHeight="1">
      <c r="A107" s="434" t="s">
        <v>106</v>
      </c>
      <c r="B107" s="423">
        <v>4.35679978E8</v>
      </c>
      <c r="C107" s="423" t="s">
        <v>404</v>
      </c>
      <c r="D107" s="428">
        <v>8.809559626196E12</v>
      </c>
      <c r="E107" s="425">
        <v>114287.0</v>
      </c>
      <c r="F107" s="425">
        <v>78.0</v>
      </c>
      <c r="G107" s="425">
        <v>21.7</v>
      </c>
      <c r="H107" s="425">
        <v>191.0</v>
      </c>
      <c r="I107" s="425">
        <v>1425.0</v>
      </c>
      <c r="J107" s="425">
        <v>880.0</v>
      </c>
      <c r="K107" s="425">
        <v>-1.5</v>
      </c>
      <c r="L107" s="425"/>
      <c r="M107" s="425"/>
      <c r="N107" s="425"/>
      <c r="O107" s="425"/>
      <c r="P107" s="425"/>
      <c r="Q107" s="423"/>
      <c r="R107" s="423"/>
      <c r="S107" s="423"/>
      <c r="T107" s="423"/>
      <c r="U107" s="423"/>
      <c r="V107" s="423"/>
      <c r="W107" s="423"/>
      <c r="X107" s="423"/>
      <c r="Y107" s="423"/>
      <c r="Z107" s="423"/>
      <c r="AA107" s="423"/>
      <c r="AB107" s="423"/>
      <c r="AC107" s="423"/>
      <c r="AD107" s="423"/>
      <c r="AE107" s="423"/>
      <c r="AF107" s="423"/>
      <c r="AG107" s="423"/>
      <c r="AH107" s="423"/>
      <c r="AI107" s="423"/>
      <c r="AJ107" s="423"/>
      <c r="AK107" s="423"/>
    </row>
    <row r="108" ht="15.75" customHeight="1">
      <c r="A108" s="434" t="s">
        <v>106</v>
      </c>
      <c r="B108" s="423">
        <v>3.27520619E8</v>
      </c>
      <c r="C108" s="423" t="s">
        <v>405</v>
      </c>
      <c r="D108" s="428">
        <v>8.803463009663E12</v>
      </c>
      <c r="E108" s="425">
        <v>109979.0</v>
      </c>
      <c r="F108" s="425">
        <v>29.0</v>
      </c>
      <c r="G108" s="425">
        <v>75.6</v>
      </c>
      <c r="H108" s="425">
        <v>1234.0</v>
      </c>
      <c r="I108" s="425">
        <v>3506.0</v>
      </c>
      <c r="J108" s="425">
        <v>1632.0</v>
      </c>
      <c r="K108" s="425">
        <v>44.9</v>
      </c>
      <c r="L108" s="425"/>
      <c r="M108" s="425"/>
      <c r="N108" s="425"/>
      <c r="O108" s="425"/>
      <c r="P108" s="425"/>
      <c r="Q108" s="423"/>
      <c r="R108" s="423"/>
      <c r="S108" s="423"/>
      <c r="T108" s="423"/>
      <c r="U108" s="423"/>
      <c r="V108" s="423"/>
      <c r="W108" s="423"/>
      <c r="X108" s="423"/>
      <c r="Y108" s="423"/>
      <c r="Z108" s="423"/>
      <c r="AA108" s="423"/>
      <c r="AB108" s="423"/>
      <c r="AC108" s="423"/>
      <c r="AD108" s="423"/>
      <c r="AE108" s="423"/>
      <c r="AF108" s="423"/>
      <c r="AG108" s="423"/>
      <c r="AH108" s="423"/>
      <c r="AI108" s="423"/>
      <c r="AJ108" s="423"/>
      <c r="AK108" s="423"/>
    </row>
    <row r="109" ht="15.75" customHeight="1">
      <c r="A109" s="434" t="s">
        <v>106</v>
      </c>
      <c r="B109" s="423">
        <v>2.96816807E8</v>
      </c>
      <c r="C109" s="423" t="s">
        <v>406</v>
      </c>
      <c r="D109" s="428">
        <v>8.803463006402E12</v>
      </c>
      <c r="E109" s="425">
        <v>100034.0</v>
      </c>
      <c r="F109" s="425">
        <v>28.0</v>
      </c>
      <c r="G109" s="425">
        <v>96.9</v>
      </c>
      <c r="H109" s="425">
        <v>1367.0</v>
      </c>
      <c r="I109" s="425">
        <v>3404.0</v>
      </c>
      <c r="J109" s="425">
        <v>1411.0</v>
      </c>
      <c r="K109" s="425">
        <v>62.4</v>
      </c>
      <c r="L109" s="425"/>
      <c r="M109" s="425"/>
      <c r="N109" s="425"/>
      <c r="O109" s="425"/>
      <c r="P109" s="425"/>
      <c r="Q109" s="423"/>
      <c r="R109" s="423"/>
      <c r="S109" s="423"/>
      <c r="T109" s="423"/>
      <c r="U109" s="423"/>
      <c r="V109" s="423"/>
      <c r="W109" s="423"/>
      <c r="X109" s="423"/>
      <c r="Y109" s="423"/>
      <c r="Z109" s="423"/>
      <c r="AA109" s="423"/>
      <c r="AB109" s="423"/>
      <c r="AC109" s="423"/>
      <c r="AD109" s="423"/>
      <c r="AE109" s="423"/>
      <c r="AF109" s="423"/>
      <c r="AG109" s="423"/>
      <c r="AH109" s="423"/>
      <c r="AI109" s="423"/>
      <c r="AJ109" s="423"/>
      <c r="AK109" s="423"/>
    </row>
    <row r="110" ht="15.75" customHeight="1">
      <c r="A110" s="434"/>
      <c r="B110" s="423"/>
      <c r="C110" s="423"/>
      <c r="D110" s="428"/>
      <c r="E110" s="425"/>
      <c r="F110" s="425"/>
      <c r="G110" s="425"/>
      <c r="H110" s="425"/>
      <c r="I110" s="425"/>
      <c r="J110" s="425"/>
      <c r="K110" s="425"/>
      <c r="L110" s="425"/>
      <c r="M110" s="425"/>
      <c r="N110" s="425"/>
      <c r="O110" s="425"/>
      <c r="P110" s="425"/>
      <c r="Q110" s="423"/>
      <c r="R110" s="423"/>
      <c r="S110" s="423"/>
      <c r="T110" s="423"/>
      <c r="U110" s="423"/>
      <c r="V110" s="423"/>
      <c r="W110" s="423"/>
      <c r="X110" s="423"/>
      <c r="Y110" s="423"/>
      <c r="Z110" s="423"/>
      <c r="AA110" s="423"/>
      <c r="AB110" s="423"/>
      <c r="AC110" s="423"/>
      <c r="AD110" s="423"/>
      <c r="AE110" s="423"/>
      <c r="AF110" s="423"/>
      <c r="AG110" s="423"/>
      <c r="AH110" s="423"/>
      <c r="AI110" s="423"/>
      <c r="AJ110" s="423"/>
      <c r="AK110" s="423"/>
    </row>
    <row r="111" ht="15.75" customHeight="1">
      <c r="A111" s="434"/>
      <c r="B111" s="423"/>
      <c r="C111" s="423"/>
      <c r="D111" s="428"/>
      <c r="E111" s="425"/>
      <c r="F111" s="425"/>
      <c r="G111" s="425"/>
      <c r="H111" s="425"/>
      <c r="I111" s="425"/>
      <c r="J111" s="425"/>
      <c r="K111" s="425"/>
      <c r="L111" s="425"/>
      <c r="M111" s="425"/>
      <c r="N111" s="425"/>
      <c r="O111" s="425"/>
      <c r="P111" s="425"/>
      <c r="Q111" s="423"/>
      <c r="R111" s="423"/>
      <c r="S111" s="423"/>
      <c r="T111" s="423"/>
      <c r="U111" s="423"/>
      <c r="V111" s="423"/>
      <c r="W111" s="423"/>
      <c r="X111" s="423"/>
      <c r="Y111" s="423"/>
      <c r="Z111" s="423"/>
      <c r="AA111" s="423"/>
      <c r="AB111" s="423"/>
      <c r="AC111" s="423"/>
      <c r="AD111" s="423"/>
      <c r="AE111" s="423"/>
      <c r="AF111" s="423"/>
      <c r="AG111" s="423"/>
      <c r="AH111" s="423"/>
      <c r="AI111" s="423"/>
      <c r="AJ111" s="423"/>
      <c r="AK111" s="423"/>
    </row>
    <row r="112" ht="15.75" customHeight="1">
      <c r="A112" s="434"/>
      <c r="B112" s="423"/>
      <c r="C112" s="423"/>
      <c r="D112" s="428"/>
      <c r="E112" s="425"/>
      <c r="F112" s="425"/>
      <c r="G112" s="425"/>
      <c r="H112" s="425"/>
      <c r="I112" s="425"/>
      <c r="J112" s="425"/>
      <c r="K112" s="425"/>
      <c r="L112" s="425"/>
      <c r="M112" s="425"/>
      <c r="N112" s="425"/>
      <c r="O112" s="425"/>
      <c r="P112" s="425"/>
      <c r="Q112" s="423"/>
      <c r="R112" s="423"/>
      <c r="S112" s="423"/>
      <c r="T112" s="423"/>
      <c r="U112" s="423"/>
      <c r="V112" s="423"/>
      <c r="W112" s="423"/>
      <c r="X112" s="423"/>
      <c r="Y112" s="423"/>
      <c r="Z112" s="423"/>
      <c r="AA112" s="423"/>
      <c r="AB112" s="423"/>
      <c r="AC112" s="423"/>
      <c r="AD112" s="423"/>
      <c r="AE112" s="423"/>
      <c r="AF112" s="423"/>
      <c r="AG112" s="423"/>
      <c r="AH112" s="423"/>
      <c r="AI112" s="423"/>
      <c r="AJ112" s="423"/>
      <c r="AK112" s="423"/>
    </row>
    <row r="113" ht="15.75" customHeight="1">
      <c r="A113" s="434"/>
      <c r="B113" s="423"/>
      <c r="C113" s="423"/>
      <c r="D113" s="428"/>
      <c r="E113" s="425"/>
      <c r="F113" s="425"/>
      <c r="G113" s="425"/>
      <c r="H113" s="425"/>
      <c r="I113" s="425"/>
      <c r="J113" s="425"/>
      <c r="K113" s="425"/>
      <c r="L113" s="425"/>
      <c r="M113" s="425"/>
      <c r="N113" s="425"/>
      <c r="O113" s="425"/>
      <c r="P113" s="425"/>
      <c r="Q113" s="423"/>
      <c r="R113" s="423"/>
      <c r="S113" s="423"/>
      <c r="T113" s="423"/>
      <c r="U113" s="423"/>
      <c r="V113" s="423"/>
      <c r="W113" s="423"/>
      <c r="X113" s="423"/>
      <c r="Y113" s="423"/>
      <c r="Z113" s="423"/>
      <c r="AA113" s="423"/>
      <c r="AB113" s="423"/>
      <c r="AC113" s="423"/>
      <c r="AD113" s="423"/>
      <c r="AE113" s="423"/>
      <c r="AF113" s="423"/>
      <c r="AG113" s="423"/>
      <c r="AH113" s="423"/>
      <c r="AI113" s="423"/>
      <c r="AJ113" s="423"/>
      <c r="AK113" s="423"/>
    </row>
    <row r="114" ht="15.75" customHeight="1">
      <c r="A114" s="434"/>
      <c r="B114" s="423"/>
      <c r="C114" s="423"/>
      <c r="D114" s="428"/>
      <c r="E114" s="425"/>
      <c r="F114" s="425"/>
      <c r="G114" s="425"/>
      <c r="H114" s="425"/>
      <c r="I114" s="425"/>
      <c r="J114" s="425"/>
      <c r="K114" s="425"/>
      <c r="L114" s="425"/>
      <c r="M114" s="425"/>
      <c r="N114" s="425"/>
      <c r="O114" s="425"/>
      <c r="P114" s="425"/>
      <c r="Q114" s="423"/>
      <c r="R114" s="423"/>
      <c r="S114" s="423"/>
      <c r="T114" s="423"/>
      <c r="U114" s="423"/>
      <c r="V114" s="423"/>
      <c r="W114" s="423"/>
      <c r="X114" s="423"/>
      <c r="Y114" s="423"/>
      <c r="Z114" s="423"/>
      <c r="AA114" s="423"/>
      <c r="AB114" s="423"/>
      <c r="AC114" s="423"/>
      <c r="AD114" s="423"/>
      <c r="AE114" s="423"/>
      <c r="AF114" s="423"/>
      <c r="AG114" s="423"/>
      <c r="AH114" s="423"/>
      <c r="AI114" s="423"/>
      <c r="AJ114" s="423"/>
      <c r="AK114" s="423"/>
    </row>
    <row r="115" ht="15.75" customHeight="1">
      <c r="A115" s="434"/>
      <c r="B115" s="423"/>
      <c r="C115" s="423"/>
      <c r="D115" s="428"/>
      <c r="E115" s="425"/>
      <c r="F115" s="425"/>
      <c r="G115" s="425"/>
      <c r="H115" s="425"/>
      <c r="I115" s="425"/>
      <c r="J115" s="425"/>
      <c r="K115" s="425"/>
      <c r="L115" s="425"/>
      <c r="M115" s="425"/>
      <c r="N115" s="425"/>
      <c r="O115" s="425"/>
      <c r="P115" s="425"/>
      <c r="Q115" s="423"/>
      <c r="R115" s="423"/>
      <c r="S115" s="423"/>
      <c r="T115" s="423"/>
      <c r="U115" s="423"/>
      <c r="V115" s="423"/>
      <c r="W115" s="423"/>
      <c r="X115" s="423"/>
      <c r="Y115" s="423"/>
      <c r="Z115" s="423"/>
      <c r="AA115" s="423"/>
      <c r="AB115" s="423"/>
      <c r="AC115" s="423"/>
      <c r="AD115" s="423"/>
      <c r="AE115" s="423"/>
      <c r="AF115" s="423"/>
      <c r="AG115" s="423"/>
      <c r="AH115" s="423"/>
      <c r="AI115" s="423"/>
      <c r="AJ115" s="423"/>
      <c r="AK115" s="423"/>
    </row>
    <row r="116" ht="15.75" customHeight="1">
      <c r="A116" s="434"/>
      <c r="B116" s="423"/>
      <c r="C116" s="423"/>
      <c r="D116" s="428"/>
      <c r="E116" s="425"/>
      <c r="F116" s="425"/>
      <c r="G116" s="425"/>
      <c r="H116" s="425"/>
      <c r="I116" s="425"/>
      <c r="J116" s="425"/>
      <c r="K116" s="425"/>
      <c r="L116" s="425"/>
      <c r="M116" s="425"/>
      <c r="N116" s="425"/>
      <c r="O116" s="425"/>
      <c r="P116" s="425"/>
      <c r="Q116" s="423"/>
      <c r="R116" s="423"/>
      <c r="S116" s="423"/>
      <c r="T116" s="423"/>
      <c r="U116" s="423"/>
      <c r="V116" s="423"/>
      <c r="W116" s="423"/>
      <c r="X116" s="423"/>
      <c r="Y116" s="423"/>
      <c r="Z116" s="423"/>
      <c r="AA116" s="423"/>
      <c r="AB116" s="423"/>
      <c r="AC116" s="423"/>
      <c r="AD116" s="423"/>
      <c r="AE116" s="423"/>
      <c r="AF116" s="423"/>
      <c r="AG116" s="423"/>
      <c r="AH116" s="423"/>
      <c r="AI116" s="423"/>
      <c r="AJ116" s="423"/>
      <c r="AK116" s="423"/>
    </row>
    <row r="117" ht="15.75" customHeight="1">
      <c r="A117" s="434"/>
      <c r="B117" s="423"/>
      <c r="C117" s="423"/>
      <c r="D117" s="428"/>
      <c r="E117" s="425"/>
      <c r="F117" s="425"/>
      <c r="G117" s="425"/>
      <c r="H117" s="425"/>
      <c r="I117" s="425"/>
      <c r="J117" s="425"/>
      <c r="K117" s="425"/>
      <c r="L117" s="425"/>
      <c r="M117" s="425"/>
      <c r="N117" s="425"/>
      <c r="O117" s="425"/>
      <c r="P117" s="425"/>
      <c r="Q117" s="423"/>
      <c r="R117" s="423"/>
      <c r="S117" s="423"/>
      <c r="T117" s="423"/>
      <c r="U117" s="423"/>
      <c r="V117" s="423"/>
      <c r="W117" s="423"/>
      <c r="X117" s="423"/>
      <c r="Y117" s="423"/>
      <c r="Z117" s="423"/>
      <c r="AA117" s="423"/>
      <c r="AB117" s="423"/>
      <c r="AC117" s="423"/>
      <c r="AD117" s="423"/>
      <c r="AE117" s="423"/>
      <c r="AF117" s="423"/>
      <c r="AG117" s="423"/>
      <c r="AH117" s="423"/>
      <c r="AI117" s="423"/>
      <c r="AJ117" s="423"/>
      <c r="AK117" s="423"/>
    </row>
    <row r="118" ht="15.75" customHeight="1">
      <c r="A118" s="434"/>
      <c r="B118" s="423"/>
      <c r="C118" s="423"/>
      <c r="D118" s="428"/>
      <c r="E118" s="425"/>
      <c r="F118" s="425"/>
      <c r="G118" s="425"/>
      <c r="H118" s="425"/>
      <c r="I118" s="425"/>
      <c r="J118" s="425"/>
      <c r="K118" s="425"/>
      <c r="L118" s="425"/>
      <c r="M118" s="425"/>
      <c r="N118" s="425"/>
      <c r="O118" s="425"/>
      <c r="P118" s="425"/>
      <c r="Q118" s="423"/>
      <c r="R118" s="423"/>
      <c r="S118" s="423"/>
      <c r="T118" s="423"/>
      <c r="U118" s="423"/>
      <c r="V118" s="423"/>
      <c r="W118" s="423"/>
      <c r="X118" s="423"/>
      <c r="Y118" s="423"/>
      <c r="Z118" s="423"/>
      <c r="AA118" s="423"/>
      <c r="AB118" s="423"/>
      <c r="AC118" s="423"/>
      <c r="AD118" s="423"/>
      <c r="AE118" s="423"/>
      <c r="AF118" s="423"/>
      <c r="AG118" s="423"/>
      <c r="AH118" s="423"/>
      <c r="AI118" s="423"/>
      <c r="AJ118" s="423"/>
      <c r="AK118" s="423"/>
    </row>
    <row r="119" ht="15.75" customHeight="1">
      <c r="A119" s="434"/>
      <c r="B119" s="423"/>
      <c r="C119" s="423"/>
      <c r="D119" s="428"/>
      <c r="E119" s="425"/>
      <c r="F119" s="425"/>
      <c r="G119" s="425"/>
      <c r="H119" s="425"/>
      <c r="I119" s="425"/>
      <c r="J119" s="425"/>
      <c r="K119" s="425"/>
      <c r="L119" s="425"/>
      <c r="M119" s="425"/>
      <c r="N119" s="425"/>
      <c r="O119" s="425"/>
      <c r="P119" s="425"/>
      <c r="Q119" s="423"/>
      <c r="R119" s="423"/>
      <c r="S119" s="423"/>
      <c r="T119" s="423"/>
      <c r="U119" s="423"/>
      <c r="V119" s="423"/>
      <c r="W119" s="423"/>
      <c r="X119" s="423"/>
      <c r="Y119" s="423"/>
      <c r="Z119" s="423"/>
      <c r="AA119" s="423"/>
      <c r="AB119" s="423"/>
      <c r="AC119" s="423"/>
      <c r="AD119" s="423"/>
      <c r="AE119" s="423"/>
      <c r="AF119" s="423"/>
      <c r="AG119" s="423"/>
      <c r="AH119" s="423"/>
      <c r="AI119" s="423"/>
      <c r="AJ119" s="423"/>
      <c r="AK119" s="423"/>
    </row>
    <row r="120" ht="15.75" customHeight="1">
      <c r="A120" s="434"/>
      <c r="B120" s="423"/>
      <c r="C120" s="423"/>
      <c r="D120" s="428"/>
      <c r="E120" s="425"/>
      <c r="F120" s="425"/>
      <c r="G120" s="425"/>
      <c r="H120" s="425"/>
      <c r="I120" s="425"/>
      <c r="J120" s="425"/>
      <c r="K120" s="425"/>
      <c r="L120" s="425"/>
      <c r="M120" s="425"/>
      <c r="N120" s="425"/>
      <c r="O120" s="425"/>
      <c r="P120" s="425"/>
      <c r="Q120" s="423"/>
      <c r="R120" s="423"/>
      <c r="S120" s="423"/>
      <c r="T120" s="423"/>
      <c r="U120" s="423"/>
      <c r="V120" s="423"/>
      <c r="W120" s="423"/>
      <c r="X120" s="423"/>
      <c r="Y120" s="423"/>
      <c r="Z120" s="423"/>
      <c r="AA120" s="423"/>
      <c r="AB120" s="423"/>
      <c r="AC120" s="423"/>
      <c r="AD120" s="423"/>
      <c r="AE120" s="423"/>
      <c r="AF120" s="423"/>
      <c r="AG120" s="423"/>
      <c r="AH120" s="423"/>
      <c r="AI120" s="423"/>
      <c r="AJ120" s="423"/>
      <c r="AK120" s="423"/>
    </row>
    <row r="121" ht="15.75" customHeight="1">
      <c r="A121" s="434"/>
      <c r="B121" s="423"/>
      <c r="C121" s="423"/>
      <c r="D121" s="428"/>
      <c r="E121" s="425"/>
      <c r="F121" s="425"/>
      <c r="G121" s="425"/>
      <c r="H121" s="425"/>
      <c r="I121" s="425"/>
      <c r="J121" s="425"/>
      <c r="K121" s="425"/>
      <c r="L121" s="425"/>
      <c r="M121" s="425"/>
      <c r="N121" s="425"/>
      <c r="O121" s="425"/>
      <c r="P121" s="425"/>
      <c r="Q121" s="423"/>
      <c r="R121" s="423"/>
      <c r="S121" s="423"/>
      <c r="T121" s="423"/>
      <c r="U121" s="423"/>
      <c r="V121" s="423"/>
      <c r="W121" s="423"/>
      <c r="X121" s="423"/>
      <c r="Y121" s="423"/>
      <c r="Z121" s="423"/>
      <c r="AA121" s="423"/>
      <c r="AB121" s="423"/>
      <c r="AC121" s="423"/>
      <c r="AD121" s="423"/>
      <c r="AE121" s="423"/>
      <c r="AF121" s="423"/>
      <c r="AG121" s="423"/>
      <c r="AH121" s="423"/>
      <c r="AI121" s="423"/>
      <c r="AJ121" s="423"/>
      <c r="AK121" s="423"/>
    </row>
    <row r="122" ht="15.75" customHeight="1">
      <c r="A122" s="434"/>
      <c r="B122" s="423"/>
      <c r="C122" s="423"/>
      <c r="D122" s="428"/>
      <c r="E122" s="425"/>
      <c r="F122" s="425"/>
      <c r="G122" s="425"/>
      <c r="H122" s="425"/>
      <c r="I122" s="425"/>
      <c r="J122" s="425"/>
      <c r="K122" s="425"/>
      <c r="L122" s="425"/>
      <c r="M122" s="425"/>
      <c r="N122" s="425"/>
      <c r="O122" s="425"/>
      <c r="P122" s="425"/>
      <c r="Q122" s="423"/>
      <c r="R122" s="423"/>
      <c r="S122" s="423"/>
      <c r="T122" s="423"/>
      <c r="U122" s="423"/>
      <c r="V122" s="423"/>
      <c r="W122" s="423"/>
      <c r="X122" s="423"/>
      <c r="Y122" s="423"/>
      <c r="Z122" s="423"/>
      <c r="AA122" s="423"/>
      <c r="AB122" s="423"/>
      <c r="AC122" s="423"/>
      <c r="AD122" s="423"/>
      <c r="AE122" s="423"/>
      <c r="AF122" s="423"/>
      <c r="AG122" s="423"/>
      <c r="AH122" s="423"/>
      <c r="AI122" s="423"/>
      <c r="AJ122" s="423"/>
      <c r="AK122" s="423"/>
    </row>
    <row r="123" ht="15.75" customHeight="1">
      <c r="A123" s="434"/>
      <c r="B123" s="423"/>
      <c r="C123" s="423"/>
      <c r="D123" s="428"/>
      <c r="E123" s="425"/>
      <c r="F123" s="425"/>
      <c r="G123" s="425"/>
      <c r="H123" s="425"/>
      <c r="I123" s="425"/>
      <c r="J123" s="425"/>
      <c r="K123" s="425"/>
      <c r="L123" s="425"/>
      <c r="M123" s="425"/>
      <c r="N123" s="425"/>
      <c r="O123" s="425"/>
      <c r="P123" s="425"/>
      <c r="Q123" s="423"/>
      <c r="R123" s="423"/>
      <c r="S123" s="423"/>
      <c r="T123" s="423"/>
      <c r="U123" s="423"/>
      <c r="V123" s="423"/>
      <c r="W123" s="423"/>
      <c r="X123" s="423"/>
      <c r="Y123" s="423"/>
      <c r="Z123" s="423"/>
      <c r="AA123" s="423"/>
      <c r="AB123" s="423"/>
      <c r="AC123" s="423"/>
      <c r="AD123" s="423"/>
      <c r="AE123" s="423"/>
      <c r="AF123" s="423"/>
      <c r="AG123" s="423"/>
      <c r="AH123" s="423"/>
      <c r="AI123" s="423"/>
      <c r="AJ123" s="423"/>
      <c r="AK123" s="423"/>
    </row>
    <row r="124" ht="15.75" customHeight="1">
      <c r="A124" s="434"/>
      <c r="B124" s="423"/>
      <c r="C124" s="423"/>
      <c r="D124" s="428"/>
      <c r="E124" s="425"/>
      <c r="F124" s="425"/>
      <c r="G124" s="425"/>
      <c r="H124" s="425"/>
      <c r="I124" s="425"/>
      <c r="J124" s="425"/>
      <c r="K124" s="425"/>
      <c r="L124" s="425"/>
      <c r="M124" s="425"/>
      <c r="N124" s="425"/>
      <c r="O124" s="425"/>
      <c r="P124" s="425"/>
      <c r="Q124" s="423"/>
      <c r="R124" s="423"/>
      <c r="S124" s="423"/>
      <c r="T124" s="423"/>
      <c r="U124" s="423"/>
      <c r="V124" s="423"/>
      <c r="W124" s="423"/>
      <c r="X124" s="423"/>
      <c r="Y124" s="423"/>
      <c r="Z124" s="423"/>
      <c r="AA124" s="423"/>
      <c r="AB124" s="423"/>
      <c r="AC124" s="423"/>
      <c r="AD124" s="423"/>
      <c r="AE124" s="423"/>
      <c r="AF124" s="423"/>
      <c r="AG124" s="423"/>
      <c r="AH124" s="423"/>
      <c r="AI124" s="423"/>
      <c r="AJ124" s="423"/>
      <c r="AK124" s="423"/>
    </row>
    <row r="125" ht="15.75" customHeight="1">
      <c r="A125" s="434"/>
      <c r="B125" s="423"/>
      <c r="C125" s="423"/>
      <c r="D125" s="428"/>
      <c r="E125" s="425"/>
      <c r="F125" s="425"/>
      <c r="G125" s="425"/>
      <c r="H125" s="425"/>
      <c r="I125" s="425"/>
      <c r="J125" s="425"/>
      <c r="K125" s="425"/>
      <c r="L125" s="425"/>
      <c r="M125" s="425"/>
      <c r="N125" s="425"/>
      <c r="O125" s="425"/>
      <c r="P125" s="425"/>
      <c r="Q125" s="423"/>
      <c r="R125" s="423"/>
      <c r="S125" s="423"/>
      <c r="T125" s="423"/>
      <c r="U125" s="423"/>
      <c r="V125" s="423"/>
      <c r="W125" s="423"/>
      <c r="X125" s="423"/>
      <c r="Y125" s="423"/>
      <c r="Z125" s="423"/>
      <c r="AA125" s="423"/>
      <c r="AB125" s="423"/>
      <c r="AC125" s="423"/>
      <c r="AD125" s="423"/>
      <c r="AE125" s="423"/>
      <c r="AF125" s="423"/>
      <c r="AG125" s="423"/>
      <c r="AH125" s="423"/>
      <c r="AI125" s="423"/>
      <c r="AJ125" s="423"/>
      <c r="AK125" s="423"/>
    </row>
    <row r="126" ht="15.75" customHeight="1">
      <c r="A126" s="434"/>
      <c r="B126" s="423"/>
      <c r="C126" s="423"/>
      <c r="D126" s="428"/>
      <c r="E126" s="425"/>
      <c r="F126" s="425"/>
      <c r="G126" s="425"/>
      <c r="H126" s="425"/>
      <c r="I126" s="425"/>
      <c r="J126" s="425"/>
      <c r="K126" s="425"/>
      <c r="L126" s="425"/>
      <c r="M126" s="425"/>
      <c r="N126" s="425"/>
      <c r="O126" s="425"/>
      <c r="P126" s="425"/>
      <c r="Q126" s="423"/>
      <c r="R126" s="423"/>
      <c r="S126" s="423"/>
      <c r="T126" s="423"/>
      <c r="U126" s="423"/>
      <c r="V126" s="423"/>
      <c r="W126" s="423"/>
      <c r="X126" s="423"/>
      <c r="Y126" s="423"/>
      <c r="Z126" s="423"/>
      <c r="AA126" s="423"/>
      <c r="AB126" s="423"/>
      <c r="AC126" s="423"/>
      <c r="AD126" s="423"/>
      <c r="AE126" s="423"/>
      <c r="AF126" s="423"/>
      <c r="AG126" s="423"/>
      <c r="AH126" s="423"/>
      <c r="AI126" s="423"/>
      <c r="AJ126" s="423"/>
      <c r="AK126" s="423"/>
    </row>
    <row r="127" ht="15.75" customHeight="1">
      <c r="A127" s="434"/>
      <c r="B127" s="423"/>
      <c r="C127" s="423"/>
      <c r="D127" s="428"/>
      <c r="E127" s="425"/>
      <c r="F127" s="425"/>
      <c r="G127" s="425"/>
      <c r="H127" s="425"/>
      <c r="I127" s="425"/>
      <c r="J127" s="425"/>
      <c r="K127" s="425"/>
      <c r="L127" s="425"/>
      <c r="M127" s="425"/>
      <c r="N127" s="425"/>
      <c r="O127" s="425"/>
      <c r="P127" s="425"/>
      <c r="Q127" s="423"/>
      <c r="R127" s="423"/>
      <c r="S127" s="423"/>
      <c r="T127" s="423"/>
      <c r="U127" s="423"/>
      <c r="V127" s="423"/>
      <c r="W127" s="423"/>
      <c r="X127" s="423"/>
      <c r="Y127" s="423"/>
      <c r="Z127" s="423"/>
      <c r="AA127" s="423"/>
      <c r="AB127" s="423"/>
      <c r="AC127" s="423"/>
      <c r="AD127" s="423"/>
      <c r="AE127" s="423"/>
      <c r="AF127" s="423"/>
      <c r="AG127" s="423"/>
      <c r="AH127" s="423"/>
      <c r="AI127" s="423"/>
      <c r="AJ127" s="423"/>
      <c r="AK127" s="423"/>
    </row>
    <row r="128" ht="15.75" customHeight="1">
      <c r="A128" s="434"/>
      <c r="B128" s="423"/>
      <c r="C128" s="423"/>
      <c r="D128" s="428"/>
      <c r="E128" s="425"/>
      <c r="F128" s="425"/>
      <c r="G128" s="425"/>
      <c r="H128" s="425"/>
      <c r="I128" s="425"/>
      <c r="J128" s="425"/>
      <c r="K128" s="425"/>
      <c r="L128" s="425"/>
      <c r="M128" s="425"/>
      <c r="N128" s="425"/>
      <c r="O128" s="425"/>
      <c r="P128" s="425"/>
      <c r="Q128" s="423"/>
      <c r="R128" s="423"/>
      <c r="S128" s="423"/>
      <c r="T128" s="423"/>
      <c r="U128" s="423"/>
      <c r="V128" s="423"/>
      <c r="W128" s="423"/>
      <c r="X128" s="423"/>
      <c r="Y128" s="423"/>
      <c r="Z128" s="423"/>
      <c r="AA128" s="423"/>
      <c r="AB128" s="423"/>
      <c r="AC128" s="423"/>
      <c r="AD128" s="423"/>
      <c r="AE128" s="423"/>
      <c r="AF128" s="423"/>
      <c r="AG128" s="423"/>
      <c r="AH128" s="423"/>
      <c r="AI128" s="423"/>
      <c r="AJ128" s="423"/>
      <c r="AK128" s="423"/>
    </row>
    <row r="129" ht="15.75" customHeight="1">
      <c r="A129" s="434"/>
      <c r="B129" s="423"/>
      <c r="C129" s="423"/>
      <c r="D129" s="428"/>
      <c r="E129" s="425"/>
      <c r="F129" s="425"/>
      <c r="G129" s="425"/>
      <c r="H129" s="425"/>
      <c r="I129" s="425"/>
      <c r="J129" s="425"/>
      <c r="K129" s="425"/>
      <c r="L129" s="425"/>
      <c r="M129" s="425"/>
      <c r="N129" s="425"/>
      <c r="O129" s="425"/>
      <c r="P129" s="425"/>
      <c r="Q129" s="423"/>
      <c r="R129" s="423"/>
      <c r="S129" s="423"/>
      <c r="T129" s="423"/>
      <c r="U129" s="423"/>
      <c r="V129" s="423"/>
      <c r="W129" s="423"/>
      <c r="X129" s="423"/>
      <c r="Y129" s="423"/>
      <c r="Z129" s="423"/>
      <c r="AA129" s="423"/>
      <c r="AB129" s="423"/>
      <c r="AC129" s="423"/>
      <c r="AD129" s="423"/>
      <c r="AE129" s="423"/>
      <c r="AF129" s="423"/>
      <c r="AG129" s="423"/>
      <c r="AH129" s="423"/>
      <c r="AI129" s="423"/>
      <c r="AJ129" s="423"/>
      <c r="AK129" s="423"/>
    </row>
    <row r="130" ht="15.75" customHeight="1">
      <c r="A130" s="434"/>
      <c r="B130" s="423"/>
      <c r="C130" s="423"/>
      <c r="D130" s="428"/>
      <c r="E130" s="425"/>
      <c r="F130" s="425"/>
      <c r="G130" s="425"/>
      <c r="H130" s="425"/>
      <c r="I130" s="425"/>
      <c r="J130" s="425"/>
      <c r="K130" s="425"/>
      <c r="L130" s="425"/>
      <c r="M130" s="425"/>
      <c r="N130" s="425"/>
      <c r="O130" s="425"/>
      <c r="P130" s="425"/>
      <c r="Q130" s="423"/>
      <c r="R130" s="423"/>
      <c r="S130" s="423"/>
      <c r="T130" s="423"/>
      <c r="U130" s="423"/>
      <c r="V130" s="423"/>
      <c r="W130" s="423"/>
      <c r="X130" s="423"/>
      <c r="Y130" s="423"/>
      <c r="Z130" s="423"/>
      <c r="AA130" s="423"/>
      <c r="AB130" s="423"/>
      <c r="AC130" s="423"/>
      <c r="AD130" s="423"/>
      <c r="AE130" s="423"/>
      <c r="AF130" s="423"/>
      <c r="AG130" s="423"/>
      <c r="AH130" s="423"/>
      <c r="AI130" s="423"/>
      <c r="AJ130" s="423"/>
      <c r="AK130" s="423"/>
    </row>
    <row r="131" ht="15.75" customHeight="1">
      <c r="A131" s="434"/>
      <c r="B131" s="423"/>
      <c r="C131" s="423"/>
      <c r="D131" s="428"/>
      <c r="E131" s="425"/>
      <c r="F131" s="425"/>
      <c r="G131" s="425"/>
      <c r="H131" s="425"/>
      <c r="I131" s="425"/>
      <c r="J131" s="425"/>
      <c r="K131" s="425"/>
      <c r="L131" s="425"/>
      <c r="M131" s="425"/>
      <c r="N131" s="425"/>
      <c r="O131" s="425"/>
      <c r="P131" s="425"/>
      <c r="Q131" s="423"/>
      <c r="R131" s="423"/>
      <c r="S131" s="423"/>
      <c r="T131" s="423"/>
      <c r="U131" s="423"/>
      <c r="V131" s="423"/>
      <c r="W131" s="423"/>
      <c r="X131" s="423"/>
      <c r="Y131" s="423"/>
      <c r="Z131" s="423"/>
      <c r="AA131" s="423"/>
      <c r="AB131" s="423"/>
      <c r="AC131" s="423"/>
      <c r="AD131" s="423"/>
      <c r="AE131" s="423"/>
      <c r="AF131" s="423"/>
      <c r="AG131" s="423"/>
      <c r="AH131" s="423"/>
      <c r="AI131" s="423"/>
      <c r="AJ131" s="423"/>
      <c r="AK131" s="423"/>
    </row>
    <row r="132" ht="15.75" customHeight="1">
      <c r="A132" s="434"/>
      <c r="B132" s="423"/>
      <c r="C132" s="423"/>
      <c r="D132" s="428"/>
      <c r="E132" s="425"/>
      <c r="F132" s="425"/>
      <c r="G132" s="425"/>
      <c r="H132" s="425"/>
      <c r="I132" s="425"/>
      <c r="J132" s="425"/>
      <c r="K132" s="425"/>
      <c r="L132" s="425"/>
      <c r="M132" s="425"/>
      <c r="N132" s="425"/>
      <c r="O132" s="425"/>
      <c r="P132" s="425"/>
      <c r="Q132" s="423"/>
      <c r="R132" s="423"/>
      <c r="S132" s="423"/>
      <c r="T132" s="423"/>
      <c r="U132" s="423"/>
      <c r="V132" s="423"/>
      <c r="W132" s="423"/>
      <c r="X132" s="423"/>
      <c r="Y132" s="423"/>
      <c r="Z132" s="423"/>
      <c r="AA132" s="423"/>
      <c r="AB132" s="423"/>
      <c r="AC132" s="423"/>
      <c r="AD132" s="423"/>
      <c r="AE132" s="423"/>
      <c r="AF132" s="423"/>
      <c r="AG132" s="423"/>
      <c r="AH132" s="423"/>
      <c r="AI132" s="423"/>
      <c r="AJ132" s="423"/>
      <c r="AK132" s="423"/>
    </row>
    <row r="133" ht="15.75" customHeight="1">
      <c r="A133" s="434"/>
      <c r="B133" s="423"/>
      <c r="C133" s="423"/>
      <c r="D133" s="428"/>
      <c r="E133" s="425"/>
      <c r="F133" s="425"/>
      <c r="G133" s="425"/>
      <c r="H133" s="425"/>
      <c r="I133" s="425"/>
      <c r="J133" s="425"/>
      <c r="K133" s="425"/>
      <c r="L133" s="425"/>
      <c r="M133" s="425"/>
      <c r="N133" s="425"/>
      <c r="O133" s="425"/>
      <c r="P133" s="425"/>
      <c r="Q133" s="423"/>
      <c r="R133" s="423"/>
      <c r="S133" s="423"/>
      <c r="T133" s="423"/>
      <c r="U133" s="423"/>
      <c r="V133" s="423"/>
      <c r="W133" s="423"/>
      <c r="X133" s="423"/>
      <c r="Y133" s="423"/>
      <c r="Z133" s="423"/>
      <c r="AA133" s="423"/>
      <c r="AB133" s="423"/>
      <c r="AC133" s="423"/>
      <c r="AD133" s="423"/>
      <c r="AE133" s="423"/>
      <c r="AF133" s="423"/>
      <c r="AG133" s="423"/>
      <c r="AH133" s="423"/>
      <c r="AI133" s="423"/>
      <c r="AJ133" s="423"/>
      <c r="AK133" s="423"/>
    </row>
    <row r="134" ht="15.75" customHeight="1">
      <c r="A134" s="423"/>
      <c r="B134" s="423"/>
      <c r="C134" s="423"/>
      <c r="D134" s="428"/>
      <c r="E134" s="425"/>
      <c r="F134" s="425"/>
      <c r="G134" s="425"/>
      <c r="H134" s="425"/>
      <c r="I134" s="425"/>
      <c r="J134" s="425"/>
      <c r="K134" s="425"/>
      <c r="L134" s="425"/>
      <c r="M134" s="425"/>
      <c r="N134" s="425"/>
      <c r="O134" s="425"/>
      <c r="P134" s="425"/>
      <c r="Q134" s="423"/>
      <c r="R134" s="423"/>
      <c r="S134" s="423"/>
      <c r="T134" s="423"/>
      <c r="U134" s="423"/>
      <c r="V134" s="423"/>
      <c r="W134" s="423"/>
      <c r="X134" s="423"/>
      <c r="Y134" s="423"/>
      <c r="Z134" s="423"/>
      <c r="AA134" s="423"/>
      <c r="AB134" s="423"/>
      <c r="AC134" s="423"/>
      <c r="AD134" s="423"/>
      <c r="AE134" s="423"/>
      <c r="AF134" s="423"/>
      <c r="AG134" s="423"/>
      <c r="AH134" s="423"/>
      <c r="AI134" s="423"/>
      <c r="AJ134" s="423"/>
      <c r="AK134" s="423"/>
    </row>
    <row r="135" ht="15.75" customHeight="1">
      <c r="A135" s="423"/>
      <c r="B135" s="423"/>
      <c r="C135" s="423"/>
      <c r="D135" s="428"/>
      <c r="E135" s="425"/>
      <c r="F135" s="425"/>
      <c r="G135" s="425"/>
      <c r="H135" s="425"/>
      <c r="I135" s="425"/>
      <c r="J135" s="425"/>
      <c r="K135" s="425"/>
      <c r="L135" s="425"/>
      <c r="M135" s="425"/>
      <c r="N135" s="425"/>
      <c r="O135" s="425"/>
      <c r="P135" s="425"/>
      <c r="Q135" s="423"/>
      <c r="R135" s="423"/>
      <c r="S135" s="423"/>
      <c r="T135" s="423"/>
      <c r="U135" s="423"/>
      <c r="V135" s="423"/>
      <c r="W135" s="423"/>
      <c r="X135" s="423"/>
      <c r="Y135" s="423"/>
      <c r="Z135" s="423"/>
      <c r="AA135" s="423"/>
      <c r="AB135" s="423"/>
      <c r="AC135" s="423"/>
      <c r="AD135" s="423"/>
      <c r="AE135" s="423"/>
      <c r="AF135" s="423"/>
      <c r="AG135" s="423"/>
      <c r="AH135" s="423"/>
      <c r="AI135" s="423"/>
      <c r="AJ135" s="423"/>
      <c r="AK135" s="423"/>
    </row>
    <row r="136" ht="15.75" customHeight="1">
      <c r="A136" s="423"/>
      <c r="B136" s="423"/>
      <c r="C136" s="423"/>
      <c r="D136" s="428"/>
      <c r="E136" s="425"/>
      <c r="F136" s="425"/>
      <c r="G136" s="425"/>
      <c r="H136" s="425"/>
      <c r="I136" s="425"/>
      <c r="J136" s="425"/>
      <c r="K136" s="425"/>
      <c r="L136" s="425"/>
      <c r="M136" s="425"/>
      <c r="N136" s="425"/>
      <c r="O136" s="425"/>
      <c r="P136" s="425"/>
      <c r="Q136" s="423"/>
      <c r="R136" s="423"/>
      <c r="S136" s="423"/>
      <c r="T136" s="423"/>
      <c r="U136" s="423"/>
      <c r="V136" s="423"/>
      <c r="W136" s="423"/>
      <c r="X136" s="423"/>
      <c r="Y136" s="423"/>
      <c r="Z136" s="423"/>
      <c r="AA136" s="423"/>
      <c r="AB136" s="423"/>
      <c r="AC136" s="423"/>
      <c r="AD136" s="423"/>
      <c r="AE136" s="423"/>
      <c r="AF136" s="423"/>
      <c r="AG136" s="423"/>
      <c r="AH136" s="423"/>
      <c r="AI136" s="423"/>
      <c r="AJ136" s="423"/>
      <c r="AK136" s="423"/>
    </row>
    <row r="137" ht="15.75" customHeight="1">
      <c r="A137" s="423"/>
      <c r="B137" s="423"/>
      <c r="C137" s="423"/>
      <c r="D137" s="428"/>
      <c r="E137" s="425"/>
      <c r="F137" s="425"/>
      <c r="G137" s="425"/>
      <c r="H137" s="425"/>
      <c r="I137" s="425"/>
      <c r="J137" s="425"/>
      <c r="K137" s="425"/>
      <c r="L137" s="425"/>
      <c r="M137" s="425"/>
      <c r="N137" s="425"/>
      <c r="O137" s="425"/>
      <c r="P137" s="425"/>
      <c r="Q137" s="423"/>
      <c r="R137" s="423"/>
      <c r="S137" s="423"/>
      <c r="T137" s="423"/>
      <c r="U137" s="423"/>
      <c r="V137" s="423"/>
      <c r="W137" s="423"/>
      <c r="X137" s="423"/>
      <c r="Y137" s="423"/>
      <c r="Z137" s="423"/>
      <c r="AA137" s="423"/>
      <c r="AB137" s="423"/>
      <c r="AC137" s="423"/>
      <c r="AD137" s="423"/>
      <c r="AE137" s="423"/>
      <c r="AF137" s="423"/>
      <c r="AG137" s="423"/>
      <c r="AH137" s="423"/>
      <c r="AI137" s="423"/>
      <c r="AJ137" s="423"/>
      <c r="AK137" s="423"/>
    </row>
    <row r="138" ht="15.75" customHeight="1">
      <c r="A138" s="423"/>
      <c r="B138" s="423"/>
      <c r="C138" s="423"/>
      <c r="D138" s="428"/>
      <c r="E138" s="425"/>
      <c r="F138" s="425"/>
      <c r="G138" s="425"/>
      <c r="H138" s="425"/>
      <c r="I138" s="425"/>
      <c r="J138" s="425"/>
      <c r="K138" s="425"/>
      <c r="L138" s="425"/>
      <c r="M138" s="425"/>
      <c r="N138" s="425"/>
      <c r="O138" s="425"/>
      <c r="P138" s="425"/>
      <c r="Q138" s="423"/>
      <c r="R138" s="423"/>
      <c r="S138" s="423"/>
      <c r="T138" s="423"/>
      <c r="U138" s="423"/>
      <c r="V138" s="423"/>
      <c r="W138" s="423"/>
      <c r="X138" s="423"/>
      <c r="Y138" s="423"/>
      <c r="Z138" s="423"/>
      <c r="AA138" s="423"/>
      <c r="AB138" s="423"/>
      <c r="AC138" s="423"/>
      <c r="AD138" s="423"/>
      <c r="AE138" s="423"/>
      <c r="AF138" s="423"/>
      <c r="AG138" s="423"/>
      <c r="AH138" s="423"/>
      <c r="AI138" s="423"/>
      <c r="AJ138" s="423"/>
      <c r="AK138" s="423"/>
    </row>
    <row r="139" ht="15.75" customHeight="1">
      <c r="A139" s="423"/>
      <c r="B139" s="423"/>
      <c r="C139" s="423"/>
      <c r="D139" s="428"/>
      <c r="E139" s="425"/>
      <c r="F139" s="425"/>
      <c r="G139" s="425"/>
      <c r="H139" s="425"/>
      <c r="I139" s="425"/>
      <c r="J139" s="425"/>
      <c r="K139" s="425"/>
      <c r="L139" s="425"/>
      <c r="M139" s="425"/>
      <c r="N139" s="425"/>
      <c r="O139" s="425"/>
      <c r="P139" s="425"/>
      <c r="Q139" s="423"/>
      <c r="R139" s="423"/>
      <c r="S139" s="423"/>
      <c r="T139" s="423"/>
      <c r="U139" s="423"/>
      <c r="V139" s="423"/>
      <c r="W139" s="423"/>
      <c r="X139" s="423"/>
      <c r="Y139" s="423"/>
      <c r="Z139" s="423"/>
      <c r="AA139" s="423"/>
      <c r="AB139" s="423"/>
      <c r="AC139" s="423"/>
      <c r="AD139" s="423"/>
      <c r="AE139" s="423"/>
      <c r="AF139" s="423"/>
      <c r="AG139" s="423"/>
      <c r="AH139" s="423"/>
      <c r="AI139" s="423"/>
      <c r="AJ139" s="423"/>
      <c r="AK139" s="423"/>
    </row>
    <row r="140" ht="15.75" customHeight="1">
      <c r="A140" s="423"/>
      <c r="B140" s="423"/>
      <c r="C140" s="423"/>
      <c r="D140" s="428"/>
      <c r="E140" s="425"/>
      <c r="F140" s="425"/>
      <c r="G140" s="425"/>
      <c r="H140" s="425"/>
      <c r="I140" s="425"/>
      <c r="J140" s="425"/>
      <c r="K140" s="425"/>
      <c r="L140" s="425"/>
      <c r="M140" s="425"/>
      <c r="N140" s="425"/>
      <c r="O140" s="425"/>
      <c r="P140" s="425"/>
      <c r="Q140" s="423"/>
      <c r="R140" s="423"/>
      <c r="S140" s="423"/>
      <c r="T140" s="423"/>
      <c r="U140" s="423"/>
      <c r="V140" s="423"/>
      <c r="W140" s="423"/>
      <c r="X140" s="423"/>
      <c r="Y140" s="423"/>
      <c r="Z140" s="423"/>
      <c r="AA140" s="423"/>
      <c r="AB140" s="423"/>
      <c r="AC140" s="423"/>
      <c r="AD140" s="423"/>
      <c r="AE140" s="423"/>
      <c r="AF140" s="423"/>
      <c r="AG140" s="423"/>
      <c r="AH140" s="423"/>
      <c r="AI140" s="423"/>
      <c r="AJ140" s="423"/>
      <c r="AK140" s="423"/>
    </row>
    <row r="141" ht="15.75" customHeight="1">
      <c r="A141" s="423"/>
      <c r="B141" s="423"/>
      <c r="C141" s="423"/>
      <c r="D141" s="428"/>
      <c r="E141" s="425"/>
      <c r="F141" s="425"/>
      <c r="G141" s="425"/>
      <c r="H141" s="425"/>
      <c r="I141" s="425"/>
      <c r="J141" s="425"/>
      <c r="K141" s="425"/>
      <c r="L141" s="425"/>
      <c r="M141" s="425"/>
      <c r="N141" s="425"/>
      <c r="O141" s="425"/>
      <c r="P141" s="425"/>
      <c r="Q141" s="423"/>
      <c r="R141" s="423"/>
      <c r="S141" s="423"/>
      <c r="T141" s="423"/>
      <c r="U141" s="423"/>
      <c r="V141" s="423"/>
      <c r="W141" s="423"/>
      <c r="X141" s="423"/>
      <c r="Y141" s="423"/>
      <c r="Z141" s="423"/>
      <c r="AA141" s="423"/>
      <c r="AB141" s="423"/>
      <c r="AC141" s="423"/>
      <c r="AD141" s="423"/>
      <c r="AE141" s="423"/>
      <c r="AF141" s="423"/>
      <c r="AG141" s="423"/>
      <c r="AH141" s="423"/>
      <c r="AI141" s="423"/>
      <c r="AJ141" s="423"/>
      <c r="AK141" s="423"/>
    </row>
    <row r="142" ht="15.75" customHeight="1">
      <c r="A142" s="423"/>
      <c r="B142" s="423"/>
      <c r="C142" s="423"/>
      <c r="D142" s="428"/>
      <c r="E142" s="425"/>
      <c r="F142" s="425"/>
      <c r="G142" s="425"/>
      <c r="H142" s="425"/>
      <c r="I142" s="425"/>
      <c r="J142" s="425"/>
      <c r="K142" s="425"/>
      <c r="L142" s="425"/>
      <c r="M142" s="425"/>
      <c r="N142" s="425"/>
      <c r="O142" s="425"/>
      <c r="P142" s="425"/>
      <c r="Q142" s="423"/>
      <c r="R142" s="423"/>
      <c r="S142" s="423"/>
      <c r="T142" s="423"/>
      <c r="U142" s="423"/>
      <c r="V142" s="423"/>
      <c r="W142" s="423"/>
      <c r="X142" s="423"/>
      <c r="Y142" s="423"/>
      <c r="Z142" s="423"/>
      <c r="AA142" s="423"/>
      <c r="AB142" s="423"/>
      <c r="AC142" s="423"/>
      <c r="AD142" s="423"/>
      <c r="AE142" s="423"/>
      <c r="AF142" s="423"/>
      <c r="AG142" s="423"/>
      <c r="AH142" s="423"/>
      <c r="AI142" s="423"/>
      <c r="AJ142" s="423"/>
      <c r="AK142" s="423"/>
    </row>
    <row r="143" ht="15.75" customHeight="1">
      <c r="A143" s="423"/>
      <c r="B143" s="423"/>
      <c r="C143" s="423"/>
      <c r="D143" s="428"/>
      <c r="E143" s="425"/>
      <c r="F143" s="425"/>
      <c r="G143" s="425"/>
      <c r="H143" s="425"/>
      <c r="I143" s="425"/>
      <c r="J143" s="425"/>
      <c r="K143" s="425"/>
      <c r="L143" s="425"/>
      <c r="M143" s="425"/>
      <c r="N143" s="425"/>
      <c r="O143" s="425"/>
      <c r="P143" s="425"/>
      <c r="Q143" s="423"/>
      <c r="R143" s="423"/>
      <c r="S143" s="423"/>
      <c r="T143" s="423"/>
      <c r="U143" s="423"/>
      <c r="V143" s="423"/>
      <c r="W143" s="423"/>
      <c r="X143" s="423"/>
      <c r="Y143" s="423"/>
      <c r="Z143" s="423"/>
      <c r="AA143" s="423"/>
      <c r="AB143" s="423"/>
      <c r="AC143" s="423"/>
      <c r="AD143" s="423"/>
      <c r="AE143" s="423"/>
      <c r="AF143" s="423"/>
      <c r="AG143" s="423"/>
      <c r="AH143" s="423"/>
      <c r="AI143" s="423"/>
      <c r="AJ143" s="423"/>
      <c r="AK143" s="423"/>
    </row>
    <row r="144" ht="15.75" customHeight="1">
      <c r="A144" s="423"/>
      <c r="B144" s="423"/>
      <c r="C144" s="423"/>
      <c r="D144" s="428"/>
      <c r="E144" s="425"/>
      <c r="F144" s="425"/>
      <c r="G144" s="425"/>
      <c r="H144" s="425"/>
      <c r="I144" s="425"/>
      <c r="J144" s="425"/>
      <c r="K144" s="425"/>
      <c r="L144" s="425"/>
      <c r="M144" s="425"/>
      <c r="N144" s="425"/>
      <c r="O144" s="425"/>
      <c r="P144" s="425"/>
      <c r="Q144" s="423"/>
      <c r="R144" s="423"/>
      <c r="S144" s="423"/>
      <c r="T144" s="423"/>
      <c r="U144" s="423"/>
      <c r="V144" s="423"/>
      <c r="W144" s="423"/>
      <c r="X144" s="423"/>
      <c r="Y144" s="423"/>
      <c r="Z144" s="423"/>
      <c r="AA144" s="423"/>
      <c r="AB144" s="423"/>
      <c r="AC144" s="423"/>
      <c r="AD144" s="423"/>
      <c r="AE144" s="423"/>
      <c r="AF144" s="423"/>
      <c r="AG144" s="423"/>
      <c r="AH144" s="423"/>
      <c r="AI144" s="423"/>
      <c r="AJ144" s="423"/>
      <c r="AK144" s="423"/>
    </row>
    <row r="145" ht="15.75" customHeight="1">
      <c r="A145" s="423"/>
      <c r="B145" s="423"/>
      <c r="C145" s="423"/>
      <c r="D145" s="428"/>
      <c r="E145" s="425"/>
      <c r="F145" s="425"/>
      <c r="G145" s="425"/>
      <c r="H145" s="425"/>
      <c r="I145" s="425"/>
      <c r="J145" s="425"/>
      <c r="K145" s="425"/>
      <c r="L145" s="425"/>
      <c r="M145" s="425"/>
      <c r="N145" s="425"/>
      <c r="O145" s="425"/>
      <c r="P145" s="425"/>
      <c r="Q145" s="423"/>
      <c r="R145" s="423"/>
      <c r="S145" s="423"/>
      <c r="T145" s="423"/>
      <c r="U145" s="423"/>
      <c r="V145" s="423"/>
      <c r="W145" s="423"/>
      <c r="X145" s="423"/>
      <c r="Y145" s="423"/>
      <c r="Z145" s="423"/>
      <c r="AA145" s="423"/>
      <c r="AB145" s="423"/>
      <c r="AC145" s="423"/>
      <c r="AD145" s="423"/>
      <c r="AE145" s="423"/>
      <c r="AF145" s="423"/>
      <c r="AG145" s="423"/>
      <c r="AH145" s="423"/>
      <c r="AI145" s="423"/>
      <c r="AJ145" s="423"/>
      <c r="AK145" s="423"/>
    </row>
    <row r="146" ht="15.75" customHeight="1">
      <c r="A146" s="423"/>
      <c r="B146" s="423"/>
      <c r="C146" s="423"/>
      <c r="D146" s="428"/>
      <c r="E146" s="425"/>
      <c r="F146" s="425"/>
      <c r="G146" s="425"/>
      <c r="H146" s="425"/>
      <c r="I146" s="425"/>
      <c r="J146" s="425"/>
      <c r="K146" s="425"/>
      <c r="L146" s="425"/>
      <c r="M146" s="425"/>
      <c r="N146" s="425"/>
      <c r="O146" s="425"/>
      <c r="P146" s="425"/>
      <c r="Q146" s="423"/>
      <c r="R146" s="423"/>
      <c r="S146" s="423"/>
      <c r="T146" s="423"/>
      <c r="U146" s="423"/>
      <c r="V146" s="423"/>
      <c r="W146" s="423"/>
      <c r="X146" s="423"/>
      <c r="Y146" s="423"/>
      <c r="Z146" s="423"/>
      <c r="AA146" s="423"/>
      <c r="AB146" s="423"/>
      <c r="AC146" s="423"/>
      <c r="AD146" s="423"/>
      <c r="AE146" s="423"/>
      <c r="AF146" s="423"/>
      <c r="AG146" s="423"/>
      <c r="AH146" s="423"/>
      <c r="AI146" s="423"/>
      <c r="AJ146" s="423"/>
      <c r="AK146" s="423"/>
    </row>
    <row r="147" ht="15.75" customHeight="1">
      <c r="A147" s="423"/>
      <c r="B147" s="423"/>
      <c r="C147" s="423"/>
      <c r="D147" s="428"/>
      <c r="E147" s="425"/>
      <c r="F147" s="425"/>
      <c r="G147" s="425"/>
      <c r="H147" s="425"/>
      <c r="I147" s="425"/>
      <c r="J147" s="425"/>
      <c r="K147" s="425"/>
      <c r="L147" s="425"/>
      <c r="M147" s="425"/>
      <c r="N147" s="425"/>
      <c r="O147" s="425"/>
      <c r="P147" s="425"/>
      <c r="Q147" s="423"/>
      <c r="R147" s="423"/>
      <c r="S147" s="423"/>
      <c r="T147" s="423"/>
      <c r="U147" s="423"/>
      <c r="V147" s="423"/>
      <c r="W147" s="423"/>
      <c r="X147" s="423"/>
      <c r="Y147" s="423"/>
      <c r="Z147" s="423"/>
      <c r="AA147" s="423"/>
      <c r="AB147" s="423"/>
      <c r="AC147" s="423"/>
      <c r="AD147" s="423"/>
      <c r="AE147" s="423"/>
      <c r="AF147" s="423"/>
      <c r="AG147" s="423"/>
      <c r="AH147" s="423"/>
      <c r="AI147" s="423"/>
      <c r="AJ147" s="423"/>
      <c r="AK147" s="423"/>
    </row>
    <row r="148" ht="15.75" customHeight="1">
      <c r="A148" s="423"/>
      <c r="B148" s="423"/>
      <c r="C148" s="423"/>
      <c r="D148" s="428"/>
      <c r="E148" s="425"/>
      <c r="F148" s="425"/>
      <c r="G148" s="425"/>
      <c r="H148" s="425"/>
      <c r="I148" s="425"/>
      <c r="J148" s="425"/>
      <c r="K148" s="425"/>
      <c r="L148" s="425"/>
      <c r="M148" s="425"/>
      <c r="N148" s="425"/>
      <c r="O148" s="425"/>
      <c r="P148" s="425"/>
      <c r="Q148" s="423"/>
      <c r="R148" s="423"/>
      <c r="S148" s="423"/>
      <c r="T148" s="423"/>
      <c r="U148" s="423"/>
      <c r="V148" s="423"/>
      <c r="W148" s="423"/>
      <c r="X148" s="423"/>
      <c r="Y148" s="423"/>
      <c r="Z148" s="423"/>
      <c r="AA148" s="423"/>
      <c r="AB148" s="423"/>
      <c r="AC148" s="423"/>
      <c r="AD148" s="423"/>
      <c r="AE148" s="423"/>
      <c r="AF148" s="423"/>
      <c r="AG148" s="423"/>
      <c r="AH148" s="423"/>
      <c r="AI148" s="423"/>
      <c r="AJ148" s="423"/>
      <c r="AK148" s="423"/>
    </row>
    <row r="149" ht="15.75" customHeight="1">
      <c r="A149" s="423"/>
      <c r="B149" s="423"/>
      <c r="C149" s="423"/>
      <c r="D149" s="428"/>
      <c r="E149" s="425"/>
      <c r="F149" s="425"/>
      <c r="G149" s="425"/>
      <c r="H149" s="425"/>
      <c r="I149" s="425"/>
      <c r="J149" s="425"/>
      <c r="K149" s="425"/>
      <c r="L149" s="425"/>
      <c r="M149" s="425"/>
      <c r="N149" s="425"/>
      <c r="O149" s="425"/>
      <c r="P149" s="425"/>
      <c r="Q149" s="423"/>
      <c r="R149" s="423"/>
      <c r="S149" s="423"/>
      <c r="T149" s="423"/>
      <c r="U149" s="423"/>
      <c r="V149" s="423"/>
      <c r="W149" s="423"/>
      <c r="X149" s="423"/>
      <c r="Y149" s="423"/>
      <c r="Z149" s="423"/>
      <c r="AA149" s="423"/>
      <c r="AB149" s="423"/>
      <c r="AC149" s="423"/>
      <c r="AD149" s="423"/>
      <c r="AE149" s="423"/>
      <c r="AF149" s="423"/>
      <c r="AG149" s="423"/>
      <c r="AH149" s="423"/>
      <c r="AI149" s="423"/>
      <c r="AJ149" s="423"/>
      <c r="AK149" s="423"/>
    </row>
    <row r="150" ht="15.75" customHeight="1">
      <c r="A150" s="423"/>
      <c r="B150" s="423"/>
      <c r="C150" s="423"/>
      <c r="D150" s="428"/>
      <c r="E150" s="425"/>
      <c r="F150" s="425"/>
      <c r="G150" s="425"/>
      <c r="H150" s="425"/>
      <c r="I150" s="425"/>
      <c r="J150" s="425"/>
      <c r="K150" s="425"/>
      <c r="L150" s="425"/>
      <c r="M150" s="425"/>
      <c r="N150" s="425"/>
      <c r="O150" s="425"/>
      <c r="P150" s="425"/>
      <c r="Q150" s="423"/>
      <c r="R150" s="423"/>
      <c r="S150" s="423"/>
      <c r="T150" s="423"/>
      <c r="U150" s="423"/>
      <c r="V150" s="423"/>
      <c r="W150" s="423"/>
      <c r="X150" s="423"/>
      <c r="Y150" s="423"/>
      <c r="Z150" s="423"/>
      <c r="AA150" s="423"/>
      <c r="AB150" s="423"/>
      <c r="AC150" s="423"/>
      <c r="AD150" s="423"/>
      <c r="AE150" s="423"/>
      <c r="AF150" s="423"/>
      <c r="AG150" s="423"/>
      <c r="AH150" s="423"/>
      <c r="AI150" s="423"/>
      <c r="AJ150" s="423"/>
      <c r="AK150" s="423"/>
    </row>
    <row r="151" ht="15.75" customHeight="1">
      <c r="A151" s="423"/>
      <c r="B151" s="423"/>
      <c r="C151" s="423"/>
      <c r="D151" s="428"/>
      <c r="E151" s="425"/>
      <c r="F151" s="425"/>
      <c r="G151" s="425"/>
      <c r="H151" s="425"/>
      <c r="I151" s="425"/>
      <c r="J151" s="425"/>
      <c r="K151" s="425"/>
      <c r="L151" s="425"/>
      <c r="M151" s="425"/>
      <c r="N151" s="425"/>
      <c r="O151" s="425"/>
      <c r="P151" s="425"/>
      <c r="Q151" s="423"/>
      <c r="R151" s="423"/>
      <c r="S151" s="423"/>
      <c r="T151" s="423"/>
      <c r="U151" s="423"/>
      <c r="V151" s="423"/>
      <c r="W151" s="423"/>
      <c r="X151" s="423"/>
      <c r="Y151" s="423"/>
      <c r="Z151" s="423"/>
      <c r="AA151" s="423"/>
      <c r="AB151" s="423"/>
      <c r="AC151" s="423"/>
      <c r="AD151" s="423"/>
      <c r="AE151" s="423"/>
      <c r="AF151" s="423"/>
      <c r="AG151" s="423"/>
      <c r="AH151" s="423"/>
      <c r="AI151" s="423"/>
      <c r="AJ151" s="423"/>
      <c r="AK151" s="423"/>
    </row>
    <row r="152" ht="15.75" customHeight="1">
      <c r="A152" s="423"/>
      <c r="B152" s="423"/>
      <c r="C152" s="423"/>
      <c r="D152" s="428"/>
      <c r="E152" s="425"/>
      <c r="F152" s="425"/>
      <c r="G152" s="425"/>
      <c r="H152" s="425"/>
      <c r="I152" s="425"/>
      <c r="J152" s="425"/>
      <c r="K152" s="425"/>
      <c r="L152" s="425"/>
      <c r="M152" s="425"/>
      <c r="N152" s="425"/>
      <c r="O152" s="425"/>
      <c r="P152" s="425"/>
      <c r="Q152" s="423"/>
      <c r="R152" s="423"/>
      <c r="S152" s="423"/>
      <c r="T152" s="423"/>
      <c r="U152" s="423"/>
      <c r="V152" s="423"/>
      <c r="W152" s="423"/>
      <c r="X152" s="423"/>
      <c r="Y152" s="423"/>
      <c r="Z152" s="423"/>
      <c r="AA152" s="423"/>
      <c r="AB152" s="423"/>
      <c r="AC152" s="423"/>
      <c r="AD152" s="423"/>
      <c r="AE152" s="423"/>
      <c r="AF152" s="423"/>
      <c r="AG152" s="423"/>
      <c r="AH152" s="423"/>
      <c r="AI152" s="423"/>
      <c r="AJ152" s="423"/>
      <c r="AK152" s="423"/>
    </row>
    <row r="153" ht="15.75" customHeight="1">
      <c r="A153" s="423"/>
      <c r="B153" s="423"/>
      <c r="C153" s="423"/>
      <c r="D153" s="428"/>
      <c r="E153" s="425"/>
      <c r="F153" s="425"/>
      <c r="G153" s="425"/>
      <c r="H153" s="425"/>
      <c r="I153" s="425"/>
      <c r="J153" s="425"/>
      <c r="K153" s="425"/>
      <c r="L153" s="425"/>
      <c r="M153" s="425"/>
      <c r="N153" s="425"/>
      <c r="O153" s="425"/>
      <c r="P153" s="425"/>
      <c r="Q153" s="423"/>
      <c r="R153" s="423"/>
      <c r="S153" s="423"/>
      <c r="T153" s="423"/>
      <c r="U153" s="423"/>
      <c r="V153" s="423"/>
      <c r="W153" s="423"/>
      <c r="X153" s="423"/>
      <c r="Y153" s="423"/>
      <c r="Z153" s="423"/>
      <c r="AA153" s="423"/>
      <c r="AB153" s="423"/>
      <c r="AC153" s="423"/>
      <c r="AD153" s="423"/>
      <c r="AE153" s="423"/>
      <c r="AF153" s="423"/>
      <c r="AG153" s="423"/>
      <c r="AH153" s="423"/>
      <c r="AI153" s="423"/>
      <c r="AJ153" s="423"/>
      <c r="AK153" s="423"/>
    </row>
    <row r="154" ht="15.75" customHeight="1">
      <c r="A154" s="423"/>
      <c r="B154" s="423"/>
      <c r="C154" s="423"/>
      <c r="D154" s="428"/>
      <c r="E154" s="425"/>
      <c r="F154" s="425"/>
      <c r="G154" s="425"/>
      <c r="H154" s="425"/>
      <c r="I154" s="425"/>
      <c r="J154" s="425"/>
      <c r="K154" s="425"/>
      <c r="L154" s="425"/>
      <c r="M154" s="425"/>
      <c r="N154" s="425"/>
      <c r="O154" s="425"/>
      <c r="P154" s="425"/>
      <c r="Q154" s="423"/>
      <c r="R154" s="423"/>
      <c r="S154" s="423"/>
      <c r="T154" s="423"/>
      <c r="U154" s="423"/>
      <c r="V154" s="423"/>
      <c r="W154" s="423"/>
      <c r="X154" s="423"/>
      <c r="Y154" s="423"/>
      <c r="Z154" s="423"/>
      <c r="AA154" s="423"/>
      <c r="AB154" s="423"/>
      <c r="AC154" s="423"/>
      <c r="AD154" s="423"/>
      <c r="AE154" s="423"/>
      <c r="AF154" s="423"/>
      <c r="AG154" s="423"/>
      <c r="AH154" s="423"/>
      <c r="AI154" s="423"/>
      <c r="AJ154" s="423"/>
      <c r="AK154" s="423"/>
    </row>
    <row r="155" ht="15.75" customHeight="1">
      <c r="A155" s="423"/>
      <c r="B155" s="423"/>
      <c r="C155" s="423"/>
      <c r="D155" s="428"/>
      <c r="E155" s="425"/>
      <c r="F155" s="425"/>
      <c r="G155" s="425"/>
      <c r="H155" s="425"/>
      <c r="I155" s="425"/>
      <c r="J155" s="425"/>
      <c r="K155" s="425"/>
      <c r="L155" s="425"/>
      <c r="M155" s="425"/>
      <c r="N155" s="425"/>
      <c r="O155" s="425"/>
      <c r="P155" s="425"/>
      <c r="Q155" s="423"/>
      <c r="R155" s="423"/>
      <c r="S155" s="423"/>
      <c r="T155" s="423"/>
      <c r="U155" s="423"/>
      <c r="V155" s="423"/>
      <c r="W155" s="423"/>
      <c r="X155" s="423"/>
      <c r="Y155" s="423"/>
      <c r="Z155" s="423"/>
      <c r="AA155" s="423"/>
      <c r="AB155" s="423"/>
      <c r="AC155" s="423"/>
      <c r="AD155" s="423"/>
      <c r="AE155" s="423"/>
      <c r="AF155" s="423"/>
      <c r="AG155" s="423"/>
      <c r="AH155" s="423"/>
      <c r="AI155" s="423"/>
      <c r="AJ155" s="423"/>
      <c r="AK155" s="423"/>
    </row>
    <row r="156" ht="15.75" customHeight="1">
      <c r="A156" s="423"/>
      <c r="B156" s="423"/>
      <c r="C156" s="423"/>
      <c r="D156" s="428"/>
      <c r="E156" s="425"/>
      <c r="F156" s="425"/>
      <c r="G156" s="425"/>
      <c r="H156" s="425"/>
      <c r="I156" s="425"/>
      <c r="J156" s="425"/>
      <c r="K156" s="425"/>
      <c r="L156" s="425"/>
      <c r="M156" s="425"/>
      <c r="N156" s="425"/>
      <c r="O156" s="425"/>
      <c r="P156" s="425"/>
      <c r="Q156" s="423"/>
      <c r="R156" s="423"/>
      <c r="S156" s="423"/>
      <c r="T156" s="423"/>
      <c r="U156" s="423"/>
      <c r="V156" s="423"/>
      <c r="W156" s="423"/>
      <c r="X156" s="423"/>
      <c r="Y156" s="423"/>
      <c r="Z156" s="423"/>
      <c r="AA156" s="423"/>
      <c r="AB156" s="423"/>
      <c r="AC156" s="423"/>
      <c r="AD156" s="423"/>
      <c r="AE156" s="423"/>
      <c r="AF156" s="423"/>
      <c r="AG156" s="423"/>
      <c r="AH156" s="423"/>
      <c r="AI156" s="423"/>
      <c r="AJ156" s="423"/>
      <c r="AK156" s="423"/>
    </row>
    <row r="157" ht="15.75" customHeight="1">
      <c r="A157" s="423"/>
      <c r="B157" s="423"/>
      <c r="C157" s="423"/>
      <c r="D157" s="428"/>
      <c r="E157" s="425"/>
      <c r="F157" s="425"/>
      <c r="G157" s="425"/>
      <c r="H157" s="425"/>
      <c r="I157" s="425"/>
      <c r="J157" s="425"/>
      <c r="K157" s="425"/>
      <c r="L157" s="425"/>
      <c r="M157" s="425"/>
      <c r="N157" s="425"/>
      <c r="O157" s="425"/>
      <c r="P157" s="425"/>
      <c r="Q157" s="423"/>
      <c r="R157" s="423"/>
      <c r="S157" s="423"/>
      <c r="T157" s="423"/>
      <c r="U157" s="423"/>
      <c r="V157" s="423"/>
      <c r="W157" s="423"/>
      <c r="X157" s="423"/>
      <c r="Y157" s="423"/>
      <c r="Z157" s="423"/>
      <c r="AA157" s="423"/>
      <c r="AB157" s="423"/>
      <c r="AC157" s="423"/>
      <c r="AD157" s="423"/>
      <c r="AE157" s="423"/>
      <c r="AF157" s="423"/>
      <c r="AG157" s="423"/>
      <c r="AH157" s="423"/>
      <c r="AI157" s="423"/>
      <c r="AJ157" s="423"/>
      <c r="AK157" s="423"/>
    </row>
    <row r="158" ht="15.75" customHeight="1">
      <c r="A158" s="423"/>
      <c r="B158" s="423"/>
      <c r="C158" s="423"/>
      <c r="D158" s="428"/>
      <c r="E158" s="425"/>
      <c r="F158" s="425"/>
      <c r="G158" s="425"/>
      <c r="H158" s="425"/>
      <c r="I158" s="425"/>
      <c r="J158" s="425"/>
      <c r="K158" s="425"/>
      <c r="L158" s="425"/>
      <c r="M158" s="425"/>
      <c r="N158" s="425"/>
      <c r="O158" s="425"/>
      <c r="P158" s="425"/>
      <c r="Q158" s="423"/>
      <c r="R158" s="423"/>
      <c r="S158" s="423"/>
      <c r="T158" s="423"/>
      <c r="U158" s="423"/>
      <c r="V158" s="423"/>
      <c r="W158" s="423"/>
      <c r="X158" s="423"/>
      <c r="Y158" s="423"/>
      <c r="Z158" s="423"/>
      <c r="AA158" s="423"/>
      <c r="AB158" s="423"/>
      <c r="AC158" s="423"/>
      <c r="AD158" s="423"/>
      <c r="AE158" s="423"/>
      <c r="AF158" s="423"/>
      <c r="AG158" s="423"/>
      <c r="AH158" s="423"/>
      <c r="AI158" s="423"/>
      <c r="AJ158" s="423"/>
      <c r="AK158" s="423"/>
    </row>
    <row r="159" ht="15.75" customHeight="1">
      <c r="A159" s="423"/>
      <c r="B159" s="423"/>
      <c r="C159" s="423"/>
      <c r="D159" s="428"/>
      <c r="E159" s="425"/>
      <c r="F159" s="425"/>
      <c r="G159" s="425"/>
      <c r="H159" s="425"/>
      <c r="I159" s="425"/>
      <c r="J159" s="425"/>
      <c r="K159" s="425"/>
      <c r="L159" s="425"/>
      <c r="M159" s="425"/>
      <c r="N159" s="425"/>
      <c r="O159" s="425"/>
      <c r="P159" s="425"/>
      <c r="Q159" s="423"/>
      <c r="R159" s="423"/>
      <c r="S159" s="423"/>
      <c r="T159" s="423"/>
      <c r="U159" s="423"/>
      <c r="V159" s="423"/>
      <c r="W159" s="423"/>
      <c r="X159" s="423"/>
      <c r="Y159" s="423"/>
      <c r="Z159" s="423"/>
      <c r="AA159" s="423"/>
      <c r="AB159" s="423"/>
      <c r="AC159" s="423"/>
      <c r="AD159" s="423"/>
      <c r="AE159" s="423"/>
      <c r="AF159" s="423"/>
      <c r="AG159" s="423"/>
      <c r="AH159" s="423"/>
      <c r="AI159" s="423"/>
      <c r="AJ159" s="423"/>
      <c r="AK159" s="423"/>
    </row>
    <row r="160" ht="15.75" customHeight="1">
      <c r="A160" s="423"/>
      <c r="B160" s="423"/>
      <c r="C160" s="423"/>
      <c r="D160" s="428"/>
      <c r="E160" s="425"/>
      <c r="F160" s="425"/>
      <c r="G160" s="425"/>
      <c r="H160" s="425"/>
      <c r="I160" s="425"/>
      <c r="J160" s="425"/>
      <c r="K160" s="425"/>
      <c r="L160" s="425"/>
      <c r="M160" s="425"/>
      <c r="N160" s="425"/>
      <c r="O160" s="425"/>
      <c r="P160" s="425"/>
      <c r="Q160" s="423"/>
      <c r="R160" s="423"/>
      <c r="S160" s="423"/>
      <c r="T160" s="423"/>
      <c r="U160" s="423"/>
      <c r="V160" s="423"/>
      <c r="W160" s="423"/>
      <c r="X160" s="423"/>
      <c r="Y160" s="423"/>
      <c r="Z160" s="423"/>
      <c r="AA160" s="423"/>
      <c r="AB160" s="423"/>
      <c r="AC160" s="423"/>
      <c r="AD160" s="423"/>
      <c r="AE160" s="423"/>
      <c r="AF160" s="423"/>
      <c r="AG160" s="423"/>
      <c r="AH160" s="423"/>
      <c r="AI160" s="423"/>
      <c r="AJ160" s="423"/>
      <c r="AK160" s="423"/>
    </row>
    <row r="161" ht="15.75" customHeight="1">
      <c r="A161" s="423"/>
      <c r="B161" s="423"/>
      <c r="C161" s="423"/>
      <c r="D161" s="428"/>
      <c r="E161" s="425"/>
      <c r="F161" s="425"/>
      <c r="G161" s="425"/>
      <c r="H161" s="425"/>
      <c r="I161" s="425"/>
      <c r="J161" s="425"/>
      <c r="K161" s="425"/>
      <c r="L161" s="425"/>
      <c r="M161" s="425"/>
      <c r="N161" s="425"/>
      <c r="O161" s="425"/>
      <c r="P161" s="425"/>
      <c r="Q161" s="423"/>
      <c r="R161" s="423"/>
      <c r="S161" s="423"/>
      <c r="T161" s="423"/>
      <c r="U161" s="423"/>
      <c r="V161" s="423"/>
      <c r="W161" s="423"/>
      <c r="X161" s="423"/>
      <c r="Y161" s="423"/>
      <c r="Z161" s="423"/>
      <c r="AA161" s="423"/>
      <c r="AB161" s="423"/>
      <c r="AC161" s="423"/>
      <c r="AD161" s="423"/>
      <c r="AE161" s="423"/>
      <c r="AF161" s="423"/>
      <c r="AG161" s="423"/>
      <c r="AH161" s="423"/>
      <c r="AI161" s="423"/>
      <c r="AJ161" s="423"/>
      <c r="AK161" s="423"/>
    </row>
    <row r="162" ht="15.75" customHeight="1">
      <c r="A162" s="423"/>
      <c r="B162" s="423"/>
      <c r="C162" s="423"/>
      <c r="D162" s="428"/>
      <c r="E162" s="425"/>
      <c r="F162" s="425"/>
      <c r="G162" s="425"/>
      <c r="H162" s="425"/>
      <c r="I162" s="425"/>
      <c r="J162" s="425"/>
      <c r="K162" s="425"/>
      <c r="L162" s="425"/>
      <c r="M162" s="425"/>
      <c r="N162" s="425"/>
      <c r="O162" s="425"/>
      <c r="P162" s="425"/>
      <c r="Q162" s="423"/>
      <c r="R162" s="423"/>
      <c r="S162" s="423"/>
      <c r="T162" s="423"/>
      <c r="U162" s="423"/>
      <c r="V162" s="423"/>
      <c r="W162" s="423"/>
      <c r="X162" s="423"/>
      <c r="Y162" s="423"/>
      <c r="Z162" s="423"/>
      <c r="AA162" s="423"/>
      <c r="AB162" s="423"/>
      <c r="AC162" s="423"/>
      <c r="AD162" s="423"/>
      <c r="AE162" s="423"/>
      <c r="AF162" s="423"/>
      <c r="AG162" s="423"/>
      <c r="AH162" s="423"/>
      <c r="AI162" s="423"/>
      <c r="AJ162" s="423"/>
      <c r="AK162" s="423"/>
    </row>
    <row r="163" ht="15.75" customHeight="1">
      <c r="A163" s="423"/>
      <c r="B163" s="423"/>
      <c r="C163" s="423"/>
      <c r="D163" s="428"/>
      <c r="E163" s="425"/>
      <c r="F163" s="425"/>
      <c r="G163" s="425"/>
      <c r="H163" s="425"/>
      <c r="I163" s="425"/>
      <c r="J163" s="425"/>
      <c r="K163" s="425"/>
      <c r="L163" s="425"/>
      <c r="M163" s="425"/>
      <c r="N163" s="425"/>
      <c r="O163" s="425"/>
      <c r="P163" s="425"/>
      <c r="Q163" s="423"/>
      <c r="R163" s="423"/>
      <c r="S163" s="423"/>
      <c r="T163" s="423"/>
      <c r="U163" s="423"/>
      <c r="V163" s="423"/>
      <c r="W163" s="423"/>
      <c r="X163" s="423"/>
      <c r="Y163" s="423"/>
      <c r="Z163" s="423"/>
      <c r="AA163" s="423"/>
      <c r="AB163" s="423"/>
      <c r="AC163" s="423"/>
      <c r="AD163" s="423"/>
      <c r="AE163" s="423"/>
      <c r="AF163" s="423"/>
      <c r="AG163" s="423"/>
      <c r="AH163" s="423"/>
      <c r="AI163" s="423"/>
      <c r="AJ163" s="423"/>
      <c r="AK163" s="423"/>
    </row>
    <row r="164" ht="15.75" customHeight="1">
      <c r="A164" s="423"/>
      <c r="B164" s="423"/>
      <c r="C164" s="423"/>
      <c r="D164" s="428"/>
      <c r="E164" s="425"/>
      <c r="F164" s="425"/>
      <c r="G164" s="425"/>
      <c r="H164" s="425"/>
      <c r="I164" s="425"/>
      <c r="J164" s="425"/>
      <c r="K164" s="425"/>
      <c r="L164" s="425"/>
      <c r="M164" s="425"/>
      <c r="N164" s="425"/>
      <c r="O164" s="425"/>
      <c r="P164" s="425"/>
      <c r="Q164" s="423"/>
      <c r="R164" s="423"/>
      <c r="S164" s="423"/>
      <c r="T164" s="423"/>
      <c r="U164" s="423"/>
      <c r="V164" s="423"/>
      <c r="W164" s="423"/>
      <c r="X164" s="423"/>
      <c r="Y164" s="423"/>
      <c r="Z164" s="423"/>
      <c r="AA164" s="423"/>
      <c r="AB164" s="423"/>
      <c r="AC164" s="423"/>
      <c r="AD164" s="423"/>
      <c r="AE164" s="423"/>
      <c r="AF164" s="423"/>
      <c r="AG164" s="423"/>
      <c r="AH164" s="423"/>
      <c r="AI164" s="423"/>
      <c r="AJ164" s="423"/>
      <c r="AK164" s="423"/>
    </row>
    <row r="165" ht="15.75" customHeight="1">
      <c r="A165" s="423"/>
      <c r="B165" s="423"/>
      <c r="C165" s="423"/>
      <c r="D165" s="428"/>
      <c r="E165" s="425"/>
      <c r="F165" s="425"/>
      <c r="G165" s="425"/>
      <c r="H165" s="425"/>
      <c r="I165" s="425"/>
      <c r="J165" s="425"/>
      <c r="K165" s="425"/>
      <c r="L165" s="425"/>
      <c r="M165" s="425"/>
      <c r="N165" s="425"/>
      <c r="O165" s="425"/>
      <c r="P165" s="425"/>
      <c r="Q165" s="423"/>
      <c r="R165" s="423"/>
      <c r="S165" s="423"/>
      <c r="T165" s="423"/>
      <c r="U165" s="423"/>
      <c r="V165" s="423"/>
      <c r="W165" s="423"/>
      <c r="X165" s="423"/>
      <c r="Y165" s="423"/>
      <c r="Z165" s="423"/>
      <c r="AA165" s="423"/>
      <c r="AB165" s="423"/>
      <c r="AC165" s="423"/>
      <c r="AD165" s="423"/>
      <c r="AE165" s="423"/>
      <c r="AF165" s="423"/>
      <c r="AG165" s="423"/>
      <c r="AH165" s="423"/>
      <c r="AI165" s="423"/>
      <c r="AJ165" s="423"/>
      <c r="AK165" s="423"/>
    </row>
    <row r="166" ht="15.75" customHeight="1">
      <c r="A166" s="423"/>
      <c r="B166" s="423"/>
      <c r="C166" s="423"/>
      <c r="D166" s="428"/>
      <c r="E166" s="425"/>
      <c r="F166" s="425"/>
      <c r="G166" s="425"/>
      <c r="H166" s="425"/>
      <c r="I166" s="425"/>
      <c r="J166" s="425"/>
      <c r="K166" s="425"/>
      <c r="L166" s="425"/>
      <c r="M166" s="425"/>
      <c r="N166" s="425"/>
      <c r="O166" s="425"/>
      <c r="P166" s="425"/>
      <c r="Q166" s="423"/>
      <c r="R166" s="423"/>
      <c r="S166" s="423"/>
      <c r="T166" s="423"/>
      <c r="U166" s="423"/>
      <c r="V166" s="423"/>
      <c r="W166" s="423"/>
      <c r="X166" s="423"/>
      <c r="Y166" s="423"/>
      <c r="Z166" s="423"/>
      <c r="AA166" s="423"/>
      <c r="AB166" s="423"/>
      <c r="AC166" s="423"/>
      <c r="AD166" s="423"/>
      <c r="AE166" s="423"/>
      <c r="AF166" s="423"/>
      <c r="AG166" s="423"/>
      <c r="AH166" s="423"/>
      <c r="AI166" s="423"/>
      <c r="AJ166" s="423"/>
      <c r="AK166" s="423"/>
    </row>
    <row r="167" ht="15.75" customHeight="1">
      <c r="A167" s="423"/>
      <c r="B167" s="423"/>
      <c r="C167" s="423"/>
      <c r="D167" s="428"/>
      <c r="E167" s="425"/>
      <c r="F167" s="425"/>
      <c r="G167" s="425"/>
      <c r="H167" s="425"/>
      <c r="I167" s="425"/>
      <c r="J167" s="425"/>
      <c r="K167" s="425"/>
      <c r="L167" s="425"/>
      <c r="M167" s="425"/>
      <c r="N167" s="425"/>
      <c r="O167" s="425"/>
      <c r="P167" s="425"/>
      <c r="Q167" s="423"/>
      <c r="R167" s="423"/>
      <c r="S167" s="423"/>
      <c r="T167" s="423"/>
      <c r="U167" s="423"/>
      <c r="V167" s="423"/>
      <c r="W167" s="423"/>
      <c r="X167" s="423"/>
      <c r="Y167" s="423"/>
      <c r="Z167" s="423"/>
      <c r="AA167" s="423"/>
      <c r="AB167" s="423"/>
      <c r="AC167" s="423"/>
      <c r="AD167" s="423"/>
      <c r="AE167" s="423"/>
      <c r="AF167" s="423"/>
      <c r="AG167" s="423"/>
      <c r="AH167" s="423"/>
      <c r="AI167" s="423"/>
      <c r="AJ167" s="423"/>
      <c r="AK167" s="423"/>
    </row>
    <row r="168" ht="15.75" customHeight="1">
      <c r="A168" s="423"/>
      <c r="B168" s="423"/>
      <c r="C168" s="423"/>
      <c r="D168" s="428"/>
      <c r="E168" s="425"/>
      <c r="F168" s="425"/>
      <c r="G168" s="425"/>
      <c r="H168" s="425"/>
      <c r="I168" s="425"/>
      <c r="J168" s="425"/>
      <c r="K168" s="425"/>
      <c r="L168" s="425"/>
      <c r="M168" s="425"/>
      <c r="N168" s="425"/>
      <c r="O168" s="425"/>
      <c r="P168" s="425"/>
      <c r="Q168" s="423"/>
      <c r="R168" s="423"/>
      <c r="S168" s="423"/>
      <c r="T168" s="423"/>
      <c r="U168" s="423"/>
      <c r="V168" s="423"/>
      <c r="W168" s="423"/>
      <c r="X168" s="423"/>
      <c r="Y168" s="423"/>
      <c r="Z168" s="423"/>
      <c r="AA168" s="423"/>
      <c r="AB168" s="423"/>
      <c r="AC168" s="423"/>
      <c r="AD168" s="423"/>
      <c r="AE168" s="423"/>
      <c r="AF168" s="423"/>
      <c r="AG168" s="423"/>
      <c r="AH168" s="423"/>
      <c r="AI168" s="423"/>
      <c r="AJ168" s="423"/>
      <c r="AK168" s="423"/>
    </row>
    <row r="169" ht="15.75" customHeight="1">
      <c r="A169" s="423"/>
      <c r="B169" s="423"/>
      <c r="C169" s="423"/>
      <c r="D169" s="428"/>
      <c r="E169" s="425"/>
      <c r="F169" s="425"/>
      <c r="G169" s="425"/>
      <c r="H169" s="425"/>
      <c r="I169" s="425"/>
      <c r="J169" s="425"/>
      <c r="K169" s="425"/>
      <c r="L169" s="425"/>
      <c r="M169" s="425"/>
      <c r="N169" s="425"/>
      <c r="O169" s="425"/>
      <c r="P169" s="425"/>
      <c r="Q169" s="423"/>
      <c r="R169" s="423"/>
      <c r="S169" s="423"/>
      <c r="T169" s="423"/>
      <c r="U169" s="423"/>
      <c r="V169" s="423"/>
      <c r="W169" s="423"/>
      <c r="X169" s="423"/>
      <c r="Y169" s="423"/>
      <c r="Z169" s="423"/>
      <c r="AA169" s="423"/>
      <c r="AB169" s="423"/>
      <c r="AC169" s="423"/>
      <c r="AD169" s="423"/>
      <c r="AE169" s="423"/>
      <c r="AF169" s="423"/>
      <c r="AG169" s="423"/>
      <c r="AH169" s="423"/>
      <c r="AI169" s="423"/>
      <c r="AJ169" s="423"/>
      <c r="AK169" s="423"/>
    </row>
    <row r="170" ht="15.75" customHeight="1">
      <c r="A170" s="423"/>
      <c r="B170" s="423"/>
      <c r="C170" s="423"/>
      <c r="D170" s="428"/>
      <c r="E170" s="425"/>
      <c r="F170" s="425"/>
      <c r="G170" s="425"/>
      <c r="H170" s="425"/>
      <c r="I170" s="425"/>
      <c r="J170" s="425"/>
      <c r="K170" s="425"/>
      <c r="L170" s="425"/>
      <c r="M170" s="425"/>
      <c r="N170" s="425"/>
      <c r="O170" s="425"/>
      <c r="P170" s="425"/>
      <c r="Q170" s="423"/>
      <c r="R170" s="423"/>
      <c r="S170" s="423"/>
      <c r="T170" s="423"/>
      <c r="U170" s="423"/>
      <c r="V170" s="423"/>
      <c r="W170" s="423"/>
      <c r="X170" s="423"/>
      <c r="Y170" s="423"/>
      <c r="Z170" s="423"/>
      <c r="AA170" s="423"/>
      <c r="AB170" s="423"/>
      <c r="AC170" s="423"/>
      <c r="AD170" s="423"/>
      <c r="AE170" s="423"/>
      <c r="AF170" s="423"/>
      <c r="AG170" s="423"/>
      <c r="AH170" s="423"/>
      <c r="AI170" s="423"/>
      <c r="AJ170" s="423"/>
      <c r="AK170" s="423"/>
    </row>
    <row r="171" ht="15.75" customHeight="1">
      <c r="A171" s="423"/>
      <c r="B171" s="423"/>
      <c r="C171" s="423"/>
      <c r="D171" s="428"/>
      <c r="E171" s="425"/>
      <c r="F171" s="425"/>
      <c r="G171" s="425"/>
      <c r="H171" s="425"/>
      <c r="I171" s="425"/>
      <c r="J171" s="425"/>
      <c r="K171" s="425"/>
      <c r="L171" s="425"/>
      <c r="M171" s="425"/>
      <c r="N171" s="425"/>
      <c r="O171" s="425"/>
      <c r="P171" s="425"/>
      <c r="Q171" s="423"/>
      <c r="R171" s="423"/>
      <c r="S171" s="423"/>
      <c r="T171" s="423"/>
      <c r="U171" s="423"/>
      <c r="V171" s="423"/>
      <c r="W171" s="423"/>
      <c r="X171" s="423"/>
      <c r="Y171" s="423"/>
      <c r="Z171" s="423"/>
      <c r="AA171" s="423"/>
      <c r="AB171" s="423"/>
      <c r="AC171" s="423"/>
      <c r="AD171" s="423"/>
      <c r="AE171" s="423"/>
      <c r="AF171" s="423"/>
      <c r="AG171" s="423"/>
      <c r="AH171" s="423"/>
      <c r="AI171" s="423"/>
      <c r="AJ171" s="423"/>
      <c r="AK171" s="423"/>
    </row>
    <row r="172" ht="15.75" customHeight="1">
      <c r="A172" s="423"/>
      <c r="B172" s="423"/>
      <c r="C172" s="423"/>
      <c r="D172" s="428"/>
      <c r="E172" s="425"/>
      <c r="F172" s="425"/>
      <c r="G172" s="425"/>
      <c r="H172" s="425"/>
      <c r="I172" s="425"/>
      <c r="J172" s="425"/>
      <c r="K172" s="425"/>
      <c r="L172" s="425"/>
      <c r="M172" s="425"/>
      <c r="N172" s="425"/>
      <c r="O172" s="425"/>
      <c r="P172" s="425"/>
      <c r="Q172" s="423"/>
      <c r="R172" s="423"/>
      <c r="S172" s="423"/>
      <c r="T172" s="423"/>
      <c r="U172" s="423"/>
      <c r="V172" s="423"/>
      <c r="W172" s="423"/>
      <c r="X172" s="423"/>
      <c r="Y172" s="423"/>
      <c r="Z172" s="423"/>
      <c r="AA172" s="423"/>
      <c r="AB172" s="423"/>
      <c r="AC172" s="423"/>
      <c r="AD172" s="423"/>
      <c r="AE172" s="423"/>
      <c r="AF172" s="423"/>
      <c r="AG172" s="423"/>
      <c r="AH172" s="423"/>
      <c r="AI172" s="423"/>
      <c r="AJ172" s="423"/>
      <c r="AK172" s="423"/>
    </row>
    <row r="173" ht="15.75" customHeight="1">
      <c r="A173" s="423"/>
      <c r="B173" s="423"/>
      <c r="C173" s="423"/>
      <c r="D173" s="428"/>
      <c r="E173" s="425"/>
      <c r="F173" s="425"/>
      <c r="G173" s="425"/>
      <c r="H173" s="425"/>
      <c r="I173" s="425"/>
      <c r="J173" s="425"/>
      <c r="K173" s="425"/>
      <c r="L173" s="425"/>
      <c r="M173" s="425"/>
      <c r="N173" s="425"/>
      <c r="O173" s="425"/>
      <c r="P173" s="425"/>
      <c r="Q173" s="423"/>
      <c r="R173" s="423"/>
      <c r="S173" s="423"/>
      <c r="T173" s="423"/>
      <c r="U173" s="423"/>
      <c r="V173" s="423"/>
      <c r="W173" s="423"/>
      <c r="X173" s="423"/>
      <c r="Y173" s="423"/>
      <c r="Z173" s="423"/>
      <c r="AA173" s="423"/>
      <c r="AB173" s="423"/>
      <c r="AC173" s="423"/>
      <c r="AD173" s="423"/>
      <c r="AE173" s="423"/>
      <c r="AF173" s="423"/>
      <c r="AG173" s="423"/>
      <c r="AH173" s="423"/>
      <c r="AI173" s="423"/>
      <c r="AJ173" s="423"/>
      <c r="AK173" s="423"/>
    </row>
    <row r="174" ht="15.75" customHeight="1">
      <c r="A174" s="423"/>
      <c r="B174" s="423"/>
      <c r="C174" s="423"/>
      <c r="D174" s="428"/>
      <c r="E174" s="425"/>
      <c r="F174" s="425"/>
      <c r="G174" s="425"/>
      <c r="H174" s="425"/>
      <c r="I174" s="425"/>
      <c r="J174" s="425"/>
      <c r="K174" s="425"/>
      <c r="L174" s="425"/>
      <c r="M174" s="425"/>
      <c r="N174" s="425"/>
      <c r="O174" s="425"/>
      <c r="P174" s="425"/>
      <c r="Q174" s="423"/>
      <c r="R174" s="423"/>
      <c r="S174" s="423"/>
      <c r="T174" s="423"/>
      <c r="U174" s="423"/>
      <c r="V174" s="423"/>
      <c r="W174" s="423"/>
      <c r="X174" s="423"/>
      <c r="Y174" s="423"/>
      <c r="Z174" s="423"/>
      <c r="AA174" s="423"/>
      <c r="AB174" s="423"/>
      <c r="AC174" s="423"/>
      <c r="AD174" s="423"/>
      <c r="AE174" s="423"/>
      <c r="AF174" s="423"/>
      <c r="AG174" s="423"/>
      <c r="AH174" s="423"/>
      <c r="AI174" s="423"/>
      <c r="AJ174" s="423"/>
      <c r="AK174" s="423"/>
    </row>
    <row r="175" ht="15.75" customHeight="1">
      <c r="A175" s="423"/>
      <c r="B175" s="423"/>
      <c r="C175" s="423"/>
      <c r="D175" s="428"/>
      <c r="E175" s="425"/>
      <c r="F175" s="425"/>
      <c r="G175" s="425"/>
      <c r="H175" s="425"/>
      <c r="I175" s="425"/>
      <c r="J175" s="425"/>
      <c r="K175" s="425"/>
      <c r="L175" s="425"/>
      <c r="M175" s="425"/>
      <c r="N175" s="425"/>
      <c r="O175" s="425"/>
      <c r="P175" s="425"/>
      <c r="Q175" s="423"/>
      <c r="R175" s="423"/>
      <c r="S175" s="423"/>
      <c r="T175" s="423"/>
      <c r="U175" s="423"/>
      <c r="V175" s="423"/>
      <c r="W175" s="423"/>
      <c r="X175" s="423"/>
      <c r="Y175" s="423"/>
      <c r="Z175" s="423"/>
      <c r="AA175" s="423"/>
      <c r="AB175" s="423"/>
      <c r="AC175" s="423"/>
      <c r="AD175" s="423"/>
      <c r="AE175" s="423"/>
      <c r="AF175" s="423"/>
      <c r="AG175" s="423"/>
      <c r="AH175" s="423"/>
      <c r="AI175" s="423"/>
      <c r="AJ175" s="423"/>
      <c r="AK175" s="423"/>
    </row>
    <row r="176" ht="15.75" customHeight="1">
      <c r="A176" s="423"/>
      <c r="B176" s="423"/>
      <c r="C176" s="423"/>
      <c r="D176" s="428"/>
      <c r="E176" s="425"/>
      <c r="F176" s="425"/>
      <c r="G176" s="425"/>
      <c r="H176" s="425"/>
      <c r="I176" s="425"/>
      <c r="J176" s="425"/>
      <c r="K176" s="425"/>
      <c r="L176" s="425"/>
      <c r="M176" s="425"/>
      <c r="N176" s="425"/>
      <c r="O176" s="425"/>
      <c r="P176" s="425"/>
      <c r="Q176" s="423"/>
      <c r="R176" s="423"/>
      <c r="S176" s="423"/>
      <c r="T176" s="423"/>
      <c r="U176" s="423"/>
      <c r="V176" s="423"/>
      <c r="W176" s="423"/>
      <c r="X176" s="423"/>
      <c r="Y176" s="423"/>
      <c r="Z176" s="423"/>
      <c r="AA176" s="423"/>
      <c r="AB176" s="423"/>
      <c r="AC176" s="423"/>
      <c r="AD176" s="423"/>
      <c r="AE176" s="423"/>
      <c r="AF176" s="423"/>
      <c r="AG176" s="423"/>
      <c r="AH176" s="423"/>
      <c r="AI176" s="423"/>
      <c r="AJ176" s="423"/>
      <c r="AK176" s="423"/>
    </row>
    <row r="177" ht="15.75" customHeight="1">
      <c r="A177" s="423"/>
      <c r="B177" s="423"/>
      <c r="C177" s="423"/>
      <c r="D177" s="428"/>
      <c r="E177" s="425"/>
      <c r="F177" s="425"/>
      <c r="G177" s="425"/>
      <c r="H177" s="425"/>
      <c r="I177" s="425"/>
      <c r="J177" s="425"/>
      <c r="K177" s="425"/>
      <c r="L177" s="425"/>
      <c r="M177" s="425"/>
      <c r="N177" s="425"/>
      <c r="O177" s="425"/>
      <c r="P177" s="425"/>
      <c r="Q177" s="423"/>
      <c r="R177" s="423"/>
      <c r="S177" s="423"/>
      <c r="T177" s="423"/>
      <c r="U177" s="423"/>
      <c r="V177" s="423"/>
      <c r="W177" s="423"/>
      <c r="X177" s="423"/>
      <c r="Y177" s="423"/>
      <c r="Z177" s="423"/>
      <c r="AA177" s="423"/>
      <c r="AB177" s="423"/>
      <c r="AC177" s="423"/>
      <c r="AD177" s="423"/>
      <c r="AE177" s="423"/>
      <c r="AF177" s="423"/>
      <c r="AG177" s="423"/>
      <c r="AH177" s="423"/>
      <c r="AI177" s="423"/>
      <c r="AJ177" s="423"/>
      <c r="AK177" s="423"/>
    </row>
    <row r="178" ht="15.75" customHeight="1">
      <c r="A178" s="423"/>
      <c r="B178" s="423"/>
      <c r="C178" s="423"/>
      <c r="D178" s="428"/>
      <c r="E178" s="425"/>
      <c r="F178" s="425"/>
      <c r="G178" s="425"/>
      <c r="H178" s="425"/>
      <c r="I178" s="425"/>
      <c r="J178" s="425"/>
      <c r="K178" s="425"/>
      <c r="L178" s="425"/>
      <c r="M178" s="425"/>
      <c r="N178" s="425"/>
      <c r="O178" s="425"/>
      <c r="P178" s="425"/>
      <c r="Q178" s="423"/>
      <c r="R178" s="423"/>
      <c r="S178" s="423"/>
      <c r="T178" s="423"/>
      <c r="U178" s="423"/>
      <c r="V178" s="423"/>
      <c r="W178" s="423"/>
      <c r="X178" s="423"/>
      <c r="Y178" s="423"/>
      <c r="Z178" s="423"/>
      <c r="AA178" s="423"/>
      <c r="AB178" s="423"/>
      <c r="AC178" s="423"/>
      <c r="AD178" s="423"/>
      <c r="AE178" s="423"/>
      <c r="AF178" s="423"/>
      <c r="AG178" s="423"/>
      <c r="AH178" s="423"/>
      <c r="AI178" s="423"/>
      <c r="AJ178" s="423"/>
      <c r="AK178" s="423"/>
    </row>
    <row r="179" ht="15.75" customHeight="1">
      <c r="A179" s="423"/>
      <c r="B179" s="423"/>
      <c r="C179" s="423"/>
      <c r="D179" s="428"/>
      <c r="E179" s="425"/>
      <c r="F179" s="425"/>
      <c r="G179" s="425"/>
      <c r="H179" s="425"/>
      <c r="I179" s="425"/>
      <c r="J179" s="425"/>
      <c r="K179" s="425"/>
      <c r="L179" s="425"/>
      <c r="M179" s="425"/>
      <c r="N179" s="425"/>
      <c r="O179" s="425"/>
      <c r="P179" s="425"/>
      <c r="Q179" s="423"/>
      <c r="R179" s="423"/>
      <c r="S179" s="423"/>
      <c r="T179" s="423"/>
      <c r="U179" s="423"/>
      <c r="V179" s="423"/>
      <c r="W179" s="423"/>
      <c r="X179" s="423"/>
      <c r="Y179" s="423"/>
      <c r="Z179" s="423"/>
      <c r="AA179" s="423"/>
      <c r="AB179" s="423"/>
      <c r="AC179" s="423"/>
      <c r="AD179" s="423"/>
      <c r="AE179" s="423"/>
      <c r="AF179" s="423"/>
      <c r="AG179" s="423"/>
      <c r="AH179" s="423"/>
      <c r="AI179" s="423"/>
      <c r="AJ179" s="423"/>
      <c r="AK179" s="423"/>
    </row>
    <row r="180" ht="15.75" customHeight="1">
      <c r="A180" s="423"/>
      <c r="B180" s="423"/>
      <c r="C180" s="423"/>
      <c r="D180" s="428"/>
      <c r="E180" s="425"/>
      <c r="F180" s="425"/>
      <c r="G180" s="425"/>
      <c r="H180" s="425"/>
      <c r="I180" s="425"/>
      <c r="J180" s="425"/>
      <c r="K180" s="425"/>
      <c r="L180" s="425"/>
      <c r="M180" s="425"/>
      <c r="N180" s="425"/>
      <c r="O180" s="425"/>
      <c r="P180" s="425"/>
      <c r="Q180" s="423"/>
      <c r="R180" s="423"/>
      <c r="S180" s="423"/>
      <c r="T180" s="423"/>
      <c r="U180" s="423"/>
      <c r="V180" s="423"/>
      <c r="W180" s="423"/>
      <c r="X180" s="423"/>
      <c r="Y180" s="423"/>
      <c r="Z180" s="423"/>
      <c r="AA180" s="423"/>
      <c r="AB180" s="423"/>
      <c r="AC180" s="423"/>
      <c r="AD180" s="423"/>
      <c r="AE180" s="423"/>
      <c r="AF180" s="423"/>
      <c r="AG180" s="423"/>
      <c r="AH180" s="423"/>
      <c r="AI180" s="423"/>
      <c r="AJ180" s="423"/>
      <c r="AK180" s="423"/>
    </row>
    <row r="181" ht="15.75" customHeight="1">
      <c r="A181" s="423"/>
      <c r="B181" s="423"/>
      <c r="C181" s="423"/>
      <c r="D181" s="428"/>
      <c r="E181" s="425"/>
      <c r="F181" s="425"/>
      <c r="G181" s="425"/>
      <c r="H181" s="425"/>
      <c r="I181" s="425"/>
      <c r="J181" s="425"/>
      <c r="K181" s="425"/>
      <c r="L181" s="425"/>
      <c r="M181" s="425"/>
      <c r="N181" s="425"/>
      <c r="O181" s="425"/>
      <c r="P181" s="425"/>
      <c r="Q181" s="423"/>
      <c r="R181" s="423"/>
      <c r="S181" s="423"/>
      <c r="T181" s="423"/>
      <c r="U181" s="423"/>
      <c r="V181" s="423"/>
      <c r="W181" s="423"/>
      <c r="X181" s="423"/>
      <c r="Y181" s="423"/>
      <c r="Z181" s="423"/>
      <c r="AA181" s="423"/>
      <c r="AB181" s="423"/>
      <c r="AC181" s="423"/>
      <c r="AD181" s="423"/>
      <c r="AE181" s="423"/>
      <c r="AF181" s="423"/>
      <c r="AG181" s="423"/>
      <c r="AH181" s="423"/>
      <c r="AI181" s="423"/>
      <c r="AJ181" s="423"/>
      <c r="AK181" s="423"/>
    </row>
    <row r="182" ht="15.75" customHeight="1">
      <c r="A182" s="423"/>
      <c r="B182" s="423"/>
      <c r="C182" s="423"/>
      <c r="D182" s="428"/>
      <c r="E182" s="425"/>
      <c r="F182" s="425"/>
      <c r="G182" s="425"/>
      <c r="H182" s="425"/>
      <c r="I182" s="425"/>
      <c r="J182" s="425"/>
      <c r="K182" s="425"/>
      <c r="L182" s="425"/>
      <c r="M182" s="425"/>
      <c r="N182" s="425"/>
      <c r="O182" s="425"/>
      <c r="P182" s="425"/>
      <c r="Q182" s="423"/>
      <c r="R182" s="423"/>
      <c r="S182" s="423"/>
      <c r="T182" s="423"/>
      <c r="U182" s="423"/>
      <c r="V182" s="423"/>
      <c r="W182" s="423"/>
      <c r="X182" s="423"/>
      <c r="Y182" s="423"/>
      <c r="Z182" s="423"/>
      <c r="AA182" s="423"/>
      <c r="AB182" s="423"/>
      <c r="AC182" s="423"/>
      <c r="AD182" s="423"/>
      <c r="AE182" s="423"/>
      <c r="AF182" s="423"/>
      <c r="AG182" s="423"/>
      <c r="AH182" s="423"/>
      <c r="AI182" s="423"/>
      <c r="AJ182" s="423"/>
      <c r="AK182" s="423"/>
    </row>
    <row r="183" ht="15.75" customHeight="1">
      <c r="A183" s="423"/>
      <c r="B183" s="423"/>
      <c r="C183" s="423"/>
      <c r="D183" s="428"/>
      <c r="E183" s="425"/>
      <c r="F183" s="425"/>
      <c r="G183" s="425"/>
      <c r="H183" s="425"/>
      <c r="I183" s="425"/>
      <c r="J183" s="425"/>
      <c r="K183" s="425"/>
      <c r="L183" s="425"/>
      <c r="M183" s="425"/>
      <c r="N183" s="425"/>
      <c r="O183" s="425"/>
      <c r="P183" s="425"/>
      <c r="Q183" s="423"/>
      <c r="R183" s="423"/>
      <c r="S183" s="423"/>
      <c r="T183" s="423"/>
      <c r="U183" s="423"/>
      <c r="V183" s="423"/>
      <c r="W183" s="423"/>
      <c r="X183" s="423"/>
      <c r="Y183" s="423"/>
      <c r="Z183" s="423"/>
      <c r="AA183" s="423"/>
      <c r="AB183" s="423"/>
      <c r="AC183" s="423"/>
      <c r="AD183" s="423"/>
      <c r="AE183" s="423"/>
      <c r="AF183" s="423"/>
      <c r="AG183" s="423"/>
      <c r="AH183" s="423"/>
      <c r="AI183" s="423"/>
      <c r="AJ183" s="423"/>
      <c r="AK183" s="423"/>
    </row>
    <row r="184" ht="15.75" customHeight="1">
      <c r="A184" s="423"/>
      <c r="B184" s="423"/>
      <c r="C184" s="423"/>
      <c r="D184" s="428"/>
      <c r="E184" s="425"/>
      <c r="F184" s="425"/>
      <c r="G184" s="425"/>
      <c r="H184" s="425"/>
      <c r="I184" s="425"/>
      <c r="J184" s="425"/>
      <c r="K184" s="425"/>
      <c r="L184" s="425"/>
      <c r="M184" s="425"/>
      <c r="N184" s="425"/>
      <c r="O184" s="425"/>
      <c r="P184" s="425"/>
      <c r="Q184" s="423"/>
      <c r="R184" s="423"/>
      <c r="S184" s="423"/>
      <c r="T184" s="423"/>
      <c r="U184" s="423"/>
      <c r="V184" s="423"/>
      <c r="W184" s="423"/>
      <c r="X184" s="423"/>
      <c r="Y184" s="423"/>
      <c r="Z184" s="423"/>
      <c r="AA184" s="423"/>
      <c r="AB184" s="423"/>
      <c r="AC184" s="423"/>
      <c r="AD184" s="423"/>
      <c r="AE184" s="423"/>
      <c r="AF184" s="423"/>
      <c r="AG184" s="423"/>
      <c r="AH184" s="423"/>
      <c r="AI184" s="423"/>
      <c r="AJ184" s="423"/>
      <c r="AK184" s="423"/>
    </row>
    <row r="185" ht="15.75" customHeight="1">
      <c r="A185" s="423"/>
      <c r="B185" s="423"/>
      <c r="C185" s="423"/>
      <c r="D185" s="428"/>
      <c r="E185" s="425"/>
      <c r="F185" s="425"/>
      <c r="G185" s="425"/>
      <c r="H185" s="425"/>
      <c r="I185" s="425"/>
      <c r="J185" s="425"/>
      <c r="K185" s="425"/>
      <c r="L185" s="425"/>
      <c r="M185" s="425"/>
      <c r="N185" s="425"/>
      <c r="O185" s="425"/>
      <c r="P185" s="425"/>
      <c r="Q185" s="423"/>
      <c r="R185" s="423"/>
      <c r="S185" s="423"/>
      <c r="T185" s="423"/>
      <c r="U185" s="423"/>
      <c r="V185" s="423"/>
      <c r="W185" s="423"/>
      <c r="X185" s="423"/>
      <c r="Y185" s="423"/>
      <c r="Z185" s="423"/>
      <c r="AA185" s="423"/>
      <c r="AB185" s="423"/>
      <c r="AC185" s="423"/>
      <c r="AD185" s="423"/>
      <c r="AE185" s="423"/>
      <c r="AF185" s="423"/>
      <c r="AG185" s="423"/>
      <c r="AH185" s="423"/>
      <c r="AI185" s="423"/>
      <c r="AJ185" s="423"/>
      <c r="AK185" s="423"/>
    </row>
    <row r="186" ht="15.75" customHeight="1">
      <c r="A186" s="423"/>
      <c r="B186" s="423"/>
      <c r="C186" s="423"/>
      <c r="D186" s="428"/>
      <c r="E186" s="425"/>
      <c r="F186" s="425"/>
      <c r="G186" s="425"/>
      <c r="H186" s="425"/>
      <c r="I186" s="425"/>
      <c r="J186" s="425"/>
      <c r="K186" s="425"/>
      <c r="L186" s="425"/>
      <c r="M186" s="425"/>
      <c r="N186" s="425"/>
      <c r="O186" s="425"/>
      <c r="P186" s="425"/>
      <c r="Q186" s="423"/>
      <c r="R186" s="423"/>
      <c r="S186" s="423"/>
      <c r="T186" s="423"/>
      <c r="U186" s="423"/>
      <c r="V186" s="423"/>
      <c r="W186" s="423"/>
      <c r="X186" s="423"/>
      <c r="Y186" s="423"/>
      <c r="Z186" s="423"/>
      <c r="AA186" s="423"/>
      <c r="AB186" s="423"/>
      <c r="AC186" s="423"/>
      <c r="AD186" s="423"/>
      <c r="AE186" s="423"/>
      <c r="AF186" s="423"/>
      <c r="AG186" s="423"/>
      <c r="AH186" s="423"/>
      <c r="AI186" s="423"/>
      <c r="AJ186" s="423"/>
      <c r="AK186" s="423"/>
    </row>
    <row r="187" ht="15.75" customHeight="1">
      <c r="A187" s="423"/>
      <c r="B187" s="423"/>
      <c r="C187" s="423"/>
      <c r="D187" s="428"/>
      <c r="E187" s="425"/>
      <c r="F187" s="425"/>
      <c r="G187" s="425"/>
      <c r="H187" s="425"/>
      <c r="I187" s="425"/>
      <c r="J187" s="425"/>
      <c r="K187" s="425"/>
      <c r="L187" s="425"/>
      <c r="M187" s="425"/>
      <c r="N187" s="425"/>
      <c r="O187" s="425"/>
      <c r="P187" s="425"/>
      <c r="Q187" s="423"/>
      <c r="R187" s="423"/>
      <c r="S187" s="423"/>
      <c r="T187" s="423"/>
      <c r="U187" s="423"/>
      <c r="V187" s="423"/>
      <c r="W187" s="423"/>
      <c r="X187" s="423"/>
      <c r="Y187" s="423"/>
      <c r="Z187" s="423"/>
      <c r="AA187" s="423"/>
      <c r="AB187" s="423"/>
      <c r="AC187" s="423"/>
      <c r="AD187" s="423"/>
      <c r="AE187" s="423"/>
      <c r="AF187" s="423"/>
      <c r="AG187" s="423"/>
      <c r="AH187" s="423"/>
      <c r="AI187" s="423"/>
      <c r="AJ187" s="423"/>
      <c r="AK187" s="423"/>
    </row>
    <row r="188" ht="15.75" customHeight="1">
      <c r="A188" s="423"/>
      <c r="B188" s="423"/>
      <c r="C188" s="423"/>
      <c r="D188" s="428"/>
      <c r="E188" s="425"/>
      <c r="F188" s="425"/>
      <c r="G188" s="425"/>
      <c r="H188" s="425"/>
      <c r="I188" s="425"/>
      <c r="J188" s="425"/>
      <c r="K188" s="425"/>
      <c r="L188" s="425"/>
      <c r="M188" s="425"/>
      <c r="N188" s="425"/>
      <c r="O188" s="425"/>
      <c r="P188" s="425"/>
      <c r="Q188" s="423"/>
      <c r="R188" s="423"/>
      <c r="S188" s="423"/>
      <c r="T188" s="423"/>
      <c r="U188" s="423"/>
      <c r="V188" s="423"/>
      <c r="W188" s="423"/>
      <c r="X188" s="423"/>
      <c r="Y188" s="423"/>
      <c r="Z188" s="423"/>
      <c r="AA188" s="423"/>
      <c r="AB188" s="423"/>
      <c r="AC188" s="423"/>
      <c r="AD188" s="423"/>
      <c r="AE188" s="423"/>
      <c r="AF188" s="423"/>
      <c r="AG188" s="423"/>
      <c r="AH188" s="423"/>
      <c r="AI188" s="423"/>
      <c r="AJ188" s="423"/>
      <c r="AK188" s="423"/>
    </row>
    <row r="189" ht="15.75" customHeight="1">
      <c r="A189" s="423"/>
      <c r="B189" s="423"/>
      <c r="C189" s="423"/>
      <c r="D189" s="428"/>
      <c r="E189" s="425"/>
      <c r="F189" s="425"/>
      <c r="G189" s="425"/>
      <c r="H189" s="425"/>
      <c r="I189" s="425"/>
      <c r="J189" s="425"/>
      <c r="K189" s="425"/>
      <c r="L189" s="425"/>
      <c r="M189" s="425"/>
      <c r="N189" s="425"/>
      <c r="O189" s="425"/>
      <c r="P189" s="425"/>
      <c r="Q189" s="423"/>
      <c r="R189" s="423"/>
      <c r="S189" s="423"/>
      <c r="T189" s="423"/>
      <c r="U189" s="423"/>
      <c r="V189" s="423"/>
      <c r="W189" s="423"/>
      <c r="X189" s="423"/>
      <c r="Y189" s="423"/>
      <c r="Z189" s="423"/>
      <c r="AA189" s="423"/>
      <c r="AB189" s="423"/>
      <c r="AC189" s="423"/>
      <c r="AD189" s="423"/>
      <c r="AE189" s="423"/>
      <c r="AF189" s="423"/>
      <c r="AG189" s="423"/>
      <c r="AH189" s="423"/>
      <c r="AI189" s="423"/>
      <c r="AJ189" s="423"/>
      <c r="AK189" s="423"/>
    </row>
    <row r="190" ht="15.75" customHeight="1">
      <c r="A190" s="423"/>
      <c r="B190" s="423"/>
      <c r="C190" s="423"/>
      <c r="D190" s="428"/>
      <c r="E190" s="425"/>
      <c r="F190" s="425"/>
      <c r="G190" s="425"/>
      <c r="H190" s="425"/>
      <c r="I190" s="425"/>
      <c r="J190" s="425"/>
      <c r="K190" s="425"/>
      <c r="L190" s="425"/>
      <c r="M190" s="425"/>
      <c r="N190" s="425"/>
      <c r="O190" s="425"/>
      <c r="P190" s="425"/>
      <c r="Q190" s="423"/>
      <c r="R190" s="423"/>
      <c r="S190" s="423"/>
      <c r="T190" s="423"/>
      <c r="U190" s="423"/>
      <c r="V190" s="423"/>
      <c r="W190" s="423"/>
      <c r="X190" s="423"/>
      <c r="Y190" s="423"/>
      <c r="Z190" s="423"/>
      <c r="AA190" s="423"/>
      <c r="AB190" s="423"/>
      <c r="AC190" s="423"/>
      <c r="AD190" s="423"/>
      <c r="AE190" s="423"/>
      <c r="AF190" s="423"/>
      <c r="AG190" s="423"/>
      <c r="AH190" s="423"/>
      <c r="AI190" s="423"/>
      <c r="AJ190" s="423"/>
      <c r="AK190" s="423"/>
    </row>
    <row r="191" ht="15.75" customHeight="1">
      <c r="A191" s="423"/>
      <c r="B191" s="423"/>
      <c r="C191" s="423"/>
      <c r="D191" s="428"/>
      <c r="E191" s="425"/>
      <c r="F191" s="425"/>
      <c r="G191" s="425"/>
      <c r="H191" s="425"/>
      <c r="I191" s="425"/>
      <c r="J191" s="425"/>
      <c r="K191" s="425"/>
      <c r="L191" s="425"/>
      <c r="M191" s="425"/>
      <c r="N191" s="425"/>
      <c r="O191" s="425"/>
      <c r="P191" s="425"/>
      <c r="Q191" s="423"/>
      <c r="R191" s="423"/>
      <c r="S191" s="423"/>
      <c r="T191" s="423"/>
      <c r="U191" s="423"/>
      <c r="V191" s="423"/>
      <c r="W191" s="423"/>
      <c r="X191" s="423"/>
      <c r="Y191" s="423"/>
      <c r="Z191" s="423"/>
      <c r="AA191" s="423"/>
      <c r="AB191" s="423"/>
      <c r="AC191" s="423"/>
      <c r="AD191" s="423"/>
      <c r="AE191" s="423"/>
      <c r="AF191" s="423"/>
      <c r="AG191" s="423"/>
      <c r="AH191" s="423"/>
      <c r="AI191" s="423"/>
      <c r="AJ191" s="423"/>
      <c r="AK191" s="423"/>
    </row>
    <row r="192" ht="15.75" customHeight="1">
      <c r="A192" s="423"/>
      <c r="B192" s="423"/>
      <c r="C192" s="423"/>
      <c r="D192" s="428"/>
      <c r="E192" s="425"/>
      <c r="F192" s="425"/>
      <c r="G192" s="425"/>
      <c r="H192" s="425"/>
      <c r="I192" s="425"/>
      <c r="J192" s="425"/>
      <c r="K192" s="425"/>
      <c r="L192" s="425"/>
      <c r="M192" s="425"/>
      <c r="N192" s="425"/>
      <c r="O192" s="425"/>
      <c r="P192" s="425"/>
      <c r="Q192" s="423"/>
      <c r="R192" s="423"/>
      <c r="S192" s="423"/>
      <c r="T192" s="423"/>
      <c r="U192" s="423"/>
      <c r="V192" s="423"/>
      <c r="W192" s="423"/>
      <c r="X192" s="423"/>
      <c r="Y192" s="423"/>
      <c r="Z192" s="423"/>
      <c r="AA192" s="423"/>
      <c r="AB192" s="423"/>
      <c r="AC192" s="423"/>
      <c r="AD192" s="423"/>
      <c r="AE192" s="423"/>
      <c r="AF192" s="423"/>
      <c r="AG192" s="423"/>
      <c r="AH192" s="423"/>
      <c r="AI192" s="423"/>
      <c r="AJ192" s="423"/>
      <c r="AK192" s="423"/>
    </row>
    <row r="193" ht="15.75" customHeight="1">
      <c r="A193" s="423"/>
      <c r="B193" s="423"/>
      <c r="C193" s="423"/>
      <c r="D193" s="428"/>
      <c r="E193" s="425"/>
      <c r="F193" s="425"/>
      <c r="G193" s="425"/>
      <c r="H193" s="425"/>
      <c r="I193" s="425"/>
      <c r="J193" s="425"/>
      <c r="K193" s="425"/>
      <c r="L193" s="425"/>
      <c r="M193" s="425"/>
      <c r="N193" s="425"/>
      <c r="O193" s="425"/>
      <c r="P193" s="425"/>
      <c r="Q193" s="423"/>
      <c r="R193" s="423"/>
      <c r="S193" s="423"/>
      <c r="T193" s="423"/>
      <c r="U193" s="423"/>
      <c r="V193" s="423"/>
      <c r="W193" s="423"/>
      <c r="X193" s="423"/>
      <c r="Y193" s="423"/>
      <c r="Z193" s="423"/>
      <c r="AA193" s="423"/>
      <c r="AB193" s="423"/>
      <c r="AC193" s="423"/>
      <c r="AD193" s="423"/>
      <c r="AE193" s="423"/>
      <c r="AF193" s="423"/>
      <c r="AG193" s="423"/>
      <c r="AH193" s="423"/>
      <c r="AI193" s="423"/>
      <c r="AJ193" s="423"/>
      <c r="AK193" s="423"/>
    </row>
    <row r="194" ht="15.75" customHeight="1">
      <c r="A194" s="423"/>
      <c r="B194" s="423"/>
      <c r="C194" s="423"/>
      <c r="D194" s="428"/>
      <c r="E194" s="425"/>
      <c r="F194" s="425"/>
      <c r="G194" s="425"/>
      <c r="H194" s="425"/>
      <c r="I194" s="425"/>
      <c r="J194" s="425"/>
      <c r="K194" s="425"/>
      <c r="L194" s="425"/>
      <c r="M194" s="425"/>
      <c r="N194" s="425"/>
      <c r="O194" s="425"/>
      <c r="P194" s="425"/>
      <c r="Q194" s="423"/>
      <c r="R194" s="423"/>
      <c r="S194" s="423"/>
      <c r="T194" s="423"/>
      <c r="U194" s="423"/>
      <c r="V194" s="423"/>
      <c r="W194" s="423"/>
      <c r="X194" s="423"/>
      <c r="Y194" s="423"/>
      <c r="Z194" s="423"/>
      <c r="AA194" s="423"/>
      <c r="AB194" s="423"/>
      <c r="AC194" s="423"/>
      <c r="AD194" s="423"/>
      <c r="AE194" s="423"/>
      <c r="AF194" s="423"/>
      <c r="AG194" s="423"/>
      <c r="AH194" s="423"/>
      <c r="AI194" s="423"/>
      <c r="AJ194" s="423"/>
      <c r="AK194" s="423"/>
    </row>
    <row r="195" ht="15.75" customHeight="1">
      <c r="A195" s="423"/>
      <c r="B195" s="423"/>
      <c r="C195" s="423"/>
      <c r="D195" s="428"/>
      <c r="E195" s="425"/>
      <c r="F195" s="425"/>
      <c r="G195" s="425"/>
      <c r="H195" s="425"/>
      <c r="I195" s="425"/>
      <c r="J195" s="425"/>
      <c r="K195" s="425"/>
      <c r="L195" s="425"/>
      <c r="M195" s="425"/>
      <c r="N195" s="425"/>
      <c r="O195" s="425"/>
      <c r="P195" s="425"/>
      <c r="Q195" s="423"/>
      <c r="R195" s="423"/>
      <c r="S195" s="423"/>
      <c r="T195" s="423"/>
      <c r="U195" s="423"/>
      <c r="V195" s="423"/>
      <c r="W195" s="423"/>
      <c r="X195" s="423"/>
      <c r="Y195" s="423"/>
      <c r="Z195" s="423"/>
      <c r="AA195" s="423"/>
      <c r="AB195" s="423"/>
      <c r="AC195" s="423"/>
      <c r="AD195" s="423"/>
      <c r="AE195" s="423"/>
      <c r="AF195" s="423"/>
      <c r="AG195" s="423"/>
      <c r="AH195" s="423"/>
      <c r="AI195" s="423"/>
      <c r="AJ195" s="423"/>
      <c r="AK195" s="423"/>
    </row>
    <row r="196" ht="15.75" customHeight="1">
      <c r="A196" s="423"/>
      <c r="B196" s="423"/>
      <c r="C196" s="423"/>
      <c r="D196" s="428"/>
      <c r="E196" s="425"/>
      <c r="F196" s="425"/>
      <c r="G196" s="425"/>
      <c r="H196" s="425"/>
      <c r="I196" s="425"/>
      <c r="J196" s="425"/>
      <c r="K196" s="425"/>
      <c r="L196" s="425"/>
      <c r="M196" s="425"/>
      <c r="N196" s="425"/>
      <c r="O196" s="425"/>
      <c r="P196" s="425"/>
      <c r="Q196" s="423"/>
      <c r="R196" s="423"/>
      <c r="S196" s="423"/>
      <c r="T196" s="423"/>
      <c r="U196" s="423"/>
      <c r="V196" s="423"/>
      <c r="W196" s="423"/>
      <c r="X196" s="423"/>
      <c r="Y196" s="423"/>
      <c r="Z196" s="423"/>
      <c r="AA196" s="423"/>
      <c r="AB196" s="423"/>
      <c r="AC196" s="423"/>
      <c r="AD196" s="423"/>
      <c r="AE196" s="423"/>
      <c r="AF196" s="423"/>
      <c r="AG196" s="423"/>
      <c r="AH196" s="423"/>
      <c r="AI196" s="423"/>
      <c r="AJ196" s="423"/>
      <c r="AK196" s="423"/>
    </row>
    <row r="197" ht="15.75" customHeight="1">
      <c r="A197" s="423"/>
      <c r="B197" s="423"/>
      <c r="C197" s="423"/>
      <c r="D197" s="428"/>
      <c r="E197" s="425"/>
      <c r="F197" s="425"/>
      <c r="G197" s="425"/>
      <c r="H197" s="425"/>
      <c r="I197" s="425"/>
      <c r="J197" s="425"/>
      <c r="K197" s="425"/>
      <c r="L197" s="425"/>
      <c r="M197" s="425"/>
      <c r="N197" s="425"/>
      <c r="O197" s="425"/>
      <c r="P197" s="425"/>
      <c r="Q197" s="423"/>
      <c r="R197" s="423"/>
      <c r="S197" s="423"/>
      <c r="T197" s="423"/>
      <c r="U197" s="423"/>
      <c r="V197" s="423"/>
      <c r="W197" s="423"/>
      <c r="X197" s="423"/>
      <c r="Y197" s="423"/>
      <c r="Z197" s="423"/>
      <c r="AA197" s="423"/>
      <c r="AB197" s="423"/>
      <c r="AC197" s="423"/>
      <c r="AD197" s="423"/>
      <c r="AE197" s="423"/>
      <c r="AF197" s="423"/>
      <c r="AG197" s="423"/>
      <c r="AH197" s="423"/>
      <c r="AI197" s="423"/>
      <c r="AJ197" s="423"/>
      <c r="AK197" s="423"/>
    </row>
    <row r="198" ht="15.75" customHeight="1">
      <c r="A198" s="423"/>
      <c r="B198" s="423"/>
      <c r="C198" s="423"/>
      <c r="D198" s="428"/>
      <c r="E198" s="425"/>
      <c r="F198" s="425"/>
      <c r="G198" s="425"/>
      <c r="H198" s="425"/>
      <c r="I198" s="425"/>
      <c r="J198" s="425"/>
      <c r="K198" s="425"/>
      <c r="L198" s="425"/>
      <c r="M198" s="425"/>
      <c r="N198" s="425"/>
      <c r="O198" s="425"/>
      <c r="P198" s="425"/>
      <c r="Q198" s="423"/>
      <c r="R198" s="423"/>
      <c r="S198" s="423"/>
      <c r="T198" s="423"/>
      <c r="U198" s="423"/>
      <c r="V198" s="423"/>
      <c r="W198" s="423"/>
      <c r="X198" s="423"/>
      <c r="Y198" s="423"/>
      <c r="Z198" s="423"/>
      <c r="AA198" s="423"/>
      <c r="AB198" s="423"/>
      <c r="AC198" s="423"/>
      <c r="AD198" s="423"/>
      <c r="AE198" s="423"/>
      <c r="AF198" s="423"/>
      <c r="AG198" s="423"/>
      <c r="AH198" s="423"/>
      <c r="AI198" s="423"/>
      <c r="AJ198" s="423"/>
      <c r="AK198" s="423"/>
    </row>
    <row r="199" ht="15.75" customHeight="1">
      <c r="A199" s="423"/>
      <c r="B199" s="423"/>
      <c r="C199" s="423"/>
      <c r="D199" s="428"/>
      <c r="E199" s="425"/>
      <c r="F199" s="425"/>
      <c r="G199" s="425"/>
      <c r="H199" s="425"/>
      <c r="I199" s="425"/>
      <c r="J199" s="425"/>
      <c r="K199" s="425"/>
      <c r="L199" s="425"/>
      <c r="M199" s="425"/>
      <c r="N199" s="425"/>
      <c r="O199" s="425"/>
      <c r="P199" s="425"/>
      <c r="Q199" s="423"/>
      <c r="R199" s="423"/>
      <c r="S199" s="423"/>
      <c r="T199" s="423"/>
      <c r="U199" s="423"/>
      <c r="V199" s="423"/>
      <c r="W199" s="423"/>
      <c r="X199" s="423"/>
      <c r="Y199" s="423"/>
      <c r="Z199" s="423"/>
      <c r="AA199" s="423"/>
      <c r="AB199" s="423"/>
      <c r="AC199" s="423"/>
      <c r="AD199" s="423"/>
      <c r="AE199" s="423"/>
      <c r="AF199" s="423"/>
      <c r="AG199" s="423"/>
      <c r="AH199" s="423"/>
      <c r="AI199" s="423"/>
      <c r="AJ199" s="423"/>
      <c r="AK199" s="423"/>
    </row>
    <row r="200" ht="15.75" customHeight="1">
      <c r="A200" s="423"/>
      <c r="B200" s="423"/>
      <c r="C200" s="423"/>
      <c r="D200" s="428"/>
      <c r="E200" s="425"/>
      <c r="F200" s="425"/>
      <c r="G200" s="425"/>
      <c r="H200" s="425"/>
      <c r="I200" s="425"/>
      <c r="J200" s="425"/>
      <c r="K200" s="425"/>
      <c r="L200" s="425"/>
      <c r="M200" s="425"/>
      <c r="N200" s="425"/>
      <c r="O200" s="425"/>
      <c r="P200" s="425"/>
      <c r="Q200" s="423"/>
      <c r="R200" s="423"/>
      <c r="S200" s="423"/>
      <c r="T200" s="423"/>
      <c r="U200" s="423"/>
      <c r="V200" s="423"/>
      <c r="W200" s="423"/>
      <c r="X200" s="423"/>
      <c r="Y200" s="423"/>
      <c r="Z200" s="423"/>
      <c r="AA200" s="423"/>
      <c r="AB200" s="423"/>
      <c r="AC200" s="423"/>
      <c r="AD200" s="423"/>
      <c r="AE200" s="423"/>
      <c r="AF200" s="423"/>
      <c r="AG200" s="423"/>
      <c r="AH200" s="423"/>
      <c r="AI200" s="423"/>
      <c r="AJ200" s="423"/>
      <c r="AK200" s="423"/>
    </row>
    <row r="201" ht="15.75" customHeight="1">
      <c r="A201" s="423"/>
      <c r="B201" s="423"/>
      <c r="C201" s="423"/>
      <c r="D201" s="428"/>
      <c r="E201" s="425"/>
      <c r="F201" s="425"/>
      <c r="G201" s="425"/>
      <c r="H201" s="425"/>
      <c r="I201" s="425"/>
      <c r="J201" s="425"/>
      <c r="K201" s="425"/>
      <c r="L201" s="425"/>
      <c r="M201" s="425"/>
      <c r="N201" s="425"/>
      <c r="O201" s="425"/>
      <c r="P201" s="425"/>
      <c r="Q201" s="423"/>
      <c r="R201" s="423"/>
      <c r="S201" s="423"/>
      <c r="T201" s="423"/>
      <c r="U201" s="423"/>
      <c r="V201" s="423"/>
      <c r="W201" s="423"/>
      <c r="X201" s="423"/>
      <c r="Y201" s="423"/>
      <c r="Z201" s="423"/>
      <c r="AA201" s="423"/>
      <c r="AB201" s="423"/>
      <c r="AC201" s="423"/>
      <c r="AD201" s="423"/>
      <c r="AE201" s="423"/>
      <c r="AF201" s="423"/>
      <c r="AG201" s="423"/>
      <c r="AH201" s="423"/>
      <c r="AI201" s="423"/>
      <c r="AJ201" s="423"/>
      <c r="AK201" s="423"/>
    </row>
    <row r="202" ht="15.75" customHeight="1">
      <c r="A202" s="423"/>
      <c r="B202" s="423"/>
      <c r="C202" s="423"/>
      <c r="D202" s="428"/>
      <c r="E202" s="425"/>
      <c r="F202" s="425"/>
      <c r="G202" s="425"/>
      <c r="H202" s="425"/>
      <c r="I202" s="425"/>
      <c r="J202" s="425"/>
      <c r="K202" s="425"/>
      <c r="L202" s="425"/>
      <c r="M202" s="425"/>
      <c r="N202" s="425"/>
      <c r="O202" s="425"/>
      <c r="P202" s="425"/>
      <c r="Q202" s="423"/>
      <c r="R202" s="423"/>
      <c r="S202" s="423"/>
      <c r="T202" s="423"/>
      <c r="U202" s="423"/>
      <c r="V202" s="423"/>
      <c r="W202" s="423"/>
      <c r="X202" s="423"/>
      <c r="Y202" s="423"/>
      <c r="Z202" s="423"/>
      <c r="AA202" s="423"/>
      <c r="AB202" s="423"/>
      <c r="AC202" s="423"/>
      <c r="AD202" s="423"/>
      <c r="AE202" s="423"/>
      <c r="AF202" s="423"/>
      <c r="AG202" s="423"/>
      <c r="AH202" s="423"/>
      <c r="AI202" s="423"/>
      <c r="AJ202" s="423"/>
      <c r="AK202" s="423"/>
    </row>
    <row r="203" ht="15.75" customHeight="1">
      <c r="A203" s="423"/>
      <c r="B203" s="423"/>
      <c r="C203" s="423"/>
      <c r="D203" s="428"/>
      <c r="E203" s="425"/>
      <c r="F203" s="425"/>
      <c r="G203" s="425"/>
      <c r="H203" s="425"/>
      <c r="I203" s="425"/>
      <c r="J203" s="425"/>
      <c r="K203" s="425"/>
      <c r="L203" s="425"/>
      <c r="M203" s="425"/>
      <c r="N203" s="425"/>
      <c r="O203" s="425"/>
      <c r="P203" s="425"/>
      <c r="Q203" s="423"/>
      <c r="R203" s="423"/>
      <c r="S203" s="423"/>
      <c r="T203" s="423"/>
      <c r="U203" s="423"/>
      <c r="V203" s="423"/>
      <c r="W203" s="423"/>
      <c r="X203" s="423"/>
      <c r="Y203" s="423"/>
      <c r="Z203" s="423"/>
      <c r="AA203" s="423"/>
      <c r="AB203" s="423"/>
      <c r="AC203" s="423"/>
      <c r="AD203" s="423"/>
      <c r="AE203" s="423"/>
      <c r="AF203" s="423"/>
      <c r="AG203" s="423"/>
      <c r="AH203" s="423"/>
      <c r="AI203" s="423"/>
      <c r="AJ203" s="423"/>
      <c r="AK203" s="423"/>
    </row>
    <row r="204" ht="15.75" customHeight="1">
      <c r="A204" s="423"/>
      <c r="B204" s="423"/>
      <c r="C204" s="423"/>
      <c r="D204" s="428"/>
      <c r="E204" s="425"/>
      <c r="F204" s="425"/>
      <c r="G204" s="425"/>
      <c r="H204" s="425"/>
      <c r="I204" s="425"/>
      <c r="J204" s="425"/>
      <c r="K204" s="425"/>
      <c r="L204" s="425"/>
      <c r="M204" s="425"/>
      <c r="N204" s="425"/>
      <c r="O204" s="425"/>
      <c r="P204" s="425"/>
      <c r="Q204" s="423"/>
      <c r="R204" s="423"/>
      <c r="S204" s="423"/>
      <c r="T204" s="423"/>
      <c r="U204" s="423"/>
      <c r="V204" s="423"/>
      <c r="W204" s="423"/>
      <c r="X204" s="423"/>
      <c r="Y204" s="423"/>
      <c r="Z204" s="423"/>
      <c r="AA204" s="423"/>
      <c r="AB204" s="423"/>
      <c r="AC204" s="423"/>
      <c r="AD204" s="423"/>
      <c r="AE204" s="423"/>
      <c r="AF204" s="423"/>
      <c r="AG204" s="423"/>
      <c r="AH204" s="423"/>
      <c r="AI204" s="423"/>
      <c r="AJ204" s="423"/>
      <c r="AK204" s="423"/>
    </row>
    <row r="205" ht="15.75" customHeight="1">
      <c r="A205" s="423"/>
      <c r="B205" s="423"/>
      <c r="C205" s="423"/>
      <c r="D205" s="428"/>
      <c r="E205" s="425"/>
      <c r="F205" s="425"/>
      <c r="G205" s="425"/>
      <c r="H205" s="425"/>
      <c r="I205" s="425"/>
      <c r="J205" s="425"/>
      <c r="K205" s="425"/>
      <c r="L205" s="425"/>
      <c r="M205" s="425"/>
      <c r="N205" s="425"/>
      <c r="O205" s="425"/>
      <c r="P205" s="425"/>
      <c r="Q205" s="423"/>
      <c r="R205" s="423"/>
      <c r="S205" s="423"/>
      <c r="T205" s="423"/>
      <c r="U205" s="423"/>
      <c r="V205" s="423"/>
      <c r="W205" s="423"/>
      <c r="X205" s="423"/>
      <c r="Y205" s="423"/>
      <c r="Z205" s="423"/>
      <c r="AA205" s="423"/>
      <c r="AB205" s="423"/>
      <c r="AC205" s="423"/>
      <c r="AD205" s="423"/>
      <c r="AE205" s="423"/>
      <c r="AF205" s="423"/>
      <c r="AG205" s="423"/>
      <c r="AH205" s="423"/>
      <c r="AI205" s="423"/>
      <c r="AJ205" s="423"/>
      <c r="AK205" s="423"/>
    </row>
    <row r="206" ht="15.75" customHeight="1">
      <c r="A206" s="423"/>
      <c r="B206" s="423"/>
      <c r="C206" s="423"/>
      <c r="D206" s="428"/>
      <c r="E206" s="425"/>
      <c r="F206" s="425"/>
      <c r="G206" s="425"/>
      <c r="H206" s="425"/>
      <c r="I206" s="425"/>
      <c r="J206" s="425"/>
      <c r="K206" s="425"/>
      <c r="L206" s="425"/>
      <c r="M206" s="425"/>
      <c r="N206" s="425"/>
      <c r="O206" s="425"/>
      <c r="P206" s="425"/>
      <c r="Q206" s="423"/>
      <c r="R206" s="423"/>
      <c r="S206" s="423"/>
      <c r="T206" s="423"/>
      <c r="U206" s="423"/>
      <c r="V206" s="423"/>
      <c r="W206" s="423"/>
      <c r="X206" s="423"/>
      <c r="Y206" s="423"/>
      <c r="Z206" s="423"/>
      <c r="AA206" s="423"/>
      <c r="AB206" s="423"/>
      <c r="AC206" s="423"/>
      <c r="AD206" s="423"/>
      <c r="AE206" s="423"/>
      <c r="AF206" s="423"/>
      <c r="AG206" s="423"/>
      <c r="AH206" s="423"/>
      <c r="AI206" s="423"/>
      <c r="AJ206" s="423"/>
      <c r="AK206" s="423"/>
    </row>
    <row r="207" ht="15.75" customHeight="1">
      <c r="A207" s="423"/>
      <c r="B207" s="423"/>
      <c r="C207" s="423"/>
      <c r="D207" s="428"/>
      <c r="E207" s="425"/>
      <c r="F207" s="425"/>
      <c r="G207" s="425"/>
      <c r="H207" s="425"/>
      <c r="I207" s="425"/>
      <c r="J207" s="425"/>
      <c r="K207" s="425"/>
      <c r="L207" s="425"/>
      <c r="M207" s="425"/>
      <c r="N207" s="425"/>
      <c r="O207" s="425"/>
      <c r="P207" s="425"/>
      <c r="Q207" s="423"/>
      <c r="R207" s="423"/>
      <c r="S207" s="423"/>
      <c r="T207" s="423"/>
      <c r="U207" s="423"/>
      <c r="V207" s="423"/>
      <c r="W207" s="423"/>
      <c r="X207" s="423"/>
      <c r="Y207" s="423"/>
      <c r="Z207" s="423"/>
      <c r="AA207" s="423"/>
      <c r="AB207" s="423"/>
      <c r="AC207" s="423"/>
      <c r="AD207" s="423"/>
      <c r="AE207" s="423"/>
      <c r="AF207" s="423"/>
      <c r="AG207" s="423"/>
      <c r="AH207" s="423"/>
      <c r="AI207" s="423"/>
      <c r="AJ207" s="423"/>
      <c r="AK207" s="423"/>
    </row>
    <row r="208" ht="15.75" customHeight="1">
      <c r="A208" s="423"/>
      <c r="B208" s="423"/>
      <c r="C208" s="423"/>
      <c r="D208" s="428"/>
      <c r="E208" s="425"/>
      <c r="F208" s="425"/>
      <c r="G208" s="425"/>
      <c r="H208" s="425"/>
      <c r="I208" s="425"/>
      <c r="J208" s="425"/>
      <c r="K208" s="425"/>
      <c r="L208" s="425"/>
      <c r="M208" s="425"/>
      <c r="N208" s="425"/>
      <c r="O208" s="425"/>
      <c r="P208" s="425"/>
      <c r="Q208" s="423"/>
      <c r="R208" s="423"/>
      <c r="S208" s="423"/>
      <c r="T208" s="423"/>
      <c r="U208" s="423"/>
      <c r="V208" s="423"/>
      <c r="W208" s="423"/>
      <c r="X208" s="423"/>
      <c r="Y208" s="423"/>
      <c r="Z208" s="423"/>
      <c r="AA208" s="423"/>
      <c r="AB208" s="423"/>
      <c r="AC208" s="423"/>
      <c r="AD208" s="423"/>
      <c r="AE208" s="423"/>
      <c r="AF208" s="423"/>
      <c r="AG208" s="423"/>
      <c r="AH208" s="423"/>
      <c r="AI208" s="423"/>
      <c r="AJ208" s="423"/>
      <c r="AK208" s="423"/>
    </row>
    <row r="209" ht="15.75" customHeight="1">
      <c r="A209" s="423"/>
      <c r="B209" s="423"/>
      <c r="C209" s="423"/>
      <c r="D209" s="428"/>
      <c r="E209" s="425"/>
      <c r="F209" s="425"/>
      <c r="G209" s="425"/>
      <c r="H209" s="425"/>
      <c r="I209" s="425"/>
      <c r="J209" s="425"/>
      <c r="K209" s="425"/>
      <c r="L209" s="425"/>
      <c r="M209" s="425"/>
      <c r="N209" s="425"/>
      <c r="O209" s="425"/>
      <c r="P209" s="425"/>
      <c r="Q209" s="423"/>
      <c r="R209" s="423"/>
      <c r="S209" s="423"/>
      <c r="T209" s="423"/>
      <c r="U209" s="423"/>
      <c r="V209" s="423"/>
      <c r="W209" s="423"/>
      <c r="X209" s="423"/>
      <c r="Y209" s="423"/>
      <c r="Z209" s="423"/>
      <c r="AA209" s="423"/>
      <c r="AB209" s="423"/>
      <c r="AC209" s="423"/>
      <c r="AD209" s="423"/>
      <c r="AE209" s="423"/>
      <c r="AF209" s="423"/>
      <c r="AG209" s="423"/>
      <c r="AH209" s="423"/>
      <c r="AI209" s="423"/>
      <c r="AJ209" s="423"/>
      <c r="AK209" s="423"/>
    </row>
    <row r="210" ht="15.75" customHeight="1">
      <c r="A210" s="423"/>
      <c r="B210" s="423"/>
      <c r="C210" s="423"/>
      <c r="D210" s="428"/>
      <c r="E210" s="425"/>
      <c r="F210" s="425"/>
      <c r="G210" s="425"/>
      <c r="H210" s="425"/>
      <c r="I210" s="425"/>
      <c r="J210" s="425"/>
      <c r="K210" s="425"/>
      <c r="L210" s="425"/>
      <c r="M210" s="425"/>
      <c r="N210" s="425"/>
      <c r="O210" s="425"/>
      <c r="P210" s="425"/>
      <c r="Q210" s="423"/>
      <c r="R210" s="423"/>
      <c r="S210" s="423"/>
      <c r="T210" s="423"/>
      <c r="U210" s="423"/>
      <c r="V210" s="423"/>
      <c r="W210" s="423"/>
      <c r="X210" s="423"/>
      <c r="Y210" s="423"/>
      <c r="Z210" s="423"/>
      <c r="AA210" s="423"/>
      <c r="AB210" s="423"/>
      <c r="AC210" s="423"/>
      <c r="AD210" s="423"/>
      <c r="AE210" s="423"/>
      <c r="AF210" s="423"/>
      <c r="AG210" s="423"/>
      <c r="AH210" s="423"/>
      <c r="AI210" s="423"/>
      <c r="AJ210" s="423"/>
      <c r="AK210" s="423"/>
    </row>
    <row r="211" ht="15.75" customHeight="1">
      <c r="A211" s="423"/>
      <c r="B211" s="423"/>
      <c r="C211" s="423"/>
      <c r="D211" s="428"/>
      <c r="E211" s="425"/>
      <c r="F211" s="425"/>
      <c r="G211" s="425"/>
      <c r="H211" s="425"/>
      <c r="I211" s="425"/>
      <c r="J211" s="425"/>
      <c r="K211" s="425"/>
      <c r="L211" s="425"/>
      <c r="M211" s="425"/>
      <c r="N211" s="425"/>
      <c r="O211" s="425"/>
      <c r="P211" s="425"/>
      <c r="Q211" s="423"/>
      <c r="R211" s="423"/>
      <c r="S211" s="423"/>
      <c r="T211" s="423"/>
      <c r="U211" s="423"/>
      <c r="V211" s="423"/>
      <c r="W211" s="423"/>
      <c r="X211" s="423"/>
      <c r="Y211" s="423"/>
      <c r="Z211" s="423"/>
      <c r="AA211" s="423"/>
      <c r="AB211" s="423"/>
      <c r="AC211" s="423"/>
      <c r="AD211" s="423"/>
      <c r="AE211" s="423"/>
      <c r="AF211" s="423"/>
      <c r="AG211" s="423"/>
      <c r="AH211" s="423"/>
      <c r="AI211" s="423"/>
      <c r="AJ211" s="423"/>
      <c r="AK211" s="423"/>
    </row>
    <row r="212" ht="15.75" customHeight="1">
      <c r="A212" s="423"/>
      <c r="B212" s="423"/>
      <c r="C212" s="423"/>
      <c r="D212" s="428"/>
      <c r="E212" s="425"/>
      <c r="F212" s="425"/>
      <c r="G212" s="425"/>
      <c r="H212" s="425"/>
      <c r="I212" s="425"/>
      <c r="J212" s="425"/>
      <c r="K212" s="425"/>
      <c r="L212" s="425"/>
      <c r="M212" s="425"/>
      <c r="N212" s="425"/>
      <c r="O212" s="425"/>
      <c r="P212" s="425"/>
      <c r="Q212" s="423"/>
      <c r="R212" s="423"/>
      <c r="S212" s="423"/>
      <c r="T212" s="423"/>
      <c r="U212" s="423"/>
      <c r="V212" s="423"/>
      <c r="W212" s="423"/>
      <c r="X212" s="423"/>
      <c r="Y212" s="423"/>
      <c r="Z212" s="423"/>
      <c r="AA212" s="423"/>
      <c r="AB212" s="423"/>
      <c r="AC212" s="423"/>
      <c r="AD212" s="423"/>
      <c r="AE212" s="423"/>
      <c r="AF212" s="423"/>
      <c r="AG212" s="423"/>
      <c r="AH212" s="423"/>
      <c r="AI212" s="423"/>
      <c r="AJ212" s="423"/>
      <c r="AK212" s="423"/>
    </row>
    <row r="213" ht="15.75" customHeight="1">
      <c r="A213" s="423"/>
      <c r="B213" s="423"/>
      <c r="C213" s="423"/>
      <c r="D213" s="428"/>
      <c r="E213" s="425"/>
      <c r="F213" s="425"/>
      <c r="G213" s="425"/>
      <c r="H213" s="425"/>
      <c r="I213" s="425"/>
      <c r="J213" s="425"/>
      <c r="K213" s="425"/>
      <c r="L213" s="425"/>
      <c r="M213" s="425"/>
      <c r="N213" s="425"/>
      <c r="O213" s="425"/>
      <c r="P213" s="425"/>
      <c r="Q213" s="423"/>
      <c r="R213" s="423"/>
      <c r="S213" s="423"/>
      <c r="T213" s="423"/>
      <c r="U213" s="423"/>
      <c r="V213" s="423"/>
      <c r="W213" s="423"/>
      <c r="X213" s="423"/>
      <c r="Y213" s="423"/>
      <c r="Z213" s="423"/>
      <c r="AA213" s="423"/>
      <c r="AB213" s="423"/>
      <c r="AC213" s="423"/>
      <c r="AD213" s="423"/>
      <c r="AE213" s="423"/>
      <c r="AF213" s="423"/>
      <c r="AG213" s="423"/>
      <c r="AH213" s="423"/>
      <c r="AI213" s="423"/>
      <c r="AJ213" s="423"/>
      <c r="AK213" s="423"/>
    </row>
    <row r="214" ht="15.75" customHeight="1">
      <c r="A214" s="423"/>
      <c r="B214" s="423"/>
      <c r="C214" s="423"/>
      <c r="D214" s="428"/>
      <c r="E214" s="425"/>
      <c r="F214" s="425"/>
      <c r="G214" s="425"/>
      <c r="H214" s="425"/>
      <c r="I214" s="425"/>
      <c r="J214" s="425"/>
      <c r="K214" s="425"/>
      <c r="L214" s="425"/>
      <c r="M214" s="425"/>
      <c r="N214" s="425"/>
      <c r="O214" s="425"/>
      <c r="P214" s="425"/>
      <c r="Q214" s="423"/>
      <c r="R214" s="423"/>
      <c r="S214" s="423"/>
      <c r="T214" s="423"/>
      <c r="U214" s="423"/>
      <c r="V214" s="423"/>
      <c r="W214" s="423"/>
      <c r="X214" s="423"/>
      <c r="Y214" s="423"/>
      <c r="Z214" s="423"/>
      <c r="AA214" s="423"/>
      <c r="AB214" s="423"/>
      <c r="AC214" s="423"/>
      <c r="AD214" s="423"/>
      <c r="AE214" s="423"/>
      <c r="AF214" s="423"/>
      <c r="AG214" s="423"/>
      <c r="AH214" s="423"/>
      <c r="AI214" s="423"/>
      <c r="AJ214" s="423"/>
      <c r="AK214" s="423"/>
    </row>
    <row r="215" ht="15.75" customHeight="1">
      <c r="A215" s="423"/>
      <c r="B215" s="423"/>
      <c r="C215" s="423"/>
      <c r="D215" s="428"/>
      <c r="E215" s="425"/>
      <c r="F215" s="425"/>
      <c r="G215" s="425"/>
      <c r="H215" s="425"/>
      <c r="I215" s="425"/>
      <c r="J215" s="425"/>
      <c r="K215" s="425"/>
      <c r="L215" s="425"/>
      <c r="M215" s="425"/>
      <c r="N215" s="425"/>
      <c r="O215" s="425"/>
      <c r="P215" s="425"/>
      <c r="Q215" s="423"/>
      <c r="R215" s="423"/>
      <c r="S215" s="423"/>
      <c r="T215" s="423"/>
      <c r="U215" s="423"/>
      <c r="V215" s="423"/>
      <c r="W215" s="423"/>
      <c r="X215" s="423"/>
      <c r="Y215" s="423"/>
      <c r="Z215" s="423"/>
      <c r="AA215" s="423"/>
      <c r="AB215" s="423"/>
      <c r="AC215" s="423"/>
      <c r="AD215" s="423"/>
      <c r="AE215" s="423"/>
      <c r="AF215" s="423"/>
      <c r="AG215" s="423"/>
      <c r="AH215" s="423"/>
      <c r="AI215" s="423"/>
      <c r="AJ215" s="423"/>
      <c r="AK215" s="423"/>
    </row>
    <row r="216" ht="15.75" customHeight="1">
      <c r="A216" s="423"/>
      <c r="B216" s="423"/>
      <c r="C216" s="423"/>
      <c r="D216" s="428"/>
      <c r="E216" s="425"/>
      <c r="F216" s="425"/>
      <c r="G216" s="425"/>
      <c r="H216" s="425"/>
      <c r="I216" s="425"/>
      <c r="J216" s="425"/>
      <c r="K216" s="425"/>
      <c r="L216" s="425"/>
      <c r="M216" s="425"/>
      <c r="N216" s="425"/>
      <c r="O216" s="425"/>
      <c r="P216" s="425"/>
      <c r="Q216" s="423"/>
      <c r="R216" s="423"/>
      <c r="S216" s="423"/>
      <c r="T216" s="423"/>
      <c r="U216" s="423"/>
      <c r="V216" s="423"/>
      <c r="W216" s="423"/>
      <c r="X216" s="423"/>
      <c r="Y216" s="423"/>
      <c r="Z216" s="423"/>
      <c r="AA216" s="423"/>
      <c r="AB216" s="423"/>
      <c r="AC216" s="423"/>
      <c r="AD216" s="423"/>
      <c r="AE216" s="423"/>
      <c r="AF216" s="423"/>
      <c r="AG216" s="423"/>
      <c r="AH216" s="423"/>
      <c r="AI216" s="423"/>
      <c r="AJ216" s="423"/>
      <c r="AK216" s="423"/>
    </row>
    <row r="217" ht="15.75" customHeight="1">
      <c r="A217" s="423"/>
      <c r="B217" s="423"/>
      <c r="C217" s="423"/>
      <c r="D217" s="428"/>
      <c r="E217" s="425"/>
      <c r="F217" s="425"/>
      <c r="G217" s="425"/>
      <c r="H217" s="425"/>
      <c r="I217" s="425"/>
      <c r="J217" s="425"/>
      <c r="K217" s="425"/>
      <c r="L217" s="425"/>
      <c r="M217" s="425"/>
      <c r="N217" s="425"/>
      <c r="O217" s="425"/>
      <c r="P217" s="425"/>
      <c r="Q217" s="423"/>
      <c r="R217" s="423"/>
      <c r="S217" s="423"/>
      <c r="T217" s="423"/>
      <c r="U217" s="423"/>
      <c r="V217" s="423"/>
      <c r="W217" s="423"/>
      <c r="X217" s="423"/>
      <c r="Y217" s="423"/>
      <c r="Z217" s="423"/>
      <c r="AA217" s="423"/>
      <c r="AB217" s="423"/>
      <c r="AC217" s="423"/>
      <c r="AD217" s="423"/>
      <c r="AE217" s="423"/>
      <c r="AF217" s="423"/>
      <c r="AG217" s="423"/>
      <c r="AH217" s="423"/>
      <c r="AI217" s="423"/>
      <c r="AJ217" s="423"/>
      <c r="AK217" s="423"/>
    </row>
    <row r="218" ht="15.75" customHeight="1">
      <c r="A218" s="423"/>
      <c r="B218" s="423"/>
      <c r="C218" s="423"/>
      <c r="D218" s="428"/>
      <c r="E218" s="425"/>
      <c r="F218" s="425"/>
      <c r="G218" s="425"/>
      <c r="H218" s="425"/>
      <c r="I218" s="425"/>
      <c r="J218" s="425"/>
      <c r="K218" s="425"/>
      <c r="L218" s="425"/>
      <c r="M218" s="425"/>
      <c r="N218" s="425"/>
      <c r="O218" s="425"/>
      <c r="P218" s="425"/>
      <c r="Q218" s="423"/>
      <c r="R218" s="423"/>
      <c r="S218" s="423"/>
      <c r="T218" s="423"/>
      <c r="U218" s="423"/>
      <c r="V218" s="423"/>
      <c r="W218" s="423"/>
      <c r="X218" s="423"/>
      <c r="Y218" s="423"/>
      <c r="Z218" s="423"/>
      <c r="AA218" s="423"/>
      <c r="AB218" s="423"/>
      <c r="AC218" s="423"/>
      <c r="AD218" s="423"/>
      <c r="AE218" s="423"/>
      <c r="AF218" s="423"/>
      <c r="AG218" s="423"/>
      <c r="AH218" s="423"/>
      <c r="AI218" s="423"/>
      <c r="AJ218" s="423"/>
      <c r="AK218" s="423"/>
    </row>
    <row r="219" ht="15.75" customHeight="1">
      <c r="A219" s="423"/>
      <c r="B219" s="423"/>
      <c r="C219" s="423"/>
      <c r="D219" s="428"/>
      <c r="E219" s="425"/>
      <c r="F219" s="425"/>
      <c r="G219" s="425"/>
      <c r="H219" s="425"/>
      <c r="I219" s="425"/>
      <c r="J219" s="425"/>
      <c r="K219" s="425"/>
      <c r="L219" s="425"/>
      <c r="M219" s="425"/>
      <c r="N219" s="425"/>
      <c r="O219" s="425"/>
      <c r="P219" s="425"/>
      <c r="Q219" s="423"/>
      <c r="R219" s="423"/>
      <c r="S219" s="423"/>
      <c r="T219" s="423"/>
      <c r="U219" s="423"/>
      <c r="V219" s="423"/>
      <c r="W219" s="423"/>
      <c r="X219" s="423"/>
      <c r="Y219" s="423"/>
      <c r="Z219" s="423"/>
      <c r="AA219" s="423"/>
      <c r="AB219" s="423"/>
      <c r="AC219" s="423"/>
      <c r="AD219" s="423"/>
      <c r="AE219" s="423"/>
      <c r="AF219" s="423"/>
      <c r="AG219" s="423"/>
      <c r="AH219" s="423"/>
      <c r="AI219" s="423"/>
      <c r="AJ219" s="423"/>
      <c r="AK219" s="423"/>
    </row>
    <row r="220" ht="15.75" customHeight="1">
      <c r="A220" s="423"/>
      <c r="B220" s="423"/>
      <c r="C220" s="423"/>
      <c r="D220" s="428"/>
      <c r="E220" s="425"/>
      <c r="F220" s="425"/>
      <c r="G220" s="425"/>
      <c r="H220" s="425"/>
      <c r="I220" s="425"/>
      <c r="J220" s="425"/>
      <c r="K220" s="425"/>
      <c r="L220" s="425"/>
      <c r="M220" s="425"/>
      <c r="N220" s="425"/>
      <c r="O220" s="425"/>
      <c r="P220" s="425"/>
      <c r="Q220" s="423"/>
      <c r="R220" s="423"/>
      <c r="S220" s="423"/>
      <c r="T220" s="423"/>
      <c r="U220" s="423"/>
      <c r="V220" s="423"/>
      <c r="W220" s="423"/>
      <c r="X220" s="423"/>
      <c r="Y220" s="423"/>
      <c r="Z220" s="423"/>
      <c r="AA220" s="423"/>
      <c r="AB220" s="423"/>
      <c r="AC220" s="423"/>
      <c r="AD220" s="423"/>
      <c r="AE220" s="423"/>
      <c r="AF220" s="423"/>
      <c r="AG220" s="423"/>
      <c r="AH220" s="423"/>
      <c r="AI220" s="423"/>
      <c r="AJ220" s="423"/>
      <c r="AK220" s="423"/>
    </row>
    <row r="221" ht="15.75" customHeight="1">
      <c r="A221" s="423"/>
      <c r="B221" s="423"/>
      <c r="C221" s="423"/>
      <c r="D221" s="428"/>
      <c r="E221" s="425"/>
      <c r="F221" s="425"/>
      <c r="G221" s="425"/>
      <c r="H221" s="425"/>
      <c r="I221" s="425"/>
      <c r="J221" s="425"/>
      <c r="K221" s="425"/>
      <c r="L221" s="425"/>
      <c r="M221" s="425"/>
      <c r="N221" s="425"/>
      <c r="O221" s="425"/>
      <c r="P221" s="425"/>
      <c r="Q221" s="423"/>
      <c r="R221" s="423"/>
      <c r="S221" s="423"/>
      <c r="T221" s="423"/>
      <c r="U221" s="423"/>
      <c r="V221" s="423"/>
      <c r="W221" s="423"/>
      <c r="X221" s="423"/>
      <c r="Y221" s="423"/>
      <c r="Z221" s="423"/>
      <c r="AA221" s="423"/>
      <c r="AB221" s="423"/>
      <c r="AC221" s="423"/>
      <c r="AD221" s="423"/>
      <c r="AE221" s="423"/>
      <c r="AF221" s="423"/>
      <c r="AG221" s="423"/>
      <c r="AH221" s="423"/>
      <c r="AI221" s="423"/>
      <c r="AJ221" s="423"/>
      <c r="AK221" s="423"/>
    </row>
    <row r="222" ht="15.75" customHeight="1">
      <c r="A222" s="423"/>
      <c r="B222" s="423"/>
      <c r="C222" s="423"/>
      <c r="D222" s="428"/>
      <c r="E222" s="425"/>
      <c r="F222" s="425"/>
      <c r="G222" s="425"/>
      <c r="H222" s="425"/>
      <c r="I222" s="425"/>
      <c r="J222" s="425"/>
      <c r="K222" s="425"/>
      <c r="L222" s="425"/>
      <c r="M222" s="425"/>
      <c r="N222" s="425"/>
      <c r="O222" s="425"/>
      <c r="P222" s="425"/>
      <c r="Q222" s="423"/>
      <c r="R222" s="423"/>
      <c r="S222" s="423"/>
      <c r="T222" s="423"/>
      <c r="U222" s="423"/>
      <c r="V222" s="423"/>
      <c r="W222" s="423"/>
      <c r="X222" s="423"/>
      <c r="Y222" s="423"/>
      <c r="Z222" s="423"/>
      <c r="AA222" s="423"/>
      <c r="AB222" s="423"/>
      <c r="AC222" s="423"/>
      <c r="AD222" s="423"/>
      <c r="AE222" s="423"/>
      <c r="AF222" s="423"/>
      <c r="AG222" s="423"/>
      <c r="AH222" s="423"/>
      <c r="AI222" s="423"/>
      <c r="AJ222" s="423"/>
      <c r="AK222" s="423"/>
    </row>
    <row r="223" ht="15.75" customHeight="1">
      <c r="A223" s="423"/>
      <c r="B223" s="423"/>
      <c r="C223" s="423"/>
      <c r="D223" s="428"/>
      <c r="E223" s="425"/>
      <c r="F223" s="425"/>
      <c r="G223" s="425"/>
      <c r="H223" s="425"/>
      <c r="I223" s="425"/>
      <c r="J223" s="425"/>
      <c r="K223" s="425"/>
      <c r="L223" s="425"/>
      <c r="M223" s="425"/>
      <c r="N223" s="425"/>
      <c r="O223" s="425"/>
      <c r="P223" s="425"/>
      <c r="Q223" s="423"/>
      <c r="R223" s="423"/>
      <c r="S223" s="423"/>
      <c r="T223" s="423"/>
      <c r="U223" s="423"/>
      <c r="V223" s="423"/>
      <c r="W223" s="423"/>
      <c r="X223" s="423"/>
      <c r="Y223" s="423"/>
      <c r="Z223" s="423"/>
      <c r="AA223" s="423"/>
      <c r="AB223" s="423"/>
      <c r="AC223" s="423"/>
      <c r="AD223" s="423"/>
      <c r="AE223" s="423"/>
      <c r="AF223" s="423"/>
      <c r="AG223" s="423"/>
      <c r="AH223" s="423"/>
      <c r="AI223" s="423"/>
      <c r="AJ223" s="423"/>
      <c r="AK223" s="423"/>
    </row>
    <row r="224" ht="15.75" customHeight="1">
      <c r="A224" s="423"/>
      <c r="B224" s="423"/>
      <c r="C224" s="423"/>
      <c r="D224" s="428"/>
      <c r="E224" s="425"/>
      <c r="F224" s="425"/>
      <c r="G224" s="425"/>
      <c r="H224" s="425"/>
      <c r="I224" s="425"/>
      <c r="J224" s="425"/>
      <c r="K224" s="425"/>
      <c r="L224" s="425"/>
      <c r="M224" s="425"/>
      <c r="N224" s="425"/>
      <c r="O224" s="425"/>
      <c r="P224" s="425"/>
      <c r="Q224" s="423"/>
      <c r="R224" s="423"/>
      <c r="S224" s="423"/>
      <c r="T224" s="423"/>
      <c r="U224" s="423"/>
      <c r="V224" s="423"/>
      <c r="W224" s="423"/>
      <c r="X224" s="423"/>
      <c r="Y224" s="423"/>
      <c r="Z224" s="423"/>
      <c r="AA224" s="423"/>
      <c r="AB224" s="423"/>
      <c r="AC224" s="423"/>
      <c r="AD224" s="423"/>
      <c r="AE224" s="423"/>
      <c r="AF224" s="423"/>
      <c r="AG224" s="423"/>
      <c r="AH224" s="423"/>
      <c r="AI224" s="423"/>
      <c r="AJ224" s="423"/>
      <c r="AK224" s="423"/>
    </row>
    <row r="225" ht="15.75" customHeight="1">
      <c r="A225" s="423"/>
      <c r="B225" s="423"/>
      <c r="C225" s="423"/>
      <c r="D225" s="428"/>
      <c r="E225" s="425"/>
      <c r="F225" s="425"/>
      <c r="G225" s="425"/>
      <c r="H225" s="425"/>
      <c r="I225" s="425"/>
      <c r="J225" s="425"/>
      <c r="K225" s="425"/>
      <c r="L225" s="425"/>
      <c r="M225" s="425"/>
      <c r="N225" s="425"/>
      <c r="O225" s="425"/>
      <c r="P225" s="425"/>
      <c r="Q225" s="423"/>
      <c r="R225" s="423"/>
      <c r="S225" s="423"/>
      <c r="T225" s="423"/>
      <c r="U225" s="423"/>
      <c r="V225" s="423"/>
      <c r="W225" s="423"/>
      <c r="X225" s="423"/>
      <c r="Y225" s="423"/>
      <c r="Z225" s="423"/>
      <c r="AA225" s="423"/>
      <c r="AB225" s="423"/>
      <c r="AC225" s="423"/>
      <c r="AD225" s="423"/>
      <c r="AE225" s="423"/>
      <c r="AF225" s="423"/>
      <c r="AG225" s="423"/>
      <c r="AH225" s="423"/>
      <c r="AI225" s="423"/>
      <c r="AJ225" s="423"/>
      <c r="AK225" s="423"/>
    </row>
    <row r="226" ht="15.75" customHeight="1">
      <c r="A226" s="423"/>
      <c r="B226" s="423"/>
      <c r="C226" s="423"/>
      <c r="D226" s="428"/>
      <c r="E226" s="425"/>
      <c r="F226" s="425"/>
      <c r="G226" s="425"/>
      <c r="H226" s="425"/>
      <c r="I226" s="425"/>
      <c r="J226" s="425"/>
      <c r="K226" s="425"/>
      <c r="L226" s="425"/>
      <c r="M226" s="425"/>
      <c r="N226" s="425"/>
      <c r="O226" s="425"/>
      <c r="P226" s="425"/>
      <c r="Q226" s="423"/>
      <c r="R226" s="423"/>
      <c r="S226" s="423"/>
      <c r="T226" s="423"/>
      <c r="U226" s="423"/>
      <c r="V226" s="423"/>
      <c r="W226" s="423"/>
      <c r="X226" s="423"/>
      <c r="Y226" s="423"/>
      <c r="Z226" s="423"/>
      <c r="AA226" s="423"/>
      <c r="AB226" s="423"/>
      <c r="AC226" s="423"/>
      <c r="AD226" s="423"/>
      <c r="AE226" s="423"/>
      <c r="AF226" s="423"/>
      <c r="AG226" s="423"/>
      <c r="AH226" s="423"/>
      <c r="AI226" s="423"/>
      <c r="AJ226" s="423"/>
      <c r="AK226" s="423"/>
    </row>
    <row r="227" ht="15.75" customHeight="1">
      <c r="A227" s="423"/>
      <c r="B227" s="423"/>
      <c r="C227" s="423"/>
      <c r="D227" s="428"/>
      <c r="E227" s="425"/>
      <c r="F227" s="425"/>
      <c r="G227" s="425"/>
      <c r="H227" s="425"/>
      <c r="I227" s="425"/>
      <c r="J227" s="425"/>
      <c r="K227" s="425"/>
      <c r="L227" s="425"/>
      <c r="M227" s="425"/>
      <c r="N227" s="425"/>
      <c r="O227" s="425"/>
      <c r="P227" s="425"/>
      <c r="Q227" s="423"/>
      <c r="R227" s="423"/>
      <c r="S227" s="423"/>
      <c r="T227" s="423"/>
      <c r="U227" s="423"/>
      <c r="V227" s="423"/>
      <c r="W227" s="423"/>
      <c r="X227" s="423"/>
      <c r="Y227" s="423"/>
      <c r="Z227" s="423"/>
      <c r="AA227" s="423"/>
      <c r="AB227" s="423"/>
      <c r="AC227" s="423"/>
      <c r="AD227" s="423"/>
      <c r="AE227" s="423"/>
      <c r="AF227" s="423"/>
      <c r="AG227" s="423"/>
      <c r="AH227" s="423"/>
      <c r="AI227" s="423"/>
      <c r="AJ227" s="423"/>
      <c r="AK227" s="423"/>
    </row>
    <row r="228" ht="15.75" customHeight="1">
      <c r="A228" s="423"/>
      <c r="B228" s="423"/>
      <c r="C228" s="423"/>
      <c r="D228" s="428"/>
      <c r="E228" s="425"/>
      <c r="F228" s="425"/>
      <c r="G228" s="425"/>
      <c r="H228" s="425"/>
      <c r="I228" s="425"/>
      <c r="J228" s="425"/>
      <c r="K228" s="425"/>
      <c r="L228" s="425"/>
      <c r="M228" s="425"/>
      <c r="N228" s="425"/>
      <c r="O228" s="425"/>
      <c r="P228" s="425"/>
      <c r="Q228" s="423"/>
      <c r="R228" s="423"/>
      <c r="S228" s="423"/>
      <c r="T228" s="423"/>
      <c r="U228" s="423"/>
      <c r="V228" s="423"/>
      <c r="W228" s="423"/>
      <c r="X228" s="423"/>
      <c r="Y228" s="423"/>
      <c r="Z228" s="423"/>
      <c r="AA228" s="423"/>
      <c r="AB228" s="423"/>
      <c r="AC228" s="423"/>
      <c r="AD228" s="423"/>
      <c r="AE228" s="423"/>
      <c r="AF228" s="423"/>
      <c r="AG228" s="423"/>
      <c r="AH228" s="423"/>
      <c r="AI228" s="423"/>
      <c r="AJ228" s="423"/>
      <c r="AK228" s="423"/>
    </row>
    <row r="229" ht="15.75" customHeight="1">
      <c r="A229" s="423"/>
      <c r="B229" s="423"/>
      <c r="C229" s="423"/>
      <c r="D229" s="428"/>
      <c r="E229" s="425"/>
      <c r="F229" s="425"/>
      <c r="G229" s="425"/>
      <c r="H229" s="425"/>
      <c r="I229" s="425"/>
      <c r="J229" s="425"/>
      <c r="K229" s="425"/>
      <c r="L229" s="425"/>
      <c r="M229" s="425"/>
      <c r="N229" s="425"/>
      <c r="O229" s="425"/>
      <c r="P229" s="425"/>
      <c r="Q229" s="423"/>
      <c r="R229" s="423"/>
      <c r="S229" s="423"/>
      <c r="T229" s="423"/>
      <c r="U229" s="423"/>
      <c r="V229" s="423"/>
      <c r="W229" s="423"/>
      <c r="X229" s="423"/>
      <c r="Y229" s="423"/>
      <c r="Z229" s="423"/>
      <c r="AA229" s="423"/>
      <c r="AB229" s="423"/>
      <c r="AC229" s="423"/>
      <c r="AD229" s="423"/>
      <c r="AE229" s="423"/>
      <c r="AF229" s="423"/>
      <c r="AG229" s="423"/>
      <c r="AH229" s="423"/>
      <c r="AI229" s="423"/>
      <c r="AJ229" s="423"/>
      <c r="AK229" s="423"/>
    </row>
    <row r="230" ht="15.75" customHeight="1">
      <c r="A230" s="423"/>
      <c r="B230" s="423"/>
      <c r="C230" s="423"/>
      <c r="D230" s="428"/>
      <c r="E230" s="425"/>
      <c r="F230" s="425"/>
      <c r="G230" s="425"/>
      <c r="H230" s="425"/>
      <c r="I230" s="425"/>
      <c r="J230" s="425"/>
      <c r="K230" s="425"/>
      <c r="L230" s="425"/>
      <c r="M230" s="425"/>
      <c r="N230" s="425"/>
      <c r="O230" s="425"/>
      <c r="P230" s="425"/>
      <c r="Q230" s="423"/>
      <c r="R230" s="423"/>
      <c r="S230" s="423"/>
      <c r="T230" s="423"/>
      <c r="U230" s="423"/>
      <c r="V230" s="423"/>
      <c r="W230" s="423"/>
      <c r="X230" s="423"/>
      <c r="Y230" s="423"/>
      <c r="Z230" s="423"/>
      <c r="AA230" s="423"/>
      <c r="AB230" s="423"/>
      <c r="AC230" s="423"/>
      <c r="AD230" s="423"/>
      <c r="AE230" s="423"/>
      <c r="AF230" s="423"/>
      <c r="AG230" s="423"/>
      <c r="AH230" s="423"/>
      <c r="AI230" s="423"/>
      <c r="AJ230" s="423"/>
      <c r="AK230" s="423"/>
    </row>
    <row r="231" ht="15.75" customHeight="1">
      <c r="A231" s="423"/>
      <c r="B231" s="423"/>
      <c r="C231" s="423"/>
      <c r="D231" s="428"/>
      <c r="E231" s="425"/>
      <c r="F231" s="425"/>
      <c r="G231" s="425"/>
      <c r="H231" s="425"/>
      <c r="I231" s="425"/>
      <c r="J231" s="425"/>
      <c r="K231" s="425"/>
      <c r="L231" s="425"/>
      <c r="M231" s="425"/>
      <c r="N231" s="425"/>
      <c r="O231" s="425"/>
      <c r="P231" s="425"/>
      <c r="Q231" s="423"/>
      <c r="R231" s="423"/>
      <c r="S231" s="423"/>
      <c r="T231" s="423"/>
      <c r="U231" s="423"/>
      <c r="V231" s="423"/>
      <c r="W231" s="423"/>
      <c r="X231" s="423"/>
      <c r="Y231" s="423"/>
      <c r="Z231" s="423"/>
      <c r="AA231" s="423"/>
      <c r="AB231" s="423"/>
      <c r="AC231" s="423"/>
      <c r="AD231" s="423"/>
      <c r="AE231" s="423"/>
      <c r="AF231" s="423"/>
      <c r="AG231" s="423"/>
      <c r="AH231" s="423"/>
      <c r="AI231" s="423"/>
      <c r="AJ231" s="423"/>
      <c r="AK231" s="423"/>
    </row>
    <row r="232" ht="15.75" customHeight="1">
      <c r="A232" s="423"/>
      <c r="B232" s="423"/>
      <c r="C232" s="423"/>
      <c r="D232" s="428"/>
      <c r="E232" s="425"/>
      <c r="F232" s="425"/>
      <c r="G232" s="425"/>
      <c r="H232" s="425"/>
      <c r="I232" s="425"/>
      <c r="J232" s="425"/>
      <c r="K232" s="425"/>
      <c r="L232" s="425"/>
      <c r="M232" s="425"/>
      <c r="N232" s="425"/>
      <c r="O232" s="425"/>
      <c r="P232" s="425"/>
      <c r="Q232" s="423"/>
      <c r="R232" s="423"/>
      <c r="S232" s="423"/>
      <c r="T232" s="423"/>
      <c r="U232" s="423"/>
      <c r="V232" s="423"/>
      <c r="W232" s="423"/>
      <c r="X232" s="423"/>
      <c r="Y232" s="423"/>
      <c r="Z232" s="423"/>
      <c r="AA232" s="423"/>
      <c r="AB232" s="423"/>
      <c r="AC232" s="423"/>
      <c r="AD232" s="423"/>
      <c r="AE232" s="423"/>
      <c r="AF232" s="423"/>
      <c r="AG232" s="423"/>
      <c r="AH232" s="423"/>
      <c r="AI232" s="423"/>
      <c r="AJ232" s="423"/>
      <c r="AK232" s="423"/>
    </row>
    <row r="233" ht="15.75" customHeight="1">
      <c r="A233" s="423"/>
      <c r="B233" s="423"/>
      <c r="C233" s="423"/>
      <c r="D233" s="428"/>
      <c r="E233" s="425"/>
      <c r="F233" s="425"/>
      <c r="G233" s="425"/>
      <c r="H233" s="425"/>
      <c r="I233" s="425"/>
      <c r="J233" s="425"/>
      <c r="K233" s="425"/>
      <c r="L233" s="425"/>
      <c r="M233" s="425"/>
      <c r="N233" s="425"/>
      <c r="O233" s="425"/>
      <c r="P233" s="425"/>
      <c r="Q233" s="423"/>
      <c r="R233" s="423"/>
      <c r="S233" s="423"/>
      <c r="T233" s="423"/>
      <c r="U233" s="423"/>
      <c r="V233" s="423"/>
      <c r="W233" s="423"/>
      <c r="X233" s="423"/>
      <c r="Y233" s="423"/>
      <c r="Z233" s="423"/>
      <c r="AA233" s="423"/>
      <c r="AB233" s="423"/>
      <c r="AC233" s="423"/>
      <c r="AD233" s="423"/>
      <c r="AE233" s="423"/>
      <c r="AF233" s="423"/>
      <c r="AG233" s="423"/>
      <c r="AH233" s="423"/>
      <c r="AI233" s="423"/>
      <c r="AJ233" s="423"/>
      <c r="AK233" s="423"/>
    </row>
    <row r="234" ht="15.75" customHeight="1">
      <c r="A234" s="423"/>
      <c r="B234" s="423"/>
      <c r="C234" s="423"/>
      <c r="D234" s="428"/>
      <c r="E234" s="425"/>
      <c r="F234" s="425"/>
      <c r="G234" s="425"/>
      <c r="H234" s="425"/>
      <c r="I234" s="425"/>
      <c r="J234" s="425"/>
      <c r="K234" s="425"/>
      <c r="L234" s="425"/>
      <c r="M234" s="425"/>
      <c r="N234" s="425"/>
      <c r="O234" s="425"/>
      <c r="P234" s="425"/>
      <c r="Q234" s="423"/>
      <c r="R234" s="423"/>
      <c r="S234" s="423"/>
      <c r="T234" s="423"/>
      <c r="U234" s="423"/>
      <c r="V234" s="423"/>
      <c r="W234" s="423"/>
      <c r="X234" s="423"/>
      <c r="Y234" s="423"/>
      <c r="Z234" s="423"/>
      <c r="AA234" s="423"/>
      <c r="AB234" s="423"/>
      <c r="AC234" s="423"/>
      <c r="AD234" s="423"/>
      <c r="AE234" s="423"/>
      <c r="AF234" s="423"/>
      <c r="AG234" s="423"/>
      <c r="AH234" s="423"/>
      <c r="AI234" s="423"/>
      <c r="AJ234" s="423"/>
      <c r="AK234" s="423"/>
    </row>
    <row r="235" ht="15.75" customHeight="1">
      <c r="A235" s="423"/>
      <c r="B235" s="423"/>
      <c r="C235" s="423"/>
      <c r="D235" s="428"/>
      <c r="E235" s="425"/>
      <c r="F235" s="425"/>
      <c r="G235" s="425"/>
      <c r="H235" s="425"/>
      <c r="I235" s="425"/>
      <c r="J235" s="425"/>
      <c r="K235" s="425"/>
      <c r="L235" s="425"/>
      <c r="M235" s="425"/>
      <c r="N235" s="425"/>
      <c r="O235" s="425"/>
      <c r="P235" s="425"/>
      <c r="Q235" s="423"/>
      <c r="R235" s="423"/>
      <c r="S235" s="423"/>
      <c r="T235" s="423"/>
      <c r="U235" s="423"/>
      <c r="V235" s="423"/>
      <c r="W235" s="423"/>
      <c r="X235" s="423"/>
      <c r="Y235" s="423"/>
      <c r="Z235" s="423"/>
      <c r="AA235" s="423"/>
      <c r="AB235" s="423"/>
      <c r="AC235" s="423"/>
      <c r="AD235" s="423"/>
      <c r="AE235" s="423"/>
      <c r="AF235" s="423"/>
      <c r="AG235" s="423"/>
      <c r="AH235" s="423"/>
      <c r="AI235" s="423"/>
      <c r="AJ235" s="423"/>
      <c r="AK235" s="423"/>
    </row>
    <row r="236" ht="15.75" customHeight="1">
      <c r="A236" s="423"/>
      <c r="B236" s="423"/>
      <c r="C236" s="423"/>
      <c r="D236" s="428"/>
      <c r="E236" s="425"/>
      <c r="F236" s="425"/>
      <c r="G236" s="425"/>
      <c r="H236" s="425"/>
      <c r="I236" s="425"/>
      <c r="J236" s="425"/>
      <c r="K236" s="425"/>
      <c r="L236" s="425"/>
      <c r="M236" s="425"/>
      <c r="N236" s="425"/>
      <c r="O236" s="425"/>
      <c r="P236" s="425"/>
      <c r="Q236" s="423"/>
      <c r="R236" s="423"/>
      <c r="S236" s="423"/>
      <c r="T236" s="423"/>
      <c r="U236" s="423"/>
      <c r="V236" s="423"/>
      <c r="W236" s="423"/>
      <c r="X236" s="423"/>
      <c r="Y236" s="423"/>
      <c r="Z236" s="423"/>
      <c r="AA236" s="423"/>
      <c r="AB236" s="423"/>
      <c r="AC236" s="423"/>
      <c r="AD236" s="423"/>
      <c r="AE236" s="423"/>
      <c r="AF236" s="423"/>
      <c r="AG236" s="423"/>
      <c r="AH236" s="423"/>
      <c r="AI236" s="423"/>
      <c r="AJ236" s="423"/>
      <c r="AK236" s="423"/>
    </row>
    <row r="237" ht="15.75" customHeight="1">
      <c r="A237" s="423"/>
      <c r="B237" s="423"/>
      <c r="C237" s="423"/>
      <c r="D237" s="428"/>
      <c r="E237" s="425"/>
      <c r="F237" s="425"/>
      <c r="G237" s="425"/>
      <c r="H237" s="425"/>
      <c r="I237" s="425"/>
      <c r="J237" s="425"/>
      <c r="K237" s="425"/>
      <c r="L237" s="425"/>
      <c r="M237" s="425"/>
      <c r="N237" s="425"/>
      <c r="O237" s="425"/>
      <c r="P237" s="425"/>
      <c r="Q237" s="423"/>
      <c r="R237" s="423"/>
      <c r="S237" s="423"/>
      <c r="T237" s="423"/>
      <c r="U237" s="423"/>
      <c r="V237" s="423"/>
      <c r="W237" s="423"/>
      <c r="X237" s="423"/>
      <c r="Y237" s="423"/>
      <c r="Z237" s="423"/>
      <c r="AA237" s="423"/>
      <c r="AB237" s="423"/>
      <c r="AC237" s="423"/>
      <c r="AD237" s="423"/>
      <c r="AE237" s="423"/>
      <c r="AF237" s="423"/>
      <c r="AG237" s="423"/>
      <c r="AH237" s="423"/>
      <c r="AI237" s="423"/>
      <c r="AJ237" s="423"/>
      <c r="AK237" s="423"/>
    </row>
    <row r="238" ht="15.75" customHeight="1">
      <c r="A238" s="423"/>
      <c r="B238" s="423"/>
      <c r="C238" s="423"/>
      <c r="D238" s="428"/>
      <c r="E238" s="425"/>
      <c r="F238" s="425"/>
      <c r="G238" s="425"/>
      <c r="H238" s="425"/>
      <c r="I238" s="425"/>
      <c r="J238" s="425"/>
      <c r="K238" s="425"/>
      <c r="L238" s="425"/>
      <c r="M238" s="425"/>
      <c r="N238" s="425"/>
      <c r="O238" s="425"/>
      <c r="P238" s="425"/>
      <c r="Q238" s="423"/>
      <c r="R238" s="423"/>
      <c r="S238" s="423"/>
      <c r="T238" s="423"/>
      <c r="U238" s="423"/>
      <c r="V238" s="423"/>
      <c r="W238" s="423"/>
      <c r="X238" s="423"/>
      <c r="Y238" s="423"/>
      <c r="Z238" s="423"/>
      <c r="AA238" s="423"/>
      <c r="AB238" s="423"/>
      <c r="AC238" s="423"/>
      <c r="AD238" s="423"/>
      <c r="AE238" s="423"/>
      <c r="AF238" s="423"/>
      <c r="AG238" s="423"/>
      <c r="AH238" s="423"/>
      <c r="AI238" s="423"/>
      <c r="AJ238" s="423"/>
      <c r="AK238" s="423"/>
    </row>
    <row r="239" ht="15.75" customHeight="1">
      <c r="A239" s="423"/>
      <c r="B239" s="423"/>
      <c r="C239" s="423"/>
      <c r="D239" s="428"/>
      <c r="E239" s="425"/>
      <c r="F239" s="425"/>
      <c r="G239" s="425"/>
      <c r="H239" s="425"/>
      <c r="I239" s="425"/>
      <c r="J239" s="425"/>
      <c r="K239" s="425"/>
      <c r="L239" s="425"/>
      <c r="M239" s="425"/>
      <c r="N239" s="425"/>
      <c r="O239" s="425"/>
      <c r="P239" s="425"/>
      <c r="Q239" s="423"/>
      <c r="R239" s="423"/>
      <c r="S239" s="423"/>
      <c r="T239" s="423"/>
      <c r="U239" s="423"/>
      <c r="V239" s="423"/>
      <c r="W239" s="423"/>
      <c r="X239" s="423"/>
      <c r="Y239" s="423"/>
      <c r="Z239" s="423"/>
      <c r="AA239" s="423"/>
      <c r="AB239" s="423"/>
      <c r="AC239" s="423"/>
      <c r="AD239" s="423"/>
      <c r="AE239" s="423"/>
      <c r="AF239" s="423"/>
      <c r="AG239" s="423"/>
      <c r="AH239" s="423"/>
      <c r="AI239" s="423"/>
      <c r="AJ239" s="423"/>
      <c r="AK239" s="423"/>
    </row>
    <row r="240" ht="15.75" customHeight="1">
      <c r="A240" s="423"/>
      <c r="B240" s="423"/>
      <c r="C240" s="423"/>
      <c r="D240" s="428"/>
      <c r="E240" s="425"/>
      <c r="F240" s="425"/>
      <c r="G240" s="425"/>
      <c r="H240" s="425"/>
      <c r="I240" s="425"/>
      <c r="J240" s="425"/>
      <c r="K240" s="425"/>
      <c r="L240" s="425"/>
      <c r="M240" s="425"/>
      <c r="N240" s="425"/>
      <c r="O240" s="425"/>
      <c r="P240" s="425"/>
      <c r="Q240" s="423"/>
      <c r="R240" s="423"/>
      <c r="S240" s="423"/>
      <c r="T240" s="423"/>
      <c r="U240" s="423"/>
      <c r="V240" s="423"/>
      <c r="W240" s="423"/>
      <c r="X240" s="423"/>
      <c r="Y240" s="423"/>
      <c r="Z240" s="423"/>
      <c r="AA240" s="423"/>
      <c r="AB240" s="423"/>
      <c r="AC240" s="423"/>
      <c r="AD240" s="423"/>
      <c r="AE240" s="423"/>
      <c r="AF240" s="423"/>
      <c r="AG240" s="423"/>
      <c r="AH240" s="423"/>
      <c r="AI240" s="423"/>
      <c r="AJ240" s="423"/>
      <c r="AK240" s="423"/>
    </row>
    <row r="241" ht="15.75" customHeight="1">
      <c r="A241" s="423"/>
      <c r="B241" s="423"/>
      <c r="C241" s="423"/>
      <c r="D241" s="428"/>
      <c r="E241" s="425"/>
      <c r="F241" s="425"/>
      <c r="G241" s="425"/>
      <c r="H241" s="425"/>
      <c r="I241" s="425"/>
      <c r="J241" s="425"/>
      <c r="K241" s="425"/>
      <c r="L241" s="425"/>
      <c r="M241" s="425"/>
      <c r="N241" s="425"/>
      <c r="O241" s="425"/>
      <c r="P241" s="425"/>
      <c r="Q241" s="423"/>
      <c r="R241" s="423"/>
      <c r="S241" s="423"/>
      <c r="T241" s="423"/>
      <c r="U241" s="423"/>
      <c r="V241" s="423"/>
      <c r="W241" s="423"/>
      <c r="X241" s="423"/>
      <c r="Y241" s="423"/>
      <c r="Z241" s="423"/>
      <c r="AA241" s="423"/>
      <c r="AB241" s="423"/>
      <c r="AC241" s="423"/>
      <c r="AD241" s="423"/>
      <c r="AE241" s="423"/>
      <c r="AF241" s="423"/>
      <c r="AG241" s="423"/>
      <c r="AH241" s="423"/>
      <c r="AI241" s="423"/>
      <c r="AJ241" s="423"/>
      <c r="AK241" s="423"/>
    </row>
    <row r="242" ht="15.75" customHeight="1">
      <c r="A242" s="423"/>
      <c r="B242" s="423"/>
      <c r="C242" s="423"/>
      <c r="D242" s="428"/>
      <c r="E242" s="425"/>
      <c r="F242" s="425"/>
      <c r="G242" s="425"/>
      <c r="H242" s="425"/>
      <c r="I242" s="425"/>
      <c r="J242" s="425"/>
      <c r="K242" s="425"/>
      <c r="L242" s="425"/>
      <c r="M242" s="425"/>
      <c r="N242" s="425"/>
      <c r="O242" s="425"/>
      <c r="P242" s="425"/>
      <c r="Q242" s="423"/>
      <c r="R242" s="423"/>
      <c r="S242" s="423"/>
      <c r="T242" s="423"/>
      <c r="U242" s="423"/>
      <c r="V242" s="423"/>
      <c r="W242" s="423"/>
      <c r="X242" s="423"/>
      <c r="Y242" s="423"/>
      <c r="Z242" s="423"/>
      <c r="AA242" s="423"/>
      <c r="AB242" s="423"/>
      <c r="AC242" s="423"/>
      <c r="AD242" s="423"/>
      <c r="AE242" s="423"/>
      <c r="AF242" s="423"/>
      <c r="AG242" s="423"/>
      <c r="AH242" s="423"/>
      <c r="AI242" s="423"/>
      <c r="AJ242" s="423"/>
      <c r="AK242" s="423"/>
    </row>
    <row r="243" ht="15.75" customHeight="1">
      <c r="A243" s="423"/>
      <c r="B243" s="423"/>
      <c r="C243" s="423"/>
      <c r="D243" s="428"/>
      <c r="E243" s="425"/>
      <c r="F243" s="425"/>
      <c r="G243" s="425"/>
      <c r="H243" s="425"/>
      <c r="I243" s="425"/>
      <c r="J243" s="425"/>
      <c r="K243" s="425"/>
      <c r="L243" s="425"/>
      <c r="M243" s="425"/>
      <c r="N243" s="425"/>
      <c r="O243" s="425"/>
      <c r="P243" s="425"/>
      <c r="Q243" s="423"/>
      <c r="R243" s="423"/>
      <c r="S243" s="423"/>
      <c r="T243" s="423"/>
      <c r="U243" s="423"/>
      <c r="V243" s="423"/>
      <c r="W243" s="423"/>
      <c r="X243" s="423"/>
      <c r="Y243" s="423"/>
      <c r="Z243" s="423"/>
      <c r="AA243" s="423"/>
      <c r="AB243" s="423"/>
      <c r="AC243" s="423"/>
      <c r="AD243" s="423"/>
      <c r="AE243" s="423"/>
      <c r="AF243" s="423"/>
      <c r="AG243" s="423"/>
      <c r="AH243" s="423"/>
      <c r="AI243" s="423"/>
      <c r="AJ243" s="423"/>
      <c r="AK243" s="423"/>
    </row>
    <row r="244" ht="15.75" customHeight="1">
      <c r="A244" s="423"/>
      <c r="B244" s="423"/>
      <c r="C244" s="423"/>
      <c r="D244" s="428"/>
      <c r="E244" s="425"/>
      <c r="F244" s="425"/>
      <c r="G244" s="425"/>
      <c r="H244" s="425"/>
      <c r="I244" s="425"/>
      <c r="J244" s="425"/>
      <c r="K244" s="425"/>
      <c r="L244" s="425"/>
      <c r="M244" s="425"/>
      <c r="N244" s="425"/>
      <c r="O244" s="425"/>
      <c r="P244" s="425"/>
      <c r="Q244" s="423"/>
      <c r="R244" s="423"/>
      <c r="S244" s="423"/>
      <c r="T244" s="423"/>
      <c r="U244" s="423"/>
      <c r="V244" s="423"/>
      <c r="W244" s="423"/>
      <c r="X244" s="423"/>
      <c r="Y244" s="423"/>
      <c r="Z244" s="423"/>
      <c r="AA244" s="423"/>
      <c r="AB244" s="423"/>
      <c r="AC244" s="423"/>
      <c r="AD244" s="423"/>
      <c r="AE244" s="423"/>
      <c r="AF244" s="423"/>
      <c r="AG244" s="423"/>
      <c r="AH244" s="423"/>
      <c r="AI244" s="423"/>
      <c r="AJ244" s="423"/>
      <c r="AK244" s="423"/>
    </row>
    <row r="245" ht="15.75" customHeight="1">
      <c r="A245" s="423"/>
      <c r="B245" s="423"/>
      <c r="C245" s="423"/>
      <c r="D245" s="428"/>
      <c r="E245" s="425"/>
      <c r="F245" s="425"/>
      <c r="G245" s="425"/>
      <c r="H245" s="425"/>
      <c r="I245" s="425"/>
      <c r="J245" s="425"/>
      <c r="K245" s="425"/>
      <c r="L245" s="425"/>
      <c r="M245" s="425"/>
      <c r="N245" s="425"/>
      <c r="O245" s="425"/>
      <c r="P245" s="425"/>
      <c r="Q245" s="423"/>
      <c r="R245" s="423"/>
      <c r="S245" s="423"/>
      <c r="T245" s="423"/>
      <c r="U245" s="423"/>
      <c r="V245" s="423"/>
      <c r="W245" s="423"/>
      <c r="X245" s="423"/>
      <c r="Y245" s="423"/>
      <c r="Z245" s="423"/>
      <c r="AA245" s="423"/>
      <c r="AB245" s="423"/>
      <c r="AC245" s="423"/>
      <c r="AD245" s="423"/>
      <c r="AE245" s="423"/>
      <c r="AF245" s="423"/>
      <c r="AG245" s="423"/>
      <c r="AH245" s="423"/>
      <c r="AI245" s="423"/>
      <c r="AJ245" s="423"/>
      <c r="AK245" s="423"/>
    </row>
    <row r="246" ht="15.75" customHeight="1">
      <c r="A246" s="423"/>
      <c r="B246" s="423"/>
      <c r="C246" s="423"/>
      <c r="D246" s="428"/>
      <c r="E246" s="425"/>
      <c r="F246" s="425"/>
      <c r="G246" s="425"/>
      <c r="H246" s="425"/>
      <c r="I246" s="425"/>
      <c r="J246" s="425"/>
      <c r="K246" s="425"/>
      <c r="L246" s="425"/>
      <c r="M246" s="425"/>
      <c r="N246" s="425"/>
      <c r="O246" s="425"/>
      <c r="P246" s="425"/>
      <c r="Q246" s="423"/>
      <c r="R246" s="423"/>
      <c r="S246" s="423"/>
      <c r="T246" s="423"/>
      <c r="U246" s="423"/>
      <c r="V246" s="423"/>
      <c r="W246" s="423"/>
      <c r="X246" s="423"/>
      <c r="Y246" s="423"/>
      <c r="Z246" s="423"/>
      <c r="AA246" s="423"/>
      <c r="AB246" s="423"/>
      <c r="AC246" s="423"/>
      <c r="AD246" s="423"/>
      <c r="AE246" s="423"/>
      <c r="AF246" s="423"/>
      <c r="AG246" s="423"/>
      <c r="AH246" s="423"/>
      <c r="AI246" s="423"/>
      <c r="AJ246" s="423"/>
      <c r="AK246" s="423"/>
    </row>
    <row r="247" ht="15.75" customHeight="1">
      <c r="A247" s="423"/>
      <c r="B247" s="423"/>
      <c r="C247" s="423"/>
      <c r="D247" s="428"/>
      <c r="E247" s="425"/>
      <c r="F247" s="425"/>
      <c r="G247" s="425"/>
      <c r="H247" s="425"/>
      <c r="I247" s="425"/>
      <c r="J247" s="425"/>
      <c r="K247" s="425"/>
      <c r="L247" s="425"/>
      <c r="M247" s="425"/>
      <c r="N247" s="425"/>
      <c r="O247" s="425"/>
      <c r="P247" s="425"/>
      <c r="Q247" s="423"/>
      <c r="R247" s="423"/>
      <c r="S247" s="423"/>
      <c r="T247" s="423"/>
      <c r="U247" s="423"/>
      <c r="V247" s="423"/>
      <c r="W247" s="423"/>
      <c r="X247" s="423"/>
      <c r="Y247" s="423"/>
      <c r="Z247" s="423"/>
      <c r="AA247" s="423"/>
      <c r="AB247" s="423"/>
      <c r="AC247" s="423"/>
      <c r="AD247" s="423"/>
      <c r="AE247" s="423"/>
      <c r="AF247" s="423"/>
      <c r="AG247" s="423"/>
      <c r="AH247" s="423"/>
      <c r="AI247" s="423"/>
      <c r="AJ247" s="423"/>
      <c r="AK247" s="423"/>
    </row>
    <row r="248" ht="15.75" customHeight="1">
      <c r="A248" s="423"/>
      <c r="B248" s="423"/>
      <c r="C248" s="423"/>
      <c r="D248" s="428"/>
      <c r="E248" s="425"/>
      <c r="F248" s="425"/>
      <c r="G248" s="425"/>
      <c r="H248" s="425"/>
      <c r="I248" s="425"/>
      <c r="J248" s="425"/>
      <c r="K248" s="425"/>
      <c r="L248" s="425"/>
      <c r="M248" s="425"/>
      <c r="N248" s="425"/>
      <c r="O248" s="425"/>
      <c r="P248" s="425"/>
      <c r="Q248" s="423"/>
      <c r="R248" s="423"/>
      <c r="S248" s="423"/>
      <c r="T248" s="423"/>
      <c r="U248" s="423"/>
      <c r="V248" s="423"/>
      <c r="W248" s="423"/>
      <c r="X248" s="423"/>
      <c r="Y248" s="423"/>
      <c r="Z248" s="423"/>
      <c r="AA248" s="423"/>
      <c r="AB248" s="423"/>
      <c r="AC248" s="423"/>
      <c r="AD248" s="423"/>
      <c r="AE248" s="423"/>
      <c r="AF248" s="423"/>
      <c r="AG248" s="423"/>
      <c r="AH248" s="423"/>
      <c r="AI248" s="423"/>
      <c r="AJ248" s="423"/>
      <c r="AK248" s="423"/>
    </row>
    <row r="249" ht="15.75" customHeight="1">
      <c r="A249" s="423"/>
      <c r="B249" s="423"/>
      <c r="C249" s="423"/>
      <c r="D249" s="428"/>
      <c r="E249" s="425"/>
      <c r="F249" s="425"/>
      <c r="G249" s="425"/>
      <c r="H249" s="425"/>
      <c r="I249" s="425"/>
      <c r="J249" s="425"/>
      <c r="K249" s="425"/>
      <c r="L249" s="425"/>
      <c r="M249" s="425"/>
      <c r="N249" s="425"/>
      <c r="O249" s="425"/>
      <c r="P249" s="425"/>
      <c r="Q249" s="423"/>
      <c r="R249" s="423"/>
      <c r="S249" s="423"/>
      <c r="T249" s="423"/>
      <c r="U249" s="423"/>
      <c r="V249" s="423"/>
      <c r="W249" s="423"/>
      <c r="X249" s="423"/>
      <c r="Y249" s="423"/>
      <c r="Z249" s="423"/>
      <c r="AA249" s="423"/>
      <c r="AB249" s="423"/>
      <c r="AC249" s="423"/>
      <c r="AD249" s="423"/>
      <c r="AE249" s="423"/>
      <c r="AF249" s="423"/>
      <c r="AG249" s="423"/>
      <c r="AH249" s="423"/>
      <c r="AI249" s="423"/>
      <c r="AJ249" s="423"/>
      <c r="AK249" s="423"/>
    </row>
    <row r="250" ht="15.75" customHeight="1">
      <c r="A250" s="423"/>
      <c r="B250" s="423"/>
      <c r="C250" s="423"/>
      <c r="D250" s="428"/>
      <c r="E250" s="425"/>
      <c r="F250" s="425"/>
      <c r="G250" s="425"/>
      <c r="H250" s="425"/>
      <c r="I250" s="425"/>
      <c r="J250" s="425"/>
      <c r="K250" s="425"/>
      <c r="L250" s="425"/>
      <c r="M250" s="425"/>
      <c r="N250" s="425"/>
      <c r="O250" s="425"/>
      <c r="P250" s="425"/>
      <c r="Q250" s="423"/>
      <c r="R250" s="423"/>
      <c r="S250" s="423"/>
      <c r="T250" s="423"/>
      <c r="U250" s="423"/>
      <c r="V250" s="423"/>
      <c r="W250" s="423"/>
      <c r="X250" s="423"/>
      <c r="Y250" s="423"/>
      <c r="Z250" s="423"/>
      <c r="AA250" s="423"/>
      <c r="AB250" s="423"/>
      <c r="AC250" s="423"/>
      <c r="AD250" s="423"/>
      <c r="AE250" s="423"/>
      <c r="AF250" s="423"/>
      <c r="AG250" s="423"/>
      <c r="AH250" s="423"/>
      <c r="AI250" s="423"/>
      <c r="AJ250" s="423"/>
      <c r="AK250" s="423"/>
    </row>
    <row r="251" ht="15.75" customHeight="1">
      <c r="A251" s="423"/>
      <c r="B251" s="423"/>
      <c r="C251" s="423"/>
      <c r="D251" s="428"/>
      <c r="E251" s="425"/>
      <c r="F251" s="425"/>
      <c r="G251" s="425"/>
      <c r="H251" s="425"/>
      <c r="I251" s="425"/>
      <c r="J251" s="425"/>
      <c r="K251" s="425"/>
      <c r="L251" s="425"/>
      <c r="M251" s="425"/>
      <c r="N251" s="425"/>
      <c r="O251" s="425"/>
      <c r="P251" s="425"/>
      <c r="Q251" s="423"/>
      <c r="R251" s="423"/>
      <c r="S251" s="423"/>
      <c r="T251" s="423"/>
      <c r="U251" s="423"/>
      <c r="V251" s="423"/>
      <c r="W251" s="423"/>
      <c r="X251" s="423"/>
      <c r="Y251" s="423"/>
      <c r="Z251" s="423"/>
      <c r="AA251" s="423"/>
      <c r="AB251" s="423"/>
      <c r="AC251" s="423"/>
      <c r="AD251" s="423"/>
      <c r="AE251" s="423"/>
      <c r="AF251" s="423"/>
      <c r="AG251" s="423"/>
      <c r="AH251" s="423"/>
      <c r="AI251" s="423"/>
      <c r="AJ251" s="423"/>
      <c r="AK251" s="423"/>
    </row>
    <row r="252" ht="15.75" customHeight="1">
      <c r="A252" s="423"/>
      <c r="B252" s="423"/>
      <c r="C252" s="423"/>
      <c r="D252" s="428"/>
      <c r="E252" s="425"/>
      <c r="F252" s="425"/>
      <c r="G252" s="425"/>
      <c r="H252" s="425"/>
      <c r="I252" s="425"/>
      <c r="J252" s="425"/>
      <c r="K252" s="425"/>
      <c r="L252" s="425"/>
      <c r="M252" s="425"/>
      <c r="N252" s="425"/>
      <c r="O252" s="425"/>
      <c r="P252" s="425"/>
      <c r="Q252" s="423"/>
      <c r="R252" s="423"/>
      <c r="S252" s="423"/>
      <c r="T252" s="423"/>
      <c r="U252" s="423"/>
      <c r="V252" s="423"/>
      <c r="W252" s="423"/>
      <c r="X252" s="423"/>
      <c r="Y252" s="423"/>
      <c r="Z252" s="423"/>
      <c r="AA252" s="423"/>
      <c r="AB252" s="423"/>
      <c r="AC252" s="423"/>
      <c r="AD252" s="423"/>
      <c r="AE252" s="423"/>
      <c r="AF252" s="423"/>
      <c r="AG252" s="423"/>
      <c r="AH252" s="423"/>
      <c r="AI252" s="423"/>
      <c r="AJ252" s="423"/>
      <c r="AK252" s="423"/>
    </row>
    <row r="253" ht="15.75" customHeight="1">
      <c r="A253" s="423"/>
      <c r="B253" s="423"/>
      <c r="C253" s="423"/>
      <c r="D253" s="428"/>
      <c r="E253" s="425"/>
      <c r="F253" s="425"/>
      <c r="G253" s="425"/>
      <c r="H253" s="425"/>
      <c r="I253" s="425"/>
      <c r="J253" s="425"/>
      <c r="K253" s="425"/>
      <c r="L253" s="425"/>
      <c r="M253" s="425"/>
      <c r="N253" s="425"/>
      <c r="O253" s="425"/>
      <c r="P253" s="425"/>
      <c r="Q253" s="423"/>
      <c r="R253" s="423"/>
      <c r="S253" s="423"/>
      <c r="T253" s="423"/>
      <c r="U253" s="423"/>
      <c r="V253" s="423"/>
      <c r="W253" s="423"/>
      <c r="X253" s="423"/>
      <c r="Y253" s="423"/>
      <c r="Z253" s="423"/>
      <c r="AA253" s="423"/>
      <c r="AB253" s="423"/>
      <c r="AC253" s="423"/>
      <c r="AD253" s="423"/>
      <c r="AE253" s="423"/>
      <c r="AF253" s="423"/>
      <c r="AG253" s="423"/>
      <c r="AH253" s="423"/>
      <c r="AI253" s="423"/>
      <c r="AJ253" s="423"/>
      <c r="AK253" s="423"/>
    </row>
    <row r="254" ht="15.75" customHeight="1">
      <c r="A254" s="423"/>
      <c r="B254" s="423"/>
      <c r="C254" s="423"/>
      <c r="D254" s="428"/>
      <c r="E254" s="425"/>
      <c r="F254" s="425"/>
      <c r="G254" s="425"/>
      <c r="H254" s="425"/>
      <c r="I254" s="425"/>
      <c r="J254" s="425"/>
      <c r="K254" s="425"/>
      <c r="L254" s="425"/>
      <c r="M254" s="425"/>
      <c r="N254" s="425"/>
      <c r="O254" s="425"/>
      <c r="P254" s="425"/>
      <c r="Q254" s="423"/>
      <c r="R254" s="423"/>
      <c r="S254" s="423"/>
      <c r="T254" s="423"/>
      <c r="U254" s="423"/>
      <c r="V254" s="423"/>
      <c r="W254" s="423"/>
      <c r="X254" s="423"/>
      <c r="Y254" s="423"/>
      <c r="Z254" s="423"/>
      <c r="AA254" s="423"/>
      <c r="AB254" s="423"/>
      <c r="AC254" s="423"/>
      <c r="AD254" s="423"/>
      <c r="AE254" s="423"/>
      <c r="AF254" s="423"/>
      <c r="AG254" s="423"/>
      <c r="AH254" s="423"/>
      <c r="AI254" s="423"/>
      <c r="AJ254" s="423"/>
      <c r="AK254" s="423"/>
    </row>
    <row r="255" ht="15.75" customHeight="1">
      <c r="A255" s="423"/>
      <c r="B255" s="423"/>
      <c r="C255" s="423"/>
      <c r="D255" s="428"/>
      <c r="E255" s="425"/>
      <c r="F255" s="425"/>
      <c r="G255" s="425"/>
      <c r="H255" s="425"/>
      <c r="I255" s="425"/>
      <c r="J255" s="425"/>
      <c r="K255" s="425"/>
      <c r="L255" s="425"/>
      <c r="M255" s="425"/>
      <c r="N255" s="425"/>
      <c r="O255" s="425"/>
      <c r="P255" s="425"/>
      <c r="Q255" s="423"/>
      <c r="R255" s="423"/>
      <c r="S255" s="423"/>
      <c r="T255" s="423"/>
      <c r="U255" s="423"/>
      <c r="V255" s="423"/>
      <c r="W255" s="423"/>
      <c r="X255" s="423"/>
      <c r="Y255" s="423"/>
      <c r="Z255" s="423"/>
      <c r="AA255" s="423"/>
      <c r="AB255" s="423"/>
      <c r="AC255" s="423"/>
      <c r="AD255" s="423"/>
      <c r="AE255" s="423"/>
      <c r="AF255" s="423"/>
      <c r="AG255" s="423"/>
      <c r="AH255" s="423"/>
      <c r="AI255" s="423"/>
      <c r="AJ255" s="423"/>
      <c r="AK255" s="423"/>
    </row>
    <row r="256" ht="15.75" customHeight="1">
      <c r="A256" s="423"/>
      <c r="B256" s="423"/>
      <c r="C256" s="423"/>
      <c r="D256" s="428"/>
      <c r="E256" s="425"/>
      <c r="F256" s="425"/>
      <c r="G256" s="425"/>
      <c r="H256" s="425"/>
      <c r="I256" s="425"/>
      <c r="J256" s="425"/>
      <c r="K256" s="425"/>
      <c r="L256" s="425"/>
      <c r="M256" s="425"/>
      <c r="N256" s="425"/>
      <c r="O256" s="425"/>
      <c r="P256" s="425"/>
      <c r="Q256" s="423"/>
      <c r="R256" s="423"/>
      <c r="S256" s="423"/>
      <c r="T256" s="423"/>
      <c r="U256" s="423"/>
      <c r="V256" s="423"/>
      <c r="W256" s="423"/>
      <c r="X256" s="423"/>
      <c r="Y256" s="423"/>
      <c r="Z256" s="423"/>
      <c r="AA256" s="423"/>
      <c r="AB256" s="423"/>
      <c r="AC256" s="423"/>
      <c r="AD256" s="423"/>
      <c r="AE256" s="423"/>
      <c r="AF256" s="423"/>
      <c r="AG256" s="423"/>
      <c r="AH256" s="423"/>
      <c r="AI256" s="423"/>
      <c r="AJ256" s="423"/>
      <c r="AK256" s="423"/>
    </row>
    <row r="257" ht="15.75" customHeight="1">
      <c r="A257" s="423"/>
      <c r="B257" s="423"/>
      <c r="C257" s="423"/>
      <c r="D257" s="428"/>
      <c r="E257" s="425"/>
      <c r="F257" s="425"/>
      <c r="G257" s="425"/>
      <c r="H257" s="425"/>
      <c r="I257" s="425"/>
      <c r="J257" s="425"/>
      <c r="K257" s="425"/>
      <c r="L257" s="425"/>
      <c r="M257" s="425"/>
      <c r="N257" s="425"/>
      <c r="O257" s="425"/>
      <c r="P257" s="425"/>
      <c r="Q257" s="423"/>
      <c r="R257" s="423"/>
      <c r="S257" s="423"/>
      <c r="T257" s="423"/>
      <c r="U257" s="423"/>
      <c r="V257" s="423"/>
      <c r="W257" s="423"/>
      <c r="X257" s="423"/>
      <c r="Y257" s="423"/>
      <c r="Z257" s="423"/>
      <c r="AA257" s="423"/>
      <c r="AB257" s="423"/>
      <c r="AC257" s="423"/>
      <c r="AD257" s="423"/>
      <c r="AE257" s="423"/>
      <c r="AF257" s="423"/>
      <c r="AG257" s="423"/>
      <c r="AH257" s="423"/>
      <c r="AI257" s="423"/>
      <c r="AJ257" s="423"/>
      <c r="AK257" s="423"/>
    </row>
    <row r="258" ht="15.75" customHeight="1">
      <c r="A258" s="423"/>
      <c r="B258" s="423"/>
      <c r="C258" s="423"/>
      <c r="D258" s="428"/>
      <c r="E258" s="425"/>
      <c r="F258" s="425"/>
      <c r="G258" s="425"/>
      <c r="H258" s="425"/>
      <c r="I258" s="425"/>
      <c r="J258" s="425"/>
      <c r="K258" s="425"/>
      <c r="L258" s="425"/>
      <c r="M258" s="425"/>
      <c r="N258" s="425"/>
      <c r="O258" s="425"/>
      <c r="P258" s="425"/>
      <c r="Q258" s="423"/>
      <c r="R258" s="423"/>
      <c r="S258" s="423"/>
      <c r="T258" s="423"/>
      <c r="U258" s="423"/>
      <c r="V258" s="423"/>
      <c r="W258" s="423"/>
      <c r="X258" s="423"/>
      <c r="Y258" s="423"/>
      <c r="Z258" s="423"/>
      <c r="AA258" s="423"/>
      <c r="AB258" s="423"/>
      <c r="AC258" s="423"/>
      <c r="AD258" s="423"/>
      <c r="AE258" s="423"/>
      <c r="AF258" s="423"/>
      <c r="AG258" s="423"/>
      <c r="AH258" s="423"/>
      <c r="AI258" s="423"/>
      <c r="AJ258" s="423"/>
      <c r="AK258" s="423"/>
    </row>
    <row r="259" ht="15.75" customHeight="1">
      <c r="A259" s="423"/>
      <c r="B259" s="423"/>
      <c r="C259" s="423"/>
      <c r="D259" s="428"/>
      <c r="E259" s="425"/>
      <c r="F259" s="425"/>
      <c r="G259" s="425"/>
      <c r="H259" s="425"/>
      <c r="I259" s="425"/>
      <c r="J259" s="425"/>
      <c r="K259" s="425"/>
      <c r="L259" s="425"/>
      <c r="M259" s="425"/>
      <c r="N259" s="425"/>
      <c r="O259" s="425"/>
      <c r="P259" s="425"/>
      <c r="Q259" s="423"/>
      <c r="R259" s="423"/>
      <c r="S259" s="423"/>
      <c r="T259" s="423"/>
      <c r="U259" s="423"/>
      <c r="V259" s="423"/>
      <c r="W259" s="423"/>
      <c r="X259" s="423"/>
      <c r="Y259" s="423"/>
      <c r="Z259" s="423"/>
      <c r="AA259" s="423"/>
      <c r="AB259" s="423"/>
      <c r="AC259" s="423"/>
      <c r="AD259" s="423"/>
      <c r="AE259" s="423"/>
      <c r="AF259" s="423"/>
      <c r="AG259" s="423"/>
      <c r="AH259" s="423"/>
      <c r="AI259" s="423"/>
      <c r="AJ259" s="423"/>
      <c r="AK259" s="423"/>
    </row>
    <row r="260" ht="15.75" customHeight="1">
      <c r="A260" s="423"/>
      <c r="B260" s="423"/>
      <c r="C260" s="423"/>
      <c r="D260" s="428"/>
      <c r="E260" s="425"/>
      <c r="F260" s="425"/>
      <c r="G260" s="425"/>
      <c r="H260" s="425"/>
      <c r="I260" s="425"/>
      <c r="J260" s="425"/>
      <c r="K260" s="425"/>
      <c r="L260" s="425"/>
      <c r="M260" s="425"/>
      <c r="N260" s="425"/>
      <c r="O260" s="425"/>
      <c r="P260" s="425"/>
      <c r="Q260" s="423"/>
      <c r="R260" s="423"/>
      <c r="S260" s="423"/>
      <c r="T260" s="423"/>
      <c r="U260" s="423"/>
      <c r="V260" s="423"/>
      <c r="W260" s="423"/>
      <c r="X260" s="423"/>
      <c r="Y260" s="423"/>
      <c r="Z260" s="423"/>
      <c r="AA260" s="423"/>
      <c r="AB260" s="423"/>
      <c r="AC260" s="423"/>
      <c r="AD260" s="423"/>
      <c r="AE260" s="423"/>
      <c r="AF260" s="423"/>
      <c r="AG260" s="423"/>
      <c r="AH260" s="423"/>
      <c r="AI260" s="423"/>
      <c r="AJ260" s="423"/>
      <c r="AK260" s="423"/>
    </row>
    <row r="261" ht="15.75" customHeight="1">
      <c r="A261" s="423"/>
      <c r="B261" s="423"/>
      <c r="C261" s="423"/>
      <c r="D261" s="428"/>
      <c r="E261" s="425"/>
      <c r="F261" s="425"/>
      <c r="G261" s="425"/>
      <c r="H261" s="425"/>
      <c r="I261" s="425"/>
      <c r="J261" s="425"/>
      <c r="K261" s="425"/>
      <c r="L261" s="425"/>
      <c r="M261" s="425"/>
      <c r="N261" s="425"/>
      <c r="O261" s="425"/>
      <c r="P261" s="425"/>
      <c r="Q261" s="423"/>
      <c r="R261" s="423"/>
      <c r="S261" s="423"/>
      <c r="T261" s="423"/>
      <c r="U261" s="423"/>
      <c r="V261" s="423"/>
      <c r="W261" s="423"/>
      <c r="X261" s="423"/>
      <c r="Y261" s="423"/>
      <c r="Z261" s="423"/>
      <c r="AA261" s="423"/>
      <c r="AB261" s="423"/>
      <c r="AC261" s="423"/>
      <c r="AD261" s="423"/>
      <c r="AE261" s="423"/>
      <c r="AF261" s="423"/>
      <c r="AG261" s="423"/>
      <c r="AH261" s="423"/>
      <c r="AI261" s="423"/>
      <c r="AJ261" s="423"/>
      <c r="AK261" s="423"/>
    </row>
    <row r="262" ht="15.75" customHeight="1">
      <c r="A262" s="423"/>
      <c r="B262" s="423"/>
      <c r="C262" s="423"/>
      <c r="D262" s="428"/>
      <c r="E262" s="425"/>
      <c r="F262" s="425"/>
      <c r="G262" s="425"/>
      <c r="H262" s="425"/>
      <c r="I262" s="425"/>
      <c r="J262" s="425"/>
      <c r="K262" s="425"/>
      <c r="L262" s="425"/>
      <c r="M262" s="425"/>
      <c r="N262" s="425"/>
      <c r="O262" s="425"/>
      <c r="P262" s="425"/>
      <c r="Q262" s="423"/>
      <c r="R262" s="423"/>
      <c r="S262" s="423"/>
      <c r="T262" s="423"/>
      <c r="U262" s="423"/>
      <c r="V262" s="423"/>
      <c r="W262" s="423"/>
      <c r="X262" s="423"/>
      <c r="Y262" s="423"/>
      <c r="Z262" s="423"/>
      <c r="AA262" s="423"/>
      <c r="AB262" s="423"/>
      <c r="AC262" s="423"/>
      <c r="AD262" s="423"/>
      <c r="AE262" s="423"/>
      <c r="AF262" s="423"/>
      <c r="AG262" s="423"/>
      <c r="AH262" s="423"/>
      <c r="AI262" s="423"/>
      <c r="AJ262" s="423"/>
      <c r="AK262" s="423"/>
    </row>
    <row r="263" ht="15.75" customHeight="1">
      <c r="A263" s="423"/>
      <c r="B263" s="423"/>
      <c r="C263" s="423"/>
      <c r="D263" s="428"/>
      <c r="E263" s="425"/>
      <c r="F263" s="425"/>
      <c r="G263" s="425"/>
      <c r="H263" s="425"/>
      <c r="I263" s="425"/>
      <c r="J263" s="425"/>
      <c r="K263" s="425"/>
      <c r="L263" s="425"/>
      <c r="M263" s="425"/>
      <c r="N263" s="425"/>
      <c r="O263" s="425"/>
      <c r="P263" s="425"/>
      <c r="Q263" s="423"/>
      <c r="R263" s="423"/>
      <c r="S263" s="423"/>
      <c r="T263" s="423"/>
      <c r="U263" s="423"/>
      <c r="V263" s="423"/>
      <c r="W263" s="423"/>
      <c r="X263" s="423"/>
      <c r="Y263" s="423"/>
      <c r="Z263" s="423"/>
      <c r="AA263" s="423"/>
      <c r="AB263" s="423"/>
      <c r="AC263" s="423"/>
      <c r="AD263" s="423"/>
      <c r="AE263" s="423"/>
      <c r="AF263" s="423"/>
      <c r="AG263" s="423"/>
      <c r="AH263" s="423"/>
      <c r="AI263" s="423"/>
      <c r="AJ263" s="423"/>
      <c r="AK263" s="423"/>
    </row>
    <row r="264" ht="15.75" customHeight="1">
      <c r="A264" s="423"/>
      <c r="B264" s="423"/>
      <c r="C264" s="423"/>
      <c r="D264" s="428"/>
      <c r="E264" s="425"/>
      <c r="F264" s="425"/>
      <c r="G264" s="425"/>
      <c r="H264" s="425"/>
      <c r="I264" s="425"/>
      <c r="J264" s="425"/>
      <c r="K264" s="425"/>
      <c r="L264" s="425"/>
      <c r="M264" s="425"/>
      <c r="N264" s="425"/>
      <c r="O264" s="425"/>
      <c r="P264" s="425"/>
      <c r="Q264" s="423"/>
      <c r="R264" s="423"/>
      <c r="S264" s="423"/>
      <c r="T264" s="423"/>
      <c r="U264" s="423"/>
      <c r="V264" s="423"/>
      <c r="W264" s="423"/>
      <c r="X264" s="423"/>
      <c r="Y264" s="423"/>
      <c r="Z264" s="423"/>
      <c r="AA264" s="423"/>
      <c r="AB264" s="423"/>
      <c r="AC264" s="423"/>
      <c r="AD264" s="423"/>
      <c r="AE264" s="423"/>
      <c r="AF264" s="423"/>
      <c r="AG264" s="423"/>
      <c r="AH264" s="423"/>
      <c r="AI264" s="423"/>
      <c r="AJ264" s="423"/>
      <c r="AK264" s="423"/>
    </row>
    <row r="265" ht="15.75" customHeight="1">
      <c r="A265" s="423"/>
      <c r="B265" s="423"/>
      <c r="C265" s="423"/>
      <c r="D265" s="428"/>
      <c r="E265" s="425"/>
      <c r="F265" s="425"/>
      <c r="G265" s="425"/>
      <c r="H265" s="425"/>
      <c r="I265" s="425"/>
      <c r="J265" s="425"/>
      <c r="K265" s="425"/>
      <c r="L265" s="425"/>
      <c r="M265" s="425"/>
      <c r="N265" s="425"/>
      <c r="O265" s="425"/>
      <c r="P265" s="425"/>
      <c r="Q265" s="423"/>
      <c r="R265" s="423"/>
      <c r="S265" s="423"/>
      <c r="T265" s="423"/>
      <c r="U265" s="423"/>
      <c r="V265" s="423"/>
      <c r="W265" s="423"/>
      <c r="X265" s="423"/>
      <c r="Y265" s="423"/>
      <c r="Z265" s="423"/>
      <c r="AA265" s="423"/>
      <c r="AB265" s="423"/>
      <c r="AC265" s="423"/>
      <c r="AD265" s="423"/>
      <c r="AE265" s="423"/>
      <c r="AF265" s="423"/>
      <c r="AG265" s="423"/>
      <c r="AH265" s="423"/>
      <c r="AI265" s="423"/>
      <c r="AJ265" s="423"/>
      <c r="AK265" s="423"/>
    </row>
    <row r="266" ht="15.75" customHeight="1">
      <c r="A266" s="423"/>
      <c r="B266" s="423"/>
      <c r="C266" s="423"/>
      <c r="D266" s="428"/>
      <c r="E266" s="425"/>
      <c r="F266" s="425"/>
      <c r="G266" s="425"/>
      <c r="H266" s="425"/>
      <c r="I266" s="425"/>
      <c r="J266" s="425"/>
      <c r="K266" s="425"/>
      <c r="L266" s="425"/>
      <c r="M266" s="425"/>
      <c r="N266" s="425"/>
      <c r="O266" s="425"/>
      <c r="P266" s="425"/>
      <c r="Q266" s="423"/>
      <c r="R266" s="423"/>
      <c r="S266" s="423"/>
      <c r="T266" s="423"/>
      <c r="U266" s="423"/>
      <c r="V266" s="423"/>
      <c r="W266" s="423"/>
      <c r="X266" s="423"/>
      <c r="Y266" s="423"/>
      <c r="Z266" s="423"/>
      <c r="AA266" s="423"/>
      <c r="AB266" s="423"/>
      <c r="AC266" s="423"/>
      <c r="AD266" s="423"/>
      <c r="AE266" s="423"/>
      <c r="AF266" s="423"/>
      <c r="AG266" s="423"/>
      <c r="AH266" s="423"/>
      <c r="AI266" s="423"/>
      <c r="AJ266" s="423"/>
      <c r="AK266" s="423"/>
    </row>
    <row r="267" ht="15.75" customHeight="1">
      <c r="A267" s="423"/>
      <c r="B267" s="423"/>
      <c r="C267" s="423"/>
      <c r="D267" s="428"/>
      <c r="E267" s="425"/>
      <c r="F267" s="425"/>
      <c r="G267" s="425"/>
      <c r="H267" s="425"/>
      <c r="I267" s="425"/>
      <c r="J267" s="425"/>
      <c r="K267" s="425"/>
      <c r="L267" s="425"/>
      <c r="M267" s="425"/>
      <c r="N267" s="425"/>
      <c r="O267" s="425"/>
      <c r="P267" s="425"/>
      <c r="Q267" s="423"/>
      <c r="R267" s="423"/>
      <c r="S267" s="423"/>
      <c r="T267" s="423"/>
      <c r="U267" s="423"/>
      <c r="V267" s="423"/>
      <c r="W267" s="423"/>
      <c r="X267" s="423"/>
      <c r="Y267" s="423"/>
      <c r="Z267" s="423"/>
      <c r="AA267" s="423"/>
      <c r="AB267" s="423"/>
      <c r="AC267" s="423"/>
      <c r="AD267" s="423"/>
      <c r="AE267" s="423"/>
      <c r="AF267" s="423"/>
      <c r="AG267" s="423"/>
      <c r="AH267" s="423"/>
      <c r="AI267" s="423"/>
      <c r="AJ267" s="423"/>
      <c r="AK267" s="423"/>
    </row>
    <row r="268" ht="15.75" customHeight="1">
      <c r="A268" s="423"/>
      <c r="B268" s="423"/>
      <c r="C268" s="423"/>
      <c r="D268" s="428"/>
      <c r="E268" s="425"/>
      <c r="F268" s="425"/>
      <c r="G268" s="425"/>
      <c r="H268" s="425"/>
      <c r="I268" s="425"/>
      <c r="J268" s="425"/>
      <c r="K268" s="425"/>
      <c r="L268" s="425"/>
      <c r="M268" s="425"/>
      <c r="N268" s="425"/>
      <c r="O268" s="425"/>
      <c r="P268" s="425"/>
      <c r="Q268" s="423"/>
      <c r="R268" s="423"/>
      <c r="S268" s="423"/>
      <c r="T268" s="423"/>
      <c r="U268" s="423"/>
      <c r="V268" s="423"/>
      <c r="W268" s="423"/>
      <c r="X268" s="423"/>
      <c r="Y268" s="423"/>
      <c r="Z268" s="423"/>
      <c r="AA268" s="423"/>
      <c r="AB268" s="423"/>
      <c r="AC268" s="423"/>
      <c r="AD268" s="423"/>
      <c r="AE268" s="423"/>
      <c r="AF268" s="423"/>
      <c r="AG268" s="423"/>
      <c r="AH268" s="423"/>
      <c r="AI268" s="423"/>
      <c r="AJ268" s="423"/>
      <c r="AK268" s="423"/>
    </row>
    <row r="269" ht="15.75" customHeight="1">
      <c r="A269" s="423"/>
      <c r="B269" s="423"/>
      <c r="C269" s="423"/>
      <c r="D269" s="428"/>
      <c r="E269" s="425"/>
      <c r="F269" s="425"/>
      <c r="G269" s="425"/>
      <c r="H269" s="425"/>
      <c r="I269" s="425"/>
      <c r="J269" s="425"/>
      <c r="K269" s="425"/>
      <c r="L269" s="425"/>
      <c r="M269" s="425"/>
      <c r="N269" s="425"/>
      <c r="O269" s="425"/>
      <c r="P269" s="425"/>
      <c r="Q269" s="423"/>
      <c r="R269" s="423"/>
      <c r="S269" s="423"/>
      <c r="T269" s="423"/>
      <c r="U269" s="423"/>
      <c r="V269" s="423"/>
      <c r="W269" s="423"/>
      <c r="X269" s="423"/>
      <c r="Y269" s="423"/>
      <c r="Z269" s="423"/>
      <c r="AA269" s="423"/>
      <c r="AB269" s="423"/>
      <c r="AC269" s="423"/>
      <c r="AD269" s="423"/>
      <c r="AE269" s="423"/>
      <c r="AF269" s="423"/>
      <c r="AG269" s="423"/>
      <c r="AH269" s="423"/>
      <c r="AI269" s="423"/>
      <c r="AJ269" s="423"/>
      <c r="AK269" s="423"/>
    </row>
    <row r="270" ht="15.75" customHeight="1">
      <c r="A270" s="423"/>
      <c r="B270" s="423"/>
      <c r="C270" s="423"/>
      <c r="D270" s="428"/>
      <c r="E270" s="425"/>
      <c r="F270" s="425"/>
      <c r="G270" s="425"/>
      <c r="H270" s="425"/>
      <c r="I270" s="425"/>
      <c r="J270" s="425"/>
      <c r="K270" s="425"/>
      <c r="L270" s="425"/>
      <c r="M270" s="425"/>
      <c r="N270" s="425"/>
      <c r="O270" s="425"/>
      <c r="P270" s="425"/>
      <c r="Q270" s="423"/>
      <c r="R270" s="423"/>
      <c r="S270" s="423"/>
      <c r="T270" s="423"/>
      <c r="U270" s="423"/>
      <c r="V270" s="423"/>
      <c r="W270" s="423"/>
      <c r="X270" s="423"/>
      <c r="Y270" s="423"/>
      <c r="Z270" s="423"/>
      <c r="AA270" s="423"/>
      <c r="AB270" s="423"/>
      <c r="AC270" s="423"/>
      <c r="AD270" s="423"/>
      <c r="AE270" s="423"/>
      <c r="AF270" s="423"/>
      <c r="AG270" s="423"/>
      <c r="AH270" s="423"/>
      <c r="AI270" s="423"/>
      <c r="AJ270" s="423"/>
      <c r="AK270" s="423"/>
    </row>
    <row r="271" ht="15.75" customHeight="1">
      <c r="A271" s="423"/>
      <c r="B271" s="423"/>
      <c r="C271" s="423"/>
      <c r="D271" s="428"/>
      <c r="E271" s="425"/>
      <c r="F271" s="425"/>
      <c r="G271" s="425"/>
      <c r="H271" s="425"/>
      <c r="I271" s="425"/>
      <c r="J271" s="425"/>
      <c r="K271" s="425"/>
      <c r="L271" s="425"/>
      <c r="M271" s="425"/>
      <c r="N271" s="425"/>
      <c r="O271" s="425"/>
      <c r="P271" s="425"/>
      <c r="Q271" s="423"/>
      <c r="R271" s="423"/>
      <c r="S271" s="423"/>
      <c r="T271" s="423"/>
      <c r="U271" s="423"/>
      <c r="V271" s="423"/>
      <c r="W271" s="423"/>
      <c r="X271" s="423"/>
      <c r="Y271" s="423"/>
      <c r="Z271" s="423"/>
      <c r="AA271" s="423"/>
      <c r="AB271" s="423"/>
      <c r="AC271" s="423"/>
      <c r="AD271" s="423"/>
      <c r="AE271" s="423"/>
      <c r="AF271" s="423"/>
      <c r="AG271" s="423"/>
      <c r="AH271" s="423"/>
      <c r="AI271" s="423"/>
      <c r="AJ271" s="423"/>
      <c r="AK271" s="423"/>
    </row>
    <row r="272" ht="15.75" customHeight="1">
      <c r="A272" s="423"/>
      <c r="B272" s="423"/>
      <c r="C272" s="423"/>
      <c r="D272" s="428"/>
      <c r="E272" s="425"/>
      <c r="F272" s="425"/>
      <c r="G272" s="425"/>
      <c r="H272" s="425"/>
      <c r="I272" s="425"/>
      <c r="J272" s="425"/>
      <c r="K272" s="425"/>
      <c r="L272" s="425"/>
      <c r="M272" s="425"/>
      <c r="N272" s="425"/>
      <c r="O272" s="425"/>
      <c r="P272" s="425"/>
      <c r="Q272" s="423"/>
      <c r="R272" s="423"/>
      <c r="S272" s="423"/>
      <c r="T272" s="423"/>
      <c r="U272" s="423"/>
      <c r="V272" s="423"/>
      <c r="W272" s="423"/>
      <c r="X272" s="423"/>
      <c r="Y272" s="423"/>
      <c r="Z272" s="423"/>
      <c r="AA272" s="423"/>
      <c r="AB272" s="423"/>
      <c r="AC272" s="423"/>
      <c r="AD272" s="423"/>
      <c r="AE272" s="423"/>
      <c r="AF272" s="423"/>
      <c r="AG272" s="423"/>
      <c r="AH272" s="423"/>
      <c r="AI272" s="423"/>
      <c r="AJ272" s="423"/>
      <c r="AK272" s="423"/>
    </row>
    <row r="273" ht="15.75" customHeight="1">
      <c r="A273" s="423"/>
      <c r="B273" s="423"/>
      <c r="C273" s="423"/>
      <c r="D273" s="428"/>
      <c r="E273" s="425"/>
      <c r="F273" s="425"/>
      <c r="G273" s="425"/>
      <c r="H273" s="425"/>
      <c r="I273" s="425"/>
      <c r="J273" s="425"/>
      <c r="K273" s="425"/>
      <c r="L273" s="425"/>
      <c r="M273" s="425"/>
      <c r="N273" s="425"/>
      <c r="O273" s="425"/>
      <c r="P273" s="425"/>
      <c r="Q273" s="423"/>
      <c r="R273" s="423"/>
      <c r="S273" s="423"/>
      <c r="T273" s="423"/>
      <c r="U273" s="423"/>
      <c r="V273" s="423"/>
      <c r="W273" s="423"/>
      <c r="X273" s="423"/>
      <c r="Y273" s="423"/>
      <c r="Z273" s="423"/>
      <c r="AA273" s="423"/>
      <c r="AB273" s="423"/>
      <c r="AC273" s="423"/>
      <c r="AD273" s="423"/>
      <c r="AE273" s="423"/>
      <c r="AF273" s="423"/>
      <c r="AG273" s="423"/>
      <c r="AH273" s="423"/>
      <c r="AI273" s="423"/>
      <c r="AJ273" s="423"/>
      <c r="AK273" s="423"/>
    </row>
    <row r="274" ht="15.75" customHeight="1">
      <c r="A274" s="423"/>
      <c r="B274" s="423"/>
      <c r="C274" s="423"/>
      <c r="D274" s="428"/>
      <c r="E274" s="425"/>
      <c r="F274" s="425"/>
      <c r="G274" s="425"/>
      <c r="H274" s="425"/>
      <c r="I274" s="425"/>
      <c r="J274" s="425"/>
      <c r="K274" s="425"/>
      <c r="L274" s="425"/>
      <c r="M274" s="425"/>
      <c r="N274" s="425"/>
      <c r="O274" s="425"/>
      <c r="P274" s="425"/>
      <c r="Q274" s="423"/>
      <c r="R274" s="423"/>
      <c r="S274" s="423"/>
      <c r="T274" s="423"/>
      <c r="U274" s="423"/>
      <c r="V274" s="423"/>
      <c r="W274" s="423"/>
      <c r="X274" s="423"/>
      <c r="Y274" s="423"/>
      <c r="Z274" s="423"/>
      <c r="AA274" s="423"/>
      <c r="AB274" s="423"/>
      <c r="AC274" s="423"/>
      <c r="AD274" s="423"/>
      <c r="AE274" s="423"/>
      <c r="AF274" s="423"/>
      <c r="AG274" s="423"/>
      <c r="AH274" s="423"/>
      <c r="AI274" s="423"/>
      <c r="AJ274" s="423"/>
      <c r="AK274" s="423"/>
    </row>
    <row r="275" ht="15.75" customHeight="1">
      <c r="A275" s="423"/>
      <c r="B275" s="423"/>
      <c r="C275" s="423"/>
      <c r="D275" s="428"/>
      <c r="E275" s="425"/>
      <c r="F275" s="425"/>
      <c r="G275" s="425"/>
      <c r="H275" s="425"/>
      <c r="I275" s="425"/>
      <c r="J275" s="425"/>
      <c r="K275" s="425"/>
      <c r="L275" s="425"/>
      <c r="M275" s="425"/>
      <c r="N275" s="425"/>
      <c r="O275" s="425"/>
      <c r="P275" s="425"/>
      <c r="Q275" s="423"/>
      <c r="R275" s="423"/>
      <c r="S275" s="423"/>
      <c r="T275" s="423"/>
      <c r="U275" s="423"/>
      <c r="V275" s="423"/>
      <c r="W275" s="423"/>
      <c r="X275" s="423"/>
      <c r="Y275" s="423"/>
      <c r="Z275" s="423"/>
      <c r="AA275" s="423"/>
      <c r="AB275" s="423"/>
      <c r="AC275" s="423"/>
      <c r="AD275" s="423"/>
      <c r="AE275" s="423"/>
      <c r="AF275" s="423"/>
      <c r="AG275" s="423"/>
      <c r="AH275" s="423"/>
      <c r="AI275" s="423"/>
      <c r="AJ275" s="423"/>
      <c r="AK275" s="423"/>
    </row>
    <row r="276" ht="15.75" customHeight="1">
      <c r="A276" s="423"/>
      <c r="B276" s="423"/>
      <c r="C276" s="423"/>
      <c r="D276" s="428"/>
      <c r="E276" s="425"/>
      <c r="F276" s="425"/>
      <c r="G276" s="425"/>
      <c r="H276" s="425"/>
      <c r="I276" s="425"/>
      <c r="J276" s="425"/>
      <c r="K276" s="425"/>
      <c r="L276" s="425"/>
      <c r="M276" s="425"/>
      <c r="N276" s="425"/>
      <c r="O276" s="425"/>
      <c r="P276" s="425"/>
      <c r="Q276" s="423"/>
      <c r="R276" s="423"/>
      <c r="S276" s="423"/>
      <c r="T276" s="423"/>
      <c r="U276" s="423"/>
      <c r="V276" s="423"/>
      <c r="W276" s="423"/>
      <c r="X276" s="423"/>
      <c r="Y276" s="423"/>
      <c r="Z276" s="423"/>
      <c r="AA276" s="423"/>
      <c r="AB276" s="423"/>
      <c r="AC276" s="423"/>
      <c r="AD276" s="423"/>
      <c r="AE276" s="423"/>
      <c r="AF276" s="423"/>
      <c r="AG276" s="423"/>
      <c r="AH276" s="423"/>
      <c r="AI276" s="423"/>
      <c r="AJ276" s="423"/>
      <c r="AK276" s="423"/>
    </row>
    <row r="277" ht="15.75" customHeight="1">
      <c r="A277" s="423"/>
      <c r="B277" s="423"/>
      <c r="C277" s="423"/>
      <c r="D277" s="428"/>
      <c r="E277" s="425"/>
      <c r="F277" s="425"/>
      <c r="G277" s="425"/>
      <c r="H277" s="425"/>
      <c r="I277" s="425"/>
      <c r="J277" s="425"/>
      <c r="K277" s="425"/>
      <c r="L277" s="425"/>
      <c r="M277" s="425"/>
      <c r="N277" s="425"/>
      <c r="O277" s="425"/>
      <c r="P277" s="425"/>
      <c r="Q277" s="423"/>
      <c r="R277" s="423"/>
      <c r="S277" s="423"/>
      <c r="T277" s="423"/>
      <c r="U277" s="423"/>
      <c r="V277" s="423"/>
      <c r="W277" s="423"/>
      <c r="X277" s="423"/>
      <c r="Y277" s="423"/>
      <c r="Z277" s="423"/>
      <c r="AA277" s="423"/>
      <c r="AB277" s="423"/>
      <c r="AC277" s="423"/>
      <c r="AD277" s="423"/>
      <c r="AE277" s="423"/>
      <c r="AF277" s="423"/>
      <c r="AG277" s="423"/>
      <c r="AH277" s="423"/>
      <c r="AI277" s="423"/>
      <c r="AJ277" s="423"/>
      <c r="AK277" s="423"/>
    </row>
    <row r="278" ht="15.75" customHeight="1">
      <c r="A278" s="423"/>
      <c r="B278" s="423"/>
      <c r="C278" s="423"/>
      <c r="D278" s="428"/>
      <c r="E278" s="425"/>
      <c r="F278" s="425"/>
      <c r="G278" s="425"/>
      <c r="H278" s="425"/>
      <c r="I278" s="425"/>
      <c r="J278" s="425"/>
      <c r="K278" s="425"/>
      <c r="L278" s="425"/>
      <c r="M278" s="425"/>
      <c r="N278" s="425"/>
      <c r="O278" s="425"/>
      <c r="P278" s="425"/>
      <c r="Q278" s="423"/>
      <c r="R278" s="423"/>
      <c r="S278" s="423"/>
      <c r="T278" s="423"/>
      <c r="U278" s="423"/>
      <c r="V278" s="423"/>
      <c r="W278" s="423"/>
      <c r="X278" s="423"/>
      <c r="Y278" s="423"/>
      <c r="Z278" s="423"/>
      <c r="AA278" s="423"/>
      <c r="AB278" s="423"/>
      <c r="AC278" s="423"/>
      <c r="AD278" s="423"/>
      <c r="AE278" s="423"/>
      <c r="AF278" s="423"/>
      <c r="AG278" s="423"/>
      <c r="AH278" s="423"/>
      <c r="AI278" s="423"/>
      <c r="AJ278" s="423"/>
      <c r="AK278" s="423"/>
    </row>
    <row r="279" ht="15.75" customHeight="1">
      <c r="A279" s="423"/>
      <c r="B279" s="423"/>
      <c r="C279" s="423"/>
      <c r="D279" s="428"/>
      <c r="E279" s="425"/>
      <c r="F279" s="425"/>
      <c r="G279" s="425"/>
      <c r="H279" s="425"/>
      <c r="I279" s="425"/>
      <c r="J279" s="425"/>
      <c r="K279" s="425"/>
      <c r="L279" s="425"/>
      <c r="M279" s="425"/>
      <c r="N279" s="425"/>
      <c r="O279" s="425"/>
      <c r="P279" s="425"/>
      <c r="Q279" s="423"/>
      <c r="R279" s="423"/>
      <c r="S279" s="423"/>
      <c r="T279" s="423"/>
      <c r="U279" s="423"/>
      <c r="V279" s="423"/>
      <c r="W279" s="423"/>
      <c r="X279" s="423"/>
      <c r="Y279" s="423"/>
      <c r="Z279" s="423"/>
      <c r="AA279" s="423"/>
      <c r="AB279" s="423"/>
      <c r="AC279" s="423"/>
      <c r="AD279" s="423"/>
      <c r="AE279" s="423"/>
      <c r="AF279" s="423"/>
      <c r="AG279" s="423"/>
      <c r="AH279" s="423"/>
      <c r="AI279" s="423"/>
      <c r="AJ279" s="423"/>
      <c r="AK279" s="423"/>
    </row>
    <row r="280" ht="15.75" customHeight="1">
      <c r="A280" s="423"/>
      <c r="B280" s="423"/>
      <c r="C280" s="423"/>
      <c r="D280" s="428"/>
      <c r="E280" s="425"/>
      <c r="F280" s="425"/>
      <c r="G280" s="425"/>
      <c r="H280" s="425"/>
      <c r="I280" s="425"/>
      <c r="J280" s="425"/>
      <c r="K280" s="425"/>
      <c r="L280" s="425"/>
      <c r="M280" s="425"/>
      <c r="N280" s="425"/>
      <c r="O280" s="425"/>
      <c r="P280" s="425"/>
      <c r="Q280" s="423"/>
      <c r="R280" s="423"/>
      <c r="S280" s="423"/>
      <c r="T280" s="423"/>
      <c r="U280" s="423"/>
      <c r="V280" s="423"/>
      <c r="W280" s="423"/>
      <c r="X280" s="423"/>
      <c r="Y280" s="423"/>
      <c r="Z280" s="423"/>
      <c r="AA280" s="423"/>
      <c r="AB280" s="423"/>
      <c r="AC280" s="423"/>
      <c r="AD280" s="423"/>
      <c r="AE280" s="423"/>
      <c r="AF280" s="423"/>
      <c r="AG280" s="423"/>
      <c r="AH280" s="423"/>
      <c r="AI280" s="423"/>
      <c r="AJ280" s="423"/>
      <c r="AK280" s="423"/>
    </row>
    <row r="281" ht="15.75" customHeight="1">
      <c r="A281" s="423"/>
      <c r="B281" s="423"/>
      <c r="C281" s="423"/>
      <c r="D281" s="428"/>
      <c r="E281" s="425"/>
      <c r="F281" s="425"/>
      <c r="G281" s="425"/>
      <c r="H281" s="425"/>
      <c r="I281" s="425"/>
      <c r="J281" s="425"/>
      <c r="K281" s="425"/>
      <c r="L281" s="425"/>
      <c r="M281" s="425"/>
      <c r="N281" s="425"/>
      <c r="O281" s="425"/>
      <c r="P281" s="425"/>
      <c r="Q281" s="423"/>
      <c r="R281" s="423"/>
      <c r="S281" s="423"/>
      <c r="T281" s="423"/>
      <c r="U281" s="423"/>
      <c r="V281" s="423"/>
      <c r="W281" s="423"/>
      <c r="X281" s="423"/>
      <c r="Y281" s="423"/>
      <c r="Z281" s="423"/>
      <c r="AA281" s="423"/>
      <c r="AB281" s="423"/>
      <c r="AC281" s="423"/>
      <c r="AD281" s="423"/>
      <c r="AE281" s="423"/>
      <c r="AF281" s="423"/>
      <c r="AG281" s="423"/>
      <c r="AH281" s="423"/>
      <c r="AI281" s="423"/>
      <c r="AJ281" s="423"/>
      <c r="AK281" s="423"/>
    </row>
    <row r="282" ht="15.75" customHeight="1">
      <c r="A282" s="423"/>
      <c r="B282" s="423"/>
      <c r="C282" s="423"/>
      <c r="D282" s="428"/>
      <c r="E282" s="425"/>
      <c r="F282" s="425"/>
      <c r="G282" s="425"/>
      <c r="H282" s="425"/>
      <c r="I282" s="425"/>
      <c r="J282" s="425"/>
      <c r="K282" s="425"/>
      <c r="L282" s="425"/>
      <c r="M282" s="425"/>
      <c r="N282" s="425"/>
      <c r="O282" s="425"/>
      <c r="P282" s="425"/>
      <c r="Q282" s="423"/>
      <c r="R282" s="423"/>
      <c r="S282" s="423"/>
      <c r="T282" s="423"/>
      <c r="U282" s="423"/>
      <c r="V282" s="423"/>
      <c r="W282" s="423"/>
      <c r="X282" s="423"/>
      <c r="Y282" s="423"/>
      <c r="Z282" s="423"/>
      <c r="AA282" s="423"/>
      <c r="AB282" s="423"/>
      <c r="AC282" s="423"/>
      <c r="AD282" s="423"/>
      <c r="AE282" s="423"/>
      <c r="AF282" s="423"/>
      <c r="AG282" s="423"/>
      <c r="AH282" s="423"/>
      <c r="AI282" s="423"/>
      <c r="AJ282" s="423"/>
      <c r="AK282" s="423"/>
    </row>
    <row r="283" ht="15.75" customHeight="1">
      <c r="A283" s="423"/>
      <c r="B283" s="423"/>
      <c r="C283" s="423"/>
      <c r="D283" s="428"/>
      <c r="E283" s="425"/>
      <c r="F283" s="425"/>
      <c r="G283" s="425"/>
      <c r="H283" s="425"/>
      <c r="I283" s="425"/>
      <c r="J283" s="425"/>
      <c r="K283" s="425"/>
      <c r="L283" s="425"/>
      <c r="M283" s="425"/>
      <c r="N283" s="425"/>
      <c r="O283" s="425"/>
      <c r="P283" s="425"/>
      <c r="Q283" s="423"/>
      <c r="R283" s="423"/>
      <c r="S283" s="423"/>
      <c r="T283" s="423"/>
      <c r="U283" s="423"/>
      <c r="V283" s="423"/>
      <c r="W283" s="423"/>
      <c r="X283" s="423"/>
      <c r="Y283" s="423"/>
      <c r="Z283" s="423"/>
      <c r="AA283" s="423"/>
      <c r="AB283" s="423"/>
      <c r="AC283" s="423"/>
      <c r="AD283" s="423"/>
      <c r="AE283" s="423"/>
      <c r="AF283" s="423"/>
      <c r="AG283" s="423"/>
      <c r="AH283" s="423"/>
      <c r="AI283" s="423"/>
      <c r="AJ283" s="423"/>
      <c r="AK283" s="423"/>
    </row>
    <row r="284" ht="15.75" customHeight="1">
      <c r="A284" s="423"/>
      <c r="B284" s="423"/>
      <c r="C284" s="423"/>
      <c r="D284" s="428"/>
      <c r="E284" s="425"/>
      <c r="F284" s="425"/>
      <c r="G284" s="425"/>
      <c r="H284" s="425"/>
      <c r="I284" s="425"/>
      <c r="J284" s="425"/>
      <c r="K284" s="425"/>
      <c r="L284" s="425"/>
      <c r="M284" s="425"/>
      <c r="N284" s="425"/>
      <c r="O284" s="425"/>
      <c r="P284" s="425"/>
      <c r="Q284" s="423"/>
      <c r="R284" s="423"/>
      <c r="S284" s="423"/>
      <c r="T284" s="423"/>
      <c r="U284" s="423"/>
      <c r="V284" s="423"/>
      <c r="W284" s="423"/>
      <c r="X284" s="423"/>
      <c r="Y284" s="423"/>
      <c r="Z284" s="423"/>
      <c r="AA284" s="423"/>
      <c r="AB284" s="423"/>
      <c r="AC284" s="423"/>
      <c r="AD284" s="423"/>
      <c r="AE284" s="423"/>
      <c r="AF284" s="423"/>
      <c r="AG284" s="423"/>
      <c r="AH284" s="423"/>
      <c r="AI284" s="423"/>
      <c r="AJ284" s="423"/>
      <c r="AK284" s="423"/>
    </row>
    <row r="285" ht="15.75" customHeight="1">
      <c r="A285" s="423"/>
      <c r="B285" s="423"/>
      <c r="C285" s="423"/>
      <c r="D285" s="428"/>
      <c r="E285" s="425"/>
      <c r="F285" s="425"/>
      <c r="G285" s="425"/>
      <c r="H285" s="425"/>
      <c r="I285" s="425"/>
      <c r="J285" s="425"/>
      <c r="K285" s="425"/>
      <c r="L285" s="425"/>
      <c r="M285" s="425"/>
      <c r="N285" s="425"/>
      <c r="O285" s="425"/>
      <c r="P285" s="425"/>
      <c r="Q285" s="423"/>
      <c r="R285" s="423"/>
      <c r="S285" s="423"/>
      <c r="T285" s="423"/>
      <c r="U285" s="423"/>
      <c r="V285" s="423"/>
      <c r="W285" s="423"/>
      <c r="X285" s="423"/>
      <c r="Y285" s="423"/>
      <c r="Z285" s="423"/>
      <c r="AA285" s="423"/>
      <c r="AB285" s="423"/>
      <c r="AC285" s="423"/>
      <c r="AD285" s="423"/>
      <c r="AE285" s="423"/>
      <c r="AF285" s="423"/>
      <c r="AG285" s="423"/>
      <c r="AH285" s="423"/>
      <c r="AI285" s="423"/>
      <c r="AJ285" s="423"/>
      <c r="AK285" s="423"/>
    </row>
    <row r="286" ht="15.75" customHeight="1">
      <c r="A286" s="423"/>
      <c r="B286" s="423"/>
      <c r="C286" s="423"/>
      <c r="D286" s="428"/>
      <c r="E286" s="425"/>
      <c r="F286" s="425"/>
      <c r="G286" s="425"/>
      <c r="H286" s="425"/>
      <c r="I286" s="425"/>
      <c r="J286" s="425"/>
      <c r="K286" s="425"/>
      <c r="L286" s="425"/>
      <c r="M286" s="425"/>
      <c r="N286" s="425"/>
      <c r="O286" s="425"/>
      <c r="P286" s="425"/>
      <c r="Q286" s="423"/>
      <c r="R286" s="423"/>
      <c r="S286" s="423"/>
      <c r="T286" s="423"/>
      <c r="U286" s="423"/>
      <c r="V286" s="423"/>
      <c r="W286" s="423"/>
      <c r="X286" s="423"/>
      <c r="Y286" s="423"/>
      <c r="Z286" s="423"/>
      <c r="AA286" s="423"/>
      <c r="AB286" s="423"/>
      <c r="AC286" s="423"/>
      <c r="AD286" s="423"/>
      <c r="AE286" s="423"/>
      <c r="AF286" s="423"/>
      <c r="AG286" s="423"/>
      <c r="AH286" s="423"/>
      <c r="AI286" s="423"/>
      <c r="AJ286" s="423"/>
      <c r="AK286" s="423"/>
    </row>
    <row r="287" ht="15.75" customHeight="1">
      <c r="A287" s="423"/>
      <c r="B287" s="423"/>
      <c r="C287" s="423"/>
      <c r="D287" s="428"/>
      <c r="E287" s="425"/>
      <c r="F287" s="425"/>
      <c r="G287" s="425"/>
      <c r="H287" s="425"/>
      <c r="I287" s="425"/>
      <c r="J287" s="425"/>
      <c r="K287" s="425"/>
      <c r="L287" s="425"/>
      <c r="M287" s="425"/>
      <c r="N287" s="425"/>
      <c r="O287" s="425"/>
      <c r="P287" s="425"/>
      <c r="Q287" s="423"/>
      <c r="R287" s="423"/>
      <c r="S287" s="423"/>
      <c r="T287" s="423"/>
      <c r="U287" s="423"/>
      <c r="V287" s="423"/>
      <c r="W287" s="423"/>
      <c r="X287" s="423"/>
      <c r="Y287" s="423"/>
      <c r="Z287" s="423"/>
      <c r="AA287" s="423"/>
      <c r="AB287" s="423"/>
      <c r="AC287" s="423"/>
      <c r="AD287" s="423"/>
      <c r="AE287" s="423"/>
      <c r="AF287" s="423"/>
      <c r="AG287" s="423"/>
      <c r="AH287" s="423"/>
      <c r="AI287" s="423"/>
      <c r="AJ287" s="423"/>
      <c r="AK287" s="423"/>
    </row>
    <row r="288" ht="15.75" customHeight="1">
      <c r="A288" s="423"/>
      <c r="B288" s="423"/>
      <c r="C288" s="423"/>
      <c r="D288" s="428"/>
      <c r="E288" s="425"/>
      <c r="F288" s="425"/>
      <c r="G288" s="425"/>
      <c r="H288" s="425"/>
      <c r="I288" s="425"/>
      <c r="J288" s="425"/>
      <c r="K288" s="425"/>
      <c r="L288" s="425"/>
      <c r="M288" s="425"/>
      <c r="N288" s="425"/>
      <c r="O288" s="425"/>
      <c r="P288" s="425"/>
      <c r="Q288" s="423"/>
      <c r="R288" s="423"/>
      <c r="S288" s="423"/>
      <c r="T288" s="423"/>
      <c r="U288" s="423"/>
      <c r="V288" s="423"/>
      <c r="W288" s="423"/>
      <c r="X288" s="423"/>
      <c r="Y288" s="423"/>
      <c r="Z288" s="423"/>
      <c r="AA288" s="423"/>
      <c r="AB288" s="423"/>
      <c r="AC288" s="423"/>
      <c r="AD288" s="423"/>
      <c r="AE288" s="423"/>
      <c r="AF288" s="423"/>
      <c r="AG288" s="423"/>
      <c r="AH288" s="423"/>
      <c r="AI288" s="423"/>
      <c r="AJ288" s="423"/>
      <c r="AK288" s="423"/>
    </row>
    <row r="289" ht="15.75" customHeight="1">
      <c r="A289" s="423"/>
      <c r="B289" s="423"/>
      <c r="C289" s="423"/>
      <c r="D289" s="428"/>
      <c r="E289" s="425"/>
      <c r="F289" s="425"/>
      <c r="G289" s="425"/>
      <c r="H289" s="425"/>
      <c r="I289" s="425"/>
      <c r="J289" s="425"/>
      <c r="K289" s="425"/>
      <c r="L289" s="425"/>
      <c r="M289" s="425"/>
      <c r="N289" s="425"/>
      <c r="O289" s="425"/>
      <c r="P289" s="425"/>
      <c r="Q289" s="423"/>
      <c r="R289" s="423"/>
      <c r="S289" s="423"/>
      <c r="T289" s="423"/>
      <c r="U289" s="423"/>
      <c r="V289" s="423"/>
      <c r="W289" s="423"/>
      <c r="X289" s="423"/>
      <c r="Y289" s="423"/>
      <c r="Z289" s="423"/>
      <c r="AA289" s="423"/>
      <c r="AB289" s="423"/>
      <c r="AC289" s="423"/>
      <c r="AD289" s="423"/>
      <c r="AE289" s="423"/>
      <c r="AF289" s="423"/>
      <c r="AG289" s="423"/>
      <c r="AH289" s="423"/>
      <c r="AI289" s="423"/>
      <c r="AJ289" s="423"/>
      <c r="AK289" s="423"/>
    </row>
    <row r="290" ht="15.75" customHeight="1">
      <c r="A290" s="423"/>
      <c r="B290" s="423"/>
      <c r="C290" s="423"/>
      <c r="D290" s="428"/>
      <c r="E290" s="425"/>
      <c r="F290" s="425"/>
      <c r="G290" s="425"/>
      <c r="H290" s="425"/>
      <c r="I290" s="425"/>
      <c r="J290" s="425"/>
      <c r="K290" s="425"/>
      <c r="L290" s="425"/>
      <c r="M290" s="425"/>
      <c r="N290" s="425"/>
      <c r="O290" s="425"/>
      <c r="P290" s="425"/>
      <c r="Q290" s="423"/>
      <c r="R290" s="423"/>
      <c r="S290" s="423"/>
      <c r="T290" s="423"/>
      <c r="U290" s="423"/>
      <c r="V290" s="423"/>
      <c r="W290" s="423"/>
      <c r="X290" s="423"/>
      <c r="Y290" s="423"/>
      <c r="Z290" s="423"/>
      <c r="AA290" s="423"/>
      <c r="AB290" s="423"/>
      <c r="AC290" s="423"/>
      <c r="AD290" s="423"/>
      <c r="AE290" s="423"/>
      <c r="AF290" s="423"/>
      <c r="AG290" s="423"/>
      <c r="AH290" s="423"/>
      <c r="AI290" s="423"/>
      <c r="AJ290" s="423"/>
      <c r="AK290" s="423"/>
    </row>
    <row r="291" ht="15.75" customHeight="1">
      <c r="A291" s="423"/>
      <c r="B291" s="423"/>
      <c r="C291" s="423"/>
      <c r="D291" s="428"/>
      <c r="E291" s="425"/>
      <c r="F291" s="425"/>
      <c r="G291" s="425"/>
      <c r="H291" s="425"/>
      <c r="I291" s="425"/>
      <c r="J291" s="425"/>
      <c r="K291" s="425"/>
      <c r="L291" s="425"/>
      <c r="M291" s="425"/>
      <c r="N291" s="425"/>
      <c r="O291" s="425"/>
      <c r="P291" s="425"/>
      <c r="Q291" s="423"/>
      <c r="R291" s="423"/>
      <c r="S291" s="423"/>
      <c r="T291" s="423"/>
      <c r="U291" s="423"/>
      <c r="V291" s="423"/>
      <c r="W291" s="423"/>
      <c r="X291" s="423"/>
      <c r="Y291" s="423"/>
      <c r="Z291" s="423"/>
      <c r="AA291" s="423"/>
      <c r="AB291" s="423"/>
      <c r="AC291" s="423"/>
      <c r="AD291" s="423"/>
      <c r="AE291" s="423"/>
      <c r="AF291" s="423"/>
      <c r="AG291" s="423"/>
      <c r="AH291" s="423"/>
      <c r="AI291" s="423"/>
      <c r="AJ291" s="423"/>
      <c r="AK291" s="423"/>
    </row>
    <row r="292" ht="15.75" customHeight="1">
      <c r="A292" s="423"/>
      <c r="B292" s="423"/>
      <c r="C292" s="423"/>
      <c r="D292" s="428"/>
      <c r="E292" s="425"/>
      <c r="F292" s="425"/>
      <c r="G292" s="425"/>
      <c r="H292" s="425"/>
      <c r="I292" s="425"/>
      <c r="J292" s="425"/>
      <c r="K292" s="425"/>
      <c r="L292" s="425"/>
      <c r="M292" s="425"/>
      <c r="N292" s="425"/>
      <c r="O292" s="425"/>
      <c r="P292" s="425"/>
      <c r="Q292" s="423"/>
      <c r="R292" s="423"/>
      <c r="S292" s="423"/>
      <c r="T292" s="423"/>
      <c r="U292" s="423"/>
      <c r="V292" s="423"/>
      <c r="W292" s="423"/>
      <c r="X292" s="423"/>
      <c r="Y292" s="423"/>
      <c r="Z292" s="423"/>
      <c r="AA292" s="423"/>
      <c r="AB292" s="423"/>
      <c r="AC292" s="423"/>
      <c r="AD292" s="423"/>
      <c r="AE292" s="423"/>
      <c r="AF292" s="423"/>
      <c r="AG292" s="423"/>
      <c r="AH292" s="423"/>
      <c r="AI292" s="423"/>
      <c r="AJ292" s="423"/>
      <c r="AK292" s="423"/>
    </row>
    <row r="293" ht="15.75" customHeight="1">
      <c r="A293" s="423"/>
      <c r="B293" s="423"/>
      <c r="C293" s="423"/>
      <c r="D293" s="428"/>
      <c r="E293" s="425"/>
      <c r="F293" s="425"/>
      <c r="G293" s="425"/>
      <c r="H293" s="425"/>
      <c r="I293" s="425"/>
      <c r="J293" s="425"/>
      <c r="K293" s="425"/>
      <c r="L293" s="425"/>
      <c r="M293" s="425"/>
      <c r="N293" s="425"/>
      <c r="O293" s="425"/>
      <c r="P293" s="425"/>
      <c r="Q293" s="423"/>
      <c r="R293" s="423"/>
      <c r="S293" s="423"/>
      <c r="T293" s="423"/>
      <c r="U293" s="423"/>
      <c r="V293" s="423"/>
      <c r="W293" s="423"/>
      <c r="X293" s="423"/>
      <c r="Y293" s="423"/>
      <c r="Z293" s="423"/>
      <c r="AA293" s="423"/>
      <c r="AB293" s="423"/>
      <c r="AC293" s="423"/>
      <c r="AD293" s="423"/>
      <c r="AE293" s="423"/>
      <c r="AF293" s="423"/>
      <c r="AG293" s="423"/>
      <c r="AH293" s="423"/>
      <c r="AI293" s="423"/>
      <c r="AJ293" s="423"/>
      <c r="AK293" s="423"/>
    </row>
    <row r="294" ht="15.75" customHeight="1">
      <c r="A294" s="423"/>
      <c r="B294" s="423"/>
      <c r="C294" s="423"/>
      <c r="D294" s="428"/>
      <c r="E294" s="425"/>
      <c r="F294" s="425"/>
      <c r="G294" s="425"/>
      <c r="H294" s="425"/>
      <c r="I294" s="425"/>
      <c r="J294" s="425"/>
      <c r="K294" s="425"/>
      <c r="L294" s="425"/>
      <c r="M294" s="425"/>
      <c r="N294" s="425"/>
      <c r="O294" s="425"/>
      <c r="P294" s="425"/>
      <c r="Q294" s="423"/>
      <c r="R294" s="423"/>
      <c r="S294" s="423"/>
      <c r="T294" s="423"/>
      <c r="U294" s="423"/>
      <c r="V294" s="423"/>
      <c r="W294" s="423"/>
      <c r="X294" s="423"/>
      <c r="Y294" s="423"/>
      <c r="Z294" s="423"/>
      <c r="AA294" s="423"/>
      <c r="AB294" s="423"/>
      <c r="AC294" s="423"/>
      <c r="AD294" s="423"/>
      <c r="AE294" s="423"/>
      <c r="AF294" s="423"/>
      <c r="AG294" s="423"/>
      <c r="AH294" s="423"/>
      <c r="AI294" s="423"/>
      <c r="AJ294" s="423"/>
      <c r="AK294" s="423"/>
    </row>
    <row r="295" ht="15.75" customHeight="1">
      <c r="A295" s="423"/>
      <c r="B295" s="423"/>
      <c r="C295" s="423"/>
      <c r="D295" s="428"/>
      <c r="E295" s="425"/>
      <c r="F295" s="425"/>
      <c r="G295" s="425"/>
      <c r="H295" s="425"/>
      <c r="I295" s="425"/>
      <c r="J295" s="425"/>
      <c r="K295" s="425"/>
      <c r="L295" s="425"/>
      <c r="M295" s="425"/>
      <c r="N295" s="425"/>
      <c r="O295" s="425"/>
      <c r="P295" s="425"/>
      <c r="Q295" s="423"/>
      <c r="R295" s="423"/>
      <c r="S295" s="423"/>
      <c r="T295" s="423"/>
      <c r="U295" s="423"/>
      <c r="V295" s="423"/>
      <c r="W295" s="423"/>
      <c r="X295" s="423"/>
      <c r="Y295" s="423"/>
      <c r="Z295" s="423"/>
      <c r="AA295" s="423"/>
      <c r="AB295" s="423"/>
      <c r="AC295" s="423"/>
      <c r="AD295" s="423"/>
      <c r="AE295" s="423"/>
      <c r="AF295" s="423"/>
      <c r="AG295" s="423"/>
      <c r="AH295" s="423"/>
      <c r="AI295" s="423"/>
      <c r="AJ295" s="423"/>
      <c r="AK295" s="423"/>
    </row>
    <row r="296" ht="15.75" customHeight="1">
      <c r="A296" s="423"/>
      <c r="B296" s="423"/>
      <c r="C296" s="423"/>
      <c r="D296" s="428"/>
      <c r="E296" s="425"/>
      <c r="F296" s="425"/>
      <c r="G296" s="425"/>
      <c r="H296" s="425"/>
      <c r="I296" s="425"/>
      <c r="J296" s="425"/>
      <c r="K296" s="425"/>
      <c r="L296" s="425"/>
      <c r="M296" s="425"/>
      <c r="N296" s="425"/>
      <c r="O296" s="425"/>
      <c r="P296" s="425"/>
      <c r="Q296" s="423"/>
      <c r="R296" s="423"/>
      <c r="S296" s="423"/>
      <c r="T296" s="423"/>
      <c r="U296" s="423"/>
      <c r="V296" s="423"/>
      <c r="W296" s="423"/>
      <c r="X296" s="423"/>
      <c r="Y296" s="423"/>
      <c r="Z296" s="423"/>
      <c r="AA296" s="423"/>
      <c r="AB296" s="423"/>
      <c r="AC296" s="423"/>
      <c r="AD296" s="423"/>
      <c r="AE296" s="423"/>
      <c r="AF296" s="423"/>
      <c r="AG296" s="423"/>
      <c r="AH296" s="423"/>
      <c r="AI296" s="423"/>
      <c r="AJ296" s="423"/>
      <c r="AK296" s="423"/>
    </row>
    <row r="297" ht="15.75" customHeight="1">
      <c r="A297" s="423"/>
      <c r="B297" s="423"/>
      <c r="C297" s="423"/>
      <c r="D297" s="428"/>
      <c r="E297" s="425"/>
      <c r="F297" s="425"/>
      <c r="G297" s="425"/>
      <c r="H297" s="425"/>
      <c r="I297" s="425"/>
      <c r="J297" s="425"/>
      <c r="K297" s="425"/>
      <c r="L297" s="425"/>
      <c r="M297" s="425"/>
      <c r="N297" s="425"/>
      <c r="O297" s="425"/>
      <c r="P297" s="425"/>
      <c r="Q297" s="423"/>
      <c r="R297" s="423"/>
      <c r="S297" s="423"/>
      <c r="T297" s="423"/>
      <c r="U297" s="423"/>
      <c r="V297" s="423"/>
      <c r="W297" s="423"/>
      <c r="X297" s="423"/>
      <c r="Y297" s="423"/>
      <c r="Z297" s="423"/>
      <c r="AA297" s="423"/>
      <c r="AB297" s="423"/>
      <c r="AC297" s="423"/>
      <c r="AD297" s="423"/>
      <c r="AE297" s="423"/>
      <c r="AF297" s="423"/>
      <c r="AG297" s="423"/>
      <c r="AH297" s="423"/>
      <c r="AI297" s="423"/>
      <c r="AJ297" s="423"/>
      <c r="AK297" s="423"/>
    </row>
    <row r="298" ht="15.75" customHeight="1">
      <c r="A298" s="423"/>
      <c r="B298" s="423"/>
      <c r="C298" s="423"/>
      <c r="D298" s="428"/>
      <c r="E298" s="425"/>
      <c r="F298" s="425"/>
      <c r="G298" s="425"/>
      <c r="H298" s="425"/>
      <c r="I298" s="425"/>
      <c r="J298" s="425"/>
      <c r="K298" s="425"/>
      <c r="L298" s="425"/>
      <c r="M298" s="425"/>
      <c r="N298" s="425"/>
      <c r="O298" s="425"/>
      <c r="P298" s="425"/>
      <c r="Q298" s="423"/>
      <c r="R298" s="423"/>
      <c r="S298" s="423"/>
      <c r="T298" s="423"/>
      <c r="U298" s="423"/>
      <c r="V298" s="423"/>
      <c r="W298" s="423"/>
      <c r="X298" s="423"/>
      <c r="Y298" s="423"/>
      <c r="Z298" s="423"/>
      <c r="AA298" s="423"/>
      <c r="AB298" s="423"/>
      <c r="AC298" s="423"/>
      <c r="AD298" s="423"/>
      <c r="AE298" s="423"/>
      <c r="AF298" s="423"/>
      <c r="AG298" s="423"/>
      <c r="AH298" s="423"/>
      <c r="AI298" s="423"/>
      <c r="AJ298" s="423"/>
      <c r="AK298" s="423"/>
    </row>
    <row r="299" ht="15.75" customHeight="1">
      <c r="A299" s="423"/>
      <c r="B299" s="423"/>
      <c r="C299" s="423"/>
      <c r="D299" s="428"/>
      <c r="E299" s="425"/>
      <c r="F299" s="425"/>
      <c r="G299" s="425"/>
      <c r="H299" s="425"/>
      <c r="I299" s="425"/>
      <c r="J299" s="425"/>
      <c r="K299" s="425"/>
      <c r="L299" s="425"/>
      <c r="M299" s="425"/>
      <c r="N299" s="425"/>
      <c r="O299" s="425"/>
      <c r="P299" s="425"/>
      <c r="Q299" s="423"/>
      <c r="R299" s="423"/>
      <c r="S299" s="423"/>
      <c r="T299" s="423"/>
      <c r="U299" s="423"/>
      <c r="V299" s="423"/>
      <c r="W299" s="423"/>
      <c r="X299" s="423"/>
      <c r="Y299" s="423"/>
      <c r="Z299" s="423"/>
      <c r="AA299" s="423"/>
      <c r="AB299" s="423"/>
      <c r="AC299" s="423"/>
      <c r="AD299" s="423"/>
      <c r="AE299" s="423"/>
      <c r="AF299" s="423"/>
      <c r="AG299" s="423"/>
      <c r="AH299" s="423"/>
      <c r="AI299" s="423"/>
      <c r="AJ299" s="423"/>
      <c r="AK299" s="423"/>
    </row>
    <row r="300" ht="15.75" customHeight="1">
      <c r="A300" s="423"/>
      <c r="B300" s="423"/>
      <c r="C300" s="423"/>
      <c r="D300" s="428"/>
      <c r="E300" s="425"/>
      <c r="F300" s="425"/>
      <c r="G300" s="425"/>
      <c r="H300" s="425"/>
      <c r="I300" s="425"/>
      <c r="J300" s="425"/>
      <c r="K300" s="425"/>
      <c r="L300" s="425"/>
      <c r="M300" s="425"/>
      <c r="N300" s="425"/>
      <c r="O300" s="425"/>
      <c r="P300" s="425"/>
      <c r="Q300" s="423"/>
      <c r="R300" s="423"/>
      <c r="S300" s="423"/>
      <c r="T300" s="423"/>
      <c r="U300" s="423"/>
      <c r="V300" s="423"/>
      <c r="W300" s="423"/>
      <c r="X300" s="423"/>
      <c r="Y300" s="423"/>
      <c r="Z300" s="423"/>
      <c r="AA300" s="423"/>
      <c r="AB300" s="423"/>
      <c r="AC300" s="423"/>
      <c r="AD300" s="423"/>
      <c r="AE300" s="423"/>
      <c r="AF300" s="423"/>
      <c r="AG300" s="423"/>
      <c r="AH300" s="423"/>
      <c r="AI300" s="423"/>
      <c r="AJ300" s="423"/>
      <c r="AK300" s="423"/>
    </row>
    <row r="301" ht="15.75" customHeight="1">
      <c r="A301" s="423"/>
      <c r="B301" s="423"/>
      <c r="C301" s="423"/>
      <c r="D301" s="428"/>
      <c r="E301" s="425"/>
      <c r="F301" s="425"/>
      <c r="G301" s="425"/>
      <c r="H301" s="425"/>
      <c r="I301" s="425"/>
      <c r="J301" s="425"/>
      <c r="K301" s="425"/>
      <c r="L301" s="425"/>
      <c r="M301" s="425"/>
      <c r="N301" s="425"/>
      <c r="O301" s="425"/>
      <c r="P301" s="425"/>
      <c r="Q301" s="423"/>
      <c r="R301" s="423"/>
      <c r="S301" s="423"/>
      <c r="T301" s="423"/>
      <c r="U301" s="423"/>
      <c r="V301" s="423"/>
      <c r="W301" s="423"/>
      <c r="X301" s="423"/>
      <c r="Y301" s="423"/>
      <c r="Z301" s="423"/>
      <c r="AA301" s="423"/>
      <c r="AB301" s="423"/>
      <c r="AC301" s="423"/>
      <c r="AD301" s="423"/>
      <c r="AE301" s="423"/>
      <c r="AF301" s="423"/>
      <c r="AG301" s="423"/>
      <c r="AH301" s="423"/>
      <c r="AI301" s="423"/>
      <c r="AJ301" s="423"/>
      <c r="AK301" s="423"/>
    </row>
    <row r="302" ht="15.75" customHeight="1">
      <c r="A302" s="423"/>
      <c r="B302" s="423"/>
      <c r="C302" s="423"/>
      <c r="D302" s="428"/>
      <c r="E302" s="425"/>
      <c r="F302" s="425"/>
      <c r="G302" s="425"/>
      <c r="H302" s="425"/>
      <c r="I302" s="425"/>
      <c r="J302" s="425"/>
      <c r="K302" s="425"/>
      <c r="L302" s="425"/>
      <c r="M302" s="425"/>
      <c r="N302" s="425"/>
      <c r="O302" s="425"/>
      <c r="P302" s="425"/>
      <c r="Q302" s="423"/>
      <c r="R302" s="423"/>
      <c r="S302" s="423"/>
      <c r="T302" s="423"/>
      <c r="U302" s="423"/>
      <c r="V302" s="423"/>
      <c r="W302" s="423"/>
      <c r="X302" s="423"/>
      <c r="Y302" s="423"/>
      <c r="Z302" s="423"/>
      <c r="AA302" s="423"/>
      <c r="AB302" s="423"/>
      <c r="AC302" s="423"/>
      <c r="AD302" s="423"/>
      <c r="AE302" s="423"/>
      <c r="AF302" s="423"/>
      <c r="AG302" s="423"/>
      <c r="AH302" s="423"/>
      <c r="AI302" s="423"/>
      <c r="AJ302" s="423"/>
      <c r="AK302" s="423"/>
    </row>
    <row r="303" ht="15.75" customHeight="1">
      <c r="A303" s="423"/>
      <c r="B303" s="423"/>
      <c r="C303" s="423"/>
      <c r="D303" s="428"/>
      <c r="E303" s="425"/>
      <c r="F303" s="425"/>
      <c r="G303" s="425"/>
      <c r="H303" s="425"/>
      <c r="I303" s="425"/>
      <c r="J303" s="425"/>
      <c r="K303" s="425"/>
      <c r="L303" s="425"/>
      <c r="M303" s="425"/>
      <c r="N303" s="425"/>
      <c r="O303" s="425"/>
      <c r="P303" s="425"/>
      <c r="Q303" s="423"/>
      <c r="R303" s="423"/>
      <c r="S303" s="423"/>
      <c r="T303" s="423"/>
      <c r="U303" s="423"/>
      <c r="V303" s="423"/>
      <c r="W303" s="423"/>
      <c r="X303" s="423"/>
      <c r="Y303" s="423"/>
      <c r="Z303" s="423"/>
      <c r="AA303" s="423"/>
      <c r="AB303" s="423"/>
      <c r="AC303" s="423"/>
      <c r="AD303" s="423"/>
      <c r="AE303" s="423"/>
      <c r="AF303" s="423"/>
      <c r="AG303" s="423"/>
      <c r="AH303" s="423"/>
      <c r="AI303" s="423"/>
      <c r="AJ303" s="423"/>
      <c r="AK303" s="423"/>
    </row>
    <row r="304" ht="15.75" customHeight="1">
      <c r="A304" s="423"/>
      <c r="B304" s="423"/>
      <c r="C304" s="423"/>
      <c r="D304" s="428"/>
      <c r="E304" s="425"/>
      <c r="F304" s="425"/>
      <c r="G304" s="425"/>
      <c r="H304" s="425"/>
      <c r="I304" s="425"/>
      <c r="J304" s="425"/>
      <c r="K304" s="425"/>
      <c r="L304" s="425"/>
      <c r="M304" s="425"/>
      <c r="N304" s="425"/>
      <c r="O304" s="425"/>
      <c r="P304" s="425"/>
      <c r="Q304" s="423"/>
      <c r="R304" s="423"/>
      <c r="S304" s="423"/>
      <c r="T304" s="423"/>
      <c r="U304" s="423"/>
      <c r="V304" s="423"/>
      <c r="W304" s="423"/>
      <c r="X304" s="423"/>
      <c r="Y304" s="423"/>
      <c r="Z304" s="423"/>
      <c r="AA304" s="423"/>
      <c r="AB304" s="423"/>
      <c r="AC304" s="423"/>
      <c r="AD304" s="423"/>
      <c r="AE304" s="423"/>
      <c r="AF304" s="423"/>
      <c r="AG304" s="423"/>
      <c r="AH304" s="423"/>
      <c r="AI304" s="423"/>
      <c r="AJ304" s="423"/>
      <c r="AK304" s="423"/>
    </row>
    <row r="305" ht="15.75" customHeight="1">
      <c r="A305" s="423"/>
      <c r="B305" s="423"/>
      <c r="C305" s="423"/>
      <c r="D305" s="428"/>
      <c r="E305" s="425"/>
      <c r="F305" s="425"/>
      <c r="G305" s="425"/>
      <c r="H305" s="425"/>
      <c r="I305" s="425"/>
      <c r="J305" s="425"/>
      <c r="K305" s="425"/>
      <c r="L305" s="425"/>
      <c r="M305" s="425"/>
      <c r="N305" s="425"/>
      <c r="O305" s="425"/>
      <c r="P305" s="425"/>
      <c r="Q305" s="423"/>
      <c r="R305" s="423"/>
      <c r="S305" s="423"/>
      <c r="T305" s="423"/>
      <c r="U305" s="423"/>
      <c r="V305" s="423"/>
      <c r="W305" s="423"/>
      <c r="X305" s="423"/>
      <c r="Y305" s="423"/>
      <c r="Z305" s="423"/>
      <c r="AA305" s="423"/>
      <c r="AB305" s="423"/>
      <c r="AC305" s="423"/>
      <c r="AD305" s="423"/>
      <c r="AE305" s="423"/>
      <c r="AF305" s="423"/>
      <c r="AG305" s="423"/>
      <c r="AH305" s="423"/>
      <c r="AI305" s="423"/>
      <c r="AJ305" s="423"/>
      <c r="AK305" s="423"/>
    </row>
    <row r="306" ht="15.75" customHeight="1">
      <c r="A306" s="423"/>
      <c r="B306" s="423"/>
      <c r="C306" s="423"/>
      <c r="D306" s="428"/>
      <c r="E306" s="425"/>
      <c r="F306" s="425"/>
      <c r="G306" s="425"/>
      <c r="H306" s="425"/>
      <c r="I306" s="425"/>
      <c r="J306" s="425"/>
      <c r="K306" s="425"/>
      <c r="L306" s="425"/>
      <c r="M306" s="425"/>
      <c r="N306" s="425"/>
      <c r="O306" s="425"/>
      <c r="P306" s="425"/>
      <c r="Q306" s="423"/>
      <c r="R306" s="423"/>
      <c r="S306" s="423"/>
      <c r="T306" s="423"/>
      <c r="U306" s="423"/>
      <c r="V306" s="423"/>
      <c r="W306" s="423"/>
      <c r="X306" s="423"/>
      <c r="Y306" s="423"/>
      <c r="Z306" s="423"/>
      <c r="AA306" s="423"/>
      <c r="AB306" s="423"/>
      <c r="AC306" s="423"/>
      <c r="AD306" s="423"/>
      <c r="AE306" s="423"/>
      <c r="AF306" s="423"/>
      <c r="AG306" s="423"/>
      <c r="AH306" s="423"/>
      <c r="AI306" s="423"/>
      <c r="AJ306" s="423"/>
      <c r="AK306" s="423"/>
    </row>
    <row r="307" ht="15.75" customHeight="1">
      <c r="A307" s="423"/>
      <c r="B307" s="423"/>
      <c r="C307" s="423"/>
      <c r="D307" s="428"/>
      <c r="E307" s="425"/>
      <c r="F307" s="425"/>
      <c r="G307" s="425"/>
      <c r="H307" s="425"/>
      <c r="I307" s="425"/>
      <c r="J307" s="425"/>
      <c r="K307" s="425"/>
      <c r="L307" s="425"/>
      <c r="M307" s="425"/>
      <c r="N307" s="425"/>
      <c r="O307" s="425"/>
      <c r="P307" s="425"/>
      <c r="Q307" s="423"/>
      <c r="R307" s="423"/>
      <c r="S307" s="423"/>
      <c r="T307" s="423"/>
      <c r="U307" s="423"/>
      <c r="V307" s="423"/>
      <c r="W307" s="423"/>
      <c r="X307" s="423"/>
      <c r="Y307" s="423"/>
      <c r="Z307" s="423"/>
      <c r="AA307" s="423"/>
      <c r="AB307" s="423"/>
      <c r="AC307" s="423"/>
      <c r="AD307" s="423"/>
      <c r="AE307" s="423"/>
      <c r="AF307" s="423"/>
      <c r="AG307" s="423"/>
      <c r="AH307" s="423"/>
      <c r="AI307" s="423"/>
      <c r="AJ307" s="423"/>
      <c r="AK307" s="423"/>
    </row>
    <row r="308" ht="15.75" customHeight="1">
      <c r="A308" s="423"/>
      <c r="B308" s="423"/>
      <c r="C308" s="423"/>
      <c r="D308" s="428"/>
      <c r="E308" s="425"/>
      <c r="F308" s="425"/>
      <c r="G308" s="425"/>
      <c r="H308" s="425"/>
      <c r="I308" s="425"/>
      <c r="J308" s="425"/>
      <c r="K308" s="425"/>
      <c r="L308" s="425"/>
      <c r="M308" s="425"/>
      <c r="N308" s="425"/>
      <c r="O308" s="425"/>
      <c r="P308" s="425"/>
      <c r="Q308" s="423"/>
      <c r="R308" s="423"/>
      <c r="S308" s="423"/>
      <c r="T308" s="423"/>
      <c r="U308" s="423"/>
      <c r="V308" s="423"/>
      <c r="W308" s="423"/>
      <c r="X308" s="423"/>
      <c r="Y308" s="423"/>
      <c r="Z308" s="423"/>
      <c r="AA308" s="423"/>
      <c r="AB308" s="423"/>
      <c r="AC308" s="423"/>
      <c r="AD308" s="423"/>
      <c r="AE308" s="423"/>
      <c r="AF308" s="423"/>
      <c r="AG308" s="423"/>
      <c r="AH308" s="423"/>
      <c r="AI308" s="423"/>
      <c r="AJ308" s="423"/>
      <c r="AK308" s="423"/>
    </row>
    <row r="309" ht="15.75" customHeight="1">
      <c r="A309" s="423"/>
      <c r="B309" s="423"/>
      <c r="C309" s="423"/>
      <c r="D309" s="428"/>
      <c r="E309" s="425"/>
      <c r="F309" s="425"/>
      <c r="G309" s="425"/>
      <c r="H309" s="425"/>
      <c r="I309" s="425"/>
      <c r="J309" s="425"/>
      <c r="K309" s="425"/>
      <c r="L309" s="425"/>
      <c r="M309" s="425"/>
      <c r="N309" s="425"/>
      <c r="O309" s="425"/>
      <c r="P309" s="425"/>
      <c r="Q309" s="423"/>
      <c r="R309" s="423"/>
      <c r="S309" s="423"/>
      <c r="T309" s="423"/>
      <c r="U309" s="423"/>
      <c r="V309" s="423"/>
      <c r="W309" s="423"/>
      <c r="X309" s="423"/>
      <c r="Y309" s="423"/>
      <c r="Z309" s="423"/>
      <c r="AA309" s="423"/>
      <c r="AB309" s="423"/>
      <c r="AC309" s="423"/>
      <c r="AD309" s="423"/>
      <c r="AE309" s="423"/>
      <c r="AF309" s="423"/>
      <c r="AG309" s="423"/>
      <c r="AH309" s="423"/>
      <c r="AI309" s="423"/>
      <c r="AJ309" s="423"/>
      <c r="AK309" s="423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9.14"/>
    <col customWidth="1" min="3" max="3" width="12.57"/>
    <col customWidth="1" min="4" max="4" width="53.57"/>
    <col customWidth="1" min="5" max="5" width="16.86"/>
    <col customWidth="1" min="6" max="6" width="12.57"/>
    <col customWidth="1" min="7" max="7" width="15.71"/>
    <col customWidth="1" min="8" max="8" width="12.57"/>
    <col customWidth="1" min="9" max="9" width="14.71"/>
    <col customWidth="1" min="10" max="27" width="12.57"/>
  </cols>
  <sheetData>
    <row r="1" ht="15.75" customHeight="1">
      <c r="A1" s="438"/>
      <c r="B1" s="438" t="s">
        <v>240</v>
      </c>
      <c r="C1" s="438" t="s">
        <v>407</v>
      </c>
      <c r="D1" s="438" t="s">
        <v>162</v>
      </c>
      <c r="E1" s="438" t="s">
        <v>408</v>
      </c>
      <c r="F1" s="438" t="s">
        <v>409</v>
      </c>
      <c r="G1" s="439" t="s">
        <v>410</v>
      </c>
      <c r="H1" s="438" t="s">
        <v>411</v>
      </c>
      <c r="I1" s="438" t="s">
        <v>246</v>
      </c>
      <c r="J1" s="438" t="s">
        <v>247</v>
      </c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</row>
    <row r="2" ht="15.75" customHeight="1">
      <c r="A2" s="438" t="s">
        <v>178</v>
      </c>
      <c r="B2" s="440">
        <v>8.809750465464E12</v>
      </c>
      <c r="C2" s="440">
        <v>7.2530479E8</v>
      </c>
      <c r="D2" s="440" t="s">
        <v>412</v>
      </c>
      <c r="E2" s="440">
        <v>865703.0</v>
      </c>
      <c r="F2" s="440">
        <v>483.0</v>
      </c>
      <c r="G2" s="435" t="s">
        <v>413</v>
      </c>
      <c r="H2" s="440">
        <v>1792.0</v>
      </c>
      <c r="I2" s="440">
        <v>569.0</v>
      </c>
      <c r="J2" s="440">
        <v>99.1</v>
      </c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440"/>
      <c r="AA2" s="440"/>
    </row>
    <row r="3" ht="15.75" customHeight="1">
      <c r="A3" s="440"/>
      <c r="B3" s="440">
        <v>8.809782557861E12</v>
      </c>
      <c r="C3" s="440">
        <v>5.00447707E8</v>
      </c>
      <c r="D3" s="440" t="s">
        <v>414</v>
      </c>
      <c r="E3" s="440">
        <v>782494.0</v>
      </c>
      <c r="F3" s="440">
        <v>600.0</v>
      </c>
      <c r="G3" s="435" t="s">
        <v>415</v>
      </c>
      <c r="H3" s="440">
        <v>1304.0</v>
      </c>
      <c r="I3" s="440">
        <v>561.0</v>
      </c>
      <c r="J3" s="440">
        <v>39.3</v>
      </c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</row>
    <row r="4" ht="15.75" customHeight="1">
      <c r="A4" s="440"/>
      <c r="B4" s="440">
        <v>8.809743544626E12</v>
      </c>
      <c r="C4" s="440">
        <v>1.55950134E8</v>
      </c>
      <c r="D4" s="440" t="s">
        <v>416</v>
      </c>
      <c r="E4" s="440">
        <v>654800.0</v>
      </c>
      <c r="F4" s="440">
        <v>422.0</v>
      </c>
      <c r="G4" s="435" t="s">
        <v>417</v>
      </c>
      <c r="H4" s="440">
        <v>1552.0</v>
      </c>
      <c r="I4" s="440">
        <v>720.0</v>
      </c>
      <c r="J4" s="440">
        <v>33.4</v>
      </c>
      <c r="K4" s="440"/>
      <c r="L4" s="440"/>
      <c r="M4" s="440"/>
      <c r="N4" s="440"/>
      <c r="O4" s="440"/>
      <c r="P4" s="440"/>
      <c r="Q4" s="440"/>
      <c r="R4" s="440"/>
      <c r="S4" s="440"/>
      <c r="T4" s="440"/>
      <c r="U4" s="440"/>
      <c r="V4" s="440"/>
      <c r="W4" s="440"/>
      <c r="X4" s="440"/>
      <c r="Y4" s="440"/>
      <c r="Z4" s="440"/>
      <c r="AA4" s="440"/>
    </row>
    <row r="5" ht="15.75" customHeight="1">
      <c r="A5" s="440"/>
      <c r="B5" s="440">
        <v>8.809686386185E12</v>
      </c>
      <c r="C5" s="440">
        <v>1.55923673E8</v>
      </c>
      <c r="D5" s="440" t="s">
        <v>418</v>
      </c>
      <c r="E5" s="440">
        <v>557463.0</v>
      </c>
      <c r="F5" s="440">
        <v>331.0</v>
      </c>
      <c r="G5" s="441" t="s">
        <v>419</v>
      </c>
      <c r="H5" s="440">
        <v>1684.0</v>
      </c>
      <c r="I5" s="440">
        <v>841.0</v>
      </c>
      <c r="J5" s="440">
        <v>25.5</v>
      </c>
      <c r="K5" s="440"/>
      <c r="L5" s="440"/>
      <c r="M5" s="440"/>
      <c r="N5" s="440"/>
      <c r="O5" s="440"/>
      <c r="P5" s="440"/>
      <c r="Q5" s="440"/>
      <c r="R5" s="440"/>
      <c r="S5" s="440"/>
      <c r="T5" s="440"/>
      <c r="U5" s="440"/>
      <c r="V5" s="440"/>
      <c r="W5" s="440"/>
      <c r="X5" s="440"/>
      <c r="Y5" s="440"/>
      <c r="Z5" s="440"/>
      <c r="AA5" s="440"/>
    </row>
    <row r="6" ht="15.75" customHeight="1">
      <c r="A6" s="440"/>
      <c r="B6" s="440">
        <v>8.80974354688E12</v>
      </c>
      <c r="C6" s="440">
        <v>2.40483875E8</v>
      </c>
      <c r="D6" s="440" t="s">
        <v>420</v>
      </c>
      <c r="E6" s="440">
        <v>495886.0</v>
      </c>
      <c r="F6" s="440">
        <v>288.0</v>
      </c>
      <c r="G6" s="441" t="s">
        <v>421</v>
      </c>
      <c r="H6" s="440">
        <v>1722.0</v>
      </c>
      <c r="I6" s="440">
        <v>630.0</v>
      </c>
      <c r="J6" s="440">
        <v>71.8</v>
      </c>
      <c r="K6" s="440"/>
      <c r="L6" s="440"/>
      <c r="M6" s="440"/>
      <c r="N6" s="440"/>
      <c r="O6" s="440"/>
      <c r="P6" s="440"/>
      <c r="Q6" s="440"/>
      <c r="R6" s="440"/>
      <c r="S6" s="440"/>
      <c r="T6" s="440"/>
      <c r="U6" s="440"/>
      <c r="V6" s="440"/>
      <c r="W6" s="440"/>
      <c r="X6" s="440"/>
      <c r="Y6" s="440"/>
      <c r="Z6" s="440"/>
      <c r="AA6" s="440"/>
    </row>
    <row r="7" ht="15.75" customHeight="1">
      <c r="A7" s="440"/>
      <c r="B7" s="440">
        <v>8.800296551789E12</v>
      </c>
      <c r="C7" s="440">
        <v>7.25304781E8</v>
      </c>
      <c r="D7" s="440" t="s">
        <v>422</v>
      </c>
      <c r="E7" s="440">
        <v>347524.0</v>
      </c>
      <c r="F7" s="440">
        <v>275.0</v>
      </c>
      <c r="G7" s="435"/>
      <c r="H7" s="440">
        <v>1277.0</v>
      </c>
      <c r="I7" s="440">
        <v>477.0</v>
      </c>
      <c r="J7" s="440">
        <v>59.8</v>
      </c>
      <c r="K7" s="440"/>
      <c r="L7" s="440"/>
      <c r="M7" s="440"/>
      <c r="N7" s="440"/>
      <c r="O7" s="440"/>
      <c r="P7" s="440"/>
      <c r="Q7" s="440"/>
      <c r="R7" s="440"/>
      <c r="S7" s="440"/>
      <c r="T7" s="440"/>
      <c r="U7" s="440"/>
      <c r="V7" s="440"/>
      <c r="W7" s="440"/>
      <c r="X7" s="440"/>
      <c r="Y7" s="440"/>
      <c r="Z7" s="440"/>
      <c r="AA7" s="440"/>
    </row>
    <row r="8" ht="15.75" customHeight="1">
      <c r="A8" s="440"/>
      <c r="B8" s="440">
        <v>8.809463992707E12</v>
      </c>
      <c r="C8" s="440">
        <v>2.63728848E8</v>
      </c>
      <c r="D8" s="440" t="s">
        <v>423</v>
      </c>
      <c r="E8" s="440">
        <v>307437.0</v>
      </c>
      <c r="F8" s="440">
        <v>257.0</v>
      </c>
      <c r="G8" s="435"/>
      <c r="H8" s="440">
        <v>1196.0</v>
      </c>
      <c r="I8" s="440">
        <v>535.0</v>
      </c>
      <c r="J8" s="440">
        <v>31.6</v>
      </c>
      <c r="K8" s="440"/>
      <c r="L8" s="440"/>
      <c r="M8" s="440"/>
      <c r="N8" s="440"/>
      <c r="O8" s="440"/>
      <c r="P8" s="440"/>
      <c r="Q8" s="440"/>
      <c r="R8" s="440"/>
      <c r="S8" s="440"/>
      <c r="T8" s="440"/>
      <c r="U8" s="440"/>
      <c r="V8" s="440"/>
      <c r="W8" s="440"/>
      <c r="X8" s="440"/>
      <c r="Y8" s="440"/>
      <c r="Z8" s="440"/>
      <c r="AA8" s="440"/>
    </row>
    <row r="9" ht="15.75" customHeight="1">
      <c r="A9" s="440"/>
      <c r="B9" s="440">
        <v>8.809783324097E12</v>
      </c>
      <c r="C9" s="440">
        <v>2.6373207E8</v>
      </c>
      <c r="D9" s="440" t="s">
        <v>424</v>
      </c>
      <c r="E9" s="440">
        <v>298058.0</v>
      </c>
      <c r="F9" s="440">
        <v>231.0</v>
      </c>
      <c r="G9" s="435"/>
      <c r="H9" s="440">
        <v>1290.0</v>
      </c>
      <c r="I9" s="440">
        <v>405.0</v>
      </c>
      <c r="J9" s="440">
        <v>90.5</v>
      </c>
      <c r="K9" s="440"/>
      <c r="L9" s="440"/>
      <c r="M9" s="440"/>
      <c r="N9" s="440"/>
      <c r="O9" s="440"/>
      <c r="P9" s="440"/>
      <c r="Q9" s="440"/>
      <c r="R9" s="440"/>
      <c r="S9" s="440"/>
      <c r="T9" s="440"/>
      <c r="U9" s="440"/>
      <c r="V9" s="440"/>
      <c r="W9" s="440"/>
      <c r="X9" s="440"/>
      <c r="Y9" s="440"/>
      <c r="Z9" s="440"/>
      <c r="AA9" s="440"/>
    </row>
    <row r="10" ht="15.75" customHeight="1">
      <c r="A10" s="440"/>
      <c r="B10" s="440">
        <v>8.809782559018E12</v>
      </c>
      <c r="C10" s="440">
        <v>1.55960513E8</v>
      </c>
      <c r="D10" s="440" t="s">
        <v>425</v>
      </c>
      <c r="E10" s="440">
        <v>280753.0</v>
      </c>
      <c r="F10" s="440">
        <v>207.0</v>
      </c>
      <c r="G10" s="435"/>
      <c r="H10" s="440">
        <v>1351.0</v>
      </c>
      <c r="I10" s="440">
        <v>531.0</v>
      </c>
      <c r="J10" s="440">
        <v>53.6</v>
      </c>
      <c r="K10" s="440"/>
      <c r="L10" s="440"/>
      <c r="M10" s="440"/>
      <c r="N10" s="440"/>
      <c r="O10" s="440"/>
      <c r="P10" s="440"/>
      <c r="Q10" s="440"/>
      <c r="R10" s="440"/>
      <c r="S10" s="440"/>
      <c r="T10" s="440"/>
      <c r="U10" s="440"/>
      <c r="V10" s="440"/>
      <c r="W10" s="440"/>
      <c r="X10" s="440"/>
      <c r="Y10" s="440"/>
      <c r="Z10" s="440"/>
      <c r="AA10" s="440"/>
    </row>
    <row r="11" ht="15.75" customHeight="1">
      <c r="A11" s="440"/>
      <c r="B11" s="440">
        <v>8.809463993889E12</v>
      </c>
      <c r="C11" s="440">
        <v>4.49868774E8</v>
      </c>
      <c r="D11" s="440" t="s">
        <v>426</v>
      </c>
      <c r="E11" s="440">
        <v>271968.0</v>
      </c>
      <c r="F11" s="440">
        <v>175.0</v>
      </c>
      <c r="G11" s="435"/>
      <c r="H11" s="440">
        <v>1554.0</v>
      </c>
      <c r="I11" s="440">
        <v>711.0</v>
      </c>
      <c r="J11" s="440">
        <v>35.3</v>
      </c>
      <c r="K11" s="440"/>
      <c r="L11" s="440"/>
      <c r="M11" s="440"/>
      <c r="N11" s="440"/>
      <c r="O11" s="440"/>
      <c r="P11" s="440"/>
      <c r="Q11" s="440"/>
      <c r="R11" s="440"/>
      <c r="S11" s="440"/>
      <c r="T11" s="440"/>
      <c r="U11" s="440"/>
      <c r="V11" s="440"/>
      <c r="W11" s="440"/>
      <c r="X11" s="440"/>
      <c r="Y11" s="440"/>
      <c r="Z11" s="440"/>
      <c r="AA11" s="440"/>
    </row>
    <row r="12" ht="15.75" customHeight="1">
      <c r="A12" s="440"/>
      <c r="B12" s="440">
        <v>8.809606850499E12</v>
      </c>
      <c r="C12" s="440">
        <v>2.63714947E8</v>
      </c>
      <c r="D12" s="440" t="s">
        <v>427</v>
      </c>
      <c r="E12" s="440">
        <v>271194.0</v>
      </c>
      <c r="F12" s="440">
        <v>139.0</v>
      </c>
      <c r="G12" s="435"/>
      <c r="H12" s="440">
        <v>1851.0</v>
      </c>
      <c r="I12" s="440">
        <v>664.0</v>
      </c>
      <c r="J12" s="440">
        <v>77.0</v>
      </c>
      <c r="K12" s="440"/>
      <c r="L12" s="440"/>
      <c r="M12" s="440"/>
      <c r="N12" s="440"/>
      <c r="O12" s="440"/>
      <c r="P12" s="440"/>
      <c r="Q12" s="440"/>
      <c r="R12" s="440"/>
      <c r="S12" s="440"/>
      <c r="T12" s="440"/>
      <c r="U12" s="440"/>
      <c r="V12" s="440"/>
      <c r="W12" s="440"/>
      <c r="X12" s="440"/>
      <c r="Y12" s="440"/>
      <c r="Z12" s="440"/>
      <c r="AA12" s="440"/>
    </row>
    <row r="13" ht="15.75" customHeight="1">
      <c r="A13" s="440"/>
      <c r="B13" s="440">
        <v>8.809954940354E12</v>
      </c>
      <c r="C13" s="440">
        <v>2.08521578E8</v>
      </c>
      <c r="D13" s="440" t="s">
        <v>428</v>
      </c>
      <c r="E13" s="440">
        <v>263372.0</v>
      </c>
      <c r="F13" s="440">
        <v>205.0</v>
      </c>
      <c r="G13" s="435"/>
      <c r="H13" s="440">
        <v>1288.0</v>
      </c>
      <c r="I13" s="440">
        <v>540.0</v>
      </c>
      <c r="J13" s="440">
        <v>42.6</v>
      </c>
      <c r="K13" s="440"/>
      <c r="L13" s="440"/>
      <c r="M13" s="440"/>
      <c r="N13" s="440"/>
      <c r="O13" s="440"/>
      <c r="P13" s="440"/>
      <c r="Q13" s="440"/>
      <c r="R13" s="440"/>
      <c r="S13" s="440"/>
      <c r="T13" s="440"/>
      <c r="U13" s="440"/>
      <c r="V13" s="440"/>
      <c r="W13" s="440"/>
      <c r="X13" s="440"/>
      <c r="Y13" s="440"/>
      <c r="Z13" s="440"/>
      <c r="AA13" s="440"/>
    </row>
    <row r="14" ht="15.75" customHeight="1">
      <c r="A14" s="440"/>
      <c r="B14" s="440">
        <v>8.809626564E12</v>
      </c>
      <c r="C14" s="440">
        <v>2.63735354E8</v>
      </c>
      <c r="D14" s="440" t="s">
        <v>429</v>
      </c>
      <c r="E14" s="440">
        <v>234783.0</v>
      </c>
      <c r="F14" s="440">
        <v>247.0</v>
      </c>
      <c r="G14" s="435"/>
      <c r="H14" s="440">
        <v>951.0</v>
      </c>
      <c r="I14" s="440">
        <v>426.0</v>
      </c>
      <c r="J14" s="440">
        <v>23.9</v>
      </c>
      <c r="K14" s="440"/>
      <c r="L14" s="440"/>
      <c r="M14" s="440"/>
      <c r="N14" s="440"/>
      <c r="O14" s="440"/>
      <c r="P14" s="440"/>
      <c r="Q14" s="440"/>
      <c r="R14" s="440"/>
      <c r="S14" s="440"/>
      <c r="T14" s="440"/>
      <c r="U14" s="440"/>
      <c r="V14" s="440"/>
      <c r="W14" s="440"/>
      <c r="X14" s="440"/>
      <c r="Y14" s="440"/>
      <c r="Z14" s="440"/>
      <c r="AA14" s="440"/>
    </row>
    <row r="15" ht="15.75" customHeight="1">
      <c r="A15" s="440"/>
      <c r="B15" s="440">
        <v>8.809975194439E12</v>
      </c>
      <c r="C15" s="440">
        <v>1.5594714E8</v>
      </c>
      <c r="D15" s="440" t="s">
        <v>430</v>
      </c>
      <c r="E15" s="440">
        <v>226922.0</v>
      </c>
      <c r="F15" s="440">
        <v>166.0</v>
      </c>
      <c r="G15" s="435"/>
      <c r="H15" s="440">
        <v>1367.0</v>
      </c>
      <c r="I15" s="440">
        <v>342.0</v>
      </c>
      <c r="J15" s="440">
        <v>141.8</v>
      </c>
      <c r="K15" s="440"/>
      <c r="L15" s="440"/>
      <c r="M15" s="440"/>
      <c r="N15" s="440"/>
      <c r="O15" s="440"/>
      <c r="P15" s="440"/>
      <c r="Q15" s="440"/>
      <c r="R15" s="440"/>
      <c r="S15" s="440"/>
      <c r="T15" s="440"/>
      <c r="U15" s="440"/>
      <c r="V15" s="440"/>
      <c r="W15" s="440"/>
      <c r="X15" s="440"/>
      <c r="Y15" s="440"/>
      <c r="Z15" s="440"/>
      <c r="AA15" s="440"/>
    </row>
    <row r="16" ht="15.75" customHeight="1">
      <c r="A16" s="440"/>
      <c r="B16" s="440">
        <v>8.809743548259E12</v>
      </c>
      <c r="C16" s="440">
        <v>5.00473465E8</v>
      </c>
      <c r="D16" s="440" t="s">
        <v>431</v>
      </c>
      <c r="E16" s="440">
        <v>167528.0</v>
      </c>
      <c r="F16" s="440">
        <v>374.0</v>
      </c>
      <c r="G16" s="435"/>
      <c r="H16" s="440">
        <v>377.0</v>
      </c>
      <c r="I16" s="440">
        <v>93.0</v>
      </c>
      <c r="J16" s="440">
        <v>23.2</v>
      </c>
      <c r="K16" s="440"/>
      <c r="L16" s="440"/>
      <c r="M16" s="440"/>
      <c r="N16" s="440"/>
      <c r="O16" s="440"/>
      <c r="P16" s="440"/>
      <c r="Q16" s="440"/>
      <c r="R16" s="440"/>
      <c r="S16" s="440"/>
      <c r="T16" s="440"/>
      <c r="U16" s="440"/>
      <c r="V16" s="440"/>
      <c r="W16" s="440"/>
      <c r="X16" s="440"/>
      <c r="Y16" s="440"/>
      <c r="Z16" s="440"/>
      <c r="AA16" s="440"/>
    </row>
    <row r="17" ht="15.75" customHeight="1">
      <c r="A17" s="438" t="s">
        <v>189</v>
      </c>
      <c r="B17" s="440"/>
      <c r="C17" s="440"/>
      <c r="D17" s="440"/>
      <c r="E17" s="440"/>
      <c r="F17" s="440"/>
      <c r="G17" s="435"/>
      <c r="H17" s="440"/>
      <c r="I17" s="440"/>
      <c r="J17" s="440"/>
      <c r="K17" s="440"/>
      <c r="L17" s="440"/>
      <c r="M17" s="440"/>
      <c r="N17" s="440"/>
      <c r="O17" s="440"/>
      <c r="P17" s="440"/>
      <c r="Q17" s="440"/>
      <c r="R17" s="440"/>
      <c r="S17" s="440"/>
      <c r="T17" s="440"/>
      <c r="U17" s="440"/>
      <c r="V17" s="440"/>
      <c r="W17" s="440"/>
      <c r="X17" s="440"/>
      <c r="Y17" s="440"/>
      <c r="Z17" s="440"/>
      <c r="AA17" s="440"/>
    </row>
    <row r="18" ht="15.75" customHeight="1">
      <c r="A18" s="440"/>
      <c r="B18" s="440">
        <v>8.80996254184E12</v>
      </c>
      <c r="C18" s="440">
        <v>3.65082396E8</v>
      </c>
      <c r="D18" s="440" t="s">
        <v>432</v>
      </c>
      <c r="E18" s="440">
        <v>359804.0</v>
      </c>
      <c r="F18" s="440">
        <v>199.0</v>
      </c>
      <c r="G18" s="442" t="s">
        <v>433</v>
      </c>
      <c r="H18" s="440">
        <v>1829.0</v>
      </c>
      <c r="I18" s="440">
        <v>834.0</v>
      </c>
      <c r="J18" s="440">
        <v>39.0</v>
      </c>
      <c r="K18" s="440"/>
      <c r="L18" s="440"/>
      <c r="M18" s="440"/>
      <c r="N18" s="440"/>
      <c r="O18" s="440"/>
      <c r="P18" s="440"/>
      <c r="Q18" s="440"/>
      <c r="R18" s="440"/>
      <c r="S18" s="440"/>
      <c r="T18" s="440"/>
      <c r="U18" s="440"/>
      <c r="V18" s="440"/>
      <c r="W18" s="440"/>
      <c r="X18" s="440"/>
      <c r="Y18" s="440"/>
      <c r="Z18" s="440"/>
      <c r="AA18" s="440"/>
    </row>
    <row r="19" ht="15.75" customHeight="1">
      <c r="A19" s="440"/>
      <c r="B19" s="440">
        <v>8.809657114731E12</v>
      </c>
      <c r="C19" s="440">
        <v>2.1296887E8</v>
      </c>
      <c r="D19" s="440" t="s">
        <v>300</v>
      </c>
      <c r="E19" s="440">
        <v>218880.0</v>
      </c>
      <c r="F19" s="440">
        <v>175.0</v>
      </c>
      <c r="G19" s="435" t="s">
        <v>434</v>
      </c>
      <c r="H19" s="440">
        <v>1316.0</v>
      </c>
      <c r="I19" s="440">
        <v>484.0</v>
      </c>
      <c r="J19" s="440">
        <v>63.3</v>
      </c>
      <c r="K19" s="440"/>
      <c r="L19" s="440"/>
      <c r="M19" s="440"/>
      <c r="N19" s="440"/>
      <c r="O19" s="440"/>
      <c r="P19" s="440"/>
      <c r="Q19" s="440"/>
      <c r="R19" s="440"/>
      <c r="S19" s="440"/>
      <c r="T19" s="440"/>
      <c r="U19" s="440"/>
      <c r="V19" s="440"/>
      <c r="W19" s="440"/>
      <c r="X19" s="440"/>
      <c r="Y19" s="440"/>
      <c r="Z19" s="440"/>
      <c r="AA19" s="440"/>
    </row>
    <row r="20" ht="15.75" customHeight="1">
      <c r="A20" s="440"/>
      <c r="B20" s="440">
        <v>8.809750462708E12</v>
      </c>
      <c r="C20" s="440">
        <v>2.12968865E8</v>
      </c>
      <c r="D20" s="440" t="s">
        <v>435</v>
      </c>
      <c r="E20" s="440">
        <v>213375.0</v>
      </c>
      <c r="F20" s="440">
        <v>127.0</v>
      </c>
      <c r="G20" s="435" t="s">
        <v>436</v>
      </c>
      <c r="H20" s="440">
        <v>1701.0</v>
      </c>
      <c r="I20" s="440">
        <v>698.0</v>
      </c>
      <c r="J20" s="440">
        <v>52.9</v>
      </c>
      <c r="K20" s="440"/>
      <c r="L20" s="440"/>
      <c r="M20" s="440"/>
      <c r="N20" s="440"/>
      <c r="O20" s="440"/>
      <c r="P20" s="440"/>
      <c r="Q20" s="440"/>
      <c r="R20" s="440"/>
      <c r="S20" s="440"/>
      <c r="T20" s="440"/>
      <c r="U20" s="440"/>
      <c r="V20" s="440"/>
      <c r="W20" s="440"/>
      <c r="X20" s="440"/>
      <c r="Y20" s="440"/>
      <c r="Z20" s="440"/>
      <c r="AA20" s="440"/>
    </row>
    <row r="21" ht="15.75" customHeight="1">
      <c r="A21" s="440"/>
      <c r="B21" s="440">
        <v>8.80973859324E12</v>
      </c>
      <c r="C21" s="440">
        <v>2.12962091E8</v>
      </c>
      <c r="D21" s="440" t="s">
        <v>437</v>
      </c>
      <c r="E21" s="440">
        <v>189801.0</v>
      </c>
      <c r="F21" s="440">
        <v>112.0</v>
      </c>
      <c r="G21" s="435" t="s">
        <v>438</v>
      </c>
      <c r="H21" s="440">
        <v>1742.0</v>
      </c>
      <c r="I21" s="440">
        <v>754.0</v>
      </c>
      <c r="J21" s="440">
        <v>45.5</v>
      </c>
      <c r="K21" s="440"/>
      <c r="L21" s="440"/>
      <c r="M21" s="440"/>
      <c r="N21" s="440"/>
      <c r="O21" s="440"/>
      <c r="P21" s="440"/>
      <c r="Q21" s="440"/>
      <c r="R21" s="440"/>
      <c r="S21" s="440"/>
      <c r="T21" s="440"/>
      <c r="U21" s="440"/>
      <c r="V21" s="440"/>
      <c r="W21" s="440"/>
      <c r="X21" s="440"/>
      <c r="Y21" s="440"/>
      <c r="Z21" s="440"/>
      <c r="AA21" s="440"/>
    </row>
    <row r="22" ht="15.75" customHeight="1">
      <c r="A22" s="440"/>
      <c r="B22" s="440">
        <v>8.809962540553E12</v>
      </c>
      <c r="C22" s="440">
        <v>2.6213525E8</v>
      </c>
      <c r="D22" s="440" t="s">
        <v>439</v>
      </c>
      <c r="E22" s="440">
        <v>165058.0</v>
      </c>
      <c r="F22" s="440">
        <v>159.0</v>
      </c>
      <c r="G22" s="435" t="s">
        <v>440</v>
      </c>
      <c r="H22" s="440">
        <v>1061.0</v>
      </c>
      <c r="I22" s="440">
        <v>409.0</v>
      </c>
      <c r="J22" s="440">
        <v>48.4</v>
      </c>
      <c r="K22" s="440"/>
      <c r="L22" s="440"/>
      <c r="M22" s="440"/>
      <c r="N22" s="440"/>
      <c r="O22" s="440"/>
      <c r="P22" s="440"/>
      <c r="Q22" s="440"/>
      <c r="R22" s="440"/>
      <c r="S22" s="440"/>
      <c r="T22" s="440"/>
      <c r="U22" s="440"/>
      <c r="V22" s="440"/>
      <c r="W22" s="440"/>
      <c r="X22" s="440"/>
      <c r="Y22" s="440"/>
      <c r="Z22" s="440"/>
      <c r="AA22" s="440"/>
    </row>
    <row r="23" ht="15.75" customHeight="1">
      <c r="A23" s="440"/>
      <c r="B23" s="440">
        <v>8.80996254027E12</v>
      </c>
      <c r="C23" s="440">
        <v>5.2981813E8</v>
      </c>
      <c r="D23" s="440" t="s">
        <v>441</v>
      </c>
      <c r="E23" s="440">
        <v>157224.0</v>
      </c>
      <c r="F23" s="440">
        <v>89.0</v>
      </c>
      <c r="G23" s="435"/>
      <c r="H23" s="440">
        <v>1779.0</v>
      </c>
      <c r="I23" s="440">
        <v>591.0</v>
      </c>
      <c r="J23" s="440">
        <v>90.1</v>
      </c>
      <c r="K23" s="440"/>
      <c r="L23" s="440"/>
      <c r="M23" s="440"/>
      <c r="N23" s="440"/>
      <c r="O23" s="440"/>
      <c r="P23" s="440"/>
      <c r="Q23" s="440"/>
      <c r="R23" s="440"/>
      <c r="S23" s="440"/>
      <c r="T23" s="440"/>
      <c r="U23" s="440"/>
      <c r="V23" s="440"/>
      <c r="W23" s="440"/>
      <c r="X23" s="440"/>
      <c r="Y23" s="440"/>
      <c r="Z23" s="440"/>
      <c r="AA23" s="440"/>
    </row>
    <row r="24" ht="15.75" customHeight="1">
      <c r="A24" s="440"/>
      <c r="B24" s="440">
        <v>8.809962540294E12</v>
      </c>
      <c r="C24" s="440">
        <v>2.73429922E8</v>
      </c>
      <c r="D24" s="440" t="s">
        <v>442</v>
      </c>
      <c r="E24" s="440">
        <v>144113.0</v>
      </c>
      <c r="F24" s="440">
        <v>107.0</v>
      </c>
      <c r="G24" s="435"/>
      <c r="H24" s="440">
        <v>1381.0</v>
      </c>
      <c r="I24" s="440">
        <v>591.0</v>
      </c>
      <c r="J24" s="440">
        <v>41.6</v>
      </c>
      <c r="K24" s="440"/>
      <c r="L24" s="440"/>
      <c r="M24" s="440"/>
      <c r="N24" s="440"/>
      <c r="O24" s="440"/>
      <c r="P24" s="440"/>
      <c r="Q24" s="440"/>
      <c r="R24" s="440"/>
      <c r="S24" s="440"/>
      <c r="T24" s="440"/>
      <c r="U24" s="440"/>
      <c r="V24" s="440"/>
      <c r="W24" s="440"/>
      <c r="X24" s="440"/>
      <c r="Y24" s="440"/>
      <c r="Z24" s="440"/>
      <c r="AA24" s="440"/>
    </row>
    <row r="25" ht="15.75" customHeight="1">
      <c r="A25" s="440"/>
      <c r="B25" s="440">
        <v>8.809738600245E12</v>
      </c>
      <c r="C25" s="440">
        <v>3.73436036E8</v>
      </c>
      <c r="D25" s="440" t="s">
        <v>443</v>
      </c>
      <c r="E25" s="440">
        <v>123778.0</v>
      </c>
      <c r="F25" s="440">
        <v>66.0</v>
      </c>
      <c r="G25" s="435"/>
      <c r="H25" s="440">
        <v>1877.0</v>
      </c>
      <c r="I25" s="440">
        <v>872.0</v>
      </c>
      <c r="J25" s="440">
        <v>36.9</v>
      </c>
      <c r="K25" s="440"/>
      <c r="L25" s="440"/>
      <c r="M25" s="440"/>
      <c r="N25" s="440"/>
      <c r="O25" s="440"/>
      <c r="P25" s="440"/>
      <c r="Q25" s="440"/>
      <c r="R25" s="440"/>
      <c r="S25" s="440"/>
      <c r="T25" s="440"/>
      <c r="U25" s="440"/>
      <c r="V25" s="440"/>
      <c r="W25" s="440"/>
      <c r="X25" s="440"/>
      <c r="Y25" s="440"/>
      <c r="Z25" s="440"/>
      <c r="AA25" s="440"/>
    </row>
    <row r="26" ht="15.75" customHeight="1">
      <c r="A26" s="443"/>
      <c r="B26" s="443">
        <v>8.809962542861E12</v>
      </c>
      <c r="C26" s="443">
        <v>4.97639325E8</v>
      </c>
      <c r="D26" s="443" t="s">
        <v>444</v>
      </c>
      <c r="E26" s="443">
        <v>109942.0</v>
      </c>
      <c r="F26" s="443">
        <v>109.0</v>
      </c>
      <c r="G26" s="444"/>
      <c r="H26" s="443">
        <v>1013.0</v>
      </c>
      <c r="I26" s="443">
        <v>591.0</v>
      </c>
      <c r="J26" s="443">
        <v>-3.2</v>
      </c>
      <c r="K26" s="443"/>
      <c r="L26" s="443"/>
      <c r="M26" s="443"/>
      <c r="N26" s="443"/>
      <c r="O26" s="443"/>
      <c r="P26" s="443"/>
      <c r="Q26" s="443"/>
      <c r="R26" s="443"/>
      <c r="S26" s="443"/>
      <c r="T26" s="443"/>
      <c r="U26" s="443"/>
      <c r="V26" s="443"/>
      <c r="W26" s="443"/>
      <c r="X26" s="443"/>
      <c r="Y26" s="443"/>
      <c r="Z26" s="443"/>
      <c r="AA26" s="443"/>
    </row>
    <row r="27" ht="15.75" customHeight="1">
      <c r="A27" s="438" t="s">
        <v>205</v>
      </c>
      <c r="B27" s="440"/>
      <c r="C27" s="440"/>
      <c r="D27" s="440"/>
      <c r="E27" s="440"/>
      <c r="F27" s="440"/>
      <c r="G27" s="435"/>
      <c r="H27" s="440"/>
      <c r="I27" s="440"/>
      <c r="J27" s="440"/>
      <c r="K27" s="440"/>
      <c r="L27" s="440"/>
      <c r="M27" s="440"/>
      <c r="N27" s="440"/>
      <c r="O27" s="440"/>
      <c r="P27" s="440"/>
      <c r="Q27" s="440"/>
      <c r="R27" s="440"/>
      <c r="S27" s="440"/>
      <c r="T27" s="440"/>
      <c r="U27" s="440"/>
      <c r="V27" s="440"/>
      <c r="W27" s="440"/>
      <c r="X27" s="440"/>
      <c r="Y27" s="440"/>
      <c r="Z27" s="440"/>
      <c r="AA27" s="440"/>
    </row>
    <row r="28" ht="15.75" customHeight="1">
      <c r="A28" s="440"/>
      <c r="B28" s="440">
        <v>8.800256118885E12</v>
      </c>
      <c r="C28" s="440">
        <v>4.12043618E8</v>
      </c>
      <c r="D28" s="440" t="s">
        <v>445</v>
      </c>
      <c r="E28" s="440">
        <v>187923.0</v>
      </c>
      <c r="F28" s="440">
        <v>76.0</v>
      </c>
      <c r="G28" s="435" t="s">
        <v>446</v>
      </c>
      <c r="H28" s="440">
        <v>2267.0</v>
      </c>
      <c r="I28" s="440">
        <v>1065.0</v>
      </c>
      <c r="J28" s="440">
        <v>38.5</v>
      </c>
      <c r="K28" s="440"/>
      <c r="L28" s="440"/>
      <c r="M28" s="440"/>
      <c r="N28" s="440"/>
      <c r="O28" s="440"/>
      <c r="P28" s="440"/>
      <c r="Q28" s="440"/>
      <c r="R28" s="440"/>
      <c r="S28" s="440"/>
      <c r="T28" s="440"/>
      <c r="U28" s="440"/>
      <c r="V28" s="440"/>
      <c r="W28" s="440"/>
      <c r="X28" s="440"/>
      <c r="Y28" s="440"/>
      <c r="Z28" s="440"/>
      <c r="AA28" s="440"/>
    </row>
    <row r="29" ht="15.75" customHeight="1">
      <c r="A29" s="443"/>
      <c r="B29" s="443">
        <v>8.800289477416E12</v>
      </c>
      <c r="C29" s="443">
        <v>4.12072655E8</v>
      </c>
      <c r="D29" s="443" t="s">
        <v>447</v>
      </c>
      <c r="E29" s="443">
        <v>175852.0</v>
      </c>
      <c r="F29" s="443">
        <v>107.0</v>
      </c>
      <c r="G29" s="444" t="s">
        <v>448</v>
      </c>
      <c r="H29" s="443">
        <v>1670.0</v>
      </c>
      <c r="I29" s="443">
        <v>932.0</v>
      </c>
      <c r="J29" s="443">
        <v>12.1</v>
      </c>
      <c r="K29" s="443"/>
      <c r="L29" s="443"/>
      <c r="M29" s="443"/>
      <c r="N29" s="443"/>
      <c r="O29" s="443"/>
      <c r="P29" s="443"/>
      <c r="Q29" s="443"/>
      <c r="R29" s="443"/>
      <c r="S29" s="443"/>
      <c r="T29" s="443"/>
      <c r="U29" s="443"/>
      <c r="V29" s="443"/>
      <c r="W29" s="443"/>
      <c r="X29" s="443"/>
      <c r="Y29" s="443"/>
      <c r="Z29" s="443"/>
      <c r="AA29" s="443"/>
    </row>
    <row r="30" ht="15.75" customHeight="1">
      <c r="A30" s="440"/>
      <c r="B30" s="440">
        <v>8.800256113101E12</v>
      </c>
      <c r="C30" s="440">
        <v>4.26921345E8</v>
      </c>
      <c r="D30" s="440" t="s">
        <v>449</v>
      </c>
      <c r="E30" s="440">
        <v>112073.0</v>
      </c>
      <c r="F30" s="440">
        <v>72.0</v>
      </c>
      <c r="G30" s="435" t="s">
        <v>450</v>
      </c>
      <c r="H30" s="440">
        <v>1598.0</v>
      </c>
      <c r="I30" s="440">
        <v>747.0</v>
      </c>
      <c r="J30" s="440">
        <v>33.0</v>
      </c>
      <c r="K30" s="440"/>
      <c r="L30" s="440"/>
      <c r="M30" s="440"/>
      <c r="N30" s="440"/>
      <c r="O30" s="440"/>
      <c r="P30" s="440"/>
      <c r="Q30" s="440"/>
      <c r="R30" s="440"/>
      <c r="S30" s="440"/>
      <c r="T30" s="440"/>
      <c r="U30" s="440"/>
      <c r="V30" s="440"/>
      <c r="W30" s="440"/>
      <c r="X30" s="440"/>
      <c r="Y30" s="440"/>
      <c r="Z30" s="440"/>
      <c r="AA30" s="440"/>
    </row>
    <row r="31" ht="15.75" customHeight="1">
      <c r="A31" s="440"/>
      <c r="B31" s="440"/>
      <c r="C31" s="440"/>
      <c r="D31" s="440"/>
      <c r="E31" s="440"/>
      <c r="F31" s="440"/>
      <c r="G31" s="435"/>
      <c r="H31" s="440"/>
      <c r="I31" s="440"/>
      <c r="J31" s="440"/>
      <c r="K31" s="440"/>
      <c r="L31" s="440"/>
      <c r="M31" s="440"/>
      <c r="N31" s="440"/>
      <c r="O31" s="440"/>
      <c r="P31" s="440"/>
      <c r="Q31" s="440"/>
      <c r="R31" s="440"/>
      <c r="S31" s="440"/>
      <c r="T31" s="440"/>
      <c r="U31" s="440"/>
      <c r="V31" s="440"/>
      <c r="W31" s="440"/>
      <c r="X31" s="440"/>
      <c r="Y31" s="440"/>
      <c r="Z31" s="440"/>
      <c r="AA31" s="440"/>
    </row>
    <row r="32" ht="15.75" customHeight="1">
      <c r="A32" s="440"/>
      <c r="B32" s="440"/>
      <c r="C32" s="440"/>
      <c r="D32" s="440"/>
      <c r="E32" s="440"/>
      <c r="F32" s="440"/>
      <c r="G32" s="435"/>
      <c r="H32" s="440"/>
      <c r="I32" s="440"/>
      <c r="J32" s="440"/>
      <c r="K32" s="440"/>
      <c r="L32" s="440"/>
      <c r="M32" s="440"/>
      <c r="N32" s="440"/>
      <c r="O32" s="440"/>
      <c r="P32" s="440"/>
      <c r="Q32" s="440"/>
      <c r="R32" s="440"/>
      <c r="S32" s="440"/>
      <c r="T32" s="440"/>
      <c r="U32" s="440"/>
      <c r="V32" s="440"/>
      <c r="W32" s="440"/>
      <c r="X32" s="440"/>
      <c r="Y32" s="440"/>
      <c r="Z32" s="440"/>
      <c r="AA32" s="440"/>
    </row>
    <row r="33" ht="15.75" customHeight="1">
      <c r="A33" s="440"/>
      <c r="B33" s="440"/>
      <c r="C33" s="440"/>
      <c r="D33" s="440"/>
      <c r="E33" s="440"/>
      <c r="F33" s="440"/>
      <c r="G33" s="435"/>
      <c r="H33" s="440"/>
      <c r="I33" s="440"/>
      <c r="J33" s="440"/>
      <c r="K33" s="440"/>
      <c r="L33" s="440"/>
      <c r="M33" s="440"/>
      <c r="N33" s="440"/>
      <c r="O33" s="440"/>
      <c r="P33" s="440"/>
      <c r="Q33" s="440"/>
      <c r="R33" s="440"/>
      <c r="S33" s="440"/>
      <c r="T33" s="440"/>
      <c r="U33" s="440"/>
      <c r="V33" s="440"/>
      <c r="W33" s="440"/>
      <c r="X33" s="440"/>
      <c r="Y33" s="440"/>
      <c r="Z33" s="440"/>
      <c r="AA33" s="440"/>
    </row>
    <row r="34" ht="15.75" customHeight="1">
      <c r="A34" s="440"/>
      <c r="B34" s="440"/>
      <c r="C34" s="440"/>
      <c r="D34" s="440"/>
      <c r="E34" s="440"/>
      <c r="F34" s="440"/>
      <c r="G34" s="435"/>
      <c r="H34" s="440"/>
      <c r="I34" s="440"/>
      <c r="J34" s="440"/>
      <c r="K34" s="440"/>
      <c r="L34" s="440"/>
      <c r="M34" s="440"/>
      <c r="N34" s="440"/>
      <c r="O34" s="440"/>
      <c r="P34" s="440"/>
      <c r="Q34" s="440"/>
      <c r="R34" s="440"/>
      <c r="S34" s="440"/>
      <c r="T34" s="440"/>
      <c r="U34" s="440"/>
      <c r="V34" s="440"/>
      <c r="W34" s="440"/>
      <c r="X34" s="440"/>
      <c r="Y34" s="440"/>
      <c r="Z34" s="440"/>
      <c r="AA34" s="440"/>
    </row>
    <row r="35" ht="15.75" customHeight="1">
      <c r="A35" s="440"/>
      <c r="B35" s="440"/>
      <c r="C35" s="440"/>
      <c r="D35" s="440"/>
      <c r="E35" s="440"/>
      <c r="F35" s="440"/>
      <c r="G35" s="435"/>
      <c r="H35" s="440"/>
      <c r="I35" s="440"/>
      <c r="J35" s="440"/>
      <c r="K35" s="440"/>
      <c r="L35" s="440"/>
      <c r="M35" s="440"/>
      <c r="N35" s="440"/>
      <c r="O35" s="440"/>
      <c r="P35" s="440"/>
      <c r="Q35" s="440"/>
      <c r="R35" s="440"/>
      <c r="S35" s="440"/>
      <c r="T35" s="440"/>
      <c r="U35" s="440"/>
      <c r="V35" s="440"/>
      <c r="W35" s="440"/>
      <c r="X35" s="440"/>
      <c r="Y35" s="440"/>
      <c r="Z35" s="440"/>
      <c r="AA35" s="440"/>
    </row>
    <row r="36" ht="15.75" customHeight="1">
      <c r="A36" s="440"/>
      <c r="B36" s="440"/>
      <c r="C36" s="440"/>
      <c r="D36" s="440"/>
      <c r="E36" s="440"/>
      <c r="F36" s="440"/>
      <c r="G36" s="435"/>
      <c r="H36" s="440"/>
      <c r="I36" s="440"/>
      <c r="J36" s="440"/>
      <c r="K36" s="440"/>
      <c r="L36" s="440"/>
      <c r="M36" s="440"/>
      <c r="N36" s="440"/>
      <c r="O36" s="440"/>
      <c r="P36" s="440"/>
      <c r="Q36" s="440"/>
      <c r="R36" s="440"/>
      <c r="S36" s="440"/>
      <c r="T36" s="440"/>
      <c r="U36" s="440"/>
      <c r="V36" s="440"/>
      <c r="W36" s="440"/>
      <c r="X36" s="440"/>
      <c r="Y36" s="440"/>
      <c r="Z36" s="440"/>
      <c r="AA36" s="440"/>
    </row>
    <row r="37" ht="15.75" customHeight="1">
      <c r="A37" s="440"/>
      <c r="B37" s="440"/>
      <c r="C37" s="440"/>
      <c r="D37" s="440"/>
      <c r="E37" s="440"/>
      <c r="F37" s="440"/>
      <c r="G37" s="435"/>
      <c r="H37" s="440"/>
      <c r="I37" s="440"/>
      <c r="J37" s="440"/>
      <c r="K37" s="440"/>
      <c r="L37" s="440"/>
      <c r="M37" s="440"/>
      <c r="N37" s="440"/>
      <c r="O37" s="440"/>
      <c r="P37" s="440"/>
      <c r="Q37" s="440"/>
      <c r="R37" s="440"/>
      <c r="S37" s="440"/>
      <c r="T37" s="440"/>
      <c r="U37" s="440"/>
      <c r="V37" s="440"/>
      <c r="W37" s="440"/>
      <c r="X37" s="440"/>
      <c r="Y37" s="440"/>
      <c r="Z37" s="440"/>
      <c r="AA37" s="440"/>
    </row>
    <row r="38" ht="15.75" customHeight="1">
      <c r="A38" s="440"/>
      <c r="B38" s="440"/>
      <c r="C38" s="440"/>
      <c r="D38" s="440"/>
      <c r="E38" s="440"/>
      <c r="F38" s="440"/>
      <c r="G38" s="435"/>
      <c r="H38" s="440"/>
      <c r="I38" s="440"/>
      <c r="J38" s="440"/>
      <c r="K38" s="440"/>
      <c r="L38" s="440"/>
      <c r="M38" s="440"/>
      <c r="N38" s="440"/>
      <c r="O38" s="440"/>
      <c r="P38" s="440"/>
      <c r="Q38" s="440"/>
      <c r="R38" s="440"/>
      <c r="S38" s="440"/>
      <c r="T38" s="440"/>
      <c r="U38" s="440"/>
      <c r="V38" s="440"/>
      <c r="W38" s="440"/>
      <c r="X38" s="440"/>
      <c r="Y38" s="440"/>
      <c r="Z38" s="440"/>
      <c r="AA38" s="440"/>
    </row>
    <row r="39" ht="15.75" customHeight="1">
      <c r="A39" s="440"/>
      <c r="B39" s="440"/>
      <c r="C39" s="440"/>
      <c r="D39" s="440"/>
      <c r="E39" s="440"/>
      <c r="F39" s="440"/>
      <c r="G39" s="435"/>
      <c r="H39" s="440"/>
      <c r="I39" s="440"/>
      <c r="J39" s="440"/>
      <c r="K39" s="440"/>
      <c r="L39" s="440"/>
      <c r="M39" s="440"/>
      <c r="N39" s="440"/>
      <c r="O39" s="440"/>
      <c r="P39" s="440"/>
      <c r="Q39" s="440"/>
      <c r="R39" s="440"/>
      <c r="S39" s="440"/>
      <c r="T39" s="440"/>
      <c r="U39" s="440"/>
      <c r="V39" s="440"/>
      <c r="W39" s="440"/>
      <c r="X39" s="440"/>
      <c r="Y39" s="440"/>
      <c r="Z39" s="440"/>
      <c r="AA39" s="440"/>
    </row>
    <row r="40" ht="15.75" customHeight="1">
      <c r="A40" s="440"/>
      <c r="B40" s="440"/>
      <c r="C40" s="440"/>
      <c r="D40" s="440"/>
      <c r="E40" s="440"/>
      <c r="F40" s="440"/>
      <c r="G40" s="435"/>
      <c r="H40" s="440"/>
      <c r="I40" s="440"/>
      <c r="J40" s="440"/>
      <c r="K40" s="440"/>
      <c r="L40" s="440"/>
      <c r="M40" s="440"/>
      <c r="N40" s="440"/>
      <c r="O40" s="440"/>
      <c r="P40" s="440"/>
      <c r="Q40" s="440"/>
      <c r="R40" s="440"/>
      <c r="S40" s="440"/>
      <c r="T40" s="440"/>
      <c r="U40" s="440"/>
      <c r="V40" s="440"/>
      <c r="W40" s="440"/>
      <c r="X40" s="440"/>
      <c r="Y40" s="440"/>
      <c r="Z40" s="440"/>
      <c r="AA40" s="440"/>
    </row>
    <row r="41" ht="15.75" customHeight="1">
      <c r="A41" s="440"/>
      <c r="B41" s="440"/>
      <c r="C41" s="440"/>
      <c r="D41" s="440"/>
      <c r="E41" s="440"/>
      <c r="F41" s="440"/>
      <c r="G41" s="435"/>
      <c r="H41" s="440"/>
      <c r="I41" s="440"/>
      <c r="J41" s="440"/>
      <c r="K41" s="440"/>
      <c r="L41" s="440"/>
      <c r="M41" s="440"/>
      <c r="N41" s="440"/>
      <c r="O41" s="440"/>
      <c r="P41" s="440"/>
      <c r="Q41" s="440"/>
      <c r="R41" s="440"/>
      <c r="S41" s="440"/>
      <c r="T41" s="440"/>
      <c r="U41" s="440"/>
      <c r="V41" s="440"/>
      <c r="W41" s="440"/>
      <c r="X41" s="440"/>
      <c r="Y41" s="440"/>
      <c r="Z41" s="440"/>
      <c r="AA41" s="440"/>
    </row>
    <row r="42" ht="15.75" customHeight="1">
      <c r="A42" s="440"/>
      <c r="B42" s="440"/>
      <c r="C42" s="440"/>
      <c r="D42" s="440"/>
      <c r="E42" s="440"/>
      <c r="F42" s="440"/>
      <c r="G42" s="435"/>
      <c r="H42" s="440"/>
      <c r="I42" s="440"/>
      <c r="J42" s="440"/>
      <c r="K42" s="440"/>
      <c r="L42" s="440"/>
      <c r="M42" s="440"/>
      <c r="N42" s="440"/>
      <c r="O42" s="440"/>
      <c r="P42" s="440"/>
      <c r="Q42" s="440"/>
      <c r="R42" s="440"/>
      <c r="S42" s="440"/>
      <c r="T42" s="440"/>
      <c r="U42" s="440"/>
      <c r="V42" s="440"/>
      <c r="W42" s="440"/>
      <c r="X42" s="440"/>
      <c r="Y42" s="440"/>
      <c r="Z42" s="440"/>
      <c r="AA42" s="440"/>
    </row>
    <row r="43" ht="15.75" customHeight="1">
      <c r="A43" s="440"/>
      <c r="B43" s="440"/>
      <c r="C43" s="440"/>
      <c r="D43" s="440"/>
      <c r="E43" s="440"/>
      <c r="F43" s="440"/>
      <c r="G43" s="435"/>
      <c r="H43" s="440"/>
      <c r="I43" s="440"/>
      <c r="J43" s="440"/>
      <c r="K43" s="440"/>
      <c r="L43" s="440"/>
      <c r="M43" s="440"/>
      <c r="N43" s="440"/>
      <c r="O43" s="440"/>
      <c r="P43" s="440"/>
      <c r="Q43" s="440"/>
      <c r="R43" s="440"/>
      <c r="S43" s="440"/>
      <c r="T43" s="440"/>
      <c r="U43" s="440"/>
      <c r="V43" s="440"/>
      <c r="W43" s="440"/>
      <c r="X43" s="440"/>
      <c r="Y43" s="440"/>
      <c r="Z43" s="440"/>
      <c r="AA43" s="440"/>
    </row>
    <row r="44" ht="15.75" customHeight="1">
      <c r="A44" s="440"/>
      <c r="B44" s="440"/>
      <c r="C44" s="440"/>
      <c r="D44" s="440"/>
      <c r="E44" s="440"/>
      <c r="F44" s="440"/>
      <c r="G44" s="435"/>
      <c r="H44" s="440"/>
      <c r="I44" s="440"/>
      <c r="J44" s="440"/>
      <c r="K44" s="440"/>
      <c r="L44" s="440"/>
      <c r="M44" s="440"/>
      <c r="N44" s="440"/>
      <c r="O44" s="440"/>
      <c r="P44" s="440"/>
      <c r="Q44" s="440"/>
      <c r="R44" s="440"/>
      <c r="S44" s="440"/>
      <c r="T44" s="440"/>
      <c r="U44" s="440"/>
      <c r="V44" s="440"/>
      <c r="W44" s="440"/>
      <c r="X44" s="440"/>
      <c r="Y44" s="440"/>
      <c r="Z44" s="440"/>
      <c r="AA44" s="440"/>
    </row>
    <row r="45" ht="15.75" customHeight="1">
      <c r="A45" s="440"/>
      <c r="B45" s="440"/>
      <c r="C45" s="440"/>
      <c r="D45" s="440"/>
      <c r="E45" s="440"/>
      <c r="F45" s="440"/>
      <c r="G45" s="435"/>
      <c r="H45" s="440"/>
      <c r="I45" s="440"/>
      <c r="J45" s="440"/>
      <c r="K45" s="440"/>
      <c r="L45" s="440"/>
      <c r="M45" s="440"/>
      <c r="N45" s="440"/>
      <c r="O45" s="440"/>
      <c r="P45" s="440"/>
      <c r="Q45" s="440"/>
      <c r="R45" s="440"/>
      <c r="S45" s="440"/>
      <c r="T45" s="440"/>
      <c r="U45" s="440"/>
      <c r="V45" s="440"/>
      <c r="W45" s="440"/>
      <c r="X45" s="440"/>
      <c r="Y45" s="440"/>
      <c r="Z45" s="440"/>
      <c r="AA45" s="440"/>
    </row>
    <row r="46" ht="15.75" customHeight="1">
      <c r="A46" s="440"/>
      <c r="B46" s="440"/>
      <c r="C46" s="440"/>
      <c r="D46" s="440"/>
      <c r="E46" s="440"/>
      <c r="F46" s="440"/>
      <c r="G46" s="435"/>
      <c r="H46" s="440"/>
      <c r="I46" s="440"/>
      <c r="J46" s="440"/>
      <c r="K46" s="440"/>
      <c r="L46" s="440"/>
      <c r="M46" s="440"/>
      <c r="N46" s="440"/>
      <c r="O46" s="440"/>
      <c r="P46" s="440"/>
      <c r="Q46" s="440"/>
      <c r="R46" s="440"/>
      <c r="S46" s="440"/>
      <c r="T46" s="440"/>
      <c r="U46" s="440"/>
      <c r="V46" s="440"/>
      <c r="W46" s="440"/>
      <c r="X46" s="440"/>
      <c r="Y46" s="440"/>
      <c r="Z46" s="440"/>
      <c r="AA46" s="440"/>
    </row>
    <row r="47" ht="15.75" customHeight="1">
      <c r="A47" s="440"/>
      <c r="B47" s="440"/>
      <c r="C47" s="440"/>
      <c r="D47" s="440"/>
      <c r="E47" s="440"/>
      <c r="F47" s="440"/>
      <c r="G47" s="435"/>
      <c r="H47" s="440"/>
      <c r="I47" s="440"/>
      <c r="J47" s="440"/>
      <c r="K47" s="440"/>
      <c r="L47" s="440"/>
      <c r="M47" s="440"/>
      <c r="N47" s="440"/>
      <c r="O47" s="440"/>
      <c r="P47" s="440"/>
      <c r="Q47" s="440"/>
      <c r="R47" s="440"/>
      <c r="S47" s="440"/>
      <c r="T47" s="440"/>
      <c r="U47" s="440"/>
      <c r="V47" s="440"/>
      <c r="W47" s="440"/>
      <c r="X47" s="440"/>
      <c r="Y47" s="440"/>
      <c r="Z47" s="440"/>
      <c r="AA47" s="440"/>
    </row>
    <row r="48" ht="15.75" customHeight="1">
      <c r="A48" s="440"/>
      <c r="B48" s="440"/>
      <c r="C48" s="440"/>
      <c r="D48" s="440"/>
      <c r="E48" s="440"/>
      <c r="F48" s="440"/>
      <c r="G48" s="435"/>
      <c r="H48" s="440"/>
      <c r="I48" s="440"/>
      <c r="J48" s="440"/>
      <c r="K48" s="440"/>
      <c r="L48" s="440"/>
      <c r="M48" s="440"/>
      <c r="N48" s="440"/>
      <c r="O48" s="440"/>
      <c r="P48" s="440"/>
      <c r="Q48" s="440"/>
      <c r="R48" s="440"/>
      <c r="S48" s="440"/>
      <c r="T48" s="440"/>
      <c r="U48" s="440"/>
      <c r="V48" s="440"/>
      <c r="W48" s="440"/>
      <c r="X48" s="440"/>
      <c r="Y48" s="440"/>
      <c r="Z48" s="440"/>
      <c r="AA48" s="440"/>
    </row>
    <row r="49" ht="15.75" customHeight="1">
      <c r="A49" s="440"/>
      <c r="B49" s="440"/>
      <c r="C49" s="440"/>
      <c r="D49" s="440"/>
      <c r="E49" s="440"/>
      <c r="F49" s="440"/>
      <c r="G49" s="435"/>
      <c r="H49" s="440"/>
      <c r="I49" s="440"/>
      <c r="J49" s="440"/>
      <c r="K49" s="440"/>
      <c r="L49" s="440"/>
      <c r="M49" s="440"/>
      <c r="N49" s="440"/>
      <c r="O49" s="440"/>
      <c r="P49" s="440"/>
      <c r="Q49" s="440"/>
      <c r="R49" s="440"/>
      <c r="S49" s="440"/>
      <c r="T49" s="440"/>
      <c r="U49" s="440"/>
      <c r="V49" s="440"/>
      <c r="W49" s="440"/>
      <c r="X49" s="440"/>
      <c r="Y49" s="440"/>
      <c r="Z49" s="440"/>
      <c r="AA49" s="440"/>
    </row>
    <row r="50" ht="15.75" customHeight="1">
      <c r="A50" s="440"/>
      <c r="B50" s="440"/>
      <c r="C50" s="440"/>
      <c r="D50" s="440"/>
      <c r="E50" s="440"/>
      <c r="F50" s="440"/>
      <c r="G50" s="435"/>
      <c r="H50" s="440"/>
      <c r="I50" s="440"/>
      <c r="J50" s="440"/>
      <c r="K50" s="440"/>
      <c r="L50" s="440"/>
      <c r="M50" s="440"/>
      <c r="N50" s="440"/>
      <c r="O50" s="440"/>
      <c r="P50" s="440"/>
      <c r="Q50" s="440"/>
      <c r="R50" s="440"/>
      <c r="S50" s="440"/>
      <c r="T50" s="440"/>
      <c r="U50" s="440"/>
      <c r="V50" s="440"/>
      <c r="W50" s="440"/>
      <c r="X50" s="440"/>
      <c r="Y50" s="440"/>
      <c r="Z50" s="440"/>
      <c r="AA50" s="440"/>
    </row>
    <row r="51" ht="15.75" customHeight="1">
      <c r="A51" s="440"/>
      <c r="B51" s="440"/>
      <c r="C51" s="440"/>
      <c r="D51" s="440"/>
      <c r="E51" s="440"/>
      <c r="F51" s="440"/>
      <c r="G51" s="435"/>
      <c r="H51" s="440"/>
      <c r="I51" s="440"/>
      <c r="J51" s="440"/>
      <c r="K51" s="440"/>
      <c r="L51" s="440"/>
      <c r="M51" s="440"/>
      <c r="N51" s="440"/>
      <c r="O51" s="440"/>
      <c r="P51" s="440"/>
      <c r="Q51" s="440"/>
      <c r="R51" s="440"/>
      <c r="S51" s="440"/>
      <c r="T51" s="440"/>
      <c r="U51" s="440"/>
      <c r="V51" s="440"/>
      <c r="W51" s="440"/>
      <c r="X51" s="440"/>
      <c r="Y51" s="440"/>
      <c r="Z51" s="440"/>
      <c r="AA51" s="440"/>
    </row>
    <row r="52" ht="15.75" customHeight="1">
      <c r="A52" s="440"/>
      <c r="B52" s="440"/>
      <c r="C52" s="440"/>
      <c r="D52" s="440"/>
      <c r="E52" s="440"/>
      <c r="F52" s="440"/>
      <c r="G52" s="435"/>
      <c r="H52" s="440"/>
      <c r="I52" s="440"/>
      <c r="J52" s="440"/>
      <c r="K52" s="440"/>
      <c r="L52" s="440"/>
      <c r="M52" s="440"/>
      <c r="N52" s="440"/>
      <c r="O52" s="440"/>
      <c r="P52" s="440"/>
      <c r="Q52" s="440"/>
      <c r="R52" s="440"/>
      <c r="S52" s="440"/>
      <c r="T52" s="440"/>
      <c r="U52" s="440"/>
      <c r="V52" s="440"/>
      <c r="W52" s="440"/>
      <c r="X52" s="440"/>
      <c r="Y52" s="440"/>
      <c r="Z52" s="440"/>
      <c r="AA52" s="440"/>
    </row>
    <row r="53" ht="15.75" customHeight="1">
      <c r="A53" s="440"/>
      <c r="B53" s="440"/>
      <c r="C53" s="440"/>
      <c r="D53" s="440"/>
      <c r="E53" s="440"/>
      <c r="F53" s="440"/>
      <c r="G53" s="435"/>
      <c r="H53" s="440"/>
      <c r="I53" s="440"/>
      <c r="J53" s="440"/>
      <c r="K53" s="440"/>
      <c r="L53" s="440"/>
      <c r="M53" s="440"/>
      <c r="N53" s="440"/>
      <c r="O53" s="440"/>
      <c r="P53" s="440"/>
      <c r="Q53" s="440"/>
      <c r="R53" s="440"/>
      <c r="S53" s="440"/>
      <c r="T53" s="440"/>
      <c r="U53" s="440"/>
      <c r="V53" s="440"/>
      <c r="W53" s="440"/>
      <c r="X53" s="440"/>
      <c r="Y53" s="440"/>
      <c r="Z53" s="440"/>
      <c r="AA53" s="440"/>
    </row>
    <row r="54" ht="15.75" customHeight="1">
      <c r="A54" s="440"/>
      <c r="B54" s="440"/>
      <c r="C54" s="440"/>
      <c r="D54" s="440"/>
      <c r="E54" s="440"/>
      <c r="F54" s="440"/>
      <c r="G54" s="435"/>
      <c r="H54" s="440"/>
      <c r="I54" s="440"/>
      <c r="J54" s="440"/>
      <c r="K54" s="440"/>
      <c r="L54" s="440"/>
      <c r="M54" s="440"/>
      <c r="N54" s="440"/>
      <c r="O54" s="440"/>
      <c r="P54" s="440"/>
      <c r="Q54" s="440"/>
      <c r="R54" s="440"/>
      <c r="S54" s="440"/>
      <c r="T54" s="440"/>
      <c r="U54" s="440"/>
      <c r="V54" s="440"/>
      <c r="W54" s="440"/>
      <c r="X54" s="440"/>
      <c r="Y54" s="440"/>
      <c r="Z54" s="440"/>
      <c r="AA54" s="440"/>
    </row>
    <row r="55" ht="15.75" customHeight="1">
      <c r="A55" s="440"/>
      <c r="B55" s="440"/>
      <c r="C55" s="440"/>
      <c r="D55" s="440"/>
      <c r="E55" s="440"/>
      <c r="F55" s="440"/>
      <c r="G55" s="435"/>
      <c r="H55" s="440"/>
      <c r="I55" s="440"/>
      <c r="J55" s="440"/>
      <c r="K55" s="440"/>
      <c r="L55" s="440"/>
      <c r="M55" s="440"/>
      <c r="N55" s="440"/>
      <c r="O55" s="440"/>
      <c r="P55" s="440"/>
      <c r="Q55" s="440"/>
      <c r="R55" s="440"/>
      <c r="S55" s="440"/>
      <c r="T55" s="440"/>
      <c r="U55" s="440"/>
      <c r="V55" s="440"/>
      <c r="W55" s="440"/>
      <c r="X55" s="440"/>
      <c r="Y55" s="440"/>
      <c r="Z55" s="440"/>
      <c r="AA55" s="440"/>
    </row>
    <row r="56" ht="15.75" customHeight="1">
      <c r="A56" s="440"/>
      <c r="B56" s="440"/>
      <c r="C56" s="440"/>
      <c r="D56" s="440"/>
      <c r="E56" s="440"/>
      <c r="F56" s="440"/>
      <c r="G56" s="435"/>
      <c r="H56" s="440"/>
      <c r="I56" s="440"/>
      <c r="J56" s="440"/>
      <c r="K56" s="440"/>
      <c r="L56" s="440"/>
      <c r="M56" s="440"/>
      <c r="N56" s="440"/>
      <c r="O56" s="440"/>
      <c r="P56" s="440"/>
      <c r="Q56" s="440"/>
      <c r="R56" s="440"/>
      <c r="S56" s="440"/>
      <c r="T56" s="440"/>
      <c r="U56" s="440"/>
      <c r="V56" s="440"/>
      <c r="W56" s="440"/>
      <c r="X56" s="440"/>
      <c r="Y56" s="440"/>
      <c r="Z56" s="440"/>
      <c r="AA56" s="440"/>
    </row>
    <row r="57" ht="15.75" customHeight="1">
      <c r="A57" s="440"/>
      <c r="B57" s="440"/>
      <c r="C57" s="440"/>
      <c r="D57" s="440"/>
      <c r="E57" s="440"/>
      <c r="F57" s="440"/>
      <c r="G57" s="435"/>
      <c r="H57" s="440"/>
      <c r="I57" s="440"/>
      <c r="J57" s="440"/>
      <c r="K57" s="440"/>
      <c r="L57" s="440"/>
      <c r="M57" s="440"/>
      <c r="N57" s="440"/>
      <c r="O57" s="440"/>
      <c r="P57" s="440"/>
      <c r="Q57" s="440"/>
      <c r="R57" s="440"/>
      <c r="S57" s="440"/>
      <c r="T57" s="440"/>
      <c r="U57" s="440"/>
      <c r="V57" s="440"/>
      <c r="W57" s="440"/>
      <c r="X57" s="440"/>
      <c r="Y57" s="440"/>
      <c r="Z57" s="440"/>
      <c r="AA57" s="440"/>
    </row>
    <row r="58" ht="15.75" customHeight="1">
      <c r="A58" s="440"/>
      <c r="B58" s="440"/>
      <c r="C58" s="440"/>
      <c r="D58" s="440"/>
      <c r="E58" s="440"/>
      <c r="F58" s="440"/>
      <c r="G58" s="435"/>
      <c r="H58" s="440"/>
      <c r="I58" s="440"/>
      <c r="J58" s="440"/>
      <c r="K58" s="440"/>
      <c r="L58" s="440"/>
      <c r="M58" s="440"/>
      <c r="N58" s="440"/>
      <c r="O58" s="440"/>
      <c r="P58" s="440"/>
      <c r="Q58" s="440"/>
      <c r="R58" s="440"/>
      <c r="S58" s="440"/>
      <c r="T58" s="440"/>
      <c r="U58" s="440"/>
      <c r="V58" s="440"/>
      <c r="W58" s="440"/>
      <c r="X58" s="440"/>
      <c r="Y58" s="440"/>
      <c r="Z58" s="440"/>
      <c r="AA58" s="440"/>
    </row>
    <row r="59" ht="15.75" customHeight="1">
      <c r="A59" s="440"/>
      <c r="B59" s="440"/>
      <c r="C59" s="440"/>
      <c r="D59" s="440"/>
      <c r="E59" s="440"/>
      <c r="F59" s="440"/>
      <c r="G59" s="435"/>
      <c r="H59" s="440"/>
      <c r="I59" s="440"/>
      <c r="J59" s="440"/>
      <c r="K59" s="440"/>
      <c r="L59" s="440"/>
      <c r="M59" s="440"/>
      <c r="N59" s="440"/>
      <c r="O59" s="440"/>
      <c r="P59" s="440"/>
      <c r="Q59" s="440"/>
      <c r="R59" s="440"/>
      <c r="S59" s="440"/>
      <c r="T59" s="440"/>
      <c r="U59" s="440"/>
      <c r="V59" s="440"/>
      <c r="W59" s="440"/>
      <c r="X59" s="440"/>
      <c r="Y59" s="440"/>
      <c r="Z59" s="440"/>
      <c r="AA59" s="440"/>
    </row>
    <row r="60" ht="15.75" customHeight="1">
      <c r="A60" s="440"/>
      <c r="B60" s="440"/>
      <c r="C60" s="440"/>
      <c r="D60" s="440"/>
      <c r="E60" s="440"/>
      <c r="F60" s="440"/>
      <c r="G60" s="435"/>
      <c r="H60" s="440"/>
      <c r="I60" s="440"/>
      <c r="J60" s="440"/>
      <c r="K60" s="440"/>
      <c r="L60" s="440"/>
      <c r="M60" s="440"/>
      <c r="N60" s="440"/>
      <c r="O60" s="440"/>
      <c r="P60" s="440"/>
      <c r="Q60" s="440"/>
      <c r="R60" s="440"/>
      <c r="S60" s="440"/>
      <c r="T60" s="440"/>
      <c r="U60" s="440"/>
      <c r="V60" s="440"/>
      <c r="W60" s="440"/>
      <c r="X60" s="440"/>
      <c r="Y60" s="440"/>
      <c r="Z60" s="440"/>
      <c r="AA60" s="440"/>
    </row>
    <row r="61" ht="15.75" customHeight="1">
      <c r="A61" s="440"/>
      <c r="B61" s="440"/>
      <c r="C61" s="440"/>
      <c r="D61" s="440"/>
      <c r="E61" s="440"/>
      <c r="F61" s="440"/>
      <c r="G61" s="435"/>
      <c r="H61" s="440"/>
      <c r="I61" s="440"/>
      <c r="J61" s="440"/>
      <c r="K61" s="440"/>
      <c r="L61" s="440"/>
      <c r="M61" s="440"/>
      <c r="N61" s="440"/>
      <c r="O61" s="440"/>
      <c r="P61" s="440"/>
      <c r="Q61" s="440"/>
      <c r="R61" s="440"/>
      <c r="S61" s="440"/>
      <c r="T61" s="440"/>
      <c r="U61" s="440"/>
      <c r="V61" s="440"/>
      <c r="W61" s="440"/>
      <c r="X61" s="440"/>
      <c r="Y61" s="440"/>
      <c r="Z61" s="440"/>
      <c r="AA61" s="440"/>
    </row>
    <row r="62" ht="15.75" customHeight="1">
      <c r="A62" s="440"/>
      <c r="B62" s="440"/>
      <c r="C62" s="440"/>
      <c r="D62" s="440"/>
      <c r="E62" s="440"/>
      <c r="F62" s="440"/>
      <c r="G62" s="435"/>
      <c r="H62" s="440"/>
      <c r="I62" s="440"/>
      <c r="J62" s="440"/>
      <c r="K62" s="440"/>
      <c r="L62" s="440"/>
      <c r="M62" s="440"/>
      <c r="N62" s="440"/>
      <c r="O62" s="440"/>
      <c r="P62" s="440"/>
      <c r="Q62" s="440"/>
      <c r="R62" s="440"/>
      <c r="S62" s="440"/>
      <c r="T62" s="440"/>
      <c r="U62" s="440"/>
      <c r="V62" s="440"/>
      <c r="W62" s="440"/>
      <c r="X62" s="440"/>
      <c r="Y62" s="440"/>
      <c r="Z62" s="440"/>
      <c r="AA62" s="440"/>
    </row>
    <row r="63" ht="15.75" customHeight="1">
      <c r="A63" s="440"/>
      <c r="B63" s="440"/>
      <c r="C63" s="440"/>
      <c r="D63" s="440"/>
      <c r="E63" s="440"/>
      <c r="F63" s="440"/>
      <c r="G63" s="435"/>
      <c r="H63" s="440"/>
      <c r="I63" s="440"/>
      <c r="J63" s="440"/>
      <c r="K63" s="440"/>
      <c r="L63" s="440"/>
      <c r="M63" s="440"/>
      <c r="N63" s="440"/>
      <c r="O63" s="440"/>
      <c r="P63" s="440"/>
      <c r="Q63" s="440"/>
      <c r="R63" s="440"/>
      <c r="S63" s="440"/>
      <c r="T63" s="440"/>
      <c r="U63" s="440"/>
      <c r="V63" s="440"/>
      <c r="W63" s="440"/>
      <c r="X63" s="440"/>
      <c r="Y63" s="440"/>
      <c r="Z63" s="440"/>
      <c r="AA63" s="440"/>
    </row>
    <row r="64" ht="15.75" customHeight="1">
      <c r="A64" s="440"/>
      <c r="B64" s="440"/>
      <c r="C64" s="440"/>
      <c r="D64" s="440"/>
      <c r="E64" s="440"/>
      <c r="F64" s="440"/>
      <c r="G64" s="435"/>
      <c r="H64" s="440"/>
      <c r="I64" s="440"/>
      <c r="J64" s="440"/>
      <c r="K64" s="440"/>
      <c r="L64" s="440"/>
      <c r="M64" s="440"/>
      <c r="N64" s="440"/>
      <c r="O64" s="440"/>
      <c r="P64" s="440"/>
      <c r="Q64" s="440"/>
      <c r="R64" s="440"/>
      <c r="S64" s="440"/>
      <c r="T64" s="440"/>
      <c r="U64" s="440"/>
      <c r="V64" s="440"/>
      <c r="W64" s="440"/>
      <c r="X64" s="440"/>
      <c r="Y64" s="440"/>
      <c r="Z64" s="440"/>
      <c r="AA64" s="440"/>
    </row>
    <row r="65" ht="15.75" customHeight="1">
      <c r="A65" s="440"/>
      <c r="B65" s="440"/>
      <c r="C65" s="440"/>
      <c r="D65" s="440"/>
      <c r="E65" s="440"/>
      <c r="F65" s="440"/>
      <c r="G65" s="435"/>
      <c r="H65" s="440"/>
      <c r="I65" s="440"/>
      <c r="J65" s="440"/>
      <c r="K65" s="440"/>
      <c r="L65" s="440"/>
      <c r="M65" s="440"/>
      <c r="N65" s="440"/>
      <c r="O65" s="440"/>
      <c r="P65" s="440"/>
      <c r="Q65" s="440"/>
      <c r="R65" s="440"/>
      <c r="S65" s="440"/>
      <c r="T65" s="440"/>
      <c r="U65" s="440"/>
      <c r="V65" s="440"/>
      <c r="W65" s="440"/>
      <c r="X65" s="440"/>
      <c r="Y65" s="440"/>
      <c r="Z65" s="440"/>
      <c r="AA65" s="440"/>
    </row>
    <row r="66" ht="15.75" customHeight="1">
      <c r="A66" s="440"/>
      <c r="B66" s="440"/>
      <c r="C66" s="440"/>
      <c r="D66" s="440"/>
      <c r="E66" s="440"/>
      <c r="F66" s="440"/>
      <c r="G66" s="435"/>
      <c r="H66" s="440"/>
      <c r="I66" s="440"/>
      <c r="J66" s="440"/>
      <c r="K66" s="440"/>
      <c r="L66" s="440"/>
      <c r="M66" s="440"/>
      <c r="N66" s="440"/>
      <c r="O66" s="440"/>
      <c r="P66" s="440"/>
      <c r="Q66" s="440"/>
      <c r="R66" s="440"/>
      <c r="S66" s="440"/>
      <c r="T66" s="440"/>
      <c r="U66" s="440"/>
      <c r="V66" s="440"/>
      <c r="W66" s="440"/>
      <c r="X66" s="440"/>
      <c r="Y66" s="440"/>
      <c r="Z66" s="440"/>
      <c r="AA66" s="440"/>
    </row>
    <row r="67" ht="15.75" customHeight="1">
      <c r="A67" s="440"/>
      <c r="B67" s="440"/>
      <c r="C67" s="440"/>
      <c r="D67" s="440"/>
      <c r="E67" s="440"/>
      <c r="F67" s="440"/>
      <c r="G67" s="435"/>
      <c r="H67" s="440"/>
      <c r="I67" s="440"/>
      <c r="J67" s="440"/>
      <c r="K67" s="440"/>
      <c r="L67" s="440"/>
      <c r="M67" s="440"/>
      <c r="N67" s="440"/>
      <c r="O67" s="440"/>
      <c r="P67" s="440"/>
      <c r="Q67" s="440"/>
      <c r="R67" s="440"/>
      <c r="S67" s="440"/>
      <c r="T67" s="440"/>
      <c r="U67" s="440"/>
      <c r="V67" s="440"/>
      <c r="W67" s="440"/>
      <c r="X67" s="440"/>
      <c r="Y67" s="440"/>
      <c r="Z67" s="440"/>
      <c r="AA67" s="440"/>
    </row>
    <row r="68" ht="15.75" customHeight="1">
      <c r="A68" s="440"/>
      <c r="B68" s="440"/>
      <c r="C68" s="440"/>
      <c r="D68" s="440"/>
      <c r="E68" s="440"/>
      <c r="F68" s="440"/>
      <c r="G68" s="435"/>
      <c r="H68" s="440"/>
      <c r="I68" s="440"/>
      <c r="J68" s="440"/>
      <c r="K68" s="440"/>
      <c r="L68" s="440"/>
      <c r="M68" s="440"/>
      <c r="N68" s="440"/>
      <c r="O68" s="440"/>
      <c r="P68" s="440"/>
      <c r="Q68" s="440"/>
      <c r="R68" s="440"/>
      <c r="S68" s="440"/>
      <c r="T68" s="440"/>
      <c r="U68" s="440"/>
      <c r="V68" s="440"/>
      <c r="W68" s="440"/>
      <c r="X68" s="440"/>
      <c r="Y68" s="440"/>
      <c r="Z68" s="440"/>
      <c r="AA68" s="440"/>
    </row>
    <row r="69" ht="15.75" customHeight="1">
      <c r="A69" s="440"/>
      <c r="B69" s="440"/>
      <c r="C69" s="440"/>
      <c r="D69" s="440"/>
      <c r="E69" s="440"/>
      <c r="F69" s="440"/>
      <c r="G69" s="435"/>
      <c r="H69" s="440"/>
      <c r="I69" s="440"/>
      <c r="J69" s="440"/>
      <c r="K69" s="440"/>
      <c r="L69" s="440"/>
      <c r="M69" s="440"/>
      <c r="N69" s="440"/>
      <c r="O69" s="440"/>
      <c r="P69" s="440"/>
      <c r="Q69" s="440"/>
      <c r="R69" s="440"/>
      <c r="S69" s="440"/>
      <c r="T69" s="440"/>
      <c r="U69" s="440"/>
      <c r="V69" s="440"/>
      <c r="W69" s="440"/>
      <c r="X69" s="440"/>
      <c r="Y69" s="440"/>
      <c r="Z69" s="440"/>
      <c r="AA69" s="440"/>
    </row>
    <row r="70" ht="15.75" customHeight="1">
      <c r="A70" s="440"/>
      <c r="B70" s="440"/>
      <c r="C70" s="440"/>
      <c r="D70" s="440"/>
      <c r="E70" s="440"/>
      <c r="F70" s="440"/>
      <c r="G70" s="435"/>
      <c r="H70" s="440"/>
      <c r="I70" s="440"/>
      <c r="J70" s="440"/>
      <c r="K70" s="440"/>
      <c r="L70" s="440"/>
      <c r="M70" s="440"/>
      <c r="N70" s="440"/>
      <c r="O70" s="440"/>
      <c r="P70" s="440"/>
      <c r="Q70" s="440"/>
      <c r="R70" s="440"/>
      <c r="S70" s="440"/>
      <c r="T70" s="440"/>
      <c r="U70" s="440"/>
      <c r="V70" s="440"/>
      <c r="W70" s="440"/>
      <c r="X70" s="440"/>
      <c r="Y70" s="440"/>
      <c r="Z70" s="440"/>
      <c r="AA70" s="440"/>
    </row>
    <row r="71" ht="15.75" customHeight="1">
      <c r="A71" s="440"/>
      <c r="B71" s="440"/>
      <c r="C71" s="440"/>
      <c r="D71" s="440"/>
      <c r="E71" s="440"/>
      <c r="F71" s="440"/>
      <c r="G71" s="435"/>
      <c r="H71" s="440"/>
      <c r="I71" s="440"/>
      <c r="J71" s="440"/>
      <c r="K71" s="440"/>
      <c r="L71" s="440"/>
      <c r="M71" s="440"/>
      <c r="N71" s="440"/>
      <c r="O71" s="440"/>
      <c r="P71" s="440"/>
      <c r="Q71" s="440"/>
      <c r="R71" s="440"/>
      <c r="S71" s="440"/>
      <c r="T71" s="440"/>
      <c r="U71" s="440"/>
      <c r="V71" s="440"/>
      <c r="W71" s="440"/>
      <c r="X71" s="440"/>
      <c r="Y71" s="440"/>
      <c r="Z71" s="440"/>
      <c r="AA71" s="440"/>
    </row>
    <row r="72" ht="15.75" customHeight="1">
      <c r="A72" s="440"/>
      <c r="B72" s="440"/>
      <c r="C72" s="440"/>
      <c r="D72" s="440"/>
      <c r="E72" s="440"/>
      <c r="F72" s="440"/>
      <c r="G72" s="435"/>
      <c r="H72" s="440"/>
      <c r="I72" s="440"/>
      <c r="J72" s="440"/>
      <c r="K72" s="440"/>
      <c r="L72" s="440"/>
      <c r="M72" s="440"/>
      <c r="N72" s="440"/>
      <c r="O72" s="440"/>
      <c r="P72" s="440"/>
      <c r="Q72" s="440"/>
      <c r="R72" s="440"/>
      <c r="S72" s="440"/>
      <c r="T72" s="440"/>
      <c r="U72" s="440"/>
      <c r="V72" s="440"/>
      <c r="W72" s="440"/>
      <c r="X72" s="440"/>
      <c r="Y72" s="440"/>
      <c r="Z72" s="440"/>
      <c r="AA72" s="440"/>
    </row>
    <row r="73" ht="15.75" customHeight="1">
      <c r="A73" s="440"/>
      <c r="B73" s="440"/>
      <c r="C73" s="440"/>
      <c r="D73" s="440"/>
      <c r="E73" s="440"/>
      <c r="F73" s="440"/>
      <c r="G73" s="435"/>
      <c r="H73" s="440"/>
      <c r="I73" s="440"/>
      <c r="J73" s="440"/>
      <c r="K73" s="440"/>
      <c r="L73" s="440"/>
      <c r="M73" s="440"/>
      <c r="N73" s="440"/>
      <c r="O73" s="440"/>
      <c r="P73" s="440"/>
      <c r="Q73" s="440"/>
      <c r="R73" s="440"/>
      <c r="S73" s="440"/>
      <c r="T73" s="440"/>
      <c r="U73" s="440"/>
      <c r="V73" s="440"/>
      <c r="W73" s="440"/>
      <c r="X73" s="440"/>
      <c r="Y73" s="440"/>
      <c r="Z73" s="440"/>
      <c r="AA73" s="440"/>
    </row>
    <row r="74" ht="15.75" customHeight="1">
      <c r="A74" s="440"/>
      <c r="B74" s="440"/>
      <c r="C74" s="440"/>
      <c r="D74" s="440"/>
      <c r="E74" s="440"/>
      <c r="F74" s="440"/>
      <c r="G74" s="435"/>
      <c r="H74" s="440"/>
      <c r="I74" s="440"/>
      <c r="J74" s="440"/>
      <c r="K74" s="440"/>
      <c r="L74" s="440"/>
      <c r="M74" s="440"/>
      <c r="N74" s="440"/>
      <c r="O74" s="440"/>
      <c r="P74" s="440"/>
      <c r="Q74" s="440"/>
      <c r="R74" s="440"/>
      <c r="S74" s="440"/>
      <c r="T74" s="440"/>
      <c r="U74" s="440"/>
      <c r="V74" s="440"/>
      <c r="W74" s="440"/>
      <c r="X74" s="440"/>
      <c r="Y74" s="440"/>
      <c r="Z74" s="440"/>
      <c r="AA74" s="440"/>
    </row>
    <row r="75" ht="15.75" customHeight="1">
      <c r="A75" s="440"/>
      <c r="B75" s="440"/>
      <c r="C75" s="440"/>
      <c r="D75" s="440"/>
      <c r="E75" s="440"/>
      <c r="F75" s="440"/>
      <c r="G75" s="435"/>
      <c r="H75" s="440"/>
      <c r="I75" s="440"/>
      <c r="J75" s="440"/>
      <c r="K75" s="440"/>
      <c r="L75" s="440"/>
      <c r="M75" s="440"/>
      <c r="N75" s="440"/>
      <c r="O75" s="440"/>
      <c r="P75" s="440"/>
      <c r="Q75" s="440"/>
      <c r="R75" s="440"/>
      <c r="S75" s="440"/>
      <c r="T75" s="440"/>
      <c r="U75" s="440"/>
      <c r="V75" s="440"/>
      <c r="W75" s="440"/>
      <c r="X75" s="440"/>
      <c r="Y75" s="440"/>
      <c r="Z75" s="440"/>
      <c r="AA75" s="440"/>
    </row>
    <row r="76" ht="15.75" customHeight="1">
      <c r="A76" s="440"/>
      <c r="B76" s="440"/>
      <c r="C76" s="440"/>
      <c r="D76" s="440"/>
      <c r="E76" s="440"/>
      <c r="F76" s="440"/>
      <c r="G76" s="435"/>
      <c r="H76" s="440"/>
      <c r="I76" s="440"/>
      <c r="J76" s="440"/>
      <c r="K76" s="440"/>
      <c r="L76" s="440"/>
      <c r="M76" s="440"/>
      <c r="N76" s="440"/>
      <c r="O76" s="440"/>
      <c r="P76" s="440"/>
      <c r="Q76" s="440"/>
      <c r="R76" s="440"/>
      <c r="S76" s="440"/>
      <c r="T76" s="440"/>
      <c r="U76" s="440"/>
      <c r="V76" s="440"/>
      <c r="W76" s="440"/>
      <c r="X76" s="440"/>
      <c r="Y76" s="440"/>
      <c r="Z76" s="440"/>
      <c r="AA76" s="440"/>
    </row>
    <row r="77" ht="15.75" customHeight="1">
      <c r="A77" s="440"/>
      <c r="B77" s="440"/>
      <c r="C77" s="440"/>
      <c r="D77" s="440"/>
      <c r="E77" s="440"/>
      <c r="F77" s="440"/>
      <c r="G77" s="435"/>
      <c r="H77" s="440"/>
      <c r="I77" s="440"/>
      <c r="J77" s="440"/>
      <c r="K77" s="440"/>
      <c r="L77" s="440"/>
      <c r="M77" s="440"/>
      <c r="N77" s="440"/>
      <c r="O77" s="440"/>
      <c r="P77" s="440"/>
      <c r="Q77" s="440"/>
      <c r="R77" s="440"/>
      <c r="S77" s="440"/>
      <c r="T77" s="440"/>
      <c r="U77" s="440"/>
      <c r="V77" s="440"/>
      <c r="W77" s="440"/>
      <c r="X77" s="440"/>
      <c r="Y77" s="440"/>
      <c r="Z77" s="440"/>
      <c r="AA77" s="440"/>
    </row>
    <row r="78" ht="15.75" customHeight="1">
      <c r="A78" s="440"/>
      <c r="B78" s="440"/>
      <c r="C78" s="440"/>
      <c r="D78" s="440"/>
      <c r="E78" s="440"/>
      <c r="F78" s="440"/>
      <c r="G78" s="435"/>
      <c r="H78" s="440"/>
      <c r="I78" s="440"/>
      <c r="J78" s="440"/>
      <c r="K78" s="440"/>
      <c r="L78" s="440"/>
      <c r="M78" s="440"/>
      <c r="N78" s="440"/>
      <c r="O78" s="440"/>
      <c r="P78" s="440"/>
      <c r="Q78" s="440"/>
      <c r="R78" s="440"/>
      <c r="S78" s="440"/>
      <c r="T78" s="440"/>
      <c r="U78" s="440"/>
      <c r="V78" s="440"/>
      <c r="W78" s="440"/>
      <c r="X78" s="440"/>
      <c r="Y78" s="440"/>
      <c r="Z78" s="440"/>
      <c r="AA78" s="440"/>
    </row>
    <row r="79" ht="15.75" customHeight="1">
      <c r="A79" s="440"/>
      <c r="B79" s="440"/>
      <c r="C79" s="440"/>
      <c r="D79" s="440"/>
      <c r="E79" s="440"/>
      <c r="F79" s="440"/>
      <c r="G79" s="435"/>
      <c r="H79" s="440"/>
      <c r="I79" s="440"/>
      <c r="J79" s="440"/>
      <c r="K79" s="440"/>
      <c r="L79" s="440"/>
      <c r="M79" s="440"/>
      <c r="N79" s="440"/>
      <c r="O79" s="440"/>
      <c r="P79" s="440"/>
      <c r="Q79" s="440"/>
      <c r="R79" s="440"/>
      <c r="S79" s="440"/>
      <c r="T79" s="440"/>
      <c r="U79" s="440"/>
      <c r="V79" s="440"/>
      <c r="W79" s="440"/>
      <c r="X79" s="440"/>
      <c r="Y79" s="440"/>
      <c r="Z79" s="440"/>
      <c r="AA79" s="440"/>
    </row>
    <row r="80" ht="15.75" customHeight="1">
      <c r="A80" s="440"/>
      <c r="B80" s="440"/>
      <c r="C80" s="440"/>
      <c r="D80" s="440"/>
      <c r="E80" s="440"/>
      <c r="F80" s="440"/>
      <c r="G80" s="435"/>
      <c r="H80" s="440"/>
      <c r="I80" s="440"/>
      <c r="J80" s="440"/>
      <c r="K80" s="440"/>
      <c r="L80" s="440"/>
      <c r="M80" s="440"/>
      <c r="N80" s="440"/>
      <c r="O80" s="440"/>
      <c r="P80" s="440"/>
      <c r="Q80" s="440"/>
      <c r="R80" s="440"/>
      <c r="S80" s="440"/>
      <c r="T80" s="440"/>
      <c r="U80" s="440"/>
      <c r="V80" s="440"/>
      <c r="W80" s="440"/>
      <c r="X80" s="440"/>
      <c r="Y80" s="440"/>
      <c r="Z80" s="440"/>
      <c r="AA80" s="440"/>
    </row>
    <row r="81" ht="15.75" customHeight="1">
      <c r="A81" s="440"/>
      <c r="B81" s="440"/>
      <c r="C81" s="440"/>
      <c r="D81" s="440"/>
      <c r="E81" s="440"/>
      <c r="F81" s="440"/>
      <c r="G81" s="435"/>
      <c r="H81" s="440"/>
      <c r="I81" s="440"/>
      <c r="J81" s="440"/>
      <c r="K81" s="440"/>
      <c r="L81" s="440"/>
      <c r="M81" s="440"/>
      <c r="N81" s="440"/>
      <c r="O81" s="440"/>
      <c r="P81" s="440"/>
      <c r="Q81" s="440"/>
      <c r="R81" s="440"/>
      <c r="S81" s="440"/>
      <c r="T81" s="440"/>
      <c r="U81" s="440"/>
      <c r="V81" s="440"/>
      <c r="W81" s="440"/>
      <c r="X81" s="440"/>
      <c r="Y81" s="440"/>
      <c r="Z81" s="440"/>
      <c r="AA81" s="440"/>
    </row>
    <row r="82" ht="15.75" customHeight="1">
      <c r="A82" s="440"/>
      <c r="B82" s="440"/>
      <c r="C82" s="440"/>
      <c r="D82" s="440"/>
      <c r="E82" s="440"/>
      <c r="F82" s="440"/>
      <c r="G82" s="435"/>
      <c r="H82" s="440"/>
      <c r="I82" s="440"/>
      <c r="J82" s="440"/>
      <c r="K82" s="440"/>
      <c r="L82" s="440"/>
      <c r="M82" s="440"/>
      <c r="N82" s="440"/>
      <c r="O82" s="440"/>
      <c r="P82" s="440"/>
      <c r="Q82" s="440"/>
      <c r="R82" s="440"/>
      <c r="S82" s="440"/>
      <c r="T82" s="440"/>
      <c r="U82" s="440"/>
      <c r="V82" s="440"/>
      <c r="W82" s="440"/>
      <c r="X82" s="440"/>
      <c r="Y82" s="440"/>
      <c r="Z82" s="440"/>
      <c r="AA82" s="440"/>
    </row>
    <row r="83" ht="15.75" customHeight="1">
      <c r="A83" s="440"/>
      <c r="B83" s="440"/>
      <c r="C83" s="440"/>
      <c r="D83" s="440"/>
      <c r="E83" s="440"/>
      <c r="F83" s="440"/>
      <c r="G83" s="435"/>
      <c r="H83" s="440"/>
      <c r="I83" s="440"/>
      <c r="J83" s="440"/>
      <c r="K83" s="440"/>
      <c r="L83" s="440"/>
      <c r="M83" s="440"/>
      <c r="N83" s="440"/>
      <c r="O83" s="440"/>
      <c r="P83" s="440"/>
      <c r="Q83" s="440"/>
      <c r="R83" s="440"/>
      <c r="S83" s="440"/>
      <c r="T83" s="440"/>
      <c r="U83" s="440"/>
      <c r="V83" s="440"/>
      <c r="W83" s="440"/>
      <c r="X83" s="440"/>
      <c r="Y83" s="440"/>
      <c r="Z83" s="440"/>
      <c r="AA83" s="440"/>
    </row>
    <row r="84" ht="15.75" customHeight="1">
      <c r="A84" s="440"/>
      <c r="B84" s="440"/>
      <c r="C84" s="440"/>
      <c r="D84" s="440"/>
      <c r="E84" s="440"/>
      <c r="F84" s="440"/>
      <c r="G84" s="435"/>
      <c r="H84" s="440"/>
      <c r="I84" s="440"/>
      <c r="J84" s="440"/>
      <c r="K84" s="440"/>
      <c r="L84" s="440"/>
      <c r="M84" s="440"/>
      <c r="N84" s="440"/>
      <c r="O84" s="440"/>
      <c r="P84" s="440"/>
      <c r="Q84" s="440"/>
      <c r="R84" s="440"/>
      <c r="S84" s="440"/>
      <c r="T84" s="440"/>
      <c r="U84" s="440"/>
      <c r="V84" s="440"/>
      <c r="W84" s="440"/>
      <c r="X84" s="440"/>
      <c r="Y84" s="440"/>
      <c r="Z84" s="440"/>
      <c r="AA84" s="440"/>
    </row>
    <row r="85" ht="15.75" customHeight="1">
      <c r="A85" s="440"/>
      <c r="B85" s="440"/>
      <c r="C85" s="440"/>
      <c r="D85" s="440"/>
      <c r="E85" s="440"/>
      <c r="F85" s="440"/>
      <c r="G85" s="435"/>
      <c r="H85" s="440"/>
      <c r="I85" s="440"/>
      <c r="J85" s="440"/>
      <c r="K85" s="440"/>
      <c r="L85" s="440"/>
      <c r="M85" s="440"/>
      <c r="N85" s="440"/>
      <c r="O85" s="440"/>
      <c r="P85" s="440"/>
      <c r="Q85" s="440"/>
      <c r="R85" s="440"/>
      <c r="S85" s="440"/>
      <c r="T85" s="440"/>
      <c r="U85" s="440"/>
      <c r="V85" s="440"/>
      <c r="W85" s="440"/>
      <c r="X85" s="440"/>
      <c r="Y85" s="440"/>
      <c r="Z85" s="440"/>
      <c r="AA85" s="440"/>
    </row>
    <row r="86" ht="15.75" customHeight="1">
      <c r="A86" s="440"/>
      <c r="B86" s="440"/>
      <c r="C86" s="440"/>
      <c r="D86" s="440"/>
      <c r="E86" s="440"/>
      <c r="F86" s="440"/>
      <c r="G86" s="435"/>
      <c r="H86" s="440"/>
      <c r="I86" s="440"/>
      <c r="J86" s="440"/>
      <c r="K86" s="440"/>
      <c r="L86" s="440"/>
      <c r="M86" s="440"/>
      <c r="N86" s="440"/>
      <c r="O86" s="440"/>
      <c r="P86" s="440"/>
      <c r="Q86" s="440"/>
      <c r="R86" s="440"/>
      <c r="S86" s="440"/>
      <c r="T86" s="440"/>
      <c r="U86" s="440"/>
      <c r="V86" s="440"/>
      <c r="W86" s="440"/>
      <c r="X86" s="440"/>
      <c r="Y86" s="440"/>
      <c r="Z86" s="440"/>
      <c r="AA86" s="440"/>
    </row>
    <row r="87" ht="15.75" customHeight="1">
      <c r="A87" s="440"/>
      <c r="B87" s="440"/>
      <c r="C87" s="440"/>
      <c r="D87" s="440"/>
      <c r="E87" s="440"/>
      <c r="F87" s="440"/>
      <c r="G87" s="435"/>
      <c r="H87" s="440"/>
      <c r="I87" s="440"/>
      <c r="J87" s="440"/>
      <c r="K87" s="440"/>
      <c r="L87" s="440"/>
      <c r="M87" s="440"/>
      <c r="N87" s="440"/>
      <c r="O87" s="440"/>
      <c r="P87" s="440"/>
      <c r="Q87" s="440"/>
      <c r="R87" s="440"/>
      <c r="S87" s="440"/>
      <c r="T87" s="440"/>
      <c r="U87" s="440"/>
      <c r="V87" s="440"/>
      <c r="W87" s="440"/>
      <c r="X87" s="440"/>
      <c r="Y87" s="440"/>
      <c r="Z87" s="440"/>
      <c r="AA87" s="440"/>
    </row>
    <row r="88" ht="15.75" customHeight="1">
      <c r="A88" s="440"/>
      <c r="B88" s="440"/>
      <c r="C88" s="440"/>
      <c r="D88" s="440"/>
      <c r="E88" s="440"/>
      <c r="F88" s="440"/>
      <c r="G88" s="435"/>
      <c r="H88" s="440"/>
      <c r="I88" s="440"/>
      <c r="J88" s="440"/>
      <c r="K88" s="440"/>
      <c r="L88" s="440"/>
      <c r="M88" s="440"/>
      <c r="N88" s="440"/>
      <c r="O88" s="440"/>
      <c r="P88" s="440"/>
      <c r="Q88" s="440"/>
      <c r="R88" s="440"/>
      <c r="S88" s="440"/>
      <c r="T88" s="440"/>
      <c r="U88" s="440"/>
      <c r="V88" s="440"/>
      <c r="W88" s="440"/>
      <c r="X88" s="440"/>
      <c r="Y88" s="440"/>
      <c r="Z88" s="440"/>
      <c r="AA88" s="440"/>
    </row>
    <row r="89" ht="15.75" customHeight="1">
      <c r="A89" s="440"/>
      <c r="B89" s="440"/>
      <c r="C89" s="440"/>
      <c r="D89" s="440"/>
      <c r="E89" s="440"/>
      <c r="F89" s="440"/>
      <c r="G89" s="435"/>
      <c r="H89" s="440"/>
      <c r="I89" s="440"/>
      <c r="J89" s="440"/>
      <c r="K89" s="440"/>
      <c r="L89" s="440"/>
      <c r="M89" s="440"/>
      <c r="N89" s="440"/>
      <c r="O89" s="440"/>
      <c r="P89" s="440"/>
      <c r="Q89" s="440"/>
      <c r="R89" s="440"/>
      <c r="S89" s="440"/>
      <c r="T89" s="440"/>
      <c r="U89" s="440"/>
      <c r="V89" s="440"/>
      <c r="W89" s="440"/>
      <c r="X89" s="440"/>
      <c r="Y89" s="440"/>
      <c r="Z89" s="440"/>
      <c r="AA89" s="440"/>
    </row>
    <row r="90" ht="15.75" customHeight="1">
      <c r="A90" s="440"/>
      <c r="B90" s="440"/>
      <c r="C90" s="440"/>
      <c r="D90" s="440"/>
      <c r="E90" s="440"/>
      <c r="F90" s="440"/>
      <c r="G90" s="435"/>
      <c r="H90" s="440"/>
      <c r="I90" s="440"/>
      <c r="J90" s="440"/>
      <c r="K90" s="440"/>
      <c r="L90" s="440"/>
      <c r="M90" s="440"/>
      <c r="N90" s="440"/>
      <c r="O90" s="440"/>
      <c r="P90" s="440"/>
      <c r="Q90" s="440"/>
      <c r="R90" s="440"/>
      <c r="S90" s="440"/>
      <c r="T90" s="440"/>
      <c r="U90" s="440"/>
      <c r="V90" s="440"/>
      <c r="W90" s="440"/>
      <c r="X90" s="440"/>
      <c r="Y90" s="440"/>
      <c r="Z90" s="440"/>
      <c r="AA90" s="440"/>
    </row>
    <row r="91" ht="15.75" customHeight="1">
      <c r="A91" s="440"/>
      <c r="B91" s="440"/>
      <c r="C91" s="440"/>
      <c r="D91" s="440"/>
      <c r="E91" s="440"/>
      <c r="F91" s="440"/>
      <c r="G91" s="435"/>
      <c r="H91" s="440"/>
      <c r="I91" s="440"/>
      <c r="J91" s="440"/>
      <c r="K91" s="440"/>
      <c r="L91" s="440"/>
      <c r="M91" s="440"/>
      <c r="N91" s="440"/>
      <c r="O91" s="440"/>
      <c r="P91" s="440"/>
      <c r="Q91" s="440"/>
      <c r="R91" s="440"/>
      <c r="S91" s="440"/>
      <c r="T91" s="440"/>
      <c r="U91" s="440"/>
      <c r="V91" s="440"/>
      <c r="W91" s="440"/>
      <c r="X91" s="440"/>
      <c r="Y91" s="440"/>
      <c r="Z91" s="440"/>
      <c r="AA91" s="440"/>
    </row>
    <row r="92" ht="15.75" customHeight="1">
      <c r="A92" s="440"/>
      <c r="B92" s="440"/>
      <c r="C92" s="440"/>
      <c r="D92" s="440"/>
      <c r="E92" s="440"/>
      <c r="F92" s="440"/>
      <c r="G92" s="435"/>
      <c r="H92" s="440"/>
      <c r="I92" s="440"/>
      <c r="J92" s="440"/>
      <c r="K92" s="440"/>
      <c r="L92" s="440"/>
      <c r="M92" s="440"/>
      <c r="N92" s="440"/>
      <c r="O92" s="440"/>
      <c r="P92" s="440"/>
      <c r="Q92" s="440"/>
      <c r="R92" s="440"/>
      <c r="S92" s="440"/>
      <c r="T92" s="440"/>
      <c r="U92" s="440"/>
      <c r="V92" s="440"/>
      <c r="W92" s="440"/>
      <c r="X92" s="440"/>
      <c r="Y92" s="440"/>
      <c r="Z92" s="440"/>
      <c r="AA92" s="440"/>
    </row>
    <row r="93" ht="15.75" customHeight="1">
      <c r="A93" s="440"/>
      <c r="B93" s="440"/>
      <c r="C93" s="440"/>
      <c r="D93" s="440"/>
      <c r="E93" s="440"/>
      <c r="F93" s="440"/>
      <c r="G93" s="435"/>
      <c r="H93" s="440"/>
      <c r="I93" s="440"/>
      <c r="J93" s="440"/>
      <c r="K93" s="440"/>
      <c r="L93" s="440"/>
      <c r="M93" s="440"/>
      <c r="N93" s="440"/>
      <c r="O93" s="440"/>
      <c r="P93" s="440"/>
      <c r="Q93" s="440"/>
      <c r="R93" s="440"/>
      <c r="S93" s="440"/>
      <c r="T93" s="440"/>
      <c r="U93" s="440"/>
      <c r="V93" s="440"/>
      <c r="W93" s="440"/>
      <c r="X93" s="440"/>
      <c r="Y93" s="440"/>
      <c r="Z93" s="440"/>
      <c r="AA93" s="440"/>
    </row>
    <row r="94" ht="15.75" customHeight="1">
      <c r="A94" s="440"/>
      <c r="B94" s="440"/>
      <c r="C94" s="440"/>
      <c r="D94" s="440"/>
      <c r="E94" s="440"/>
      <c r="F94" s="440"/>
      <c r="G94" s="435"/>
      <c r="H94" s="440"/>
      <c r="I94" s="440"/>
      <c r="J94" s="440"/>
      <c r="K94" s="440"/>
      <c r="L94" s="440"/>
      <c r="M94" s="440"/>
      <c r="N94" s="440"/>
      <c r="O94" s="440"/>
      <c r="P94" s="440"/>
      <c r="Q94" s="440"/>
      <c r="R94" s="440"/>
      <c r="S94" s="440"/>
      <c r="T94" s="440"/>
      <c r="U94" s="440"/>
      <c r="V94" s="440"/>
      <c r="W94" s="440"/>
      <c r="X94" s="440"/>
      <c r="Y94" s="440"/>
      <c r="Z94" s="440"/>
      <c r="AA94" s="440"/>
    </row>
    <row r="95" ht="15.75" customHeight="1">
      <c r="A95" s="440"/>
      <c r="B95" s="440"/>
      <c r="C95" s="440"/>
      <c r="D95" s="440"/>
      <c r="E95" s="440"/>
      <c r="F95" s="440"/>
      <c r="G95" s="435"/>
      <c r="H95" s="440"/>
      <c r="I95" s="440"/>
      <c r="J95" s="440"/>
      <c r="K95" s="440"/>
      <c r="L95" s="440"/>
      <c r="M95" s="440"/>
      <c r="N95" s="440"/>
      <c r="O95" s="440"/>
      <c r="P95" s="440"/>
      <c r="Q95" s="440"/>
      <c r="R95" s="440"/>
      <c r="S95" s="440"/>
      <c r="T95" s="440"/>
      <c r="U95" s="440"/>
      <c r="V95" s="440"/>
      <c r="W95" s="440"/>
      <c r="X95" s="440"/>
      <c r="Y95" s="440"/>
      <c r="Z95" s="440"/>
      <c r="AA95" s="440"/>
    </row>
    <row r="96" ht="15.75" customHeight="1">
      <c r="A96" s="440"/>
      <c r="B96" s="440"/>
      <c r="C96" s="440"/>
      <c r="D96" s="440"/>
      <c r="E96" s="440"/>
      <c r="F96" s="440"/>
      <c r="G96" s="435"/>
      <c r="H96" s="440"/>
      <c r="I96" s="440"/>
      <c r="J96" s="440"/>
      <c r="K96" s="440"/>
      <c r="L96" s="440"/>
      <c r="M96" s="440"/>
      <c r="N96" s="440"/>
      <c r="O96" s="440"/>
      <c r="P96" s="440"/>
      <c r="Q96" s="440"/>
      <c r="R96" s="440"/>
      <c r="S96" s="440"/>
      <c r="T96" s="440"/>
      <c r="U96" s="440"/>
      <c r="V96" s="440"/>
      <c r="W96" s="440"/>
      <c r="X96" s="440"/>
      <c r="Y96" s="440"/>
      <c r="Z96" s="440"/>
      <c r="AA96" s="440"/>
    </row>
    <row r="97" ht="15.75" customHeight="1">
      <c r="A97" s="440"/>
      <c r="B97" s="440"/>
      <c r="C97" s="440"/>
      <c r="D97" s="440"/>
      <c r="E97" s="440"/>
      <c r="F97" s="440"/>
      <c r="G97" s="435"/>
      <c r="H97" s="440"/>
      <c r="I97" s="440"/>
      <c r="J97" s="440"/>
      <c r="K97" s="440"/>
      <c r="L97" s="440"/>
      <c r="M97" s="440"/>
      <c r="N97" s="440"/>
      <c r="O97" s="440"/>
      <c r="P97" s="440"/>
      <c r="Q97" s="440"/>
      <c r="R97" s="440"/>
      <c r="S97" s="440"/>
      <c r="T97" s="440"/>
      <c r="U97" s="440"/>
      <c r="V97" s="440"/>
      <c r="W97" s="440"/>
      <c r="X97" s="440"/>
      <c r="Y97" s="440"/>
      <c r="Z97" s="440"/>
      <c r="AA97" s="440"/>
    </row>
    <row r="98" ht="15.75" customHeight="1">
      <c r="A98" s="440"/>
      <c r="B98" s="440"/>
      <c r="C98" s="440"/>
      <c r="D98" s="440"/>
      <c r="E98" s="440"/>
      <c r="F98" s="440"/>
      <c r="G98" s="435"/>
      <c r="H98" s="440"/>
      <c r="I98" s="440"/>
      <c r="J98" s="440"/>
      <c r="K98" s="440"/>
      <c r="L98" s="440"/>
      <c r="M98" s="440"/>
      <c r="N98" s="440"/>
      <c r="O98" s="440"/>
      <c r="P98" s="440"/>
      <c r="Q98" s="440"/>
      <c r="R98" s="440"/>
      <c r="S98" s="440"/>
      <c r="T98" s="440"/>
      <c r="U98" s="440"/>
      <c r="V98" s="440"/>
      <c r="W98" s="440"/>
      <c r="X98" s="440"/>
      <c r="Y98" s="440"/>
      <c r="Z98" s="440"/>
      <c r="AA98" s="440"/>
    </row>
    <row r="99" ht="15.75" customHeight="1">
      <c r="A99" s="440"/>
      <c r="B99" s="440"/>
      <c r="C99" s="440"/>
      <c r="D99" s="440"/>
      <c r="E99" s="440"/>
      <c r="F99" s="440"/>
      <c r="G99" s="435"/>
      <c r="H99" s="440"/>
      <c r="I99" s="440"/>
      <c r="J99" s="440"/>
      <c r="K99" s="440"/>
      <c r="L99" s="440"/>
      <c r="M99" s="440"/>
      <c r="N99" s="440"/>
      <c r="O99" s="440"/>
      <c r="P99" s="440"/>
      <c r="Q99" s="440"/>
      <c r="R99" s="440"/>
      <c r="S99" s="440"/>
      <c r="T99" s="440"/>
      <c r="U99" s="440"/>
      <c r="V99" s="440"/>
      <c r="W99" s="440"/>
      <c r="X99" s="440"/>
      <c r="Y99" s="440"/>
      <c r="Z99" s="440"/>
      <c r="AA99" s="440"/>
    </row>
    <row r="100" ht="15.75" customHeight="1">
      <c r="A100" s="440"/>
      <c r="B100" s="440"/>
      <c r="C100" s="440"/>
      <c r="D100" s="440"/>
      <c r="E100" s="440"/>
      <c r="F100" s="440"/>
      <c r="G100" s="435"/>
      <c r="H100" s="440"/>
      <c r="I100" s="440"/>
      <c r="J100" s="440"/>
      <c r="K100" s="440"/>
      <c r="L100" s="440"/>
      <c r="M100" s="440"/>
      <c r="N100" s="440"/>
      <c r="O100" s="440"/>
      <c r="P100" s="440"/>
      <c r="Q100" s="440"/>
      <c r="R100" s="440"/>
      <c r="S100" s="440"/>
      <c r="T100" s="440"/>
      <c r="U100" s="440"/>
      <c r="V100" s="440"/>
      <c r="W100" s="440"/>
      <c r="X100" s="440"/>
      <c r="Y100" s="440"/>
      <c r="Z100" s="440"/>
      <c r="AA100" s="440"/>
    </row>
    <row r="101" ht="15.75" customHeight="1">
      <c r="A101" s="440"/>
      <c r="B101" s="440"/>
      <c r="C101" s="440"/>
      <c r="D101" s="440"/>
      <c r="E101" s="440"/>
      <c r="F101" s="440"/>
      <c r="G101" s="435"/>
      <c r="H101" s="440"/>
      <c r="I101" s="440"/>
      <c r="J101" s="440"/>
      <c r="K101" s="440"/>
      <c r="L101" s="440"/>
      <c r="M101" s="440"/>
      <c r="N101" s="440"/>
      <c r="O101" s="440"/>
      <c r="P101" s="440"/>
      <c r="Q101" s="440"/>
      <c r="R101" s="440"/>
      <c r="S101" s="440"/>
      <c r="T101" s="440"/>
      <c r="U101" s="440"/>
      <c r="V101" s="440"/>
      <c r="W101" s="440"/>
      <c r="X101" s="440"/>
      <c r="Y101" s="440"/>
      <c r="Z101" s="440"/>
      <c r="AA101" s="440"/>
    </row>
    <row r="102" ht="15.75" customHeight="1">
      <c r="A102" s="440"/>
      <c r="B102" s="440"/>
      <c r="C102" s="440"/>
      <c r="D102" s="440"/>
      <c r="E102" s="440"/>
      <c r="F102" s="440"/>
      <c r="G102" s="435"/>
      <c r="H102" s="440"/>
      <c r="I102" s="440"/>
      <c r="J102" s="440"/>
      <c r="K102" s="440"/>
      <c r="L102" s="440"/>
      <c r="M102" s="440"/>
      <c r="N102" s="440"/>
      <c r="O102" s="440"/>
      <c r="P102" s="440"/>
      <c r="Q102" s="440"/>
      <c r="R102" s="440"/>
      <c r="S102" s="440"/>
      <c r="T102" s="440"/>
      <c r="U102" s="440"/>
      <c r="V102" s="440"/>
      <c r="W102" s="440"/>
      <c r="X102" s="440"/>
      <c r="Y102" s="440"/>
      <c r="Z102" s="440"/>
      <c r="AA102" s="440"/>
    </row>
    <row r="103" ht="15.75" customHeight="1">
      <c r="A103" s="440"/>
      <c r="B103" s="440"/>
      <c r="C103" s="440"/>
      <c r="D103" s="440"/>
      <c r="E103" s="440"/>
      <c r="F103" s="440"/>
      <c r="G103" s="435"/>
      <c r="H103" s="440"/>
      <c r="I103" s="440"/>
      <c r="J103" s="440"/>
      <c r="K103" s="440"/>
      <c r="L103" s="440"/>
      <c r="M103" s="440"/>
      <c r="N103" s="440"/>
      <c r="O103" s="440"/>
      <c r="P103" s="440"/>
      <c r="Q103" s="440"/>
      <c r="R103" s="440"/>
      <c r="S103" s="440"/>
      <c r="T103" s="440"/>
      <c r="U103" s="440"/>
      <c r="V103" s="440"/>
      <c r="W103" s="440"/>
      <c r="X103" s="440"/>
      <c r="Y103" s="440"/>
      <c r="Z103" s="440"/>
      <c r="AA103" s="440"/>
    </row>
    <row r="104" ht="15.75" customHeight="1">
      <c r="A104" s="440"/>
      <c r="B104" s="440"/>
      <c r="C104" s="440"/>
      <c r="D104" s="440"/>
      <c r="E104" s="440"/>
      <c r="F104" s="440"/>
      <c r="G104" s="435"/>
      <c r="H104" s="440"/>
      <c r="I104" s="440"/>
      <c r="J104" s="440"/>
      <c r="K104" s="440"/>
      <c r="L104" s="440"/>
      <c r="M104" s="440"/>
      <c r="N104" s="440"/>
      <c r="O104" s="440"/>
      <c r="P104" s="440"/>
      <c r="Q104" s="440"/>
      <c r="R104" s="440"/>
      <c r="S104" s="440"/>
      <c r="T104" s="440"/>
      <c r="U104" s="440"/>
      <c r="V104" s="440"/>
      <c r="W104" s="440"/>
      <c r="X104" s="440"/>
      <c r="Y104" s="440"/>
      <c r="Z104" s="440"/>
      <c r="AA104" s="440"/>
    </row>
    <row r="105" ht="15.75" customHeight="1">
      <c r="A105" s="440"/>
      <c r="B105" s="440"/>
      <c r="C105" s="440"/>
      <c r="D105" s="440"/>
      <c r="E105" s="440"/>
      <c r="F105" s="440"/>
      <c r="G105" s="435"/>
      <c r="H105" s="440"/>
      <c r="I105" s="440"/>
      <c r="J105" s="440"/>
      <c r="K105" s="440"/>
      <c r="L105" s="440"/>
      <c r="M105" s="440"/>
      <c r="N105" s="440"/>
      <c r="O105" s="440"/>
      <c r="P105" s="440"/>
      <c r="Q105" s="440"/>
      <c r="R105" s="440"/>
      <c r="S105" s="440"/>
      <c r="T105" s="440"/>
      <c r="U105" s="440"/>
      <c r="V105" s="440"/>
      <c r="W105" s="440"/>
      <c r="X105" s="440"/>
      <c r="Y105" s="440"/>
      <c r="Z105" s="440"/>
      <c r="AA105" s="440"/>
    </row>
    <row r="106" ht="15.75" customHeight="1">
      <c r="A106" s="440"/>
      <c r="B106" s="440"/>
      <c r="C106" s="440"/>
      <c r="D106" s="440"/>
      <c r="E106" s="440"/>
      <c r="F106" s="440"/>
      <c r="G106" s="435"/>
      <c r="H106" s="440"/>
      <c r="I106" s="440"/>
      <c r="J106" s="440"/>
      <c r="K106" s="440"/>
      <c r="L106" s="440"/>
      <c r="M106" s="440"/>
      <c r="N106" s="440"/>
      <c r="O106" s="440"/>
      <c r="P106" s="440"/>
      <c r="Q106" s="440"/>
      <c r="R106" s="440"/>
      <c r="S106" s="440"/>
      <c r="T106" s="440"/>
      <c r="U106" s="440"/>
      <c r="V106" s="440"/>
      <c r="W106" s="440"/>
      <c r="X106" s="440"/>
      <c r="Y106" s="440"/>
      <c r="Z106" s="440"/>
      <c r="AA106" s="440"/>
    </row>
    <row r="107" ht="15.75" customHeight="1">
      <c r="A107" s="440"/>
      <c r="B107" s="440"/>
      <c r="C107" s="440"/>
      <c r="D107" s="440"/>
      <c r="E107" s="440"/>
      <c r="F107" s="440"/>
      <c r="G107" s="435"/>
      <c r="H107" s="440"/>
      <c r="I107" s="440"/>
      <c r="J107" s="440"/>
      <c r="K107" s="440"/>
      <c r="L107" s="440"/>
      <c r="M107" s="440"/>
      <c r="N107" s="440"/>
      <c r="O107" s="440"/>
      <c r="P107" s="440"/>
      <c r="Q107" s="440"/>
      <c r="R107" s="440"/>
      <c r="S107" s="440"/>
      <c r="T107" s="440"/>
      <c r="U107" s="440"/>
      <c r="V107" s="440"/>
      <c r="W107" s="440"/>
      <c r="X107" s="440"/>
      <c r="Y107" s="440"/>
      <c r="Z107" s="440"/>
      <c r="AA107" s="440"/>
    </row>
    <row r="108" ht="15.75" customHeight="1">
      <c r="A108" s="440"/>
      <c r="B108" s="440"/>
      <c r="C108" s="440"/>
      <c r="D108" s="440"/>
      <c r="E108" s="440"/>
      <c r="F108" s="440"/>
      <c r="G108" s="435"/>
      <c r="H108" s="440"/>
      <c r="I108" s="440"/>
      <c r="J108" s="440"/>
      <c r="K108" s="440"/>
      <c r="L108" s="440"/>
      <c r="M108" s="440"/>
      <c r="N108" s="440"/>
      <c r="O108" s="440"/>
      <c r="P108" s="440"/>
      <c r="Q108" s="440"/>
      <c r="R108" s="440"/>
      <c r="S108" s="440"/>
      <c r="T108" s="440"/>
      <c r="U108" s="440"/>
      <c r="V108" s="440"/>
      <c r="W108" s="440"/>
      <c r="X108" s="440"/>
      <c r="Y108" s="440"/>
      <c r="Z108" s="440"/>
      <c r="AA108" s="440"/>
    </row>
    <row r="109" ht="15.75" customHeight="1">
      <c r="A109" s="440"/>
      <c r="B109" s="440"/>
      <c r="C109" s="440"/>
      <c r="D109" s="440"/>
      <c r="E109" s="440"/>
      <c r="F109" s="440"/>
      <c r="G109" s="435"/>
      <c r="H109" s="440"/>
      <c r="I109" s="440"/>
      <c r="J109" s="440"/>
      <c r="K109" s="440"/>
      <c r="L109" s="440"/>
      <c r="M109" s="440"/>
      <c r="N109" s="440"/>
      <c r="O109" s="440"/>
      <c r="P109" s="440"/>
      <c r="Q109" s="440"/>
      <c r="R109" s="440"/>
      <c r="S109" s="440"/>
      <c r="T109" s="440"/>
      <c r="U109" s="440"/>
      <c r="V109" s="440"/>
      <c r="W109" s="440"/>
      <c r="X109" s="440"/>
      <c r="Y109" s="440"/>
      <c r="Z109" s="440"/>
      <c r="AA109" s="440"/>
    </row>
    <row r="110" ht="15.75" customHeight="1">
      <c r="A110" s="440"/>
      <c r="B110" s="440"/>
      <c r="C110" s="440"/>
      <c r="D110" s="440"/>
      <c r="E110" s="440"/>
      <c r="F110" s="440"/>
      <c r="G110" s="435"/>
      <c r="H110" s="440"/>
      <c r="I110" s="440"/>
      <c r="J110" s="440"/>
      <c r="K110" s="440"/>
      <c r="L110" s="440"/>
      <c r="M110" s="440"/>
      <c r="N110" s="440"/>
      <c r="O110" s="440"/>
      <c r="P110" s="440"/>
      <c r="Q110" s="440"/>
      <c r="R110" s="440"/>
      <c r="S110" s="440"/>
      <c r="T110" s="440"/>
      <c r="U110" s="440"/>
      <c r="V110" s="440"/>
      <c r="W110" s="440"/>
      <c r="X110" s="440"/>
      <c r="Y110" s="440"/>
      <c r="Z110" s="440"/>
      <c r="AA110" s="440"/>
    </row>
    <row r="111" ht="15.75" customHeight="1">
      <c r="A111" s="440"/>
      <c r="B111" s="440"/>
      <c r="C111" s="440"/>
      <c r="D111" s="440"/>
      <c r="E111" s="440"/>
      <c r="F111" s="440"/>
      <c r="G111" s="435"/>
      <c r="H111" s="440"/>
      <c r="I111" s="440"/>
      <c r="J111" s="440"/>
      <c r="K111" s="440"/>
      <c r="L111" s="440"/>
      <c r="M111" s="440"/>
      <c r="N111" s="440"/>
      <c r="O111" s="440"/>
      <c r="P111" s="440"/>
      <c r="Q111" s="440"/>
      <c r="R111" s="440"/>
      <c r="S111" s="440"/>
      <c r="T111" s="440"/>
      <c r="U111" s="440"/>
      <c r="V111" s="440"/>
      <c r="W111" s="440"/>
      <c r="X111" s="440"/>
      <c r="Y111" s="440"/>
      <c r="Z111" s="440"/>
      <c r="AA111" s="440"/>
    </row>
    <row r="112" ht="15.75" customHeight="1">
      <c r="A112" s="440"/>
      <c r="B112" s="440"/>
      <c r="C112" s="440"/>
      <c r="D112" s="440"/>
      <c r="E112" s="440"/>
      <c r="F112" s="440"/>
      <c r="G112" s="435"/>
      <c r="H112" s="440"/>
      <c r="I112" s="440"/>
      <c r="J112" s="440"/>
      <c r="K112" s="440"/>
      <c r="L112" s="440"/>
      <c r="M112" s="440"/>
      <c r="N112" s="440"/>
      <c r="O112" s="440"/>
      <c r="P112" s="440"/>
      <c r="Q112" s="440"/>
      <c r="R112" s="440"/>
      <c r="S112" s="440"/>
      <c r="T112" s="440"/>
      <c r="U112" s="440"/>
      <c r="V112" s="440"/>
      <c r="W112" s="440"/>
      <c r="X112" s="440"/>
      <c r="Y112" s="440"/>
      <c r="Z112" s="440"/>
      <c r="AA112" s="440"/>
    </row>
    <row r="113" ht="15.75" customHeight="1">
      <c r="A113" s="440"/>
      <c r="B113" s="440"/>
      <c r="C113" s="440"/>
      <c r="D113" s="440"/>
      <c r="E113" s="440"/>
      <c r="F113" s="440"/>
      <c r="G113" s="435"/>
      <c r="H113" s="440"/>
      <c r="I113" s="440"/>
      <c r="J113" s="440"/>
      <c r="K113" s="440"/>
      <c r="L113" s="440"/>
      <c r="M113" s="440"/>
      <c r="N113" s="440"/>
      <c r="O113" s="440"/>
      <c r="P113" s="440"/>
      <c r="Q113" s="440"/>
      <c r="R113" s="440"/>
      <c r="S113" s="440"/>
      <c r="T113" s="440"/>
      <c r="U113" s="440"/>
      <c r="V113" s="440"/>
      <c r="W113" s="440"/>
      <c r="X113" s="440"/>
      <c r="Y113" s="440"/>
      <c r="Z113" s="440"/>
      <c r="AA113" s="440"/>
    </row>
    <row r="114" ht="15.75" customHeight="1">
      <c r="A114" s="440"/>
      <c r="B114" s="440"/>
      <c r="C114" s="440"/>
      <c r="D114" s="440"/>
      <c r="E114" s="440"/>
      <c r="F114" s="440"/>
      <c r="G114" s="435"/>
      <c r="H114" s="440"/>
      <c r="I114" s="440"/>
      <c r="J114" s="440"/>
      <c r="K114" s="440"/>
      <c r="L114" s="440"/>
      <c r="M114" s="440"/>
      <c r="N114" s="440"/>
      <c r="O114" s="440"/>
      <c r="P114" s="440"/>
      <c r="Q114" s="440"/>
      <c r="R114" s="440"/>
      <c r="S114" s="440"/>
      <c r="T114" s="440"/>
      <c r="U114" s="440"/>
      <c r="V114" s="440"/>
      <c r="W114" s="440"/>
      <c r="X114" s="440"/>
      <c r="Y114" s="440"/>
      <c r="Z114" s="440"/>
      <c r="AA114" s="440"/>
    </row>
    <row r="115" ht="15.75" customHeight="1">
      <c r="A115" s="440"/>
      <c r="B115" s="440"/>
      <c r="C115" s="440"/>
      <c r="D115" s="440"/>
      <c r="E115" s="440"/>
      <c r="F115" s="440"/>
      <c r="G115" s="435"/>
      <c r="H115" s="440"/>
      <c r="I115" s="440"/>
      <c r="J115" s="440"/>
      <c r="K115" s="440"/>
      <c r="L115" s="440"/>
      <c r="M115" s="440"/>
      <c r="N115" s="440"/>
      <c r="O115" s="440"/>
      <c r="P115" s="440"/>
      <c r="Q115" s="440"/>
      <c r="R115" s="440"/>
      <c r="S115" s="440"/>
      <c r="T115" s="440"/>
      <c r="U115" s="440"/>
      <c r="V115" s="440"/>
      <c r="W115" s="440"/>
      <c r="X115" s="440"/>
      <c r="Y115" s="440"/>
      <c r="Z115" s="440"/>
      <c r="AA115" s="440"/>
    </row>
    <row r="116" ht="15.75" customHeight="1">
      <c r="A116" s="440"/>
      <c r="B116" s="440"/>
      <c r="C116" s="440"/>
      <c r="D116" s="440"/>
      <c r="E116" s="440"/>
      <c r="F116" s="440"/>
      <c r="G116" s="435"/>
      <c r="H116" s="440"/>
      <c r="I116" s="440"/>
      <c r="J116" s="440"/>
      <c r="K116" s="440"/>
      <c r="L116" s="440"/>
      <c r="M116" s="440"/>
      <c r="N116" s="440"/>
      <c r="O116" s="440"/>
      <c r="P116" s="440"/>
      <c r="Q116" s="440"/>
      <c r="R116" s="440"/>
      <c r="S116" s="440"/>
      <c r="T116" s="440"/>
      <c r="U116" s="440"/>
      <c r="V116" s="440"/>
      <c r="W116" s="440"/>
      <c r="X116" s="440"/>
      <c r="Y116" s="440"/>
      <c r="Z116" s="440"/>
      <c r="AA116" s="440"/>
    </row>
    <row r="117" ht="15.75" customHeight="1">
      <c r="A117" s="440"/>
      <c r="B117" s="440"/>
      <c r="C117" s="440"/>
      <c r="D117" s="440"/>
      <c r="E117" s="440"/>
      <c r="F117" s="440"/>
      <c r="G117" s="435"/>
      <c r="H117" s="440"/>
      <c r="I117" s="440"/>
      <c r="J117" s="440"/>
      <c r="K117" s="440"/>
      <c r="L117" s="440"/>
      <c r="M117" s="440"/>
      <c r="N117" s="440"/>
      <c r="O117" s="440"/>
      <c r="P117" s="440"/>
      <c r="Q117" s="440"/>
      <c r="R117" s="440"/>
      <c r="S117" s="440"/>
      <c r="T117" s="440"/>
      <c r="U117" s="440"/>
      <c r="V117" s="440"/>
      <c r="W117" s="440"/>
      <c r="X117" s="440"/>
      <c r="Y117" s="440"/>
      <c r="Z117" s="440"/>
      <c r="AA117" s="440"/>
    </row>
    <row r="118" ht="15.75" customHeight="1">
      <c r="A118" s="440"/>
      <c r="B118" s="440"/>
      <c r="C118" s="440"/>
      <c r="D118" s="440"/>
      <c r="E118" s="440"/>
      <c r="F118" s="440"/>
      <c r="G118" s="435"/>
      <c r="H118" s="440"/>
      <c r="I118" s="440"/>
      <c r="J118" s="440"/>
      <c r="K118" s="440"/>
      <c r="L118" s="440"/>
      <c r="M118" s="440"/>
      <c r="N118" s="440"/>
      <c r="O118" s="440"/>
      <c r="P118" s="440"/>
      <c r="Q118" s="440"/>
      <c r="R118" s="440"/>
      <c r="S118" s="440"/>
      <c r="T118" s="440"/>
      <c r="U118" s="440"/>
      <c r="V118" s="440"/>
      <c r="W118" s="440"/>
      <c r="X118" s="440"/>
      <c r="Y118" s="440"/>
      <c r="Z118" s="440"/>
      <c r="AA118" s="440"/>
    </row>
    <row r="119" ht="15.75" customHeight="1">
      <c r="A119" s="440"/>
      <c r="B119" s="440"/>
      <c r="C119" s="440"/>
      <c r="D119" s="440"/>
      <c r="E119" s="440"/>
      <c r="F119" s="440"/>
      <c r="G119" s="435"/>
      <c r="H119" s="440"/>
      <c r="I119" s="440"/>
      <c r="J119" s="440"/>
      <c r="K119" s="440"/>
      <c r="L119" s="440"/>
      <c r="M119" s="440"/>
      <c r="N119" s="440"/>
      <c r="O119" s="440"/>
      <c r="P119" s="440"/>
      <c r="Q119" s="440"/>
      <c r="R119" s="440"/>
      <c r="S119" s="440"/>
      <c r="T119" s="440"/>
      <c r="U119" s="440"/>
      <c r="V119" s="440"/>
      <c r="W119" s="440"/>
      <c r="X119" s="440"/>
      <c r="Y119" s="440"/>
      <c r="Z119" s="440"/>
      <c r="AA119" s="440"/>
    </row>
    <row r="120" ht="15.75" customHeight="1">
      <c r="A120" s="440"/>
      <c r="B120" s="440"/>
      <c r="C120" s="440"/>
      <c r="D120" s="440"/>
      <c r="E120" s="440"/>
      <c r="F120" s="440"/>
      <c r="G120" s="435"/>
      <c r="H120" s="440"/>
      <c r="I120" s="440"/>
      <c r="J120" s="440"/>
      <c r="K120" s="440"/>
      <c r="L120" s="440"/>
      <c r="M120" s="440"/>
      <c r="N120" s="440"/>
      <c r="O120" s="440"/>
      <c r="P120" s="440"/>
      <c r="Q120" s="440"/>
      <c r="R120" s="440"/>
      <c r="S120" s="440"/>
      <c r="T120" s="440"/>
      <c r="U120" s="440"/>
      <c r="V120" s="440"/>
      <c r="W120" s="440"/>
      <c r="X120" s="440"/>
      <c r="Y120" s="440"/>
      <c r="Z120" s="440"/>
      <c r="AA120" s="440"/>
    </row>
    <row r="121" ht="15.75" customHeight="1">
      <c r="A121" s="440"/>
      <c r="B121" s="440"/>
      <c r="C121" s="440"/>
      <c r="D121" s="440"/>
      <c r="E121" s="440"/>
      <c r="F121" s="440"/>
      <c r="G121" s="435"/>
      <c r="H121" s="440"/>
      <c r="I121" s="440"/>
      <c r="J121" s="440"/>
      <c r="K121" s="440"/>
      <c r="L121" s="440"/>
      <c r="M121" s="440"/>
      <c r="N121" s="440"/>
      <c r="O121" s="440"/>
      <c r="P121" s="440"/>
      <c r="Q121" s="440"/>
      <c r="R121" s="440"/>
      <c r="S121" s="440"/>
      <c r="T121" s="440"/>
      <c r="U121" s="440"/>
      <c r="V121" s="440"/>
      <c r="W121" s="440"/>
      <c r="X121" s="440"/>
      <c r="Y121" s="440"/>
      <c r="Z121" s="440"/>
      <c r="AA121" s="440"/>
    </row>
    <row r="122" ht="15.75" customHeight="1">
      <c r="A122" s="440"/>
      <c r="B122" s="440"/>
      <c r="C122" s="440"/>
      <c r="D122" s="440"/>
      <c r="E122" s="440"/>
      <c r="F122" s="440"/>
      <c r="G122" s="435"/>
      <c r="H122" s="440"/>
      <c r="I122" s="440"/>
      <c r="J122" s="440"/>
      <c r="K122" s="440"/>
      <c r="L122" s="440"/>
      <c r="M122" s="440"/>
      <c r="N122" s="440"/>
      <c r="O122" s="440"/>
      <c r="P122" s="440"/>
      <c r="Q122" s="440"/>
      <c r="R122" s="440"/>
      <c r="S122" s="440"/>
      <c r="T122" s="440"/>
      <c r="U122" s="440"/>
      <c r="V122" s="440"/>
      <c r="W122" s="440"/>
      <c r="X122" s="440"/>
      <c r="Y122" s="440"/>
      <c r="Z122" s="440"/>
      <c r="AA122" s="440"/>
    </row>
    <row r="123" ht="15.75" customHeight="1">
      <c r="A123" s="440"/>
      <c r="B123" s="440"/>
      <c r="C123" s="440"/>
      <c r="D123" s="440"/>
      <c r="E123" s="440"/>
      <c r="F123" s="440"/>
      <c r="G123" s="435"/>
      <c r="H123" s="440"/>
      <c r="I123" s="440"/>
      <c r="J123" s="440"/>
      <c r="K123" s="440"/>
      <c r="L123" s="440"/>
      <c r="M123" s="440"/>
      <c r="N123" s="440"/>
      <c r="O123" s="440"/>
      <c r="P123" s="440"/>
      <c r="Q123" s="440"/>
      <c r="R123" s="440"/>
      <c r="S123" s="440"/>
      <c r="T123" s="440"/>
      <c r="U123" s="440"/>
      <c r="V123" s="440"/>
      <c r="W123" s="440"/>
      <c r="X123" s="440"/>
      <c r="Y123" s="440"/>
      <c r="Z123" s="440"/>
      <c r="AA123" s="440"/>
    </row>
    <row r="124" ht="15.75" customHeight="1">
      <c r="A124" s="440"/>
      <c r="B124" s="440"/>
      <c r="C124" s="440"/>
      <c r="D124" s="440"/>
      <c r="E124" s="440"/>
      <c r="F124" s="440"/>
      <c r="G124" s="435"/>
      <c r="H124" s="440"/>
      <c r="I124" s="440"/>
      <c r="J124" s="440"/>
      <c r="K124" s="440"/>
      <c r="L124" s="440"/>
      <c r="M124" s="440"/>
      <c r="N124" s="440"/>
      <c r="O124" s="440"/>
      <c r="P124" s="440"/>
      <c r="Q124" s="440"/>
      <c r="R124" s="440"/>
      <c r="S124" s="440"/>
      <c r="T124" s="440"/>
      <c r="U124" s="440"/>
      <c r="V124" s="440"/>
      <c r="W124" s="440"/>
      <c r="X124" s="440"/>
      <c r="Y124" s="440"/>
      <c r="Z124" s="440"/>
      <c r="AA124" s="440"/>
    </row>
    <row r="125" ht="15.75" customHeight="1">
      <c r="A125" s="440"/>
      <c r="B125" s="440"/>
      <c r="C125" s="440"/>
      <c r="D125" s="440"/>
      <c r="E125" s="440"/>
      <c r="F125" s="440"/>
      <c r="G125" s="435"/>
      <c r="H125" s="440"/>
      <c r="I125" s="440"/>
      <c r="J125" s="440"/>
      <c r="K125" s="440"/>
      <c r="L125" s="440"/>
      <c r="M125" s="440"/>
      <c r="N125" s="440"/>
      <c r="O125" s="440"/>
      <c r="P125" s="440"/>
      <c r="Q125" s="440"/>
      <c r="R125" s="440"/>
      <c r="S125" s="440"/>
      <c r="T125" s="440"/>
      <c r="U125" s="440"/>
      <c r="V125" s="440"/>
      <c r="W125" s="440"/>
      <c r="X125" s="440"/>
      <c r="Y125" s="440"/>
      <c r="Z125" s="440"/>
      <c r="AA125" s="440"/>
    </row>
    <row r="126" ht="15.75" customHeight="1">
      <c r="A126" s="440"/>
      <c r="B126" s="440"/>
      <c r="C126" s="440"/>
      <c r="D126" s="440"/>
      <c r="E126" s="440"/>
      <c r="F126" s="440"/>
      <c r="G126" s="435"/>
      <c r="H126" s="440"/>
      <c r="I126" s="440"/>
      <c r="J126" s="440"/>
      <c r="K126" s="440"/>
      <c r="L126" s="440"/>
      <c r="M126" s="440"/>
      <c r="N126" s="440"/>
      <c r="O126" s="440"/>
      <c r="P126" s="440"/>
      <c r="Q126" s="440"/>
      <c r="R126" s="440"/>
      <c r="S126" s="440"/>
      <c r="T126" s="440"/>
      <c r="U126" s="440"/>
      <c r="V126" s="440"/>
      <c r="W126" s="440"/>
      <c r="X126" s="440"/>
      <c r="Y126" s="440"/>
      <c r="Z126" s="440"/>
      <c r="AA126" s="440"/>
    </row>
    <row r="127" ht="15.75" customHeight="1">
      <c r="A127" s="440"/>
      <c r="B127" s="440"/>
      <c r="C127" s="440"/>
      <c r="D127" s="440"/>
      <c r="E127" s="440"/>
      <c r="F127" s="440"/>
      <c r="G127" s="435"/>
      <c r="H127" s="440"/>
      <c r="I127" s="440"/>
      <c r="J127" s="440"/>
      <c r="K127" s="440"/>
      <c r="L127" s="440"/>
      <c r="M127" s="440"/>
      <c r="N127" s="440"/>
      <c r="O127" s="440"/>
      <c r="P127" s="440"/>
      <c r="Q127" s="440"/>
      <c r="R127" s="440"/>
      <c r="S127" s="440"/>
      <c r="T127" s="440"/>
      <c r="U127" s="440"/>
      <c r="V127" s="440"/>
      <c r="W127" s="440"/>
      <c r="X127" s="440"/>
      <c r="Y127" s="440"/>
      <c r="Z127" s="440"/>
      <c r="AA127" s="440"/>
    </row>
    <row r="128" ht="15.75" customHeight="1">
      <c r="A128" s="440"/>
      <c r="B128" s="440"/>
      <c r="C128" s="440"/>
      <c r="D128" s="440"/>
      <c r="E128" s="440"/>
      <c r="F128" s="440"/>
      <c r="G128" s="435"/>
      <c r="H128" s="440"/>
      <c r="I128" s="440"/>
      <c r="J128" s="440"/>
      <c r="K128" s="440"/>
      <c r="L128" s="440"/>
      <c r="M128" s="440"/>
      <c r="N128" s="440"/>
      <c r="O128" s="440"/>
      <c r="P128" s="440"/>
      <c r="Q128" s="440"/>
      <c r="R128" s="440"/>
      <c r="S128" s="440"/>
      <c r="T128" s="440"/>
      <c r="U128" s="440"/>
      <c r="V128" s="440"/>
      <c r="W128" s="440"/>
      <c r="X128" s="440"/>
      <c r="Y128" s="440"/>
      <c r="Z128" s="440"/>
      <c r="AA128" s="440"/>
    </row>
    <row r="129" ht="15.75" customHeight="1">
      <c r="A129" s="440"/>
      <c r="B129" s="440"/>
      <c r="C129" s="440"/>
      <c r="D129" s="440"/>
      <c r="E129" s="440"/>
      <c r="F129" s="440"/>
      <c r="G129" s="435"/>
      <c r="H129" s="440"/>
      <c r="I129" s="440"/>
      <c r="J129" s="440"/>
      <c r="K129" s="440"/>
      <c r="L129" s="440"/>
      <c r="M129" s="440"/>
      <c r="N129" s="440"/>
      <c r="O129" s="440"/>
      <c r="P129" s="440"/>
      <c r="Q129" s="440"/>
      <c r="R129" s="440"/>
      <c r="S129" s="440"/>
      <c r="T129" s="440"/>
      <c r="U129" s="440"/>
      <c r="V129" s="440"/>
      <c r="W129" s="440"/>
      <c r="X129" s="440"/>
      <c r="Y129" s="440"/>
      <c r="Z129" s="440"/>
      <c r="AA129" s="440"/>
    </row>
    <row r="130" ht="15.75" customHeight="1">
      <c r="A130" s="440"/>
      <c r="B130" s="440"/>
      <c r="C130" s="440"/>
      <c r="D130" s="440"/>
      <c r="E130" s="440"/>
      <c r="F130" s="440"/>
      <c r="G130" s="435"/>
      <c r="H130" s="440"/>
      <c r="I130" s="440"/>
      <c r="J130" s="440"/>
      <c r="K130" s="440"/>
      <c r="L130" s="440"/>
      <c r="M130" s="440"/>
      <c r="N130" s="440"/>
      <c r="O130" s="440"/>
      <c r="P130" s="440"/>
      <c r="Q130" s="440"/>
      <c r="R130" s="440"/>
      <c r="S130" s="440"/>
      <c r="T130" s="440"/>
      <c r="U130" s="440"/>
      <c r="V130" s="440"/>
      <c r="W130" s="440"/>
      <c r="X130" s="440"/>
      <c r="Y130" s="440"/>
      <c r="Z130" s="440"/>
      <c r="AA130" s="440"/>
    </row>
    <row r="131" ht="15.75" customHeight="1">
      <c r="A131" s="440"/>
      <c r="B131" s="440"/>
      <c r="C131" s="440"/>
      <c r="D131" s="440"/>
      <c r="E131" s="440"/>
      <c r="F131" s="440"/>
      <c r="G131" s="435"/>
      <c r="H131" s="440"/>
      <c r="I131" s="440"/>
      <c r="J131" s="440"/>
      <c r="K131" s="440"/>
      <c r="L131" s="440"/>
      <c r="M131" s="440"/>
      <c r="N131" s="440"/>
      <c r="O131" s="440"/>
      <c r="P131" s="440"/>
      <c r="Q131" s="440"/>
      <c r="R131" s="440"/>
      <c r="S131" s="440"/>
      <c r="T131" s="440"/>
      <c r="U131" s="440"/>
      <c r="V131" s="440"/>
      <c r="W131" s="440"/>
      <c r="X131" s="440"/>
      <c r="Y131" s="440"/>
      <c r="Z131" s="440"/>
      <c r="AA131" s="440"/>
    </row>
    <row r="132" ht="15.75" customHeight="1">
      <c r="A132" s="440"/>
      <c r="B132" s="440"/>
      <c r="C132" s="440"/>
      <c r="D132" s="440"/>
      <c r="E132" s="440"/>
      <c r="F132" s="440"/>
      <c r="G132" s="435"/>
      <c r="H132" s="440"/>
      <c r="I132" s="440"/>
      <c r="J132" s="440"/>
      <c r="K132" s="440"/>
      <c r="L132" s="440"/>
      <c r="M132" s="440"/>
      <c r="N132" s="440"/>
      <c r="O132" s="440"/>
      <c r="P132" s="440"/>
      <c r="Q132" s="440"/>
      <c r="R132" s="440"/>
      <c r="S132" s="440"/>
      <c r="T132" s="440"/>
      <c r="U132" s="440"/>
      <c r="V132" s="440"/>
      <c r="W132" s="440"/>
      <c r="X132" s="440"/>
      <c r="Y132" s="440"/>
      <c r="Z132" s="440"/>
      <c r="AA132" s="440"/>
    </row>
    <row r="133" ht="15.75" customHeight="1">
      <c r="A133" s="440"/>
      <c r="B133" s="440"/>
      <c r="C133" s="440"/>
      <c r="D133" s="440"/>
      <c r="E133" s="440"/>
      <c r="F133" s="440"/>
      <c r="G133" s="435"/>
      <c r="H133" s="440"/>
      <c r="I133" s="440"/>
      <c r="J133" s="440"/>
      <c r="K133" s="440"/>
      <c r="L133" s="440"/>
      <c r="M133" s="440"/>
      <c r="N133" s="440"/>
      <c r="O133" s="440"/>
      <c r="P133" s="440"/>
      <c r="Q133" s="440"/>
      <c r="R133" s="440"/>
      <c r="S133" s="440"/>
      <c r="T133" s="440"/>
      <c r="U133" s="440"/>
      <c r="V133" s="440"/>
      <c r="W133" s="440"/>
      <c r="X133" s="440"/>
      <c r="Y133" s="440"/>
      <c r="Z133" s="440"/>
      <c r="AA133" s="440"/>
    </row>
    <row r="134" ht="15.75" customHeight="1">
      <c r="A134" s="440"/>
      <c r="B134" s="440"/>
      <c r="C134" s="440"/>
      <c r="D134" s="440"/>
      <c r="E134" s="440"/>
      <c r="F134" s="440"/>
      <c r="G134" s="435"/>
      <c r="H134" s="440"/>
      <c r="I134" s="440"/>
      <c r="J134" s="440"/>
      <c r="K134" s="440"/>
      <c r="L134" s="440"/>
      <c r="M134" s="440"/>
      <c r="N134" s="440"/>
      <c r="O134" s="440"/>
      <c r="P134" s="440"/>
      <c r="Q134" s="440"/>
      <c r="R134" s="440"/>
      <c r="S134" s="440"/>
      <c r="T134" s="440"/>
      <c r="U134" s="440"/>
      <c r="V134" s="440"/>
      <c r="W134" s="440"/>
      <c r="X134" s="440"/>
      <c r="Y134" s="440"/>
      <c r="Z134" s="440"/>
      <c r="AA134" s="440"/>
    </row>
    <row r="135" ht="15.75" customHeight="1">
      <c r="A135" s="440"/>
      <c r="B135" s="440"/>
      <c r="C135" s="440"/>
      <c r="D135" s="440"/>
      <c r="E135" s="440"/>
      <c r="F135" s="440"/>
      <c r="G135" s="435"/>
      <c r="H135" s="440"/>
      <c r="I135" s="440"/>
      <c r="J135" s="440"/>
      <c r="K135" s="440"/>
      <c r="L135" s="440"/>
      <c r="M135" s="440"/>
      <c r="N135" s="440"/>
      <c r="O135" s="440"/>
      <c r="P135" s="440"/>
      <c r="Q135" s="440"/>
      <c r="R135" s="440"/>
      <c r="S135" s="440"/>
      <c r="T135" s="440"/>
      <c r="U135" s="440"/>
      <c r="V135" s="440"/>
      <c r="W135" s="440"/>
      <c r="X135" s="440"/>
      <c r="Y135" s="440"/>
      <c r="Z135" s="440"/>
      <c r="AA135" s="440"/>
    </row>
    <row r="136" ht="15.75" customHeight="1">
      <c r="A136" s="440"/>
      <c r="B136" s="440"/>
      <c r="C136" s="440"/>
      <c r="D136" s="440"/>
      <c r="E136" s="440"/>
      <c r="F136" s="440"/>
      <c r="G136" s="435"/>
      <c r="H136" s="440"/>
      <c r="I136" s="440"/>
      <c r="J136" s="440"/>
      <c r="K136" s="440"/>
      <c r="L136" s="440"/>
      <c r="M136" s="440"/>
      <c r="N136" s="440"/>
      <c r="O136" s="440"/>
      <c r="P136" s="440"/>
      <c r="Q136" s="440"/>
      <c r="R136" s="440"/>
      <c r="S136" s="440"/>
      <c r="T136" s="440"/>
      <c r="U136" s="440"/>
      <c r="V136" s="440"/>
      <c r="W136" s="440"/>
      <c r="X136" s="440"/>
      <c r="Y136" s="440"/>
      <c r="Z136" s="440"/>
      <c r="AA136" s="440"/>
    </row>
    <row r="137" ht="15.75" customHeight="1">
      <c r="A137" s="440"/>
      <c r="B137" s="440"/>
      <c r="C137" s="440"/>
      <c r="D137" s="440"/>
      <c r="E137" s="440"/>
      <c r="F137" s="440"/>
      <c r="G137" s="435"/>
      <c r="H137" s="440"/>
      <c r="I137" s="440"/>
      <c r="J137" s="440"/>
      <c r="K137" s="440"/>
      <c r="L137" s="440"/>
      <c r="M137" s="440"/>
      <c r="N137" s="440"/>
      <c r="O137" s="440"/>
      <c r="P137" s="440"/>
      <c r="Q137" s="440"/>
      <c r="R137" s="440"/>
      <c r="S137" s="440"/>
      <c r="T137" s="440"/>
      <c r="U137" s="440"/>
      <c r="V137" s="440"/>
      <c r="W137" s="440"/>
      <c r="X137" s="440"/>
      <c r="Y137" s="440"/>
      <c r="Z137" s="440"/>
      <c r="AA137" s="440"/>
    </row>
    <row r="138" ht="15.75" customHeight="1">
      <c r="A138" s="440"/>
      <c r="B138" s="440"/>
      <c r="C138" s="440"/>
      <c r="D138" s="440"/>
      <c r="E138" s="440"/>
      <c r="F138" s="440"/>
      <c r="G138" s="435"/>
      <c r="H138" s="440"/>
      <c r="I138" s="440"/>
      <c r="J138" s="440"/>
      <c r="K138" s="440"/>
      <c r="L138" s="440"/>
      <c r="M138" s="440"/>
      <c r="N138" s="440"/>
      <c r="O138" s="440"/>
      <c r="P138" s="440"/>
      <c r="Q138" s="440"/>
      <c r="R138" s="440"/>
      <c r="S138" s="440"/>
      <c r="T138" s="440"/>
      <c r="U138" s="440"/>
      <c r="V138" s="440"/>
      <c r="W138" s="440"/>
      <c r="X138" s="440"/>
      <c r="Y138" s="440"/>
      <c r="Z138" s="440"/>
      <c r="AA138" s="440"/>
    </row>
    <row r="139" ht="15.75" customHeight="1">
      <c r="A139" s="440"/>
      <c r="B139" s="440"/>
      <c r="C139" s="440"/>
      <c r="D139" s="440"/>
      <c r="E139" s="440"/>
      <c r="F139" s="440"/>
      <c r="G139" s="435"/>
      <c r="H139" s="440"/>
      <c r="I139" s="440"/>
      <c r="J139" s="440"/>
      <c r="K139" s="440"/>
      <c r="L139" s="440"/>
      <c r="M139" s="440"/>
      <c r="N139" s="440"/>
      <c r="O139" s="440"/>
      <c r="P139" s="440"/>
      <c r="Q139" s="440"/>
      <c r="R139" s="440"/>
      <c r="S139" s="440"/>
      <c r="T139" s="440"/>
      <c r="U139" s="440"/>
      <c r="V139" s="440"/>
      <c r="W139" s="440"/>
      <c r="X139" s="440"/>
      <c r="Y139" s="440"/>
      <c r="Z139" s="440"/>
      <c r="AA139" s="440"/>
    </row>
    <row r="140" ht="15.75" customHeight="1">
      <c r="A140" s="440"/>
      <c r="B140" s="440"/>
      <c r="C140" s="440"/>
      <c r="D140" s="440"/>
      <c r="E140" s="440"/>
      <c r="F140" s="440"/>
      <c r="G140" s="435"/>
      <c r="H140" s="440"/>
      <c r="I140" s="440"/>
      <c r="J140" s="440"/>
      <c r="K140" s="440"/>
      <c r="L140" s="440"/>
      <c r="M140" s="440"/>
      <c r="N140" s="440"/>
      <c r="O140" s="440"/>
      <c r="P140" s="440"/>
      <c r="Q140" s="440"/>
      <c r="R140" s="440"/>
      <c r="S140" s="440"/>
      <c r="T140" s="440"/>
      <c r="U140" s="440"/>
      <c r="V140" s="440"/>
      <c r="W140" s="440"/>
      <c r="X140" s="440"/>
      <c r="Y140" s="440"/>
      <c r="Z140" s="440"/>
      <c r="AA140" s="440"/>
    </row>
    <row r="141" ht="15.75" customHeight="1">
      <c r="A141" s="440"/>
      <c r="B141" s="440"/>
      <c r="C141" s="440"/>
      <c r="D141" s="440"/>
      <c r="E141" s="440"/>
      <c r="F141" s="440"/>
      <c r="G141" s="435"/>
      <c r="H141" s="440"/>
      <c r="I141" s="440"/>
      <c r="J141" s="440"/>
      <c r="K141" s="440"/>
      <c r="L141" s="440"/>
      <c r="M141" s="440"/>
      <c r="N141" s="440"/>
      <c r="O141" s="440"/>
      <c r="P141" s="440"/>
      <c r="Q141" s="440"/>
      <c r="R141" s="440"/>
      <c r="S141" s="440"/>
      <c r="T141" s="440"/>
      <c r="U141" s="440"/>
      <c r="V141" s="440"/>
      <c r="W141" s="440"/>
      <c r="X141" s="440"/>
      <c r="Y141" s="440"/>
      <c r="Z141" s="440"/>
      <c r="AA141" s="440"/>
    </row>
    <row r="142" ht="15.75" customHeight="1">
      <c r="A142" s="440"/>
      <c r="B142" s="440"/>
      <c r="C142" s="440"/>
      <c r="D142" s="440"/>
      <c r="E142" s="440"/>
      <c r="F142" s="440"/>
      <c r="G142" s="435"/>
      <c r="H142" s="440"/>
      <c r="I142" s="440"/>
      <c r="J142" s="440"/>
      <c r="K142" s="440"/>
      <c r="L142" s="440"/>
      <c r="M142" s="440"/>
      <c r="N142" s="440"/>
      <c r="O142" s="440"/>
      <c r="P142" s="440"/>
      <c r="Q142" s="440"/>
      <c r="R142" s="440"/>
      <c r="S142" s="440"/>
      <c r="T142" s="440"/>
      <c r="U142" s="440"/>
      <c r="V142" s="440"/>
      <c r="W142" s="440"/>
      <c r="X142" s="440"/>
      <c r="Y142" s="440"/>
      <c r="Z142" s="440"/>
      <c r="AA142" s="440"/>
    </row>
    <row r="143" ht="15.75" customHeight="1">
      <c r="A143" s="440"/>
      <c r="B143" s="440"/>
      <c r="C143" s="440"/>
      <c r="D143" s="440"/>
      <c r="E143" s="440"/>
      <c r="F143" s="440"/>
      <c r="G143" s="435"/>
      <c r="H143" s="440"/>
      <c r="I143" s="440"/>
      <c r="J143" s="440"/>
      <c r="K143" s="440"/>
      <c r="L143" s="440"/>
      <c r="M143" s="440"/>
      <c r="N143" s="440"/>
      <c r="O143" s="440"/>
      <c r="P143" s="440"/>
      <c r="Q143" s="440"/>
      <c r="R143" s="440"/>
      <c r="S143" s="440"/>
      <c r="T143" s="440"/>
      <c r="U143" s="440"/>
      <c r="V143" s="440"/>
      <c r="W143" s="440"/>
      <c r="X143" s="440"/>
      <c r="Y143" s="440"/>
      <c r="Z143" s="440"/>
      <c r="AA143" s="440"/>
    </row>
    <row r="144" ht="15.75" customHeight="1">
      <c r="A144" s="440"/>
      <c r="B144" s="440"/>
      <c r="C144" s="440"/>
      <c r="D144" s="440"/>
      <c r="E144" s="440"/>
      <c r="F144" s="440"/>
      <c r="G144" s="435"/>
      <c r="H144" s="440"/>
      <c r="I144" s="440"/>
      <c r="J144" s="440"/>
      <c r="K144" s="440"/>
      <c r="L144" s="440"/>
      <c r="M144" s="440"/>
      <c r="N144" s="440"/>
      <c r="O144" s="440"/>
      <c r="P144" s="440"/>
      <c r="Q144" s="440"/>
      <c r="R144" s="440"/>
      <c r="S144" s="440"/>
      <c r="T144" s="440"/>
      <c r="U144" s="440"/>
      <c r="V144" s="440"/>
      <c r="W144" s="440"/>
      <c r="X144" s="440"/>
      <c r="Y144" s="440"/>
      <c r="Z144" s="440"/>
      <c r="AA144" s="440"/>
    </row>
    <row r="145" ht="15.75" customHeight="1">
      <c r="A145" s="440"/>
      <c r="B145" s="440"/>
      <c r="C145" s="440"/>
      <c r="D145" s="440"/>
      <c r="E145" s="440"/>
      <c r="F145" s="440"/>
      <c r="G145" s="435"/>
      <c r="H145" s="440"/>
      <c r="I145" s="440"/>
      <c r="J145" s="440"/>
      <c r="K145" s="440"/>
      <c r="L145" s="440"/>
      <c r="M145" s="440"/>
      <c r="N145" s="440"/>
      <c r="O145" s="440"/>
      <c r="P145" s="440"/>
      <c r="Q145" s="440"/>
      <c r="R145" s="440"/>
      <c r="S145" s="440"/>
      <c r="T145" s="440"/>
      <c r="U145" s="440"/>
      <c r="V145" s="440"/>
      <c r="W145" s="440"/>
      <c r="X145" s="440"/>
      <c r="Y145" s="440"/>
      <c r="Z145" s="440"/>
      <c r="AA145" s="440"/>
    </row>
    <row r="146" ht="15.75" customHeight="1">
      <c r="A146" s="440"/>
      <c r="B146" s="440"/>
      <c r="C146" s="440"/>
      <c r="D146" s="440"/>
      <c r="E146" s="440"/>
      <c r="F146" s="440"/>
      <c r="G146" s="435"/>
      <c r="H146" s="440"/>
      <c r="I146" s="440"/>
      <c r="J146" s="440"/>
      <c r="K146" s="440"/>
      <c r="L146" s="440"/>
      <c r="M146" s="440"/>
      <c r="N146" s="440"/>
      <c r="O146" s="440"/>
      <c r="P146" s="440"/>
      <c r="Q146" s="440"/>
      <c r="R146" s="440"/>
      <c r="S146" s="440"/>
      <c r="T146" s="440"/>
      <c r="U146" s="440"/>
      <c r="V146" s="440"/>
      <c r="W146" s="440"/>
      <c r="X146" s="440"/>
      <c r="Y146" s="440"/>
      <c r="Z146" s="440"/>
      <c r="AA146" s="440"/>
    </row>
    <row r="147" ht="15.75" customHeight="1">
      <c r="A147" s="440"/>
      <c r="B147" s="440"/>
      <c r="C147" s="440"/>
      <c r="D147" s="440"/>
      <c r="E147" s="440"/>
      <c r="F147" s="440"/>
      <c r="G147" s="435"/>
      <c r="H147" s="440"/>
      <c r="I147" s="440"/>
      <c r="J147" s="440"/>
      <c r="K147" s="440"/>
      <c r="L147" s="440"/>
      <c r="M147" s="440"/>
      <c r="N147" s="440"/>
      <c r="O147" s="440"/>
      <c r="P147" s="440"/>
      <c r="Q147" s="440"/>
      <c r="R147" s="440"/>
      <c r="S147" s="440"/>
      <c r="T147" s="440"/>
      <c r="U147" s="440"/>
      <c r="V147" s="440"/>
      <c r="W147" s="440"/>
      <c r="X147" s="440"/>
      <c r="Y147" s="440"/>
      <c r="Z147" s="440"/>
      <c r="AA147" s="440"/>
    </row>
    <row r="148" ht="15.75" customHeight="1">
      <c r="A148" s="440"/>
      <c r="B148" s="440"/>
      <c r="C148" s="440"/>
      <c r="D148" s="440"/>
      <c r="E148" s="440"/>
      <c r="F148" s="440"/>
      <c r="G148" s="435"/>
      <c r="H148" s="440"/>
      <c r="I148" s="440"/>
      <c r="J148" s="440"/>
      <c r="K148" s="440"/>
      <c r="L148" s="440"/>
      <c r="M148" s="440"/>
      <c r="N148" s="440"/>
      <c r="O148" s="440"/>
      <c r="P148" s="440"/>
      <c r="Q148" s="440"/>
      <c r="R148" s="440"/>
      <c r="S148" s="440"/>
      <c r="T148" s="440"/>
      <c r="U148" s="440"/>
      <c r="V148" s="440"/>
      <c r="W148" s="440"/>
      <c r="X148" s="440"/>
      <c r="Y148" s="440"/>
      <c r="Z148" s="440"/>
      <c r="AA148" s="440"/>
    </row>
    <row r="149" ht="15.75" customHeight="1">
      <c r="A149" s="440"/>
      <c r="B149" s="440"/>
      <c r="C149" s="440"/>
      <c r="D149" s="440"/>
      <c r="E149" s="440"/>
      <c r="F149" s="440"/>
      <c r="G149" s="435"/>
      <c r="H149" s="440"/>
      <c r="I149" s="440"/>
      <c r="J149" s="440"/>
      <c r="K149" s="440"/>
      <c r="L149" s="440"/>
      <c r="M149" s="440"/>
      <c r="N149" s="440"/>
      <c r="O149" s="440"/>
      <c r="P149" s="440"/>
      <c r="Q149" s="440"/>
      <c r="R149" s="440"/>
      <c r="S149" s="440"/>
      <c r="T149" s="440"/>
      <c r="U149" s="440"/>
      <c r="V149" s="440"/>
      <c r="W149" s="440"/>
      <c r="X149" s="440"/>
      <c r="Y149" s="440"/>
      <c r="Z149" s="440"/>
      <c r="AA149" s="440"/>
    </row>
    <row r="150" ht="15.75" customHeight="1">
      <c r="A150" s="440"/>
      <c r="B150" s="440"/>
      <c r="C150" s="440"/>
      <c r="D150" s="440"/>
      <c r="E150" s="440"/>
      <c r="F150" s="440"/>
      <c r="G150" s="435"/>
      <c r="H150" s="440"/>
      <c r="I150" s="440"/>
      <c r="J150" s="440"/>
      <c r="K150" s="440"/>
      <c r="L150" s="440"/>
      <c r="M150" s="440"/>
      <c r="N150" s="440"/>
      <c r="O150" s="440"/>
      <c r="P150" s="440"/>
      <c r="Q150" s="440"/>
      <c r="R150" s="440"/>
      <c r="S150" s="440"/>
      <c r="T150" s="440"/>
      <c r="U150" s="440"/>
      <c r="V150" s="440"/>
      <c r="W150" s="440"/>
      <c r="X150" s="440"/>
      <c r="Y150" s="440"/>
      <c r="Z150" s="440"/>
      <c r="AA150" s="440"/>
    </row>
    <row r="151" ht="15.75" customHeight="1">
      <c r="A151" s="440"/>
      <c r="B151" s="440"/>
      <c r="C151" s="440"/>
      <c r="D151" s="440"/>
      <c r="E151" s="440"/>
      <c r="F151" s="440"/>
      <c r="G151" s="435"/>
      <c r="H151" s="440"/>
      <c r="I151" s="440"/>
      <c r="J151" s="440"/>
      <c r="K151" s="440"/>
      <c r="L151" s="440"/>
      <c r="M151" s="440"/>
      <c r="N151" s="440"/>
      <c r="O151" s="440"/>
      <c r="P151" s="440"/>
      <c r="Q151" s="440"/>
      <c r="R151" s="440"/>
      <c r="S151" s="440"/>
      <c r="T151" s="440"/>
      <c r="U151" s="440"/>
      <c r="V151" s="440"/>
      <c r="W151" s="440"/>
      <c r="X151" s="440"/>
      <c r="Y151" s="440"/>
      <c r="Z151" s="440"/>
      <c r="AA151" s="440"/>
    </row>
    <row r="152" ht="15.75" customHeight="1">
      <c r="A152" s="440"/>
      <c r="B152" s="440"/>
      <c r="C152" s="440"/>
      <c r="D152" s="440"/>
      <c r="E152" s="440"/>
      <c r="F152" s="440"/>
      <c r="G152" s="435"/>
      <c r="H152" s="440"/>
      <c r="I152" s="440"/>
      <c r="J152" s="440"/>
      <c r="K152" s="440"/>
      <c r="L152" s="440"/>
      <c r="M152" s="440"/>
      <c r="N152" s="440"/>
      <c r="O152" s="440"/>
      <c r="P152" s="440"/>
      <c r="Q152" s="440"/>
      <c r="R152" s="440"/>
      <c r="S152" s="440"/>
      <c r="T152" s="440"/>
      <c r="U152" s="440"/>
      <c r="V152" s="440"/>
      <c r="W152" s="440"/>
      <c r="X152" s="440"/>
      <c r="Y152" s="440"/>
      <c r="Z152" s="440"/>
      <c r="AA152" s="440"/>
    </row>
    <row r="153" ht="15.75" customHeight="1">
      <c r="A153" s="440"/>
      <c r="B153" s="440"/>
      <c r="C153" s="440"/>
      <c r="D153" s="440"/>
      <c r="E153" s="440"/>
      <c r="F153" s="440"/>
      <c r="G153" s="435"/>
      <c r="H153" s="440"/>
      <c r="I153" s="440"/>
      <c r="J153" s="440"/>
      <c r="K153" s="440"/>
      <c r="L153" s="440"/>
      <c r="M153" s="440"/>
      <c r="N153" s="440"/>
      <c r="O153" s="440"/>
      <c r="P153" s="440"/>
      <c r="Q153" s="440"/>
      <c r="R153" s="440"/>
      <c r="S153" s="440"/>
      <c r="T153" s="440"/>
      <c r="U153" s="440"/>
      <c r="V153" s="440"/>
      <c r="W153" s="440"/>
      <c r="X153" s="440"/>
      <c r="Y153" s="440"/>
      <c r="Z153" s="440"/>
      <c r="AA153" s="440"/>
    </row>
    <row r="154" ht="15.75" customHeight="1">
      <c r="A154" s="440"/>
      <c r="B154" s="440"/>
      <c r="C154" s="440"/>
      <c r="D154" s="440"/>
      <c r="E154" s="440"/>
      <c r="F154" s="440"/>
      <c r="G154" s="435"/>
      <c r="H154" s="440"/>
      <c r="I154" s="440"/>
      <c r="J154" s="440"/>
      <c r="K154" s="440"/>
      <c r="L154" s="440"/>
      <c r="M154" s="440"/>
      <c r="N154" s="440"/>
      <c r="O154" s="440"/>
      <c r="P154" s="440"/>
      <c r="Q154" s="440"/>
      <c r="R154" s="440"/>
      <c r="S154" s="440"/>
      <c r="T154" s="440"/>
      <c r="U154" s="440"/>
      <c r="V154" s="440"/>
      <c r="W154" s="440"/>
      <c r="X154" s="440"/>
      <c r="Y154" s="440"/>
      <c r="Z154" s="440"/>
      <c r="AA154" s="440"/>
    </row>
    <row r="155" ht="15.75" customHeight="1">
      <c r="A155" s="440"/>
      <c r="B155" s="440"/>
      <c r="C155" s="440"/>
      <c r="D155" s="440"/>
      <c r="E155" s="440"/>
      <c r="F155" s="440"/>
      <c r="G155" s="435"/>
      <c r="H155" s="440"/>
      <c r="I155" s="440"/>
      <c r="J155" s="440"/>
      <c r="K155" s="440"/>
      <c r="L155" s="440"/>
      <c r="M155" s="440"/>
      <c r="N155" s="440"/>
      <c r="O155" s="440"/>
      <c r="P155" s="440"/>
      <c r="Q155" s="440"/>
      <c r="R155" s="440"/>
      <c r="S155" s="440"/>
      <c r="T155" s="440"/>
      <c r="U155" s="440"/>
      <c r="V155" s="440"/>
      <c r="W155" s="440"/>
      <c r="X155" s="440"/>
      <c r="Y155" s="440"/>
      <c r="Z155" s="440"/>
      <c r="AA155" s="440"/>
    </row>
    <row r="156" ht="15.75" customHeight="1">
      <c r="A156" s="440"/>
      <c r="B156" s="440"/>
      <c r="C156" s="440"/>
      <c r="D156" s="440"/>
      <c r="E156" s="440"/>
      <c r="F156" s="440"/>
      <c r="G156" s="435"/>
      <c r="H156" s="440"/>
      <c r="I156" s="440"/>
      <c r="J156" s="440"/>
      <c r="K156" s="440"/>
      <c r="L156" s="440"/>
      <c r="M156" s="440"/>
      <c r="N156" s="440"/>
      <c r="O156" s="440"/>
      <c r="P156" s="440"/>
      <c r="Q156" s="440"/>
      <c r="R156" s="440"/>
      <c r="S156" s="440"/>
      <c r="T156" s="440"/>
      <c r="U156" s="440"/>
      <c r="V156" s="440"/>
      <c r="W156" s="440"/>
      <c r="X156" s="440"/>
      <c r="Y156" s="440"/>
      <c r="Z156" s="440"/>
      <c r="AA156" s="440"/>
    </row>
    <row r="157" ht="15.75" customHeight="1">
      <c r="A157" s="440"/>
      <c r="B157" s="440"/>
      <c r="C157" s="440"/>
      <c r="D157" s="440"/>
      <c r="E157" s="440"/>
      <c r="F157" s="440"/>
      <c r="G157" s="435"/>
      <c r="H157" s="440"/>
      <c r="I157" s="440"/>
      <c r="J157" s="440"/>
      <c r="K157" s="440"/>
      <c r="L157" s="440"/>
      <c r="M157" s="440"/>
      <c r="N157" s="440"/>
      <c r="O157" s="440"/>
      <c r="P157" s="440"/>
      <c r="Q157" s="440"/>
      <c r="R157" s="440"/>
      <c r="S157" s="440"/>
      <c r="T157" s="440"/>
      <c r="U157" s="440"/>
      <c r="V157" s="440"/>
      <c r="W157" s="440"/>
      <c r="X157" s="440"/>
      <c r="Y157" s="440"/>
      <c r="Z157" s="440"/>
      <c r="AA157" s="440"/>
    </row>
    <row r="158" ht="15.75" customHeight="1">
      <c r="A158" s="440"/>
      <c r="B158" s="440"/>
      <c r="C158" s="440"/>
      <c r="D158" s="440"/>
      <c r="E158" s="440"/>
      <c r="F158" s="440"/>
      <c r="G158" s="435"/>
      <c r="H158" s="440"/>
      <c r="I158" s="440"/>
      <c r="J158" s="440"/>
      <c r="K158" s="440"/>
      <c r="L158" s="440"/>
      <c r="M158" s="440"/>
      <c r="N158" s="440"/>
      <c r="O158" s="440"/>
      <c r="P158" s="440"/>
      <c r="Q158" s="440"/>
      <c r="R158" s="440"/>
      <c r="S158" s="440"/>
      <c r="T158" s="440"/>
      <c r="U158" s="440"/>
      <c r="V158" s="440"/>
      <c r="W158" s="440"/>
      <c r="X158" s="440"/>
      <c r="Y158" s="440"/>
      <c r="Z158" s="440"/>
      <c r="AA158" s="440"/>
    </row>
    <row r="159" ht="15.75" customHeight="1">
      <c r="A159" s="440"/>
      <c r="B159" s="440"/>
      <c r="C159" s="440"/>
      <c r="D159" s="440"/>
      <c r="E159" s="440"/>
      <c r="F159" s="440"/>
      <c r="G159" s="435"/>
      <c r="H159" s="440"/>
      <c r="I159" s="440"/>
      <c r="J159" s="440"/>
      <c r="K159" s="440"/>
      <c r="L159" s="440"/>
      <c r="M159" s="440"/>
      <c r="N159" s="440"/>
      <c r="O159" s="440"/>
      <c r="P159" s="440"/>
      <c r="Q159" s="440"/>
      <c r="R159" s="440"/>
      <c r="S159" s="440"/>
      <c r="T159" s="440"/>
      <c r="U159" s="440"/>
      <c r="V159" s="440"/>
      <c r="W159" s="440"/>
      <c r="X159" s="440"/>
      <c r="Y159" s="440"/>
      <c r="Z159" s="440"/>
      <c r="AA159" s="440"/>
    </row>
    <row r="160" ht="15.75" customHeight="1">
      <c r="A160" s="440"/>
      <c r="B160" s="440"/>
      <c r="C160" s="440"/>
      <c r="D160" s="440"/>
      <c r="E160" s="440"/>
      <c r="F160" s="440"/>
      <c r="G160" s="435"/>
      <c r="H160" s="440"/>
      <c r="I160" s="440"/>
      <c r="J160" s="440"/>
      <c r="K160" s="440"/>
      <c r="L160" s="440"/>
      <c r="M160" s="440"/>
      <c r="N160" s="440"/>
      <c r="O160" s="440"/>
      <c r="P160" s="440"/>
      <c r="Q160" s="440"/>
      <c r="R160" s="440"/>
      <c r="S160" s="440"/>
      <c r="T160" s="440"/>
      <c r="U160" s="440"/>
      <c r="V160" s="440"/>
      <c r="W160" s="440"/>
      <c r="X160" s="440"/>
      <c r="Y160" s="440"/>
      <c r="Z160" s="440"/>
      <c r="AA160" s="440"/>
    </row>
    <row r="161" ht="15.75" customHeight="1">
      <c r="A161" s="440"/>
      <c r="B161" s="440"/>
      <c r="C161" s="440"/>
      <c r="D161" s="440"/>
      <c r="E161" s="440"/>
      <c r="F161" s="440"/>
      <c r="G161" s="435"/>
      <c r="H161" s="440"/>
      <c r="I161" s="440"/>
      <c r="J161" s="440"/>
      <c r="K161" s="440"/>
      <c r="L161" s="440"/>
      <c r="M161" s="440"/>
      <c r="N161" s="440"/>
      <c r="O161" s="440"/>
      <c r="P161" s="440"/>
      <c r="Q161" s="440"/>
      <c r="R161" s="440"/>
      <c r="S161" s="440"/>
      <c r="T161" s="440"/>
      <c r="U161" s="440"/>
      <c r="V161" s="440"/>
      <c r="W161" s="440"/>
      <c r="X161" s="440"/>
      <c r="Y161" s="440"/>
      <c r="Z161" s="440"/>
      <c r="AA161" s="440"/>
    </row>
    <row r="162" ht="15.75" customHeight="1">
      <c r="A162" s="440"/>
      <c r="B162" s="440"/>
      <c r="C162" s="440"/>
      <c r="D162" s="440"/>
      <c r="E162" s="440"/>
      <c r="F162" s="440"/>
      <c r="G162" s="435"/>
      <c r="H162" s="440"/>
      <c r="I162" s="440"/>
      <c r="J162" s="440"/>
      <c r="K162" s="440"/>
      <c r="L162" s="440"/>
      <c r="M162" s="440"/>
      <c r="N162" s="440"/>
      <c r="O162" s="440"/>
      <c r="P162" s="440"/>
      <c r="Q162" s="440"/>
      <c r="R162" s="440"/>
      <c r="S162" s="440"/>
      <c r="T162" s="440"/>
      <c r="U162" s="440"/>
      <c r="V162" s="440"/>
      <c r="W162" s="440"/>
      <c r="X162" s="440"/>
      <c r="Y162" s="440"/>
      <c r="Z162" s="440"/>
      <c r="AA162" s="440"/>
    </row>
    <row r="163" ht="15.75" customHeight="1">
      <c r="A163" s="440"/>
      <c r="B163" s="440"/>
      <c r="C163" s="440"/>
      <c r="D163" s="440"/>
      <c r="E163" s="440"/>
      <c r="F163" s="440"/>
      <c r="G163" s="435"/>
      <c r="H163" s="440"/>
      <c r="I163" s="440"/>
      <c r="J163" s="440"/>
      <c r="K163" s="440"/>
      <c r="L163" s="440"/>
      <c r="M163" s="440"/>
      <c r="N163" s="440"/>
      <c r="O163" s="440"/>
      <c r="P163" s="440"/>
      <c r="Q163" s="440"/>
      <c r="R163" s="440"/>
      <c r="S163" s="440"/>
      <c r="T163" s="440"/>
      <c r="U163" s="440"/>
      <c r="V163" s="440"/>
      <c r="W163" s="440"/>
      <c r="X163" s="440"/>
      <c r="Y163" s="440"/>
      <c r="Z163" s="440"/>
      <c r="AA163" s="440"/>
    </row>
    <row r="164" ht="15.75" customHeight="1">
      <c r="A164" s="440"/>
      <c r="B164" s="440"/>
      <c r="C164" s="440"/>
      <c r="D164" s="440"/>
      <c r="E164" s="440"/>
      <c r="F164" s="440"/>
      <c r="G164" s="435"/>
      <c r="H164" s="440"/>
      <c r="I164" s="440"/>
      <c r="J164" s="440"/>
      <c r="K164" s="440"/>
      <c r="L164" s="440"/>
      <c r="M164" s="440"/>
      <c r="N164" s="440"/>
      <c r="O164" s="440"/>
      <c r="P164" s="440"/>
      <c r="Q164" s="440"/>
      <c r="R164" s="440"/>
      <c r="S164" s="440"/>
      <c r="T164" s="440"/>
      <c r="U164" s="440"/>
      <c r="V164" s="440"/>
      <c r="W164" s="440"/>
      <c r="X164" s="440"/>
      <c r="Y164" s="440"/>
      <c r="Z164" s="440"/>
      <c r="AA164" s="440"/>
    </row>
    <row r="165" ht="15.75" customHeight="1">
      <c r="A165" s="440"/>
      <c r="B165" s="440"/>
      <c r="C165" s="440"/>
      <c r="D165" s="440"/>
      <c r="E165" s="440"/>
      <c r="F165" s="440"/>
      <c r="G165" s="435"/>
      <c r="H165" s="440"/>
      <c r="I165" s="440"/>
      <c r="J165" s="440"/>
      <c r="K165" s="440"/>
      <c r="L165" s="440"/>
      <c r="M165" s="440"/>
      <c r="N165" s="440"/>
      <c r="O165" s="440"/>
      <c r="P165" s="440"/>
      <c r="Q165" s="440"/>
      <c r="R165" s="440"/>
      <c r="S165" s="440"/>
      <c r="T165" s="440"/>
      <c r="U165" s="440"/>
      <c r="V165" s="440"/>
      <c r="W165" s="440"/>
      <c r="X165" s="440"/>
      <c r="Y165" s="440"/>
      <c r="Z165" s="440"/>
      <c r="AA165" s="440"/>
    </row>
    <row r="166" ht="15.75" customHeight="1">
      <c r="A166" s="440"/>
      <c r="B166" s="440"/>
      <c r="C166" s="440"/>
      <c r="D166" s="440"/>
      <c r="E166" s="440"/>
      <c r="F166" s="440"/>
      <c r="G166" s="435"/>
      <c r="H166" s="440"/>
      <c r="I166" s="440"/>
      <c r="J166" s="440"/>
      <c r="K166" s="440"/>
      <c r="L166" s="440"/>
      <c r="M166" s="440"/>
      <c r="N166" s="440"/>
      <c r="O166" s="440"/>
      <c r="P166" s="440"/>
      <c r="Q166" s="440"/>
      <c r="R166" s="440"/>
      <c r="S166" s="440"/>
      <c r="T166" s="440"/>
      <c r="U166" s="440"/>
      <c r="V166" s="440"/>
      <c r="W166" s="440"/>
      <c r="X166" s="440"/>
      <c r="Y166" s="440"/>
      <c r="Z166" s="440"/>
      <c r="AA166" s="440"/>
    </row>
    <row r="167" ht="15.75" customHeight="1">
      <c r="A167" s="440"/>
      <c r="B167" s="440"/>
      <c r="C167" s="440"/>
      <c r="D167" s="440"/>
      <c r="E167" s="440"/>
      <c r="F167" s="440"/>
      <c r="G167" s="435"/>
      <c r="H167" s="440"/>
      <c r="I167" s="440"/>
      <c r="J167" s="440"/>
      <c r="K167" s="440"/>
      <c r="L167" s="440"/>
      <c r="M167" s="440"/>
      <c r="N167" s="440"/>
      <c r="O167" s="440"/>
      <c r="P167" s="440"/>
      <c r="Q167" s="440"/>
      <c r="R167" s="440"/>
      <c r="S167" s="440"/>
      <c r="T167" s="440"/>
      <c r="U167" s="440"/>
      <c r="V167" s="440"/>
      <c r="W167" s="440"/>
      <c r="X167" s="440"/>
      <c r="Y167" s="440"/>
      <c r="Z167" s="440"/>
      <c r="AA167" s="440"/>
    </row>
    <row r="168" ht="15.75" customHeight="1">
      <c r="A168" s="440"/>
      <c r="B168" s="440"/>
      <c r="C168" s="440"/>
      <c r="D168" s="440"/>
      <c r="E168" s="440"/>
      <c r="F168" s="440"/>
      <c r="G168" s="435"/>
      <c r="H168" s="440"/>
      <c r="I168" s="440"/>
      <c r="J168" s="440"/>
      <c r="K168" s="440"/>
      <c r="L168" s="440"/>
      <c r="M168" s="440"/>
      <c r="N168" s="440"/>
      <c r="O168" s="440"/>
      <c r="P168" s="440"/>
      <c r="Q168" s="440"/>
      <c r="R168" s="440"/>
      <c r="S168" s="440"/>
      <c r="T168" s="440"/>
      <c r="U168" s="440"/>
      <c r="V168" s="440"/>
      <c r="W168" s="440"/>
      <c r="X168" s="440"/>
      <c r="Y168" s="440"/>
      <c r="Z168" s="440"/>
      <c r="AA168" s="440"/>
    </row>
    <row r="169" ht="15.75" customHeight="1">
      <c r="A169" s="440"/>
      <c r="B169" s="440"/>
      <c r="C169" s="440"/>
      <c r="D169" s="440"/>
      <c r="E169" s="440"/>
      <c r="F169" s="440"/>
      <c r="G169" s="435"/>
      <c r="H169" s="440"/>
      <c r="I169" s="440"/>
      <c r="J169" s="440"/>
      <c r="K169" s="440"/>
      <c r="L169" s="440"/>
      <c r="M169" s="440"/>
      <c r="N169" s="440"/>
      <c r="O169" s="440"/>
      <c r="P169" s="440"/>
      <c r="Q169" s="440"/>
      <c r="R169" s="440"/>
      <c r="S169" s="440"/>
      <c r="T169" s="440"/>
      <c r="U169" s="440"/>
      <c r="V169" s="440"/>
      <c r="W169" s="440"/>
      <c r="X169" s="440"/>
      <c r="Y169" s="440"/>
      <c r="Z169" s="440"/>
      <c r="AA169" s="440"/>
    </row>
    <row r="170" ht="15.75" customHeight="1">
      <c r="A170" s="440"/>
      <c r="B170" s="440"/>
      <c r="C170" s="440"/>
      <c r="D170" s="440"/>
      <c r="E170" s="440"/>
      <c r="F170" s="440"/>
      <c r="G170" s="435"/>
      <c r="H170" s="440"/>
      <c r="I170" s="440"/>
      <c r="J170" s="440"/>
      <c r="K170" s="440"/>
      <c r="L170" s="440"/>
      <c r="M170" s="440"/>
      <c r="N170" s="440"/>
      <c r="O170" s="440"/>
      <c r="P170" s="440"/>
      <c r="Q170" s="440"/>
      <c r="R170" s="440"/>
      <c r="S170" s="440"/>
      <c r="T170" s="440"/>
      <c r="U170" s="440"/>
      <c r="V170" s="440"/>
      <c r="W170" s="440"/>
      <c r="X170" s="440"/>
      <c r="Y170" s="440"/>
      <c r="Z170" s="440"/>
      <c r="AA170" s="440"/>
    </row>
    <row r="171" ht="15.75" customHeight="1">
      <c r="A171" s="440"/>
      <c r="B171" s="440"/>
      <c r="C171" s="440"/>
      <c r="D171" s="440"/>
      <c r="E171" s="440"/>
      <c r="F171" s="440"/>
      <c r="G171" s="435"/>
      <c r="H171" s="440"/>
      <c r="I171" s="440"/>
      <c r="J171" s="440"/>
      <c r="K171" s="440"/>
      <c r="L171" s="440"/>
      <c r="M171" s="440"/>
      <c r="N171" s="440"/>
      <c r="O171" s="440"/>
      <c r="P171" s="440"/>
      <c r="Q171" s="440"/>
      <c r="R171" s="440"/>
      <c r="S171" s="440"/>
      <c r="T171" s="440"/>
      <c r="U171" s="440"/>
      <c r="V171" s="440"/>
      <c r="W171" s="440"/>
      <c r="X171" s="440"/>
      <c r="Y171" s="440"/>
      <c r="Z171" s="440"/>
      <c r="AA171" s="440"/>
    </row>
    <row r="172" ht="15.75" customHeight="1">
      <c r="A172" s="440"/>
      <c r="B172" s="440"/>
      <c r="C172" s="440"/>
      <c r="D172" s="440"/>
      <c r="E172" s="440"/>
      <c r="F172" s="440"/>
      <c r="G172" s="435"/>
      <c r="H172" s="440"/>
      <c r="I172" s="440"/>
      <c r="J172" s="440"/>
      <c r="K172" s="440"/>
      <c r="L172" s="440"/>
      <c r="M172" s="440"/>
      <c r="N172" s="440"/>
      <c r="O172" s="440"/>
      <c r="P172" s="440"/>
      <c r="Q172" s="440"/>
      <c r="R172" s="440"/>
      <c r="S172" s="440"/>
      <c r="T172" s="440"/>
      <c r="U172" s="440"/>
      <c r="V172" s="440"/>
      <c r="W172" s="440"/>
      <c r="X172" s="440"/>
      <c r="Y172" s="440"/>
      <c r="Z172" s="440"/>
      <c r="AA172" s="440"/>
    </row>
    <row r="173" ht="15.75" customHeight="1">
      <c r="A173" s="440"/>
      <c r="B173" s="440"/>
      <c r="C173" s="440"/>
      <c r="D173" s="440"/>
      <c r="E173" s="440"/>
      <c r="F173" s="440"/>
      <c r="G173" s="435"/>
      <c r="H173" s="440"/>
      <c r="I173" s="440"/>
      <c r="J173" s="440"/>
      <c r="K173" s="440"/>
      <c r="L173" s="440"/>
      <c r="M173" s="440"/>
      <c r="N173" s="440"/>
      <c r="O173" s="440"/>
      <c r="P173" s="440"/>
      <c r="Q173" s="440"/>
      <c r="R173" s="440"/>
      <c r="S173" s="440"/>
      <c r="T173" s="440"/>
      <c r="U173" s="440"/>
      <c r="V173" s="440"/>
      <c r="W173" s="440"/>
      <c r="X173" s="440"/>
      <c r="Y173" s="440"/>
      <c r="Z173" s="440"/>
      <c r="AA173" s="440"/>
    </row>
    <row r="174" ht="15.75" customHeight="1">
      <c r="A174" s="440"/>
      <c r="B174" s="440"/>
      <c r="C174" s="440"/>
      <c r="D174" s="440"/>
      <c r="E174" s="440"/>
      <c r="F174" s="440"/>
      <c r="G174" s="435"/>
      <c r="H174" s="440"/>
      <c r="I174" s="440"/>
      <c r="J174" s="440"/>
      <c r="K174" s="440"/>
      <c r="L174" s="440"/>
      <c r="M174" s="440"/>
      <c r="N174" s="440"/>
      <c r="O174" s="440"/>
      <c r="P174" s="440"/>
      <c r="Q174" s="440"/>
      <c r="R174" s="440"/>
      <c r="S174" s="440"/>
      <c r="T174" s="440"/>
      <c r="U174" s="440"/>
      <c r="V174" s="440"/>
      <c r="W174" s="440"/>
      <c r="X174" s="440"/>
      <c r="Y174" s="440"/>
      <c r="Z174" s="440"/>
      <c r="AA174" s="440"/>
    </row>
    <row r="175" ht="15.75" customHeight="1">
      <c r="A175" s="440"/>
      <c r="B175" s="440"/>
      <c r="C175" s="440"/>
      <c r="D175" s="440"/>
      <c r="E175" s="440"/>
      <c r="F175" s="440"/>
      <c r="G175" s="435"/>
      <c r="H175" s="440"/>
      <c r="I175" s="440"/>
      <c r="J175" s="440"/>
      <c r="K175" s="440"/>
      <c r="L175" s="440"/>
      <c r="M175" s="440"/>
      <c r="N175" s="440"/>
      <c r="O175" s="440"/>
      <c r="P175" s="440"/>
      <c r="Q175" s="440"/>
      <c r="R175" s="440"/>
      <c r="S175" s="440"/>
      <c r="T175" s="440"/>
      <c r="U175" s="440"/>
      <c r="V175" s="440"/>
      <c r="W175" s="440"/>
      <c r="X175" s="440"/>
      <c r="Y175" s="440"/>
      <c r="Z175" s="440"/>
      <c r="AA175" s="440"/>
    </row>
    <row r="176" ht="15.75" customHeight="1">
      <c r="A176" s="440"/>
      <c r="B176" s="440"/>
      <c r="C176" s="440"/>
      <c r="D176" s="440"/>
      <c r="E176" s="440"/>
      <c r="F176" s="440"/>
      <c r="G176" s="435"/>
      <c r="H176" s="440"/>
      <c r="I176" s="440"/>
      <c r="J176" s="440"/>
      <c r="K176" s="440"/>
      <c r="L176" s="440"/>
      <c r="M176" s="440"/>
      <c r="N176" s="440"/>
      <c r="O176" s="440"/>
      <c r="P176" s="440"/>
      <c r="Q176" s="440"/>
      <c r="R176" s="440"/>
      <c r="S176" s="440"/>
      <c r="T176" s="440"/>
      <c r="U176" s="440"/>
      <c r="V176" s="440"/>
      <c r="W176" s="440"/>
      <c r="X176" s="440"/>
      <c r="Y176" s="440"/>
      <c r="Z176" s="440"/>
      <c r="AA176" s="440"/>
    </row>
    <row r="177" ht="15.75" customHeight="1">
      <c r="A177" s="440"/>
      <c r="B177" s="440"/>
      <c r="C177" s="440"/>
      <c r="D177" s="440"/>
      <c r="E177" s="440"/>
      <c r="F177" s="440"/>
      <c r="G177" s="435"/>
      <c r="H177" s="440"/>
      <c r="I177" s="440"/>
      <c r="J177" s="440"/>
      <c r="K177" s="440"/>
      <c r="L177" s="440"/>
      <c r="M177" s="440"/>
      <c r="N177" s="440"/>
      <c r="O177" s="440"/>
      <c r="P177" s="440"/>
      <c r="Q177" s="440"/>
      <c r="R177" s="440"/>
      <c r="S177" s="440"/>
      <c r="T177" s="440"/>
      <c r="U177" s="440"/>
      <c r="V177" s="440"/>
      <c r="W177" s="440"/>
      <c r="X177" s="440"/>
      <c r="Y177" s="440"/>
      <c r="Z177" s="440"/>
      <c r="AA177" s="440"/>
    </row>
    <row r="178" ht="15.75" customHeight="1">
      <c r="A178" s="440"/>
      <c r="B178" s="440"/>
      <c r="C178" s="440"/>
      <c r="D178" s="440"/>
      <c r="E178" s="440"/>
      <c r="F178" s="440"/>
      <c r="G178" s="435"/>
      <c r="H178" s="440"/>
      <c r="I178" s="440"/>
      <c r="J178" s="440"/>
      <c r="K178" s="440"/>
      <c r="L178" s="440"/>
      <c r="M178" s="440"/>
      <c r="N178" s="440"/>
      <c r="O178" s="440"/>
      <c r="P178" s="440"/>
      <c r="Q178" s="440"/>
      <c r="R178" s="440"/>
      <c r="S178" s="440"/>
      <c r="T178" s="440"/>
      <c r="U178" s="440"/>
      <c r="V178" s="440"/>
      <c r="W178" s="440"/>
      <c r="X178" s="440"/>
      <c r="Y178" s="440"/>
      <c r="Z178" s="440"/>
      <c r="AA178" s="440"/>
    </row>
    <row r="179" ht="15.75" customHeight="1">
      <c r="A179" s="440"/>
      <c r="B179" s="440"/>
      <c r="C179" s="440"/>
      <c r="D179" s="440"/>
      <c r="E179" s="440"/>
      <c r="F179" s="440"/>
      <c r="G179" s="435"/>
      <c r="H179" s="440"/>
      <c r="I179" s="440"/>
      <c r="J179" s="440"/>
      <c r="K179" s="440"/>
      <c r="L179" s="440"/>
      <c r="M179" s="440"/>
      <c r="N179" s="440"/>
      <c r="O179" s="440"/>
      <c r="P179" s="440"/>
      <c r="Q179" s="440"/>
      <c r="R179" s="440"/>
      <c r="S179" s="440"/>
      <c r="T179" s="440"/>
      <c r="U179" s="440"/>
      <c r="V179" s="440"/>
      <c r="W179" s="440"/>
      <c r="X179" s="440"/>
      <c r="Y179" s="440"/>
      <c r="Z179" s="440"/>
      <c r="AA179" s="440"/>
    </row>
    <row r="180" ht="15.75" customHeight="1">
      <c r="A180" s="440"/>
      <c r="B180" s="440"/>
      <c r="C180" s="440"/>
      <c r="D180" s="440"/>
      <c r="E180" s="440"/>
      <c r="F180" s="440"/>
      <c r="G180" s="435"/>
      <c r="H180" s="440"/>
      <c r="I180" s="440"/>
      <c r="J180" s="440"/>
      <c r="K180" s="440"/>
      <c r="L180" s="440"/>
      <c r="M180" s="440"/>
      <c r="N180" s="440"/>
      <c r="O180" s="440"/>
      <c r="P180" s="440"/>
      <c r="Q180" s="440"/>
      <c r="R180" s="440"/>
      <c r="S180" s="440"/>
      <c r="T180" s="440"/>
      <c r="U180" s="440"/>
      <c r="V180" s="440"/>
      <c r="W180" s="440"/>
      <c r="X180" s="440"/>
      <c r="Y180" s="440"/>
      <c r="Z180" s="440"/>
      <c r="AA180" s="440"/>
    </row>
    <row r="181" ht="15.75" customHeight="1">
      <c r="A181" s="440"/>
      <c r="B181" s="440"/>
      <c r="C181" s="440"/>
      <c r="D181" s="440"/>
      <c r="E181" s="440"/>
      <c r="F181" s="440"/>
      <c r="G181" s="435"/>
      <c r="H181" s="440"/>
      <c r="I181" s="440"/>
      <c r="J181" s="440"/>
      <c r="K181" s="440"/>
      <c r="L181" s="440"/>
      <c r="M181" s="440"/>
      <c r="N181" s="440"/>
      <c r="O181" s="440"/>
      <c r="P181" s="440"/>
      <c r="Q181" s="440"/>
      <c r="R181" s="440"/>
      <c r="S181" s="440"/>
      <c r="T181" s="440"/>
      <c r="U181" s="440"/>
      <c r="V181" s="440"/>
      <c r="W181" s="440"/>
      <c r="X181" s="440"/>
      <c r="Y181" s="440"/>
      <c r="Z181" s="440"/>
      <c r="AA181" s="440"/>
    </row>
    <row r="182" ht="15.75" customHeight="1">
      <c r="A182" s="440"/>
      <c r="B182" s="440"/>
      <c r="C182" s="440"/>
      <c r="D182" s="440"/>
      <c r="E182" s="440"/>
      <c r="F182" s="440"/>
      <c r="G182" s="435"/>
      <c r="H182" s="440"/>
      <c r="I182" s="440"/>
      <c r="J182" s="440"/>
      <c r="K182" s="440"/>
      <c r="L182" s="440"/>
      <c r="M182" s="440"/>
      <c r="N182" s="440"/>
      <c r="O182" s="440"/>
      <c r="P182" s="440"/>
      <c r="Q182" s="440"/>
      <c r="R182" s="440"/>
      <c r="S182" s="440"/>
      <c r="T182" s="440"/>
      <c r="U182" s="440"/>
      <c r="V182" s="440"/>
      <c r="W182" s="440"/>
      <c r="X182" s="440"/>
      <c r="Y182" s="440"/>
      <c r="Z182" s="440"/>
      <c r="AA182" s="440"/>
    </row>
    <row r="183" ht="15.75" customHeight="1">
      <c r="A183" s="440"/>
      <c r="B183" s="440"/>
      <c r="C183" s="440"/>
      <c r="D183" s="440"/>
      <c r="E183" s="440"/>
      <c r="F183" s="440"/>
      <c r="G183" s="435"/>
      <c r="H183" s="440"/>
      <c r="I183" s="440"/>
      <c r="J183" s="440"/>
      <c r="K183" s="440"/>
      <c r="L183" s="440"/>
      <c r="M183" s="440"/>
      <c r="N183" s="440"/>
      <c r="O183" s="440"/>
      <c r="P183" s="440"/>
      <c r="Q183" s="440"/>
      <c r="R183" s="440"/>
      <c r="S183" s="440"/>
      <c r="T183" s="440"/>
      <c r="U183" s="440"/>
      <c r="V183" s="440"/>
      <c r="W183" s="440"/>
      <c r="X183" s="440"/>
      <c r="Y183" s="440"/>
      <c r="Z183" s="440"/>
      <c r="AA183" s="440"/>
    </row>
    <row r="184" ht="15.75" customHeight="1">
      <c r="A184" s="440"/>
      <c r="B184" s="440"/>
      <c r="C184" s="440"/>
      <c r="D184" s="440"/>
      <c r="E184" s="440"/>
      <c r="F184" s="440"/>
      <c r="G184" s="435"/>
      <c r="H184" s="440"/>
      <c r="I184" s="440"/>
      <c r="J184" s="440"/>
      <c r="K184" s="440"/>
      <c r="L184" s="440"/>
      <c r="M184" s="440"/>
      <c r="N184" s="440"/>
      <c r="O184" s="440"/>
      <c r="P184" s="440"/>
      <c r="Q184" s="440"/>
      <c r="R184" s="440"/>
      <c r="S184" s="440"/>
      <c r="T184" s="440"/>
      <c r="U184" s="440"/>
      <c r="V184" s="440"/>
      <c r="W184" s="440"/>
      <c r="X184" s="440"/>
      <c r="Y184" s="440"/>
      <c r="Z184" s="440"/>
      <c r="AA184" s="440"/>
    </row>
    <row r="185" ht="15.75" customHeight="1">
      <c r="A185" s="440"/>
      <c r="B185" s="440"/>
      <c r="C185" s="440"/>
      <c r="D185" s="440"/>
      <c r="E185" s="440"/>
      <c r="F185" s="440"/>
      <c r="G185" s="435"/>
      <c r="H185" s="440"/>
      <c r="I185" s="440"/>
      <c r="J185" s="440"/>
      <c r="K185" s="440"/>
      <c r="L185" s="440"/>
      <c r="M185" s="440"/>
      <c r="N185" s="440"/>
      <c r="O185" s="440"/>
      <c r="P185" s="440"/>
      <c r="Q185" s="440"/>
      <c r="R185" s="440"/>
      <c r="S185" s="440"/>
      <c r="T185" s="440"/>
      <c r="U185" s="440"/>
      <c r="V185" s="440"/>
      <c r="W185" s="440"/>
      <c r="X185" s="440"/>
      <c r="Y185" s="440"/>
      <c r="Z185" s="440"/>
      <c r="AA185" s="440"/>
    </row>
    <row r="186" ht="15.75" customHeight="1">
      <c r="A186" s="440"/>
      <c r="B186" s="440"/>
      <c r="C186" s="440"/>
      <c r="D186" s="440"/>
      <c r="E186" s="440"/>
      <c r="F186" s="440"/>
      <c r="G186" s="435"/>
      <c r="H186" s="440"/>
      <c r="I186" s="440"/>
      <c r="J186" s="440"/>
      <c r="K186" s="440"/>
      <c r="L186" s="440"/>
      <c r="M186" s="440"/>
      <c r="N186" s="440"/>
      <c r="O186" s="440"/>
      <c r="P186" s="440"/>
      <c r="Q186" s="440"/>
      <c r="R186" s="440"/>
      <c r="S186" s="440"/>
      <c r="T186" s="440"/>
      <c r="U186" s="440"/>
      <c r="V186" s="440"/>
      <c r="W186" s="440"/>
      <c r="X186" s="440"/>
      <c r="Y186" s="440"/>
      <c r="Z186" s="440"/>
      <c r="AA186" s="440"/>
    </row>
    <row r="187" ht="15.75" customHeight="1">
      <c r="A187" s="440"/>
      <c r="B187" s="440"/>
      <c r="C187" s="440"/>
      <c r="D187" s="440"/>
      <c r="E187" s="440"/>
      <c r="F187" s="440"/>
      <c r="G187" s="435"/>
      <c r="H187" s="440"/>
      <c r="I187" s="440"/>
      <c r="J187" s="440"/>
      <c r="K187" s="440"/>
      <c r="L187" s="440"/>
      <c r="M187" s="440"/>
      <c r="N187" s="440"/>
      <c r="O187" s="440"/>
      <c r="P187" s="440"/>
      <c r="Q187" s="440"/>
      <c r="R187" s="440"/>
      <c r="S187" s="440"/>
      <c r="T187" s="440"/>
      <c r="U187" s="440"/>
      <c r="V187" s="440"/>
      <c r="W187" s="440"/>
      <c r="X187" s="440"/>
      <c r="Y187" s="440"/>
      <c r="Z187" s="440"/>
      <c r="AA187" s="440"/>
    </row>
    <row r="188" ht="15.75" customHeight="1">
      <c r="A188" s="440"/>
      <c r="B188" s="440"/>
      <c r="C188" s="440"/>
      <c r="D188" s="440"/>
      <c r="E188" s="440"/>
      <c r="F188" s="440"/>
      <c r="G188" s="435"/>
      <c r="H188" s="440"/>
      <c r="I188" s="440"/>
      <c r="J188" s="440"/>
      <c r="K188" s="440"/>
      <c r="L188" s="440"/>
      <c r="M188" s="440"/>
      <c r="N188" s="440"/>
      <c r="O188" s="440"/>
      <c r="P188" s="440"/>
      <c r="Q188" s="440"/>
      <c r="R188" s="440"/>
      <c r="S188" s="440"/>
      <c r="T188" s="440"/>
      <c r="U188" s="440"/>
      <c r="V188" s="440"/>
      <c r="W188" s="440"/>
      <c r="X188" s="440"/>
      <c r="Y188" s="440"/>
      <c r="Z188" s="440"/>
      <c r="AA188" s="440"/>
    </row>
    <row r="189" ht="15.75" customHeight="1">
      <c r="A189" s="440"/>
      <c r="B189" s="440"/>
      <c r="C189" s="440"/>
      <c r="D189" s="440"/>
      <c r="E189" s="440"/>
      <c r="F189" s="440"/>
      <c r="G189" s="435"/>
      <c r="H189" s="440"/>
      <c r="I189" s="440"/>
      <c r="J189" s="440"/>
      <c r="K189" s="440"/>
      <c r="L189" s="440"/>
      <c r="M189" s="440"/>
      <c r="N189" s="440"/>
      <c r="O189" s="440"/>
      <c r="P189" s="440"/>
      <c r="Q189" s="440"/>
      <c r="R189" s="440"/>
      <c r="S189" s="440"/>
      <c r="T189" s="440"/>
      <c r="U189" s="440"/>
      <c r="V189" s="440"/>
      <c r="W189" s="440"/>
      <c r="X189" s="440"/>
      <c r="Y189" s="440"/>
      <c r="Z189" s="440"/>
      <c r="AA189" s="440"/>
    </row>
    <row r="190" ht="15.75" customHeight="1">
      <c r="A190" s="440"/>
      <c r="B190" s="440"/>
      <c r="C190" s="440"/>
      <c r="D190" s="440"/>
      <c r="E190" s="440"/>
      <c r="F190" s="440"/>
      <c r="G190" s="435"/>
      <c r="H190" s="440"/>
      <c r="I190" s="440"/>
      <c r="J190" s="440"/>
      <c r="K190" s="440"/>
      <c r="L190" s="440"/>
      <c r="M190" s="440"/>
      <c r="N190" s="440"/>
      <c r="O190" s="440"/>
      <c r="P190" s="440"/>
      <c r="Q190" s="440"/>
      <c r="R190" s="440"/>
      <c r="S190" s="440"/>
      <c r="T190" s="440"/>
      <c r="U190" s="440"/>
      <c r="V190" s="440"/>
      <c r="W190" s="440"/>
      <c r="X190" s="440"/>
      <c r="Y190" s="440"/>
      <c r="Z190" s="440"/>
      <c r="AA190" s="440"/>
    </row>
    <row r="191" ht="15.75" customHeight="1">
      <c r="A191" s="440"/>
      <c r="B191" s="440"/>
      <c r="C191" s="440"/>
      <c r="D191" s="440"/>
      <c r="E191" s="440"/>
      <c r="F191" s="440"/>
      <c r="G191" s="435"/>
      <c r="H191" s="440"/>
      <c r="I191" s="440"/>
      <c r="J191" s="440"/>
      <c r="K191" s="440"/>
      <c r="L191" s="440"/>
      <c r="M191" s="440"/>
      <c r="N191" s="440"/>
      <c r="O191" s="440"/>
      <c r="P191" s="440"/>
      <c r="Q191" s="440"/>
      <c r="R191" s="440"/>
      <c r="S191" s="440"/>
      <c r="T191" s="440"/>
      <c r="U191" s="440"/>
      <c r="V191" s="440"/>
      <c r="W191" s="440"/>
      <c r="X191" s="440"/>
      <c r="Y191" s="440"/>
      <c r="Z191" s="440"/>
      <c r="AA191" s="440"/>
    </row>
    <row r="192" ht="15.75" customHeight="1">
      <c r="A192" s="440"/>
      <c r="B192" s="440"/>
      <c r="C192" s="440"/>
      <c r="D192" s="440"/>
      <c r="E192" s="440"/>
      <c r="F192" s="440"/>
      <c r="G192" s="435"/>
      <c r="H192" s="440"/>
      <c r="I192" s="440"/>
      <c r="J192" s="440"/>
      <c r="K192" s="440"/>
      <c r="L192" s="440"/>
      <c r="M192" s="440"/>
      <c r="N192" s="440"/>
      <c r="O192" s="440"/>
      <c r="P192" s="440"/>
      <c r="Q192" s="440"/>
      <c r="R192" s="440"/>
      <c r="S192" s="440"/>
      <c r="T192" s="440"/>
      <c r="U192" s="440"/>
      <c r="V192" s="440"/>
      <c r="W192" s="440"/>
      <c r="X192" s="440"/>
      <c r="Y192" s="440"/>
      <c r="Z192" s="440"/>
      <c r="AA192" s="440"/>
    </row>
    <row r="193" ht="15.75" customHeight="1">
      <c r="A193" s="440"/>
      <c r="B193" s="440"/>
      <c r="C193" s="440"/>
      <c r="D193" s="440"/>
      <c r="E193" s="440"/>
      <c r="F193" s="440"/>
      <c r="G193" s="435"/>
      <c r="H193" s="440"/>
      <c r="I193" s="440"/>
      <c r="J193" s="440"/>
      <c r="K193" s="440"/>
      <c r="L193" s="440"/>
      <c r="M193" s="440"/>
      <c r="N193" s="440"/>
      <c r="O193" s="440"/>
      <c r="P193" s="440"/>
      <c r="Q193" s="440"/>
      <c r="R193" s="440"/>
      <c r="S193" s="440"/>
      <c r="T193" s="440"/>
      <c r="U193" s="440"/>
      <c r="V193" s="440"/>
      <c r="W193" s="440"/>
      <c r="X193" s="440"/>
      <c r="Y193" s="440"/>
      <c r="Z193" s="440"/>
      <c r="AA193" s="440"/>
    </row>
    <row r="194" ht="15.75" customHeight="1">
      <c r="A194" s="440"/>
      <c r="B194" s="440"/>
      <c r="C194" s="440"/>
      <c r="D194" s="440"/>
      <c r="E194" s="440"/>
      <c r="F194" s="440"/>
      <c r="G194" s="435"/>
      <c r="H194" s="440"/>
      <c r="I194" s="440"/>
      <c r="J194" s="440"/>
      <c r="K194" s="440"/>
      <c r="L194" s="440"/>
      <c r="M194" s="440"/>
      <c r="N194" s="440"/>
      <c r="O194" s="440"/>
      <c r="P194" s="440"/>
      <c r="Q194" s="440"/>
      <c r="R194" s="440"/>
      <c r="S194" s="440"/>
      <c r="T194" s="440"/>
      <c r="U194" s="440"/>
      <c r="V194" s="440"/>
      <c r="W194" s="440"/>
      <c r="X194" s="440"/>
      <c r="Y194" s="440"/>
      <c r="Z194" s="440"/>
      <c r="AA194" s="440"/>
    </row>
    <row r="195" ht="15.75" customHeight="1">
      <c r="A195" s="440"/>
      <c r="B195" s="440"/>
      <c r="C195" s="440"/>
      <c r="D195" s="440"/>
      <c r="E195" s="440"/>
      <c r="F195" s="440"/>
      <c r="G195" s="435"/>
      <c r="H195" s="440"/>
      <c r="I195" s="440"/>
      <c r="J195" s="440"/>
      <c r="K195" s="440"/>
      <c r="L195" s="440"/>
      <c r="M195" s="440"/>
      <c r="N195" s="440"/>
      <c r="O195" s="440"/>
      <c r="P195" s="440"/>
      <c r="Q195" s="440"/>
      <c r="R195" s="440"/>
      <c r="S195" s="440"/>
      <c r="T195" s="440"/>
      <c r="U195" s="440"/>
      <c r="V195" s="440"/>
      <c r="W195" s="440"/>
      <c r="X195" s="440"/>
      <c r="Y195" s="440"/>
      <c r="Z195" s="440"/>
      <c r="AA195" s="440"/>
    </row>
    <row r="196" ht="15.75" customHeight="1">
      <c r="A196" s="440"/>
      <c r="B196" s="440"/>
      <c r="C196" s="440"/>
      <c r="D196" s="440"/>
      <c r="E196" s="440"/>
      <c r="F196" s="440"/>
      <c r="G196" s="435"/>
      <c r="H196" s="440"/>
      <c r="I196" s="440"/>
      <c r="J196" s="440"/>
      <c r="K196" s="440"/>
      <c r="L196" s="440"/>
      <c r="M196" s="440"/>
      <c r="N196" s="440"/>
      <c r="O196" s="440"/>
      <c r="P196" s="440"/>
      <c r="Q196" s="440"/>
      <c r="R196" s="440"/>
      <c r="S196" s="440"/>
      <c r="T196" s="440"/>
      <c r="U196" s="440"/>
      <c r="V196" s="440"/>
      <c r="W196" s="440"/>
      <c r="X196" s="440"/>
      <c r="Y196" s="440"/>
      <c r="Z196" s="440"/>
      <c r="AA196" s="440"/>
    </row>
    <row r="197" ht="15.75" customHeight="1">
      <c r="A197" s="440"/>
      <c r="B197" s="440"/>
      <c r="C197" s="440"/>
      <c r="D197" s="440"/>
      <c r="E197" s="440"/>
      <c r="F197" s="440"/>
      <c r="G197" s="435"/>
      <c r="H197" s="440"/>
      <c r="I197" s="440"/>
      <c r="J197" s="440"/>
      <c r="K197" s="440"/>
      <c r="L197" s="440"/>
      <c r="M197" s="440"/>
      <c r="N197" s="440"/>
      <c r="O197" s="440"/>
      <c r="P197" s="440"/>
      <c r="Q197" s="440"/>
      <c r="R197" s="440"/>
      <c r="S197" s="440"/>
      <c r="T197" s="440"/>
      <c r="U197" s="440"/>
      <c r="V197" s="440"/>
      <c r="W197" s="440"/>
      <c r="X197" s="440"/>
      <c r="Y197" s="440"/>
      <c r="Z197" s="440"/>
      <c r="AA197" s="440"/>
    </row>
    <row r="198" ht="15.75" customHeight="1">
      <c r="A198" s="440"/>
      <c r="B198" s="440"/>
      <c r="C198" s="440"/>
      <c r="D198" s="440"/>
      <c r="E198" s="440"/>
      <c r="F198" s="440"/>
      <c r="G198" s="435"/>
      <c r="H198" s="440"/>
      <c r="I198" s="440"/>
      <c r="J198" s="440"/>
      <c r="K198" s="440"/>
      <c r="L198" s="440"/>
      <c r="M198" s="440"/>
      <c r="N198" s="440"/>
      <c r="O198" s="440"/>
      <c r="P198" s="440"/>
      <c r="Q198" s="440"/>
      <c r="R198" s="440"/>
      <c r="S198" s="440"/>
      <c r="T198" s="440"/>
      <c r="U198" s="440"/>
      <c r="V198" s="440"/>
      <c r="W198" s="440"/>
      <c r="X198" s="440"/>
      <c r="Y198" s="440"/>
      <c r="Z198" s="440"/>
      <c r="AA198" s="440"/>
    </row>
    <row r="199" ht="15.75" customHeight="1">
      <c r="A199" s="440"/>
      <c r="B199" s="440"/>
      <c r="C199" s="440"/>
      <c r="D199" s="440"/>
      <c r="E199" s="440"/>
      <c r="F199" s="440"/>
      <c r="G199" s="435"/>
      <c r="H199" s="440"/>
      <c r="I199" s="440"/>
      <c r="J199" s="440"/>
      <c r="K199" s="440"/>
      <c r="L199" s="440"/>
      <c r="M199" s="440"/>
      <c r="N199" s="440"/>
      <c r="O199" s="440"/>
      <c r="P199" s="440"/>
      <c r="Q199" s="440"/>
      <c r="R199" s="440"/>
      <c r="S199" s="440"/>
      <c r="T199" s="440"/>
      <c r="U199" s="440"/>
      <c r="V199" s="440"/>
      <c r="W199" s="440"/>
      <c r="X199" s="440"/>
      <c r="Y199" s="440"/>
      <c r="Z199" s="440"/>
      <c r="AA199" s="440"/>
    </row>
    <row r="200" ht="15.75" customHeight="1">
      <c r="A200" s="440"/>
      <c r="B200" s="440"/>
      <c r="C200" s="440"/>
      <c r="D200" s="440"/>
      <c r="E200" s="440"/>
      <c r="F200" s="440"/>
      <c r="G200" s="435"/>
      <c r="H200" s="440"/>
      <c r="I200" s="440"/>
      <c r="J200" s="440"/>
      <c r="K200" s="440"/>
      <c r="L200" s="440"/>
      <c r="M200" s="440"/>
      <c r="N200" s="440"/>
      <c r="O200" s="440"/>
      <c r="P200" s="440"/>
      <c r="Q200" s="440"/>
      <c r="R200" s="440"/>
      <c r="S200" s="440"/>
      <c r="T200" s="440"/>
      <c r="U200" s="440"/>
      <c r="V200" s="440"/>
      <c r="W200" s="440"/>
      <c r="X200" s="440"/>
      <c r="Y200" s="440"/>
      <c r="Z200" s="440"/>
      <c r="AA200" s="440"/>
    </row>
    <row r="201" ht="15.75" customHeight="1">
      <c r="A201" s="440"/>
      <c r="B201" s="440"/>
      <c r="C201" s="440"/>
      <c r="D201" s="440"/>
      <c r="E201" s="440"/>
      <c r="F201" s="440"/>
      <c r="G201" s="435"/>
      <c r="H201" s="440"/>
      <c r="I201" s="440"/>
      <c r="J201" s="440"/>
      <c r="K201" s="440"/>
      <c r="L201" s="440"/>
      <c r="M201" s="440"/>
      <c r="N201" s="440"/>
      <c r="O201" s="440"/>
      <c r="P201" s="440"/>
      <c r="Q201" s="440"/>
      <c r="R201" s="440"/>
      <c r="S201" s="440"/>
      <c r="T201" s="440"/>
      <c r="U201" s="440"/>
      <c r="V201" s="440"/>
      <c r="W201" s="440"/>
      <c r="X201" s="440"/>
      <c r="Y201" s="440"/>
      <c r="Z201" s="440"/>
      <c r="AA201" s="440"/>
    </row>
    <row r="202" ht="15.75" customHeight="1">
      <c r="A202" s="440"/>
      <c r="B202" s="440"/>
      <c r="C202" s="440"/>
      <c r="D202" s="440"/>
      <c r="E202" s="440"/>
      <c r="F202" s="440"/>
      <c r="G202" s="435"/>
      <c r="H202" s="440"/>
      <c r="I202" s="440"/>
      <c r="J202" s="440"/>
      <c r="K202" s="440"/>
      <c r="L202" s="440"/>
      <c r="M202" s="440"/>
      <c r="N202" s="440"/>
      <c r="O202" s="440"/>
      <c r="P202" s="440"/>
      <c r="Q202" s="440"/>
      <c r="R202" s="440"/>
      <c r="S202" s="440"/>
      <c r="T202" s="440"/>
      <c r="U202" s="440"/>
      <c r="V202" s="440"/>
      <c r="W202" s="440"/>
      <c r="X202" s="440"/>
      <c r="Y202" s="440"/>
      <c r="Z202" s="440"/>
      <c r="AA202" s="440"/>
    </row>
    <row r="203" ht="15.75" customHeight="1">
      <c r="A203" s="440"/>
      <c r="B203" s="440"/>
      <c r="C203" s="440"/>
      <c r="D203" s="440"/>
      <c r="E203" s="440"/>
      <c r="F203" s="440"/>
      <c r="G203" s="435"/>
      <c r="H203" s="440"/>
      <c r="I203" s="440"/>
      <c r="J203" s="440"/>
      <c r="K203" s="440"/>
      <c r="L203" s="440"/>
      <c r="M203" s="440"/>
      <c r="N203" s="440"/>
      <c r="O203" s="440"/>
      <c r="P203" s="440"/>
      <c r="Q203" s="440"/>
      <c r="R203" s="440"/>
      <c r="S203" s="440"/>
      <c r="T203" s="440"/>
      <c r="U203" s="440"/>
      <c r="V203" s="440"/>
      <c r="W203" s="440"/>
      <c r="X203" s="440"/>
      <c r="Y203" s="440"/>
      <c r="Z203" s="440"/>
      <c r="AA203" s="440"/>
    </row>
    <row r="204" ht="15.75" customHeight="1">
      <c r="A204" s="440"/>
      <c r="B204" s="440"/>
      <c r="C204" s="440"/>
      <c r="D204" s="440"/>
      <c r="E204" s="440"/>
      <c r="F204" s="440"/>
      <c r="G204" s="435"/>
      <c r="H204" s="440"/>
      <c r="I204" s="440"/>
      <c r="J204" s="440"/>
      <c r="K204" s="440"/>
      <c r="L204" s="440"/>
      <c r="M204" s="440"/>
      <c r="N204" s="440"/>
      <c r="O204" s="440"/>
      <c r="P204" s="440"/>
      <c r="Q204" s="440"/>
      <c r="R204" s="440"/>
      <c r="S204" s="440"/>
      <c r="T204" s="440"/>
      <c r="U204" s="440"/>
      <c r="V204" s="440"/>
      <c r="W204" s="440"/>
      <c r="X204" s="440"/>
      <c r="Y204" s="440"/>
      <c r="Z204" s="440"/>
      <c r="AA204" s="440"/>
    </row>
    <row r="205" ht="15.75" customHeight="1">
      <c r="A205" s="440"/>
      <c r="B205" s="440"/>
      <c r="C205" s="440"/>
      <c r="D205" s="440"/>
      <c r="E205" s="440"/>
      <c r="F205" s="440"/>
      <c r="G205" s="435"/>
      <c r="H205" s="440"/>
      <c r="I205" s="440"/>
      <c r="J205" s="440"/>
      <c r="K205" s="440"/>
      <c r="L205" s="440"/>
      <c r="M205" s="440"/>
      <c r="N205" s="440"/>
      <c r="O205" s="440"/>
      <c r="P205" s="440"/>
      <c r="Q205" s="440"/>
      <c r="R205" s="440"/>
      <c r="S205" s="440"/>
      <c r="T205" s="440"/>
      <c r="U205" s="440"/>
      <c r="V205" s="440"/>
      <c r="W205" s="440"/>
      <c r="X205" s="440"/>
      <c r="Y205" s="440"/>
      <c r="Z205" s="440"/>
      <c r="AA205" s="440"/>
    </row>
    <row r="206" ht="15.75" customHeight="1">
      <c r="A206" s="440"/>
      <c r="B206" s="440"/>
      <c r="C206" s="440"/>
      <c r="D206" s="440"/>
      <c r="E206" s="440"/>
      <c r="F206" s="440"/>
      <c r="G206" s="435"/>
      <c r="H206" s="440"/>
      <c r="I206" s="440"/>
      <c r="J206" s="440"/>
      <c r="K206" s="440"/>
      <c r="L206" s="440"/>
      <c r="M206" s="440"/>
      <c r="N206" s="440"/>
      <c r="O206" s="440"/>
      <c r="P206" s="440"/>
      <c r="Q206" s="440"/>
      <c r="R206" s="440"/>
      <c r="S206" s="440"/>
      <c r="T206" s="440"/>
      <c r="U206" s="440"/>
      <c r="V206" s="440"/>
      <c r="W206" s="440"/>
      <c r="X206" s="440"/>
      <c r="Y206" s="440"/>
      <c r="Z206" s="440"/>
      <c r="AA206" s="440"/>
    </row>
    <row r="207" ht="15.75" customHeight="1">
      <c r="A207" s="440"/>
      <c r="B207" s="440"/>
      <c r="C207" s="440"/>
      <c r="D207" s="440"/>
      <c r="E207" s="440"/>
      <c r="F207" s="440"/>
      <c r="G207" s="435"/>
      <c r="H207" s="440"/>
      <c r="I207" s="440"/>
      <c r="J207" s="440"/>
      <c r="K207" s="440"/>
      <c r="L207" s="440"/>
      <c r="M207" s="440"/>
      <c r="N207" s="440"/>
      <c r="O207" s="440"/>
      <c r="P207" s="440"/>
      <c r="Q207" s="440"/>
      <c r="R207" s="440"/>
      <c r="S207" s="440"/>
      <c r="T207" s="440"/>
      <c r="U207" s="440"/>
      <c r="V207" s="440"/>
      <c r="W207" s="440"/>
      <c r="X207" s="440"/>
      <c r="Y207" s="440"/>
      <c r="Z207" s="440"/>
      <c r="AA207" s="440"/>
    </row>
    <row r="208" ht="15.75" customHeight="1">
      <c r="A208" s="440"/>
      <c r="B208" s="440"/>
      <c r="C208" s="440"/>
      <c r="D208" s="440"/>
      <c r="E208" s="440"/>
      <c r="F208" s="440"/>
      <c r="G208" s="435"/>
      <c r="H208" s="440"/>
      <c r="I208" s="440"/>
      <c r="J208" s="440"/>
      <c r="K208" s="440"/>
      <c r="L208" s="440"/>
      <c r="M208" s="440"/>
      <c r="N208" s="440"/>
      <c r="O208" s="440"/>
      <c r="P208" s="440"/>
      <c r="Q208" s="440"/>
      <c r="R208" s="440"/>
      <c r="S208" s="440"/>
      <c r="T208" s="440"/>
      <c r="U208" s="440"/>
      <c r="V208" s="440"/>
      <c r="W208" s="440"/>
      <c r="X208" s="440"/>
      <c r="Y208" s="440"/>
      <c r="Z208" s="440"/>
      <c r="AA208" s="440"/>
    </row>
    <row r="209" ht="15.75" customHeight="1">
      <c r="A209" s="440"/>
      <c r="B209" s="440"/>
      <c r="C209" s="440"/>
      <c r="D209" s="440"/>
      <c r="E209" s="440"/>
      <c r="F209" s="440"/>
      <c r="G209" s="435"/>
      <c r="H209" s="440"/>
      <c r="I209" s="440"/>
      <c r="J209" s="440"/>
      <c r="K209" s="440"/>
      <c r="L209" s="440"/>
      <c r="M209" s="440"/>
      <c r="N209" s="440"/>
      <c r="O209" s="440"/>
      <c r="P209" s="440"/>
      <c r="Q209" s="440"/>
      <c r="R209" s="440"/>
      <c r="S209" s="440"/>
      <c r="T209" s="440"/>
      <c r="U209" s="440"/>
      <c r="V209" s="440"/>
      <c r="W209" s="440"/>
      <c r="X209" s="440"/>
      <c r="Y209" s="440"/>
      <c r="Z209" s="440"/>
      <c r="AA209" s="440"/>
    </row>
    <row r="210" ht="15.75" customHeight="1">
      <c r="A210" s="440"/>
      <c r="B210" s="440"/>
      <c r="C210" s="440"/>
      <c r="D210" s="440"/>
      <c r="E210" s="440"/>
      <c r="F210" s="440"/>
      <c r="G210" s="435"/>
      <c r="H210" s="440"/>
      <c r="I210" s="440"/>
      <c r="J210" s="440"/>
      <c r="K210" s="440"/>
      <c r="L210" s="440"/>
      <c r="M210" s="440"/>
      <c r="N210" s="440"/>
      <c r="O210" s="440"/>
      <c r="P210" s="440"/>
      <c r="Q210" s="440"/>
      <c r="R210" s="440"/>
      <c r="S210" s="440"/>
      <c r="T210" s="440"/>
      <c r="U210" s="440"/>
      <c r="V210" s="440"/>
      <c r="W210" s="440"/>
      <c r="X210" s="440"/>
      <c r="Y210" s="440"/>
      <c r="Z210" s="440"/>
      <c r="AA210" s="440"/>
    </row>
    <row r="211" ht="15.75" customHeight="1">
      <c r="A211" s="440"/>
      <c r="B211" s="440"/>
      <c r="C211" s="440"/>
      <c r="D211" s="440"/>
      <c r="E211" s="440"/>
      <c r="F211" s="440"/>
      <c r="G211" s="435"/>
      <c r="H211" s="440"/>
      <c r="I211" s="440"/>
      <c r="J211" s="440"/>
      <c r="K211" s="440"/>
      <c r="L211" s="440"/>
      <c r="M211" s="440"/>
      <c r="N211" s="440"/>
      <c r="O211" s="440"/>
      <c r="P211" s="440"/>
      <c r="Q211" s="440"/>
      <c r="R211" s="440"/>
      <c r="S211" s="440"/>
      <c r="T211" s="440"/>
      <c r="U211" s="440"/>
      <c r="V211" s="440"/>
      <c r="W211" s="440"/>
      <c r="X211" s="440"/>
      <c r="Y211" s="440"/>
      <c r="Z211" s="440"/>
      <c r="AA211" s="440"/>
    </row>
    <row r="212" ht="15.75" customHeight="1">
      <c r="A212" s="440"/>
      <c r="B212" s="440"/>
      <c r="C212" s="440"/>
      <c r="D212" s="440"/>
      <c r="E212" s="440"/>
      <c r="F212" s="440"/>
      <c r="G212" s="435"/>
      <c r="H212" s="440"/>
      <c r="I212" s="440"/>
      <c r="J212" s="440"/>
      <c r="K212" s="440"/>
      <c r="L212" s="440"/>
      <c r="M212" s="440"/>
      <c r="N212" s="440"/>
      <c r="O212" s="440"/>
      <c r="P212" s="440"/>
      <c r="Q212" s="440"/>
      <c r="R212" s="440"/>
      <c r="S212" s="440"/>
      <c r="T212" s="440"/>
      <c r="U212" s="440"/>
      <c r="V212" s="440"/>
      <c r="W212" s="440"/>
      <c r="X212" s="440"/>
      <c r="Y212" s="440"/>
      <c r="Z212" s="440"/>
      <c r="AA212" s="440"/>
    </row>
    <row r="213" ht="15.75" customHeight="1">
      <c r="A213" s="440"/>
      <c r="B213" s="440"/>
      <c r="C213" s="440"/>
      <c r="D213" s="440"/>
      <c r="E213" s="440"/>
      <c r="F213" s="440"/>
      <c r="G213" s="435"/>
      <c r="H213" s="440"/>
      <c r="I213" s="440"/>
      <c r="J213" s="440"/>
      <c r="K213" s="440"/>
      <c r="L213" s="440"/>
      <c r="M213" s="440"/>
      <c r="N213" s="440"/>
      <c r="O213" s="440"/>
      <c r="P213" s="440"/>
      <c r="Q213" s="440"/>
      <c r="R213" s="440"/>
      <c r="S213" s="440"/>
      <c r="T213" s="440"/>
      <c r="U213" s="440"/>
      <c r="V213" s="440"/>
      <c r="W213" s="440"/>
      <c r="X213" s="440"/>
      <c r="Y213" s="440"/>
      <c r="Z213" s="440"/>
      <c r="AA213" s="440"/>
    </row>
    <row r="214" ht="15.75" customHeight="1">
      <c r="A214" s="440"/>
      <c r="B214" s="440"/>
      <c r="C214" s="440"/>
      <c r="D214" s="440"/>
      <c r="E214" s="440"/>
      <c r="F214" s="440"/>
      <c r="G214" s="435"/>
      <c r="H214" s="440"/>
      <c r="I214" s="440"/>
      <c r="J214" s="440"/>
      <c r="K214" s="440"/>
      <c r="L214" s="440"/>
      <c r="M214" s="440"/>
      <c r="N214" s="440"/>
      <c r="O214" s="440"/>
      <c r="P214" s="440"/>
      <c r="Q214" s="440"/>
      <c r="R214" s="440"/>
      <c r="S214" s="440"/>
      <c r="T214" s="440"/>
      <c r="U214" s="440"/>
      <c r="V214" s="440"/>
      <c r="W214" s="440"/>
      <c r="X214" s="440"/>
      <c r="Y214" s="440"/>
      <c r="Z214" s="440"/>
      <c r="AA214" s="440"/>
    </row>
    <row r="215" ht="15.75" customHeight="1">
      <c r="A215" s="440"/>
      <c r="B215" s="440"/>
      <c r="C215" s="440"/>
      <c r="D215" s="440"/>
      <c r="E215" s="440"/>
      <c r="F215" s="440"/>
      <c r="G215" s="435"/>
      <c r="H215" s="440"/>
      <c r="I215" s="440"/>
      <c r="J215" s="440"/>
      <c r="K215" s="440"/>
      <c r="L215" s="440"/>
      <c r="M215" s="440"/>
      <c r="N215" s="440"/>
      <c r="O215" s="440"/>
      <c r="P215" s="440"/>
      <c r="Q215" s="440"/>
      <c r="R215" s="440"/>
      <c r="S215" s="440"/>
      <c r="T215" s="440"/>
      <c r="U215" s="440"/>
      <c r="V215" s="440"/>
      <c r="W215" s="440"/>
      <c r="X215" s="440"/>
      <c r="Y215" s="440"/>
      <c r="Z215" s="440"/>
      <c r="AA215" s="440"/>
    </row>
    <row r="216" ht="15.75" customHeight="1">
      <c r="A216" s="440"/>
      <c r="B216" s="440"/>
      <c r="C216" s="440"/>
      <c r="D216" s="440"/>
      <c r="E216" s="440"/>
      <c r="F216" s="440"/>
      <c r="G216" s="435"/>
      <c r="H216" s="440"/>
      <c r="I216" s="440"/>
      <c r="J216" s="440"/>
      <c r="K216" s="440"/>
      <c r="L216" s="440"/>
      <c r="M216" s="440"/>
      <c r="N216" s="440"/>
      <c r="O216" s="440"/>
      <c r="P216" s="440"/>
      <c r="Q216" s="440"/>
      <c r="R216" s="440"/>
      <c r="S216" s="440"/>
      <c r="T216" s="440"/>
      <c r="U216" s="440"/>
      <c r="V216" s="440"/>
      <c r="W216" s="440"/>
      <c r="X216" s="440"/>
      <c r="Y216" s="440"/>
      <c r="Z216" s="440"/>
      <c r="AA216" s="440"/>
    </row>
    <row r="217" ht="15.75" customHeight="1">
      <c r="A217" s="440"/>
      <c r="B217" s="440"/>
      <c r="C217" s="440"/>
      <c r="D217" s="440"/>
      <c r="E217" s="440"/>
      <c r="F217" s="440"/>
      <c r="G217" s="435"/>
      <c r="H217" s="440"/>
      <c r="I217" s="440"/>
      <c r="J217" s="440"/>
      <c r="K217" s="440"/>
      <c r="L217" s="440"/>
      <c r="M217" s="440"/>
      <c r="N217" s="440"/>
      <c r="O217" s="440"/>
      <c r="P217" s="440"/>
      <c r="Q217" s="440"/>
      <c r="R217" s="440"/>
      <c r="S217" s="440"/>
      <c r="T217" s="440"/>
      <c r="U217" s="440"/>
      <c r="V217" s="440"/>
      <c r="W217" s="440"/>
      <c r="X217" s="440"/>
      <c r="Y217" s="440"/>
      <c r="Z217" s="440"/>
      <c r="AA217" s="440"/>
    </row>
    <row r="218" ht="15.75" customHeight="1">
      <c r="A218" s="440"/>
      <c r="B218" s="440"/>
      <c r="C218" s="440"/>
      <c r="D218" s="440"/>
      <c r="E218" s="440"/>
      <c r="F218" s="440"/>
      <c r="G218" s="435"/>
      <c r="H218" s="440"/>
      <c r="I218" s="440"/>
      <c r="J218" s="440"/>
      <c r="K218" s="440"/>
      <c r="L218" s="440"/>
      <c r="M218" s="440"/>
      <c r="N218" s="440"/>
      <c r="O218" s="440"/>
      <c r="P218" s="440"/>
      <c r="Q218" s="440"/>
      <c r="R218" s="440"/>
      <c r="S218" s="440"/>
      <c r="T218" s="440"/>
      <c r="U218" s="440"/>
      <c r="V218" s="440"/>
      <c r="W218" s="440"/>
      <c r="X218" s="440"/>
      <c r="Y218" s="440"/>
      <c r="Z218" s="440"/>
      <c r="AA218" s="440"/>
    </row>
    <row r="219" ht="15.75" customHeight="1">
      <c r="A219" s="440"/>
      <c r="B219" s="440"/>
      <c r="C219" s="440"/>
      <c r="D219" s="440"/>
      <c r="E219" s="440"/>
      <c r="F219" s="440"/>
      <c r="G219" s="435"/>
      <c r="H219" s="440"/>
      <c r="I219" s="440"/>
      <c r="J219" s="440"/>
      <c r="K219" s="440"/>
      <c r="L219" s="440"/>
      <c r="M219" s="440"/>
      <c r="N219" s="440"/>
      <c r="O219" s="440"/>
      <c r="P219" s="440"/>
      <c r="Q219" s="440"/>
      <c r="R219" s="440"/>
      <c r="S219" s="440"/>
      <c r="T219" s="440"/>
      <c r="U219" s="440"/>
      <c r="V219" s="440"/>
      <c r="W219" s="440"/>
      <c r="X219" s="440"/>
      <c r="Y219" s="440"/>
      <c r="Z219" s="440"/>
      <c r="AA219" s="440"/>
    </row>
    <row r="220" ht="15.75" customHeight="1">
      <c r="A220" s="440"/>
      <c r="B220" s="440"/>
      <c r="C220" s="440"/>
      <c r="D220" s="440"/>
      <c r="E220" s="440"/>
      <c r="F220" s="440"/>
      <c r="G220" s="435"/>
      <c r="H220" s="440"/>
      <c r="I220" s="440"/>
      <c r="J220" s="440"/>
      <c r="K220" s="440"/>
      <c r="L220" s="440"/>
      <c r="M220" s="440"/>
      <c r="N220" s="440"/>
      <c r="O220" s="440"/>
      <c r="P220" s="440"/>
      <c r="Q220" s="440"/>
      <c r="R220" s="440"/>
      <c r="S220" s="440"/>
      <c r="T220" s="440"/>
      <c r="U220" s="440"/>
      <c r="V220" s="440"/>
      <c r="W220" s="440"/>
      <c r="X220" s="440"/>
      <c r="Y220" s="440"/>
      <c r="Z220" s="440"/>
      <c r="AA220" s="440"/>
    </row>
    <row r="221" ht="15.75" customHeight="1">
      <c r="A221" s="440"/>
      <c r="B221" s="440"/>
      <c r="C221" s="440"/>
      <c r="D221" s="440"/>
      <c r="E221" s="440"/>
      <c r="F221" s="440"/>
      <c r="G221" s="435"/>
      <c r="H221" s="440"/>
      <c r="I221" s="440"/>
      <c r="J221" s="440"/>
      <c r="K221" s="440"/>
      <c r="L221" s="440"/>
      <c r="M221" s="440"/>
      <c r="N221" s="440"/>
      <c r="O221" s="440"/>
      <c r="P221" s="440"/>
      <c r="Q221" s="440"/>
      <c r="R221" s="440"/>
      <c r="S221" s="440"/>
      <c r="T221" s="440"/>
      <c r="U221" s="440"/>
      <c r="V221" s="440"/>
      <c r="W221" s="440"/>
      <c r="X221" s="440"/>
      <c r="Y221" s="440"/>
      <c r="Z221" s="440"/>
      <c r="AA221" s="440"/>
    </row>
    <row r="222" ht="15.75" customHeight="1">
      <c r="A222" s="440"/>
      <c r="B222" s="440"/>
      <c r="C222" s="440"/>
      <c r="D222" s="440"/>
      <c r="E222" s="440"/>
      <c r="F222" s="440"/>
      <c r="G222" s="435"/>
      <c r="H222" s="440"/>
      <c r="I222" s="440"/>
      <c r="J222" s="440"/>
      <c r="K222" s="440"/>
      <c r="L222" s="440"/>
      <c r="M222" s="440"/>
      <c r="N222" s="440"/>
      <c r="O222" s="440"/>
      <c r="P222" s="440"/>
      <c r="Q222" s="440"/>
      <c r="R222" s="440"/>
      <c r="S222" s="440"/>
      <c r="T222" s="440"/>
      <c r="U222" s="440"/>
      <c r="V222" s="440"/>
      <c r="W222" s="440"/>
      <c r="X222" s="440"/>
      <c r="Y222" s="440"/>
      <c r="Z222" s="440"/>
      <c r="AA222" s="440"/>
    </row>
    <row r="223" ht="15.75" customHeight="1">
      <c r="A223" s="440"/>
      <c r="B223" s="440"/>
      <c r="C223" s="440"/>
      <c r="D223" s="440"/>
      <c r="E223" s="440"/>
      <c r="F223" s="440"/>
      <c r="G223" s="435"/>
      <c r="H223" s="440"/>
      <c r="I223" s="440"/>
      <c r="J223" s="440"/>
      <c r="K223" s="440"/>
      <c r="L223" s="440"/>
      <c r="M223" s="440"/>
      <c r="N223" s="440"/>
      <c r="O223" s="440"/>
      <c r="P223" s="440"/>
      <c r="Q223" s="440"/>
      <c r="R223" s="440"/>
      <c r="S223" s="440"/>
      <c r="T223" s="440"/>
      <c r="U223" s="440"/>
      <c r="V223" s="440"/>
      <c r="W223" s="440"/>
      <c r="X223" s="440"/>
      <c r="Y223" s="440"/>
      <c r="Z223" s="440"/>
      <c r="AA223" s="440"/>
    </row>
    <row r="224" ht="15.75" customHeight="1">
      <c r="A224" s="440"/>
      <c r="B224" s="440"/>
      <c r="C224" s="440"/>
      <c r="D224" s="440"/>
      <c r="E224" s="440"/>
      <c r="F224" s="440"/>
      <c r="G224" s="435"/>
      <c r="H224" s="440"/>
      <c r="I224" s="440"/>
      <c r="J224" s="440"/>
      <c r="K224" s="440"/>
      <c r="L224" s="440"/>
      <c r="M224" s="440"/>
      <c r="N224" s="440"/>
      <c r="O224" s="440"/>
      <c r="P224" s="440"/>
      <c r="Q224" s="440"/>
      <c r="R224" s="440"/>
      <c r="S224" s="440"/>
      <c r="T224" s="440"/>
      <c r="U224" s="440"/>
      <c r="V224" s="440"/>
      <c r="W224" s="440"/>
      <c r="X224" s="440"/>
      <c r="Y224" s="440"/>
      <c r="Z224" s="440"/>
      <c r="AA224" s="440"/>
    </row>
    <row r="225" ht="15.75" customHeight="1">
      <c r="A225" s="440"/>
      <c r="B225" s="440"/>
      <c r="C225" s="440"/>
      <c r="D225" s="440"/>
      <c r="E225" s="440"/>
      <c r="F225" s="440"/>
      <c r="G225" s="435"/>
      <c r="H225" s="440"/>
      <c r="I225" s="440"/>
      <c r="J225" s="440"/>
      <c r="K225" s="440"/>
      <c r="L225" s="440"/>
      <c r="M225" s="440"/>
      <c r="N225" s="440"/>
      <c r="O225" s="440"/>
      <c r="P225" s="440"/>
      <c r="Q225" s="440"/>
      <c r="R225" s="440"/>
      <c r="S225" s="440"/>
      <c r="T225" s="440"/>
      <c r="U225" s="440"/>
      <c r="V225" s="440"/>
      <c r="W225" s="440"/>
      <c r="X225" s="440"/>
      <c r="Y225" s="440"/>
      <c r="Z225" s="440"/>
      <c r="AA225" s="440"/>
    </row>
    <row r="226" ht="15.75" customHeight="1">
      <c r="A226" s="440"/>
      <c r="B226" s="440"/>
      <c r="C226" s="440"/>
      <c r="D226" s="440"/>
      <c r="E226" s="440"/>
      <c r="F226" s="440"/>
      <c r="G226" s="435"/>
      <c r="H226" s="440"/>
      <c r="I226" s="440"/>
      <c r="J226" s="440"/>
      <c r="K226" s="440"/>
      <c r="L226" s="440"/>
      <c r="M226" s="440"/>
      <c r="N226" s="440"/>
      <c r="O226" s="440"/>
      <c r="P226" s="440"/>
      <c r="Q226" s="440"/>
      <c r="R226" s="440"/>
      <c r="S226" s="440"/>
      <c r="T226" s="440"/>
      <c r="U226" s="440"/>
      <c r="V226" s="440"/>
      <c r="W226" s="440"/>
      <c r="X226" s="440"/>
      <c r="Y226" s="440"/>
      <c r="Z226" s="440"/>
      <c r="AA226" s="440"/>
    </row>
    <row r="227" ht="15.75" customHeight="1">
      <c r="A227" s="440"/>
      <c r="B227" s="440"/>
      <c r="C227" s="440"/>
      <c r="D227" s="440"/>
      <c r="E227" s="440"/>
      <c r="F227" s="440"/>
      <c r="G227" s="435"/>
      <c r="H227" s="440"/>
      <c r="I227" s="440"/>
      <c r="J227" s="440"/>
      <c r="K227" s="440"/>
      <c r="L227" s="440"/>
      <c r="M227" s="440"/>
      <c r="N227" s="440"/>
      <c r="O227" s="440"/>
      <c r="P227" s="440"/>
      <c r="Q227" s="440"/>
      <c r="R227" s="440"/>
      <c r="S227" s="440"/>
      <c r="T227" s="440"/>
      <c r="U227" s="440"/>
      <c r="V227" s="440"/>
      <c r="W227" s="440"/>
      <c r="X227" s="440"/>
      <c r="Y227" s="440"/>
      <c r="Z227" s="440"/>
      <c r="AA227" s="440"/>
    </row>
    <row r="228" ht="15.75" customHeight="1">
      <c r="A228" s="440"/>
      <c r="B228" s="440"/>
      <c r="C228" s="440"/>
      <c r="D228" s="440"/>
      <c r="E228" s="440"/>
      <c r="F228" s="440"/>
      <c r="G228" s="435"/>
      <c r="H228" s="440"/>
      <c r="I228" s="440"/>
      <c r="J228" s="440"/>
      <c r="K228" s="440"/>
      <c r="L228" s="440"/>
      <c r="M228" s="440"/>
      <c r="N228" s="440"/>
      <c r="O228" s="440"/>
      <c r="P228" s="440"/>
      <c r="Q228" s="440"/>
      <c r="R228" s="440"/>
      <c r="S228" s="440"/>
      <c r="T228" s="440"/>
      <c r="U228" s="440"/>
      <c r="V228" s="440"/>
      <c r="W228" s="440"/>
      <c r="X228" s="440"/>
      <c r="Y228" s="440"/>
      <c r="Z228" s="440"/>
      <c r="AA228" s="440"/>
    </row>
    <row r="229" ht="15.75" customHeight="1">
      <c r="A229" s="440"/>
      <c r="B229" s="440"/>
      <c r="C229" s="440"/>
      <c r="D229" s="440"/>
      <c r="E229" s="440"/>
      <c r="F229" s="440"/>
      <c r="G229" s="435"/>
      <c r="H229" s="440"/>
      <c r="I229" s="440"/>
      <c r="J229" s="440"/>
      <c r="K229" s="440"/>
      <c r="L229" s="440"/>
      <c r="M229" s="440"/>
      <c r="N229" s="440"/>
      <c r="O229" s="440"/>
      <c r="P229" s="440"/>
      <c r="Q229" s="440"/>
      <c r="R229" s="440"/>
      <c r="S229" s="440"/>
      <c r="T229" s="440"/>
      <c r="U229" s="440"/>
      <c r="V229" s="440"/>
      <c r="W229" s="440"/>
      <c r="X229" s="440"/>
      <c r="Y229" s="440"/>
      <c r="Z229" s="440"/>
      <c r="AA229" s="440"/>
    </row>
    <row r="230" ht="15.75" customHeight="1">
      <c r="A230" s="440"/>
      <c r="B230" s="440"/>
      <c r="C230" s="440"/>
      <c r="D230" s="440"/>
      <c r="E230" s="440"/>
      <c r="F230" s="440"/>
      <c r="G230" s="435"/>
      <c r="H230" s="440"/>
      <c r="I230" s="440"/>
      <c r="J230" s="440"/>
      <c r="K230" s="440"/>
      <c r="L230" s="440"/>
      <c r="M230" s="440"/>
      <c r="N230" s="440"/>
      <c r="O230" s="440"/>
      <c r="P230" s="440"/>
      <c r="Q230" s="440"/>
      <c r="R230" s="440"/>
      <c r="S230" s="440"/>
      <c r="T230" s="440"/>
      <c r="U230" s="440"/>
      <c r="V230" s="440"/>
      <c r="W230" s="440"/>
      <c r="X230" s="440"/>
      <c r="Y230" s="440"/>
      <c r="Z230" s="440"/>
      <c r="AA230" s="440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0" width="12.57"/>
  </cols>
  <sheetData>
    <row r="1" ht="15.75" customHeight="1">
      <c r="A1" s="445" t="s">
        <v>451</v>
      </c>
      <c r="B1" s="445" t="s">
        <v>452</v>
      </c>
      <c r="C1" s="445" t="s">
        <v>453</v>
      </c>
      <c r="D1" s="445" t="s">
        <v>454</v>
      </c>
      <c r="E1" s="445" t="s">
        <v>455</v>
      </c>
      <c r="F1" s="445" t="s">
        <v>456</v>
      </c>
      <c r="G1" s="445" t="s">
        <v>457</v>
      </c>
      <c r="H1" s="445" t="s">
        <v>458</v>
      </c>
      <c r="I1" s="445" t="s">
        <v>459</v>
      </c>
      <c r="J1" s="445" t="s">
        <v>460</v>
      </c>
      <c r="K1" s="445" t="s">
        <v>461</v>
      </c>
      <c r="L1" s="445" t="s">
        <v>462</v>
      </c>
      <c r="M1" s="445" t="s">
        <v>463</v>
      </c>
      <c r="N1" s="445" t="s">
        <v>464</v>
      </c>
      <c r="O1" s="445" t="s">
        <v>465</v>
      </c>
      <c r="P1" s="445" t="s">
        <v>466</v>
      </c>
      <c r="Q1" s="445" t="s">
        <v>467</v>
      </c>
      <c r="R1" s="445" t="s">
        <v>161</v>
      </c>
      <c r="S1" s="445" t="s">
        <v>468</v>
      </c>
      <c r="T1" s="445" t="s">
        <v>469</v>
      </c>
    </row>
    <row r="2" ht="15.75" customHeight="1">
      <c r="A2" s="446" t="s">
        <v>470</v>
      </c>
      <c r="B2" s="446">
        <v>2.88559214E8</v>
      </c>
      <c r="C2" s="446" t="s">
        <v>471</v>
      </c>
      <c r="D2" s="446">
        <v>1.0</v>
      </c>
      <c r="E2" s="446" t="s">
        <v>472</v>
      </c>
      <c r="F2" s="446">
        <v>25.0</v>
      </c>
      <c r="G2" s="446">
        <v>4.9</v>
      </c>
      <c r="H2" s="446">
        <v>327.0</v>
      </c>
      <c r="I2" s="446">
        <v>1259.0</v>
      </c>
      <c r="J2" s="446">
        <v>0.0</v>
      </c>
      <c r="K2" s="446">
        <v>322413.0</v>
      </c>
      <c r="L2" s="446">
        <v>23030.0</v>
      </c>
      <c r="M2" s="446" t="s">
        <v>473</v>
      </c>
      <c r="N2" s="446">
        <v>234.0</v>
      </c>
      <c r="O2" s="446">
        <v>566.0</v>
      </c>
      <c r="P2" s="446">
        <v>1031.0</v>
      </c>
      <c r="Q2" s="446">
        <v>6404.0</v>
      </c>
      <c r="R2" s="446" t="s">
        <v>474</v>
      </c>
      <c r="S2" s="446" t="s">
        <v>475</v>
      </c>
      <c r="T2" s="446" t="s">
        <v>476</v>
      </c>
    </row>
    <row r="3" ht="15.75" customHeight="1">
      <c r="A3" s="446" t="s">
        <v>477</v>
      </c>
      <c r="B3" s="446">
        <v>8.03249432E8</v>
      </c>
      <c r="C3" s="446" t="s">
        <v>471</v>
      </c>
      <c r="D3" s="446">
        <v>2.0</v>
      </c>
      <c r="E3" s="446" t="s">
        <v>478</v>
      </c>
      <c r="F3" s="446">
        <v>25.0</v>
      </c>
      <c r="G3" s="446">
        <v>4.8</v>
      </c>
      <c r="H3" s="446">
        <v>469.0</v>
      </c>
      <c r="I3" s="446">
        <v>1453.0</v>
      </c>
      <c r="J3" s="446">
        <v>0.0</v>
      </c>
      <c r="K3" s="446">
        <v>139326.0</v>
      </c>
      <c r="L3" s="446">
        <v>4804.0</v>
      </c>
      <c r="M3" s="446" t="s">
        <v>473</v>
      </c>
      <c r="N3" s="446">
        <v>96.0</v>
      </c>
      <c r="O3" s="446">
        <v>123.0</v>
      </c>
      <c r="P3" s="446">
        <v>1247.0</v>
      </c>
      <c r="Q3" s="446">
        <v>6221.0</v>
      </c>
      <c r="R3" s="446" t="s">
        <v>479</v>
      </c>
      <c r="S3" s="446" t="s">
        <v>480</v>
      </c>
      <c r="T3" s="446" t="s">
        <v>476</v>
      </c>
    </row>
    <row r="4" ht="15.75" customHeight="1">
      <c r="A4" s="446" t="s">
        <v>481</v>
      </c>
      <c r="B4" s="446">
        <v>2.41710786E8</v>
      </c>
      <c r="C4" s="446" t="s">
        <v>471</v>
      </c>
      <c r="D4" s="446">
        <v>3.0</v>
      </c>
      <c r="E4" s="446" t="s">
        <v>472</v>
      </c>
      <c r="F4" s="446">
        <v>25.0</v>
      </c>
      <c r="G4" s="446">
        <v>4.8</v>
      </c>
      <c r="H4" s="446">
        <v>1317.0</v>
      </c>
      <c r="I4" s="446">
        <v>1670.0</v>
      </c>
      <c r="J4" s="446">
        <v>0.0</v>
      </c>
      <c r="K4" s="446">
        <v>600253.0</v>
      </c>
      <c r="L4" s="446">
        <v>42875.0</v>
      </c>
      <c r="M4" s="446" t="s">
        <v>473</v>
      </c>
      <c r="N4" s="446">
        <v>375.0</v>
      </c>
      <c r="O4" s="446">
        <v>678.0</v>
      </c>
      <c r="P4" s="446">
        <v>284.0</v>
      </c>
      <c r="Q4" s="446">
        <v>2663.0</v>
      </c>
      <c r="R4" s="446" t="s">
        <v>479</v>
      </c>
      <c r="S4" s="446" t="s">
        <v>475</v>
      </c>
      <c r="T4" s="446" t="s">
        <v>476</v>
      </c>
    </row>
    <row r="5" ht="15.75" customHeight="1">
      <c r="A5" s="446" t="s">
        <v>386</v>
      </c>
      <c r="B5" s="446">
        <v>5.8451157E8</v>
      </c>
      <c r="C5" s="446" t="s">
        <v>482</v>
      </c>
      <c r="D5" s="446">
        <v>4.0</v>
      </c>
      <c r="E5" s="446" t="s">
        <v>483</v>
      </c>
      <c r="F5" s="446">
        <v>37.0</v>
      </c>
      <c r="G5" s="446">
        <v>4.8</v>
      </c>
      <c r="H5" s="446">
        <v>202.0</v>
      </c>
      <c r="I5" s="446">
        <v>2051.0</v>
      </c>
      <c r="J5" s="446">
        <v>0.0</v>
      </c>
      <c r="K5" s="446">
        <v>236155.0</v>
      </c>
      <c r="L5" s="446">
        <v>16868.0</v>
      </c>
      <c r="M5" s="446" t="s">
        <v>473</v>
      </c>
      <c r="N5" s="446">
        <v>116.0</v>
      </c>
      <c r="O5" s="446">
        <v>215.0</v>
      </c>
      <c r="P5" s="446">
        <v>3472.0</v>
      </c>
      <c r="Q5" s="446">
        <v>6441.0</v>
      </c>
      <c r="R5" s="446" t="s">
        <v>106</v>
      </c>
      <c r="S5" s="446" t="s">
        <v>475</v>
      </c>
      <c r="T5" s="446" t="s">
        <v>476</v>
      </c>
    </row>
    <row r="6" ht="15.75" customHeight="1">
      <c r="A6" s="446" t="s">
        <v>484</v>
      </c>
      <c r="B6" s="446">
        <v>3.33430812E8</v>
      </c>
      <c r="C6" s="446" t="s">
        <v>471</v>
      </c>
      <c r="D6" s="446">
        <v>5.0</v>
      </c>
      <c r="E6" s="446" t="s">
        <v>472</v>
      </c>
      <c r="F6" s="446">
        <v>25.0</v>
      </c>
      <c r="G6" s="446">
        <v>4.9</v>
      </c>
      <c r="H6" s="446">
        <v>138.0</v>
      </c>
      <c r="I6" s="446">
        <v>1349.0</v>
      </c>
      <c r="J6" s="446">
        <v>0.0</v>
      </c>
      <c r="K6" s="446">
        <v>114108.0</v>
      </c>
      <c r="L6" s="446">
        <v>3935.0</v>
      </c>
      <c r="M6" s="446" t="s">
        <v>473</v>
      </c>
      <c r="N6" s="446">
        <v>79.0</v>
      </c>
      <c r="O6" s="446">
        <v>481.0</v>
      </c>
      <c r="P6" s="446">
        <v>249.0</v>
      </c>
      <c r="Q6" s="446">
        <v>4987.0</v>
      </c>
      <c r="R6" s="446" t="s">
        <v>474</v>
      </c>
      <c r="S6" s="446" t="s">
        <v>475</v>
      </c>
      <c r="T6" s="446" t="s">
        <v>476</v>
      </c>
    </row>
    <row r="7" ht="15.75" customHeight="1">
      <c r="A7" s="446" t="s">
        <v>485</v>
      </c>
      <c r="B7" s="446">
        <v>3.21596238E8</v>
      </c>
      <c r="C7" s="446" t="s">
        <v>486</v>
      </c>
      <c r="D7" s="446">
        <v>6.0</v>
      </c>
      <c r="E7" s="446" t="s">
        <v>472</v>
      </c>
      <c r="F7" s="446">
        <v>25.0</v>
      </c>
      <c r="G7" s="446">
        <v>4.8</v>
      </c>
      <c r="H7" s="446">
        <v>677.0</v>
      </c>
      <c r="I7" s="446">
        <v>630.0</v>
      </c>
      <c r="J7" s="446">
        <v>0.0</v>
      </c>
      <c r="K7" s="446">
        <v>96659.0</v>
      </c>
      <c r="L7" s="446">
        <v>6904.0</v>
      </c>
      <c r="M7" s="446" t="s">
        <v>473</v>
      </c>
      <c r="N7" s="446">
        <v>154.0</v>
      </c>
      <c r="O7" s="446">
        <v>481.0</v>
      </c>
      <c r="P7" s="446">
        <v>221.0</v>
      </c>
      <c r="Q7" s="446">
        <v>4185.0</v>
      </c>
      <c r="R7" s="446" t="s">
        <v>474</v>
      </c>
      <c r="S7" s="446" t="s">
        <v>475</v>
      </c>
      <c r="T7" s="446" t="s">
        <v>476</v>
      </c>
    </row>
    <row r="8" ht="15.75" customHeight="1">
      <c r="A8" s="446" t="s">
        <v>487</v>
      </c>
      <c r="B8" s="446">
        <v>3.33382499E8</v>
      </c>
      <c r="C8" s="446" t="s">
        <v>486</v>
      </c>
      <c r="D8" s="446">
        <v>7.0</v>
      </c>
      <c r="E8" s="446" t="s">
        <v>472</v>
      </c>
      <c r="F8" s="446">
        <v>25.0</v>
      </c>
      <c r="G8" s="446">
        <v>4.8</v>
      </c>
      <c r="H8" s="446">
        <v>456.0</v>
      </c>
      <c r="I8" s="446">
        <v>1506.0</v>
      </c>
      <c r="J8" s="446">
        <v>0.0</v>
      </c>
      <c r="K8" s="446">
        <v>59224.0</v>
      </c>
      <c r="L8" s="446">
        <v>118448.0</v>
      </c>
      <c r="M8" s="446" t="s">
        <v>473</v>
      </c>
      <c r="N8" s="446">
        <v>41.0</v>
      </c>
      <c r="O8" s="446">
        <v>481.0</v>
      </c>
      <c r="P8" s="446">
        <v>145.0</v>
      </c>
      <c r="Q8" s="446">
        <v>3794.0</v>
      </c>
      <c r="R8" s="446" t="s">
        <v>474</v>
      </c>
      <c r="S8" s="446" t="s">
        <v>475</v>
      </c>
      <c r="T8" s="446" t="s">
        <v>476</v>
      </c>
    </row>
    <row r="9" ht="15.75" customHeight="1">
      <c r="A9" s="446" t="s">
        <v>432</v>
      </c>
      <c r="B9" s="446">
        <v>3.65082396E8</v>
      </c>
      <c r="C9" s="446" t="s">
        <v>471</v>
      </c>
      <c r="D9" s="446">
        <v>8.0</v>
      </c>
      <c r="E9" s="446" t="s">
        <v>483</v>
      </c>
      <c r="F9" s="446">
        <v>37.0</v>
      </c>
      <c r="G9" s="446">
        <v>4.9</v>
      </c>
      <c r="H9" s="446">
        <v>358.0</v>
      </c>
      <c r="I9" s="446">
        <v>1829.0</v>
      </c>
      <c r="J9" s="446">
        <v>0.0</v>
      </c>
      <c r="K9" s="446">
        <v>359804.0</v>
      </c>
      <c r="L9" s="446">
        <v>12407.0</v>
      </c>
      <c r="M9" s="446">
        <v>7.0</v>
      </c>
      <c r="N9" s="446">
        <v>199.0</v>
      </c>
      <c r="O9" s="446">
        <v>449.0</v>
      </c>
      <c r="P9" s="446">
        <v>93.0</v>
      </c>
      <c r="Q9" s="446">
        <v>4291.0</v>
      </c>
      <c r="R9" s="446" t="s">
        <v>479</v>
      </c>
      <c r="S9" s="446" t="s">
        <v>475</v>
      </c>
      <c r="T9" s="446" t="s">
        <v>476</v>
      </c>
    </row>
    <row r="10" ht="15.75" customHeight="1">
      <c r="A10" s="446" t="s">
        <v>488</v>
      </c>
      <c r="B10" s="446">
        <v>2.12798847E8</v>
      </c>
      <c r="C10" s="446" t="s">
        <v>471</v>
      </c>
      <c r="D10" s="446">
        <v>9.0</v>
      </c>
      <c r="E10" s="446" t="s">
        <v>489</v>
      </c>
      <c r="F10" s="446">
        <v>52.0</v>
      </c>
      <c r="G10" s="446">
        <v>4.9</v>
      </c>
      <c r="H10" s="446">
        <v>726.0</v>
      </c>
      <c r="I10" s="446">
        <v>1842.0</v>
      </c>
      <c r="J10" s="446">
        <v>0.0</v>
      </c>
      <c r="K10" s="446">
        <v>922188.0</v>
      </c>
      <c r="L10" s="446">
        <v>31800.0</v>
      </c>
      <c r="M10" s="446" t="s">
        <v>490</v>
      </c>
      <c r="N10" s="446">
        <v>505.0</v>
      </c>
      <c r="O10" s="446">
        <v>832.0</v>
      </c>
      <c r="P10" s="446">
        <v>225.0</v>
      </c>
      <c r="Q10" s="446">
        <v>6140.0</v>
      </c>
      <c r="R10" s="446" t="s">
        <v>479</v>
      </c>
      <c r="S10" s="446" t="s">
        <v>475</v>
      </c>
      <c r="T10" s="446" t="s">
        <v>476</v>
      </c>
    </row>
    <row r="11" ht="15.75" customHeight="1">
      <c r="A11" s="446" t="s">
        <v>491</v>
      </c>
      <c r="B11" s="446">
        <v>3.01154542E8</v>
      </c>
      <c r="C11" s="446" t="s">
        <v>471</v>
      </c>
      <c r="D11" s="446">
        <v>10.0</v>
      </c>
      <c r="E11" s="446" t="s">
        <v>472</v>
      </c>
      <c r="F11" s="446">
        <v>25.0</v>
      </c>
      <c r="G11" s="446">
        <v>4.9</v>
      </c>
      <c r="H11" s="446">
        <v>166.0</v>
      </c>
      <c r="I11" s="446">
        <v>1802.0</v>
      </c>
      <c r="J11" s="446">
        <v>0.0</v>
      </c>
      <c r="K11" s="446">
        <v>209560.0</v>
      </c>
      <c r="L11" s="446">
        <v>14969.0</v>
      </c>
      <c r="M11" s="446" t="s">
        <v>473</v>
      </c>
      <c r="N11" s="446">
        <v>108.0</v>
      </c>
      <c r="O11" s="446">
        <v>545.0</v>
      </c>
      <c r="P11" s="446">
        <v>47.0</v>
      </c>
      <c r="Q11" s="446">
        <v>1915.0</v>
      </c>
      <c r="R11" s="446" t="s">
        <v>474</v>
      </c>
      <c r="S11" s="446" t="s">
        <v>475</v>
      </c>
      <c r="T11" s="446" t="s">
        <v>476</v>
      </c>
    </row>
    <row r="12" ht="15.75" customHeight="1">
      <c r="A12" s="446" t="s">
        <v>492</v>
      </c>
      <c r="B12" s="446">
        <v>3.33390793E8</v>
      </c>
      <c r="C12" s="446" t="s">
        <v>493</v>
      </c>
      <c r="D12" s="446">
        <v>11.0</v>
      </c>
      <c r="E12" s="446" t="s">
        <v>472</v>
      </c>
      <c r="F12" s="446">
        <v>25.0</v>
      </c>
      <c r="G12" s="446">
        <v>4.8</v>
      </c>
      <c r="H12" s="446">
        <v>575.0</v>
      </c>
      <c r="I12" s="446">
        <v>1578.0</v>
      </c>
      <c r="J12" s="446">
        <v>0.0</v>
      </c>
      <c r="K12" s="446">
        <v>258640.0</v>
      </c>
      <c r="L12" s="446">
        <v>8919.0</v>
      </c>
      <c r="M12" s="446" t="s">
        <v>494</v>
      </c>
      <c r="N12" s="446">
        <v>188.0</v>
      </c>
      <c r="O12" s="446">
        <v>481.0</v>
      </c>
      <c r="P12" s="446">
        <v>31.0</v>
      </c>
      <c r="Q12" s="446">
        <v>3800.0</v>
      </c>
      <c r="R12" s="446" t="s">
        <v>474</v>
      </c>
      <c r="S12" s="446" t="s">
        <v>475</v>
      </c>
      <c r="T12" s="446" t="s">
        <v>476</v>
      </c>
    </row>
    <row r="13" ht="15.75" customHeight="1">
      <c r="A13" s="446" t="s">
        <v>495</v>
      </c>
      <c r="B13" s="446">
        <v>5.60988789E8</v>
      </c>
      <c r="C13" s="446" t="s">
        <v>471</v>
      </c>
      <c r="D13" s="446">
        <v>12.0</v>
      </c>
      <c r="E13" s="446" t="s">
        <v>496</v>
      </c>
      <c r="F13" s="446">
        <v>91.0</v>
      </c>
      <c r="G13" s="446">
        <v>4.7</v>
      </c>
      <c r="H13" s="446">
        <v>20.0</v>
      </c>
      <c r="I13" s="446">
        <v>2554.0</v>
      </c>
      <c r="J13" s="446">
        <v>0.0</v>
      </c>
      <c r="K13" s="446">
        <v>35145.0</v>
      </c>
      <c r="L13" s="446">
        <v>7029.0</v>
      </c>
      <c r="M13" s="446" t="s">
        <v>473</v>
      </c>
      <c r="N13" s="446">
        <v>14.0</v>
      </c>
      <c r="O13" s="446">
        <v>233.0</v>
      </c>
      <c r="P13" s="446">
        <v>9.0</v>
      </c>
      <c r="Q13" s="446">
        <v>1088.0</v>
      </c>
      <c r="R13" s="446" t="s">
        <v>106</v>
      </c>
      <c r="S13" s="446" t="s">
        <v>475</v>
      </c>
      <c r="T13" s="446" t="s">
        <v>476</v>
      </c>
    </row>
    <row r="14" ht="15.75" customHeight="1">
      <c r="A14" s="446" t="s">
        <v>497</v>
      </c>
      <c r="B14" s="446">
        <v>2.67888595E8</v>
      </c>
      <c r="C14" s="446" t="s">
        <v>482</v>
      </c>
      <c r="D14" s="446">
        <v>13.0</v>
      </c>
      <c r="E14" s="446" t="s">
        <v>498</v>
      </c>
      <c r="F14" s="446">
        <v>22.0</v>
      </c>
      <c r="G14" s="446">
        <v>4.9</v>
      </c>
      <c r="H14" s="446">
        <v>4643.0</v>
      </c>
      <c r="I14" s="446">
        <v>533.0</v>
      </c>
      <c r="J14" s="446">
        <v>0.0</v>
      </c>
      <c r="K14" s="446">
        <v>368720.0</v>
      </c>
      <c r="L14" s="446">
        <v>26337.0</v>
      </c>
      <c r="M14" s="446" t="s">
        <v>473</v>
      </c>
      <c r="N14" s="446">
        <v>700.0</v>
      </c>
      <c r="O14" s="446">
        <v>560.0</v>
      </c>
      <c r="P14" s="446">
        <v>4124.0</v>
      </c>
      <c r="Q14" s="446">
        <v>7707.0</v>
      </c>
      <c r="R14" s="446" t="s">
        <v>499</v>
      </c>
      <c r="S14" s="446" t="s">
        <v>500</v>
      </c>
      <c r="T14" s="446" t="s">
        <v>476</v>
      </c>
    </row>
    <row r="15" ht="15.75" customHeight="1">
      <c r="A15" s="446" t="s">
        <v>501</v>
      </c>
      <c r="B15" s="446">
        <v>3.33394545E8</v>
      </c>
      <c r="C15" s="446" t="s">
        <v>471</v>
      </c>
      <c r="D15" s="446">
        <v>14.0</v>
      </c>
      <c r="E15" s="446" t="s">
        <v>498</v>
      </c>
      <c r="F15" s="446">
        <v>22.0</v>
      </c>
      <c r="G15" s="446">
        <v>4.7</v>
      </c>
      <c r="H15" s="446">
        <v>398.0</v>
      </c>
      <c r="I15" s="446">
        <v>1449.0</v>
      </c>
      <c r="J15" s="446">
        <v>0.0</v>
      </c>
      <c r="K15" s="446">
        <v>254149.0</v>
      </c>
      <c r="L15" s="446">
        <v>8764.0</v>
      </c>
      <c r="M15" s="446" t="s">
        <v>473</v>
      </c>
      <c r="N15" s="446">
        <v>173.0</v>
      </c>
      <c r="O15" s="446">
        <v>481.0</v>
      </c>
      <c r="P15" s="446">
        <v>19.0</v>
      </c>
      <c r="Q15" s="446">
        <v>2824.0</v>
      </c>
      <c r="R15" s="446" t="s">
        <v>474</v>
      </c>
      <c r="S15" s="446" t="s">
        <v>475</v>
      </c>
      <c r="T15" s="446" t="s">
        <v>476</v>
      </c>
    </row>
    <row r="16" ht="15.75" customHeight="1">
      <c r="A16" s="446" t="s">
        <v>502</v>
      </c>
      <c r="B16" s="446">
        <v>3.33427233E8</v>
      </c>
      <c r="C16" s="446" t="s">
        <v>503</v>
      </c>
      <c r="D16" s="446">
        <v>15.0</v>
      </c>
      <c r="E16" s="446" t="s">
        <v>472</v>
      </c>
      <c r="F16" s="446">
        <v>25.0</v>
      </c>
      <c r="G16" s="446">
        <v>4.8</v>
      </c>
      <c r="H16" s="446">
        <v>304.0</v>
      </c>
      <c r="I16" s="446">
        <v>1260.0</v>
      </c>
      <c r="J16" s="446">
        <v>0.0</v>
      </c>
      <c r="K16" s="446">
        <v>77844.0</v>
      </c>
      <c r="L16" s="446">
        <v>2684.0</v>
      </c>
      <c r="M16" s="446" t="s">
        <v>473</v>
      </c>
      <c r="N16" s="446">
        <v>61.0</v>
      </c>
      <c r="O16" s="446">
        <v>479.0</v>
      </c>
      <c r="P16" s="446">
        <v>159.0</v>
      </c>
      <c r="Q16" s="446">
        <v>1103.0</v>
      </c>
      <c r="R16" s="446" t="s">
        <v>474</v>
      </c>
      <c r="S16" s="446" t="s">
        <v>475</v>
      </c>
      <c r="T16" s="446" t="s">
        <v>476</v>
      </c>
    </row>
    <row r="17" ht="15.75" customHeight="1">
      <c r="A17" s="446" t="s">
        <v>374</v>
      </c>
      <c r="B17" s="446">
        <v>4.2323592E8</v>
      </c>
      <c r="C17" s="446" t="s">
        <v>471</v>
      </c>
      <c r="D17" s="446">
        <v>16.0</v>
      </c>
      <c r="E17" s="446" t="s">
        <v>483</v>
      </c>
      <c r="F17" s="446">
        <v>37.0</v>
      </c>
      <c r="G17" s="446">
        <v>4.9</v>
      </c>
      <c r="H17" s="446">
        <v>366.0</v>
      </c>
      <c r="I17" s="446">
        <v>1747.0</v>
      </c>
      <c r="J17" s="446">
        <v>0.0</v>
      </c>
      <c r="K17" s="446">
        <v>849784.0</v>
      </c>
      <c r="L17" s="446">
        <v>29303.0</v>
      </c>
      <c r="M17" s="446" t="s">
        <v>473</v>
      </c>
      <c r="N17" s="446">
        <v>494.0</v>
      </c>
      <c r="O17" s="446">
        <v>369.0</v>
      </c>
      <c r="P17" s="446">
        <v>583.0</v>
      </c>
      <c r="Q17" s="446">
        <v>6396.0</v>
      </c>
      <c r="R17" s="446" t="s">
        <v>479</v>
      </c>
      <c r="S17" s="446" t="s">
        <v>475</v>
      </c>
      <c r="T17" s="446" t="s">
        <v>476</v>
      </c>
    </row>
    <row r="18" ht="15.75" customHeight="1">
      <c r="A18" s="446" t="s">
        <v>504</v>
      </c>
      <c r="B18" s="446">
        <v>3.84707654E8</v>
      </c>
      <c r="C18" s="446" t="s">
        <v>471</v>
      </c>
      <c r="D18" s="446">
        <v>17.0</v>
      </c>
      <c r="E18" s="446" t="s">
        <v>483</v>
      </c>
      <c r="F18" s="446">
        <v>37.0</v>
      </c>
      <c r="G18" s="446">
        <v>4.9</v>
      </c>
      <c r="H18" s="446">
        <v>375.0</v>
      </c>
      <c r="I18" s="446">
        <v>453.0</v>
      </c>
      <c r="J18" s="446">
        <v>0.0</v>
      </c>
      <c r="K18" s="446">
        <v>196992.0</v>
      </c>
      <c r="L18" s="446">
        <v>14071.0</v>
      </c>
      <c r="M18" s="446" t="s">
        <v>473</v>
      </c>
      <c r="N18" s="446">
        <v>437.0</v>
      </c>
      <c r="O18" s="446">
        <v>387.0</v>
      </c>
      <c r="P18" s="446">
        <v>938.0</v>
      </c>
      <c r="Q18" s="446">
        <v>9544.0</v>
      </c>
      <c r="R18" s="446" t="s">
        <v>505</v>
      </c>
      <c r="S18" s="446" t="s">
        <v>475</v>
      </c>
      <c r="T18" s="446" t="s">
        <v>476</v>
      </c>
    </row>
    <row r="19" ht="15.75" customHeight="1">
      <c r="A19" s="446" t="s">
        <v>194</v>
      </c>
      <c r="B19" s="446">
        <v>4.10070711E8</v>
      </c>
      <c r="C19" s="446" t="s">
        <v>471</v>
      </c>
      <c r="D19" s="446">
        <v>18.0</v>
      </c>
      <c r="E19" s="446" t="s">
        <v>483</v>
      </c>
      <c r="F19" s="446">
        <v>37.0</v>
      </c>
      <c r="G19" s="446">
        <v>4.8</v>
      </c>
      <c r="H19" s="446">
        <v>368.0</v>
      </c>
      <c r="I19" s="446">
        <v>1895.0</v>
      </c>
      <c r="J19" s="446">
        <v>0.0</v>
      </c>
      <c r="K19" s="446">
        <v>501180.0</v>
      </c>
      <c r="L19" s="446">
        <v>17282.0</v>
      </c>
      <c r="M19" s="446" t="s">
        <v>473</v>
      </c>
      <c r="N19" s="446">
        <v>267.0</v>
      </c>
      <c r="O19" s="446">
        <v>367.0</v>
      </c>
      <c r="P19" s="446">
        <v>194.0</v>
      </c>
      <c r="Q19" s="446">
        <v>4521.0</v>
      </c>
      <c r="R19" s="446" t="s">
        <v>479</v>
      </c>
      <c r="S19" s="446" t="s">
        <v>475</v>
      </c>
      <c r="T19" s="446" t="s">
        <v>476</v>
      </c>
    </row>
    <row r="20" ht="15.75" customHeight="1">
      <c r="A20" s="446" t="s">
        <v>506</v>
      </c>
      <c r="B20" s="446">
        <v>5.80016468E8</v>
      </c>
      <c r="C20" s="446" t="s">
        <v>493</v>
      </c>
      <c r="D20" s="446">
        <v>19.0</v>
      </c>
      <c r="E20" s="446" t="s">
        <v>472</v>
      </c>
      <c r="F20" s="446">
        <v>25.0</v>
      </c>
      <c r="G20" s="446">
        <v>5.0</v>
      </c>
      <c r="H20" s="446">
        <v>20.0</v>
      </c>
      <c r="I20" s="446">
        <v>2815.0</v>
      </c>
      <c r="J20" s="446">
        <v>0.0</v>
      </c>
      <c r="K20" s="446">
        <v>54931.0</v>
      </c>
      <c r="L20" s="446">
        <v>6103.0</v>
      </c>
      <c r="M20" s="446">
        <v>23.0</v>
      </c>
      <c r="N20" s="446">
        <v>20.0</v>
      </c>
      <c r="O20" s="446">
        <v>215.0</v>
      </c>
      <c r="P20" s="446">
        <v>491.0</v>
      </c>
      <c r="Q20" s="446">
        <v>3686.0</v>
      </c>
      <c r="R20" s="446" t="s">
        <v>106</v>
      </c>
      <c r="S20" s="446" t="s">
        <v>475</v>
      </c>
      <c r="T20" s="446" t="s">
        <v>476</v>
      </c>
    </row>
    <row r="21" ht="15.75" customHeight="1">
      <c r="A21" s="446" t="s">
        <v>507</v>
      </c>
      <c r="B21" s="446">
        <v>2.12957749E8</v>
      </c>
      <c r="C21" s="446" t="s">
        <v>508</v>
      </c>
      <c r="D21" s="446">
        <v>20.0</v>
      </c>
      <c r="E21" s="446" t="s">
        <v>483</v>
      </c>
      <c r="F21" s="446">
        <v>37.0</v>
      </c>
      <c r="G21" s="446">
        <v>4.9</v>
      </c>
      <c r="H21" s="446">
        <v>1537.0</v>
      </c>
      <c r="I21" s="446">
        <v>1246.0</v>
      </c>
      <c r="J21" s="446">
        <v>0.0</v>
      </c>
      <c r="K21" s="446">
        <v>217803.0</v>
      </c>
      <c r="L21" s="446">
        <v>7510.0</v>
      </c>
      <c r="M21" s="446">
        <v>25.0</v>
      </c>
      <c r="N21" s="446">
        <v>176.0</v>
      </c>
      <c r="O21" s="446">
        <v>835.0</v>
      </c>
      <c r="P21" s="446">
        <v>639.0</v>
      </c>
      <c r="Q21" s="446">
        <v>4911.0</v>
      </c>
      <c r="R21" s="446" t="s">
        <v>479</v>
      </c>
      <c r="S21" s="446" t="s">
        <v>475</v>
      </c>
      <c r="T21" s="446" t="s">
        <v>476</v>
      </c>
    </row>
    <row r="22" ht="15.75" customHeight="1">
      <c r="A22" s="446" t="s">
        <v>509</v>
      </c>
      <c r="B22" s="446">
        <v>2.41696654E8</v>
      </c>
      <c r="C22" s="446" t="s">
        <v>471</v>
      </c>
      <c r="D22" s="446">
        <v>21.0</v>
      </c>
      <c r="E22" s="446" t="s">
        <v>472</v>
      </c>
      <c r="F22" s="446">
        <v>25.0</v>
      </c>
      <c r="G22" s="446">
        <v>4.8</v>
      </c>
      <c r="H22" s="446">
        <v>815.0</v>
      </c>
      <c r="I22" s="446">
        <v>1641.0</v>
      </c>
      <c r="J22" s="446">
        <v>0.0</v>
      </c>
      <c r="K22" s="446">
        <v>511621.0</v>
      </c>
      <c r="L22" s="446">
        <v>36544.0</v>
      </c>
      <c r="M22" s="446" t="s">
        <v>473</v>
      </c>
      <c r="N22" s="446">
        <v>324.0</v>
      </c>
      <c r="O22" s="446">
        <v>678.0</v>
      </c>
      <c r="P22" s="446">
        <v>431.0</v>
      </c>
      <c r="Q22" s="446">
        <v>3137.0</v>
      </c>
      <c r="R22" s="446" t="s">
        <v>479</v>
      </c>
      <c r="S22" s="446" t="s">
        <v>475</v>
      </c>
      <c r="T22" s="446" t="s">
        <v>476</v>
      </c>
    </row>
    <row r="23" ht="15.75" customHeight="1">
      <c r="A23" s="446" t="s">
        <v>510</v>
      </c>
      <c r="B23" s="446">
        <v>2.12789574E8</v>
      </c>
      <c r="C23" s="446" t="s">
        <v>511</v>
      </c>
      <c r="D23" s="446">
        <v>22.0</v>
      </c>
      <c r="E23" s="446" t="s">
        <v>498</v>
      </c>
      <c r="F23" s="446">
        <v>22.0</v>
      </c>
      <c r="G23" s="446">
        <v>4.8</v>
      </c>
      <c r="H23" s="446">
        <v>659.0</v>
      </c>
      <c r="I23" s="446">
        <v>676.0</v>
      </c>
      <c r="J23" s="446">
        <v>0.0</v>
      </c>
      <c r="K23" s="446">
        <v>130493.0</v>
      </c>
      <c r="L23" s="446">
        <v>9321.0</v>
      </c>
      <c r="M23" s="446" t="s">
        <v>473</v>
      </c>
      <c r="N23" s="446">
        <v>122.0</v>
      </c>
      <c r="O23" s="446">
        <v>832.0</v>
      </c>
      <c r="P23" s="446">
        <v>351.0</v>
      </c>
      <c r="Q23" s="446">
        <v>6509.0</v>
      </c>
      <c r="R23" s="446" t="s">
        <v>479</v>
      </c>
      <c r="S23" s="446" t="s">
        <v>475</v>
      </c>
      <c r="T23" s="446" t="s">
        <v>476</v>
      </c>
    </row>
    <row r="24" ht="15.75" customHeight="1">
      <c r="A24" s="446" t="s">
        <v>512</v>
      </c>
      <c r="B24" s="446">
        <v>6.49407683E8</v>
      </c>
      <c r="C24" s="446" t="s">
        <v>471</v>
      </c>
      <c r="D24" s="446">
        <v>23.0</v>
      </c>
      <c r="E24" s="446" t="s">
        <v>513</v>
      </c>
      <c r="F24" s="446">
        <v>44.0</v>
      </c>
      <c r="G24" s="446">
        <v>4.8</v>
      </c>
      <c r="H24" s="446">
        <v>66.0</v>
      </c>
      <c r="I24" s="446">
        <v>1634.0</v>
      </c>
      <c r="J24" s="446">
        <v>0.0</v>
      </c>
      <c r="K24" s="446">
        <v>73989.0</v>
      </c>
      <c r="L24" s="446">
        <v>5285.0</v>
      </c>
      <c r="M24" s="446" t="s">
        <v>473</v>
      </c>
      <c r="N24" s="446">
        <v>46.0</v>
      </c>
      <c r="O24" s="446">
        <v>188.0</v>
      </c>
      <c r="P24" s="446">
        <v>360.0</v>
      </c>
      <c r="Q24" s="446">
        <v>3322.0</v>
      </c>
      <c r="R24" s="446" t="s">
        <v>479</v>
      </c>
      <c r="S24" s="446" t="s">
        <v>475</v>
      </c>
      <c r="T24" s="446" t="s">
        <v>476</v>
      </c>
    </row>
    <row r="25" ht="15.75" customHeight="1">
      <c r="A25" s="446" t="s">
        <v>514</v>
      </c>
      <c r="B25" s="446">
        <v>3.43383536E8</v>
      </c>
      <c r="C25" s="446" t="s">
        <v>515</v>
      </c>
      <c r="D25" s="446">
        <v>24.0</v>
      </c>
      <c r="E25" s="446" t="s">
        <v>498</v>
      </c>
      <c r="F25" s="446">
        <v>22.0</v>
      </c>
      <c r="G25" s="446">
        <v>5.0</v>
      </c>
      <c r="H25" s="446">
        <v>2.0</v>
      </c>
      <c r="I25" s="446">
        <v>20263.0</v>
      </c>
      <c r="J25" s="446">
        <v>0.0</v>
      </c>
      <c r="K25" s="446">
        <v>0.0</v>
      </c>
      <c r="L25" s="446">
        <v>0.0</v>
      </c>
      <c r="M25" s="446">
        <v>1.0</v>
      </c>
      <c r="N25" s="446">
        <v>0.0</v>
      </c>
      <c r="O25" s="446">
        <v>426.0</v>
      </c>
      <c r="P25" s="446">
        <v>146.0</v>
      </c>
      <c r="Q25" s="446">
        <v>244.0</v>
      </c>
      <c r="R25" s="446" t="s">
        <v>142</v>
      </c>
      <c r="S25" s="446" t="s">
        <v>475</v>
      </c>
      <c r="T25" s="446" t="s">
        <v>476</v>
      </c>
    </row>
    <row r="26" ht="15.75" customHeight="1">
      <c r="A26" s="446" t="s">
        <v>371</v>
      </c>
      <c r="B26" s="446">
        <v>2.12798848E8</v>
      </c>
      <c r="C26" s="446" t="s">
        <v>471</v>
      </c>
      <c r="D26" s="446">
        <v>25.0</v>
      </c>
      <c r="E26" s="446" t="s">
        <v>483</v>
      </c>
      <c r="F26" s="446">
        <v>37.0</v>
      </c>
      <c r="G26" s="446">
        <v>4.9</v>
      </c>
      <c r="H26" s="446">
        <v>5865.0</v>
      </c>
      <c r="I26" s="446">
        <v>1595.0</v>
      </c>
      <c r="J26" s="446">
        <v>0.0</v>
      </c>
      <c r="K26" s="446">
        <v>1983909.0</v>
      </c>
      <c r="L26" s="446">
        <v>68411.0</v>
      </c>
      <c r="M26" s="446">
        <v>4.0</v>
      </c>
      <c r="N26" s="446">
        <v>1262.0</v>
      </c>
      <c r="O26" s="446">
        <v>836.0</v>
      </c>
      <c r="P26" s="446">
        <v>1945.0</v>
      </c>
      <c r="Q26" s="446">
        <v>14818.0</v>
      </c>
      <c r="R26" s="446" t="s">
        <v>479</v>
      </c>
      <c r="S26" s="446" t="s">
        <v>475</v>
      </c>
      <c r="T26" s="446" t="s">
        <v>476</v>
      </c>
    </row>
    <row r="27" ht="15.75" customHeight="1">
      <c r="A27" s="446" t="s">
        <v>516</v>
      </c>
      <c r="B27" s="446">
        <v>3.86370591E8</v>
      </c>
      <c r="C27" s="446" t="s">
        <v>471</v>
      </c>
      <c r="D27" s="446">
        <v>26.0</v>
      </c>
      <c r="E27" s="446" t="s">
        <v>483</v>
      </c>
      <c r="F27" s="446">
        <v>37.0</v>
      </c>
      <c r="G27" s="446">
        <v>4.8</v>
      </c>
      <c r="H27" s="446">
        <v>34.0</v>
      </c>
      <c r="I27" s="446">
        <v>2532.0</v>
      </c>
      <c r="J27" s="446">
        <v>0.0</v>
      </c>
      <c r="K27" s="446">
        <v>54877.0</v>
      </c>
      <c r="L27" s="446">
        <v>3920.0</v>
      </c>
      <c r="M27" s="446">
        <v>6.0</v>
      </c>
      <c r="N27" s="446">
        <v>24.0</v>
      </c>
      <c r="O27" s="446">
        <v>407.0</v>
      </c>
      <c r="P27" s="446">
        <v>11.0</v>
      </c>
      <c r="Q27" s="446">
        <v>812.0</v>
      </c>
      <c r="R27" s="446" t="s">
        <v>106</v>
      </c>
      <c r="S27" s="446" t="s">
        <v>475</v>
      </c>
      <c r="T27" s="446" t="s">
        <v>476</v>
      </c>
    </row>
    <row r="28" ht="15.75" customHeight="1">
      <c r="A28" s="446" t="s">
        <v>517</v>
      </c>
      <c r="B28" s="446">
        <v>6.68392036E8</v>
      </c>
      <c r="C28" s="446" t="s">
        <v>471</v>
      </c>
      <c r="D28" s="446">
        <v>27.0</v>
      </c>
      <c r="E28" s="446" t="s">
        <v>472</v>
      </c>
      <c r="F28" s="446">
        <v>25.0</v>
      </c>
      <c r="G28" s="446">
        <v>4.5</v>
      </c>
      <c r="H28" s="446">
        <v>39.0</v>
      </c>
      <c r="I28" s="446">
        <v>2208.0</v>
      </c>
      <c r="J28" s="446">
        <v>0.0</v>
      </c>
      <c r="K28" s="446">
        <v>125459.0</v>
      </c>
      <c r="L28" s="446">
        <v>8961.0</v>
      </c>
      <c r="M28" s="446">
        <v>8.0</v>
      </c>
      <c r="N28" s="446">
        <v>58.0</v>
      </c>
      <c r="O28" s="446">
        <v>188.0</v>
      </c>
      <c r="P28" s="446">
        <v>85.0</v>
      </c>
      <c r="Q28" s="446">
        <v>2636.0</v>
      </c>
      <c r="R28" s="446" t="s">
        <v>479</v>
      </c>
      <c r="S28" s="446" t="s">
        <v>475</v>
      </c>
      <c r="T28" s="446" t="s">
        <v>476</v>
      </c>
    </row>
    <row r="29" ht="15.75" customHeight="1">
      <c r="A29" s="446" t="s">
        <v>518</v>
      </c>
      <c r="B29" s="446">
        <v>3.33438472E8</v>
      </c>
      <c r="C29" s="446" t="s">
        <v>482</v>
      </c>
      <c r="D29" s="446">
        <v>28.0</v>
      </c>
      <c r="E29" s="446" t="s">
        <v>472</v>
      </c>
      <c r="F29" s="446">
        <v>25.0</v>
      </c>
      <c r="G29" s="446">
        <v>4.9</v>
      </c>
      <c r="H29" s="446">
        <v>323.0</v>
      </c>
      <c r="I29" s="446">
        <v>1163.0</v>
      </c>
      <c r="J29" s="446">
        <v>0.0</v>
      </c>
      <c r="K29" s="446">
        <v>111057.0</v>
      </c>
      <c r="L29" s="446">
        <v>3830.0</v>
      </c>
      <c r="M29" s="446" t="s">
        <v>473</v>
      </c>
      <c r="N29" s="446">
        <v>96.0</v>
      </c>
      <c r="O29" s="446">
        <v>481.0</v>
      </c>
      <c r="P29" s="446">
        <v>1150.0</v>
      </c>
      <c r="Q29" s="446">
        <v>10699.0</v>
      </c>
      <c r="R29" s="446" t="s">
        <v>474</v>
      </c>
      <c r="S29" s="446" t="s">
        <v>475</v>
      </c>
      <c r="T29" s="446" t="s">
        <v>476</v>
      </c>
    </row>
    <row r="30" ht="15.75" customHeight="1">
      <c r="A30" s="446" t="s">
        <v>519</v>
      </c>
      <c r="B30" s="446">
        <v>3.77848699E8</v>
      </c>
      <c r="C30" s="446" t="s">
        <v>471</v>
      </c>
      <c r="D30" s="446">
        <v>29.0</v>
      </c>
      <c r="E30" s="446" t="s">
        <v>483</v>
      </c>
      <c r="F30" s="446">
        <v>37.0</v>
      </c>
      <c r="G30" s="446">
        <v>4.9</v>
      </c>
      <c r="H30" s="446">
        <v>1561.0</v>
      </c>
      <c r="I30" s="446">
        <v>440.0</v>
      </c>
      <c r="J30" s="446">
        <v>3.0</v>
      </c>
      <c r="K30" s="446">
        <v>39850.0</v>
      </c>
      <c r="L30" s="446">
        <v>2846.0</v>
      </c>
      <c r="M30" s="446" t="s">
        <v>473</v>
      </c>
      <c r="N30" s="446">
        <v>97.0</v>
      </c>
      <c r="O30" s="446">
        <v>431.0</v>
      </c>
      <c r="P30" s="446">
        <v>328.0</v>
      </c>
      <c r="Q30" s="446">
        <v>12158.0</v>
      </c>
      <c r="R30" s="446" t="s">
        <v>520</v>
      </c>
      <c r="S30" s="446" t="s">
        <v>521</v>
      </c>
      <c r="T30" s="446" t="s">
        <v>476</v>
      </c>
    </row>
    <row r="31" ht="15.75" customHeight="1">
      <c r="A31" s="446" t="s">
        <v>210</v>
      </c>
      <c r="B31" s="446">
        <v>4.55282315E8</v>
      </c>
      <c r="C31" s="446" t="s">
        <v>471</v>
      </c>
      <c r="D31" s="446">
        <v>30.0</v>
      </c>
      <c r="E31" s="446" t="s">
        <v>522</v>
      </c>
      <c r="F31" s="446">
        <v>30.0</v>
      </c>
      <c r="G31" s="446">
        <v>4.8</v>
      </c>
      <c r="H31" s="446">
        <v>27.0</v>
      </c>
      <c r="I31" s="446">
        <v>2610.0</v>
      </c>
      <c r="J31" s="446">
        <v>0.0</v>
      </c>
      <c r="K31" s="446">
        <v>46546.0</v>
      </c>
      <c r="L31" s="446">
        <v>108607.0</v>
      </c>
      <c r="M31" s="446" t="s">
        <v>473</v>
      </c>
      <c r="N31" s="446">
        <v>18.0</v>
      </c>
      <c r="O31" s="446">
        <v>309.0</v>
      </c>
      <c r="P31" s="446">
        <v>103.0</v>
      </c>
      <c r="Q31" s="446">
        <v>2950.0</v>
      </c>
      <c r="R31" s="446" t="s">
        <v>142</v>
      </c>
      <c r="S31" s="446" t="s">
        <v>475</v>
      </c>
      <c r="T31" s="446" t="s">
        <v>476</v>
      </c>
    </row>
    <row r="32" ht="15.75" customHeight="1">
      <c r="A32" s="446" t="s">
        <v>523</v>
      </c>
      <c r="B32" s="446">
        <v>4.55395847E8</v>
      </c>
      <c r="C32" s="446" t="s">
        <v>471</v>
      </c>
      <c r="D32" s="446">
        <v>31.0</v>
      </c>
      <c r="E32" s="446" t="s">
        <v>478</v>
      </c>
      <c r="F32" s="446">
        <v>25.0</v>
      </c>
      <c r="G32" s="446">
        <v>4.8</v>
      </c>
      <c r="H32" s="446">
        <v>37.0</v>
      </c>
      <c r="I32" s="446">
        <v>2480.0</v>
      </c>
      <c r="J32" s="446">
        <v>0.0</v>
      </c>
      <c r="K32" s="446">
        <v>45176.0</v>
      </c>
      <c r="L32" s="446">
        <v>3227.0</v>
      </c>
      <c r="M32" s="446">
        <v>1.0</v>
      </c>
      <c r="N32" s="446">
        <v>18.0</v>
      </c>
      <c r="O32" s="446">
        <v>309.0</v>
      </c>
      <c r="P32" s="446">
        <v>25.0</v>
      </c>
      <c r="Q32" s="446">
        <v>1939.0</v>
      </c>
      <c r="R32" s="446" t="s">
        <v>106</v>
      </c>
      <c r="S32" s="446" t="s">
        <v>475</v>
      </c>
      <c r="T32" s="446" t="s">
        <v>476</v>
      </c>
    </row>
    <row r="33" ht="15.75" customHeight="1">
      <c r="A33" s="446" t="s">
        <v>524</v>
      </c>
      <c r="B33" s="446">
        <v>2.12968862E8</v>
      </c>
      <c r="C33" s="446" t="s">
        <v>486</v>
      </c>
      <c r="D33" s="446">
        <v>32.0</v>
      </c>
      <c r="E33" s="446" t="s">
        <v>472</v>
      </c>
      <c r="F33" s="446">
        <v>25.0</v>
      </c>
      <c r="G33" s="446">
        <v>4.8</v>
      </c>
      <c r="H33" s="446">
        <v>2454.0</v>
      </c>
      <c r="I33" s="446">
        <v>1013.0</v>
      </c>
      <c r="J33" s="446">
        <v>0.0</v>
      </c>
      <c r="K33" s="446">
        <v>98682.0</v>
      </c>
      <c r="L33" s="446">
        <v>42292.0</v>
      </c>
      <c r="M33" s="446">
        <v>12.0</v>
      </c>
      <c r="N33" s="446">
        <v>98.0</v>
      </c>
      <c r="O33" s="446">
        <v>835.0</v>
      </c>
      <c r="P33" s="446">
        <v>561.0</v>
      </c>
      <c r="Q33" s="446">
        <v>5047.0</v>
      </c>
      <c r="R33" s="446" t="s">
        <v>479</v>
      </c>
      <c r="S33" s="446" t="s">
        <v>475</v>
      </c>
      <c r="T33" s="446" t="s">
        <v>476</v>
      </c>
    </row>
    <row r="34" ht="15.75" customHeight="1">
      <c r="A34" s="446" t="s">
        <v>525</v>
      </c>
      <c r="B34" s="446">
        <v>8.55932699E8</v>
      </c>
      <c r="C34" s="446" t="s">
        <v>471</v>
      </c>
      <c r="D34" s="446">
        <v>33.0</v>
      </c>
      <c r="E34" s="446" t="s">
        <v>478</v>
      </c>
      <c r="F34" s="446">
        <v>25.0</v>
      </c>
      <c r="G34" s="446">
        <v>4.8</v>
      </c>
      <c r="H34" s="446">
        <v>469.0</v>
      </c>
      <c r="I34" s="446">
        <v>1390.0</v>
      </c>
      <c r="J34" s="446">
        <v>0.0</v>
      </c>
      <c r="K34" s="446">
        <v>49110.0</v>
      </c>
      <c r="L34" s="446">
        <v>114590.0</v>
      </c>
      <c r="M34" s="446" t="s">
        <v>473</v>
      </c>
      <c r="N34" s="446">
        <v>36.0</v>
      </c>
      <c r="O34" s="446">
        <v>100.0</v>
      </c>
      <c r="P34" s="446">
        <v>134.0</v>
      </c>
      <c r="Q34" s="446">
        <v>2188.0</v>
      </c>
      <c r="R34" s="446" t="s">
        <v>474</v>
      </c>
      <c r="S34" s="446" t="s">
        <v>480</v>
      </c>
      <c r="T34" s="446" t="s">
        <v>476</v>
      </c>
    </row>
    <row r="35" ht="15.75" customHeight="1">
      <c r="A35" s="446" t="s">
        <v>484</v>
      </c>
      <c r="B35" s="446">
        <v>3.01161998E8</v>
      </c>
      <c r="C35" s="446" t="s">
        <v>471</v>
      </c>
      <c r="D35" s="446">
        <v>34.0</v>
      </c>
      <c r="E35" s="446" t="s">
        <v>498</v>
      </c>
      <c r="F35" s="446">
        <v>22.0</v>
      </c>
      <c r="G35" s="446">
        <v>4.6</v>
      </c>
      <c r="H35" s="446">
        <v>93.0</v>
      </c>
      <c r="I35" s="446">
        <v>969.0</v>
      </c>
      <c r="J35" s="446">
        <v>0.0</v>
      </c>
      <c r="K35" s="446">
        <v>44208.0</v>
      </c>
      <c r="L35" s="446">
        <v>3158.0</v>
      </c>
      <c r="M35" s="446" t="s">
        <v>473</v>
      </c>
      <c r="N35" s="446">
        <v>47.0</v>
      </c>
      <c r="O35" s="446">
        <v>546.0</v>
      </c>
      <c r="P35" s="446">
        <v>37.0</v>
      </c>
      <c r="Q35" s="446">
        <v>2139.0</v>
      </c>
      <c r="R35" s="446" t="s">
        <v>474</v>
      </c>
      <c r="S35" s="446" t="s">
        <v>475</v>
      </c>
      <c r="T35" s="446" t="s">
        <v>476</v>
      </c>
    </row>
    <row r="36" ht="15.75" customHeight="1">
      <c r="A36" s="446" t="s">
        <v>526</v>
      </c>
      <c r="B36" s="446">
        <v>3.3339008E8</v>
      </c>
      <c r="C36" s="446" t="s">
        <v>508</v>
      </c>
      <c r="D36" s="446">
        <v>35.0</v>
      </c>
      <c r="E36" s="446" t="s">
        <v>527</v>
      </c>
      <c r="F36" s="446">
        <v>69.0</v>
      </c>
      <c r="G36" s="446">
        <v>4.9</v>
      </c>
      <c r="H36" s="446">
        <v>114.0</v>
      </c>
      <c r="I36" s="446">
        <v>1789.0</v>
      </c>
      <c r="J36" s="446">
        <v>0.0</v>
      </c>
      <c r="K36" s="446">
        <v>91240.0</v>
      </c>
      <c r="L36" s="446">
        <v>3146.0</v>
      </c>
      <c r="M36" s="446" t="s">
        <v>473</v>
      </c>
      <c r="N36" s="446">
        <v>52.0</v>
      </c>
      <c r="O36" s="446">
        <v>481.0</v>
      </c>
      <c r="P36" s="446">
        <v>450.0</v>
      </c>
      <c r="Q36" s="446">
        <v>3679.0</v>
      </c>
      <c r="R36" s="446" t="s">
        <v>474</v>
      </c>
      <c r="S36" s="446" t="s">
        <v>475</v>
      </c>
      <c r="T36" s="446" t="s">
        <v>476</v>
      </c>
    </row>
    <row r="37" ht="15.75" customHeight="1">
      <c r="A37" s="446" t="s">
        <v>528</v>
      </c>
      <c r="B37" s="446">
        <v>5.05041972E8</v>
      </c>
      <c r="C37" s="446" t="s">
        <v>471</v>
      </c>
      <c r="D37" s="446">
        <v>36.0</v>
      </c>
      <c r="E37" s="446" t="s">
        <v>472</v>
      </c>
      <c r="F37" s="446">
        <v>25.0</v>
      </c>
      <c r="G37" s="446">
        <v>4.8</v>
      </c>
      <c r="H37" s="446">
        <v>124.0</v>
      </c>
      <c r="I37" s="446">
        <v>337.0</v>
      </c>
      <c r="J37" s="446">
        <v>0.0</v>
      </c>
      <c r="K37" s="446">
        <v>22761.0</v>
      </c>
      <c r="L37" s="446">
        <v>1626.0</v>
      </c>
      <c r="M37" s="446">
        <v>23.0</v>
      </c>
      <c r="N37" s="446">
        <v>68.0</v>
      </c>
      <c r="O37" s="446">
        <v>274.0</v>
      </c>
      <c r="P37" s="446">
        <v>28.0</v>
      </c>
      <c r="Q37" s="446">
        <v>2014.0</v>
      </c>
      <c r="R37" s="446" t="s">
        <v>505</v>
      </c>
      <c r="S37" s="446" t="s">
        <v>475</v>
      </c>
      <c r="T37" s="446" t="s">
        <v>476</v>
      </c>
    </row>
    <row r="38" ht="15.75" customHeight="1">
      <c r="A38" s="446" t="s">
        <v>437</v>
      </c>
      <c r="B38" s="446">
        <v>2.12962091E8</v>
      </c>
      <c r="C38" s="446" t="s">
        <v>493</v>
      </c>
      <c r="D38" s="446">
        <v>37.0</v>
      </c>
      <c r="E38" s="446" t="s">
        <v>472</v>
      </c>
      <c r="F38" s="446">
        <v>25.0</v>
      </c>
      <c r="G38" s="446">
        <v>4.9</v>
      </c>
      <c r="H38" s="446">
        <v>487.0</v>
      </c>
      <c r="I38" s="446">
        <v>1742.0</v>
      </c>
      <c r="J38" s="446">
        <v>0.0</v>
      </c>
      <c r="K38" s="446">
        <v>189801.0</v>
      </c>
      <c r="L38" s="446">
        <v>6545.0</v>
      </c>
      <c r="M38" s="446">
        <v>31.0</v>
      </c>
      <c r="N38" s="446">
        <v>112.0</v>
      </c>
      <c r="O38" s="446">
        <v>835.0</v>
      </c>
      <c r="P38" s="446">
        <v>93.0</v>
      </c>
      <c r="Q38" s="446">
        <v>4541.0</v>
      </c>
      <c r="R38" s="446" t="s">
        <v>479</v>
      </c>
      <c r="S38" s="446" t="s">
        <v>475</v>
      </c>
      <c r="T38" s="446" t="s">
        <v>476</v>
      </c>
    </row>
    <row r="39" ht="15.75" customHeight="1">
      <c r="A39" s="446" t="s">
        <v>529</v>
      </c>
      <c r="B39" s="446">
        <v>2.76399249E8</v>
      </c>
      <c r="C39" s="446" t="s">
        <v>471</v>
      </c>
      <c r="D39" s="446">
        <v>38.0</v>
      </c>
      <c r="E39" s="446" t="s">
        <v>527</v>
      </c>
      <c r="F39" s="446">
        <v>69.0</v>
      </c>
      <c r="G39" s="446">
        <v>4.8</v>
      </c>
      <c r="H39" s="446">
        <v>81.0</v>
      </c>
      <c r="I39" s="446">
        <v>692.0</v>
      </c>
      <c r="J39" s="446">
        <v>5.0</v>
      </c>
      <c r="K39" s="446">
        <v>18476.0</v>
      </c>
      <c r="L39" s="446">
        <v>1320.0</v>
      </c>
      <c r="M39" s="446">
        <v>6.0</v>
      </c>
      <c r="N39" s="446">
        <v>28.0</v>
      </c>
      <c r="O39" s="446">
        <v>586.0</v>
      </c>
      <c r="P39" s="446">
        <v>3522.0</v>
      </c>
      <c r="Q39" s="446">
        <v>10351.0</v>
      </c>
      <c r="R39" s="446" t="s">
        <v>530</v>
      </c>
      <c r="S39" s="446" t="s">
        <v>530</v>
      </c>
      <c r="T39" s="446" t="s">
        <v>531</v>
      </c>
    </row>
    <row r="40" ht="15.75" customHeight="1">
      <c r="A40" s="446" t="s">
        <v>532</v>
      </c>
      <c r="B40" s="446">
        <v>3.01050221E8</v>
      </c>
      <c r="C40" s="446" t="s">
        <v>493</v>
      </c>
      <c r="D40" s="446">
        <v>39.0</v>
      </c>
      <c r="E40" s="446" t="s">
        <v>472</v>
      </c>
      <c r="F40" s="446">
        <v>25.0</v>
      </c>
      <c r="G40" s="446">
        <v>4.8</v>
      </c>
      <c r="H40" s="446">
        <v>112.0</v>
      </c>
      <c r="I40" s="446">
        <v>1451.0</v>
      </c>
      <c r="J40" s="446">
        <v>0.0</v>
      </c>
      <c r="K40" s="446">
        <v>93084.0</v>
      </c>
      <c r="L40" s="446">
        <v>14321.0</v>
      </c>
      <c r="M40" s="446" t="s">
        <v>473</v>
      </c>
      <c r="N40" s="446">
        <v>63.0</v>
      </c>
      <c r="O40" s="446">
        <v>545.0</v>
      </c>
      <c r="P40" s="446">
        <v>210.0</v>
      </c>
      <c r="Q40" s="446">
        <v>3209.0</v>
      </c>
      <c r="R40" s="446" t="s">
        <v>474</v>
      </c>
      <c r="S40" s="446" t="s">
        <v>475</v>
      </c>
      <c r="T40" s="446" t="s">
        <v>476</v>
      </c>
    </row>
    <row r="41" ht="15.75" customHeight="1">
      <c r="A41" s="446" t="s">
        <v>533</v>
      </c>
      <c r="B41" s="446">
        <v>6.76674527E8</v>
      </c>
      <c r="C41" s="446" t="s">
        <v>471</v>
      </c>
      <c r="D41" s="446">
        <v>40.0</v>
      </c>
      <c r="E41" s="446" t="s">
        <v>496</v>
      </c>
      <c r="F41" s="446">
        <v>91.0</v>
      </c>
      <c r="G41" s="446">
        <v>4.9</v>
      </c>
      <c r="H41" s="446">
        <v>78.0</v>
      </c>
      <c r="I41" s="446">
        <v>2068.0</v>
      </c>
      <c r="J41" s="446">
        <v>0.0</v>
      </c>
      <c r="K41" s="446">
        <v>120939.0</v>
      </c>
      <c r="L41" s="446">
        <v>13438.0</v>
      </c>
      <c r="M41" s="446" t="s">
        <v>473</v>
      </c>
      <c r="N41" s="446">
        <v>59.0</v>
      </c>
      <c r="O41" s="446">
        <v>150.0</v>
      </c>
      <c r="P41" s="446">
        <v>122.0</v>
      </c>
      <c r="Q41" s="446">
        <v>2709.0</v>
      </c>
      <c r="R41" s="446" t="s">
        <v>534</v>
      </c>
      <c r="S41" s="446" t="s">
        <v>475</v>
      </c>
      <c r="T41" s="446" t="s">
        <v>476</v>
      </c>
    </row>
    <row r="42" ht="15.75" customHeight="1">
      <c r="A42" s="446" t="s">
        <v>373</v>
      </c>
      <c r="B42" s="446">
        <v>2.13416584E8</v>
      </c>
      <c r="C42" s="446" t="s">
        <v>471</v>
      </c>
      <c r="D42" s="446">
        <v>41.0</v>
      </c>
      <c r="E42" s="446" t="s">
        <v>483</v>
      </c>
      <c r="F42" s="446">
        <v>37.0</v>
      </c>
      <c r="G42" s="446">
        <v>4.8</v>
      </c>
      <c r="H42" s="446">
        <v>1336.0</v>
      </c>
      <c r="I42" s="446">
        <v>1718.0</v>
      </c>
      <c r="J42" s="446">
        <v>0.0</v>
      </c>
      <c r="K42" s="446">
        <v>833456.0</v>
      </c>
      <c r="L42" s="446">
        <v>28740.0</v>
      </c>
      <c r="M42" s="446" t="s">
        <v>473</v>
      </c>
      <c r="N42" s="446">
        <v>487.0</v>
      </c>
      <c r="O42" s="446">
        <v>815.0</v>
      </c>
      <c r="P42" s="446">
        <v>426.0</v>
      </c>
      <c r="Q42" s="446">
        <v>7041.0</v>
      </c>
      <c r="R42" s="446" t="s">
        <v>479</v>
      </c>
      <c r="S42" s="446" t="s">
        <v>475</v>
      </c>
      <c r="T42" s="446" t="s">
        <v>476</v>
      </c>
    </row>
    <row r="43" ht="15.75" customHeight="1">
      <c r="A43" s="446" t="s">
        <v>384</v>
      </c>
      <c r="B43" s="446">
        <v>2.96805617E8</v>
      </c>
      <c r="C43" s="446" t="s">
        <v>493</v>
      </c>
      <c r="D43" s="446">
        <v>42.0</v>
      </c>
      <c r="E43" s="446" t="s">
        <v>498</v>
      </c>
      <c r="F43" s="446">
        <v>22.0</v>
      </c>
      <c r="G43" s="446">
        <v>4.8</v>
      </c>
      <c r="H43" s="446">
        <v>63.0</v>
      </c>
      <c r="I43" s="446">
        <v>3131.0</v>
      </c>
      <c r="J43" s="446">
        <v>0.0</v>
      </c>
      <c r="K43" s="446">
        <v>105367.0</v>
      </c>
      <c r="L43" s="446">
        <v>3633.0</v>
      </c>
      <c r="M43" s="446">
        <v>25.0</v>
      </c>
      <c r="N43" s="446">
        <v>35.0</v>
      </c>
      <c r="O43" s="446">
        <v>553.0</v>
      </c>
      <c r="P43" s="446">
        <v>35.0</v>
      </c>
      <c r="Q43" s="446">
        <v>1483.0</v>
      </c>
      <c r="R43" s="446" t="s">
        <v>106</v>
      </c>
      <c r="S43" s="446" t="s">
        <v>475</v>
      </c>
      <c r="T43" s="446" t="s">
        <v>476</v>
      </c>
    </row>
    <row r="44" ht="15.75" customHeight="1">
      <c r="A44" s="446" t="s">
        <v>376</v>
      </c>
      <c r="B44" s="446">
        <v>2.12798867E8</v>
      </c>
      <c r="C44" s="446" t="s">
        <v>471</v>
      </c>
      <c r="D44" s="446">
        <v>43.0</v>
      </c>
      <c r="E44" s="446" t="s">
        <v>483</v>
      </c>
      <c r="F44" s="446">
        <v>37.0</v>
      </c>
      <c r="G44" s="446">
        <v>4.7</v>
      </c>
      <c r="H44" s="446">
        <v>806.0</v>
      </c>
      <c r="I44" s="446">
        <v>1595.0</v>
      </c>
      <c r="J44" s="446">
        <v>0.0</v>
      </c>
      <c r="K44" s="446">
        <v>499178.0</v>
      </c>
      <c r="L44" s="446">
        <v>0.0</v>
      </c>
      <c r="M44" s="446" t="s">
        <v>473</v>
      </c>
      <c r="N44" s="446">
        <v>319.0</v>
      </c>
      <c r="O44" s="446">
        <v>835.0</v>
      </c>
      <c r="P44" s="446">
        <v>217.0</v>
      </c>
      <c r="Q44" s="446">
        <v>6582.0</v>
      </c>
      <c r="R44" s="446" t="s">
        <v>479</v>
      </c>
      <c r="S44" s="446" t="s">
        <v>475</v>
      </c>
      <c r="T44" s="446" t="s">
        <v>476</v>
      </c>
    </row>
    <row r="45" ht="15.75" customHeight="1">
      <c r="A45" s="446" t="s">
        <v>535</v>
      </c>
      <c r="B45" s="446">
        <v>1.67171751E8</v>
      </c>
      <c r="C45" s="446" t="s">
        <v>482</v>
      </c>
      <c r="D45" s="446">
        <v>44.0</v>
      </c>
      <c r="E45" s="446" t="s">
        <v>536</v>
      </c>
      <c r="F45" s="446">
        <v>73.0</v>
      </c>
      <c r="G45" s="446">
        <v>4.9</v>
      </c>
      <c r="H45" s="446">
        <v>76.0</v>
      </c>
      <c r="I45" s="446">
        <v>842.0</v>
      </c>
      <c r="J45" s="446">
        <v>0.0</v>
      </c>
      <c r="K45" s="446">
        <v>14869.0</v>
      </c>
      <c r="L45" s="446">
        <v>1062.0</v>
      </c>
      <c r="M45" s="446">
        <v>17.0</v>
      </c>
      <c r="N45" s="446">
        <v>18.0</v>
      </c>
      <c r="O45" s="446">
        <v>1078.0</v>
      </c>
      <c r="P45" s="446">
        <v>426.0</v>
      </c>
      <c r="Q45" s="446">
        <v>5188.0</v>
      </c>
      <c r="R45" s="446" t="s">
        <v>505</v>
      </c>
      <c r="S45" s="446" t="s">
        <v>475</v>
      </c>
      <c r="T45" s="446" t="s">
        <v>476</v>
      </c>
    </row>
    <row r="46" ht="15.75" customHeight="1">
      <c r="A46" s="446" t="s">
        <v>537</v>
      </c>
      <c r="B46" s="446">
        <v>5.74194885E8</v>
      </c>
      <c r="C46" s="446" t="s">
        <v>471</v>
      </c>
      <c r="D46" s="446">
        <v>45.0</v>
      </c>
      <c r="E46" s="446" t="s">
        <v>536</v>
      </c>
      <c r="F46" s="446">
        <v>73.0</v>
      </c>
      <c r="G46" s="446">
        <v>4.5</v>
      </c>
      <c r="H46" s="446">
        <v>35.0</v>
      </c>
      <c r="I46" s="446">
        <v>1016.0</v>
      </c>
      <c r="J46" s="446">
        <v>0.0</v>
      </c>
      <c r="K46" s="446">
        <v>10121.0</v>
      </c>
      <c r="L46" s="446">
        <v>5860.0</v>
      </c>
      <c r="M46" s="446">
        <v>1.0</v>
      </c>
      <c r="N46" s="446">
        <v>11.0</v>
      </c>
      <c r="O46" s="446">
        <v>204.0</v>
      </c>
      <c r="P46" s="446">
        <v>27.0</v>
      </c>
      <c r="Q46" s="446">
        <v>456.0</v>
      </c>
      <c r="R46" s="446" t="s">
        <v>538</v>
      </c>
      <c r="S46" s="446" t="s">
        <v>475</v>
      </c>
      <c r="T46" s="446" t="s">
        <v>476</v>
      </c>
    </row>
    <row r="47" ht="15.75" customHeight="1">
      <c r="A47" s="446" t="s">
        <v>539</v>
      </c>
      <c r="B47" s="446">
        <v>3.79751902E8</v>
      </c>
      <c r="C47" s="446" t="s">
        <v>493</v>
      </c>
      <c r="D47" s="446">
        <v>46.0</v>
      </c>
      <c r="E47" s="446" t="s">
        <v>478</v>
      </c>
      <c r="F47" s="446">
        <v>25.0</v>
      </c>
      <c r="G47" s="446">
        <v>4.7</v>
      </c>
      <c r="H47" s="446">
        <v>2014.0</v>
      </c>
      <c r="I47" s="446">
        <v>1418.0</v>
      </c>
      <c r="J47" s="446">
        <v>0.0</v>
      </c>
      <c r="K47" s="446">
        <v>79730.0</v>
      </c>
      <c r="L47" s="446">
        <v>39865.0</v>
      </c>
      <c r="M47" s="446" t="s">
        <v>473</v>
      </c>
      <c r="N47" s="446">
        <v>58.0</v>
      </c>
      <c r="O47" s="446">
        <v>431.0</v>
      </c>
      <c r="P47" s="446">
        <v>96.0</v>
      </c>
      <c r="Q47" s="446">
        <v>4270.0</v>
      </c>
      <c r="R47" s="446" t="s">
        <v>317</v>
      </c>
      <c r="S47" s="446" t="s">
        <v>540</v>
      </c>
      <c r="T47" s="446" t="s">
        <v>476</v>
      </c>
    </row>
    <row r="48" ht="15.75" customHeight="1">
      <c r="A48" s="446" t="s">
        <v>477</v>
      </c>
      <c r="B48" s="446">
        <v>7.83836147E8</v>
      </c>
      <c r="C48" s="446" t="s">
        <v>471</v>
      </c>
      <c r="D48" s="446">
        <v>47.0</v>
      </c>
      <c r="E48" s="446" t="s">
        <v>478</v>
      </c>
      <c r="F48" s="446">
        <v>25.0</v>
      </c>
      <c r="G48" s="446">
        <v>4.8</v>
      </c>
      <c r="H48" s="446">
        <v>791.0</v>
      </c>
      <c r="I48" s="446">
        <v>1522.0</v>
      </c>
      <c r="J48" s="446">
        <v>0.0</v>
      </c>
      <c r="K48" s="446">
        <v>49378.0</v>
      </c>
      <c r="L48" s="446">
        <v>3527.0</v>
      </c>
      <c r="M48" s="446" t="s">
        <v>473</v>
      </c>
      <c r="N48" s="446">
        <v>35.0</v>
      </c>
      <c r="O48" s="446">
        <v>133.0</v>
      </c>
      <c r="P48" s="446">
        <v>144.0</v>
      </c>
      <c r="Q48" s="446">
        <v>4148.0</v>
      </c>
      <c r="R48" s="446" t="s">
        <v>479</v>
      </c>
      <c r="S48" s="446" t="s">
        <v>540</v>
      </c>
      <c r="T48" s="446" t="s">
        <v>531</v>
      </c>
    </row>
    <row r="49" ht="15.75" customHeight="1">
      <c r="A49" s="446" t="s">
        <v>541</v>
      </c>
      <c r="B49" s="446">
        <v>3.36707698E8</v>
      </c>
      <c r="C49" s="446" t="s">
        <v>493</v>
      </c>
      <c r="D49" s="446">
        <v>48.0</v>
      </c>
      <c r="E49" s="446" t="s">
        <v>496</v>
      </c>
      <c r="F49" s="446">
        <v>91.0</v>
      </c>
      <c r="G49" s="446">
        <v>4.9</v>
      </c>
      <c r="H49" s="446">
        <v>64.0</v>
      </c>
      <c r="I49" s="446">
        <v>2788.0</v>
      </c>
      <c r="J49" s="446">
        <v>0.0</v>
      </c>
      <c r="K49" s="446">
        <v>111813.0</v>
      </c>
      <c r="L49" s="446">
        <v>47920.0</v>
      </c>
      <c r="M49" s="446" t="s">
        <v>473</v>
      </c>
      <c r="N49" s="446">
        <v>42.0</v>
      </c>
      <c r="O49" s="446">
        <v>471.0</v>
      </c>
      <c r="P49" s="446">
        <v>182.0</v>
      </c>
      <c r="Q49" s="446">
        <v>2069.0</v>
      </c>
      <c r="R49" s="446" t="s">
        <v>542</v>
      </c>
      <c r="S49" s="446" t="s">
        <v>475</v>
      </c>
      <c r="T49" s="446" t="s">
        <v>531</v>
      </c>
    </row>
    <row r="50" ht="15.75" customHeight="1">
      <c r="A50" s="446" t="s">
        <v>543</v>
      </c>
      <c r="B50" s="446">
        <v>6.5830368E8</v>
      </c>
      <c r="C50" s="446" t="s">
        <v>486</v>
      </c>
      <c r="D50" s="446">
        <v>49.0</v>
      </c>
      <c r="E50" s="446" t="s">
        <v>496</v>
      </c>
      <c r="F50" s="446">
        <v>91.0</v>
      </c>
      <c r="G50" s="446">
        <v>4.8</v>
      </c>
      <c r="H50" s="446">
        <v>31.0</v>
      </c>
      <c r="I50" s="446">
        <v>1073.0</v>
      </c>
      <c r="J50" s="446">
        <v>0.0</v>
      </c>
      <c r="K50" s="446">
        <v>31352.0</v>
      </c>
      <c r="L50" s="446">
        <v>7838.0</v>
      </c>
      <c r="M50" s="446" t="s">
        <v>473</v>
      </c>
      <c r="N50" s="446">
        <v>30.0</v>
      </c>
      <c r="O50" s="446">
        <v>189.0</v>
      </c>
      <c r="P50" s="446">
        <v>484.0</v>
      </c>
      <c r="Q50" s="446">
        <v>1953.0</v>
      </c>
      <c r="R50" s="446" t="s">
        <v>479</v>
      </c>
      <c r="S50" s="446" t="s">
        <v>475</v>
      </c>
      <c r="T50" s="446" t="s">
        <v>476</v>
      </c>
    </row>
    <row r="51" ht="15.75" customHeight="1">
      <c r="A51" s="446" t="s">
        <v>544</v>
      </c>
      <c r="B51" s="446">
        <v>2.32753041E8</v>
      </c>
      <c r="C51" s="446" t="s">
        <v>493</v>
      </c>
      <c r="D51" s="446">
        <v>50.0</v>
      </c>
      <c r="E51" s="446" t="s">
        <v>472</v>
      </c>
      <c r="F51" s="446">
        <v>25.0</v>
      </c>
      <c r="G51" s="446">
        <v>4.8</v>
      </c>
      <c r="H51" s="446">
        <v>429.0</v>
      </c>
      <c r="I51" s="446">
        <v>1643.0</v>
      </c>
      <c r="J51" s="446">
        <v>0.0</v>
      </c>
      <c r="K51" s="446">
        <v>158334.0</v>
      </c>
      <c r="L51" s="446">
        <v>11310.0</v>
      </c>
      <c r="M51" s="446">
        <v>31.0</v>
      </c>
      <c r="N51" s="446">
        <v>100.0</v>
      </c>
      <c r="O51" s="446">
        <v>712.0</v>
      </c>
      <c r="P51" s="446">
        <v>50.0</v>
      </c>
      <c r="Q51" s="446">
        <v>2652.0</v>
      </c>
      <c r="R51" s="446" t="s">
        <v>479</v>
      </c>
      <c r="S51" s="446" t="s">
        <v>475</v>
      </c>
      <c r="T51" s="446" t="s">
        <v>476</v>
      </c>
    </row>
    <row r="52" ht="15.75" customHeight="1">
      <c r="A52" s="446" t="s">
        <v>545</v>
      </c>
      <c r="B52" s="446">
        <v>5.67521166E8</v>
      </c>
      <c r="C52" s="446" t="s">
        <v>471</v>
      </c>
      <c r="D52" s="446">
        <v>51.0</v>
      </c>
      <c r="E52" s="446" t="s">
        <v>513</v>
      </c>
      <c r="F52" s="446">
        <v>44.0</v>
      </c>
      <c r="G52" s="446">
        <v>5.0</v>
      </c>
      <c r="H52" s="446">
        <v>5.0</v>
      </c>
      <c r="I52" s="446">
        <v>2406.0</v>
      </c>
      <c r="J52" s="446">
        <v>0.0</v>
      </c>
      <c r="K52" s="446">
        <v>0.0</v>
      </c>
      <c r="L52" s="446">
        <v>0.0</v>
      </c>
      <c r="M52" s="446">
        <v>10.0</v>
      </c>
      <c r="N52" s="446">
        <v>0.0</v>
      </c>
      <c r="O52" s="446">
        <v>210.0</v>
      </c>
      <c r="P52" s="446">
        <v>8.0</v>
      </c>
      <c r="Q52" s="446">
        <v>1140.0</v>
      </c>
      <c r="R52" s="446" t="s">
        <v>538</v>
      </c>
      <c r="S52" s="446" t="s">
        <v>475</v>
      </c>
      <c r="T52" s="446" t="s">
        <v>476</v>
      </c>
    </row>
    <row r="53" ht="15.75" customHeight="1">
      <c r="A53" s="446" t="s">
        <v>546</v>
      </c>
      <c r="B53" s="446">
        <v>8.04361377E8</v>
      </c>
      <c r="C53" s="446" t="s">
        <v>471</v>
      </c>
      <c r="D53" s="446">
        <v>52.0</v>
      </c>
      <c r="E53" s="446" t="s">
        <v>496</v>
      </c>
      <c r="F53" s="446">
        <v>91.0</v>
      </c>
      <c r="G53" s="446">
        <v>4.6</v>
      </c>
      <c r="H53" s="446">
        <v>25.0</v>
      </c>
      <c r="I53" s="446">
        <v>1643.0</v>
      </c>
      <c r="J53" s="446">
        <v>0.0</v>
      </c>
      <c r="K53" s="446">
        <v>67993.0</v>
      </c>
      <c r="L53" s="446">
        <v>10460.0</v>
      </c>
      <c r="M53" s="446" t="s">
        <v>473</v>
      </c>
      <c r="N53" s="446">
        <v>42.0</v>
      </c>
      <c r="O53" s="446">
        <v>115.0</v>
      </c>
      <c r="P53" s="446">
        <v>22.0</v>
      </c>
      <c r="Q53" s="446">
        <v>677.0</v>
      </c>
      <c r="R53" s="446" t="s">
        <v>474</v>
      </c>
      <c r="S53" s="446" t="s">
        <v>475</v>
      </c>
      <c r="T53" s="446" t="s">
        <v>476</v>
      </c>
    </row>
    <row r="54" ht="15.75" customHeight="1">
      <c r="A54" s="446" t="s">
        <v>547</v>
      </c>
      <c r="B54" s="446">
        <v>9.38980035E8</v>
      </c>
      <c r="C54" s="446" t="s">
        <v>548</v>
      </c>
      <c r="D54" s="446">
        <v>53.0</v>
      </c>
      <c r="E54" s="446" t="s">
        <v>478</v>
      </c>
      <c r="F54" s="446">
        <v>25.0</v>
      </c>
      <c r="G54" s="446">
        <v>4.9</v>
      </c>
      <c r="H54" s="446">
        <v>239.0</v>
      </c>
      <c r="I54" s="446">
        <v>970.0</v>
      </c>
      <c r="J54" s="446">
        <v>0.0</v>
      </c>
      <c r="K54" s="446">
        <v>34036.0</v>
      </c>
      <c r="L54" s="446">
        <v>2431.0</v>
      </c>
      <c r="M54" s="446">
        <v>3.0</v>
      </c>
      <c r="N54" s="446">
        <v>35.0</v>
      </c>
      <c r="O54" s="446">
        <v>56.0</v>
      </c>
      <c r="P54" s="446">
        <v>0.0</v>
      </c>
      <c r="Q54" s="446">
        <v>99.0</v>
      </c>
      <c r="R54" s="446" t="s">
        <v>117</v>
      </c>
      <c r="S54" s="446" t="s">
        <v>549</v>
      </c>
      <c r="T54" s="446" t="s">
        <v>476</v>
      </c>
    </row>
    <row r="55" ht="15.75" customHeight="1">
      <c r="A55" s="446" t="s">
        <v>550</v>
      </c>
      <c r="B55" s="446">
        <v>5.83589948E8</v>
      </c>
      <c r="C55" s="446" t="s">
        <v>471</v>
      </c>
      <c r="D55" s="446">
        <v>54.0</v>
      </c>
      <c r="E55" s="446" t="s">
        <v>496</v>
      </c>
      <c r="F55" s="446">
        <v>91.0</v>
      </c>
      <c r="G55" s="446">
        <v>4.8</v>
      </c>
      <c r="H55" s="446">
        <v>28.0</v>
      </c>
      <c r="I55" s="446">
        <v>2318.0</v>
      </c>
      <c r="J55" s="446">
        <v>0.0</v>
      </c>
      <c r="K55" s="446">
        <v>13993.0</v>
      </c>
      <c r="L55" s="446">
        <v>10701.0</v>
      </c>
      <c r="M55" s="446" t="s">
        <v>473</v>
      </c>
      <c r="N55" s="446">
        <v>6.0</v>
      </c>
      <c r="O55" s="446">
        <v>215.0</v>
      </c>
      <c r="P55" s="446">
        <v>26.0</v>
      </c>
      <c r="Q55" s="446">
        <v>1327.0</v>
      </c>
      <c r="R55" s="446" t="s">
        <v>106</v>
      </c>
      <c r="S55" s="446" t="s">
        <v>475</v>
      </c>
      <c r="T55" s="446" t="s">
        <v>476</v>
      </c>
    </row>
    <row r="56" ht="15.75" customHeight="1">
      <c r="A56" s="446" t="s">
        <v>551</v>
      </c>
      <c r="B56" s="446">
        <v>3.21642398E8</v>
      </c>
      <c r="C56" s="446" t="s">
        <v>493</v>
      </c>
      <c r="D56" s="446">
        <v>55.0</v>
      </c>
      <c r="E56" s="446" t="s">
        <v>472</v>
      </c>
      <c r="F56" s="446">
        <v>25.0</v>
      </c>
      <c r="G56" s="446">
        <v>4.8</v>
      </c>
      <c r="H56" s="446">
        <v>290.0</v>
      </c>
      <c r="I56" s="446">
        <v>436.0</v>
      </c>
      <c r="J56" s="446">
        <v>0.0</v>
      </c>
      <c r="K56" s="446">
        <v>33718.0</v>
      </c>
      <c r="L56" s="446">
        <v>2408.0</v>
      </c>
      <c r="M56" s="446">
        <v>1.0</v>
      </c>
      <c r="N56" s="446">
        <v>80.0</v>
      </c>
      <c r="O56" s="446">
        <v>482.0</v>
      </c>
      <c r="P56" s="446">
        <v>104.0</v>
      </c>
      <c r="Q56" s="446">
        <v>3405.0</v>
      </c>
      <c r="R56" s="446" t="s">
        <v>474</v>
      </c>
      <c r="S56" s="446" t="s">
        <v>475</v>
      </c>
      <c r="T56" s="446" t="s">
        <v>476</v>
      </c>
    </row>
    <row r="57" ht="15.75" customHeight="1">
      <c r="A57" s="446" t="s">
        <v>552</v>
      </c>
      <c r="B57" s="446">
        <v>7.147705E8</v>
      </c>
      <c r="C57" s="446" t="s">
        <v>493</v>
      </c>
      <c r="D57" s="446">
        <v>56.0</v>
      </c>
      <c r="E57" s="446" t="s">
        <v>496</v>
      </c>
      <c r="F57" s="446">
        <v>91.0</v>
      </c>
      <c r="G57" s="446">
        <v>4.9</v>
      </c>
      <c r="H57" s="446">
        <v>10.0</v>
      </c>
      <c r="I57" s="446">
        <v>1853.0</v>
      </c>
      <c r="J57" s="446">
        <v>0.0</v>
      </c>
      <c r="K57" s="446">
        <v>0.0</v>
      </c>
      <c r="L57" s="446">
        <v>0.0</v>
      </c>
      <c r="M57" s="446" t="s">
        <v>473</v>
      </c>
      <c r="N57" s="446">
        <v>0.0</v>
      </c>
      <c r="O57" s="446">
        <v>113.0</v>
      </c>
      <c r="P57" s="446">
        <v>3.0</v>
      </c>
      <c r="Q57" s="446">
        <v>61.0</v>
      </c>
      <c r="R57" s="446" t="s">
        <v>142</v>
      </c>
      <c r="S57" s="446" t="s">
        <v>475</v>
      </c>
      <c r="T57" s="446" t="s">
        <v>531</v>
      </c>
    </row>
    <row r="58" ht="15.75" customHeight="1">
      <c r="A58" s="446" t="s">
        <v>553</v>
      </c>
      <c r="B58" s="446">
        <v>2.12957743E8</v>
      </c>
      <c r="C58" s="446" t="s">
        <v>508</v>
      </c>
      <c r="D58" s="446">
        <v>57.0</v>
      </c>
      <c r="E58" s="446" t="s">
        <v>554</v>
      </c>
      <c r="F58" s="446">
        <v>72.0</v>
      </c>
      <c r="G58" s="446">
        <v>4.9</v>
      </c>
      <c r="H58" s="446">
        <v>7251.0</v>
      </c>
      <c r="I58" s="446">
        <v>1207.0</v>
      </c>
      <c r="J58" s="446">
        <v>0.0</v>
      </c>
      <c r="K58" s="446">
        <v>889068.0</v>
      </c>
      <c r="L58" s="446">
        <v>30658.0</v>
      </c>
      <c r="M58" s="446">
        <v>1.0</v>
      </c>
      <c r="N58" s="446">
        <v>741.0</v>
      </c>
      <c r="O58" s="446">
        <v>835.0</v>
      </c>
      <c r="P58" s="446">
        <v>2265.0</v>
      </c>
      <c r="Q58" s="446">
        <v>5712.0</v>
      </c>
      <c r="R58" s="446" t="s">
        <v>479</v>
      </c>
      <c r="S58" s="446" t="s">
        <v>475</v>
      </c>
      <c r="T58" s="446" t="s">
        <v>476</v>
      </c>
    </row>
    <row r="59" ht="15.75" customHeight="1">
      <c r="A59" s="446" t="s">
        <v>555</v>
      </c>
      <c r="B59" s="446">
        <v>5.5542878E8</v>
      </c>
      <c r="C59" s="446" t="s">
        <v>503</v>
      </c>
      <c r="D59" s="446">
        <v>58.0</v>
      </c>
      <c r="E59" s="446" t="s">
        <v>498</v>
      </c>
      <c r="F59" s="446">
        <v>22.0</v>
      </c>
      <c r="G59" s="446">
        <v>4.9</v>
      </c>
      <c r="H59" s="446">
        <v>448.0</v>
      </c>
      <c r="I59" s="446">
        <v>413.0</v>
      </c>
      <c r="J59" s="446">
        <v>0.0</v>
      </c>
      <c r="K59" s="446">
        <v>65436.0</v>
      </c>
      <c r="L59" s="446">
        <v>2256.0</v>
      </c>
      <c r="M59" s="446">
        <v>1.0</v>
      </c>
      <c r="N59" s="446">
        <v>189.0</v>
      </c>
      <c r="O59" s="446">
        <v>206.0</v>
      </c>
      <c r="P59" s="446">
        <v>376.0</v>
      </c>
      <c r="Q59" s="446">
        <v>1122.0</v>
      </c>
      <c r="R59" s="446" t="s">
        <v>474</v>
      </c>
      <c r="S59" s="446" t="s">
        <v>475</v>
      </c>
      <c r="T59" s="446" t="s">
        <v>476</v>
      </c>
    </row>
    <row r="60" ht="15.75" customHeight="1">
      <c r="A60" s="446" t="s">
        <v>556</v>
      </c>
      <c r="B60" s="446">
        <v>2.53060924E8</v>
      </c>
      <c r="C60" s="446" t="s">
        <v>493</v>
      </c>
      <c r="D60" s="446">
        <v>59.0</v>
      </c>
      <c r="E60" s="446" t="s">
        <v>527</v>
      </c>
      <c r="F60" s="446">
        <v>69.0</v>
      </c>
      <c r="G60" s="446">
        <v>4.8</v>
      </c>
      <c r="H60" s="446">
        <v>1430.0</v>
      </c>
      <c r="I60" s="446">
        <v>1604.0</v>
      </c>
      <c r="J60" s="446">
        <v>0.0</v>
      </c>
      <c r="K60" s="446">
        <v>621678.0</v>
      </c>
      <c r="L60" s="446">
        <v>0.0</v>
      </c>
      <c r="M60" s="446">
        <v>8.0</v>
      </c>
      <c r="N60" s="446">
        <v>401.0</v>
      </c>
      <c r="O60" s="446">
        <v>664.0</v>
      </c>
      <c r="P60" s="446">
        <v>570.0</v>
      </c>
      <c r="Q60" s="446">
        <v>5557.0</v>
      </c>
      <c r="R60" s="446" t="s">
        <v>479</v>
      </c>
      <c r="S60" s="446" t="s">
        <v>475</v>
      </c>
      <c r="T60" s="446" t="s">
        <v>476</v>
      </c>
    </row>
    <row r="61" ht="15.75" customHeight="1">
      <c r="A61" s="446" t="s">
        <v>557</v>
      </c>
      <c r="B61" s="446">
        <v>7.539078E8</v>
      </c>
      <c r="C61" s="446" t="s">
        <v>471</v>
      </c>
      <c r="D61" s="446">
        <v>60.0</v>
      </c>
      <c r="E61" s="446" t="s">
        <v>496</v>
      </c>
      <c r="F61" s="446">
        <v>91.0</v>
      </c>
      <c r="G61" s="446">
        <v>4.0</v>
      </c>
      <c r="H61" s="446">
        <v>8.0</v>
      </c>
      <c r="I61" s="446">
        <v>2121.0</v>
      </c>
      <c r="J61" s="446">
        <v>0.0</v>
      </c>
      <c r="K61" s="446">
        <v>29914.0</v>
      </c>
      <c r="L61" s="446">
        <v>17319.0</v>
      </c>
      <c r="M61" s="446" t="s">
        <v>473</v>
      </c>
      <c r="N61" s="446">
        <v>14.0</v>
      </c>
      <c r="O61" s="446">
        <v>113.0</v>
      </c>
      <c r="P61" s="446">
        <v>81.0</v>
      </c>
      <c r="Q61" s="446">
        <v>1563.0</v>
      </c>
      <c r="R61" s="446" t="s">
        <v>534</v>
      </c>
      <c r="S61" s="446" t="s">
        <v>475</v>
      </c>
      <c r="T61" s="446" t="s">
        <v>476</v>
      </c>
    </row>
    <row r="62" ht="15.75" customHeight="1">
      <c r="A62" s="446" t="s">
        <v>300</v>
      </c>
      <c r="B62" s="446">
        <v>2.1296887E8</v>
      </c>
      <c r="C62" s="446" t="s">
        <v>486</v>
      </c>
      <c r="D62" s="446">
        <v>61.0</v>
      </c>
      <c r="E62" s="446" t="s">
        <v>483</v>
      </c>
      <c r="F62" s="446">
        <v>37.0</v>
      </c>
      <c r="G62" s="446">
        <v>4.9</v>
      </c>
      <c r="H62" s="446">
        <v>2084.0</v>
      </c>
      <c r="I62" s="446">
        <v>1316.0</v>
      </c>
      <c r="J62" s="446">
        <v>0.0</v>
      </c>
      <c r="K62" s="446">
        <v>218880.0</v>
      </c>
      <c r="L62" s="446">
        <v>93806.0</v>
      </c>
      <c r="M62" s="446" t="s">
        <v>473</v>
      </c>
      <c r="N62" s="446">
        <v>175.0</v>
      </c>
      <c r="O62" s="446">
        <v>835.0</v>
      </c>
      <c r="P62" s="446">
        <v>1305.0</v>
      </c>
      <c r="Q62" s="446">
        <v>5896.0</v>
      </c>
      <c r="R62" s="446" t="s">
        <v>479</v>
      </c>
      <c r="S62" s="446" t="s">
        <v>475</v>
      </c>
      <c r="T62" s="446" t="s">
        <v>476</v>
      </c>
    </row>
    <row r="63" ht="15.75" customHeight="1">
      <c r="A63" s="446" t="s">
        <v>558</v>
      </c>
      <c r="B63" s="446">
        <v>4.84246777E8</v>
      </c>
      <c r="C63" s="446" t="s">
        <v>471</v>
      </c>
      <c r="D63" s="446">
        <v>62.0</v>
      </c>
      <c r="E63" s="446" t="s">
        <v>483</v>
      </c>
      <c r="F63" s="446">
        <v>37.0</v>
      </c>
      <c r="G63" s="446">
        <v>4.8</v>
      </c>
      <c r="H63" s="446">
        <v>72.0</v>
      </c>
      <c r="I63" s="446">
        <v>451.0</v>
      </c>
      <c r="J63" s="446">
        <v>0.0</v>
      </c>
      <c r="K63" s="446">
        <v>6632.0</v>
      </c>
      <c r="L63" s="446">
        <v>737.0</v>
      </c>
      <c r="M63" s="446">
        <v>4.0</v>
      </c>
      <c r="N63" s="446">
        <v>15.0</v>
      </c>
      <c r="O63" s="446">
        <v>315.0</v>
      </c>
      <c r="P63" s="446">
        <v>0.0</v>
      </c>
      <c r="Q63" s="446">
        <v>408.0</v>
      </c>
      <c r="R63" s="446" t="s">
        <v>479</v>
      </c>
      <c r="S63" s="446" t="s">
        <v>475</v>
      </c>
      <c r="T63" s="446" t="s">
        <v>476</v>
      </c>
    </row>
    <row r="64" ht="15.75" customHeight="1">
      <c r="A64" s="446" t="s">
        <v>559</v>
      </c>
      <c r="B64" s="446">
        <v>4.84249502E8</v>
      </c>
      <c r="C64" s="446" t="s">
        <v>471</v>
      </c>
      <c r="D64" s="446">
        <v>63.0</v>
      </c>
      <c r="E64" s="446" t="s">
        <v>472</v>
      </c>
      <c r="F64" s="446">
        <v>25.0</v>
      </c>
      <c r="G64" s="446">
        <v>4.8</v>
      </c>
      <c r="H64" s="446">
        <v>65.0</v>
      </c>
      <c r="I64" s="446">
        <v>452.0</v>
      </c>
      <c r="J64" s="446">
        <v>0.0</v>
      </c>
      <c r="K64" s="446">
        <v>10813.0</v>
      </c>
      <c r="L64" s="446">
        <v>3932.0</v>
      </c>
      <c r="M64" s="446">
        <v>32.0</v>
      </c>
      <c r="N64" s="446">
        <v>24.0</v>
      </c>
      <c r="O64" s="446">
        <v>314.0</v>
      </c>
      <c r="P64" s="446">
        <v>35.0</v>
      </c>
      <c r="Q64" s="446">
        <v>1167.0</v>
      </c>
      <c r="R64" s="446" t="s">
        <v>479</v>
      </c>
      <c r="S64" s="446" t="s">
        <v>475</v>
      </c>
      <c r="T64" s="446" t="s">
        <v>476</v>
      </c>
    </row>
    <row r="65" ht="15.75" customHeight="1">
      <c r="A65" s="446" t="s">
        <v>560</v>
      </c>
      <c r="B65" s="446">
        <v>1.009228915E9</v>
      </c>
      <c r="C65" s="446" t="s">
        <v>471</v>
      </c>
      <c r="D65" s="446">
        <v>64.0</v>
      </c>
      <c r="E65" s="446" t="s">
        <v>478</v>
      </c>
      <c r="F65" s="446">
        <v>25.0</v>
      </c>
      <c r="G65" s="446">
        <v>4.8</v>
      </c>
      <c r="H65" s="446">
        <v>469.0</v>
      </c>
      <c r="I65" s="446">
        <v>1591.0</v>
      </c>
      <c r="J65" s="446">
        <v>0.0</v>
      </c>
      <c r="K65" s="446">
        <v>0.0</v>
      </c>
      <c r="L65" s="446">
        <v>0.0</v>
      </c>
      <c r="M65" s="446" t="s">
        <v>473</v>
      </c>
      <c r="N65" s="446">
        <v>0.0</v>
      </c>
      <c r="O65" s="446">
        <v>32.0</v>
      </c>
      <c r="P65" s="446">
        <v>3.0</v>
      </c>
      <c r="Q65" s="446">
        <v>490.0</v>
      </c>
      <c r="R65" s="446" t="s">
        <v>479</v>
      </c>
      <c r="S65" s="446" t="s">
        <v>480</v>
      </c>
      <c r="T65" s="446" t="s">
        <v>476</v>
      </c>
    </row>
    <row r="66" ht="15.75" customHeight="1">
      <c r="A66" s="446" t="s">
        <v>207</v>
      </c>
      <c r="B66" s="446">
        <v>4.48097004E8</v>
      </c>
      <c r="C66" s="446" t="s">
        <v>493</v>
      </c>
      <c r="D66" s="446">
        <v>65.0</v>
      </c>
      <c r="E66" s="446" t="s">
        <v>522</v>
      </c>
      <c r="F66" s="446">
        <v>30.0</v>
      </c>
      <c r="G66" s="446">
        <v>4.9</v>
      </c>
      <c r="H66" s="446">
        <v>55.0</v>
      </c>
      <c r="I66" s="446">
        <v>2218.0</v>
      </c>
      <c r="J66" s="446">
        <v>0.0</v>
      </c>
      <c r="K66" s="446">
        <v>101899.0</v>
      </c>
      <c r="L66" s="446">
        <v>3514.0</v>
      </c>
      <c r="M66" s="446">
        <v>35.0</v>
      </c>
      <c r="N66" s="446">
        <v>45.0</v>
      </c>
      <c r="O66" s="446">
        <v>350.0</v>
      </c>
      <c r="P66" s="446">
        <v>242.0</v>
      </c>
      <c r="Q66" s="446">
        <v>4885.0</v>
      </c>
      <c r="R66" s="446" t="s">
        <v>142</v>
      </c>
      <c r="S66" s="446" t="s">
        <v>475</v>
      </c>
      <c r="T66" s="446" t="s">
        <v>476</v>
      </c>
    </row>
    <row r="67" ht="15.75" customHeight="1">
      <c r="A67" s="446" t="s">
        <v>561</v>
      </c>
      <c r="B67" s="446">
        <v>3.44132668E8</v>
      </c>
      <c r="C67" s="446" t="s">
        <v>471</v>
      </c>
      <c r="D67" s="446">
        <v>66.0</v>
      </c>
      <c r="E67" s="446" t="s">
        <v>496</v>
      </c>
      <c r="F67" s="446">
        <v>91.0</v>
      </c>
      <c r="G67" s="446">
        <v>4.9</v>
      </c>
      <c r="H67" s="446">
        <v>17.0</v>
      </c>
      <c r="I67" s="446">
        <v>1582.0</v>
      </c>
      <c r="J67" s="446">
        <v>0.0</v>
      </c>
      <c r="K67" s="446">
        <v>0.0</v>
      </c>
      <c r="L67" s="446">
        <v>0.0</v>
      </c>
      <c r="M67" s="446" t="s">
        <v>473</v>
      </c>
      <c r="N67" s="446">
        <v>0.0</v>
      </c>
      <c r="O67" s="446">
        <v>441.0</v>
      </c>
      <c r="P67" s="446">
        <v>1.0</v>
      </c>
      <c r="Q67" s="446">
        <v>26.0</v>
      </c>
      <c r="R67" s="446" t="s">
        <v>562</v>
      </c>
      <c r="S67" s="446" t="s">
        <v>475</v>
      </c>
      <c r="T67" s="446" t="s">
        <v>531</v>
      </c>
    </row>
    <row r="68" ht="15.75" customHeight="1">
      <c r="A68" s="446" t="s">
        <v>563</v>
      </c>
      <c r="B68" s="446">
        <v>4.82807444E8</v>
      </c>
      <c r="C68" s="446" t="s">
        <v>564</v>
      </c>
      <c r="D68" s="446">
        <v>67.0</v>
      </c>
      <c r="E68" s="446" t="s">
        <v>498</v>
      </c>
      <c r="F68" s="446">
        <v>22.0</v>
      </c>
      <c r="G68" s="446">
        <v>5.0</v>
      </c>
      <c r="H68" s="446">
        <v>5.0</v>
      </c>
      <c r="I68" s="446">
        <v>303.0</v>
      </c>
      <c r="J68" s="446">
        <v>0.0</v>
      </c>
      <c r="K68" s="446">
        <v>0.0</v>
      </c>
      <c r="L68" s="446">
        <v>0.0</v>
      </c>
      <c r="M68" s="446">
        <v>3.0</v>
      </c>
      <c r="N68" s="446">
        <v>0.0</v>
      </c>
      <c r="O68" s="446">
        <v>279.0</v>
      </c>
      <c r="P68" s="446">
        <v>14.0</v>
      </c>
      <c r="Q68" s="446">
        <v>202.0</v>
      </c>
      <c r="R68" s="446" t="s">
        <v>565</v>
      </c>
      <c r="S68" s="446" t="s">
        <v>475</v>
      </c>
      <c r="T68" s="446" t="s">
        <v>476</v>
      </c>
    </row>
    <row r="69" ht="15.75" customHeight="1">
      <c r="A69" s="446" t="s">
        <v>566</v>
      </c>
      <c r="B69" s="446">
        <v>3.61971402E8</v>
      </c>
      <c r="C69" s="446" t="s">
        <v>503</v>
      </c>
      <c r="D69" s="446">
        <v>68.0</v>
      </c>
      <c r="E69" s="446" t="s">
        <v>478</v>
      </c>
      <c r="F69" s="446">
        <v>25.0</v>
      </c>
      <c r="G69" s="446">
        <v>4.9</v>
      </c>
      <c r="H69" s="446">
        <v>200.0</v>
      </c>
      <c r="I69" s="446">
        <v>365.0</v>
      </c>
      <c r="J69" s="446">
        <v>0.0</v>
      </c>
      <c r="K69" s="446">
        <v>37035.0</v>
      </c>
      <c r="L69" s="446">
        <v>2645.0</v>
      </c>
      <c r="M69" s="446">
        <v>1.0</v>
      </c>
      <c r="N69" s="446">
        <v>103.0</v>
      </c>
      <c r="O69" s="446">
        <v>421.0</v>
      </c>
      <c r="P69" s="446">
        <v>93.0</v>
      </c>
      <c r="Q69" s="446">
        <v>970.0</v>
      </c>
      <c r="R69" s="446" t="s">
        <v>474</v>
      </c>
      <c r="S69" s="446" t="s">
        <v>475</v>
      </c>
      <c r="T69" s="446" t="s">
        <v>476</v>
      </c>
    </row>
    <row r="70" ht="15.75" customHeight="1">
      <c r="A70" s="446" t="s">
        <v>567</v>
      </c>
      <c r="B70" s="446">
        <v>1.080618234E9</v>
      </c>
      <c r="C70" s="446" t="s">
        <v>493</v>
      </c>
      <c r="D70" s="446">
        <v>69.0</v>
      </c>
      <c r="E70" s="446" t="s">
        <v>478</v>
      </c>
      <c r="F70" s="446">
        <v>25.0</v>
      </c>
      <c r="G70" s="446">
        <v>0.0</v>
      </c>
      <c r="H70" s="446">
        <v>0.0</v>
      </c>
      <c r="I70" s="446">
        <v>1888.0</v>
      </c>
      <c r="J70" s="446">
        <v>0.0</v>
      </c>
      <c r="K70" s="446">
        <v>0.0</v>
      </c>
      <c r="L70" s="446">
        <v>0.0</v>
      </c>
      <c r="M70" s="446">
        <v>5.0</v>
      </c>
      <c r="N70" s="446">
        <v>0.0</v>
      </c>
      <c r="O70" s="446">
        <v>3.0</v>
      </c>
      <c r="P70" s="446">
        <v>0.0</v>
      </c>
      <c r="Q70" s="446">
        <v>0.0</v>
      </c>
      <c r="R70" s="446" t="s">
        <v>568</v>
      </c>
      <c r="S70" s="446" t="s">
        <v>569</v>
      </c>
      <c r="T70" s="446" t="s">
        <v>531</v>
      </c>
    </row>
    <row r="71" ht="15.75" customHeight="1">
      <c r="A71" s="446" t="s">
        <v>570</v>
      </c>
      <c r="B71" s="446">
        <v>2.38152155E8</v>
      </c>
      <c r="C71" s="446" t="s">
        <v>471</v>
      </c>
      <c r="D71" s="446">
        <v>70.0</v>
      </c>
      <c r="E71" s="446" t="s">
        <v>478</v>
      </c>
      <c r="F71" s="446">
        <v>25.0</v>
      </c>
      <c r="G71" s="446">
        <v>4.9</v>
      </c>
      <c r="H71" s="446">
        <v>1029.0</v>
      </c>
      <c r="I71" s="446">
        <v>1313.0</v>
      </c>
      <c r="J71" s="446">
        <v>0.0</v>
      </c>
      <c r="K71" s="446">
        <v>227006.0</v>
      </c>
      <c r="L71" s="446">
        <v>7828.0</v>
      </c>
      <c r="M71" s="446" t="s">
        <v>473</v>
      </c>
      <c r="N71" s="446">
        <v>167.0</v>
      </c>
      <c r="O71" s="446">
        <v>715.0</v>
      </c>
      <c r="P71" s="446">
        <v>1388.0</v>
      </c>
      <c r="Q71" s="446">
        <v>6064.0</v>
      </c>
      <c r="R71" s="446" t="s">
        <v>474</v>
      </c>
      <c r="S71" s="446" t="s">
        <v>571</v>
      </c>
      <c r="T71" s="446" t="s">
        <v>476</v>
      </c>
    </row>
    <row r="72" ht="15.75" customHeight="1">
      <c r="A72" s="446" t="s">
        <v>572</v>
      </c>
      <c r="B72" s="446">
        <v>3.85050717E8</v>
      </c>
      <c r="C72" s="446" t="s">
        <v>573</v>
      </c>
      <c r="D72" s="446">
        <v>71.0</v>
      </c>
      <c r="E72" s="446" t="s">
        <v>574</v>
      </c>
      <c r="F72" s="446">
        <v>27.0</v>
      </c>
      <c r="G72" s="446">
        <v>4.2</v>
      </c>
      <c r="H72" s="446">
        <v>63.0</v>
      </c>
      <c r="I72" s="446">
        <v>293.0</v>
      </c>
      <c r="J72" s="446">
        <v>0.0</v>
      </c>
      <c r="K72" s="446">
        <v>4348.0</v>
      </c>
      <c r="L72" s="446">
        <v>1087.0</v>
      </c>
      <c r="M72" s="446">
        <v>1.0</v>
      </c>
      <c r="N72" s="446">
        <v>15.0</v>
      </c>
      <c r="O72" s="446">
        <v>413.0</v>
      </c>
      <c r="P72" s="446">
        <v>10.0</v>
      </c>
      <c r="Q72" s="446">
        <v>369.0</v>
      </c>
      <c r="R72" s="446" t="s">
        <v>575</v>
      </c>
      <c r="S72" s="446" t="s">
        <v>576</v>
      </c>
      <c r="T72" s="446" t="s">
        <v>476</v>
      </c>
    </row>
    <row r="73" ht="15.75" customHeight="1">
      <c r="A73" s="446" t="s">
        <v>577</v>
      </c>
      <c r="B73" s="446">
        <v>3.86437852E8</v>
      </c>
      <c r="C73" s="446" t="s">
        <v>471</v>
      </c>
      <c r="D73" s="446">
        <v>72.0</v>
      </c>
      <c r="E73" s="446" t="s">
        <v>578</v>
      </c>
      <c r="F73" s="446">
        <v>66.0</v>
      </c>
      <c r="G73" s="446">
        <v>4.4</v>
      </c>
      <c r="H73" s="446">
        <v>7.0</v>
      </c>
      <c r="I73" s="446">
        <v>251.0</v>
      </c>
      <c r="J73" s="446">
        <v>0.0</v>
      </c>
      <c r="K73" s="446">
        <v>0.0</v>
      </c>
      <c r="L73" s="446">
        <v>0.0</v>
      </c>
      <c r="M73" s="446">
        <v>4.0</v>
      </c>
      <c r="N73" s="446">
        <v>0.0</v>
      </c>
      <c r="O73" s="446">
        <v>394.0</v>
      </c>
      <c r="P73" s="446">
        <v>3.0</v>
      </c>
      <c r="Q73" s="446">
        <v>6.0</v>
      </c>
      <c r="R73" s="446" t="s">
        <v>575</v>
      </c>
      <c r="S73" s="446" t="s">
        <v>576</v>
      </c>
      <c r="T73" s="446" t="s">
        <v>531</v>
      </c>
    </row>
    <row r="74" ht="15.75" customHeight="1">
      <c r="A74" s="446" t="s">
        <v>579</v>
      </c>
      <c r="B74" s="446">
        <v>7.39123454E8</v>
      </c>
      <c r="C74" s="446" t="s">
        <v>471</v>
      </c>
      <c r="D74" s="446">
        <v>73.0</v>
      </c>
      <c r="E74" s="446" t="s">
        <v>574</v>
      </c>
      <c r="F74" s="446">
        <v>27.0</v>
      </c>
      <c r="G74" s="446">
        <v>4.9</v>
      </c>
      <c r="H74" s="446">
        <v>316.0</v>
      </c>
      <c r="I74" s="446">
        <v>242.0</v>
      </c>
      <c r="J74" s="446">
        <v>0.0</v>
      </c>
      <c r="K74" s="446">
        <v>126684.0</v>
      </c>
      <c r="L74" s="446">
        <v>9049.0</v>
      </c>
      <c r="M74" s="446">
        <v>1.0</v>
      </c>
      <c r="N74" s="446">
        <v>521.0</v>
      </c>
      <c r="O74" s="446">
        <v>157.0</v>
      </c>
      <c r="P74" s="446">
        <v>1238.0</v>
      </c>
      <c r="Q74" s="446">
        <v>4991.0</v>
      </c>
      <c r="R74" s="446" t="s">
        <v>580</v>
      </c>
      <c r="S74" s="446" t="s">
        <v>580</v>
      </c>
      <c r="T74" s="446" t="s">
        <v>476</v>
      </c>
    </row>
    <row r="75" ht="15.75" customHeight="1">
      <c r="A75" s="446" t="s">
        <v>581</v>
      </c>
      <c r="B75" s="446">
        <v>2.75090781E8</v>
      </c>
      <c r="C75" s="446" t="s">
        <v>582</v>
      </c>
      <c r="D75" s="446">
        <v>74.0</v>
      </c>
      <c r="E75" s="446" t="s">
        <v>472</v>
      </c>
      <c r="F75" s="446">
        <v>25.0</v>
      </c>
      <c r="G75" s="446">
        <v>4.6</v>
      </c>
      <c r="H75" s="446">
        <v>13.0</v>
      </c>
      <c r="I75" s="446">
        <v>4238.0</v>
      </c>
      <c r="J75" s="446">
        <v>0.0</v>
      </c>
      <c r="K75" s="446">
        <v>0.0</v>
      </c>
      <c r="L75" s="446">
        <v>0.0</v>
      </c>
      <c r="M75" s="446">
        <v>2.0</v>
      </c>
      <c r="N75" s="446">
        <v>0.0</v>
      </c>
      <c r="O75" s="446">
        <v>590.0</v>
      </c>
      <c r="P75" s="446">
        <v>103.0</v>
      </c>
      <c r="Q75" s="446">
        <v>446.0</v>
      </c>
      <c r="R75" s="446" t="s">
        <v>583</v>
      </c>
      <c r="S75" s="446" t="s">
        <v>475</v>
      </c>
      <c r="T75" s="446" t="s">
        <v>476</v>
      </c>
    </row>
    <row r="76" ht="15.75" customHeight="1">
      <c r="A76" s="446" t="s">
        <v>584</v>
      </c>
      <c r="B76" s="446">
        <v>2.12798845E8</v>
      </c>
      <c r="C76" s="446" t="s">
        <v>471</v>
      </c>
      <c r="D76" s="446">
        <v>75.0</v>
      </c>
      <c r="E76" s="446" t="s">
        <v>496</v>
      </c>
      <c r="F76" s="446">
        <v>91.0</v>
      </c>
      <c r="G76" s="446">
        <v>4.7</v>
      </c>
      <c r="H76" s="446">
        <v>386.0</v>
      </c>
      <c r="I76" s="446">
        <v>739.0</v>
      </c>
      <c r="J76" s="446">
        <v>0.0</v>
      </c>
      <c r="K76" s="446">
        <v>108900.0</v>
      </c>
      <c r="L76" s="446">
        <v>3755.0</v>
      </c>
      <c r="M76" s="446" t="s">
        <v>473</v>
      </c>
      <c r="N76" s="446">
        <v>142.0</v>
      </c>
      <c r="O76" s="446">
        <v>832.0</v>
      </c>
      <c r="P76" s="446">
        <v>306.0</v>
      </c>
      <c r="Q76" s="446">
        <v>5078.0</v>
      </c>
      <c r="R76" s="446" t="s">
        <v>479</v>
      </c>
      <c r="S76" s="446" t="s">
        <v>475</v>
      </c>
      <c r="T76" s="446" t="s">
        <v>476</v>
      </c>
    </row>
    <row r="77" ht="15.75" customHeight="1">
      <c r="A77" s="446" t="s">
        <v>585</v>
      </c>
      <c r="B77" s="446">
        <v>3.84951498E8</v>
      </c>
      <c r="C77" s="446" t="s">
        <v>573</v>
      </c>
      <c r="D77" s="446">
        <v>76.0</v>
      </c>
      <c r="E77" s="446" t="s">
        <v>578</v>
      </c>
      <c r="F77" s="446">
        <v>66.0</v>
      </c>
      <c r="G77" s="446">
        <v>4.7</v>
      </c>
      <c r="H77" s="446">
        <v>65.0</v>
      </c>
      <c r="I77" s="446">
        <v>224.0</v>
      </c>
      <c r="J77" s="446">
        <v>0.0</v>
      </c>
      <c r="K77" s="446">
        <v>4607.0</v>
      </c>
      <c r="L77" s="446">
        <v>709.0</v>
      </c>
      <c r="M77" s="446">
        <v>6.0</v>
      </c>
      <c r="N77" s="446">
        <v>21.0</v>
      </c>
      <c r="O77" s="446">
        <v>413.0</v>
      </c>
      <c r="P77" s="446">
        <v>35.0</v>
      </c>
      <c r="Q77" s="446">
        <v>656.0</v>
      </c>
      <c r="R77" s="446" t="s">
        <v>575</v>
      </c>
      <c r="S77" s="446" t="s">
        <v>576</v>
      </c>
      <c r="T77" s="446" t="s">
        <v>476</v>
      </c>
    </row>
    <row r="78" ht="15.75" customHeight="1">
      <c r="A78" s="446" t="s">
        <v>586</v>
      </c>
      <c r="B78" s="446">
        <v>3.70510393E8</v>
      </c>
      <c r="C78" s="446" t="s">
        <v>471</v>
      </c>
      <c r="D78" s="446">
        <v>77.0</v>
      </c>
      <c r="E78" s="446" t="s">
        <v>478</v>
      </c>
      <c r="F78" s="446">
        <v>25.0</v>
      </c>
      <c r="G78" s="446">
        <v>4.8</v>
      </c>
      <c r="H78" s="446">
        <v>790.0</v>
      </c>
      <c r="I78" s="446">
        <v>1384.0</v>
      </c>
      <c r="J78" s="446">
        <v>0.0</v>
      </c>
      <c r="K78" s="446">
        <v>656964.0</v>
      </c>
      <c r="L78" s="446">
        <v>22654.0</v>
      </c>
      <c r="M78" s="446" t="s">
        <v>473</v>
      </c>
      <c r="N78" s="446">
        <v>480.0</v>
      </c>
      <c r="O78" s="446">
        <v>441.0</v>
      </c>
      <c r="P78" s="446">
        <v>1109.0</v>
      </c>
      <c r="Q78" s="446">
        <v>8261.0</v>
      </c>
      <c r="R78" s="446" t="s">
        <v>474</v>
      </c>
      <c r="S78" s="446" t="s">
        <v>587</v>
      </c>
      <c r="T78" s="446" t="s">
        <v>476</v>
      </c>
    </row>
    <row r="79" ht="15.75" customHeight="1">
      <c r="A79" s="446" t="s">
        <v>588</v>
      </c>
      <c r="B79" s="446">
        <v>6.56754063E8</v>
      </c>
      <c r="C79" s="446" t="s">
        <v>589</v>
      </c>
      <c r="D79" s="446">
        <v>78.0</v>
      </c>
      <c r="E79" s="446" t="s">
        <v>472</v>
      </c>
      <c r="F79" s="446">
        <v>25.0</v>
      </c>
      <c r="G79" s="446">
        <v>4.6</v>
      </c>
      <c r="H79" s="446">
        <v>70.0</v>
      </c>
      <c r="I79" s="446">
        <v>1197.0</v>
      </c>
      <c r="J79" s="446">
        <v>0.0</v>
      </c>
      <c r="K79" s="446">
        <v>84830.0</v>
      </c>
      <c r="L79" s="446">
        <v>2925.0</v>
      </c>
      <c r="M79" s="446" t="s">
        <v>473</v>
      </c>
      <c r="N79" s="446">
        <v>76.0</v>
      </c>
      <c r="O79" s="446">
        <v>188.0</v>
      </c>
      <c r="P79" s="446">
        <v>157.0</v>
      </c>
      <c r="Q79" s="446">
        <v>589.0</v>
      </c>
      <c r="R79" s="446" t="s">
        <v>479</v>
      </c>
      <c r="S79" s="446" t="s">
        <v>475</v>
      </c>
      <c r="T79" s="446" t="s">
        <v>476</v>
      </c>
    </row>
    <row r="80" ht="15.75" customHeight="1">
      <c r="A80" s="446" t="s">
        <v>590</v>
      </c>
      <c r="B80" s="446">
        <v>5.78538451E8</v>
      </c>
      <c r="C80" s="446" t="s">
        <v>493</v>
      </c>
      <c r="D80" s="446">
        <v>79.0</v>
      </c>
      <c r="E80" s="446" t="s">
        <v>472</v>
      </c>
      <c r="F80" s="446">
        <v>25.0</v>
      </c>
      <c r="G80" s="446">
        <v>4.8</v>
      </c>
      <c r="H80" s="446">
        <v>269.0</v>
      </c>
      <c r="I80" s="446">
        <v>454.0</v>
      </c>
      <c r="J80" s="446">
        <v>0.0</v>
      </c>
      <c r="K80" s="446">
        <v>5596.0</v>
      </c>
      <c r="L80" s="446">
        <v>15389.0</v>
      </c>
      <c r="M80" s="446" t="s">
        <v>473</v>
      </c>
      <c r="N80" s="446">
        <v>18.0</v>
      </c>
      <c r="O80" s="446">
        <v>231.0</v>
      </c>
      <c r="P80" s="446">
        <v>57.0</v>
      </c>
      <c r="Q80" s="446">
        <v>3242.0</v>
      </c>
      <c r="R80" s="446" t="s">
        <v>505</v>
      </c>
      <c r="S80" s="446" t="s">
        <v>475</v>
      </c>
      <c r="T80" s="446" t="s">
        <v>531</v>
      </c>
    </row>
    <row r="81" ht="15.75" customHeight="1">
      <c r="A81" s="446" t="s">
        <v>591</v>
      </c>
      <c r="B81" s="446">
        <v>3.7310229E8</v>
      </c>
      <c r="C81" s="446" t="s">
        <v>493</v>
      </c>
      <c r="D81" s="446">
        <v>80.0</v>
      </c>
      <c r="E81" s="446" t="s">
        <v>592</v>
      </c>
      <c r="F81" s="446">
        <v>41.0</v>
      </c>
      <c r="G81" s="446">
        <v>4.9</v>
      </c>
      <c r="H81" s="446">
        <v>100.0</v>
      </c>
      <c r="I81" s="446">
        <v>1926.0</v>
      </c>
      <c r="J81" s="446">
        <v>0.0</v>
      </c>
      <c r="K81" s="446">
        <v>90376.0</v>
      </c>
      <c r="L81" s="446">
        <v>13904.0</v>
      </c>
      <c r="M81" s="446">
        <v>1.0</v>
      </c>
      <c r="N81" s="446">
        <v>47.0</v>
      </c>
      <c r="O81" s="446">
        <v>426.0</v>
      </c>
      <c r="P81" s="446">
        <v>399.0</v>
      </c>
      <c r="Q81" s="446">
        <v>4796.0</v>
      </c>
      <c r="R81" s="446" t="s">
        <v>142</v>
      </c>
      <c r="S81" s="446" t="s">
        <v>475</v>
      </c>
      <c r="T81" s="446" t="s">
        <v>476</v>
      </c>
    </row>
    <row r="82" ht="15.75" customHeight="1">
      <c r="A82" s="446" t="s">
        <v>372</v>
      </c>
      <c r="B82" s="446">
        <v>2.12798844E8</v>
      </c>
      <c r="C82" s="446" t="s">
        <v>471</v>
      </c>
      <c r="D82" s="446">
        <v>81.0</v>
      </c>
      <c r="E82" s="446" t="s">
        <v>496</v>
      </c>
      <c r="F82" s="446">
        <v>91.0</v>
      </c>
      <c r="G82" s="446">
        <v>4.8</v>
      </c>
      <c r="H82" s="446">
        <v>1675.0</v>
      </c>
      <c r="I82" s="446">
        <v>1658.0</v>
      </c>
      <c r="J82" s="446">
        <v>0.0</v>
      </c>
      <c r="K82" s="446">
        <v>936241.0</v>
      </c>
      <c r="L82" s="446">
        <v>32284.0</v>
      </c>
      <c r="M82" s="446" t="s">
        <v>473</v>
      </c>
      <c r="N82" s="446">
        <v>646.0</v>
      </c>
      <c r="O82" s="446">
        <v>832.0</v>
      </c>
      <c r="P82" s="446">
        <v>1042.0</v>
      </c>
      <c r="Q82" s="446">
        <v>6426.0</v>
      </c>
      <c r="R82" s="446" t="s">
        <v>479</v>
      </c>
      <c r="S82" s="446" t="s">
        <v>475</v>
      </c>
      <c r="T82" s="446" t="s">
        <v>476</v>
      </c>
    </row>
    <row r="83" ht="15.75" customHeight="1">
      <c r="A83" s="446" t="s">
        <v>593</v>
      </c>
      <c r="B83" s="446">
        <v>4.11617835E8</v>
      </c>
      <c r="C83" s="446" t="s">
        <v>582</v>
      </c>
      <c r="D83" s="446">
        <v>82.0</v>
      </c>
      <c r="E83" s="446" t="s">
        <v>554</v>
      </c>
      <c r="F83" s="446">
        <v>72.0</v>
      </c>
      <c r="G83" s="446">
        <v>4.8</v>
      </c>
      <c r="H83" s="446">
        <v>42.0</v>
      </c>
      <c r="I83" s="446">
        <v>1833.0</v>
      </c>
      <c r="J83" s="446">
        <v>0.0</v>
      </c>
      <c r="K83" s="446">
        <v>43238.0</v>
      </c>
      <c r="L83" s="446">
        <v>3088.0</v>
      </c>
      <c r="M83" s="446">
        <v>28.0</v>
      </c>
      <c r="N83" s="446">
        <v>24.0</v>
      </c>
      <c r="O83" s="446">
        <v>366.0</v>
      </c>
      <c r="P83" s="446">
        <v>235.0</v>
      </c>
      <c r="Q83" s="446">
        <v>1649.0</v>
      </c>
      <c r="R83" s="446" t="s">
        <v>479</v>
      </c>
      <c r="S83" s="446" t="s">
        <v>475</v>
      </c>
      <c r="T83" s="446" t="s">
        <v>476</v>
      </c>
    </row>
    <row r="84" ht="15.75" customHeight="1">
      <c r="A84" s="446" t="s">
        <v>594</v>
      </c>
      <c r="B84" s="446">
        <v>3.04468089E8</v>
      </c>
      <c r="C84" s="446" t="s">
        <v>595</v>
      </c>
      <c r="D84" s="446">
        <v>83.0</v>
      </c>
      <c r="E84" s="446" t="s">
        <v>574</v>
      </c>
      <c r="F84" s="446">
        <v>27.0</v>
      </c>
      <c r="G84" s="446">
        <v>4.6</v>
      </c>
      <c r="H84" s="446">
        <v>1392.0</v>
      </c>
      <c r="I84" s="446">
        <v>1154.0</v>
      </c>
      <c r="J84" s="446">
        <v>0.0</v>
      </c>
      <c r="K84" s="446">
        <v>50990.0</v>
      </c>
      <c r="L84" s="446">
        <v>1758.0</v>
      </c>
      <c r="M84" s="446" t="s">
        <v>596</v>
      </c>
      <c r="N84" s="446">
        <v>46.0</v>
      </c>
      <c r="O84" s="446">
        <v>534.0</v>
      </c>
      <c r="P84" s="446">
        <v>5.0</v>
      </c>
      <c r="Q84" s="446">
        <v>561.0</v>
      </c>
      <c r="R84" s="446" t="s">
        <v>597</v>
      </c>
      <c r="S84" s="446" t="s">
        <v>598</v>
      </c>
      <c r="T84" s="446" t="s">
        <v>476</v>
      </c>
    </row>
    <row r="85" ht="15.75" customHeight="1">
      <c r="A85" s="446" t="s">
        <v>599</v>
      </c>
      <c r="B85" s="446">
        <v>3.21645337E8</v>
      </c>
      <c r="C85" s="446" t="s">
        <v>471</v>
      </c>
      <c r="D85" s="446">
        <v>84.0</v>
      </c>
      <c r="E85" s="446" t="s">
        <v>472</v>
      </c>
      <c r="F85" s="446">
        <v>25.0</v>
      </c>
      <c r="G85" s="446">
        <v>4.7</v>
      </c>
      <c r="H85" s="446">
        <v>124.0</v>
      </c>
      <c r="I85" s="446">
        <v>497.0</v>
      </c>
      <c r="J85" s="446">
        <v>0.0</v>
      </c>
      <c r="K85" s="446">
        <v>41298.0</v>
      </c>
      <c r="L85" s="446">
        <v>1424.0</v>
      </c>
      <c r="M85" s="446">
        <v>2.0</v>
      </c>
      <c r="N85" s="446">
        <v>85.0</v>
      </c>
      <c r="O85" s="446">
        <v>482.0</v>
      </c>
      <c r="P85" s="446">
        <v>22.0</v>
      </c>
      <c r="Q85" s="446">
        <v>3760.0</v>
      </c>
      <c r="R85" s="446" t="s">
        <v>474</v>
      </c>
      <c r="S85" s="446" t="s">
        <v>475</v>
      </c>
      <c r="T85" s="446" t="s">
        <v>476</v>
      </c>
    </row>
    <row r="86" ht="15.75" customHeight="1">
      <c r="A86" s="446" t="s">
        <v>600</v>
      </c>
      <c r="B86" s="446">
        <v>1.119847699E9</v>
      </c>
      <c r="C86" s="446" t="s">
        <v>471</v>
      </c>
      <c r="D86" s="446">
        <v>85.0</v>
      </c>
      <c r="E86" s="446" t="s">
        <v>601</v>
      </c>
      <c r="F86" s="446">
        <v>49.0</v>
      </c>
      <c r="G86" s="446">
        <v>0.0</v>
      </c>
      <c r="H86" s="446">
        <v>0.0</v>
      </c>
      <c r="I86" s="446">
        <v>781.0</v>
      </c>
      <c r="J86" s="446">
        <v>0.0</v>
      </c>
      <c r="K86" s="446">
        <v>0.0</v>
      </c>
      <c r="L86" s="446">
        <v>0.0</v>
      </c>
      <c r="M86" s="446">
        <v>11.0</v>
      </c>
      <c r="N86" s="446">
        <v>0.0</v>
      </c>
      <c r="O86" s="446" t="s">
        <v>531</v>
      </c>
      <c r="P86" s="446">
        <v>0.0</v>
      </c>
      <c r="Q86" s="446">
        <v>0.0</v>
      </c>
      <c r="R86" s="446" t="s">
        <v>602</v>
      </c>
      <c r="S86" s="446" t="s">
        <v>603</v>
      </c>
      <c r="T86" s="446" t="s">
        <v>531</v>
      </c>
    </row>
    <row r="87" ht="15.75" customHeight="1">
      <c r="A87" s="446" t="s">
        <v>604</v>
      </c>
      <c r="B87" s="446">
        <v>2.88484782E8</v>
      </c>
      <c r="C87" s="446" t="s">
        <v>471</v>
      </c>
      <c r="D87" s="446">
        <v>86.0</v>
      </c>
      <c r="E87" s="446" t="s">
        <v>472</v>
      </c>
      <c r="F87" s="446">
        <v>25.0</v>
      </c>
      <c r="G87" s="446">
        <v>4.8</v>
      </c>
      <c r="H87" s="446">
        <v>92.0</v>
      </c>
      <c r="I87" s="446">
        <v>1660.0</v>
      </c>
      <c r="J87" s="446">
        <v>0.0</v>
      </c>
      <c r="K87" s="446">
        <v>89186.0</v>
      </c>
      <c r="L87" s="446">
        <v>6370.0</v>
      </c>
      <c r="M87" s="446">
        <v>6.0</v>
      </c>
      <c r="N87" s="446">
        <v>50.0</v>
      </c>
      <c r="O87" s="446">
        <v>566.0</v>
      </c>
      <c r="P87" s="446">
        <v>4.0</v>
      </c>
      <c r="Q87" s="446">
        <v>1312.0</v>
      </c>
      <c r="R87" s="446" t="s">
        <v>474</v>
      </c>
      <c r="S87" s="446" t="s">
        <v>475</v>
      </c>
      <c r="T87" s="446" t="s">
        <v>476</v>
      </c>
    </row>
    <row r="88" ht="15.75" customHeight="1">
      <c r="A88" s="446" t="s">
        <v>605</v>
      </c>
      <c r="B88" s="446">
        <v>8.97316732E8</v>
      </c>
      <c r="C88" s="446" t="s">
        <v>606</v>
      </c>
      <c r="D88" s="446">
        <v>87.0</v>
      </c>
      <c r="E88" s="446" t="s">
        <v>578</v>
      </c>
      <c r="F88" s="446">
        <v>61.0</v>
      </c>
      <c r="G88" s="446">
        <v>0.0</v>
      </c>
      <c r="H88" s="446">
        <v>0.0</v>
      </c>
      <c r="I88" s="446">
        <v>320.0</v>
      </c>
      <c r="J88" s="446">
        <v>0.0</v>
      </c>
      <c r="K88" s="446">
        <v>0.0</v>
      </c>
      <c r="L88" s="446">
        <v>0.0</v>
      </c>
      <c r="M88" s="446" t="s">
        <v>473</v>
      </c>
      <c r="N88" s="446">
        <v>0.0</v>
      </c>
      <c r="O88" s="446">
        <v>81.0</v>
      </c>
      <c r="P88" s="446">
        <v>48.0</v>
      </c>
      <c r="Q88" s="446">
        <v>190.0</v>
      </c>
      <c r="R88" s="446" t="s">
        <v>607</v>
      </c>
      <c r="S88" s="446" t="s">
        <v>608</v>
      </c>
      <c r="T88" s="446" t="s">
        <v>476</v>
      </c>
    </row>
    <row r="89" ht="15.75" customHeight="1">
      <c r="A89" s="446" t="s">
        <v>609</v>
      </c>
      <c r="B89" s="446">
        <v>2.52600345E8</v>
      </c>
      <c r="C89" s="446" t="s">
        <v>471</v>
      </c>
      <c r="D89" s="446">
        <v>88.0</v>
      </c>
      <c r="E89" s="446" t="s">
        <v>472</v>
      </c>
      <c r="F89" s="446">
        <v>25.0</v>
      </c>
      <c r="G89" s="446">
        <v>4.8</v>
      </c>
      <c r="H89" s="446">
        <v>843.0</v>
      </c>
      <c r="I89" s="446">
        <v>1747.0</v>
      </c>
      <c r="J89" s="446">
        <v>0.0</v>
      </c>
      <c r="K89" s="446">
        <v>505280.0</v>
      </c>
      <c r="L89" s="446">
        <v>17423.0</v>
      </c>
      <c r="M89" s="446" t="s">
        <v>473</v>
      </c>
      <c r="N89" s="446">
        <v>293.0</v>
      </c>
      <c r="O89" s="446">
        <v>666.0</v>
      </c>
      <c r="P89" s="446">
        <v>134.0</v>
      </c>
      <c r="Q89" s="446">
        <v>2734.0</v>
      </c>
      <c r="R89" s="446" t="s">
        <v>479</v>
      </c>
      <c r="S89" s="446" t="s">
        <v>475</v>
      </c>
      <c r="T89" s="446" t="s">
        <v>476</v>
      </c>
    </row>
    <row r="90" ht="15.75" customHeight="1">
      <c r="A90" s="446" t="s">
        <v>610</v>
      </c>
      <c r="B90" s="446">
        <v>5.74064093E8</v>
      </c>
      <c r="C90" s="446" t="s">
        <v>611</v>
      </c>
      <c r="D90" s="446">
        <v>89.0</v>
      </c>
      <c r="E90" s="446" t="s">
        <v>478</v>
      </c>
      <c r="F90" s="446">
        <v>25.0</v>
      </c>
      <c r="G90" s="446">
        <v>5.0</v>
      </c>
      <c r="H90" s="446">
        <v>5.0</v>
      </c>
      <c r="I90" s="446">
        <v>1494.0</v>
      </c>
      <c r="J90" s="446">
        <v>0.0</v>
      </c>
      <c r="K90" s="446">
        <v>1299.0</v>
      </c>
      <c r="L90" s="446">
        <v>200.0</v>
      </c>
      <c r="M90" s="446">
        <v>1.0</v>
      </c>
      <c r="N90" s="446">
        <v>1.0</v>
      </c>
      <c r="O90" s="446">
        <v>176.0</v>
      </c>
      <c r="P90" s="446">
        <v>15.0</v>
      </c>
      <c r="Q90" s="446">
        <v>292.0</v>
      </c>
      <c r="R90" s="446" t="s">
        <v>538</v>
      </c>
      <c r="S90" s="446" t="s">
        <v>475</v>
      </c>
      <c r="T90" s="446" t="s">
        <v>531</v>
      </c>
    </row>
    <row r="91" ht="15.75" customHeight="1">
      <c r="A91" s="446" t="s">
        <v>439</v>
      </c>
      <c r="B91" s="446">
        <v>2.6213525E8</v>
      </c>
      <c r="C91" s="446" t="s">
        <v>471</v>
      </c>
      <c r="D91" s="446">
        <v>90.0</v>
      </c>
      <c r="E91" s="446" t="s">
        <v>612</v>
      </c>
      <c r="F91" s="446">
        <v>55.0</v>
      </c>
      <c r="G91" s="446">
        <v>4.9</v>
      </c>
      <c r="H91" s="446">
        <v>388.0</v>
      </c>
      <c r="I91" s="446">
        <v>1061.0</v>
      </c>
      <c r="J91" s="446">
        <v>0.0</v>
      </c>
      <c r="K91" s="446">
        <v>165058.0</v>
      </c>
      <c r="L91" s="446">
        <v>11790.0</v>
      </c>
      <c r="M91" s="446">
        <v>11.0</v>
      </c>
      <c r="N91" s="446">
        <v>159.0</v>
      </c>
      <c r="O91" s="446">
        <v>622.0</v>
      </c>
      <c r="P91" s="446">
        <v>193.0</v>
      </c>
      <c r="Q91" s="446">
        <v>4487.0</v>
      </c>
      <c r="R91" s="446" t="s">
        <v>479</v>
      </c>
      <c r="S91" s="446" t="s">
        <v>475</v>
      </c>
      <c r="T91" s="446" t="s">
        <v>476</v>
      </c>
    </row>
    <row r="92" ht="15.75" customHeight="1">
      <c r="A92" s="446" t="s">
        <v>613</v>
      </c>
      <c r="B92" s="446">
        <v>4.8394401E8</v>
      </c>
      <c r="C92" s="446" t="s">
        <v>471</v>
      </c>
      <c r="D92" s="446">
        <v>91.0</v>
      </c>
      <c r="E92" s="446" t="s">
        <v>498</v>
      </c>
      <c r="F92" s="446">
        <v>22.0</v>
      </c>
      <c r="G92" s="446">
        <v>4.8</v>
      </c>
      <c r="H92" s="446">
        <v>88.0</v>
      </c>
      <c r="I92" s="446">
        <v>492.0</v>
      </c>
      <c r="J92" s="446">
        <v>0.0</v>
      </c>
      <c r="K92" s="446">
        <v>24111.0</v>
      </c>
      <c r="L92" s="446">
        <v>3709.0</v>
      </c>
      <c r="M92" s="446">
        <v>1.0</v>
      </c>
      <c r="N92" s="446">
        <v>41.0</v>
      </c>
      <c r="O92" s="446">
        <v>315.0</v>
      </c>
      <c r="P92" s="446">
        <v>15.0</v>
      </c>
      <c r="Q92" s="446">
        <v>2939.0</v>
      </c>
      <c r="R92" s="446" t="s">
        <v>614</v>
      </c>
      <c r="S92" s="446" t="s">
        <v>615</v>
      </c>
      <c r="T92" s="446" t="s">
        <v>476</v>
      </c>
    </row>
    <row r="93" ht="15.75" customHeight="1">
      <c r="A93" s="446" t="s">
        <v>616</v>
      </c>
      <c r="B93" s="446">
        <v>6.91575716E8</v>
      </c>
      <c r="C93" s="446" t="s">
        <v>606</v>
      </c>
      <c r="D93" s="446">
        <v>92.0</v>
      </c>
      <c r="E93" s="446" t="s">
        <v>578</v>
      </c>
      <c r="F93" s="446">
        <v>48.0</v>
      </c>
      <c r="G93" s="446">
        <v>4.9</v>
      </c>
      <c r="H93" s="446">
        <v>16.0</v>
      </c>
      <c r="I93" s="446">
        <v>360.0</v>
      </c>
      <c r="J93" s="446">
        <v>0.0</v>
      </c>
      <c r="K93" s="446">
        <v>19083.0</v>
      </c>
      <c r="L93" s="446">
        <v>3817.0</v>
      </c>
      <c r="M93" s="446">
        <v>27.0</v>
      </c>
      <c r="N93" s="446">
        <v>54.0</v>
      </c>
      <c r="O93" s="446">
        <v>184.0</v>
      </c>
      <c r="P93" s="446">
        <v>4587.0</v>
      </c>
      <c r="Q93" s="446">
        <v>27271.0</v>
      </c>
      <c r="R93" s="446" t="s">
        <v>617</v>
      </c>
      <c r="S93" s="446" t="s">
        <v>618</v>
      </c>
      <c r="T93" s="446" t="s">
        <v>531</v>
      </c>
    </row>
    <row r="94" ht="15.75" customHeight="1">
      <c r="A94" s="446" t="s">
        <v>619</v>
      </c>
      <c r="B94" s="446">
        <v>9.81129204E8</v>
      </c>
      <c r="C94" s="446" t="s">
        <v>471</v>
      </c>
      <c r="D94" s="446">
        <v>93.0</v>
      </c>
      <c r="E94" s="446" t="s">
        <v>620</v>
      </c>
      <c r="F94" s="446">
        <v>45.0</v>
      </c>
      <c r="G94" s="446">
        <v>5.0</v>
      </c>
      <c r="H94" s="446">
        <v>1.0</v>
      </c>
      <c r="I94" s="446">
        <v>166.0</v>
      </c>
      <c r="J94" s="446">
        <v>0.0</v>
      </c>
      <c r="K94" s="446">
        <v>0.0</v>
      </c>
      <c r="L94" s="446">
        <v>0.0</v>
      </c>
      <c r="M94" s="446" t="s">
        <v>473</v>
      </c>
      <c r="N94" s="446">
        <v>0.0</v>
      </c>
      <c r="O94" s="446">
        <v>48.0</v>
      </c>
      <c r="P94" s="446">
        <v>6.0</v>
      </c>
      <c r="Q94" s="446">
        <v>350.0</v>
      </c>
      <c r="R94" s="446" t="s">
        <v>621</v>
      </c>
      <c r="S94" s="446" t="s">
        <v>622</v>
      </c>
      <c r="T94" s="446" t="s">
        <v>531</v>
      </c>
    </row>
    <row r="95" ht="15.75" customHeight="1">
      <c r="A95" s="446" t="s">
        <v>623</v>
      </c>
      <c r="B95" s="446">
        <v>5.83529996E8</v>
      </c>
      <c r="C95" s="446" t="s">
        <v>624</v>
      </c>
      <c r="D95" s="446">
        <v>94.0</v>
      </c>
      <c r="E95" s="446" t="s">
        <v>620</v>
      </c>
      <c r="F95" s="446">
        <v>42.0</v>
      </c>
      <c r="G95" s="446">
        <v>4.7</v>
      </c>
      <c r="H95" s="446">
        <v>76.0</v>
      </c>
      <c r="I95" s="446">
        <v>163.0</v>
      </c>
      <c r="J95" s="446">
        <v>0.0</v>
      </c>
      <c r="K95" s="446">
        <v>12759.0</v>
      </c>
      <c r="L95" s="446">
        <v>911.0</v>
      </c>
      <c r="M95" s="446" t="s">
        <v>473</v>
      </c>
      <c r="N95" s="446">
        <v>49.0</v>
      </c>
      <c r="O95" s="446">
        <v>226.0</v>
      </c>
      <c r="P95" s="446">
        <v>35.0</v>
      </c>
      <c r="Q95" s="446">
        <v>638.0</v>
      </c>
      <c r="R95" s="446" t="s">
        <v>625</v>
      </c>
      <c r="S95" s="446" t="s">
        <v>625</v>
      </c>
      <c r="T95" s="446" t="s">
        <v>476</v>
      </c>
    </row>
    <row r="96" ht="15.75" customHeight="1">
      <c r="A96" s="446" t="s">
        <v>626</v>
      </c>
      <c r="B96" s="446">
        <v>7.53924522E8</v>
      </c>
      <c r="C96" s="446" t="s">
        <v>486</v>
      </c>
      <c r="D96" s="446">
        <v>95.0</v>
      </c>
      <c r="E96" s="446" t="s">
        <v>522</v>
      </c>
      <c r="F96" s="446">
        <v>30.0</v>
      </c>
      <c r="G96" s="446">
        <v>5.0</v>
      </c>
      <c r="H96" s="446">
        <v>11.0</v>
      </c>
      <c r="I96" s="446">
        <v>1812.0</v>
      </c>
      <c r="J96" s="446">
        <v>0.0</v>
      </c>
      <c r="K96" s="446">
        <v>64232.0</v>
      </c>
      <c r="L96" s="446">
        <v>16058.0</v>
      </c>
      <c r="M96" s="446">
        <v>12.0</v>
      </c>
      <c r="N96" s="446">
        <v>36.0</v>
      </c>
      <c r="O96" s="446">
        <v>114.0</v>
      </c>
      <c r="P96" s="446">
        <v>23.0</v>
      </c>
      <c r="Q96" s="446">
        <v>1099.0</v>
      </c>
      <c r="R96" s="446" t="s">
        <v>534</v>
      </c>
      <c r="S96" s="446" t="s">
        <v>475</v>
      </c>
      <c r="T96" s="446" t="s">
        <v>476</v>
      </c>
    </row>
    <row r="97" ht="15.75" customHeight="1">
      <c r="A97" s="446" t="s">
        <v>627</v>
      </c>
      <c r="B97" s="446">
        <v>2.13410093E8</v>
      </c>
      <c r="C97" s="446" t="s">
        <v>471</v>
      </c>
      <c r="D97" s="446">
        <v>96.0</v>
      </c>
      <c r="E97" s="446" t="s">
        <v>472</v>
      </c>
      <c r="F97" s="446">
        <v>25.0</v>
      </c>
      <c r="G97" s="446">
        <v>4.9</v>
      </c>
      <c r="H97" s="446">
        <v>1244.0</v>
      </c>
      <c r="I97" s="446">
        <v>2041.0</v>
      </c>
      <c r="J97" s="446">
        <v>0.0</v>
      </c>
      <c r="K97" s="446">
        <v>542945.0</v>
      </c>
      <c r="L97" s="446">
        <v>18722.0</v>
      </c>
      <c r="M97" s="446">
        <v>23.0</v>
      </c>
      <c r="N97" s="446">
        <v>272.0</v>
      </c>
      <c r="O97" s="446">
        <v>834.0</v>
      </c>
      <c r="P97" s="446">
        <v>175.0</v>
      </c>
      <c r="Q97" s="446">
        <v>3659.0</v>
      </c>
      <c r="R97" s="446" t="s">
        <v>479</v>
      </c>
      <c r="S97" s="446" t="s">
        <v>475</v>
      </c>
      <c r="T97" s="446" t="s">
        <v>476</v>
      </c>
    </row>
    <row r="98" ht="15.75" customHeight="1">
      <c r="A98" s="446" t="s">
        <v>628</v>
      </c>
      <c r="B98" s="446">
        <v>7.53911278E8</v>
      </c>
      <c r="C98" s="446" t="s">
        <v>471</v>
      </c>
      <c r="D98" s="446">
        <v>97.0</v>
      </c>
      <c r="E98" s="446" t="s">
        <v>522</v>
      </c>
      <c r="F98" s="446">
        <v>30.0</v>
      </c>
      <c r="G98" s="446">
        <v>5.0</v>
      </c>
      <c r="H98" s="446">
        <v>17.0</v>
      </c>
      <c r="I98" s="446">
        <v>1595.0</v>
      </c>
      <c r="J98" s="446">
        <v>0.0</v>
      </c>
      <c r="K98" s="446">
        <v>119033.0</v>
      </c>
      <c r="L98" s="446">
        <v>8502.0</v>
      </c>
      <c r="M98" s="446">
        <v>34.0</v>
      </c>
      <c r="N98" s="446">
        <v>74.0</v>
      </c>
      <c r="O98" s="446">
        <v>113.0</v>
      </c>
      <c r="P98" s="446">
        <v>60.0</v>
      </c>
      <c r="Q98" s="446">
        <v>2075.0</v>
      </c>
      <c r="R98" s="446" t="s">
        <v>534</v>
      </c>
      <c r="S98" s="446" t="s">
        <v>475</v>
      </c>
      <c r="T98" s="446" t="s">
        <v>476</v>
      </c>
    </row>
    <row r="99" ht="15.75" customHeight="1">
      <c r="A99" s="446" t="s">
        <v>629</v>
      </c>
      <c r="B99" s="446">
        <v>3.71872029E8</v>
      </c>
      <c r="C99" s="446" t="s">
        <v>493</v>
      </c>
      <c r="D99" s="446">
        <v>98.0</v>
      </c>
      <c r="E99" s="446" t="s">
        <v>478</v>
      </c>
      <c r="F99" s="446">
        <v>25.0</v>
      </c>
      <c r="G99" s="446">
        <v>4.9</v>
      </c>
      <c r="H99" s="446">
        <v>1306.0</v>
      </c>
      <c r="I99" s="446">
        <v>1500.0</v>
      </c>
      <c r="J99" s="446">
        <v>0.0</v>
      </c>
      <c r="K99" s="446">
        <v>314418.0</v>
      </c>
      <c r="L99" s="446">
        <v>22458.0</v>
      </c>
      <c r="M99" s="446" t="s">
        <v>473</v>
      </c>
      <c r="N99" s="446">
        <v>203.0</v>
      </c>
      <c r="O99" s="446">
        <v>440.0</v>
      </c>
      <c r="P99" s="446">
        <v>142.0</v>
      </c>
      <c r="Q99" s="446">
        <v>4020.0</v>
      </c>
      <c r="R99" s="446" t="s">
        <v>474</v>
      </c>
      <c r="S99" s="446" t="s">
        <v>630</v>
      </c>
      <c r="T99" s="446" t="s">
        <v>476</v>
      </c>
    </row>
    <row r="100" ht="15.75" customHeight="1">
      <c r="A100" s="446" t="s">
        <v>488</v>
      </c>
      <c r="B100" s="446">
        <v>3.0161555E8</v>
      </c>
      <c r="C100" s="446" t="s">
        <v>471</v>
      </c>
      <c r="D100" s="446">
        <v>99.0</v>
      </c>
      <c r="E100" s="446" t="s">
        <v>489</v>
      </c>
      <c r="F100" s="446">
        <v>52.0</v>
      </c>
      <c r="G100" s="446">
        <v>4.8</v>
      </c>
      <c r="H100" s="446">
        <v>82.0</v>
      </c>
      <c r="I100" s="446">
        <v>1621.0</v>
      </c>
      <c r="J100" s="446">
        <v>0.0</v>
      </c>
      <c r="K100" s="446">
        <v>37983.0</v>
      </c>
      <c r="L100" s="446">
        <v>2713.0</v>
      </c>
      <c r="M100" s="446">
        <v>4.0</v>
      </c>
      <c r="N100" s="446">
        <v>24.0</v>
      </c>
      <c r="O100" s="446">
        <v>544.0</v>
      </c>
      <c r="P100" s="446">
        <v>69.0</v>
      </c>
      <c r="Q100" s="446">
        <v>2005.0</v>
      </c>
      <c r="R100" s="446" t="s">
        <v>474</v>
      </c>
      <c r="S100" s="446" t="s">
        <v>475</v>
      </c>
      <c r="T100" s="446" t="s">
        <v>476</v>
      </c>
    </row>
    <row r="101" ht="15.75" customHeight="1">
      <c r="A101" s="446" t="s">
        <v>631</v>
      </c>
      <c r="B101" s="446">
        <v>5.83235919E8</v>
      </c>
      <c r="C101" s="446" t="s">
        <v>471</v>
      </c>
      <c r="D101" s="446">
        <v>100.0</v>
      </c>
      <c r="E101" s="446" t="s">
        <v>478</v>
      </c>
      <c r="F101" s="446">
        <v>25.0</v>
      </c>
      <c r="G101" s="446">
        <v>4.9</v>
      </c>
      <c r="H101" s="446">
        <v>176.0</v>
      </c>
      <c r="I101" s="446">
        <v>1949.0</v>
      </c>
      <c r="J101" s="446">
        <v>0.0</v>
      </c>
      <c r="K101" s="446">
        <v>101963.0</v>
      </c>
      <c r="L101" s="446">
        <v>3516.0</v>
      </c>
      <c r="M101" s="446" t="s">
        <v>473</v>
      </c>
      <c r="N101" s="446">
        <v>57.0</v>
      </c>
      <c r="O101" s="446">
        <v>204.0</v>
      </c>
      <c r="P101" s="446">
        <v>447.0</v>
      </c>
      <c r="Q101" s="446">
        <v>4486.0</v>
      </c>
      <c r="R101" s="446" t="s">
        <v>632</v>
      </c>
      <c r="S101" s="446" t="s">
        <v>633</v>
      </c>
      <c r="T101" s="446" t="s">
        <v>476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5" width="12.57"/>
    <col customWidth="1" min="6" max="6" width="34.0"/>
    <col customWidth="1" min="7" max="34" width="12.57"/>
  </cols>
  <sheetData>
    <row r="1" ht="15.75" customHeight="1">
      <c r="A1" s="447" t="s">
        <v>161</v>
      </c>
      <c r="B1" s="448" t="s">
        <v>634</v>
      </c>
      <c r="C1" s="448" t="s">
        <v>635</v>
      </c>
      <c r="D1" s="448" t="s">
        <v>636</v>
      </c>
      <c r="E1" s="448" t="s">
        <v>637</v>
      </c>
      <c r="F1" s="448" t="s">
        <v>638</v>
      </c>
      <c r="G1" s="448" t="s">
        <v>639</v>
      </c>
      <c r="H1" s="448" t="s">
        <v>640</v>
      </c>
      <c r="I1" s="448" t="s">
        <v>641</v>
      </c>
      <c r="J1" s="448" t="s">
        <v>642</v>
      </c>
      <c r="K1" s="448" t="s">
        <v>643</v>
      </c>
      <c r="L1" s="448" t="s">
        <v>644</v>
      </c>
      <c r="M1" s="448" t="s">
        <v>645</v>
      </c>
      <c r="N1" s="448" t="s">
        <v>646</v>
      </c>
      <c r="O1" s="448" t="s">
        <v>647</v>
      </c>
      <c r="P1" s="448" t="s">
        <v>648</v>
      </c>
      <c r="Q1" s="448" t="s">
        <v>649</v>
      </c>
      <c r="R1" s="448" t="s">
        <v>650</v>
      </c>
      <c r="S1" s="448" t="s">
        <v>651</v>
      </c>
      <c r="T1" s="448" t="s">
        <v>652</v>
      </c>
      <c r="U1" s="448" t="s">
        <v>653</v>
      </c>
      <c r="V1" s="448" t="s">
        <v>654</v>
      </c>
      <c r="W1" s="448" t="s">
        <v>655</v>
      </c>
      <c r="X1" s="448" t="s">
        <v>656</v>
      </c>
      <c r="Y1" s="448" t="s">
        <v>657</v>
      </c>
      <c r="Z1" s="448" t="s">
        <v>658</v>
      </c>
      <c r="AA1" s="448" t="s">
        <v>659</v>
      </c>
      <c r="AB1" s="448" t="s">
        <v>660</v>
      </c>
      <c r="AC1" s="448" t="s">
        <v>661</v>
      </c>
      <c r="AD1" s="448" t="s">
        <v>662</v>
      </c>
      <c r="AE1" s="448" t="s">
        <v>663</v>
      </c>
      <c r="AF1" s="448" t="s">
        <v>664</v>
      </c>
      <c r="AG1" s="448" t="s">
        <v>665</v>
      </c>
      <c r="AH1" s="449" t="s">
        <v>666</v>
      </c>
    </row>
    <row r="2" ht="15.75" customHeight="1">
      <c r="A2" s="450" t="s">
        <v>474</v>
      </c>
      <c r="B2" s="451"/>
      <c r="C2" s="450">
        <v>93.08</v>
      </c>
      <c r="D2" s="450">
        <v>47.71</v>
      </c>
      <c r="E2" s="450">
        <v>34.32</v>
      </c>
      <c r="F2" s="450" t="s">
        <v>667</v>
      </c>
      <c r="G2" s="450">
        <v>71.94</v>
      </c>
      <c r="H2" s="450">
        <v>3.1</v>
      </c>
      <c r="I2" s="450">
        <v>3.06</v>
      </c>
      <c r="J2" s="450">
        <v>98.96</v>
      </c>
      <c r="K2" s="450">
        <v>8.87</v>
      </c>
      <c r="L2" s="450">
        <v>7.87</v>
      </c>
      <c r="M2" s="450">
        <v>88.73</v>
      </c>
      <c r="N2" s="450">
        <v>51591.0</v>
      </c>
      <c r="O2" s="450">
        <v>-47.35</v>
      </c>
      <c r="P2" s="450">
        <v>1664.23</v>
      </c>
      <c r="Q2" s="450">
        <v>0.0</v>
      </c>
      <c r="R2" s="450" t="s">
        <v>668</v>
      </c>
      <c r="S2" s="450">
        <v>6.0853398E7</v>
      </c>
      <c r="T2" s="450">
        <v>-51.66</v>
      </c>
      <c r="U2" s="450">
        <v>1963012.9</v>
      </c>
      <c r="V2" s="450">
        <v>0.0</v>
      </c>
      <c r="W2" s="450" t="s">
        <v>669</v>
      </c>
      <c r="X2" s="450">
        <v>0.04</v>
      </c>
      <c r="Y2" s="450">
        <v>66.0</v>
      </c>
      <c r="Z2" s="450">
        <v>78919.89</v>
      </c>
      <c r="AA2" s="450">
        <v>19.06</v>
      </c>
      <c r="AB2" s="450">
        <v>13.9</v>
      </c>
      <c r="AC2" s="450">
        <v>72.93</v>
      </c>
      <c r="AD2" s="450">
        <v>1179.54</v>
      </c>
      <c r="AE2" s="450">
        <v>164.51</v>
      </c>
      <c r="AF2" s="450">
        <v>8.35</v>
      </c>
      <c r="AG2" s="450">
        <v>4.81</v>
      </c>
      <c r="AH2" s="450">
        <v>1.0</v>
      </c>
    </row>
    <row r="3" ht="15.75" customHeight="1">
      <c r="A3" s="452" t="s">
        <v>479</v>
      </c>
      <c r="B3" s="453"/>
      <c r="C3" s="452">
        <v>91.85</v>
      </c>
      <c r="D3" s="452">
        <v>107.71</v>
      </c>
      <c r="E3" s="452">
        <v>79.29</v>
      </c>
      <c r="F3" s="452" t="s">
        <v>670</v>
      </c>
      <c r="G3" s="452">
        <v>73.61</v>
      </c>
      <c r="H3" s="452">
        <v>3.32</v>
      </c>
      <c r="I3" s="452">
        <v>2.97</v>
      </c>
      <c r="J3" s="452">
        <v>89.32</v>
      </c>
      <c r="K3" s="452">
        <v>17.58</v>
      </c>
      <c r="L3" s="452">
        <v>15.16</v>
      </c>
      <c r="M3" s="452">
        <v>86.24</v>
      </c>
      <c r="N3" s="452">
        <v>72772.0</v>
      </c>
      <c r="O3" s="452">
        <v>-50.63</v>
      </c>
      <c r="P3" s="452">
        <v>2347.48</v>
      </c>
      <c r="Q3" s="452">
        <v>0.0</v>
      </c>
      <c r="R3" s="452" t="s">
        <v>671</v>
      </c>
      <c r="S3" s="452">
        <v>1.1446082E8</v>
      </c>
      <c r="T3" s="452">
        <v>-52.71</v>
      </c>
      <c r="U3" s="452">
        <v>3692284.5</v>
      </c>
      <c r="V3" s="452">
        <v>0.0</v>
      </c>
      <c r="W3" s="452" t="s">
        <v>672</v>
      </c>
      <c r="X3" s="452">
        <v>0.0</v>
      </c>
      <c r="Y3" s="452">
        <v>9.0</v>
      </c>
      <c r="Z3" s="452">
        <v>14985.61</v>
      </c>
      <c r="AA3" s="452">
        <v>19.77</v>
      </c>
      <c r="AB3" s="452">
        <v>14.1</v>
      </c>
      <c r="AC3" s="452">
        <v>71.29</v>
      </c>
      <c r="AD3" s="452">
        <v>1572.87</v>
      </c>
      <c r="AE3" s="452">
        <v>419.95</v>
      </c>
      <c r="AF3" s="452">
        <v>9.22</v>
      </c>
      <c r="AG3" s="452">
        <v>4.85</v>
      </c>
      <c r="AH3" s="452">
        <v>1.0</v>
      </c>
    </row>
    <row r="4" ht="15.75" customHeight="1">
      <c r="A4" s="452" t="s">
        <v>142</v>
      </c>
      <c r="B4" s="453"/>
      <c r="C4" s="452">
        <v>79.51</v>
      </c>
      <c r="D4" s="452">
        <v>42.94</v>
      </c>
      <c r="E4" s="452">
        <v>20.1</v>
      </c>
      <c r="F4" s="452" t="s">
        <v>673</v>
      </c>
      <c r="G4" s="452">
        <v>46.81</v>
      </c>
      <c r="H4" s="452">
        <v>0.0</v>
      </c>
      <c r="I4" s="452">
        <v>0.0</v>
      </c>
      <c r="J4" s="452">
        <v>0.0</v>
      </c>
      <c r="K4" s="452">
        <v>9.35</v>
      </c>
      <c r="L4" s="452">
        <v>6.81</v>
      </c>
      <c r="M4" s="452">
        <v>72.76</v>
      </c>
      <c r="N4" s="452">
        <v>3342.0</v>
      </c>
      <c r="O4" s="452">
        <v>-58.93</v>
      </c>
      <c r="P4" s="452">
        <v>107.81</v>
      </c>
      <c r="Q4" s="452">
        <v>0.0</v>
      </c>
      <c r="R4" s="452" t="s">
        <v>674</v>
      </c>
      <c r="S4" s="452">
        <v>5812620.0</v>
      </c>
      <c r="T4" s="452">
        <v>-63.78</v>
      </c>
      <c r="U4" s="452">
        <v>187503.88</v>
      </c>
      <c r="V4" s="452">
        <v>0.0</v>
      </c>
      <c r="W4" s="452" t="s">
        <v>675</v>
      </c>
      <c r="X4" s="452">
        <v>0.02</v>
      </c>
      <c r="Y4" s="452">
        <v>2.0</v>
      </c>
      <c r="Z4" s="452">
        <v>3869.47</v>
      </c>
      <c r="AA4" s="452">
        <v>16.16</v>
      </c>
      <c r="AB4" s="452">
        <v>7.58</v>
      </c>
      <c r="AC4" s="452">
        <v>46.91</v>
      </c>
      <c r="AD4" s="452">
        <v>1739.26</v>
      </c>
      <c r="AE4" s="452">
        <v>22.31</v>
      </c>
      <c r="AF4" s="452">
        <v>8.84</v>
      </c>
      <c r="AG4" s="452">
        <v>4.77</v>
      </c>
      <c r="AH4" s="452">
        <v>1.0</v>
      </c>
    </row>
    <row r="5" ht="15.75" customHeight="1">
      <c r="A5" s="453"/>
      <c r="B5" s="453"/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  <c r="N5" s="453"/>
      <c r="O5" s="453"/>
      <c r="P5" s="453"/>
      <c r="Q5" s="453"/>
      <c r="R5" s="453"/>
      <c r="S5" s="453"/>
      <c r="T5" s="453"/>
      <c r="U5" s="453"/>
      <c r="V5" s="453"/>
      <c r="W5" s="453"/>
      <c r="X5" s="453"/>
      <c r="Y5" s="453"/>
      <c r="Z5" s="453"/>
      <c r="AA5" s="453"/>
      <c r="AB5" s="453"/>
      <c r="AC5" s="453"/>
      <c r="AD5" s="453"/>
      <c r="AE5" s="453"/>
      <c r="AF5" s="453"/>
      <c r="AG5" s="453"/>
      <c r="AH5" s="453"/>
    </row>
    <row r="6" ht="15.75" customHeight="1">
      <c r="A6" s="453"/>
      <c r="B6" s="453"/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3"/>
      <c r="Q6" s="453"/>
      <c r="R6" s="453"/>
      <c r="S6" s="453"/>
      <c r="T6" s="453"/>
      <c r="U6" s="453"/>
      <c r="V6" s="453"/>
      <c r="W6" s="453"/>
      <c r="X6" s="453"/>
      <c r="Y6" s="453"/>
      <c r="Z6" s="453"/>
      <c r="AA6" s="453"/>
      <c r="AB6" s="453"/>
      <c r="AC6" s="453"/>
      <c r="AD6" s="453"/>
      <c r="AE6" s="453"/>
      <c r="AF6" s="453"/>
      <c r="AG6" s="453"/>
      <c r="AH6" s="453"/>
    </row>
    <row r="7" ht="15.75" customHeight="1">
      <c r="A7" s="453"/>
      <c r="B7" s="453"/>
      <c r="C7" s="453"/>
      <c r="D7" s="453"/>
      <c r="E7" s="453"/>
      <c r="F7" s="453"/>
      <c r="G7" s="453"/>
      <c r="H7" s="453"/>
      <c r="I7" s="453"/>
      <c r="J7" s="453"/>
      <c r="K7" s="453"/>
      <c r="L7" s="453"/>
      <c r="M7" s="453"/>
      <c r="N7" s="453"/>
      <c r="O7" s="453"/>
      <c r="P7" s="453"/>
      <c r="Q7" s="453"/>
      <c r="R7" s="453"/>
      <c r="S7" s="453"/>
      <c r="T7" s="453"/>
      <c r="U7" s="453"/>
      <c r="V7" s="453"/>
      <c r="W7" s="453"/>
      <c r="X7" s="453"/>
      <c r="Y7" s="453"/>
      <c r="Z7" s="453"/>
      <c r="AA7" s="453"/>
      <c r="AB7" s="453"/>
      <c r="AC7" s="453"/>
      <c r="AD7" s="453"/>
      <c r="AE7" s="453"/>
      <c r="AF7" s="453"/>
      <c r="AG7" s="453"/>
      <c r="AH7" s="453"/>
    </row>
    <row r="8" ht="15.75" customHeight="1">
      <c r="A8" s="453"/>
      <c r="B8" s="453"/>
      <c r="C8" s="453"/>
      <c r="D8" s="453"/>
      <c r="E8" s="453"/>
      <c r="F8" s="453"/>
      <c r="G8" s="453"/>
      <c r="H8" s="453"/>
      <c r="I8" s="453"/>
      <c r="J8" s="453"/>
      <c r="K8" s="453"/>
      <c r="L8" s="453"/>
      <c r="M8" s="453"/>
      <c r="N8" s="453"/>
      <c r="O8" s="453"/>
      <c r="P8" s="453"/>
      <c r="Q8" s="453"/>
      <c r="R8" s="453"/>
      <c r="S8" s="453"/>
      <c r="T8" s="453"/>
      <c r="U8" s="453"/>
      <c r="V8" s="453"/>
      <c r="W8" s="453"/>
      <c r="X8" s="453"/>
      <c r="Y8" s="453"/>
      <c r="Z8" s="453"/>
      <c r="AA8" s="453"/>
      <c r="AB8" s="453"/>
      <c r="AC8" s="453"/>
      <c r="AD8" s="453"/>
      <c r="AE8" s="453"/>
      <c r="AF8" s="453"/>
      <c r="AG8" s="453"/>
      <c r="AH8" s="453"/>
    </row>
    <row r="9" ht="15.75" customHeight="1">
      <c r="A9" s="453"/>
      <c r="B9" s="453"/>
      <c r="C9" s="453"/>
      <c r="D9" s="453"/>
      <c r="E9" s="453"/>
      <c r="F9" s="453"/>
      <c r="G9" s="453"/>
      <c r="H9" s="453"/>
      <c r="I9" s="453"/>
      <c r="J9" s="453"/>
      <c r="K9" s="453"/>
      <c r="L9" s="453"/>
      <c r="M9" s="453"/>
      <c r="N9" s="453"/>
      <c r="O9" s="453"/>
      <c r="P9" s="453"/>
      <c r="Q9" s="453"/>
      <c r="R9" s="453"/>
      <c r="S9" s="453"/>
      <c r="T9" s="453"/>
      <c r="U9" s="453"/>
      <c r="V9" s="453"/>
      <c r="W9" s="453"/>
      <c r="X9" s="453"/>
      <c r="Y9" s="453"/>
      <c r="Z9" s="453"/>
      <c r="AA9" s="453"/>
      <c r="AB9" s="453"/>
      <c r="AC9" s="453"/>
      <c r="AD9" s="453"/>
      <c r="AE9" s="453"/>
      <c r="AF9" s="453"/>
      <c r="AG9" s="453"/>
      <c r="AH9" s="453"/>
    </row>
    <row r="10" ht="15.75" customHeight="1">
      <c r="A10" s="453"/>
      <c r="B10" s="453"/>
      <c r="C10" s="453"/>
      <c r="D10" s="453"/>
      <c r="E10" s="453"/>
      <c r="F10" s="453"/>
      <c r="G10" s="453"/>
      <c r="H10" s="453"/>
      <c r="I10" s="453"/>
      <c r="J10" s="453"/>
      <c r="K10" s="453"/>
      <c r="L10" s="453"/>
      <c r="M10" s="453"/>
      <c r="N10" s="453"/>
      <c r="O10" s="453"/>
      <c r="P10" s="453"/>
      <c r="Q10" s="453"/>
      <c r="R10" s="453"/>
      <c r="S10" s="453"/>
      <c r="T10" s="453"/>
      <c r="U10" s="453"/>
      <c r="V10" s="453"/>
      <c r="W10" s="453"/>
      <c r="X10" s="453"/>
      <c r="Y10" s="453"/>
      <c r="Z10" s="453"/>
      <c r="AA10" s="453"/>
      <c r="AB10" s="453"/>
      <c r="AC10" s="453"/>
      <c r="AD10" s="453"/>
      <c r="AE10" s="453"/>
      <c r="AF10" s="453"/>
      <c r="AG10" s="453"/>
      <c r="AH10" s="453"/>
    </row>
    <row r="11" ht="15.75" customHeight="1">
      <c r="A11" s="440"/>
      <c r="B11" s="440"/>
      <c r="C11" s="440"/>
      <c r="D11" s="440"/>
      <c r="E11" s="440"/>
      <c r="F11" s="440"/>
      <c r="G11" s="440"/>
      <c r="H11" s="440"/>
      <c r="I11" s="440"/>
      <c r="J11" s="440"/>
      <c r="K11" s="440"/>
      <c r="L11" s="440"/>
      <c r="M11" s="440"/>
      <c r="N11" s="440"/>
      <c r="O11" s="440"/>
      <c r="P11" s="440"/>
      <c r="Q11" s="440"/>
      <c r="R11" s="440"/>
      <c r="S11" s="440"/>
      <c r="T11" s="440"/>
      <c r="U11" s="440"/>
      <c r="V11" s="440"/>
      <c r="W11" s="440"/>
      <c r="X11" s="440"/>
      <c r="Y11" s="440"/>
      <c r="Z11" s="440"/>
      <c r="AA11" s="440"/>
      <c r="AB11" s="440"/>
      <c r="AC11" s="440"/>
      <c r="AD11" s="440"/>
      <c r="AE11" s="440"/>
      <c r="AF11" s="440"/>
      <c r="AG11" s="440"/>
      <c r="AH11" s="440"/>
    </row>
    <row r="12" ht="15.75" customHeight="1">
      <c r="A12" s="440"/>
      <c r="B12" s="440"/>
      <c r="C12" s="440"/>
      <c r="D12" s="440"/>
      <c r="E12" s="440"/>
      <c r="F12" s="440"/>
      <c r="G12" s="440"/>
      <c r="H12" s="440"/>
      <c r="I12" s="440"/>
      <c r="J12" s="440"/>
      <c r="K12" s="440"/>
      <c r="L12" s="440"/>
      <c r="M12" s="440"/>
      <c r="N12" s="440"/>
      <c r="O12" s="440"/>
      <c r="P12" s="440"/>
      <c r="Q12" s="440"/>
      <c r="R12" s="440"/>
      <c r="S12" s="440"/>
      <c r="T12" s="440"/>
      <c r="U12" s="440"/>
      <c r="V12" s="440"/>
      <c r="W12" s="440"/>
      <c r="X12" s="440"/>
      <c r="Y12" s="440"/>
      <c r="Z12" s="440"/>
      <c r="AA12" s="440"/>
      <c r="AB12" s="440"/>
      <c r="AC12" s="440"/>
      <c r="AD12" s="440"/>
      <c r="AE12" s="440"/>
      <c r="AF12" s="440"/>
      <c r="AG12" s="440"/>
      <c r="AH12" s="440"/>
    </row>
    <row r="13" ht="15.75" customHeight="1">
      <c r="A13" s="440"/>
      <c r="B13" s="440"/>
      <c r="C13" s="440"/>
      <c r="D13" s="440"/>
      <c r="E13" s="440"/>
      <c r="F13" s="440"/>
      <c r="G13" s="440"/>
      <c r="H13" s="440"/>
      <c r="I13" s="440"/>
      <c r="J13" s="440"/>
      <c r="K13" s="440"/>
      <c r="L13" s="440"/>
      <c r="M13" s="440"/>
      <c r="N13" s="440"/>
      <c r="O13" s="440"/>
      <c r="P13" s="440"/>
      <c r="Q13" s="440"/>
      <c r="R13" s="440"/>
      <c r="S13" s="440"/>
      <c r="T13" s="440"/>
      <c r="U13" s="440"/>
      <c r="V13" s="440"/>
      <c r="W13" s="440"/>
      <c r="X13" s="440"/>
      <c r="Y13" s="440"/>
      <c r="Z13" s="440"/>
      <c r="AA13" s="440"/>
      <c r="AB13" s="440"/>
      <c r="AC13" s="440"/>
      <c r="AD13" s="440"/>
      <c r="AE13" s="440"/>
      <c r="AF13" s="440"/>
      <c r="AG13" s="440"/>
      <c r="AH13" s="440"/>
    </row>
    <row r="14" ht="15.75" customHeight="1">
      <c r="A14" s="440"/>
      <c r="B14" s="440"/>
      <c r="C14" s="440"/>
      <c r="D14" s="440"/>
      <c r="E14" s="440"/>
      <c r="F14" s="440"/>
      <c r="G14" s="440"/>
      <c r="H14" s="440"/>
      <c r="I14" s="440"/>
      <c r="J14" s="440"/>
      <c r="K14" s="440"/>
      <c r="L14" s="440"/>
      <c r="M14" s="440"/>
      <c r="N14" s="440"/>
      <c r="O14" s="440"/>
      <c r="P14" s="440"/>
      <c r="Q14" s="440"/>
      <c r="R14" s="440"/>
      <c r="S14" s="440"/>
      <c r="T14" s="440"/>
      <c r="U14" s="440"/>
      <c r="V14" s="440"/>
      <c r="W14" s="440"/>
      <c r="X14" s="440"/>
      <c r="Y14" s="440"/>
      <c r="Z14" s="440"/>
      <c r="AA14" s="440"/>
      <c r="AB14" s="440"/>
      <c r="AC14" s="440"/>
      <c r="AD14" s="440"/>
      <c r="AE14" s="440"/>
      <c r="AF14" s="440"/>
      <c r="AG14" s="440"/>
      <c r="AH14" s="440"/>
    </row>
    <row r="15" ht="15.75" customHeight="1">
      <c r="A15" s="440"/>
      <c r="B15" s="440"/>
      <c r="C15" s="440"/>
      <c r="D15" s="440"/>
      <c r="E15" s="440"/>
      <c r="F15" s="440"/>
      <c r="G15" s="440"/>
      <c r="H15" s="440"/>
      <c r="I15" s="440"/>
      <c r="J15" s="440"/>
      <c r="K15" s="440"/>
      <c r="L15" s="440"/>
      <c r="M15" s="440"/>
      <c r="N15" s="440"/>
      <c r="O15" s="440"/>
      <c r="P15" s="440"/>
      <c r="Q15" s="440"/>
      <c r="R15" s="440"/>
      <c r="S15" s="440"/>
      <c r="T15" s="440"/>
      <c r="U15" s="440"/>
      <c r="V15" s="440"/>
      <c r="W15" s="440"/>
      <c r="X15" s="440"/>
      <c r="Y15" s="440"/>
      <c r="Z15" s="440"/>
      <c r="AA15" s="440"/>
      <c r="AB15" s="440"/>
      <c r="AC15" s="440"/>
      <c r="AD15" s="440"/>
      <c r="AE15" s="440"/>
      <c r="AF15" s="440"/>
      <c r="AG15" s="440"/>
      <c r="AH15" s="440"/>
    </row>
    <row r="16" ht="15.75" customHeight="1">
      <c r="A16" s="440"/>
      <c r="B16" s="440"/>
      <c r="C16" s="440"/>
      <c r="D16" s="440"/>
      <c r="E16" s="440"/>
      <c r="F16" s="440"/>
      <c r="G16" s="440"/>
      <c r="H16" s="440"/>
      <c r="I16" s="440"/>
      <c r="J16" s="440"/>
      <c r="K16" s="440"/>
      <c r="L16" s="440"/>
      <c r="M16" s="440"/>
      <c r="N16" s="440"/>
      <c r="O16" s="440"/>
      <c r="P16" s="440"/>
      <c r="Q16" s="440"/>
      <c r="R16" s="440"/>
      <c r="S16" s="440"/>
      <c r="T16" s="440"/>
      <c r="U16" s="440"/>
      <c r="V16" s="440"/>
      <c r="W16" s="440"/>
      <c r="X16" s="440"/>
      <c r="Y16" s="440"/>
      <c r="Z16" s="440"/>
      <c r="AA16" s="440"/>
      <c r="AB16" s="440"/>
      <c r="AC16" s="440"/>
      <c r="AD16" s="440"/>
      <c r="AE16" s="440"/>
      <c r="AF16" s="440"/>
      <c r="AG16" s="440"/>
      <c r="AH16" s="440"/>
    </row>
    <row r="17" ht="15.75" customHeight="1">
      <c r="A17" s="440"/>
      <c r="B17" s="440"/>
      <c r="C17" s="440"/>
      <c r="D17" s="440"/>
      <c r="E17" s="440"/>
      <c r="F17" s="440"/>
      <c r="G17" s="440"/>
      <c r="H17" s="440"/>
      <c r="I17" s="440"/>
      <c r="J17" s="440"/>
      <c r="K17" s="440"/>
      <c r="L17" s="440"/>
      <c r="M17" s="440"/>
      <c r="N17" s="440"/>
      <c r="O17" s="440"/>
      <c r="P17" s="440"/>
      <c r="Q17" s="440"/>
      <c r="R17" s="440"/>
      <c r="S17" s="440"/>
      <c r="T17" s="440"/>
      <c r="U17" s="440"/>
      <c r="V17" s="440"/>
      <c r="W17" s="440"/>
      <c r="X17" s="440"/>
      <c r="Y17" s="440"/>
      <c r="Z17" s="440"/>
      <c r="AA17" s="440"/>
      <c r="AB17" s="440"/>
      <c r="AC17" s="440"/>
      <c r="AD17" s="440"/>
      <c r="AE17" s="440"/>
      <c r="AF17" s="440"/>
      <c r="AG17" s="440"/>
      <c r="AH17" s="440"/>
    </row>
    <row r="18" ht="15.75" customHeight="1">
      <c r="A18" s="440"/>
      <c r="B18" s="440"/>
      <c r="C18" s="440"/>
      <c r="D18" s="440"/>
      <c r="E18" s="440"/>
      <c r="F18" s="440"/>
      <c r="G18" s="440"/>
      <c r="H18" s="440"/>
      <c r="I18" s="440"/>
      <c r="J18" s="440"/>
      <c r="K18" s="440"/>
      <c r="L18" s="440"/>
      <c r="M18" s="440"/>
      <c r="N18" s="440"/>
      <c r="O18" s="440"/>
      <c r="P18" s="440"/>
      <c r="Q18" s="440"/>
      <c r="R18" s="440"/>
      <c r="S18" s="440"/>
      <c r="T18" s="440"/>
      <c r="U18" s="440"/>
      <c r="V18" s="440"/>
      <c r="W18" s="440"/>
      <c r="X18" s="440"/>
      <c r="Y18" s="440"/>
      <c r="Z18" s="440"/>
      <c r="AA18" s="440"/>
      <c r="AB18" s="440"/>
      <c r="AC18" s="440"/>
      <c r="AD18" s="440"/>
      <c r="AE18" s="440"/>
      <c r="AF18" s="440"/>
      <c r="AG18" s="440"/>
      <c r="AH18" s="440"/>
    </row>
    <row r="19" ht="15.75" customHeight="1">
      <c r="A19" s="440"/>
      <c r="B19" s="440"/>
      <c r="C19" s="440"/>
      <c r="D19" s="440"/>
      <c r="E19" s="440"/>
      <c r="F19" s="440"/>
      <c r="G19" s="440"/>
      <c r="H19" s="440"/>
      <c r="I19" s="440"/>
      <c r="J19" s="440"/>
      <c r="K19" s="440"/>
      <c r="L19" s="440"/>
      <c r="M19" s="440"/>
      <c r="N19" s="440"/>
      <c r="O19" s="440"/>
      <c r="P19" s="440"/>
      <c r="Q19" s="440"/>
      <c r="R19" s="440"/>
      <c r="S19" s="440"/>
      <c r="T19" s="440"/>
      <c r="U19" s="440"/>
      <c r="V19" s="440"/>
      <c r="W19" s="440"/>
      <c r="X19" s="440"/>
      <c r="Y19" s="440"/>
      <c r="Z19" s="440"/>
      <c r="AA19" s="440"/>
      <c r="AB19" s="440"/>
      <c r="AC19" s="440"/>
      <c r="AD19" s="440"/>
      <c r="AE19" s="440"/>
      <c r="AF19" s="440"/>
      <c r="AG19" s="440"/>
      <c r="AH19" s="440"/>
    </row>
    <row r="20" ht="15.75" customHeight="1">
      <c r="A20" s="440"/>
      <c r="B20" s="440"/>
      <c r="C20" s="440"/>
      <c r="D20" s="440"/>
      <c r="E20" s="440"/>
      <c r="F20" s="440"/>
      <c r="G20" s="440"/>
      <c r="H20" s="440"/>
      <c r="I20" s="440"/>
      <c r="J20" s="440"/>
      <c r="K20" s="440"/>
      <c r="L20" s="440"/>
      <c r="M20" s="440"/>
      <c r="N20" s="440"/>
      <c r="O20" s="440"/>
      <c r="P20" s="440"/>
      <c r="Q20" s="440"/>
      <c r="R20" s="440"/>
      <c r="S20" s="440"/>
      <c r="T20" s="440"/>
      <c r="U20" s="440"/>
      <c r="V20" s="440"/>
      <c r="W20" s="440"/>
      <c r="X20" s="440"/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</row>
    <row r="21" ht="15.75" customHeight="1">
      <c r="A21" s="440"/>
      <c r="B21" s="440"/>
      <c r="C21" s="440"/>
      <c r="D21" s="440"/>
      <c r="E21" s="440"/>
      <c r="F21" s="440"/>
      <c r="G21" s="440"/>
      <c r="H21" s="440"/>
      <c r="I21" s="440"/>
      <c r="J21" s="440"/>
      <c r="K21" s="440"/>
      <c r="L21" s="440"/>
      <c r="M21" s="440"/>
      <c r="N21" s="440"/>
      <c r="O21" s="440"/>
      <c r="P21" s="440"/>
      <c r="Q21" s="440"/>
      <c r="R21" s="440"/>
      <c r="S21" s="440"/>
      <c r="T21" s="440"/>
      <c r="U21" s="440"/>
      <c r="V21" s="440"/>
      <c r="W21" s="440"/>
      <c r="X21" s="440"/>
      <c r="Y21" s="440"/>
      <c r="Z21" s="440"/>
      <c r="AA21" s="440"/>
      <c r="AB21" s="440"/>
      <c r="AC21" s="440"/>
      <c r="AD21" s="440"/>
      <c r="AE21" s="440"/>
      <c r="AF21" s="440"/>
      <c r="AG21" s="440"/>
      <c r="AH21" s="440"/>
    </row>
    <row r="22" ht="15.75" customHeight="1">
      <c r="A22" s="440"/>
      <c r="B22" s="440"/>
      <c r="C22" s="440"/>
      <c r="D22" s="440"/>
      <c r="E22" s="440"/>
      <c r="F22" s="440"/>
      <c r="G22" s="440"/>
      <c r="H22" s="440"/>
      <c r="I22" s="440"/>
      <c r="J22" s="440"/>
      <c r="K22" s="440"/>
      <c r="L22" s="440"/>
      <c r="M22" s="440"/>
      <c r="N22" s="440"/>
      <c r="O22" s="440"/>
      <c r="P22" s="440"/>
      <c r="Q22" s="440"/>
      <c r="R22" s="440"/>
      <c r="S22" s="440"/>
      <c r="T22" s="440"/>
      <c r="U22" s="440"/>
      <c r="V22" s="440"/>
      <c r="W22" s="440"/>
      <c r="X22" s="440"/>
      <c r="Y22" s="440"/>
      <c r="Z22" s="440"/>
      <c r="AA22" s="440"/>
      <c r="AB22" s="440"/>
      <c r="AC22" s="440"/>
      <c r="AD22" s="440"/>
      <c r="AE22" s="440"/>
      <c r="AF22" s="440"/>
      <c r="AG22" s="440"/>
      <c r="AH22" s="440"/>
    </row>
    <row r="23" ht="15.75" customHeight="1">
      <c r="A23" s="440"/>
      <c r="B23" s="440"/>
      <c r="C23" s="440"/>
      <c r="D23" s="440"/>
      <c r="E23" s="440"/>
      <c r="F23" s="440"/>
      <c r="G23" s="440"/>
      <c r="H23" s="440"/>
      <c r="I23" s="440"/>
      <c r="J23" s="440"/>
      <c r="K23" s="440"/>
      <c r="L23" s="440"/>
      <c r="M23" s="440"/>
      <c r="N23" s="440"/>
      <c r="O23" s="440"/>
      <c r="P23" s="440"/>
      <c r="Q23" s="440"/>
      <c r="R23" s="440"/>
      <c r="S23" s="440"/>
      <c r="T23" s="440"/>
      <c r="U23" s="440"/>
      <c r="V23" s="440"/>
      <c r="W23" s="440"/>
      <c r="X23" s="440"/>
      <c r="Y23" s="440"/>
      <c r="Z23" s="440"/>
      <c r="AA23" s="440"/>
      <c r="AB23" s="440"/>
      <c r="AC23" s="440"/>
      <c r="AD23" s="440"/>
      <c r="AE23" s="440"/>
      <c r="AF23" s="440"/>
      <c r="AG23" s="440"/>
      <c r="AH23" s="440"/>
    </row>
    <row r="24" ht="15.75" customHeight="1">
      <c r="A24" s="440"/>
      <c r="B24" s="440"/>
      <c r="C24" s="440"/>
      <c r="D24" s="440"/>
      <c r="E24" s="440"/>
      <c r="F24" s="440"/>
      <c r="G24" s="440"/>
      <c r="H24" s="440"/>
      <c r="I24" s="440"/>
      <c r="J24" s="440"/>
      <c r="K24" s="440"/>
      <c r="L24" s="440"/>
      <c r="M24" s="440"/>
      <c r="N24" s="440"/>
      <c r="O24" s="440"/>
      <c r="P24" s="440"/>
      <c r="Q24" s="440"/>
      <c r="R24" s="440"/>
      <c r="S24" s="440"/>
      <c r="T24" s="440"/>
      <c r="U24" s="440"/>
      <c r="V24" s="440"/>
      <c r="W24" s="440"/>
      <c r="X24" s="440"/>
      <c r="Y24" s="440"/>
      <c r="Z24" s="440"/>
      <c r="AA24" s="440"/>
      <c r="AB24" s="440"/>
      <c r="AC24" s="440"/>
      <c r="AD24" s="440"/>
      <c r="AE24" s="440"/>
      <c r="AF24" s="440"/>
      <c r="AG24" s="440"/>
      <c r="AH24" s="440"/>
    </row>
    <row r="25" ht="15.75" customHeight="1">
      <c r="A25" s="440"/>
      <c r="B25" s="440"/>
      <c r="C25" s="440"/>
      <c r="D25" s="440"/>
      <c r="E25" s="440"/>
      <c r="F25" s="440"/>
      <c r="G25" s="440"/>
      <c r="H25" s="440"/>
      <c r="I25" s="440"/>
      <c r="J25" s="440"/>
      <c r="K25" s="440"/>
      <c r="L25" s="440"/>
      <c r="M25" s="440"/>
      <c r="N25" s="440"/>
      <c r="O25" s="440"/>
      <c r="P25" s="440"/>
      <c r="Q25" s="440"/>
      <c r="R25" s="440"/>
      <c r="S25" s="440"/>
      <c r="T25" s="440"/>
      <c r="U25" s="440"/>
      <c r="V25" s="440"/>
      <c r="W25" s="440"/>
      <c r="X25" s="440"/>
      <c r="Y25" s="440"/>
      <c r="Z25" s="440"/>
      <c r="AA25" s="440"/>
      <c r="AB25" s="440"/>
      <c r="AC25" s="440"/>
      <c r="AD25" s="440"/>
      <c r="AE25" s="440"/>
      <c r="AF25" s="440"/>
      <c r="AG25" s="440"/>
      <c r="AH25" s="440"/>
    </row>
    <row r="26" ht="15.75" customHeight="1">
      <c r="A26" s="440"/>
      <c r="B26" s="440"/>
      <c r="C26" s="440"/>
      <c r="D26" s="440"/>
      <c r="E26" s="440"/>
      <c r="F26" s="440"/>
      <c r="G26" s="440"/>
      <c r="H26" s="440"/>
      <c r="I26" s="440"/>
      <c r="J26" s="440"/>
      <c r="K26" s="440"/>
      <c r="L26" s="440"/>
      <c r="M26" s="440"/>
      <c r="N26" s="440"/>
      <c r="O26" s="440"/>
      <c r="P26" s="440"/>
      <c r="Q26" s="440"/>
      <c r="R26" s="440"/>
      <c r="S26" s="440"/>
      <c r="T26" s="440"/>
      <c r="U26" s="440"/>
      <c r="V26" s="440"/>
      <c r="W26" s="440"/>
      <c r="X26" s="440"/>
      <c r="Y26" s="440"/>
      <c r="Z26" s="440"/>
      <c r="AA26" s="440"/>
      <c r="AB26" s="440"/>
      <c r="AC26" s="440"/>
      <c r="AD26" s="440"/>
      <c r="AE26" s="440"/>
      <c r="AF26" s="440"/>
      <c r="AG26" s="440"/>
      <c r="AH26" s="440"/>
    </row>
    <row r="27" ht="15.75" customHeight="1">
      <c r="A27" s="440"/>
      <c r="B27" s="440"/>
      <c r="C27" s="440"/>
      <c r="D27" s="440"/>
      <c r="E27" s="440"/>
      <c r="F27" s="440"/>
      <c r="G27" s="440"/>
      <c r="H27" s="440"/>
      <c r="I27" s="440"/>
      <c r="J27" s="440"/>
      <c r="K27" s="440"/>
      <c r="L27" s="440"/>
      <c r="M27" s="440"/>
      <c r="N27" s="440"/>
      <c r="O27" s="440"/>
      <c r="P27" s="440"/>
      <c r="Q27" s="440"/>
      <c r="R27" s="440"/>
      <c r="S27" s="440"/>
      <c r="T27" s="440"/>
      <c r="U27" s="440"/>
      <c r="V27" s="440"/>
      <c r="W27" s="440"/>
      <c r="X27" s="440"/>
      <c r="Y27" s="440"/>
      <c r="Z27" s="440"/>
      <c r="AA27" s="440"/>
      <c r="AB27" s="440"/>
      <c r="AC27" s="440"/>
      <c r="AD27" s="440"/>
      <c r="AE27" s="440"/>
      <c r="AF27" s="440"/>
      <c r="AG27" s="440"/>
      <c r="AH27" s="440"/>
    </row>
    <row r="28" ht="15.75" customHeight="1">
      <c r="A28" s="440"/>
      <c r="B28" s="440"/>
      <c r="C28" s="440"/>
      <c r="D28" s="440"/>
      <c r="E28" s="440"/>
      <c r="F28" s="440"/>
      <c r="G28" s="440"/>
      <c r="H28" s="440"/>
      <c r="I28" s="440"/>
      <c r="J28" s="440"/>
      <c r="K28" s="440"/>
      <c r="L28" s="440"/>
      <c r="M28" s="440"/>
      <c r="N28" s="440"/>
      <c r="O28" s="440"/>
      <c r="P28" s="440"/>
      <c r="Q28" s="440"/>
      <c r="R28" s="440"/>
      <c r="S28" s="440"/>
      <c r="T28" s="440"/>
      <c r="U28" s="440"/>
      <c r="V28" s="440"/>
      <c r="W28" s="440"/>
      <c r="X28" s="440"/>
      <c r="Y28" s="440"/>
      <c r="Z28" s="440"/>
      <c r="AA28" s="440"/>
      <c r="AB28" s="440"/>
      <c r="AC28" s="440"/>
      <c r="AD28" s="440"/>
      <c r="AE28" s="440"/>
      <c r="AF28" s="440"/>
      <c r="AG28" s="440"/>
      <c r="AH28" s="440"/>
    </row>
    <row r="29" ht="15.75" customHeight="1">
      <c r="A29" s="440"/>
      <c r="B29" s="440"/>
      <c r="C29" s="440"/>
      <c r="D29" s="440"/>
      <c r="E29" s="440"/>
      <c r="F29" s="440"/>
      <c r="G29" s="440"/>
      <c r="H29" s="440"/>
      <c r="I29" s="440"/>
      <c r="J29" s="440"/>
      <c r="K29" s="440"/>
      <c r="L29" s="440"/>
      <c r="M29" s="440"/>
      <c r="N29" s="440"/>
      <c r="O29" s="440"/>
      <c r="P29" s="440"/>
      <c r="Q29" s="440"/>
      <c r="R29" s="440"/>
      <c r="S29" s="440"/>
      <c r="T29" s="440"/>
      <c r="U29" s="440"/>
      <c r="V29" s="440"/>
      <c r="W29" s="440"/>
      <c r="X29" s="440"/>
      <c r="Y29" s="440"/>
      <c r="Z29" s="440"/>
      <c r="AA29" s="440"/>
      <c r="AB29" s="440"/>
      <c r="AC29" s="440"/>
      <c r="AD29" s="440"/>
      <c r="AE29" s="440"/>
      <c r="AF29" s="440"/>
      <c r="AG29" s="440"/>
      <c r="AH29" s="440"/>
    </row>
    <row r="30" ht="15.75" customHeight="1">
      <c r="A30" s="440"/>
      <c r="B30" s="440"/>
      <c r="C30" s="440"/>
      <c r="D30" s="440"/>
      <c r="E30" s="440"/>
      <c r="F30" s="440"/>
      <c r="G30" s="440"/>
      <c r="H30" s="440"/>
      <c r="I30" s="440"/>
      <c r="J30" s="440"/>
      <c r="K30" s="440"/>
      <c r="L30" s="440"/>
      <c r="M30" s="440"/>
      <c r="N30" s="440"/>
      <c r="O30" s="440"/>
      <c r="P30" s="440"/>
      <c r="Q30" s="440"/>
      <c r="R30" s="440"/>
      <c r="S30" s="440"/>
      <c r="T30" s="440"/>
      <c r="U30" s="440"/>
      <c r="V30" s="440"/>
      <c r="W30" s="440"/>
      <c r="X30" s="440"/>
      <c r="Y30" s="440"/>
      <c r="Z30" s="440"/>
      <c r="AA30" s="440"/>
      <c r="AB30" s="440"/>
      <c r="AC30" s="440"/>
      <c r="AD30" s="440"/>
      <c r="AE30" s="440"/>
      <c r="AF30" s="440"/>
      <c r="AG30" s="440"/>
      <c r="AH30" s="440"/>
    </row>
    <row r="31" ht="15.75" customHeight="1">
      <c r="A31" s="440"/>
      <c r="B31" s="440"/>
      <c r="C31" s="440"/>
      <c r="D31" s="440"/>
      <c r="E31" s="440"/>
      <c r="F31" s="440"/>
      <c r="G31" s="440"/>
      <c r="H31" s="440"/>
      <c r="I31" s="440"/>
      <c r="J31" s="440"/>
      <c r="K31" s="440"/>
      <c r="L31" s="440"/>
      <c r="M31" s="440"/>
      <c r="N31" s="440"/>
      <c r="O31" s="440"/>
      <c r="P31" s="440"/>
      <c r="Q31" s="440"/>
      <c r="R31" s="440"/>
      <c r="S31" s="440"/>
      <c r="T31" s="440"/>
      <c r="U31" s="440"/>
      <c r="V31" s="440"/>
      <c r="W31" s="440"/>
      <c r="X31" s="440"/>
      <c r="Y31" s="440"/>
      <c r="Z31" s="440"/>
      <c r="AA31" s="440"/>
      <c r="AB31" s="440"/>
      <c r="AC31" s="440"/>
      <c r="AD31" s="440"/>
      <c r="AE31" s="440"/>
      <c r="AF31" s="440"/>
      <c r="AG31" s="440"/>
      <c r="AH31" s="440"/>
    </row>
    <row r="32" ht="15.75" customHeight="1">
      <c r="A32" s="440"/>
      <c r="B32" s="440"/>
      <c r="C32" s="440"/>
      <c r="D32" s="440"/>
      <c r="E32" s="440"/>
      <c r="F32" s="440"/>
      <c r="G32" s="440"/>
      <c r="H32" s="440"/>
      <c r="I32" s="440"/>
      <c r="J32" s="440"/>
      <c r="K32" s="440"/>
      <c r="L32" s="440"/>
      <c r="M32" s="440"/>
      <c r="N32" s="440"/>
      <c r="O32" s="440"/>
      <c r="P32" s="440"/>
      <c r="Q32" s="440"/>
      <c r="R32" s="440"/>
      <c r="S32" s="440"/>
      <c r="T32" s="440"/>
      <c r="U32" s="440"/>
      <c r="V32" s="440"/>
      <c r="W32" s="440"/>
      <c r="X32" s="440"/>
      <c r="Y32" s="440"/>
      <c r="Z32" s="440"/>
      <c r="AA32" s="440"/>
      <c r="AB32" s="440"/>
      <c r="AC32" s="440"/>
      <c r="AD32" s="440"/>
      <c r="AE32" s="440"/>
      <c r="AF32" s="440"/>
      <c r="AG32" s="440"/>
      <c r="AH32" s="440"/>
    </row>
    <row r="33" ht="15.75" customHeight="1">
      <c r="A33" s="440"/>
      <c r="B33" s="440"/>
      <c r="C33" s="440"/>
      <c r="D33" s="440"/>
      <c r="E33" s="440"/>
      <c r="F33" s="440"/>
      <c r="G33" s="440"/>
      <c r="H33" s="440"/>
      <c r="I33" s="440"/>
      <c r="J33" s="440"/>
      <c r="K33" s="440"/>
      <c r="L33" s="440"/>
      <c r="M33" s="440"/>
      <c r="N33" s="440"/>
      <c r="O33" s="440"/>
      <c r="P33" s="440"/>
      <c r="Q33" s="440"/>
      <c r="R33" s="440"/>
      <c r="S33" s="440"/>
      <c r="T33" s="440"/>
      <c r="U33" s="440"/>
      <c r="V33" s="440"/>
      <c r="W33" s="440"/>
      <c r="X33" s="440"/>
      <c r="Y33" s="440"/>
      <c r="Z33" s="440"/>
      <c r="AA33" s="440"/>
      <c r="AB33" s="440"/>
      <c r="AC33" s="440"/>
      <c r="AD33" s="440"/>
      <c r="AE33" s="440"/>
      <c r="AF33" s="440"/>
      <c r="AG33" s="440"/>
      <c r="AH33" s="440"/>
    </row>
    <row r="34" ht="15.75" customHeight="1">
      <c r="A34" s="440"/>
      <c r="B34" s="440"/>
      <c r="C34" s="440"/>
      <c r="D34" s="440"/>
      <c r="E34" s="440"/>
      <c r="F34" s="440"/>
      <c r="G34" s="440"/>
      <c r="H34" s="440"/>
      <c r="I34" s="440"/>
      <c r="J34" s="440"/>
      <c r="K34" s="440"/>
      <c r="L34" s="440"/>
      <c r="M34" s="440"/>
      <c r="N34" s="440"/>
      <c r="O34" s="440"/>
      <c r="P34" s="440"/>
      <c r="Q34" s="440"/>
      <c r="R34" s="440"/>
      <c r="S34" s="440"/>
      <c r="T34" s="440"/>
      <c r="U34" s="440"/>
      <c r="V34" s="440"/>
      <c r="W34" s="440"/>
      <c r="X34" s="440"/>
      <c r="Y34" s="440"/>
      <c r="Z34" s="440"/>
      <c r="AA34" s="440"/>
      <c r="AB34" s="440"/>
      <c r="AC34" s="440"/>
      <c r="AD34" s="440"/>
      <c r="AE34" s="440"/>
      <c r="AF34" s="440"/>
      <c r="AG34" s="440"/>
      <c r="AH34" s="440"/>
    </row>
    <row r="35" ht="15.75" customHeight="1">
      <c r="A35" s="440"/>
      <c r="B35" s="440"/>
      <c r="C35" s="440"/>
      <c r="D35" s="440"/>
      <c r="E35" s="440"/>
      <c r="F35" s="440"/>
      <c r="G35" s="440"/>
      <c r="H35" s="440"/>
      <c r="I35" s="440"/>
      <c r="J35" s="440"/>
      <c r="K35" s="440"/>
      <c r="L35" s="440"/>
      <c r="M35" s="440"/>
      <c r="N35" s="440"/>
      <c r="O35" s="440"/>
      <c r="P35" s="440"/>
      <c r="Q35" s="440"/>
      <c r="R35" s="440"/>
      <c r="S35" s="440"/>
      <c r="T35" s="440"/>
      <c r="U35" s="440"/>
      <c r="V35" s="440"/>
      <c r="W35" s="440"/>
      <c r="X35" s="440"/>
      <c r="Y35" s="440"/>
      <c r="Z35" s="440"/>
      <c r="AA35" s="440"/>
      <c r="AB35" s="440"/>
      <c r="AC35" s="440"/>
      <c r="AD35" s="440"/>
      <c r="AE35" s="440"/>
      <c r="AF35" s="440"/>
      <c r="AG35" s="440"/>
      <c r="AH35" s="440"/>
    </row>
    <row r="36" ht="15.75" customHeight="1">
      <c r="A36" s="440"/>
      <c r="B36" s="440"/>
      <c r="C36" s="440"/>
      <c r="D36" s="440"/>
      <c r="E36" s="440"/>
      <c r="F36" s="440"/>
      <c r="G36" s="440"/>
      <c r="H36" s="440"/>
      <c r="I36" s="440"/>
      <c r="J36" s="440"/>
      <c r="K36" s="440"/>
      <c r="L36" s="440"/>
      <c r="M36" s="440"/>
      <c r="N36" s="440"/>
      <c r="O36" s="440"/>
      <c r="P36" s="440"/>
      <c r="Q36" s="440"/>
      <c r="R36" s="440"/>
      <c r="S36" s="440"/>
      <c r="T36" s="440"/>
      <c r="U36" s="440"/>
      <c r="V36" s="440"/>
      <c r="W36" s="440"/>
      <c r="X36" s="440"/>
      <c r="Y36" s="440"/>
      <c r="Z36" s="440"/>
      <c r="AA36" s="440"/>
      <c r="AB36" s="440"/>
      <c r="AC36" s="440"/>
      <c r="AD36" s="440"/>
      <c r="AE36" s="440"/>
      <c r="AF36" s="440"/>
      <c r="AG36" s="440"/>
      <c r="AH36" s="440"/>
    </row>
    <row r="37" ht="15.75" customHeight="1">
      <c r="A37" s="440"/>
      <c r="B37" s="440"/>
      <c r="C37" s="440"/>
      <c r="D37" s="440"/>
      <c r="E37" s="440"/>
      <c r="F37" s="440"/>
      <c r="G37" s="440"/>
      <c r="H37" s="440"/>
      <c r="I37" s="440"/>
      <c r="J37" s="440"/>
      <c r="K37" s="440"/>
      <c r="L37" s="440"/>
      <c r="M37" s="440"/>
      <c r="N37" s="440"/>
      <c r="O37" s="440"/>
      <c r="P37" s="440"/>
      <c r="Q37" s="440"/>
      <c r="R37" s="440"/>
      <c r="S37" s="440"/>
      <c r="T37" s="440"/>
      <c r="U37" s="440"/>
      <c r="V37" s="440"/>
      <c r="W37" s="440"/>
      <c r="X37" s="440"/>
      <c r="Y37" s="440"/>
      <c r="Z37" s="440"/>
      <c r="AA37" s="440"/>
      <c r="AB37" s="440"/>
      <c r="AC37" s="440"/>
      <c r="AD37" s="440"/>
      <c r="AE37" s="440"/>
      <c r="AF37" s="440"/>
      <c r="AG37" s="440"/>
      <c r="AH37" s="440"/>
    </row>
    <row r="38" ht="15.75" customHeight="1">
      <c r="A38" s="440"/>
      <c r="B38" s="440"/>
      <c r="C38" s="440"/>
      <c r="D38" s="440"/>
      <c r="E38" s="440"/>
      <c r="F38" s="440"/>
      <c r="G38" s="440"/>
      <c r="H38" s="440"/>
      <c r="I38" s="440"/>
      <c r="J38" s="440"/>
      <c r="K38" s="440"/>
      <c r="L38" s="440"/>
      <c r="M38" s="440"/>
      <c r="N38" s="440"/>
      <c r="O38" s="440"/>
      <c r="P38" s="440"/>
      <c r="Q38" s="440"/>
      <c r="R38" s="440"/>
      <c r="S38" s="440"/>
      <c r="T38" s="440"/>
      <c r="U38" s="440"/>
      <c r="V38" s="440"/>
      <c r="W38" s="440"/>
      <c r="X38" s="440"/>
      <c r="Y38" s="440"/>
      <c r="Z38" s="440"/>
      <c r="AA38" s="440"/>
      <c r="AB38" s="440"/>
      <c r="AC38" s="440"/>
      <c r="AD38" s="440"/>
      <c r="AE38" s="440"/>
      <c r="AF38" s="440"/>
      <c r="AG38" s="440"/>
      <c r="AH38" s="440"/>
    </row>
    <row r="39" ht="15.75" customHeight="1">
      <c r="A39" s="440"/>
      <c r="B39" s="440"/>
      <c r="C39" s="440"/>
      <c r="D39" s="440"/>
      <c r="E39" s="440"/>
      <c r="F39" s="440"/>
      <c r="G39" s="440"/>
      <c r="H39" s="440"/>
      <c r="I39" s="440"/>
      <c r="J39" s="440"/>
      <c r="K39" s="440"/>
      <c r="L39" s="440"/>
      <c r="M39" s="440"/>
      <c r="N39" s="440"/>
      <c r="O39" s="440"/>
      <c r="P39" s="440"/>
      <c r="Q39" s="440"/>
      <c r="R39" s="440"/>
      <c r="S39" s="440"/>
      <c r="T39" s="440"/>
      <c r="U39" s="440"/>
      <c r="V39" s="440"/>
      <c r="W39" s="440"/>
      <c r="X39" s="440"/>
      <c r="Y39" s="440"/>
      <c r="Z39" s="440"/>
      <c r="AA39" s="440"/>
      <c r="AB39" s="440"/>
      <c r="AC39" s="440"/>
      <c r="AD39" s="440"/>
      <c r="AE39" s="440"/>
      <c r="AF39" s="440"/>
      <c r="AG39" s="440"/>
      <c r="AH39" s="440"/>
    </row>
    <row r="40" ht="15.75" customHeight="1">
      <c r="A40" s="440"/>
      <c r="B40" s="440"/>
      <c r="C40" s="440"/>
      <c r="D40" s="440"/>
      <c r="E40" s="440"/>
      <c r="F40" s="440"/>
      <c r="G40" s="440"/>
      <c r="H40" s="440"/>
      <c r="I40" s="440"/>
      <c r="J40" s="440"/>
      <c r="K40" s="440"/>
      <c r="L40" s="440"/>
      <c r="M40" s="440"/>
      <c r="N40" s="440"/>
      <c r="O40" s="440"/>
      <c r="P40" s="440"/>
      <c r="Q40" s="440"/>
      <c r="R40" s="440"/>
      <c r="S40" s="440"/>
      <c r="T40" s="440"/>
      <c r="U40" s="440"/>
      <c r="V40" s="440"/>
      <c r="W40" s="440"/>
      <c r="X40" s="440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</row>
    <row r="41" ht="15.75" customHeight="1">
      <c r="A41" s="440"/>
      <c r="B41" s="440"/>
      <c r="C41" s="440"/>
      <c r="D41" s="440"/>
      <c r="E41" s="440"/>
      <c r="F41" s="440"/>
      <c r="G41" s="440"/>
      <c r="H41" s="440"/>
      <c r="I41" s="440"/>
      <c r="J41" s="440"/>
      <c r="K41" s="440"/>
      <c r="L41" s="440"/>
      <c r="M41" s="440"/>
      <c r="N41" s="440"/>
      <c r="O41" s="440"/>
      <c r="P41" s="440"/>
      <c r="Q41" s="440"/>
      <c r="R41" s="440"/>
      <c r="S41" s="440"/>
      <c r="T41" s="440"/>
      <c r="U41" s="440"/>
      <c r="V41" s="440"/>
      <c r="W41" s="440"/>
      <c r="X41" s="440"/>
      <c r="Y41" s="440"/>
      <c r="Z41" s="440"/>
      <c r="AA41" s="440"/>
      <c r="AB41" s="440"/>
      <c r="AC41" s="440"/>
      <c r="AD41" s="440"/>
      <c r="AE41" s="440"/>
      <c r="AF41" s="440"/>
      <c r="AG41" s="440"/>
      <c r="AH41" s="440"/>
    </row>
    <row r="42" ht="15.75" customHeight="1">
      <c r="A42" s="440"/>
      <c r="B42" s="440"/>
      <c r="C42" s="440"/>
      <c r="D42" s="440"/>
      <c r="E42" s="440"/>
      <c r="F42" s="440"/>
      <c r="G42" s="440"/>
      <c r="H42" s="440"/>
      <c r="I42" s="440"/>
      <c r="J42" s="440"/>
      <c r="K42" s="440"/>
      <c r="L42" s="440"/>
      <c r="M42" s="440"/>
      <c r="N42" s="440"/>
      <c r="O42" s="440"/>
      <c r="P42" s="440"/>
      <c r="Q42" s="440"/>
      <c r="R42" s="440"/>
      <c r="S42" s="440"/>
      <c r="T42" s="440"/>
      <c r="U42" s="440"/>
      <c r="V42" s="440"/>
      <c r="W42" s="440"/>
      <c r="X42" s="440"/>
      <c r="Y42" s="440"/>
      <c r="Z42" s="440"/>
      <c r="AA42" s="440"/>
      <c r="AB42" s="440"/>
      <c r="AC42" s="440"/>
      <c r="AD42" s="440"/>
      <c r="AE42" s="440"/>
      <c r="AF42" s="440"/>
      <c r="AG42" s="440"/>
      <c r="AH42" s="440"/>
    </row>
    <row r="43" ht="15.75" customHeight="1">
      <c r="A43" s="440"/>
      <c r="B43" s="440"/>
      <c r="C43" s="440"/>
      <c r="D43" s="440"/>
      <c r="E43" s="440"/>
      <c r="F43" s="440"/>
      <c r="G43" s="440"/>
      <c r="H43" s="440"/>
      <c r="I43" s="440"/>
      <c r="J43" s="440"/>
      <c r="K43" s="440"/>
      <c r="L43" s="440"/>
      <c r="M43" s="440"/>
      <c r="N43" s="440"/>
      <c r="O43" s="440"/>
      <c r="P43" s="440"/>
      <c r="Q43" s="440"/>
      <c r="R43" s="440"/>
      <c r="S43" s="440"/>
      <c r="T43" s="440"/>
      <c r="U43" s="440"/>
      <c r="V43" s="440"/>
      <c r="W43" s="440"/>
      <c r="X43" s="440"/>
      <c r="Y43" s="440"/>
      <c r="Z43" s="440"/>
      <c r="AA43" s="440"/>
      <c r="AB43" s="440"/>
      <c r="AC43" s="440"/>
      <c r="AD43" s="440"/>
      <c r="AE43" s="440"/>
      <c r="AF43" s="440"/>
      <c r="AG43" s="440"/>
      <c r="AH43" s="440"/>
    </row>
    <row r="44" ht="15.75" customHeight="1">
      <c r="A44" s="440"/>
      <c r="B44" s="440"/>
      <c r="C44" s="440"/>
      <c r="D44" s="440"/>
      <c r="E44" s="440"/>
      <c r="F44" s="440"/>
      <c r="G44" s="440"/>
      <c r="H44" s="440"/>
      <c r="I44" s="440"/>
      <c r="J44" s="440"/>
      <c r="K44" s="440"/>
      <c r="L44" s="440"/>
      <c r="M44" s="440"/>
      <c r="N44" s="440"/>
      <c r="O44" s="440"/>
      <c r="P44" s="440"/>
      <c r="Q44" s="440"/>
      <c r="R44" s="440"/>
      <c r="S44" s="440"/>
      <c r="T44" s="440"/>
      <c r="U44" s="440"/>
      <c r="V44" s="440"/>
      <c r="W44" s="440"/>
      <c r="X44" s="440"/>
      <c r="Y44" s="440"/>
      <c r="Z44" s="440"/>
      <c r="AA44" s="440"/>
      <c r="AB44" s="440"/>
      <c r="AC44" s="440"/>
      <c r="AD44" s="440"/>
      <c r="AE44" s="440"/>
      <c r="AF44" s="440"/>
      <c r="AG44" s="440"/>
      <c r="AH44" s="440"/>
    </row>
    <row r="45" ht="15.75" customHeight="1">
      <c r="A45" s="440"/>
      <c r="B45" s="440"/>
      <c r="C45" s="440"/>
      <c r="D45" s="440"/>
      <c r="E45" s="440"/>
      <c r="F45" s="440"/>
      <c r="G45" s="440"/>
      <c r="H45" s="440"/>
      <c r="I45" s="440"/>
      <c r="J45" s="440"/>
      <c r="K45" s="440"/>
      <c r="L45" s="440"/>
      <c r="M45" s="440"/>
      <c r="N45" s="440"/>
      <c r="O45" s="440"/>
      <c r="P45" s="440"/>
      <c r="Q45" s="440"/>
      <c r="R45" s="440"/>
      <c r="S45" s="440"/>
      <c r="T45" s="440"/>
      <c r="U45" s="440"/>
      <c r="V45" s="440"/>
      <c r="W45" s="440"/>
      <c r="X45" s="440"/>
      <c r="Y45" s="440"/>
      <c r="Z45" s="440"/>
      <c r="AA45" s="440"/>
      <c r="AB45" s="440"/>
      <c r="AC45" s="440"/>
      <c r="AD45" s="440"/>
      <c r="AE45" s="440"/>
      <c r="AF45" s="440"/>
      <c r="AG45" s="440"/>
      <c r="AH45" s="440"/>
    </row>
    <row r="46" ht="15.75" customHeight="1">
      <c r="A46" s="440"/>
      <c r="B46" s="440"/>
      <c r="C46" s="440"/>
      <c r="D46" s="440"/>
      <c r="E46" s="440"/>
      <c r="F46" s="440"/>
      <c r="G46" s="440"/>
      <c r="H46" s="440"/>
      <c r="I46" s="440"/>
      <c r="J46" s="440"/>
      <c r="K46" s="440"/>
      <c r="L46" s="440"/>
      <c r="M46" s="440"/>
      <c r="N46" s="440"/>
      <c r="O46" s="440"/>
      <c r="P46" s="440"/>
      <c r="Q46" s="440"/>
      <c r="R46" s="440"/>
      <c r="S46" s="440"/>
      <c r="T46" s="440"/>
      <c r="U46" s="440"/>
      <c r="V46" s="440"/>
      <c r="W46" s="440"/>
      <c r="X46" s="440"/>
      <c r="Y46" s="440"/>
      <c r="Z46" s="440"/>
      <c r="AA46" s="440"/>
      <c r="AB46" s="440"/>
      <c r="AC46" s="440"/>
      <c r="AD46" s="440"/>
      <c r="AE46" s="440"/>
      <c r="AF46" s="440"/>
      <c r="AG46" s="440"/>
      <c r="AH46" s="440"/>
    </row>
    <row r="47" ht="15.75" customHeight="1">
      <c r="A47" s="440"/>
      <c r="B47" s="440"/>
      <c r="C47" s="440"/>
      <c r="D47" s="440"/>
      <c r="E47" s="440"/>
      <c r="F47" s="440"/>
      <c r="G47" s="440"/>
      <c r="H47" s="440"/>
      <c r="I47" s="440"/>
      <c r="J47" s="440"/>
      <c r="K47" s="440"/>
      <c r="L47" s="440"/>
      <c r="M47" s="440"/>
      <c r="N47" s="440"/>
      <c r="O47" s="440"/>
      <c r="P47" s="440"/>
      <c r="Q47" s="440"/>
      <c r="R47" s="440"/>
      <c r="S47" s="440"/>
      <c r="T47" s="440"/>
      <c r="U47" s="440"/>
      <c r="V47" s="440"/>
      <c r="W47" s="440"/>
      <c r="X47" s="440"/>
      <c r="Y47" s="440"/>
      <c r="Z47" s="440"/>
      <c r="AA47" s="440"/>
      <c r="AB47" s="440"/>
      <c r="AC47" s="440"/>
      <c r="AD47" s="440"/>
      <c r="AE47" s="440"/>
      <c r="AF47" s="440"/>
      <c r="AG47" s="440"/>
      <c r="AH47" s="440"/>
    </row>
    <row r="48" ht="15.75" customHeight="1">
      <c r="A48" s="440"/>
      <c r="B48" s="440"/>
      <c r="C48" s="440"/>
      <c r="D48" s="440"/>
      <c r="E48" s="440"/>
      <c r="F48" s="440"/>
      <c r="G48" s="440"/>
      <c r="H48" s="440"/>
      <c r="I48" s="440"/>
      <c r="J48" s="440"/>
      <c r="K48" s="440"/>
      <c r="L48" s="440"/>
      <c r="M48" s="440"/>
      <c r="N48" s="440"/>
      <c r="O48" s="440"/>
      <c r="P48" s="440"/>
      <c r="Q48" s="440"/>
      <c r="R48" s="440"/>
      <c r="S48" s="440"/>
      <c r="T48" s="440"/>
      <c r="U48" s="440"/>
      <c r="V48" s="440"/>
      <c r="W48" s="440"/>
      <c r="X48" s="440"/>
      <c r="Y48" s="440"/>
      <c r="Z48" s="440"/>
      <c r="AA48" s="440"/>
      <c r="AB48" s="440"/>
      <c r="AC48" s="440"/>
      <c r="AD48" s="440"/>
      <c r="AE48" s="440"/>
      <c r="AF48" s="440"/>
      <c r="AG48" s="440"/>
      <c r="AH48" s="440"/>
    </row>
    <row r="49" ht="15.75" customHeight="1">
      <c r="A49" s="440"/>
      <c r="B49" s="440"/>
      <c r="C49" s="440"/>
      <c r="D49" s="440"/>
      <c r="E49" s="440"/>
      <c r="F49" s="440"/>
      <c r="G49" s="440"/>
      <c r="H49" s="440"/>
      <c r="I49" s="440"/>
      <c r="J49" s="440"/>
      <c r="K49" s="440"/>
      <c r="L49" s="440"/>
      <c r="M49" s="440"/>
      <c r="N49" s="440"/>
      <c r="O49" s="440"/>
      <c r="P49" s="440"/>
      <c r="Q49" s="440"/>
      <c r="R49" s="440"/>
      <c r="S49" s="440"/>
      <c r="T49" s="440"/>
      <c r="U49" s="440"/>
      <c r="V49" s="440"/>
      <c r="W49" s="440"/>
      <c r="X49" s="440"/>
      <c r="Y49" s="440"/>
      <c r="Z49" s="440"/>
      <c r="AA49" s="440"/>
      <c r="AB49" s="440"/>
      <c r="AC49" s="440"/>
      <c r="AD49" s="440"/>
      <c r="AE49" s="440"/>
      <c r="AF49" s="440"/>
      <c r="AG49" s="440"/>
      <c r="AH49" s="440"/>
    </row>
    <row r="50" ht="15.75" customHeight="1">
      <c r="A50" s="440"/>
      <c r="B50" s="440"/>
      <c r="C50" s="440"/>
      <c r="D50" s="440"/>
      <c r="E50" s="440"/>
      <c r="F50" s="440"/>
      <c r="G50" s="440"/>
      <c r="H50" s="440"/>
      <c r="I50" s="440"/>
      <c r="J50" s="440"/>
      <c r="K50" s="440"/>
      <c r="L50" s="440"/>
      <c r="M50" s="440"/>
      <c r="N50" s="440"/>
      <c r="O50" s="440"/>
      <c r="P50" s="440"/>
      <c r="Q50" s="440"/>
      <c r="R50" s="440"/>
      <c r="S50" s="440"/>
      <c r="T50" s="440"/>
      <c r="U50" s="440"/>
      <c r="V50" s="440"/>
      <c r="W50" s="440"/>
      <c r="X50" s="440"/>
      <c r="Y50" s="440"/>
      <c r="Z50" s="440"/>
      <c r="AA50" s="440"/>
      <c r="AB50" s="440"/>
      <c r="AC50" s="440"/>
      <c r="AD50" s="440"/>
      <c r="AE50" s="440"/>
      <c r="AF50" s="440"/>
      <c r="AG50" s="440"/>
      <c r="AH50" s="440"/>
    </row>
    <row r="51" ht="15.75" customHeight="1">
      <c r="A51" s="440"/>
      <c r="B51" s="440"/>
      <c r="C51" s="440"/>
      <c r="D51" s="440"/>
      <c r="E51" s="440"/>
      <c r="F51" s="440"/>
      <c r="G51" s="440"/>
      <c r="H51" s="440"/>
      <c r="I51" s="440"/>
      <c r="J51" s="440"/>
      <c r="K51" s="440"/>
      <c r="L51" s="440"/>
      <c r="M51" s="440"/>
      <c r="N51" s="440"/>
      <c r="O51" s="440"/>
      <c r="P51" s="440"/>
      <c r="Q51" s="440"/>
      <c r="R51" s="440"/>
      <c r="S51" s="440"/>
      <c r="T51" s="440"/>
      <c r="U51" s="440"/>
      <c r="V51" s="440"/>
      <c r="W51" s="440"/>
      <c r="X51" s="440"/>
      <c r="Y51" s="440"/>
      <c r="Z51" s="440"/>
      <c r="AA51" s="440"/>
      <c r="AB51" s="440"/>
      <c r="AC51" s="440"/>
      <c r="AD51" s="440"/>
      <c r="AE51" s="440"/>
      <c r="AF51" s="440"/>
      <c r="AG51" s="440"/>
      <c r="AH51" s="440"/>
    </row>
    <row r="52" ht="15.75" customHeight="1">
      <c r="A52" s="440"/>
      <c r="B52" s="440"/>
      <c r="C52" s="440"/>
      <c r="D52" s="440"/>
      <c r="E52" s="440"/>
      <c r="F52" s="440"/>
      <c r="G52" s="440"/>
      <c r="H52" s="440"/>
      <c r="I52" s="440"/>
      <c r="J52" s="440"/>
      <c r="K52" s="440"/>
      <c r="L52" s="440"/>
      <c r="M52" s="440"/>
      <c r="N52" s="440"/>
      <c r="O52" s="440"/>
      <c r="P52" s="440"/>
      <c r="Q52" s="440"/>
      <c r="R52" s="440"/>
      <c r="S52" s="440"/>
      <c r="T52" s="440"/>
      <c r="U52" s="440"/>
      <c r="V52" s="440"/>
      <c r="W52" s="440"/>
      <c r="X52" s="440"/>
      <c r="Y52" s="440"/>
      <c r="Z52" s="440"/>
      <c r="AA52" s="440"/>
      <c r="AB52" s="440"/>
      <c r="AC52" s="440"/>
      <c r="AD52" s="440"/>
      <c r="AE52" s="440"/>
      <c r="AF52" s="440"/>
      <c r="AG52" s="440"/>
      <c r="AH52" s="440"/>
    </row>
    <row r="53" ht="15.75" customHeight="1">
      <c r="A53" s="440"/>
      <c r="B53" s="440"/>
      <c r="C53" s="440"/>
      <c r="D53" s="440"/>
      <c r="E53" s="440"/>
      <c r="F53" s="440"/>
      <c r="G53" s="440"/>
      <c r="H53" s="440"/>
      <c r="I53" s="440"/>
      <c r="J53" s="440"/>
      <c r="K53" s="440"/>
      <c r="L53" s="440"/>
      <c r="M53" s="440"/>
      <c r="N53" s="440"/>
      <c r="O53" s="440"/>
      <c r="P53" s="440"/>
      <c r="Q53" s="440"/>
      <c r="R53" s="440"/>
      <c r="S53" s="440"/>
      <c r="T53" s="440"/>
      <c r="U53" s="440"/>
      <c r="V53" s="440"/>
      <c r="W53" s="440"/>
      <c r="X53" s="440"/>
      <c r="Y53" s="440"/>
      <c r="Z53" s="440"/>
      <c r="AA53" s="440"/>
      <c r="AB53" s="440"/>
      <c r="AC53" s="440"/>
      <c r="AD53" s="440"/>
      <c r="AE53" s="440"/>
      <c r="AF53" s="440"/>
      <c r="AG53" s="440"/>
      <c r="AH53" s="440"/>
    </row>
    <row r="54" ht="15.75" customHeight="1">
      <c r="A54" s="440"/>
      <c r="B54" s="440"/>
      <c r="C54" s="440"/>
      <c r="D54" s="440"/>
      <c r="E54" s="440"/>
      <c r="F54" s="440"/>
      <c r="G54" s="440"/>
      <c r="H54" s="440"/>
      <c r="I54" s="440"/>
      <c r="J54" s="440"/>
      <c r="K54" s="440"/>
      <c r="L54" s="440"/>
      <c r="M54" s="440"/>
      <c r="N54" s="440"/>
      <c r="O54" s="440"/>
      <c r="P54" s="440"/>
      <c r="Q54" s="440"/>
      <c r="R54" s="440"/>
      <c r="S54" s="440"/>
      <c r="T54" s="440"/>
      <c r="U54" s="440"/>
      <c r="V54" s="440"/>
      <c r="W54" s="440"/>
      <c r="X54" s="440"/>
      <c r="Y54" s="440"/>
      <c r="Z54" s="440"/>
      <c r="AA54" s="440"/>
      <c r="AB54" s="440"/>
      <c r="AC54" s="440"/>
      <c r="AD54" s="440"/>
      <c r="AE54" s="440"/>
      <c r="AF54" s="440"/>
      <c r="AG54" s="440"/>
      <c r="AH54" s="440"/>
    </row>
    <row r="55" ht="15.75" customHeight="1">
      <c r="A55" s="440"/>
      <c r="B55" s="440"/>
      <c r="C55" s="440"/>
      <c r="D55" s="440"/>
      <c r="E55" s="440"/>
      <c r="F55" s="440"/>
      <c r="G55" s="440"/>
      <c r="H55" s="440"/>
      <c r="I55" s="440"/>
      <c r="J55" s="440"/>
      <c r="K55" s="440"/>
      <c r="L55" s="440"/>
      <c r="M55" s="440"/>
      <c r="N55" s="440"/>
      <c r="O55" s="440"/>
      <c r="P55" s="440"/>
      <c r="Q55" s="440"/>
      <c r="R55" s="440"/>
      <c r="S55" s="440"/>
      <c r="T55" s="440"/>
      <c r="U55" s="440"/>
      <c r="V55" s="440"/>
      <c r="W55" s="440"/>
      <c r="X55" s="440"/>
      <c r="Y55" s="440"/>
      <c r="Z55" s="440"/>
      <c r="AA55" s="440"/>
      <c r="AB55" s="440"/>
      <c r="AC55" s="440"/>
      <c r="AD55" s="440"/>
      <c r="AE55" s="440"/>
      <c r="AF55" s="440"/>
      <c r="AG55" s="440"/>
      <c r="AH55" s="440"/>
    </row>
    <row r="56" ht="15.75" customHeight="1">
      <c r="A56" s="440"/>
      <c r="B56" s="440"/>
      <c r="C56" s="440"/>
      <c r="D56" s="440"/>
      <c r="E56" s="440"/>
      <c r="F56" s="440"/>
      <c r="G56" s="440"/>
      <c r="H56" s="440"/>
      <c r="I56" s="440"/>
      <c r="J56" s="440"/>
      <c r="K56" s="440"/>
      <c r="L56" s="440"/>
      <c r="M56" s="440"/>
      <c r="N56" s="440"/>
      <c r="O56" s="440"/>
      <c r="P56" s="440"/>
      <c r="Q56" s="440"/>
      <c r="R56" s="440"/>
      <c r="S56" s="440"/>
      <c r="T56" s="440"/>
      <c r="U56" s="440"/>
      <c r="V56" s="440"/>
      <c r="W56" s="440"/>
      <c r="X56" s="440"/>
      <c r="Y56" s="440"/>
      <c r="Z56" s="440"/>
      <c r="AA56" s="440"/>
      <c r="AB56" s="440"/>
      <c r="AC56" s="440"/>
      <c r="AD56" s="440"/>
      <c r="AE56" s="440"/>
      <c r="AF56" s="440"/>
      <c r="AG56" s="440"/>
      <c r="AH56" s="440"/>
    </row>
    <row r="57" ht="15.75" customHeight="1">
      <c r="A57" s="440"/>
      <c r="B57" s="440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  <c r="N57" s="440"/>
      <c r="O57" s="440"/>
      <c r="P57" s="440"/>
      <c r="Q57" s="440"/>
      <c r="R57" s="440"/>
      <c r="S57" s="440"/>
      <c r="T57" s="440"/>
      <c r="U57" s="440"/>
      <c r="V57" s="440"/>
      <c r="W57" s="440"/>
      <c r="X57" s="440"/>
      <c r="Y57" s="440"/>
      <c r="Z57" s="440"/>
      <c r="AA57" s="440"/>
      <c r="AB57" s="440"/>
      <c r="AC57" s="440"/>
      <c r="AD57" s="440"/>
      <c r="AE57" s="440"/>
      <c r="AF57" s="440"/>
      <c r="AG57" s="440"/>
      <c r="AH57" s="440"/>
    </row>
    <row r="58" ht="15.75" customHeight="1">
      <c r="A58" s="440"/>
      <c r="B58" s="440"/>
      <c r="C58" s="440"/>
      <c r="D58" s="440"/>
      <c r="E58" s="440"/>
      <c r="F58" s="440"/>
      <c r="G58" s="440"/>
      <c r="H58" s="440"/>
      <c r="I58" s="440"/>
      <c r="J58" s="440"/>
      <c r="K58" s="440"/>
      <c r="L58" s="440"/>
      <c r="M58" s="440"/>
      <c r="N58" s="440"/>
      <c r="O58" s="440"/>
      <c r="P58" s="440"/>
      <c r="Q58" s="440"/>
      <c r="R58" s="440"/>
      <c r="S58" s="440"/>
      <c r="T58" s="440"/>
      <c r="U58" s="440"/>
      <c r="V58" s="440"/>
      <c r="W58" s="440"/>
      <c r="X58" s="440"/>
      <c r="Y58" s="440"/>
      <c r="Z58" s="440"/>
      <c r="AA58" s="440"/>
      <c r="AB58" s="440"/>
      <c r="AC58" s="440"/>
      <c r="AD58" s="440"/>
      <c r="AE58" s="440"/>
      <c r="AF58" s="440"/>
      <c r="AG58" s="440"/>
      <c r="AH58" s="440"/>
    </row>
    <row r="59" ht="15.75" customHeight="1">
      <c r="A59" s="440"/>
      <c r="B59" s="440"/>
      <c r="C59" s="440"/>
      <c r="D59" s="440"/>
      <c r="E59" s="440"/>
      <c r="F59" s="440"/>
      <c r="G59" s="440"/>
      <c r="H59" s="440"/>
      <c r="I59" s="440"/>
      <c r="J59" s="440"/>
      <c r="K59" s="440"/>
      <c r="L59" s="440"/>
      <c r="M59" s="440"/>
      <c r="N59" s="440"/>
      <c r="O59" s="440"/>
      <c r="P59" s="440"/>
      <c r="Q59" s="440"/>
      <c r="R59" s="440"/>
      <c r="S59" s="440"/>
      <c r="T59" s="440"/>
      <c r="U59" s="440"/>
      <c r="V59" s="440"/>
      <c r="W59" s="440"/>
      <c r="X59" s="440"/>
      <c r="Y59" s="440"/>
      <c r="Z59" s="440"/>
      <c r="AA59" s="440"/>
      <c r="AB59" s="440"/>
      <c r="AC59" s="440"/>
      <c r="AD59" s="440"/>
      <c r="AE59" s="440"/>
      <c r="AF59" s="440"/>
      <c r="AG59" s="440"/>
      <c r="AH59" s="440"/>
    </row>
    <row r="60" ht="15.75" customHeight="1">
      <c r="A60" s="440"/>
      <c r="B60" s="440"/>
      <c r="C60" s="440"/>
      <c r="D60" s="440"/>
      <c r="E60" s="440"/>
      <c r="F60" s="440"/>
      <c r="G60" s="440"/>
      <c r="H60" s="440"/>
      <c r="I60" s="440"/>
      <c r="J60" s="440"/>
      <c r="K60" s="440"/>
      <c r="L60" s="440"/>
      <c r="M60" s="440"/>
      <c r="N60" s="440"/>
      <c r="O60" s="440"/>
      <c r="P60" s="440"/>
      <c r="Q60" s="440"/>
      <c r="R60" s="440"/>
      <c r="S60" s="440"/>
      <c r="T60" s="440"/>
      <c r="U60" s="440"/>
      <c r="V60" s="440"/>
      <c r="W60" s="440"/>
      <c r="X60" s="440"/>
      <c r="Y60" s="440"/>
      <c r="Z60" s="440"/>
      <c r="AA60" s="440"/>
      <c r="AB60" s="440"/>
      <c r="AC60" s="440"/>
      <c r="AD60" s="440"/>
      <c r="AE60" s="440"/>
      <c r="AF60" s="440"/>
      <c r="AG60" s="440"/>
      <c r="AH60" s="440"/>
    </row>
    <row r="61" ht="15.75" customHeight="1">
      <c r="A61" s="440"/>
      <c r="B61" s="440"/>
      <c r="C61" s="440"/>
      <c r="D61" s="440"/>
      <c r="E61" s="440"/>
      <c r="F61" s="440"/>
      <c r="G61" s="440"/>
      <c r="H61" s="440"/>
      <c r="I61" s="440"/>
      <c r="J61" s="440"/>
      <c r="K61" s="440"/>
      <c r="L61" s="440"/>
      <c r="M61" s="440"/>
      <c r="N61" s="440"/>
      <c r="O61" s="440"/>
      <c r="P61" s="440"/>
      <c r="Q61" s="440"/>
      <c r="R61" s="440"/>
      <c r="S61" s="440"/>
      <c r="T61" s="440"/>
      <c r="U61" s="440"/>
      <c r="V61" s="440"/>
      <c r="W61" s="440"/>
      <c r="X61" s="440"/>
      <c r="Y61" s="440"/>
      <c r="Z61" s="440"/>
      <c r="AA61" s="440"/>
      <c r="AB61" s="440"/>
      <c r="AC61" s="440"/>
      <c r="AD61" s="440"/>
      <c r="AE61" s="440"/>
      <c r="AF61" s="440"/>
      <c r="AG61" s="440"/>
      <c r="AH61" s="440"/>
    </row>
    <row r="62" ht="15.75" customHeight="1">
      <c r="A62" s="440"/>
      <c r="B62" s="440"/>
      <c r="C62" s="440"/>
      <c r="D62" s="440"/>
      <c r="E62" s="440"/>
      <c r="F62" s="440"/>
      <c r="G62" s="440"/>
      <c r="H62" s="440"/>
      <c r="I62" s="440"/>
      <c r="J62" s="440"/>
      <c r="K62" s="440"/>
      <c r="L62" s="440"/>
      <c r="M62" s="440"/>
      <c r="N62" s="440"/>
      <c r="O62" s="440"/>
      <c r="P62" s="440"/>
      <c r="Q62" s="440"/>
      <c r="R62" s="440"/>
      <c r="S62" s="440"/>
      <c r="T62" s="440"/>
      <c r="U62" s="440"/>
      <c r="V62" s="440"/>
      <c r="W62" s="440"/>
      <c r="X62" s="440"/>
      <c r="Y62" s="440"/>
      <c r="Z62" s="440"/>
      <c r="AA62" s="440"/>
      <c r="AB62" s="440"/>
      <c r="AC62" s="440"/>
      <c r="AD62" s="440"/>
      <c r="AE62" s="440"/>
      <c r="AF62" s="440"/>
      <c r="AG62" s="440"/>
      <c r="AH62" s="440"/>
    </row>
    <row r="63" ht="15.75" customHeight="1">
      <c r="A63" s="440"/>
      <c r="B63" s="440"/>
      <c r="C63" s="440"/>
      <c r="D63" s="440"/>
      <c r="E63" s="440"/>
      <c r="F63" s="440"/>
      <c r="G63" s="440"/>
      <c r="H63" s="440"/>
      <c r="I63" s="440"/>
      <c r="J63" s="440"/>
      <c r="K63" s="440"/>
      <c r="L63" s="440"/>
      <c r="M63" s="440"/>
      <c r="N63" s="440"/>
      <c r="O63" s="440"/>
      <c r="P63" s="440"/>
      <c r="Q63" s="440"/>
      <c r="R63" s="440"/>
      <c r="S63" s="440"/>
      <c r="T63" s="440"/>
      <c r="U63" s="440"/>
      <c r="V63" s="440"/>
      <c r="W63" s="440"/>
      <c r="X63" s="440"/>
      <c r="Y63" s="440"/>
      <c r="Z63" s="440"/>
      <c r="AA63" s="440"/>
      <c r="AB63" s="440"/>
      <c r="AC63" s="440"/>
      <c r="AD63" s="440"/>
      <c r="AE63" s="440"/>
      <c r="AF63" s="440"/>
      <c r="AG63" s="440"/>
      <c r="AH63" s="440"/>
    </row>
    <row r="64" ht="15.75" customHeight="1">
      <c r="A64" s="440"/>
      <c r="B64" s="440"/>
      <c r="C64" s="440"/>
      <c r="D64" s="440"/>
      <c r="E64" s="440"/>
      <c r="F64" s="440"/>
      <c r="G64" s="440"/>
      <c r="H64" s="440"/>
      <c r="I64" s="440"/>
      <c r="J64" s="440"/>
      <c r="K64" s="440"/>
      <c r="L64" s="440"/>
      <c r="M64" s="440"/>
      <c r="N64" s="440"/>
      <c r="O64" s="440"/>
      <c r="P64" s="440"/>
      <c r="Q64" s="440"/>
      <c r="R64" s="440"/>
      <c r="S64" s="440"/>
      <c r="T64" s="440"/>
      <c r="U64" s="440"/>
      <c r="V64" s="440"/>
      <c r="W64" s="440"/>
      <c r="X64" s="440"/>
      <c r="Y64" s="440"/>
      <c r="Z64" s="440"/>
      <c r="AA64" s="440"/>
      <c r="AB64" s="440"/>
      <c r="AC64" s="440"/>
      <c r="AD64" s="440"/>
      <c r="AE64" s="440"/>
      <c r="AF64" s="440"/>
      <c r="AG64" s="440"/>
      <c r="AH64" s="440"/>
    </row>
    <row r="65" ht="15.75" customHeight="1">
      <c r="A65" s="440"/>
      <c r="B65" s="440"/>
      <c r="C65" s="440"/>
      <c r="D65" s="440"/>
      <c r="E65" s="440"/>
      <c r="F65" s="440"/>
      <c r="G65" s="440"/>
      <c r="H65" s="440"/>
      <c r="I65" s="440"/>
      <c r="J65" s="440"/>
      <c r="K65" s="440"/>
      <c r="L65" s="440"/>
      <c r="M65" s="440"/>
      <c r="N65" s="440"/>
      <c r="O65" s="440"/>
      <c r="P65" s="440"/>
      <c r="Q65" s="440"/>
      <c r="R65" s="440"/>
      <c r="S65" s="440"/>
      <c r="T65" s="440"/>
      <c r="U65" s="440"/>
      <c r="V65" s="440"/>
      <c r="W65" s="440"/>
      <c r="X65" s="440"/>
      <c r="Y65" s="440"/>
      <c r="Z65" s="440"/>
      <c r="AA65" s="440"/>
      <c r="AB65" s="440"/>
      <c r="AC65" s="440"/>
      <c r="AD65" s="440"/>
      <c r="AE65" s="440"/>
      <c r="AF65" s="440"/>
      <c r="AG65" s="440"/>
      <c r="AH65" s="440"/>
    </row>
    <row r="66" ht="15.75" customHeight="1">
      <c r="A66" s="440"/>
      <c r="B66" s="440"/>
      <c r="C66" s="440"/>
      <c r="D66" s="440"/>
      <c r="E66" s="440"/>
      <c r="F66" s="440"/>
      <c r="G66" s="440"/>
      <c r="H66" s="440"/>
      <c r="I66" s="440"/>
      <c r="J66" s="440"/>
      <c r="K66" s="440"/>
      <c r="L66" s="440"/>
      <c r="M66" s="440"/>
      <c r="N66" s="440"/>
      <c r="O66" s="440"/>
      <c r="P66" s="440"/>
      <c r="Q66" s="440"/>
      <c r="R66" s="440"/>
      <c r="S66" s="440"/>
      <c r="T66" s="440"/>
      <c r="U66" s="440"/>
      <c r="V66" s="440"/>
      <c r="W66" s="440"/>
      <c r="X66" s="440"/>
      <c r="Y66" s="440"/>
      <c r="Z66" s="440"/>
      <c r="AA66" s="440"/>
      <c r="AB66" s="440"/>
      <c r="AC66" s="440"/>
      <c r="AD66" s="440"/>
      <c r="AE66" s="440"/>
      <c r="AF66" s="440"/>
      <c r="AG66" s="440"/>
      <c r="AH66" s="440"/>
    </row>
    <row r="67" ht="15.75" customHeight="1">
      <c r="A67" s="440"/>
      <c r="B67" s="440"/>
      <c r="C67" s="440"/>
      <c r="D67" s="440"/>
      <c r="E67" s="440"/>
      <c r="F67" s="440"/>
      <c r="G67" s="440"/>
      <c r="H67" s="440"/>
      <c r="I67" s="440"/>
      <c r="J67" s="440"/>
      <c r="K67" s="440"/>
      <c r="L67" s="440"/>
      <c r="M67" s="440"/>
      <c r="N67" s="440"/>
      <c r="O67" s="440"/>
      <c r="P67" s="440"/>
      <c r="Q67" s="440"/>
      <c r="R67" s="440"/>
      <c r="S67" s="440"/>
      <c r="T67" s="440"/>
      <c r="U67" s="440"/>
      <c r="V67" s="440"/>
      <c r="W67" s="440"/>
      <c r="X67" s="440"/>
      <c r="Y67" s="440"/>
      <c r="Z67" s="440"/>
      <c r="AA67" s="440"/>
      <c r="AB67" s="440"/>
      <c r="AC67" s="440"/>
      <c r="AD67" s="440"/>
      <c r="AE67" s="440"/>
      <c r="AF67" s="440"/>
      <c r="AG67" s="440"/>
      <c r="AH67" s="440"/>
    </row>
    <row r="68" ht="15.75" customHeight="1">
      <c r="A68" s="440"/>
      <c r="B68" s="440"/>
      <c r="C68" s="440"/>
      <c r="D68" s="440"/>
      <c r="E68" s="440"/>
      <c r="F68" s="440"/>
      <c r="G68" s="440"/>
      <c r="H68" s="440"/>
      <c r="I68" s="440"/>
      <c r="J68" s="440"/>
      <c r="K68" s="440"/>
      <c r="L68" s="440"/>
      <c r="M68" s="440"/>
      <c r="N68" s="440"/>
      <c r="O68" s="440"/>
      <c r="P68" s="440"/>
      <c r="Q68" s="440"/>
      <c r="R68" s="440"/>
      <c r="S68" s="440"/>
      <c r="T68" s="440"/>
      <c r="U68" s="440"/>
      <c r="V68" s="440"/>
      <c r="W68" s="440"/>
      <c r="X68" s="440"/>
      <c r="Y68" s="440"/>
      <c r="Z68" s="440"/>
      <c r="AA68" s="440"/>
      <c r="AB68" s="440"/>
      <c r="AC68" s="440"/>
      <c r="AD68" s="440"/>
      <c r="AE68" s="440"/>
      <c r="AF68" s="440"/>
      <c r="AG68" s="440"/>
      <c r="AH68" s="440"/>
    </row>
    <row r="69" ht="15.75" customHeight="1">
      <c r="A69" s="440"/>
      <c r="B69" s="440"/>
      <c r="C69" s="440"/>
      <c r="D69" s="440"/>
      <c r="E69" s="440"/>
      <c r="F69" s="440"/>
      <c r="G69" s="440"/>
      <c r="H69" s="440"/>
      <c r="I69" s="440"/>
      <c r="J69" s="440"/>
      <c r="K69" s="440"/>
      <c r="L69" s="440"/>
      <c r="M69" s="440"/>
      <c r="N69" s="440"/>
      <c r="O69" s="440"/>
      <c r="P69" s="440"/>
      <c r="Q69" s="440"/>
      <c r="R69" s="440"/>
      <c r="S69" s="440"/>
      <c r="T69" s="440"/>
      <c r="U69" s="440"/>
      <c r="V69" s="440"/>
      <c r="W69" s="440"/>
      <c r="X69" s="440"/>
      <c r="Y69" s="440"/>
      <c r="Z69" s="440"/>
      <c r="AA69" s="440"/>
      <c r="AB69" s="440"/>
      <c r="AC69" s="440"/>
      <c r="AD69" s="440"/>
      <c r="AE69" s="440"/>
      <c r="AF69" s="440"/>
      <c r="AG69" s="440"/>
      <c r="AH69" s="440"/>
    </row>
    <row r="70" ht="15.75" customHeight="1">
      <c r="A70" s="440"/>
      <c r="B70" s="440"/>
      <c r="C70" s="440"/>
      <c r="D70" s="440"/>
      <c r="E70" s="440"/>
      <c r="F70" s="440"/>
      <c r="G70" s="440"/>
      <c r="H70" s="440"/>
      <c r="I70" s="440"/>
      <c r="J70" s="440"/>
      <c r="K70" s="440"/>
      <c r="L70" s="440"/>
      <c r="M70" s="440"/>
      <c r="N70" s="440"/>
      <c r="O70" s="440"/>
      <c r="P70" s="440"/>
      <c r="Q70" s="440"/>
      <c r="R70" s="440"/>
      <c r="S70" s="440"/>
      <c r="T70" s="440"/>
      <c r="U70" s="440"/>
      <c r="V70" s="440"/>
      <c r="W70" s="440"/>
      <c r="X70" s="440"/>
      <c r="Y70" s="440"/>
      <c r="Z70" s="440"/>
      <c r="AA70" s="440"/>
      <c r="AB70" s="440"/>
      <c r="AC70" s="440"/>
      <c r="AD70" s="440"/>
      <c r="AE70" s="440"/>
      <c r="AF70" s="440"/>
      <c r="AG70" s="440"/>
      <c r="AH70" s="440"/>
    </row>
    <row r="71" ht="15.75" customHeight="1">
      <c r="A71" s="440"/>
      <c r="B71" s="440"/>
      <c r="C71" s="440"/>
      <c r="D71" s="440"/>
      <c r="E71" s="440"/>
      <c r="F71" s="440"/>
      <c r="G71" s="440"/>
      <c r="H71" s="440"/>
      <c r="I71" s="440"/>
      <c r="J71" s="440"/>
      <c r="K71" s="440"/>
      <c r="L71" s="440"/>
      <c r="M71" s="440"/>
      <c r="N71" s="440"/>
      <c r="O71" s="440"/>
      <c r="P71" s="440"/>
      <c r="Q71" s="440"/>
      <c r="R71" s="440"/>
      <c r="S71" s="440"/>
      <c r="T71" s="440"/>
      <c r="U71" s="440"/>
      <c r="V71" s="440"/>
      <c r="W71" s="440"/>
      <c r="X71" s="440"/>
      <c r="Y71" s="440"/>
      <c r="Z71" s="440"/>
      <c r="AA71" s="440"/>
      <c r="AB71" s="440"/>
      <c r="AC71" s="440"/>
      <c r="AD71" s="440"/>
      <c r="AE71" s="440"/>
      <c r="AF71" s="440"/>
      <c r="AG71" s="440"/>
      <c r="AH71" s="440"/>
    </row>
    <row r="72" ht="15.75" customHeight="1">
      <c r="A72" s="440"/>
      <c r="B72" s="440"/>
      <c r="C72" s="440"/>
      <c r="D72" s="440"/>
      <c r="E72" s="440"/>
      <c r="F72" s="440"/>
      <c r="G72" s="440"/>
      <c r="H72" s="440"/>
      <c r="I72" s="440"/>
      <c r="J72" s="440"/>
      <c r="K72" s="440"/>
      <c r="L72" s="440"/>
      <c r="M72" s="440"/>
      <c r="N72" s="440"/>
      <c r="O72" s="440"/>
      <c r="P72" s="440"/>
      <c r="Q72" s="440"/>
      <c r="R72" s="440"/>
      <c r="S72" s="440"/>
      <c r="T72" s="440"/>
      <c r="U72" s="440"/>
      <c r="V72" s="440"/>
      <c r="W72" s="440"/>
      <c r="X72" s="440"/>
      <c r="Y72" s="440"/>
      <c r="Z72" s="440"/>
      <c r="AA72" s="440"/>
      <c r="AB72" s="440"/>
      <c r="AC72" s="440"/>
      <c r="AD72" s="440"/>
      <c r="AE72" s="440"/>
      <c r="AF72" s="440"/>
      <c r="AG72" s="440"/>
      <c r="AH72" s="440"/>
    </row>
    <row r="73" ht="15.75" customHeight="1">
      <c r="A73" s="440"/>
      <c r="B73" s="440"/>
      <c r="C73" s="440"/>
      <c r="D73" s="440"/>
      <c r="E73" s="440"/>
      <c r="F73" s="440"/>
      <c r="G73" s="440"/>
      <c r="H73" s="440"/>
      <c r="I73" s="440"/>
      <c r="J73" s="440"/>
      <c r="K73" s="440"/>
      <c r="L73" s="440"/>
      <c r="M73" s="440"/>
      <c r="N73" s="440"/>
      <c r="O73" s="440"/>
      <c r="P73" s="440"/>
      <c r="Q73" s="440"/>
      <c r="R73" s="440"/>
      <c r="S73" s="440"/>
      <c r="T73" s="440"/>
      <c r="U73" s="440"/>
      <c r="V73" s="440"/>
      <c r="W73" s="440"/>
      <c r="X73" s="440"/>
      <c r="Y73" s="440"/>
      <c r="Z73" s="440"/>
      <c r="AA73" s="440"/>
      <c r="AB73" s="440"/>
      <c r="AC73" s="440"/>
      <c r="AD73" s="440"/>
      <c r="AE73" s="440"/>
      <c r="AF73" s="440"/>
      <c r="AG73" s="440"/>
      <c r="AH73" s="440"/>
    </row>
    <row r="74" ht="15.75" customHeight="1">
      <c r="A74" s="440"/>
      <c r="B74" s="440"/>
      <c r="C74" s="440"/>
      <c r="D74" s="440"/>
      <c r="E74" s="440"/>
      <c r="F74" s="440"/>
      <c r="G74" s="440"/>
      <c r="H74" s="440"/>
      <c r="I74" s="440"/>
      <c r="J74" s="440"/>
      <c r="K74" s="440"/>
      <c r="L74" s="440"/>
      <c r="M74" s="440"/>
      <c r="N74" s="440"/>
      <c r="O74" s="440"/>
      <c r="P74" s="440"/>
      <c r="Q74" s="440"/>
      <c r="R74" s="440"/>
      <c r="S74" s="440"/>
      <c r="T74" s="440"/>
      <c r="U74" s="440"/>
      <c r="V74" s="440"/>
      <c r="W74" s="440"/>
      <c r="X74" s="440"/>
      <c r="Y74" s="440"/>
      <c r="Z74" s="440"/>
      <c r="AA74" s="440"/>
      <c r="AB74" s="440"/>
      <c r="AC74" s="440"/>
      <c r="AD74" s="440"/>
      <c r="AE74" s="440"/>
      <c r="AF74" s="440"/>
      <c r="AG74" s="440"/>
      <c r="AH74" s="440"/>
    </row>
    <row r="75" ht="15.75" customHeight="1">
      <c r="A75" s="440"/>
      <c r="B75" s="440"/>
      <c r="C75" s="440"/>
      <c r="D75" s="440"/>
      <c r="E75" s="440"/>
      <c r="F75" s="440"/>
      <c r="G75" s="440"/>
      <c r="H75" s="440"/>
      <c r="I75" s="440"/>
      <c r="J75" s="440"/>
      <c r="K75" s="440"/>
      <c r="L75" s="440"/>
      <c r="M75" s="440"/>
      <c r="N75" s="440"/>
      <c r="O75" s="440"/>
      <c r="P75" s="440"/>
      <c r="Q75" s="440"/>
      <c r="R75" s="440"/>
      <c r="S75" s="440"/>
      <c r="T75" s="440"/>
      <c r="U75" s="440"/>
      <c r="V75" s="440"/>
      <c r="W75" s="440"/>
      <c r="X75" s="440"/>
      <c r="Y75" s="440"/>
      <c r="Z75" s="440"/>
      <c r="AA75" s="440"/>
      <c r="AB75" s="440"/>
      <c r="AC75" s="440"/>
      <c r="AD75" s="440"/>
      <c r="AE75" s="440"/>
      <c r="AF75" s="440"/>
      <c r="AG75" s="440"/>
      <c r="AH75" s="440"/>
    </row>
    <row r="76" ht="15.75" customHeight="1">
      <c r="A76" s="440"/>
      <c r="B76" s="440"/>
      <c r="C76" s="440"/>
      <c r="D76" s="440"/>
      <c r="E76" s="440"/>
      <c r="F76" s="440"/>
      <c r="G76" s="440"/>
      <c r="H76" s="440"/>
      <c r="I76" s="440"/>
      <c r="J76" s="440"/>
      <c r="K76" s="440"/>
      <c r="L76" s="440"/>
      <c r="M76" s="440"/>
      <c r="N76" s="440"/>
      <c r="O76" s="440"/>
      <c r="P76" s="440"/>
      <c r="Q76" s="440"/>
      <c r="R76" s="440"/>
      <c r="S76" s="440"/>
      <c r="T76" s="440"/>
      <c r="U76" s="440"/>
      <c r="V76" s="440"/>
      <c r="W76" s="440"/>
      <c r="X76" s="440"/>
      <c r="Y76" s="440"/>
      <c r="Z76" s="440"/>
      <c r="AA76" s="440"/>
      <c r="AB76" s="440"/>
      <c r="AC76" s="440"/>
      <c r="AD76" s="440"/>
      <c r="AE76" s="440"/>
      <c r="AF76" s="440"/>
      <c r="AG76" s="440"/>
      <c r="AH76" s="440"/>
    </row>
    <row r="77" ht="15.75" customHeight="1">
      <c r="A77" s="440"/>
      <c r="B77" s="440"/>
      <c r="C77" s="440"/>
      <c r="D77" s="440"/>
      <c r="E77" s="440"/>
      <c r="F77" s="440"/>
      <c r="G77" s="440"/>
      <c r="H77" s="440"/>
      <c r="I77" s="440"/>
      <c r="J77" s="440"/>
      <c r="K77" s="440"/>
      <c r="L77" s="440"/>
      <c r="M77" s="440"/>
      <c r="N77" s="440"/>
      <c r="O77" s="440"/>
      <c r="P77" s="440"/>
      <c r="Q77" s="440"/>
      <c r="R77" s="440"/>
      <c r="S77" s="440"/>
      <c r="T77" s="440"/>
      <c r="U77" s="440"/>
      <c r="V77" s="440"/>
      <c r="W77" s="440"/>
      <c r="X77" s="440"/>
      <c r="Y77" s="440"/>
      <c r="Z77" s="440"/>
      <c r="AA77" s="440"/>
      <c r="AB77" s="440"/>
      <c r="AC77" s="440"/>
      <c r="AD77" s="440"/>
      <c r="AE77" s="440"/>
      <c r="AF77" s="440"/>
      <c r="AG77" s="440"/>
      <c r="AH77" s="440"/>
    </row>
    <row r="78" ht="15.75" customHeight="1">
      <c r="A78" s="440"/>
      <c r="B78" s="440"/>
      <c r="C78" s="440"/>
      <c r="D78" s="440"/>
      <c r="E78" s="440"/>
      <c r="F78" s="440"/>
      <c r="G78" s="440"/>
      <c r="H78" s="440"/>
      <c r="I78" s="440"/>
      <c r="J78" s="440"/>
      <c r="K78" s="440"/>
      <c r="L78" s="440"/>
      <c r="M78" s="440"/>
      <c r="N78" s="440"/>
      <c r="O78" s="440"/>
      <c r="P78" s="440"/>
      <c r="Q78" s="440"/>
      <c r="R78" s="440"/>
      <c r="S78" s="440"/>
      <c r="T78" s="440"/>
      <c r="U78" s="440"/>
      <c r="V78" s="440"/>
      <c r="W78" s="440"/>
      <c r="X78" s="440"/>
      <c r="Y78" s="440"/>
      <c r="Z78" s="440"/>
      <c r="AA78" s="440"/>
      <c r="AB78" s="440"/>
      <c r="AC78" s="440"/>
      <c r="AD78" s="440"/>
      <c r="AE78" s="440"/>
      <c r="AF78" s="440"/>
      <c r="AG78" s="440"/>
      <c r="AH78" s="440"/>
    </row>
    <row r="79" ht="15.75" customHeight="1">
      <c r="A79" s="440"/>
      <c r="B79" s="440"/>
      <c r="C79" s="440"/>
      <c r="D79" s="440"/>
      <c r="E79" s="440"/>
      <c r="F79" s="440"/>
      <c r="G79" s="440"/>
      <c r="H79" s="440"/>
      <c r="I79" s="440"/>
      <c r="J79" s="440"/>
      <c r="K79" s="440"/>
      <c r="L79" s="440"/>
      <c r="M79" s="440"/>
      <c r="N79" s="440"/>
      <c r="O79" s="440"/>
      <c r="P79" s="440"/>
      <c r="Q79" s="440"/>
      <c r="R79" s="440"/>
      <c r="S79" s="440"/>
      <c r="T79" s="440"/>
      <c r="U79" s="440"/>
      <c r="V79" s="440"/>
      <c r="W79" s="440"/>
      <c r="X79" s="440"/>
      <c r="Y79" s="440"/>
      <c r="Z79" s="440"/>
      <c r="AA79" s="440"/>
      <c r="AB79" s="440"/>
      <c r="AC79" s="440"/>
      <c r="AD79" s="440"/>
      <c r="AE79" s="440"/>
      <c r="AF79" s="440"/>
      <c r="AG79" s="440"/>
      <c r="AH79" s="440"/>
    </row>
    <row r="80" ht="15.75" customHeight="1">
      <c r="A80" s="440"/>
      <c r="B80" s="440"/>
      <c r="C80" s="440"/>
      <c r="D80" s="440"/>
      <c r="E80" s="440"/>
      <c r="F80" s="440"/>
      <c r="G80" s="440"/>
      <c r="H80" s="440"/>
      <c r="I80" s="440"/>
      <c r="J80" s="440"/>
      <c r="K80" s="440"/>
      <c r="L80" s="440"/>
      <c r="M80" s="440"/>
      <c r="N80" s="440"/>
      <c r="O80" s="440"/>
      <c r="P80" s="440"/>
      <c r="Q80" s="440"/>
      <c r="R80" s="440"/>
      <c r="S80" s="440"/>
      <c r="T80" s="440"/>
      <c r="U80" s="440"/>
      <c r="V80" s="440"/>
      <c r="W80" s="440"/>
      <c r="X80" s="440"/>
      <c r="Y80" s="440"/>
      <c r="Z80" s="440"/>
      <c r="AA80" s="440"/>
      <c r="AB80" s="440"/>
      <c r="AC80" s="440"/>
      <c r="AD80" s="440"/>
      <c r="AE80" s="440"/>
      <c r="AF80" s="440"/>
      <c r="AG80" s="440"/>
      <c r="AH80" s="440"/>
    </row>
    <row r="81" ht="15.75" customHeight="1">
      <c r="A81" s="440"/>
      <c r="B81" s="440"/>
      <c r="C81" s="440"/>
      <c r="D81" s="440"/>
      <c r="E81" s="440"/>
      <c r="F81" s="440"/>
      <c r="G81" s="440"/>
      <c r="H81" s="440"/>
      <c r="I81" s="440"/>
      <c r="J81" s="440"/>
      <c r="K81" s="440"/>
      <c r="L81" s="440"/>
      <c r="M81" s="440"/>
      <c r="N81" s="440"/>
      <c r="O81" s="440"/>
      <c r="P81" s="440"/>
      <c r="Q81" s="440"/>
      <c r="R81" s="440"/>
      <c r="S81" s="440"/>
      <c r="T81" s="440"/>
      <c r="U81" s="440"/>
      <c r="V81" s="440"/>
      <c r="W81" s="440"/>
      <c r="X81" s="440"/>
      <c r="Y81" s="440"/>
      <c r="Z81" s="440"/>
      <c r="AA81" s="440"/>
      <c r="AB81" s="440"/>
      <c r="AC81" s="440"/>
      <c r="AD81" s="440"/>
      <c r="AE81" s="440"/>
      <c r="AF81" s="440"/>
      <c r="AG81" s="440"/>
      <c r="AH81" s="440"/>
    </row>
    <row r="82" ht="15.75" customHeight="1">
      <c r="A82" s="440"/>
      <c r="B82" s="440"/>
      <c r="C82" s="440"/>
      <c r="D82" s="440"/>
      <c r="E82" s="440"/>
      <c r="F82" s="440"/>
      <c r="G82" s="440"/>
      <c r="H82" s="440"/>
      <c r="I82" s="440"/>
      <c r="J82" s="440"/>
      <c r="K82" s="440"/>
      <c r="L82" s="440"/>
      <c r="M82" s="440"/>
      <c r="N82" s="440"/>
      <c r="O82" s="440"/>
      <c r="P82" s="440"/>
      <c r="Q82" s="440"/>
      <c r="R82" s="440"/>
      <c r="S82" s="440"/>
      <c r="T82" s="440"/>
      <c r="U82" s="440"/>
      <c r="V82" s="440"/>
      <c r="W82" s="440"/>
      <c r="X82" s="440"/>
      <c r="Y82" s="440"/>
      <c r="Z82" s="440"/>
      <c r="AA82" s="440"/>
      <c r="AB82" s="440"/>
      <c r="AC82" s="440"/>
      <c r="AD82" s="440"/>
      <c r="AE82" s="440"/>
      <c r="AF82" s="440"/>
      <c r="AG82" s="440"/>
      <c r="AH82" s="440"/>
    </row>
    <row r="83" ht="15.75" customHeight="1">
      <c r="A83" s="440"/>
      <c r="B83" s="440"/>
      <c r="C83" s="440"/>
      <c r="D83" s="440"/>
      <c r="E83" s="440"/>
      <c r="F83" s="440"/>
      <c r="G83" s="440"/>
      <c r="H83" s="440"/>
      <c r="I83" s="440"/>
      <c r="J83" s="440"/>
      <c r="K83" s="440"/>
      <c r="L83" s="440"/>
      <c r="M83" s="440"/>
      <c r="N83" s="440"/>
      <c r="O83" s="440"/>
      <c r="P83" s="440"/>
      <c r="Q83" s="440"/>
      <c r="R83" s="440"/>
      <c r="S83" s="440"/>
      <c r="T83" s="440"/>
      <c r="U83" s="440"/>
      <c r="V83" s="440"/>
      <c r="W83" s="440"/>
      <c r="X83" s="440"/>
      <c r="Y83" s="440"/>
      <c r="Z83" s="440"/>
      <c r="AA83" s="440"/>
      <c r="AB83" s="440"/>
      <c r="AC83" s="440"/>
      <c r="AD83" s="440"/>
      <c r="AE83" s="440"/>
      <c r="AF83" s="440"/>
      <c r="AG83" s="440"/>
      <c r="AH83" s="440"/>
    </row>
    <row r="84" ht="15.75" customHeight="1">
      <c r="A84" s="440"/>
      <c r="B84" s="440"/>
      <c r="C84" s="440"/>
      <c r="D84" s="440"/>
      <c r="E84" s="440"/>
      <c r="F84" s="440"/>
      <c r="G84" s="440"/>
      <c r="H84" s="440"/>
      <c r="I84" s="440"/>
      <c r="J84" s="440"/>
      <c r="K84" s="440"/>
      <c r="L84" s="440"/>
      <c r="M84" s="440"/>
      <c r="N84" s="440"/>
      <c r="O84" s="440"/>
      <c r="P84" s="440"/>
      <c r="Q84" s="440"/>
      <c r="R84" s="440"/>
      <c r="S84" s="440"/>
      <c r="T84" s="440"/>
      <c r="U84" s="440"/>
      <c r="V84" s="440"/>
      <c r="W84" s="440"/>
      <c r="X84" s="440"/>
      <c r="Y84" s="440"/>
      <c r="Z84" s="440"/>
      <c r="AA84" s="440"/>
      <c r="AB84" s="440"/>
      <c r="AC84" s="440"/>
      <c r="AD84" s="440"/>
      <c r="AE84" s="440"/>
      <c r="AF84" s="440"/>
      <c r="AG84" s="440"/>
      <c r="AH84" s="440"/>
    </row>
    <row r="85" ht="15.75" customHeight="1">
      <c r="A85" s="440"/>
      <c r="B85" s="440"/>
      <c r="C85" s="440"/>
      <c r="D85" s="440"/>
      <c r="E85" s="440"/>
      <c r="F85" s="440"/>
      <c r="G85" s="440"/>
      <c r="H85" s="440"/>
      <c r="I85" s="440"/>
      <c r="J85" s="440"/>
      <c r="K85" s="440"/>
      <c r="L85" s="440"/>
      <c r="M85" s="440"/>
      <c r="N85" s="440"/>
      <c r="O85" s="440"/>
      <c r="P85" s="440"/>
      <c r="Q85" s="440"/>
      <c r="R85" s="440"/>
      <c r="S85" s="440"/>
      <c r="T85" s="440"/>
      <c r="U85" s="440"/>
      <c r="V85" s="440"/>
      <c r="W85" s="440"/>
      <c r="X85" s="440"/>
      <c r="Y85" s="440"/>
      <c r="Z85" s="440"/>
      <c r="AA85" s="440"/>
      <c r="AB85" s="440"/>
      <c r="AC85" s="440"/>
      <c r="AD85" s="440"/>
      <c r="AE85" s="440"/>
      <c r="AF85" s="440"/>
      <c r="AG85" s="440"/>
      <c r="AH85" s="440"/>
    </row>
    <row r="86" ht="15.75" customHeight="1">
      <c r="A86" s="440"/>
      <c r="B86" s="440"/>
      <c r="C86" s="440"/>
      <c r="D86" s="440"/>
      <c r="E86" s="440"/>
      <c r="F86" s="440"/>
      <c r="G86" s="440"/>
      <c r="H86" s="440"/>
      <c r="I86" s="440"/>
      <c r="J86" s="440"/>
      <c r="K86" s="440"/>
      <c r="L86" s="440"/>
      <c r="M86" s="440"/>
      <c r="N86" s="440"/>
      <c r="O86" s="440"/>
      <c r="P86" s="440"/>
      <c r="Q86" s="440"/>
      <c r="R86" s="440"/>
      <c r="S86" s="440"/>
      <c r="T86" s="440"/>
      <c r="U86" s="440"/>
      <c r="V86" s="440"/>
      <c r="W86" s="440"/>
      <c r="X86" s="440"/>
      <c r="Y86" s="440"/>
      <c r="Z86" s="440"/>
      <c r="AA86" s="440"/>
      <c r="AB86" s="440"/>
      <c r="AC86" s="440"/>
      <c r="AD86" s="440"/>
      <c r="AE86" s="440"/>
      <c r="AF86" s="440"/>
      <c r="AG86" s="440"/>
      <c r="AH86" s="440"/>
    </row>
    <row r="87" ht="15.75" customHeight="1">
      <c r="A87" s="440"/>
      <c r="B87" s="440"/>
      <c r="C87" s="440"/>
      <c r="D87" s="440"/>
      <c r="E87" s="440"/>
      <c r="F87" s="440"/>
      <c r="G87" s="440"/>
      <c r="H87" s="440"/>
      <c r="I87" s="440"/>
      <c r="J87" s="440"/>
      <c r="K87" s="440"/>
      <c r="L87" s="440"/>
      <c r="M87" s="440"/>
      <c r="N87" s="440"/>
      <c r="O87" s="440"/>
      <c r="P87" s="440"/>
      <c r="Q87" s="440"/>
      <c r="R87" s="440"/>
      <c r="S87" s="440"/>
      <c r="T87" s="440"/>
      <c r="U87" s="440"/>
      <c r="V87" s="440"/>
      <c r="W87" s="440"/>
      <c r="X87" s="440"/>
      <c r="Y87" s="440"/>
      <c r="Z87" s="440"/>
      <c r="AA87" s="440"/>
      <c r="AB87" s="440"/>
      <c r="AC87" s="440"/>
      <c r="AD87" s="440"/>
      <c r="AE87" s="440"/>
      <c r="AF87" s="440"/>
      <c r="AG87" s="440"/>
      <c r="AH87" s="440"/>
    </row>
    <row r="88" ht="15.75" customHeight="1">
      <c r="A88" s="440"/>
      <c r="B88" s="440"/>
      <c r="C88" s="440"/>
      <c r="D88" s="440"/>
      <c r="E88" s="440"/>
      <c r="F88" s="440"/>
      <c r="G88" s="440"/>
      <c r="H88" s="440"/>
      <c r="I88" s="440"/>
      <c r="J88" s="440"/>
      <c r="K88" s="440"/>
      <c r="L88" s="440"/>
      <c r="M88" s="440"/>
      <c r="N88" s="440"/>
      <c r="O88" s="440"/>
      <c r="P88" s="440"/>
      <c r="Q88" s="440"/>
      <c r="R88" s="440"/>
      <c r="S88" s="440"/>
      <c r="T88" s="440"/>
      <c r="U88" s="440"/>
      <c r="V88" s="440"/>
      <c r="W88" s="440"/>
      <c r="X88" s="440"/>
      <c r="Y88" s="440"/>
      <c r="Z88" s="440"/>
      <c r="AA88" s="440"/>
      <c r="AB88" s="440"/>
      <c r="AC88" s="440"/>
      <c r="AD88" s="440"/>
      <c r="AE88" s="440"/>
      <c r="AF88" s="440"/>
      <c r="AG88" s="440"/>
      <c r="AH88" s="440"/>
    </row>
    <row r="89" ht="15.75" customHeight="1">
      <c r="A89" s="440"/>
      <c r="B89" s="440"/>
      <c r="C89" s="440"/>
      <c r="D89" s="440"/>
      <c r="E89" s="440"/>
      <c r="F89" s="440"/>
      <c r="G89" s="440"/>
      <c r="H89" s="440"/>
      <c r="I89" s="440"/>
      <c r="J89" s="440"/>
      <c r="K89" s="440"/>
      <c r="L89" s="440"/>
      <c r="M89" s="440"/>
      <c r="N89" s="440"/>
      <c r="O89" s="440"/>
      <c r="P89" s="440"/>
      <c r="Q89" s="440"/>
      <c r="R89" s="440"/>
      <c r="S89" s="440"/>
      <c r="T89" s="440"/>
      <c r="U89" s="440"/>
      <c r="V89" s="440"/>
      <c r="W89" s="440"/>
      <c r="X89" s="440"/>
      <c r="Y89" s="440"/>
      <c r="Z89" s="440"/>
      <c r="AA89" s="440"/>
      <c r="AB89" s="440"/>
      <c r="AC89" s="440"/>
      <c r="AD89" s="440"/>
      <c r="AE89" s="440"/>
      <c r="AF89" s="440"/>
      <c r="AG89" s="440"/>
      <c r="AH89" s="440"/>
    </row>
    <row r="90" ht="15.75" customHeight="1">
      <c r="A90" s="440"/>
      <c r="B90" s="440"/>
      <c r="C90" s="440"/>
      <c r="D90" s="440"/>
      <c r="E90" s="440"/>
      <c r="F90" s="440"/>
      <c r="G90" s="440"/>
      <c r="H90" s="440"/>
      <c r="I90" s="440"/>
      <c r="J90" s="440"/>
      <c r="K90" s="440"/>
      <c r="L90" s="440"/>
      <c r="M90" s="440"/>
      <c r="N90" s="440"/>
      <c r="O90" s="440"/>
      <c r="P90" s="440"/>
      <c r="Q90" s="440"/>
      <c r="R90" s="440"/>
      <c r="S90" s="440"/>
      <c r="T90" s="440"/>
      <c r="U90" s="440"/>
      <c r="V90" s="440"/>
      <c r="W90" s="440"/>
      <c r="X90" s="440"/>
      <c r="Y90" s="440"/>
      <c r="Z90" s="440"/>
      <c r="AA90" s="440"/>
      <c r="AB90" s="440"/>
      <c r="AC90" s="440"/>
      <c r="AD90" s="440"/>
      <c r="AE90" s="440"/>
      <c r="AF90" s="440"/>
      <c r="AG90" s="440"/>
      <c r="AH90" s="440"/>
    </row>
    <row r="91" ht="15.75" customHeight="1">
      <c r="A91" s="440"/>
      <c r="B91" s="440"/>
      <c r="C91" s="440"/>
      <c r="D91" s="440"/>
      <c r="E91" s="440"/>
      <c r="F91" s="440"/>
      <c r="G91" s="440"/>
      <c r="H91" s="440"/>
      <c r="I91" s="440"/>
      <c r="J91" s="440"/>
      <c r="K91" s="440"/>
      <c r="L91" s="440"/>
      <c r="M91" s="440"/>
      <c r="N91" s="440"/>
      <c r="O91" s="440"/>
      <c r="P91" s="440"/>
      <c r="Q91" s="440"/>
      <c r="R91" s="440"/>
      <c r="S91" s="440"/>
      <c r="T91" s="440"/>
      <c r="U91" s="440"/>
      <c r="V91" s="440"/>
      <c r="W91" s="440"/>
      <c r="X91" s="440"/>
      <c r="Y91" s="440"/>
      <c r="Z91" s="440"/>
      <c r="AA91" s="440"/>
      <c r="AB91" s="440"/>
      <c r="AC91" s="440"/>
      <c r="AD91" s="440"/>
      <c r="AE91" s="440"/>
      <c r="AF91" s="440"/>
      <c r="AG91" s="440"/>
      <c r="AH91" s="440"/>
    </row>
    <row r="92" ht="15.75" customHeight="1">
      <c r="A92" s="440"/>
      <c r="B92" s="440"/>
      <c r="C92" s="440"/>
      <c r="D92" s="440"/>
      <c r="E92" s="440"/>
      <c r="F92" s="440"/>
      <c r="G92" s="440"/>
      <c r="H92" s="440"/>
      <c r="I92" s="440"/>
      <c r="J92" s="440"/>
      <c r="K92" s="440"/>
      <c r="L92" s="440"/>
      <c r="M92" s="440"/>
      <c r="N92" s="440"/>
      <c r="O92" s="440"/>
      <c r="P92" s="440"/>
      <c r="Q92" s="440"/>
      <c r="R92" s="440"/>
      <c r="S92" s="440"/>
      <c r="T92" s="440"/>
      <c r="U92" s="440"/>
      <c r="V92" s="440"/>
      <c r="W92" s="440"/>
      <c r="X92" s="440"/>
      <c r="Y92" s="440"/>
      <c r="Z92" s="440"/>
      <c r="AA92" s="440"/>
      <c r="AB92" s="440"/>
      <c r="AC92" s="440"/>
      <c r="AD92" s="440"/>
      <c r="AE92" s="440"/>
      <c r="AF92" s="440"/>
      <c r="AG92" s="440"/>
      <c r="AH92" s="440"/>
    </row>
    <row r="93" ht="15.75" customHeight="1">
      <c r="A93" s="440"/>
      <c r="B93" s="440"/>
      <c r="C93" s="440"/>
      <c r="D93" s="440"/>
      <c r="E93" s="440"/>
      <c r="F93" s="440"/>
      <c r="G93" s="440"/>
      <c r="H93" s="440"/>
      <c r="I93" s="440"/>
      <c r="J93" s="440"/>
      <c r="K93" s="440"/>
      <c r="L93" s="440"/>
      <c r="M93" s="440"/>
      <c r="N93" s="440"/>
      <c r="O93" s="440"/>
      <c r="P93" s="440"/>
      <c r="Q93" s="440"/>
      <c r="R93" s="440"/>
      <c r="S93" s="440"/>
      <c r="T93" s="440"/>
      <c r="U93" s="440"/>
      <c r="V93" s="440"/>
      <c r="W93" s="440"/>
      <c r="X93" s="440"/>
      <c r="Y93" s="440"/>
      <c r="Z93" s="440"/>
      <c r="AA93" s="440"/>
      <c r="AB93" s="440"/>
      <c r="AC93" s="440"/>
      <c r="AD93" s="440"/>
      <c r="AE93" s="440"/>
      <c r="AF93" s="440"/>
      <c r="AG93" s="440"/>
      <c r="AH93" s="440"/>
    </row>
    <row r="94" ht="15.75" customHeight="1">
      <c r="A94" s="440"/>
      <c r="B94" s="440"/>
      <c r="C94" s="440"/>
      <c r="D94" s="440"/>
      <c r="E94" s="440"/>
      <c r="F94" s="440"/>
      <c r="G94" s="440"/>
      <c r="H94" s="440"/>
      <c r="I94" s="440"/>
      <c r="J94" s="440"/>
      <c r="K94" s="440"/>
      <c r="L94" s="440"/>
      <c r="M94" s="440"/>
      <c r="N94" s="440"/>
      <c r="O94" s="440"/>
      <c r="P94" s="440"/>
      <c r="Q94" s="440"/>
      <c r="R94" s="440"/>
      <c r="S94" s="440"/>
      <c r="T94" s="440"/>
      <c r="U94" s="440"/>
      <c r="V94" s="440"/>
      <c r="W94" s="440"/>
      <c r="X94" s="440"/>
      <c r="Y94" s="440"/>
      <c r="Z94" s="440"/>
      <c r="AA94" s="440"/>
      <c r="AB94" s="440"/>
      <c r="AC94" s="440"/>
      <c r="AD94" s="440"/>
      <c r="AE94" s="440"/>
      <c r="AF94" s="440"/>
      <c r="AG94" s="440"/>
      <c r="AH94" s="440"/>
    </row>
    <row r="95" ht="15.75" customHeight="1">
      <c r="A95" s="440"/>
      <c r="B95" s="440"/>
      <c r="C95" s="440"/>
      <c r="D95" s="440"/>
      <c r="E95" s="440"/>
      <c r="F95" s="440"/>
      <c r="G95" s="440"/>
      <c r="H95" s="440"/>
      <c r="I95" s="440"/>
      <c r="J95" s="440"/>
      <c r="K95" s="440"/>
      <c r="L95" s="440"/>
      <c r="M95" s="440"/>
      <c r="N95" s="440"/>
      <c r="O95" s="440"/>
      <c r="P95" s="440"/>
      <c r="Q95" s="440"/>
      <c r="R95" s="440"/>
      <c r="S95" s="440"/>
      <c r="T95" s="440"/>
      <c r="U95" s="440"/>
      <c r="V95" s="440"/>
      <c r="W95" s="440"/>
      <c r="X95" s="440"/>
      <c r="Y95" s="440"/>
      <c r="Z95" s="440"/>
      <c r="AA95" s="440"/>
      <c r="AB95" s="440"/>
      <c r="AC95" s="440"/>
      <c r="AD95" s="440"/>
      <c r="AE95" s="440"/>
      <c r="AF95" s="440"/>
      <c r="AG95" s="440"/>
      <c r="AH95" s="440"/>
    </row>
    <row r="96" ht="15.75" customHeight="1">
      <c r="A96" s="440"/>
      <c r="B96" s="440"/>
      <c r="C96" s="440"/>
      <c r="D96" s="440"/>
      <c r="E96" s="440"/>
      <c r="F96" s="440"/>
      <c r="G96" s="440"/>
      <c r="H96" s="440"/>
      <c r="I96" s="440"/>
      <c r="J96" s="440"/>
      <c r="K96" s="440"/>
      <c r="L96" s="440"/>
      <c r="M96" s="440"/>
      <c r="N96" s="440"/>
      <c r="O96" s="440"/>
      <c r="P96" s="440"/>
      <c r="Q96" s="440"/>
      <c r="R96" s="440"/>
      <c r="S96" s="440"/>
      <c r="T96" s="440"/>
      <c r="U96" s="440"/>
      <c r="V96" s="440"/>
      <c r="W96" s="440"/>
      <c r="X96" s="440"/>
      <c r="Y96" s="440"/>
      <c r="Z96" s="440"/>
      <c r="AA96" s="440"/>
      <c r="AB96" s="440"/>
      <c r="AC96" s="440"/>
      <c r="AD96" s="440"/>
      <c r="AE96" s="440"/>
      <c r="AF96" s="440"/>
      <c r="AG96" s="440"/>
      <c r="AH96" s="440"/>
    </row>
    <row r="97" ht="15.75" customHeight="1">
      <c r="A97" s="440"/>
      <c r="B97" s="440"/>
      <c r="C97" s="440"/>
      <c r="D97" s="440"/>
      <c r="E97" s="440"/>
      <c r="F97" s="440"/>
      <c r="G97" s="440"/>
      <c r="H97" s="440"/>
      <c r="I97" s="440"/>
      <c r="J97" s="440"/>
      <c r="K97" s="440"/>
      <c r="L97" s="440"/>
      <c r="M97" s="440"/>
      <c r="N97" s="440"/>
      <c r="O97" s="440"/>
      <c r="P97" s="440"/>
      <c r="Q97" s="440"/>
      <c r="R97" s="440"/>
      <c r="S97" s="440"/>
      <c r="T97" s="440"/>
      <c r="U97" s="440"/>
      <c r="V97" s="440"/>
      <c r="W97" s="440"/>
      <c r="X97" s="440"/>
      <c r="Y97" s="440"/>
      <c r="Z97" s="440"/>
      <c r="AA97" s="440"/>
      <c r="AB97" s="440"/>
      <c r="AC97" s="440"/>
      <c r="AD97" s="440"/>
      <c r="AE97" s="440"/>
      <c r="AF97" s="440"/>
      <c r="AG97" s="440"/>
      <c r="AH97" s="440"/>
    </row>
    <row r="98" ht="15.75" customHeight="1">
      <c r="A98" s="440"/>
      <c r="B98" s="440"/>
      <c r="C98" s="440"/>
      <c r="D98" s="440"/>
      <c r="E98" s="440"/>
      <c r="F98" s="440"/>
      <c r="G98" s="440"/>
      <c r="H98" s="440"/>
      <c r="I98" s="440"/>
      <c r="J98" s="440"/>
      <c r="K98" s="440"/>
      <c r="L98" s="440"/>
      <c r="M98" s="440"/>
      <c r="N98" s="440"/>
      <c r="O98" s="440"/>
      <c r="P98" s="440"/>
      <c r="Q98" s="440"/>
      <c r="R98" s="440"/>
      <c r="S98" s="440"/>
      <c r="T98" s="440"/>
      <c r="U98" s="440"/>
      <c r="V98" s="440"/>
      <c r="W98" s="440"/>
      <c r="X98" s="440"/>
      <c r="Y98" s="440"/>
      <c r="Z98" s="440"/>
      <c r="AA98" s="440"/>
      <c r="AB98" s="440"/>
      <c r="AC98" s="440"/>
      <c r="AD98" s="440"/>
      <c r="AE98" s="440"/>
      <c r="AF98" s="440"/>
      <c r="AG98" s="440"/>
      <c r="AH98" s="440"/>
    </row>
    <row r="99" ht="15.75" customHeight="1">
      <c r="A99" s="440"/>
      <c r="B99" s="440"/>
      <c r="C99" s="440"/>
      <c r="D99" s="440"/>
      <c r="E99" s="440"/>
      <c r="F99" s="440"/>
      <c r="G99" s="440"/>
      <c r="H99" s="440"/>
      <c r="I99" s="440"/>
      <c r="J99" s="440"/>
      <c r="K99" s="440"/>
      <c r="L99" s="440"/>
      <c r="M99" s="440"/>
      <c r="N99" s="440"/>
      <c r="O99" s="440"/>
      <c r="P99" s="440"/>
      <c r="Q99" s="440"/>
      <c r="R99" s="440"/>
      <c r="S99" s="440"/>
      <c r="T99" s="440"/>
      <c r="U99" s="440"/>
      <c r="V99" s="440"/>
      <c r="W99" s="440"/>
      <c r="X99" s="440"/>
      <c r="Y99" s="440"/>
      <c r="Z99" s="440"/>
      <c r="AA99" s="440"/>
      <c r="AB99" s="440"/>
      <c r="AC99" s="440"/>
      <c r="AD99" s="440"/>
      <c r="AE99" s="440"/>
      <c r="AF99" s="440"/>
      <c r="AG99" s="440"/>
      <c r="AH99" s="440"/>
    </row>
    <row r="100" ht="15.75" customHeight="1">
      <c r="A100" s="440"/>
      <c r="B100" s="440"/>
      <c r="C100" s="440"/>
      <c r="D100" s="440"/>
      <c r="E100" s="440"/>
      <c r="F100" s="440"/>
      <c r="G100" s="440"/>
      <c r="H100" s="440"/>
      <c r="I100" s="440"/>
      <c r="J100" s="440"/>
      <c r="K100" s="440"/>
      <c r="L100" s="440"/>
      <c r="M100" s="440"/>
      <c r="N100" s="440"/>
      <c r="O100" s="440"/>
      <c r="P100" s="440"/>
      <c r="Q100" s="440"/>
      <c r="R100" s="440"/>
      <c r="S100" s="440"/>
      <c r="T100" s="440"/>
      <c r="U100" s="440"/>
      <c r="V100" s="440"/>
      <c r="W100" s="440"/>
      <c r="X100" s="440"/>
      <c r="Y100" s="440"/>
      <c r="Z100" s="440"/>
      <c r="AA100" s="440"/>
      <c r="AB100" s="440"/>
      <c r="AC100" s="440"/>
      <c r="AD100" s="440"/>
      <c r="AE100" s="440"/>
      <c r="AF100" s="440"/>
      <c r="AG100" s="440"/>
      <c r="AH100" s="440"/>
    </row>
    <row r="101" ht="15.75" customHeight="1">
      <c r="A101" s="440"/>
      <c r="B101" s="440"/>
      <c r="C101" s="440"/>
      <c r="D101" s="440"/>
      <c r="E101" s="440"/>
      <c r="F101" s="440"/>
      <c r="G101" s="440"/>
      <c r="H101" s="440"/>
      <c r="I101" s="440"/>
      <c r="J101" s="440"/>
      <c r="K101" s="440"/>
      <c r="L101" s="440"/>
      <c r="M101" s="440"/>
      <c r="N101" s="440"/>
      <c r="O101" s="440"/>
      <c r="P101" s="440"/>
      <c r="Q101" s="440"/>
      <c r="R101" s="440"/>
      <c r="S101" s="440"/>
      <c r="T101" s="440"/>
      <c r="U101" s="440"/>
      <c r="V101" s="440"/>
      <c r="W101" s="440"/>
      <c r="X101" s="440"/>
      <c r="Y101" s="440"/>
      <c r="Z101" s="440"/>
      <c r="AA101" s="440"/>
      <c r="AB101" s="440"/>
      <c r="AC101" s="440"/>
      <c r="AD101" s="440"/>
      <c r="AE101" s="440"/>
      <c r="AF101" s="440"/>
      <c r="AG101" s="440"/>
      <c r="AH101" s="440"/>
    </row>
    <row r="102" ht="15.75" customHeight="1">
      <c r="A102" s="440"/>
      <c r="B102" s="440"/>
      <c r="C102" s="440"/>
      <c r="D102" s="440"/>
      <c r="E102" s="440"/>
      <c r="F102" s="440"/>
      <c r="G102" s="440"/>
      <c r="H102" s="440"/>
      <c r="I102" s="440"/>
      <c r="J102" s="440"/>
      <c r="K102" s="440"/>
      <c r="L102" s="440"/>
      <c r="M102" s="440"/>
      <c r="N102" s="440"/>
      <c r="O102" s="440"/>
      <c r="P102" s="440"/>
      <c r="Q102" s="440"/>
      <c r="R102" s="440"/>
      <c r="S102" s="440"/>
      <c r="T102" s="440"/>
      <c r="U102" s="440"/>
      <c r="V102" s="440"/>
      <c r="W102" s="440"/>
      <c r="X102" s="440"/>
      <c r="Y102" s="440"/>
      <c r="Z102" s="440"/>
      <c r="AA102" s="440"/>
      <c r="AB102" s="440"/>
      <c r="AC102" s="440"/>
      <c r="AD102" s="440"/>
      <c r="AE102" s="440"/>
      <c r="AF102" s="440"/>
      <c r="AG102" s="440"/>
      <c r="AH102" s="440"/>
    </row>
    <row r="103" ht="15.75" customHeight="1">
      <c r="A103" s="440"/>
      <c r="B103" s="440"/>
      <c r="C103" s="440"/>
      <c r="D103" s="440"/>
      <c r="E103" s="440"/>
      <c r="F103" s="440"/>
      <c r="G103" s="440"/>
      <c r="H103" s="440"/>
      <c r="I103" s="440"/>
      <c r="J103" s="440"/>
      <c r="K103" s="440"/>
      <c r="L103" s="440"/>
      <c r="M103" s="440"/>
      <c r="N103" s="440"/>
      <c r="O103" s="440"/>
      <c r="P103" s="440"/>
      <c r="Q103" s="440"/>
      <c r="R103" s="440"/>
      <c r="S103" s="440"/>
      <c r="T103" s="440"/>
      <c r="U103" s="440"/>
      <c r="V103" s="440"/>
      <c r="W103" s="440"/>
      <c r="X103" s="440"/>
      <c r="Y103" s="440"/>
      <c r="Z103" s="440"/>
      <c r="AA103" s="440"/>
      <c r="AB103" s="440"/>
      <c r="AC103" s="440"/>
      <c r="AD103" s="440"/>
      <c r="AE103" s="440"/>
      <c r="AF103" s="440"/>
      <c r="AG103" s="440"/>
      <c r="AH103" s="440"/>
    </row>
    <row r="104" ht="15.75" customHeight="1">
      <c r="A104" s="440"/>
      <c r="B104" s="440"/>
      <c r="C104" s="440"/>
      <c r="D104" s="440"/>
      <c r="E104" s="440"/>
      <c r="F104" s="440"/>
      <c r="G104" s="440"/>
      <c r="H104" s="440"/>
      <c r="I104" s="440"/>
      <c r="J104" s="440"/>
      <c r="K104" s="440"/>
      <c r="L104" s="440"/>
      <c r="M104" s="440"/>
      <c r="N104" s="440"/>
      <c r="O104" s="440"/>
      <c r="P104" s="440"/>
      <c r="Q104" s="440"/>
      <c r="R104" s="440"/>
      <c r="S104" s="440"/>
      <c r="T104" s="440"/>
      <c r="U104" s="440"/>
      <c r="V104" s="440"/>
      <c r="W104" s="440"/>
      <c r="X104" s="440"/>
      <c r="Y104" s="440"/>
      <c r="Z104" s="440"/>
      <c r="AA104" s="440"/>
      <c r="AB104" s="440"/>
      <c r="AC104" s="440"/>
      <c r="AD104" s="440"/>
      <c r="AE104" s="440"/>
      <c r="AF104" s="440"/>
      <c r="AG104" s="440"/>
      <c r="AH104" s="440"/>
    </row>
    <row r="105" ht="15.75" customHeight="1">
      <c r="A105" s="440"/>
      <c r="B105" s="440"/>
      <c r="C105" s="440"/>
      <c r="D105" s="440"/>
      <c r="E105" s="440"/>
      <c r="F105" s="440"/>
      <c r="G105" s="440"/>
      <c r="H105" s="440"/>
      <c r="I105" s="440"/>
      <c r="J105" s="440"/>
      <c r="K105" s="440"/>
      <c r="L105" s="440"/>
      <c r="M105" s="440"/>
      <c r="N105" s="440"/>
      <c r="O105" s="440"/>
      <c r="P105" s="440"/>
      <c r="Q105" s="440"/>
      <c r="R105" s="440"/>
      <c r="S105" s="440"/>
      <c r="T105" s="440"/>
      <c r="U105" s="440"/>
      <c r="V105" s="440"/>
      <c r="W105" s="440"/>
      <c r="X105" s="440"/>
      <c r="Y105" s="440"/>
      <c r="Z105" s="440"/>
      <c r="AA105" s="440"/>
      <c r="AB105" s="440"/>
      <c r="AC105" s="440"/>
      <c r="AD105" s="440"/>
      <c r="AE105" s="440"/>
      <c r="AF105" s="440"/>
      <c r="AG105" s="440"/>
      <c r="AH105" s="440"/>
    </row>
    <row r="106" ht="15.75" customHeight="1">
      <c r="A106" s="440"/>
      <c r="B106" s="440"/>
      <c r="C106" s="440"/>
      <c r="D106" s="440"/>
      <c r="E106" s="440"/>
      <c r="F106" s="440"/>
      <c r="G106" s="440"/>
      <c r="H106" s="440"/>
      <c r="I106" s="440"/>
      <c r="J106" s="440"/>
      <c r="K106" s="440"/>
      <c r="L106" s="440"/>
      <c r="M106" s="440"/>
      <c r="N106" s="440"/>
      <c r="O106" s="440"/>
      <c r="P106" s="440"/>
      <c r="Q106" s="440"/>
      <c r="R106" s="440"/>
      <c r="S106" s="440"/>
      <c r="T106" s="440"/>
      <c r="U106" s="440"/>
      <c r="V106" s="440"/>
      <c r="W106" s="440"/>
      <c r="X106" s="440"/>
      <c r="Y106" s="440"/>
      <c r="Z106" s="440"/>
      <c r="AA106" s="440"/>
      <c r="AB106" s="440"/>
      <c r="AC106" s="440"/>
      <c r="AD106" s="440"/>
      <c r="AE106" s="440"/>
      <c r="AF106" s="440"/>
      <c r="AG106" s="440"/>
      <c r="AH106" s="440"/>
    </row>
    <row r="107" ht="15.75" customHeight="1">
      <c r="A107" s="440"/>
      <c r="B107" s="440"/>
      <c r="C107" s="440"/>
      <c r="D107" s="440"/>
      <c r="E107" s="440"/>
      <c r="F107" s="440"/>
      <c r="G107" s="440"/>
      <c r="H107" s="440"/>
      <c r="I107" s="440"/>
      <c r="J107" s="440"/>
      <c r="K107" s="440"/>
      <c r="L107" s="440"/>
      <c r="M107" s="440"/>
      <c r="N107" s="440"/>
      <c r="O107" s="440"/>
      <c r="P107" s="440"/>
      <c r="Q107" s="440"/>
      <c r="R107" s="440"/>
      <c r="S107" s="440"/>
      <c r="T107" s="440"/>
      <c r="U107" s="440"/>
      <c r="V107" s="440"/>
      <c r="W107" s="440"/>
      <c r="X107" s="440"/>
      <c r="Y107" s="440"/>
      <c r="Z107" s="440"/>
      <c r="AA107" s="440"/>
      <c r="AB107" s="440"/>
      <c r="AC107" s="440"/>
      <c r="AD107" s="440"/>
      <c r="AE107" s="440"/>
      <c r="AF107" s="440"/>
      <c r="AG107" s="440"/>
      <c r="AH107" s="440"/>
    </row>
    <row r="108" ht="15.75" customHeight="1">
      <c r="A108" s="440"/>
      <c r="B108" s="440"/>
      <c r="C108" s="440"/>
      <c r="D108" s="440"/>
      <c r="E108" s="440"/>
      <c r="F108" s="440"/>
      <c r="G108" s="440"/>
      <c r="H108" s="440"/>
      <c r="I108" s="440"/>
      <c r="J108" s="440"/>
      <c r="K108" s="440"/>
      <c r="L108" s="440"/>
      <c r="M108" s="440"/>
      <c r="N108" s="440"/>
      <c r="O108" s="440"/>
      <c r="P108" s="440"/>
      <c r="Q108" s="440"/>
      <c r="R108" s="440"/>
      <c r="S108" s="440"/>
      <c r="T108" s="440"/>
      <c r="U108" s="440"/>
      <c r="V108" s="440"/>
      <c r="W108" s="440"/>
      <c r="X108" s="440"/>
      <c r="Y108" s="440"/>
      <c r="Z108" s="440"/>
      <c r="AA108" s="440"/>
      <c r="AB108" s="440"/>
      <c r="AC108" s="440"/>
      <c r="AD108" s="440"/>
      <c r="AE108" s="440"/>
      <c r="AF108" s="440"/>
      <c r="AG108" s="440"/>
      <c r="AH108" s="440"/>
    </row>
    <row r="109" ht="15.75" customHeight="1">
      <c r="A109" s="440"/>
      <c r="B109" s="440"/>
      <c r="C109" s="440"/>
      <c r="D109" s="440"/>
      <c r="E109" s="440"/>
      <c r="F109" s="440"/>
      <c r="G109" s="440"/>
      <c r="H109" s="440"/>
      <c r="I109" s="440"/>
      <c r="J109" s="440"/>
      <c r="K109" s="440"/>
      <c r="L109" s="440"/>
      <c r="M109" s="440"/>
      <c r="N109" s="440"/>
      <c r="O109" s="440"/>
      <c r="P109" s="440"/>
      <c r="Q109" s="440"/>
      <c r="R109" s="440"/>
      <c r="S109" s="440"/>
      <c r="T109" s="440"/>
      <c r="U109" s="440"/>
      <c r="V109" s="440"/>
      <c r="W109" s="440"/>
      <c r="X109" s="440"/>
      <c r="Y109" s="440"/>
      <c r="Z109" s="440"/>
      <c r="AA109" s="440"/>
      <c r="AB109" s="440"/>
      <c r="AC109" s="440"/>
      <c r="AD109" s="440"/>
      <c r="AE109" s="440"/>
      <c r="AF109" s="440"/>
      <c r="AG109" s="440"/>
      <c r="AH109" s="440"/>
    </row>
    <row r="110" ht="15.75" customHeight="1">
      <c r="A110" s="440"/>
      <c r="B110" s="440"/>
      <c r="C110" s="440"/>
      <c r="D110" s="440"/>
      <c r="E110" s="440"/>
      <c r="F110" s="440"/>
      <c r="G110" s="440"/>
      <c r="H110" s="440"/>
      <c r="I110" s="440"/>
      <c r="J110" s="440"/>
      <c r="K110" s="440"/>
      <c r="L110" s="440"/>
      <c r="M110" s="440"/>
      <c r="N110" s="440"/>
      <c r="O110" s="440"/>
      <c r="P110" s="440"/>
      <c r="Q110" s="440"/>
      <c r="R110" s="440"/>
      <c r="S110" s="440"/>
      <c r="T110" s="440"/>
      <c r="U110" s="440"/>
      <c r="V110" s="440"/>
      <c r="W110" s="440"/>
      <c r="X110" s="440"/>
      <c r="Y110" s="440"/>
      <c r="Z110" s="440"/>
      <c r="AA110" s="440"/>
      <c r="AB110" s="440"/>
      <c r="AC110" s="440"/>
      <c r="AD110" s="440"/>
      <c r="AE110" s="440"/>
      <c r="AF110" s="440"/>
      <c r="AG110" s="440"/>
      <c r="AH110" s="440"/>
    </row>
    <row r="111" ht="15.75" customHeight="1">
      <c r="A111" s="440"/>
      <c r="B111" s="440"/>
      <c r="C111" s="440"/>
      <c r="D111" s="440"/>
      <c r="E111" s="440"/>
      <c r="F111" s="440"/>
      <c r="G111" s="440"/>
      <c r="H111" s="440"/>
      <c r="I111" s="440"/>
      <c r="J111" s="440"/>
      <c r="K111" s="440"/>
      <c r="L111" s="440"/>
      <c r="M111" s="440"/>
      <c r="N111" s="440"/>
      <c r="O111" s="440"/>
      <c r="P111" s="440"/>
      <c r="Q111" s="440"/>
      <c r="R111" s="440"/>
      <c r="S111" s="440"/>
      <c r="T111" s="440"/>
      <c r="U111" s="440"/>
      <c r="V111" s="440"/>
      <c r="W111" s="440"/>
      <c r="X111" s="440"/>
      <c r="Y111" s="440"/>
      <c r="Z111" s="440"/>
      <c r="AA111" s="440"/>
      <c r="AB111" s="440"/>
      <c r="AC111" s="440"/>
      <c r="AD111" s="440"/>
      <c r="AE111" s="440"/>
      <c r="AF111" s="440"/>
      <c r="AG111" s="440"/>
      <c r="AH111" s="440"/>
    </row>
    <row r="112" ht="15.75" customHeight="1">
      <c r="A112" s="440"/>
      <c r="B112" s="440"/>
      <c r="C112" s="440"/>
      <c r="D112" s="440"/>
      <c r="E112" s="440"/>
      <c r="F112" s="440"/>
      <c r="G112" s="440"/>
      <c r="H112" s="440"/>
      <c r="I112" s="440"/>
      <c r="J112" s="440"/>
      <c r="K112" s="440"/>
      <c r="L112" s="440"/>
      <c r="M112" s="440"/>
      <c r="N112" s="440"/>
      <c r="O112" s="440"/>
      <c r="P112" s="440"/>
      <c r="Q112" s="440"/>
      <c r="R112" s="440"/>
      <c r="S112" s="440"/>
      <c r="T112" s="440"/>
      <c r="U112" s="440"/>
      <c r="V112" s="440"/>
      <c r="W112" s="440"/>
      <c r="X112" s="440"/>
      <c r="Y112" s="440"/>
      <c r="Z112" s="440"/>
      <c r="AA112" s="440"/>
      <c r="AB112" s="440"/>
      <c r="AC112" s="440"/>
      <c r="AD112" s="440"/>
      <c r="AE112" s="440"/>
      <c r="AF112" s="440"/>
      <c r="AG112" s="440"/>
      <c r="AH112" s="440"/>
    </row>
    <row r="113" ht="15.75" customHeight="1">
      <c r="A113" s="440"/>
      <c r="B113" s="440"/>
      <c r="C113" s="440"/>
      <c r="D113" s="440"/>
      <c r="E113" s="440"/>
      <c r="F113" s="440"/>
      <c r="G113" s="440"/>
      <c r="H113" s="440"/>
      <c r="I113" s="440"/>
      <c r="J113" s="440"/>
      <c r="K113" s="440"/>
      <c r="L113" s="440"/>
      <c r="M113" s="440"/>
      <c r="N113" s="440"/>
      <c r="O113" s="440"/>
      <c r="P113" s="440"/>
      <c r="Q113" s="440"/>
      <c r="R113" s="440"/>
      <c r="S113" s="440"/>
      <c r="T113" s="440"/>
      <c r="U113" s="440"/>
      <c r="V113" s="440"/>
      <c r="W113" s="440"/>
      <c r="X113" s="440"/>
      <c r="Y113" s="440"/>
      <c r="Z113" s="440"/>
      <c r="AA113" s="440"/>
      <c r="AB113" s="440"/>
      <c r="AC113" s="440"/>
      <c r="AD113" s="440"/>
      <c r="AE113" s="440"/>
      <c r="AF113" s="440"/>
      <c r="AG113" s="440"/>
      <c r="AH113" s="440"/>
    </row>
    <row r="114" ht="15.75" customHeight="1">
      <c r="A114" s="440"/>
      <c r="B114" s="440"/>
      <c r="C114" s="440"/>
      <c r="D114" s="440"/>
      <c r="E114" s="440"/>
      <c r="F114" s="440"/>
      <c r="G114" s="440"/>
      <c r="H114" s="440"/>
      <c r="I114" s="440"/>
      <c r="J114" s="440"/>
      <c r="K114" s="440"/>
      <c r="L114" s="440"/>
      <c r="M114" s="440"/>
      <c r="N114" s="440"/>
      <c r="O114" s="440"/>
      <c r="P114" s="440"/>
      <c r="Q114" s="440"/>
      <c r="R114" s="440"/>
      <c r="S114" s="440"/>
      <c r="T114" s="440"/>
      <c r="U114" s="440"/>
      <c r="V114" s="440"/>
      <c r="W114" s="440"/>
      <c r="X114" s="440"/>
      <c r="Y114" s="440"/>
      <c r="Z114" s="440"/>
      <c r="AA114" s="440"/>
      <c r="AB114" s="440"/>
      <c r="AC114" s="440"/>
      <c r="AD114" s="440"/>
      <c r="AE114" s="440"/>
      <c r="AF114" s="440"/>
      <c r="AG114" s="440"/>
      <c r="AH114" s="440"/>
    </row>
    <row r="115" ht="15.75" customHeight="1">
      <c r="A115" s="440"/>
      <c r="B115" s="440"/>
      <c r="C115" s="440"/>
      <c r="D115" s="440"/>
      <c r="E115" s="440"/>
      <c r="F115" s="440"/>
      <c r="G115" s="440"/>
      <c r="H115" s="440"/>
      <c r="I115" s="440"/>
      <c r="J115" s="440"/>
      <c r="K115" s="440"/>
      <c r="L115" s="440"/>
      <c r="M115" s="440"/>
      <c r="N115" s="440"/>
      <c r="O115" s="440"/>
      <c r="P115" s="440"/>
      <c r="Q115" s="440"/>
      <c r="R115" s="440"/>
      <c r="S115" s="440"/>
      <c r="T115" s="440"/>
      <c r="U115" s="440"/>
      <c r="V115" s="440"/>
      <c r="W115" s="440"/>
      <c r="X115" s="440"/>
      <c r="Y115" s="440"/>
      <c r="Z115" s="440"/>
      <c r="AA115" s="440"/>
      <c r="AB115" s="440"/>
      <c r="AC115" s="440"/>
      <c r="AD115" s="440"/>
      <c r="AE115" s="440"/>
      <c r="AF115" s="440"/>
      <c r="AG115" s="440"/>
      <c r="AH115" s="440"/>
    </row>
    <row r="116" ht="15.75" customHeight="1">
      <c r="A116" s="440"/>
      <c r="B116" s="440"/>
      <c r="C116" s="440"/>
      <c r="D116" s="440"/>
      <c r="E116" s="440"/>
      <c r="F116" s="440"/>
      <c r="G116" s="440"/>
      <c r="H116" s="440"/>
      <c r="I116" s="440"/>
      <c r="J116" s="440"/>
      <c r="K116" s="440"/>
      <c r="L116" s="440"/>
      <c r="M116" s="440"/>
      <c r="N116" s="440"/>
      <c r="O116" s="440"/>
      <c r="P116" s="440"/>
      <c r="Q116" s="440"/>
      <c r="R116" s="440"/>
      <c r="S116" s="440"/>
      <c r="T116" s="440"/>
      <c r="U116" s="440"/>
      <c r="V116" s="440"/>
      <c r="W116" s="440"/>
      <c r="X116" s="440"/>
      <c r="Y116" s="440"/>
      <c r="Z116" s="440"/>
      <c r="AA116" s="440"/>
      <c r="AB116" s="440"/>
      <c r="AC116" s="440"/>
      <c r="AD116" s="440"/>
      <c r="AE116" s="440"/>
      <c r="AF116" s="440"/>
      <c r="AG116" s="440"/>
      <c r="AH116" s="440"/>
    </row>
    <row r="117" ht="15.75" customHeight="1">
      <c r="A117" s="440"/>
      <c r="B117" s="440"/>
      <c r="C117" s="440"/>
      <c r="D117" s="440"/>
      <c r="E117" s="440"/>
      <c r="F117" s="440"/>
      <c r="G117" s="440"/>
      <c r="H117" s="440"/>
      <c r="I117" s="440"/>
      <c r="J117" s="440"/>
      <c r="K117" s="440"/>
      <c r="L117" s="440"/>
      <c r="M117" s="440"/>
      <c r="N117" s="440"/>
      <c r="O117" s="440"/>
      <c r="P117" s="440"/>
      <c r="Q117" s="440"/>
      <c r="R117" s="440"/>
      <c r="S117" s="440"/>
      <c r="T117" s="440"/>
      <c r="U117" s="440"/>
      <c r="V117" s="440"/>
      <c r="W117" s="440"/>
      <c r="X117" s="440"/>
      <c r="Y117" s="440"/>
      <c r="Z117" s="440"/>
      <c r="AA117" s="440"/>
      <c r="AB117" s="440"/>
      <c r="AC117" s="440"/>
      <c r="AD117" s="440"/>
      <c r="AE117" s="440"/>
      <c r="AF117" s="440"/>
      <c r="AG117" s="440"/>
      <c r="AH117" s="440"/>
    </row>
    <row r="118" ht="15.75" customHeight="1">
      <c r="A118" s="440"/>
      <c r="B118" s="440"/>
      <c r="C118" s="440"/>
      <c r="D118" s="440"/>
      <c r="E118" s="440"/>
      <c r="F118" s="440"/>
      <c r="G118" s="440"/>
      <c r="H118" s="440"/>
      <c r="I118" s="440"/>
      <c r="J118" s="440"/>
      <c r="K118" s="440"/>
      <c r="L118" s="440"/>
      <c r="M118" s="440"/>
      <c r="N118" s="440"/>
      <c r="O118" s="440"/>
      <c r="P118" s="440"/>
      <c r="Q118" s="440"/>
      <c r="R118" s="440"/>
      <c r="S118" s="440"/>
      <c r="T118" s="440"/>
      <c r="U118" s="440"/>
      <c r="V118" s="440"/>
      <c r="W118" s="440"/>
      <c r="X118" s="440"/>
      <c r="Y118" s="440"/>
      <c r="Z118" s="440"/>
      <c r="AA118" s="440"/>
      <c r="AB118" s="440"/>
      <c r="AC118" s="440"/>
      <c r="AD118" s="440"/>
      <c r="AE118" s="440"/>
      <c r="AF118" s="440"/>
      <c r="AG118" s="440"/>
      <c r="AH118" s="440"/>
    </row>
    <row r="119" ht="15.75" customHeight="1">
      <c r="A119" s="440"/>
      <c r="B119" s="440"/>
      <c r="C119" s="440"/>
      <c r="D119" s="440"/>
      <c r="E119" s="440"/>
      <c r="F119" s="440"/>
      <c r="G119" s="440"/>
      <c r="H119" s="440"/>
      <c r="I119" s="440"/>
      <c r="J119" s="440"/>
      <c r="K119" s="440"/>
      <c r="L119" s="440"/>
      <c r="M119" s="440"/>
      <c r="N119" s="440"/>
      <c r="O119" s="440"/>
      <c r="P119" s="440"/>
      <c r="Q119" s="440"/>
      <c r="R119" s="440"/>
      <c r="S119" s="440"/>
      <c r="T119" s="440"/>
      <c r="U119" s="440"/>
      <c r="V119" s="440"/>
      <c r="W119" s="440"/>
      <c r="X119" s="440"/>
      <c r="Y119" s="440"/>
      <c r="Z119" s="440"/>
      <c r="AA119" s="440"/>
      <c r="AB119" s="440"/>
      <c r="AC119" s="440"/>
      <c r="AD119" s="440"/>
      <c r="AE119" s="440"/>
      <c r="AF119" s="440"/>
      <c r="AG119" s="440"/>
      <c r="AH119" s="440"/>
    </row>
    <row r="120" ht="15.75" customHeight="1">
      <c r="A120" s="440"/>
      <c r="B120" s="440"/>
      <c r="C120" s="440"/>
      <c r="D120" s="440"/>
      <c r="E120" s="440"/>
      <c r="F120" s="440"/>
      <c r="G120" s="440"/>
      <c r="H120" s="440"/>
      <c r="I120" s="440"/>
      <c r="J120" s="440"/>
      <c r="K120" s="440"/>
      <c r="L120" s="440"/>
      <c r="M120" s="440"/>
      <c r="N120" s="440"/>
      <c r="O120" s="440"/>
      <c r="P120" s="440"/>
      <c r="Q120" s="440"/>
      <c r="R120" s="440"/>
      <c r="S120" s="440"/>
      <c r="T120" s="440"/>
      <c r="U120" s="440"/>
      <c r="V120" s="440"/>
      <c r="W120" s="440"/>
      <c r="X120" s="440"/>
      <c r="Y120" s="440"/>
      <c r="Z120" s="440"/>
      <c r="AA120" s="440"/>
      <c r="AB120" s="440"/>
      <c r="AC120" s="440"/>
      <c r="AD120" s="440"/>
      <c r="AE120" s="440"/>
      <c r="AF120" s="440"/>
      <c r="AG120" s="440"/>
      <c r="AH120" s="440"/>
    </row>
    <row r="121" ht="15.75" customHeight="1">
      <c r="A121" s="440"/>
      <c r="B121" s="440"/>
      <c r="C121" s="440"/>
      <c r="D121" s="440"/>
      <c r="E121" s="440"/>
      <c r="F121" s="440"/>
      <c r="G121" s="440"/>
      <c r="H121" s="440"/>
      <c r="I121" s="440"/>
      <c r="J121" s="440"/>
      <c r="K121" s="440"/>
      <c r="L121" s="440"/>
      <c r="M121" s="440"/>
      <c r="N121" s="440"/>
      <c r="O121" s="440"/>
      <c r="P121" s="440"/>
      <c r="Q121" s="440"/>
      <c r="R121" s="440"/>
      <c r="S121" s="440"/>
      <c r="T121" s="440"/>
      <c r="U121" s="440"/>
      <c r="V121" s="440"/>
      <c r="W121" s="440"/>
      <c r="X121" s="440"/>
      <c r="Y121" s="440"/>
      <c r="Z121" s="440"/>
      <c r="AA121" s="440"/>
      <c r="AB121" s="440"/>
      <c r="AC121" s="440"/>
      <c r="AD121" s="440"/>
      <c r="AE121" s="440"/>
      <c r="AF121" s="440"/>
      <c r="AG121" s="440"/>
      <c r="AH121" s="440"/>
    </row>
    <row r="122" ht="15.75" customHeight="1">
      <c r="A122" s="440"/>
      <c r="B122" s="440"/>
      <c r="C122" s="440"/>
      <c r="D122" s="440"/>
      <c r="E122" s="440"/>
      <c r="F122" s="440"/>
      <c r="G122" s="440"/>
      <c r="H122" s="440"/>
      <c r="I122" s="440"/>
      <c r="J122" s="440"/>
      <c r="K122" s="440"/>
      <c r="L122" s="440"/>
      <c r="M122" s="440"/>
      <c r="N122" s="440"/>
      <c r="O122" s="440"/>
      <c r="P122" s="440"/>
      <c r="Q122" s="440"/>
      <c r="R122" s="440"/>
      <c r="S122" s="440"/>
      <c r="T122" s="440"/>
      <c r="U122" s="440"/>
      <c r="V122" s="440"/>
      <c r="W122" s="440"/>
      <c r="X122" s="440"/>
      <c r="Y122" s="440"/>
      <c r="Z122" s="440"/>
      <c r="AA122" s="440"/>
      <c r="AB122" s="440"/>
      <c r="AC122" s="440"/>
      <c r="AD122" s="440"/>
      <c r="AE122" s="440"/>
      <c r="AF122" s="440"/>
      <c r="AG122" s="440"/>
      <c r="AH122" s="440"/>
    </row>
    <row r="123" ht="15.75" customHeight="1">
      <c r="A123" s="440"/>
      <c r="B123" s="440"/>
      <c r="C123" s="440"/>
      <c r="D123" s="440"/>
      <c r="E123" s="440"/>
      <c r="F123" s="440"/>
      <c r="G123" s="440"/>
      <c r="H123" s="440"/>
      <c r="I123" s="440"/>
      <c r="J123" s="440"/>
      <c r="K123" s="440"/>
      <c r="L123" s="440"/>
      <c r="M123" s="440"/>
      <c r="N123" s="440"/>
      <c r="O123" s="440"/>
      <c r="P123" s="440"/>
      <c r="Q123" s="440"/>
      <c r="R123" s="440"/>
      <c r="S123" s="440"/>
      <c r="T123" s="440"/>
      <c r="U123" s="440"/>
      <c r="V123" s="440"/>
      <c r="W123" s="440"/>
      <c r="X123" s="440"/>
      <c r="Y123" s="440"/>
      <c r="Z123" s="440"/>
      <c r="AA123" s="440"/>
      <c r="AB123" s="440"/>
      <c r="AC123" s="440"/>
      <c r="AD123" s="440"/>
      <c r="AE123" s="440"/>
      <c r="AF123" s="440"/>
      <c r="AG123" s="440"/>
      <c r="AH123" s="440"/>
    </row>
    <row r="124" ht="15.75" customHeight="1">
      <c r="A124" s="440"/>
      <c r="B124" s="440"/>
      <c r="C124" s="440"/>
      <c r="D124" s="440"/>
      <c r="E124" s="440"/>
      <c r="F124" s="440"/>
      <c r="G124" s="440"/>
      <c r="H124" s="440"/>
      <c r="I124" s="440"/>
      <c r="J124" s="440"/>
      <c r="K124" s="440"/>
      <c r="L124" s="440"/>
      <c r="M124" s="440"/>
      <c r="N124" s="440"/>
      <c r="O124" s="440"/>
      <c r="P124" s="440"/>
      <c r="Q124" s="440"/>
      <c r="R124" s="440"/>
      <c r="S124" s="440"/>
      <c r="T124" s="440"/>
      <c r="U124" s="440"/>
      <c r="V124" s="440"/>
      <c r="W124" s="440"/>
      <c r="X124" s="440"/>
      <c r="Y124" s="440"/>
      <c r="Z124" s="440"/>
      <c r="AA124" s="440"/>
      <c r="AB124" s="440"/>
      <c r="AC124" s="440"/>
      <c r="AD124" s="440"/>
      <c r="AE124" s="440"/>
      <c r="AF124" s="440"/>
      <c r="AG124" s="440"/>
      <c r="AH124" s="440"/>
    </row>
    <row r="125" ht="15.75" customHeight="1">
      <c r="A125" s="440"/>
      <c r="B125" s="440"/>
      <c r="C125" s="440"/>
      <c r="D125" s="440"/>
      <c r="E125" s="440"/>
      <c r="F125" s="440"/>
      <c r="G125" s="440"/>
      <c r="H125" s="440"/>
      <c r="I125" s="440"/>
      <c r="J125" s="440"/>
      <c r="K125" s="440"/>
      <c r="L125" s="440"/>
      <c r="M125" s="440"/>
      <c r="N125" s="440"/>
      <c r="O125" s="440"/>
      <c r="P125" s="440"/>
      <c r="Q125" s="440"/>
      <c r="R125" s="440"/>
      <c r="S125" s="440"/>
      <c r="T125" s="440"/>
      <c r="U125" s="440"/>
      <c r="V125" s="440"/>
      <c r="W125" s="440"/>
      <c r="X125" s="440"/>
      <c r="Y125" s="440"/>
      <c r="Z125" s="440"/>
      <c r="AA125" s="440"/>
      <c r="AB125" s="440"/>
      <c r="AC125" s="440"/>
      <c r="AD125" s="440"/>
      <c r="AE125" s="440"/>
      <c r="AF125" s="440"/>
      <c r="AG125" s="440"/>
      <c r="AH125" s="440"/>
    </row>
    <row r="126" ht="15.75" customHeight="1">
      <c r="A126" s="440"/>
      <c r="B126" s="440"/>
      <c r="C126" s="440"/>
      <c r="D126" s="440"/>
      <c r="E126" s="440"/>
      <c r="F126" s="440"/>
      <c r="G126" s="440"/>
      <c r="H126" s="440"/>
      <c r="I126" s="440"/>
      <c r="J126" s="440"/>
      <c r="K126" s="440"/>
      <c r="L126" s="440"/>
      <c r="M126" s="440"/>
      <c r="N126" s="440"/>
      <c r="O126" s="440"/>
      <c r="P126" s="440"/>
      <c r="Q126" s="440"/>
      <c r="R126" s="440"/>
      <c r="S126" s="440"/>
      <c r="T126" s="440"/>
      <c r="U126" s="440"/>
      <c r="V126" s="440"/>
      <c r="W126" s="440"/>
      <c r="X126" s="440"/>
      <c r="Y126" s="440"/>
      <c r="Z126" s="440"/>
      <c r="AA126" s="440"/>
      <c r="AB126" s="440"/>
      <c r="AC126" s="440"/>
      <c r="AD126" s="440"/>
      <c r="AE126" s="440"/>
      <c r="AF126" s="440"/>
      <c r="AG126" s="440"/>
      <c r="AH126" s="440"/>
    </row>
    <row r="127" ht="15.75" customHeight="1">
      <c r="A127" s="440"/>
      <c r="B127" s="440"/>
      <c r="C127" s="440"/>
      <c r="D127" s="440"/>
      <c r="E127" s="440"/>
      <c r="F127" s="440"/>
      <c r="G127" s="440"/>
      <c r="H127" s="440"/>
      <c r="I127" s="440"/>
      <c r="J127" s="440"/>
      <c r="K127" s="440"/>
      <c r="L127" s="440"/>
      <c r="M127" s="440"/>
      <c r="N127" s="440"/>
      <c r="O127" s="440"/>
      <c r="P127" s="440"/>
      <c r="Q127" s="440"/>
      <c r="R127" s="440"/>
      <c r="S127" s="440"/>
      <c r="T127" s="440"/>
      <c r="U127" s="440"/>
      <c r="V127" s="440"/>
      <c r="W127" s="440"/>
      <c r="X127" s="440"/>
      <c r="Y127" s="440"/>
      <c r="Z127" s="440"/>
      <c r="AA127" s="440"/>
      <c r="AB127" s="440"/>
      <c r="AC127" s="440"/>
      <c r="AD127" s="440"/>
      <c r="AE127" s="440"/>
      <c r="AF127" s="440"/>
      <c r="AG127" s="440"/>
      <c r="AH127" s="440"/>
    </row>
    <row r="128" ht="15.75" customHeight="1">
      <c r="A128" s="440"/>
      <c r="B128" s="440"/>
      <c r="C128" s="440"/>
      <c r="D128" s="440"/>
      <c r="E128" s="440"/>
      <c r="F128" s="440"/>
      <c r="G128" s="440"/>
      <c r="H128" s="440"/>
      <c r="I128" s="440"/>
      <c r="J128" s="440"/>
      <c r="K128" s="440"/>
      <c r="L128" s="440"/>
      <c r="M128" s="440"/>
      <c r="N128" s="440"/>
      <c r="O128" s="440"/>
      <c r="P128" s="440"/>
      <c r="Q128" s="440"/>
      <c r="R128" s="440"/>
      <c r="S128" s="440"/>
      <c r="T128" s="440"/>
      <c r="U128" s="440"/>
      <c r="V128" s="440"/>
      <c r="W128" s="440"/>
      <c r="X128" s="440"/>
      <c r="Y128" s="440"/>
      <c r="Z128" s="440"/>
      <c r="AA128" s="440"/>
      <c r="AB128" s="440"/>
      <c r="AC128" s="440"/>
      <c r="AD128" s="440"/>
      <c r="AE128" s="440"/>
      <c r="AF128" s="440"/>
      <c r="AG128" s="440"/>
      <c r="AH128" s="440"/>
    </row>
    <row r="129" ht="15.75" customHeight="1">
      <c r="A129" s="440"/>
      <c r="B129" s="440"/>
      <c r="C129" s="440"/>
      <c r="D129" s="440"/>
      <c r="E129" s="440"/>
      <c r="F129" s="440"/>
      <c r="G129" s="440"/>
      <c r="H129" s="440"/>
      <c r="I129" s="440"/>
      <c r="J129" s="440"/>
      <c r="K129" s="440"/>
      <c r="L129" s="440"/>
      <c r="M129" s="440"/>
      <c r="N129" s="440"/>
      <c r="O129" s="440"/>
      <c r="P129" s="440"/>
      <c r="Q129" s="440"/>
      <c r="R129" s="440"/>
      <c r="S129" s="440"/>
      <c r="T129" s="440"/>
      <c r="U129" s="440"/>
      <c r="V129" s="440"/>
      <c r="W129" s="440"/>
      <c r="X129" s="440"/>
      <c r="Y129" s="440"/>
      <c r="Z129" s="440"/>
      <c r="AA129" s="440"/>
      <c r="AB129" s="440"/>
      <c r="AC129" s="440"/>
      <c r="AD129" s="440"/>
      <c r="AE129" s="440"/>
      <c r="AF129" s="440"/>
      <c r="AG129" s="440"/>
      <c r="AH129" s="440"/>
    </row>
    <row r="130" ht="15.75" customHeight="1">
      <c r="A130" s="440"/>
      <c r="B130" s="440"/>
      <c r="C130" s="440"/>
      <c r="D130" s="440"/>
      <c r="E130" s="440"/>
      <c r="F130" s="440"/>
      <c r="G130" s="440"/>
      <c r="H130" s="440"/>
      <c r="I130" s="440"/>
      <c r="J130" s="440"/>
      <c r="K130" s="440"/>
      <c r="L130" s="440"/>
      <c r="M130" s="440"/>
      <c r="N130" s="440"/>
      <c r="O130" s="440"/>
      <c r="P130" s="440"/>
      <c r="Q130" s="440"/>
      <c r="R130" s="440"/>
      <c r="S130" s="440"/>
      <c r="T130" s="440"/>
      <c r="U130" s="440"/>
      <c r="V130" s="440"/>
      <c r="W130" s="440"/>
      <c r="X130" s="440"/>
      <c r="Y130" s="440"/>
      <c r="Z130" s="440"/>
      <c r="AA130" s="440"/>
      <c r="AB130" s="440"/>
      <c r="AC130" s="440"/>
      <c r="AD130" s="440"/>
      <c r="AE130" s="440"/>
      <c r="AF130" s="440"/>
      <c r="AG130" s="440"/>
      <c r="AH130" s="440"/>
    </row>
    <row r="131" ht="15.75" customHeight="1">
      <c r="A131" s="440"/>
      <c r="B131" s="440"/>
      <c r="C131" s="440"/>
      <c r="D131" s="440"/>
      <c r="E131" s="440"/>
      <c r="F131" s="440"/>
      <c r="G131" s="440"/>
      <c r="H131" s="440"/>
      <c r="I131" s="440"/>
      <c r="J131" s="440"/>
      <c r="K131" s="440"/>
      <c r="L131" s="440"/>
      <c r="M131" s="440"/>
      <c r="N131" s="440"/>
      <c r="O131" s="440"/>
      <c r="P131" s="440"/>
      <c r="Q131" s="440"/>
      <c r="R131" s="440"/>
      <c r="S131" s="440"/>
      <c r="T131" s="440"/>
      <c r="U131" s="440"/>
      <c r="V131" s="440"/>
      <c r="W131" s="440"/>
      <c r="X131" s="440"/>
      <c r="Y131" s="440"/>
      <c r="Z131" s="440"/>
      <c r="AA131" s="440"/>
      <c r="AB131" s="440"/>
      <c r="AC131" s="440"/>
      <c r="AD131" s="440"/>
      <c r="AE131" s="440"/>
      <c r="AF131" s="440"/>
      <c r="AG131" s="440"/>
      <c r="AH131" s="440"/>
    </row>
    <row r="132" ht="15.75" customHeight="1">
      <c r="A132" s="440"/>
      <c r="B132" s="440"/>
      <c r="C132" s="440"/>
      <c r="D132" s="440"/>
      <c r="E132" s="440"/>
      <c r="F132" s="440"/>
      <c r="G132" s="440"/>
      <c r="H132" s="440"/>
      <c r="I132" s="440"/>
      <c r="J132" s="440"/>
      <c r="K132" s="440"/>
      <c r="L132" s="440"/>
      <c r="M132" s="440"/>
      <c r="N132" s="440"/>
      <c r="O132" s="440"/>
      <c r="P132" s="440"/>
      <c r="Q132" s="440"/>
      <c r="R132" s="440"/>
      <c r="S132" s="440"/>
      <c r="T132" s="440"/>
      <c r="U132" s="440"/>
      <c r="V132" s="440"/>
      <c r="W132" s="440"/>
      <c r="X132" s="440"/>
      <c r="Y132" s="440"/>
      <c r="Z132" s="440"/>
      <c r="AA132" s="440"/>
      <c r="AB132" s="440"/>
      <c r="AC132" s="440"/>
      <c r="AD132" s="440"/>
      <c r="AE132" s="440"/>
      <c r="AF132" s="440"/>
      <c r="AG132" s="440"/>
      <c r="AH132" s="440"/>
    </row>
    <row r="133" ht="15.75" customHeight="1">
      <c r="A133" s="440"/>
      <c r="B133" s="440"/>
      <c r="C133" s="440"/>
      <c r="D133" s="440"/>
      <c r="E133" s="440"/>
      <c r="F133" s="440"/>
      <c r="G133" s="440"/>
      <c r="H133" s="440"/>
      <c r="I133" s="440"/>
      <c r="J133" s="440"/>
      <c r="K133" s="440"/>
      <c r="L133" s="440"/>
      <c r="M133" s="440"/>
      <c r="N133" s="440"/>
      <c r="O133" s="440"/>
      <c r="P133" s="440"/>
      <c r="Q133" s="440"/>
      <c r="R133" s="440"/>
      <c r="S133" s="440"/>
      <c r="T133" s="440"/>
      <c r="U133" s="440"/>
      <c r="V133" s="440"/>
      <c r="W133" s="440"/>
      <c r="X133" s="440"/>
      <c r="Y133" s="440"/>
      <c r="Z133" s="440"/>
      <c r="AA133" s="440"/>
      <c r="AB133" s="440"/>
      <c r="AC133" s="440"/>
      <c r="AD133" s="440"/>
      <c r="AE133" s="440"/>
      <c r="AF133" s="440"/>
      <c r="AG133" s="440"/>
      <c r="AH133" s="440"/>
    </row>
    <row r="134" ht="15.75" customHeight="1">
      <c r="A134" s="440"/>
      <c r="B134" s="440"/>
      <c r="C134" s="440"/>
      <c r="D134" s="440"/>
      <c r="E134" s="440"/>
      <c r="F134" s="440"/>
      <c r="G134" s="440"/>
      <c r="H134" s="440"/>
      <c r="I134" s="440"/>
      <c r="J134" s="440"/>
      <c r="K134" s="440"/>
      <c r="L134" s="440"/>
      <c r="M134" s="440"/>
      <c r="N134" s="440"/>
      <c r="O134" s="440"/>
      <c r="P134" s="440"/>
      <c r="Q134" s="440"/>
      <c r="R134" s="440"/>
      <c r="S134" s="440"/>
      <c r="T134" s="440"/>
      <c r="U134" s="440"/>
      <c r="V134" s="440"/>
      <c r="W134" s="440"/>
      <c r="X134" s="440"/>
      <c r="Y134" s="440"/>
      <c r="Z134" s="440"/>
      <c r="AA134" s="440"/>
      <c r="AB134" s="440"/>
      <c r="AC134" s="440"/>
      <c r="AD134" s="440"/>
      <c r="AE134" s="440"/>
      <c r="AF134" s="440"/>
      <c r="AG134" s="440"/>
      <c r="AH134" s="440"/>
    </row>
    <row r="135" ht="15.75" customHeight="1">
      <c r="A135" s="440"/>
      <c r="B135" s="440"/>
      <c r="C135" s="440"/>
      <c r="D135" s="440"/>
      <c r="E135" s="440"/>
      <c r="F135" s="440"/>
      <c r="G135" s="440"/>
      <c r="H135" s="440"/>
      <c r="I135" s="440"/>
      <c r="J135" s="440"/>
      <c r="K135" s="440"/>
      <c r="L135" s="440"/>
      <c r="M135" s="440"/>
      <c r="N135" s="440"/>
      <c r="O135" s="440"/>
      <c r="P135" s="440"/>
      <c r="Q135" s="440"/>
      <c r="R135" s="440"/>
      <c r="S135" s="440"/>
      <c r="T135" s="440"/>
      <c r="U135" s="440"/>
      <c r="V135" s="440"/>
      <c r="W135" s="440"/>
      <c r="X135" s="440"/>
      <c r="Y135" s="440"/>
      <c r="Z135" s="440"/>
      <c r="AA135" s="440"/>
      <c r="AB135" s="440"/>
      <c r="AC135" s="440"/>
      <c r="AD135" s="440"/>
      <c r="AE135" s="440"/>
      <c r="AF135" s="440"/>
      <c r="AG135" s="440"/>
      <c r="AH135" s="440"/>
    </row>
    <row r="136" ht="15.75" customHeight="1">
      <c r="A136" s="440"/>
      <c r="B136" s="440"/>
      <c r="C136" s="440"/>
      <c r="D136" s="440"/>
      <c r="E136" s="440"/>
      <c r="F136" s="440"/>
      <c r="G136" s="440"/>
      <c r="H136" s="440"/>
      <c r="I136" s="440"/>
      <c r="J136" s="440"/>
      <c r="K136" s="440"/>
      <c r="L136" s="440"/>
      <c r="M136" s="440"/>
      <c r="N136" s="440"/>
      <c r="O136" s="440"/>
      <c r="P136" s="440"/>
      <c r="Q136" s="440"/>
      <c r="R136" s="440"/>
      <c r="S136" s="440"/>
      <c r="T136" s="440"/>
      <c r="U136" s="440"/>
      <c r="V136" s="440"/>
      <c r="W136" s="440"/>
      <c r="X136" s="440"/>
      <c r="Y136" s="440"/>
      <c r="Z136" s="440"/>
      <c r="AA136" s="440"/>
      <c r="AB136" s="440"/>
      <c r="AC136" s="440"/>
      <c r="AD136" s="440"/>
      <c r="AE136" s="440"/>
      <c r="AF136" s="440"/>
      <c r="AG136" s="440"/>
      <c r="AH136" s="440"/>
    </row>
    <row r="137" ht="15.75" customHeight="1">
      <c r="A137" s="440"/>
      <c r="B137" s="440"/>
      <c r="C137" s="440"/>
      <c r="D137" s="440"/>
      <c r="E137" s="440"/>
      <c r="F137" s="440"/>
      <c r="G137" s="440"/>
      <c r="H137" s="440"/>
      <c r="I137" s="440"/>
      <c r="J137" s="440"/>
      <c r="K137" s="440"/>
      <c r="L137" s="440"/>
      <c r="M137" s="440"/>
      <c r="N137" s="440"/>
      <c r="O137" s="440"/>
      <c r="P137" s="440"/>
      <c r="Q137" s="440"/>
      <c r="R137" s="440"/>
      <c r="S137" s="440"/>
      <c r="T137" s="440"/>
      <c r="U137" s="440"/>
      <c r="V137" s="440"/>
      <c r="W137" s="440"/>
      <c r="X137" s="440"/>
      <c r="Y137" s="440"/>
      <c r="Z137" s="440"/>
      <c r="AA137" s="440"/>
      <c r="AB137" s="440"/>
      <c r="AC137" s="440"/>
      <c r="AD137" s="440"/>
      <c r="AE137" s="440"/>
      <c r="AF137" s="440"/>
      <c r="AG137" s="440"/>
      <c r="AH137" s="440"/>
    </row>
    <row r="138" ht="15.75" customHeight="1">
      <c r="A138" s="440"/>
      <c r="B138" s="440"/>
      <c r="C138" s="440"/>
      <c r="D138" s="440"/>
      <c r="E138" s="440"/>
      <c r="F138" s="440"/>
      <c r="G138" s="440"/>
      <c r="H138" s="440"/>
      <c r="I138" s="440"/>
      <c r="J138" s="440"/>
      <c r="K138" s="440"/>
      <c r="L138" s="440"/>
      <c r="M138" s="440"/>
      <c r="N138" s="440"/>
      <c r="O138" s="440"/>
      <c r="P138" s="440"/>
      <c r="Q138" s="440"/>
      <c r="R138" s="440"/>
      <c r="S138" s="440"/>
      <c r="T138" s="440"/>
      <c r="U138" s="440"/>
      <c r="V138" s="440"/>
      <c r="W138" s="440"/>
      <c r="X138" s="440"/>
      <c r="Y138" s="440"/>
      <c r="Z138" s="440"/>
      <c r="AA138" s="440"/>
      <c r="AB138" s="440"/>
      <c r="AC138" s="440"/>
      <c r="AD138" s="440"/>
      <c r="AE138" s="440"/>
      <c r="AF138" s="440"/>
      <c r="AG138" s="440"/>
      <c r="AH138" s="440"/>
    </row>
    <row r="139" ht="15.75" customHeight="1">
      <c r="A139" s="440"/>
      <c r="B139" s="440"/>
      <c r="C139" s="440"/>
      <c r="D139" s="440"/>
      <c r="E139" s="440"/>
      <c r="F139" s="440"/>
      <c r="G139" s="440"/>
      <c r="H139" s="440"/>
      <c r="I139" s="440"/>
      <c r="J139" s="440"/>
      <c r="K139" s="440"/>
      <c r="L139" s="440"/>
      <c r="M139" s="440"/>
      <c r="N139" s="440"/>
      <c r="O139" s="440"/>
      <c r="P139" s="440"/>
      <c r="Q139" s="440"/>
      <c r="R139" s="440"/>
      <c r="S139" s="440"/>
      <c r="T139" s="440"/>
      <c r="U139" s="440"/>
      <c r="V139" s="440"/>
      <c r="W139" s="440"/>
      <c r="X139" s="440"/>
      <c r="Y139" s="440"/>
      <c r="Z139" s="440"/>
      <c r="AA139" s="440"/>
      <c r="AB139" s="440"/>
      <c r="AC139" s="440"/>
      <c r="AD139" s="440"/>
      <c r="AE139" s="440"/>
      <c r="AF139" s="440"/>
      <c r="AG139" s="440"/>
      <c r="AH139" s="440"/>
    </row>
    <row r="140" ht="15.75" customHeight="1">
      <c r="A140" s="440"/>
      <c r="B140" s="440"/>
      <c r="C140" s="440"/>
      <c r="D140" s="440"/>
      <c r="E140" s="440"/>
      <c r="F140" s="440"/>
      <c r="G140" s="440"/>
      <c r="H140" s="440"/>
      <c r="I140" s="440"/>
      <c r="J140" s="440"/>
      <c r="K140" s="440"/>
      <c r="L140" s="440"/>
      <c r="M140" s="440"/>
      <c r="N140" s="440"/>
      <c r="O140" s="440"/>
      <c r="P140" s="440"/>
      <c r="Q140" s="440"/>
      <c r="R140" s="440"/>
      <c r="S140" s="440"/>
      <c r="T140" s="440"/>
      <c r="U140" s="440"/>
      <c r="V140" s="440"/>
      <c r="W140" s="440"/>
      <c r="X140" s="440"/>
      <c r="Y140" s="440"/>
      <c r="Z140" s="440"/>
      <c r="AA140" s="440"/>
      <c r="AB140" s="440"/>
      <c r="AC140" s="440"/>
      <c r="AD140" s="440"/>
      <c r="AE140" s="440"/>
      <c r="AF140" s="440"/>
      <c r="AG140" s="440"/>
      <c r="AH140" s="440"/>
    </row>
    <row r="141" ht="15.75" customHeight="1">
      <c r="A141" s="440"/>
      <c r="B141" s="440"/>
      <c r="C141" s="440"/>
      <c r="D141" s="440"/>
      <c r="E141" s="440"/>
      <c r="F141" s="440"/>
      <c r="G141" s="440"/>
      <c r="H141" s="440"/>
      <c r="I141" s="440"/>
      <c r="J141" s="440"/>
      <c r="K141" s="440"/>
      <c r="L141" s="440"/>
      <c r="M141" s="440"/>
      <c r="N141" s="440"/>
      <c r="O141" s="440"/>
      <c r="P141" s="440"/>
      <c r="Q141" s="440"/>
      <c r="R141" s="440"/>
      <c r="S141" s="440"/>
      <c r="T141" s="440"/>
      <c r="U141" s="440"/>
      <c r="V141" s="440"/>
      <c r="W141" s="440"/>
      <c r="X141" s="440"/>
      <c r="Y141" s="440"/>
      <c r="Z141" s="440"/>
      <c r="AA141" s="440"/>
      <c r="AB141" s="440"/>
      <c r="AC141" s="440"/>
      <c r="AD141" s="440"/>
      <c r="AE141" s="440"/>
      <c r="AF141" s="440"/>
      <c r="AG141" s="440"/>
      <c r="AH141" s="440"/>
    </row>
    <row r="142" ht="15.75" customHeight="1">
      <c r="A142" s="440"/>
      <c r="B142" s="440"/>
      <c r="C142" s="440"/>
      <c r="D142" s="440"/>
      <c r="E142" s="440"/>
      <c r="F142" s="440"/>
      <c r="G142" s="440"/>
      <c r="H142" s="440"/>
      <c r="I142" s="440"/>
      <c r="J142" s="440"/>
      <c r="K142" s="440"/>
      <c r="L142" s="440"/>
      <c r="M142" s="440"/>
      <c r="N142" s="440"/>
      <c r="O142" s="440"/>
      <c r="P142" s="440"/>
      <c r="Q142" s="440"/>
      <c r="R142" s="440"/>
      <c r="S142" s="440"/>
      <c r="T142" s="440"/>
      <c r="U142" s="440"/>
      <c r="V142" s="440"/>
      <c r="W142" s="440"/>
      <c r="X142" s="440"/>
      <c r="Y142" s="440"/>
      <c r="Z142" s="440"/>
      <c r="AA142" s="440"/>
      <c r="AB142" s="440"/>
      <c r="AC142" s="440"/>
      <c r="AD142" s="440"/>
      <c r="AE142" s="440"/>
      <c r="AF142" s="440"/>
      <c r="AG142" s="440"/>
      <c r="AH142" s="440"/>
    </row>
    <row r="143" ht="15.75" customHeight="1">
      <c r="A143" s="440"/>
      <c r="B143" s="440"/>
      <c r="C143" s="440"/>
      <c r="D143" s="440"/>
      <c r="E143" s="440"/>
      <c r="F143" s="440"/>
      <c r="G143" s="440"/>
      <c r="H143" s="440"/>
      <c r="I143" s="440"/>
      <c r="J143" s="440"/>
      <c r="K143" s="440"/>
      <c r="L143" s="440"/>
      <c r="M143" s="440"/>
      <c r="N143" s="440"/>
      <c r="O143" s="440"/>
      <c r="P143" s="440"/>
      <c r="Q143" s="440"/>
      <c r="R143" s="440"/>
      <c r="S143" s="440"/>
      <c r="T143" s="440"/>
      <c r="U143" s="440"/>
      <c r="V143" s="440"/>
      <c r="W143" s="440"/>
      <c r="X143" s="440"/>
      <c r="Y143" s="440"/>
      <c r="Z143" s="440"/>
      <c r="AA143" s="440"/>
      <c r="AB143" s="440"/>
      <c r="AC143" s="440"/>
      <c r="AD143" s="440"/>
      <c r="AE143" s="440"/>
      <c r="AF143" s="440"/>
      <c r="AG143" s="440"/>
      <c r="AH143" s="440"/>
    </row>
    <row r="144" ht="15.75" customHeight="1">
      <c r="A144" s="440"/>
      <c r="B144" s="440"/>
      <c r="C144" s="440"/>
      <c r="D144" s="440"/>
      <c r="E144" s="440"/>
      <c r="F144" s="440"/>
      <c r="G144" s="440"/>
      <c r="H144" s="440"/>
      <c r="I144" s="440"/>
      <c r="J144" s="440"/>
      <c r="K144" s="440"/>
      <c r="L144" s="440"/>
      <c r="M144" s="440"/>
      <c r="N144" s="440"/>
      <c r="O144" s="440"/>
      <c r="P144" s="440"/>
      <c r="Q144" s="440"/>
      <c r="R144" s="440"/>
      <c r="S144" s="440"/>
      <c r="T144" s="440"/>
      <c r="U144" s="440"/>
      <c r="V144" s="440"/>
      <c r="W144" s="440"/>
      <c r="X144" s="440"/>
      <c r="Y144" s="440"/>
      <c r="Z144" s="440"/>
      <c r="AA144" s="440"/>
      <c r="AB144" s="440"/>
      <c r="AC144" s="440"/>
      <c r="AD144" s="440"/>
      <c r="AE144" s="440"/>
      <c r="AF144" s="440"/>
      <c r="AG144" s="440"/>
      <c r="AH144" s="440"/>
    </row>
    <row r="145" ht="15.75" customHeight="1">
      <c r="A145" s="440"/>
      <c r="B145" s="440"/>
      <c r="C145" s="440"/>
      <c r="D145" s="440"/>
      <c r="E145" s="440"/>
      <c r="F145" s="440"/>
      <c r="G145" s="440"/>
      <c r="H145" s="440"/>
      <c r="I145" s="440"/>
      <c r="J145" s="440"/>
      <c r="K145" s="440"/>
      <c r="L145" s="440"/>
      <c r="M145" s="440"/>
      <c r="N145" s="440"/>
      <c r="O145" s="440"/>
      <c r="P145" s="440"/>
      <c r="Q145" s="440"/>
      <c r="R145" s="440"/>
      <c r="S145" s="440"/>
      <c r="T145" s="440"/>
      <c r="U145" s="440"/>
      <c r="V145" s="440"/>
      <c r="W145" s="440"/>
      <c r="X145" s="440"/>
      <c r="Y145" s="440"/>
      <c r="Z145" s="440"/>
      <c r="AA145" s="440"/>
      <c r="AB145" s="440"/>
      <c r="AC145" s="440"/>
      <c r="AD145" s="440"/>
      <c r="AE145" s="440"/>
      <c r="AF145" s="440"/>
      <c r="AG145" s="440"/>
      <c r="AH145" s="440"/>
    </row>
    <row r="146" ht="15.75" customHeight="1">
      <c r="A146" s="440"/>
      <c r="B146" s="440"/>
      <c r="C146" s="440"/>
      <c r="D146" s="440"/>
      <c r="E146" s="440"/>
      <c r="F146" s="440"/>
      <c r="G146" s="440"/>
      <c r="H146" s="440"/>
      <c r="I146" s="440"/>
      <c r="J146" s="440"/>
      <c r="K146" s="440"/>
      <c r="L146" s="440"/>
      <c r="M146" s="440"/>
      <c r="N146" s="440"/>
      <c r="O146" s="440"/>
      <c r="P146" s="440"/>
      <c r="Q146" s="440"/>
      <c r="R146" s="440"/>
      <c r="S146" s="440"/>
      <c r="T146" s="440"/>
      <c r="U146" s="440"/>
      <c r="V146" s="440"/>
      <c r="W146" s="440"/>
      <c r="X146" s="440"/>
      <c r="Y146" s="440"/>
      <c r="Z146" s="440"/>
      <c r="AA146" s="440"/>
      <c r="AB146" s="440"/>
      <c r="AC146" s="440"/>
      <c r="AD146" s="440"/>
      <c r="AE146" s="440"/>
      <c r="AF146" s="440"/>
      <c r="AG146" s="440"/>
      <c r="AH146" s="440"/>
    </row>
    <row r="147" ht="15.75" customHeight="1">
      <c r="A147" s="440"/>
      <c r="B147" s="440"/>
      <c r="C147" s="440"/>
      <c r="D147" s="440"/>
      <c r="E147" s="440"/>
      <c r="F147" s="440"/>
      <c r="G147" s="440"/>
      <c r="H147" s="440"/>
      <c r="I147" s="440"/>
      <c r="J147" s="440"/>
      <c r="K147" s="440"/>
      <c r="L147" s="440"/>
      <c r="M147" s="440"/>
      <c r="N147" s="440"/>
      <c r="O147" s="440"/>
      <c r="P147" s="440"/>
      <c r="Q147" s="440"/>
      <c r="R147" s="440"/>
      <c r="S147" s="440"/>
      <c r="T147" s="440"/>
      <c r="U147" s="440"/>
      <c r="V147" s="440"/>
      <c r="W147" s="440"/>
      <c r="X147" s="440"/>
      <c r="Y147" s="440"/>
      <c r="Z147" s="440"/>
      <c r="AA147" s="440"/>
      <c r="AB147" s="440"/>
      <c r="AC147" s="440"/>
      <c r="AD147" s="440"/>
      <c r="AE147" s="440"/>
      <c r="AF147" s="440"/>
      <c r="AG147" s="440"/>
      <c r="AH147" s="440"/>
    </row>
    <row r="148" ht="15.75" customHeight="1">
      <c r="A148" s="440"/>
      <c r="B148" s="440"/>
      <c r="C148" s="440"/>
      <c r="D148" s="440"/>
      <c r="E148" s="440"/>
      <c r="F148" s="440"/>
      <c r="G148" s="440"/>
      <c r="H148" s="440"/>
      <c r="I148" s="440"/>
      <c r="J148" s="440"/>
      <c r="K148" s="440"/>
      <c r="L148" s="440"/>
      <c r="M148" s="440"/>
      <c r="N148" s="440"/>
      <c r="O148" s="440"/>
      <c r="P148" s="440"/>
      <c r="Q148" s="440"/>
      <c r="R148" s="440"/>
      <c r="S148" s="440"/>
      <c r="T148" s="440"/>
      <c r="U148" s="440"/>
      <c r="V148" s="440"/>
      <c r="W148" s="440"/>
      <c r="X148" s="440"/>
      <c r="Y148" s="440"/>
      <c r="Z148" s="440"/>
      <c r="AA148" s="440"/>
      <c r="AB148" s="440"/>
      <c r="AC148" s="440"/>
      <c r="AD148" s="440"/>
      <c r="AE148" s="440"/>
      <c r="AF148" s="440"/>
      <c r="AG148" s="440"/>
      <c r="AH148" s="440"/>
    </row>
    <row r="149" ht="15.75" customHeight="1">
      <c r="A149" s="440"/>
      <c r="B149" s="440"/>
      <c r="C149" s="440"/>
      <c r="D149" s="440"/>
      <c r="E149" s="440"/>
      <c r="F149" s="440"/>
      <c r="G149" s="440"/>
      <c r="H149" s="440"/>
      <c r="I149" s="440"/>
      <c r="J149" s="440"/>
      <c r="K149" s="440"/>
      <c r="L149" s="440"/>
      <c r="M149" s="440"/>
      <c r="N149" s="440"/>
      <c r="O149" s="440"/>
      <c r="P149" s="440"/>
      <c r="Q149" s="440"/>
      <c r="R149" s="440"/>
      <c r="S149" s="440"/>
      <c r="T149" s="440"/>
      <c r="U149" s="440"/>
      <c r="V149" s="440"/>
      <c r="W149" s="440"/>
      <c r="X149" s="440"/>
      <c r="Y149" s="440"/>
      <c r="Z149" s="440"/>
      <c r="AA149" s="440"/>
      <c r="AB149" s="440"/>
      <c r="AC149" s="440"/>
      <c r="AD149" s="440"/>
      <c r="AE149" s="440"/>
      <c r="AF149" s="440"/>
      <c r="AG149" s="440"/>
      <c r="AH149" s="440"/>
    </row>
    <row r="150" ht="15.75" customHeight="1">
      <c r="A150" s="440"/>
      <c r="B150" s="440"/>
      <c r="C150" s="440"/>
      <c r="D150" s="440"/>
      <c r="E150" s="440"/>
      <c r="F150" s="440"/>
      <c r="G150" s="440"/>
      <c r="H150" s="440"/>
      <c r="I150" s="440"/>
      <c r="J150" s="440"/>
      <c r="K150" s="440"/>
      <c r="L150" s="440"/>
      <c r="M150" s="440"/>
      <c r="N150" s="440"/>
      <c r="O150" s="440"/>
      <c r="P150" s="440"/>
      <c r="Q150" s="440"/>
      <c r="R150" s="440"/>
      <c r="S150" s="440"/>
      <c r="T150" s="440"/>
      <c r="U150" s="440"/>
      <c r="V150" s="440"/>
      <c r="W150" s="440"/>
      <c r="X150" s="440"/>
      <c r="Y150" s="440"/>
      <c r="Z150" s="440"/>
      <c r="AA150" s="440"/>
      <c r="AB150" s="440"/>
      <c r="AC150" s="440"/>
      <c r="AD150" s="440"/>
      <c r="AE150" s="440"/>
      <c r="AF150" s="440"/>
      <c r="AG150" s="440"/>
      <c r="AH150" s="440"/>
    </row>
    <row r="151" ht="15.75" customHeight="1">
      <c r="A151" s="440"/>
      <c r="B151" s="440"/>
      <c r="C151" s="440"/>
      <c r="D151" s="440"/>
      <c r="E151" s="440"/>
      <c r="F151" s="440"/>
      <c r="G151" s="440"/>
      <c r="H151" s="440"/>
      <c r="I151" s="440"/>
      <c r="J151" s="440"/>
      <c r="K151" s="440"/>
      <c r="L151" s="440"/>
      <c r="M151" s="440"/>
      <c r="N151" s="440"/>
      <c r="O151" s="440"/>
      <c r="P151" s="440"/>
      <c r="Q151" s="440"/>
      <c r="R151" s="440"/>
      <c r="S151" s="440"/>
      <c r="T151" s="440"/>
      <c r="U151" s="440"/>
      <c r="V151" s="440"/>
      <c r="W151" s="440"/>
      <c r="X151" s="440"/>
      <c r="Y151" s="440"/>
      <c r="Z151" s="440"/>
      <c r="AA151" s="440"/>
      <c r="AB151" s="440"/>
      <c r="AC151" s="440"/>
      <c r="AD151" s="440"/>
      <c r="AE151" s="440"/>
      <c r="AF151" s="440"/>
      <c r="AG151" s="440"/>
      <c r="AH151" s="440"/>
    </row>
    <row r="152" ht="15.75" customHeight="1">
      <c r="A152" s="440"/>
      <c r="B152" s="440"/>
      <c r="C152" s="440"/>
      <c r="D152" s="440"/>
      <c r="E152" s="440"/>
      <c r="F152" s="440"/>
      <c r="G152" s="440"/>
      <c r="H152" s="440"/>
      <c r="I152" s="440"/>
      <c r="J152" s="440"/>
      <c r="K152" s="440"/>
      <c r="L152" s="440"/>
      <c r="M152" s="440"/>
      <c r="N152" s="440"/>
      <c r="O152" s="440"/>
      <c r="P152" s="440"/>
      <c r="Q152" s="440"/>
      <c r="R152" s="440"/>
      <c r="S152" s="440"/>
      <c r="T152" s="440"/>
      <c r="U152" s="440"/>
      <c r="V152" s="440"/>
      <c r="W152" s="440"/>
      <c r="X152" s="440"/>
      <c r="Y152" s="440"/>
      <c r="Z152" s="440"/>
      <c r="AA152" s="440"/>
      <c r="AB152" s="440"/>
      <c r="AC152" s="440"/>
      <c r="AD152" s="440"/>
      <c r="AE152" s="440"/>
      <c r="AF152" s="440"/>
      <c r="AG152" s="440"/>
      <c r="AH152" s="440"/>
    </row>
    <row r="153" ht="15.75" customHeight="1">
      <c r="A153" s="440"/>
      <c r="B153" s="440"/>
      <c r="C153" s="440"/>
      <c r="D153" s="440"/>
      <c r="E153" s="440"/>
      <c r="F153" s="440"/>
      <c r="G153" s="440"/>
      <c r="H153" s="440"/>
      <c r="I153" s="440"/>
      <c r="J153" s="440"/>
      <c r="K153" s="440"/>
      <c r="L153" s="440"/>
      <c r="M153" s="440"/>
      <c r="N153" s="440"/>
      <c r="O153" s="440"/>
      <c r="P153" s="440"/>
      <c r="Q153" s="440"/>
      <c r="R153" s="440"/>
      <c r="S153" s="440"/>
      <c r="T153" s="440"/>
      <c r="U153" s="440"/>
      <c r="V153" s="440"/>
      <c r="W153" s="440"/>
      <c r="X153" s="440"/>
      <c r="Y153" s="440"/>
      <c r="Z153" s="440"/>
      <c r="AA153" s="440"/>
      <c r="AB153" s="440"/>
      <c r="AC153" s="440"/>
      <c r="AD153" s="440"/>
      <c r="AE153" s="440"/>
      <c r="AF153" s="440"/>
      <c r="AG153" s="440"/>
      <c r="AH153" s="440"/>
    </row>
    <row r="154" ht="15.75" customHeight="1">
      <c r="A154" s="440"/>
      <c r="B154" s="440"/>
      <c r="C154" s="440"/>
      <c r="D154" s="440"/>
      <c r="E154" s="440"/>
      <c r="F154" s="440"/>
      <c r="G154" s="440"/>
      <c r="H154" s="440"/>
      <c r="I154" s="440"/>
      <c r="J154" s="440"/>
      <c r="K154" s="440"/>
      <c r="L154" s="440"/>
      <c r="M154" s="440"/>
      <c r="N154" s="440"/>
      <c r="O154" s="440"/>
      <c r="P154" s="440"/>
      <c r="Q154" s="440"/>
      <c r="R154" s="440"/>
      <c r="S154" s="440"/>
      <c r="T154" s="440"/>
      <c r="U154" s="440"/>
      <c r="V154" s="440"/>
      <c r="W154" s="440"/>
      <c r="X154" s="440"/>
      <c r="Y154" s="440"/>
      <c r="Z154" s="440"/>
      <c r="AA154" s="440"/>
      <c r="AB154" s="440"/>
      <c r="AC154" s="440"/>
      <c r="AD154" s="440"/>
      <c r="AE154" s="440"/>
      <c r="AF154" s="440"/>
      <c r="AG154" s="440"/>
      <c r="AH154" s="440"/>
    </row>
    <row r="155" ht="15.75" customHeight="1">
      <c r="A155" s="440"/>
      <c r="B155" s="440"/>
      <c r="C155" s="440"/>
      <c r="D155" s="440"/>
      <c r="E155" s="440"/>
      <c r="F155" s="440"/>
      <c r="G155" s="440"/>
      <c r="H155" s="440"/>
      <c r="I155" s="440"/>
      <c r="J155" s="440"/>
      <c r="K155" s="440"/>
      <c r="L155" s="440"/>
      <c r="M155" s="440"/>
      <c r="N155" s="440"/>
      <c r="O155" s="440"/>
      <c r="P155" s="440"/>
      <c r="Q155" s="440"/>
      <c r="R155" s="440"/>
      <c r="S155" s="440"/>
      <c r="T155" s="440"/>
      <c r="U155" s="440"/>
      <c r="V155" s="440"/>
      <c r="W155" s="440"/>
      <c r="X155" s="440"/>
      <c r="Y155" s="440"/>
      <c r="Z155" s="440"/>
      <c r="AA155" s="440"/>
      <c r="AB155" s="440"/>
      <c r="AC155" s="440"/>
      <c r="AD155" s="440"/>
      <c r="AE155" s="440"/>
      <c r="AF155" s="440"/>
      <c r="AG155" s="440"/>
      <c r="AH155" s="440"/>
    </row>
    <row r="156" ht="15.75" customHeight="1">
      <c r="A156" s="440"/>
      <c r="B156" s="440"/>
      <c r="C156" s="440"/>
      <c r="D156" s="440"/>
      <c r="E156" s="440"/>
      <c r="F156" s="440"/>
      <c r="G156" s="440"/>
      <c r="H156" s="440"/>
      <c r="I156" s="440"/>
      <c r="J156" s="440"/>
      <c r="K156" s="440"/>
      <c r="L156" s="440"/>
      <c r="M156" s="440"/>
      <c r="N156" s="440"/>
      <c r="O156" s="440"/>
      <c r="P156" s="440"/>
      <c r="Q156" s="440"/>
      <c r="R156" s="440"/>
      <c r="S156" s="440"/>
      <c r="T156" s="440"/>
      <c r="U156" s="440"/>
      <c r="V156" s="440"/>
      <c r="W156" s="440"/>
      <c r="X156" s="440"/>
      <c r="Y156" s="440"/>
      <c r="Z156" s="440"/>
      <c r="AA156" s="440"/>
      <c r="AB156" s="440"/>
      <c r="AC156" s="440"/>
      <c r="AD156" s="440"/>
      <c r="AE156" s="440"/>
      <c r="AF156" s="440"/>
      <c r="AG156" s="440"/>
      <c r="AH156" s="440"/>
    </row>
    <row r="157" ht="15.75" customHeight="1">
      <c r="A157" s="440"/>
      <c r="B157" s="440"/>
      <c r="C157" s="440"/>
      <c r="D157" s="440"/>
      <c r="E157" s="440"/>
      <c r="F157" s="440"/>
      <c r="G157" s="440"/>
      <c r="H157" s="440"/>
      <c r="I157" s="440"/>
      <c r="J157" s="440"/>
      <c r="K157" s="440"/>
      <c r="L157" s="440"/>
      <c r="M157" s="440"/>
      <c r="N157" s="440"/>
      <c r="O157" s="440"/>
      <c r="P157" s="440"/>
      <c r="Q157" s="440"/>
      <c r="R157" s="440"/>
      <c r="S157" s="440"/>
      <c r="T157" s="440"/>
      <c r="U157" s="440"/>
      <c r="V157" s="440"/>
      <c r="W157" s="440"/>
      <c r="X157" s="440"/>
      <c r="Y157" s="440"/>
      <c r="Z157" s="440"/>
      <c r="AA157" s="440"/>
      <c r="AB157" s="440"/>
      <c r="AC157" s="440"/>
      <c r="AD157" s="440"/>
      <c r="AE157" s="440"/>
      <c r="AF157" s="440"/>
      <c r="AG157" s="440"/>
      <c r="AH157" s="440"/>
    </row>
    <row r="158" ht="15.75" customHeight="1">
      <c r="A158" s="440"/>
      <c r="B158" s="440"/>
      <c r="C158" s="440"/>
      <c r="D158" s="440"/>
      <c r="E158" s="440"/>
      <c r="F158" s="440"/>
      <c r="G158" s="440"/>
      <c r="H158" s="440"/>
      <c r="I158" s="440"/>
      <c r="J158" s="440"/>
      <c r="K158" s="440"/>
      <c r="L158" s="440"/>
      <c r="M158" s="440"/>
      <c r="N158" s="440"/>
      <c r="O158" s="440"/>
      <c r="P158" s="440"/>
      <c r="Q158" s="440"/>
      <c r="R158" s="440"/>
      <c r="S158" s="440"/>
      <c r="T158" s="440"/>
      <c r="U158" s="440"/>
      <c r="V158" s="440"/>
      <c r="W158" s="440"/>
      <c r="X158" s="440"/>
      <c r="Y158" s="440"/>
      <c r="Z158" s="440"/>
      <c r="AA158" s="440"/>
      <c r="AB158" s="440"/>
      <c r="AC158" s="440"/>
      <c r="AD158" s="440"/>
      <c r="AE158" s="440"/>
      <c r="AF158" s="440"/>
      <c r="AG158" s="440"/>
      <c r="AH158" s="440"/>
    </row>
    <row r="159" ht="15.75" customHeight="1">
      <c r="A159" s="440"/>
      <c r="B159" s="440"/>
      <c r="C159" s="440"/>
      <c r="D159" s="440"/>
      <c r="E159" s="440"/>
      <c r="F159" s="440"/>
      <c r="G159" s="440"/>
      <c r="H159" s="440"/>
      <c r="I159" s="440"/>
      <c r="J159" s="440"/>
      <c r="K159" s="440"/>
      <c r="L159" s="440"/>
      <c r="M159" s="440"/>
      <c r="N159" s="440"/>
      <c r="O159" s="440"/>
      <c r="P159" s="440"/>
      <c r="Q159" s="440"/>
      <c r="R159" s="440"/>
      <c r="S159" s="440"/>
      <c r="T159" s="440"/>
      <c r="U159" s="440"/>
      <c r="V159" s="440"/>
      <c r="W159" s="440"/>
      <c r="X159" s="440"/>
      <c r="Y159" s="440"/>
      <c r="Z159" s="440"/>
      <c r="AA159" s="440"/>
      <c r="AB159" s="440"/>
      <c r="AC159" s="440"/>
      <c r="AD159" s="440"/>
      <c r="AE159" s="440"/>
      <c r="AF159" s="440"/>
      <c r="AG159" s="440"/>
      <c r="AH159" s="440"/>
    </row>
    <row r="160" ht="15.75" customHeight="1">
      <c r="A160" s="440"/>
      <c r="B160" s="440"/>
      <c r="C160" s="440"/>
      <c r="D160" s="440"/>
      <c r="E160" s="440"/>
      <c r="F160" s="440"/>
      <c r="G160" s="440"/>
      <c r="H160" s="440"/>
      <c r="I160" s="440"/>
      <c r="J160" s="440"/>
      <c r="K160" s="440"/>
      <c r="L160" s="440"/>
      <c r="M160" s="440"/>
      <c r="N160" s="440"/>
      <c r="O160" s="440"/>
      <c r="P160" s="440"/>
      <c r="Q160" s="440"/>
      <c r="R160" s="440"/>
      <c r="S160" s="440"/>
      <c r="T160" s="440"/>
      <c r="U160" s="440"/>
      <c r="V160" s="440"/>
      <c r="W160" s="440"/>
      <c r="X160" s="440"/>
      <c r="Y160" s="440"/>
      <c r="Z160" s="440"/>
      <c r="AA160" s="440"/>
      <c r="AB160" s="440"/>
      <c r="AC160" s="440"/>
      <c r="AD160" s="440"/>
      <c r="AE160" s="440"/>
      <c r="AF160" s="440"/>
      <c r="AG160" s="440"/>
      <c r="AH160" s="440"/>
    </row>
    <row r="161" ht="15.75" customHeight="1">
      <c r="A161" s="440"/>
      <c r="B161" s="440"/>
      <c r="C161" s="440"/>
      <c r="D161" s="440"/>
      <c r="E161" s="440"/>
      <c r="F161" s="440"/>
      <c r="G161" s="440"/>
      <c r="H161" s="440"/>
      <c r="I161" s="440"/>
      <c r="J161" s="440"/>
      <c r="K161" s="440"/>
      <c r="L161" s="440"/>
      <c r="M161" s="440"/>
      <c r="N161" s="440"/>
      <c r="O161" s="440"/>
      <c r="P161" s="440"/>
      <c r="Q161" s="440"/>
      <c r="R161" s="440"/>
      <c r="S161" s="440"/>
      <c r="T161" s="440"/>
      <c r="U161" s="440"/>
      <c r="V161" s="440"/>
      <c r="W161" s="440"/>
      <c r="X161" s="440"/>
      <c r="Y161" s="440"/>
      <c r="Z161" s="440"/>
      <c r="AA161" s="440"/>
      <c r="AB161" s="440"/>
      <c r="AC161" s="440"/>
      <c r="AD161" s="440"/>
      <c r="AE161" s="440"/>
      <c r="AF161" s="440"/>
      <c r="AG161" s="440"/>
      <c r="AH161" s="440"/>
    </row>
    <row r="162" ht="15.75" customHeight="1">
      <c r="A162" s="440"/>
      <c r="B162" s="440"/>
      <c r="C162" s="440"/>
      <c r="D162" s="440"/>
      <c r="E162" s="440"/>
      <c r="F162" s="440"/>
      <c r="G162" s="440"/>
      <c r="H162" s="440"/>
      <c r="I162" s="440"/>
      <c r="J162" s="440"/>
      <c r="K162" s="440"/>
      <c r="L162" s="440"/>
      <c r="M162" s="440"/>
      <c r="N162" s="440"/>
      <c r="O162" s="440"/>
      <c r="P162" s="440"/>
      <c r="Q162" s="440"/>
      <c r="R162" s="440"/>
      <c r="S162" s="440"/>
      <c r="T162" s="440"/>
      <c r="U162" s="440"/>
      <c r="V162" s="440"/>
      <c r="W162" s="440"/>
      <c r="X162" s="440"/>
      <c r="Y162" s="440"/>
      <c r="Z162" s="440"/>
      <c r="AA162" s="440"/>
      <c r="AB162" s="440"/>
      <c r="AC162" s="440"/>
      <c r="AD162" s="440"/>
      <c r="AE162" s="440"/>
      <c r="AF162" s="440"/>
      <c r="AG162" s="440"/>
      <c r="AH162" s="440"/>
    </row>
    <row r="163" ht="15.75" customHeight="1">
      <c r="A163" s="440"/>
      <c r="B163" s="440"/>
      <c r="C163" s="440"/>
      <c r="D163" s="440"/>
      <c r="E163" s="440"/>
      <c r="F163" s="440"/>
      <c r="G163" s="440"/>
      <c r="H163" s="440"/>
      <c r="I163" s="440"/>
      <c r="J163" s="440"/>
      <c r="K163" s="440"/>
      <c r="L163" s="440"/>
      <c r="M163" s="440"/>
      <c r="N163" s="440"/>
      <c r="O163" s="440"/>
      <c r="P163" s="440"/>
      <c r="Q163" s="440"/>
      <c r="R163" s="440"/>
      <c r="S163" s="440"/>
      <c r="T163" s="440"/>
      <c r="U163" s="440"/>
      <c r="V163" s="440"/>
      <c r="W163" s="440"/>
      <c r="X163" s="440"/>
      <c r="Y163" s="440"/>
      <c r="Z163" s="440"/>
      <c r="AA163" s="440"/>
      <c r="AB163" s="440"/>
      <c r="AC163" s="440"/>
      <c r="AD163" s="440"/>
      <c r="AE163" s="440"/>
      <c r="AF163" s="440"/>
      <c r="AG163" s="440"/>
      <c r="AH163" s="440"/>
    </row>
    <row r="164" ht="15.75" customHeight="1">
      <c r="A164" s="440"/>
      <c r="B164" s="440"/>
      <c r="C164" s="440"/>
      <c r="D164" s="440"/>
      <c r="E164" s="440"/>
      <c r="F164" s="440"/>
      <c r="G164" s="440"/>
      <c r="H164" s="440"/>
      <c r="I164" s="440"/>
      <c r="J164" s="440"/>
      <c r="K164" s="440"/>
      <c r="L164" s="440"/>
      <c r="M164" s="440"/>
      <c r="N164" s="440"/>
      <c r="O164" s="440"/>
      <c r="P164" s="440"/>
      <c r="Q164" s="440"/>
      <c r="R164" s="440"/>
      <c r="S164" s="440"/>
      <c r="T164" s="440"/>
      <c r="U164" s="440"/>
      <c r="V164" s="440"/>
      <c r="W164" s="440"/>
      <c r="X164" s="440"/>
      <c r="Y164" s="440"/>
      <c r="Z164" s="440"/>
      <c r="AA164" s="440"/>
      <c r="AB164" s="440"/>
      <c r="AC164" s="440"/>
      <c r="AD164" s="440"/>
      <c r="AE164" s="440"/>
      <c r="AF164" s="440"/>
      <c r="AG164" s="440"/>
      <c r="AH164" s="440"/>
    </row>
    <row r="165" ht="15.75" customHeight="1">
      <c r="A165" s="440"/>
      <c r="B165" s="440"/>
      <c r="C165" s="440"/>
      <c r="D165" s="440"/>
      <c r="E165" s="440"/>
      <c r="F165" s="440"/>
      <c r="G165" s="440"/>
      <c r="H165" s="440"/>
      <c r="I165" s="440"/>
      <c r="J165" s="440"/>
      <c r="K165" s="440"/>
      <c r="L165" s="440"/>
      <c r="M165" s="440"/>
      <c r="N165" s="440"/>
      <c r="O165" s="440"/>
      <c r="P165" s="440"/>
      <c r="Q165" s="440"/>
      <c r="R165" s="440"/>
      <c r="S165" s="440"/>
      <c r="T165" s="440"/>
      <c r="U165" s="440"/>
      <c r="V165" s="440"/>
      <c r="W165" s="440"/>
      <c r="X165" s="440"/>
      <c r="Y165" s="440"/>
      <c r="Z165" s="440"/>
      <c r="AA165" s="440"/>
      <c r="AB165" s="440"/>
      <c r="AC165" s="440"/>
      <c r="AD165" s="440"/>
      <c r="AE165" s="440"/>
      <c r="AF165" s="440"/>
      <c r="AG165" s="440"/>
      <c r="AH165" s="440"/>
    </row>
    <row r="166" ht="15.75" customHeight="1">
      <c r="A166" s="440"/>
      <c r="B166" s="440"/>
      <c r="C166" s="440"/>
      <c r="D166" s="440"/>
      <c r="E166" s="440"/>
      <c r="F166" s="440"/>
      <c r="G166" s="440"/>
      <c r="H166" s="440"/>
      <c r="I166" s="440"/>
      <c r="J166" s="440"/>
      <c r="K166" s="440"/>
      <c r="L166" s="440"/>
      <c r="M166" s="440"/>
      <c r="N166" s="440"/>
      <c r="O166" s="440"/>
      <c r="P166" s="440"/>
      <c r="Q166" s="440"/>
      <c r="R166" s="440"/>
      <c r="S166" s="440"/>
      <c r="T166" s="440"/>
      <c r="U166" s="440"/>
      <c r="V166" s="440"/>
      <c r="W166" s="440"/>
      <c r="X166" s="440"/>
      <c r="Y166" s="440"/>
      <c r="Z166" s="440"/>
      <c r="AA166" s="440"/>
      <c r="AB166" s="440"/>
      <c r="AC166" s="440"/>
      <c r="AD166" s="440"/>
      <c r="AE166" s="440"/>
      <c r="AF166" s="440"/>
      <c r="AG166" s="440"/>
      <c r="AH166" s="440"/>
    </row>
    <row r="167" ht="15.75" customHeight="1">
      <c r="A167" s="440"/>
      <c r="B167" s="440"/>
      <c r="C167" s="440"/>
      <c r="D167" s="440"/>
      <c r="E167" s="440"/>
      <c r="F167" s="440"/>
      <c r="G167" s="440"/>
      <c r="H167" s="440"/>
      <c r="I167" s="440"/>
      <c r="J167" s="440"/>
      <c r="K167" s="440"/>
      <c r="L167" s="440"/>
      <c r="M167" s="440"/>
      <c r="N167" s="440"/>
      <c r="O167" s="440"/>
      <c r="P167" s="440"/>
      <c r="Q167" s="440"/>
      <c r="R167" s="440"/>
      <c r="S167" s="440"/>
      <c r="T167" s="440"/>
      <c r="U167" s="440"/>
      <c r="V167" s="440"/>
      <c r="W167" s="440"/>
      <c r="X167" s="440"/>
      <c r="Y167" s="440"/>
      <c r="Z167" s="440"/>
      <c r="AA167" s="440"/>
      <c r="AB167" s="440"/>
      <c r="AC167" s="440"/>
      <c r="AD167" s="440"/>
      <c r="AE167" s="440"/>
      <c r="AF167" s="440"/>
      <c r="AG167" s="440"/>
      <c r="AH167" s="440"/>
    </row>
    <row r="168" ht="15.75" customHeight="1">
      <c r="A168" s="440"/>
      <c r="B168" s="440"/>
      <c r="C168" s="440"/>
      <c r="D168" s="440"/>
      <c r="E168" s="440"/>
      <c r="F168" s="440"/>
      <c r="G168" s="440"/>
      <c r="H168" s="440"/>
      <c r="I168" s="440"/>
      <c r="J168" s="440"/>
      <c r="K168" s="440"/>
      <c r="L168" s="440"/>
      <c r="M168" s="440"/>
      <c r="N168" s="440"/>
      <c r="O168" s="440"/>
      <c r="P168" s="440"/>
      <c r="Q168" s="440"/>
      <c r="R168" s="440"/>
      <c r="S168" s="440"/>
      <c r="T168" s="440"/>
      <c r="U168" s="440"/>
      <c r="V168" s="440"/>
      <c r="W168" s="440"/>
      <c r="X168" s="440"/>
      <c r="Y168" s="440"/>
      <c r="Z168" s="440"/>
      <c r="AA168" s="440"/>
      <c r="AB168" s="440"/>
      <c r="AC168" s="440"/>
      <c r="AD168" s="440"/>
      <c r="AE168" s="440"/>
      <c r="AF168" s="440"/>
      <c r="AG168" s="440"/>
      <c r="AH168" s="440"/>
    </row>
    <row r="169" ht="15.75" customHeight="1">
      <c r="A169" s="440"/>
      <c r="B169" s="440"/>
      <c r="C169" s="440"/>
      <c r="D169" s="440"/>
      <c r="E169" s="440"/>
      <c r="F169" s="440"/>
      <c r="G169" s="440"/>
      <c r="H169" s="440"/>
      <c r="I169" s="440"/>
      <c r="J169" s="440"/>
      <c r="K169" s="440"/>
      <c r="L169" s="440"/>
      <c r="M169" s="440"/>
      <c r="N169" s="440"/>
      <c r="O169" s="440"/>
      <c r="P169" s="440"/>
      <c r="Q169" s="440"/>
      <c r="R169" s="440"/>
      <c r="S169" s="440"/>
      <c r="T169" s="440"/>
      <c r="U169" s="440"/>
      <c r="V169" s="440"/>
      <c r="W169" s="440"/>
      <c r="X169" s="440"/>
      <c r="Y169" s="440"/>
      <c r="Z169" s="440"/>
      <c r="AA169" s="440"/>
      <c r="AB169" s="440"/>
      <c r="AC169" s="440"/>
      <c r="AD169" s="440"/>
      <c r="AE169" s="440"/>
      <c r="AF169" s="440"/>
      <c r="AG169" s="440"/>
      <c r="AH169" s="440"/>
    </row>
    <row r="170" ht="15.75" customHeight="1">
      <c r="A170" s="440"/>
      <c r="B170" s="440"/>
      <c r="C170" s="440"/>
      <c r="D170" s="440"/>
      <c r="E170" s="440"/>
      <c r="F170" s="440"/>
      <c r="G170" s="440"/>
      <c r="H170" s="440"/>
      <c r="I170" s="440"/>
      <c r="J170" s="440"/>
      <c r="K170" s="440"/>
      <c r="L170" s="440"/>
      <c r="M170" s="440"/>
      <c r="N170" s="440"/>
      <c r="O170" s="440"/>
      <c r="P170" s="440"/>
      <c r="Q170" s="440"/>
      <c r="R170" s="440"/>
      <c r="S170" s="440"/>
      <c r="T170" s="440"/>
      <c r="U170" s="440"/>
      <c r="V170" s="440"/>
      <c r="W170" s="440"/>
      <c r="X170" s="440"/>
      <c r="Y170" s="440"/>
      <c r="Z170" s="440"/>
      <c r="AA170" s="440"/>
      <c r="AB170" s="440"/>
      <c r="AC170" s="440"/>
      <c r="AD170" s="440"/>
      <c r="AE170" s="440"/>
      <c r="AF170" s="440"/>
      <c r="AG170" s="440"/>
      <c r="AH170" s="440"/>
    </row>
    <row r="171" ht="15.75" customHeight="1">
      <c r="A171" s="440"/>
      <c r="B171" s="440"/>
      <c r="C171" s="440"/>
      <c r="D171" s="440"/>
      <c r="E171" s="440"/>
      <c r="F171" s="440"/>
      <c r="G171" s="440"/>
      <c r="H171" s="440"/>
      <c r="I171" s="440"/>
      <c r="J171" s="440"/>
      <c r="K171" s="440"/>
      <c r="L171" s="440"/>
      <c r="M171" s="440"/>
      <c r="N171" s="440"/>
      <c r="O171" s="440"/>
      <c r="P171" s="440"/>
      <c r="Q171" s="440"/>
      <c r="R171" s="440"/>
      <c r="S171" s="440"/>
      <c r="T171" s="440"/>
      <c r="U171" s="440"/>
      <c r="V171" s="440"/>
      <c r="W171" s="440"/>
      <c r="X171" s="440"/>
      <c r="Y171" s="440"/>
      <c r="Z171" s="440"/>
      <c r="AA171" s="440"/>
      <c r="AB171" s="440"/>
      <c r="AC171" s="440"/>
      <c r="AD171" s="440"/>
      <c r="AE171" s="440"/>
      <c r="AF171" s="440"/>
      <c r="AG171" s="440"/>
      <c r="AH171" s="440"/>
    </row>
    <row r="172" ht="15.75" customHeight="1">
      <c r="A172" s="440"/>
      <c r="B172" s="440"/>
      <c r="C172" s="440"/>
      <c r="D172" s="440"/>
      <c r="E172" s="440"/>
      <c r="F172" s="440"/>
      <c r="G172" s="440"/>
      <c r="H172" s="440"/>
      <c r="I172" s="440"/>
      <c r="J172" s="440"/>
      <c r="K172" s="440"/>
      <c r="L172" s="440"/>
      <c r="M172" s="440"/>
      <c r="N172" s="440"/>
      <c r="O172" s="440"/>
      <c r="P172" s="440"/>
      <c r="Q172" s="440"/>
      <c r="R172" s="440"/>
      <c r="S172" s="440"/>
      <c r="T172" s="440"/>
      <c r="U172" s="440"/>
      <c r="V172" s="440"/>
      <c r="W172" s="440"/>
      <c r="X172" s="440"/>
      <c r="Y172" s="440"/>
      <c r="Z172" s="440"/>
      <c r="AA172" s="440"/>
      <c r="AB172" s="440"/>
      <c r="AC172" s="440"/>
      <c r="AD172" s="440"/>
      <c r="AE172" s="440"/>
      <c r="AF172" s="440"/>
      <c r="AG172" s="440"/>
      <c r="AH172" s="440"/>
    </row>
    <row r="173" ht="15.75" customHeight="1">
      <c r="A173" s="440"/>
      <c r="B173" s="440"/>
      <c r="C173" s="440"/>
      <c r="D173" s="440"/>
      <c r="E173" s="440"/>
      <c r="F173" s="440"/>
      <c r="G173" s="440"/>
      <c r="H173" s="440"/>
      <c r="I173" s="440"/>
      <c r="J173" s="440"/>
      <c r="K173" s="440"/>
      <c r="L173" s="440"/>
      <c r="M173" s="440"/>
      <c r="N173" s="440"/>
      <c r="O173" s="440"/>
      <c r="P173" s="440"/>
      <c r="Q173" s="440"/>
      <c r="R173" s="440"/>
      <c r="S173" s="440"/>
      <c r="T173" s="440"/>
      <c r="U173" s="440"/>
      <c r="V173" s="440"/>
      <c r="W173" s="440"/>
      <c r="X173" s="440"/>
      <c r="Y173" s="440"/>
      <c r="Z173" s="440"/>
      <c r="AA173" s="440"/>
      <c r="AB173" s="440"/>
      <c r="AC173" s="440"/>
      <c r="AD173" s="440"/>
      <c r="AE173" s="440"/>
      <c r="AF173" s="440"/>
      <c r="AG173" s="440"/>
      <c r="AH173" s="440"/>
    </row>
    <row r="174" ht="15.75" customHeight="1">
      <c r="A174" s="440"/>
      <c r="B174" s="440"/>
      <c r="C174" s="440"/>
      <c r="D174" s="440"/>
      <c r="E174" s="440"/>
      <c r="F174" s="440"/>
      <c r="G174" s="440"/>
      <c r="H174" s="440"/>
      <c r="I174" s="440"/>
      <c r="J174" s="440"/>
      <c r="K174" s="440"/>
      <c r="L174" s="440"/>
      <c r="M174" s="440"/>
      <c r="N174" s="440"/>
      <c r="O174" s="440"/>
      <c r="P174" s="440"/>
      <c r="Q174" s="440"/>
      <c r="R174" s="440"/>
      <c r="S174" s="440"/>
      <c r="T174" s="440"/>
      <c r="U174" s="440"/>
      <c r="V174" s="440"/>
      <c r="W174" s="440"/>
      <c r="X174" s="440"/>
      <c r="Y174" s="440"/>
      <c r="Z174" s="440"/>
      <c r="AA174" s="440"/>
      <c r="AB174" s="440"/>
      <c r="AC174" s="440"/>
      <c r="AD174" s="440"/>
      <c r="AE174" s="440"/>
      <c r="AF174" s="440"/>
      <c r="AG174" s="440"/>
      <c r="AH174" s="440"/>
    </row>
    <row r="175" ht="15.75" customHeight="1">
      <c r="A175" s="440"/>
      <c r="B175" s="440"/>
      <c r="C175" s="440"/>
      <c r="D175" s="440"/>
      <c r="E175" s="440"/>
      <c r="F175" s="440"/>
      <c r="G175" s="440"/>
      <c r="H175" s="440"/>
      <c r="I175" s="440"/>
      <c r="J175" s="440"/>
      <c r="K175" s="440"/>
      <c r="L175" s="440"/>
      <c r="M175" s="440"/>
      <c r="N175" s="440"/>
      <c r="O175" s="440"/>
      <c r="P175" s="440"/>
      <c r="Q175" s="440"/>
      <c r="R175" s="440"/>
      <c r="S175" s="440"/>
      <c r="T175" s="440"/>
      <c r="U175" s="440"/>
      <c r="V175" s="440"/>
      <c r="W175" s="440"/>
      <c r="X175" s="440"/>
      <c r="Y175" s="440"/>
      <c r="Z175" s="440"/>
      <c r="AA175" s="440"/>
      <c r="AB175" s="440"/>
      <c r="AC175" s="440"/>
      <c r="AD175" s="440"/>
      <c r="AE175" s="440"/>
      <c r="AF175" s="440"/>
      <c r="AG175" s="440"/>
      <c r="AH175" s="440"/>
    </row>
    <row r="176" ht="15.75" customHeight="1">
      <c r="A176" s="440"/>
      <c r="B176" s="440"/>
      <c r="C176" s="440"/>
      <c r="D176" s="440"/>
      <c r="E176" s="440"/>
      <c r="F176" s="440"/>
      <c r="G176" s="440"/>
      <c r="H176" s="440"/>
      <c r="I176" s="440"/>
      <c r="J176" s="440"/>
      <c r="K176" s="440"/>
      <c r="L176" s="440"/>
      <c r="M176" s="440"/>
      <c r="N176" s="440"/>
      <c r="O176" s="440"/>
      <c r="P176" s="440"/>
      <c r="Q176" s="440"/>
      <c r="R176" s="440"/>
      <c r="S176" s="440"/>
      <c r="T176" s="440"/>
      <c r="U176" s="440"/>
      <c r="V176" s="440"/>
      <c r="W176" s="440"/>
      <c r="X176" s="440"/>
      <c r="Y176" s="440"/>
      <c r="Z176" s="440"/>
      <c r="AA176" s="440"/>
      <c r="AB176" s="440"/>
      <c r="AC176" s="440"/>
      <c r="AD176" s="440"/>
      <c r="AE176" s="440"/>
      <c r="AF176" s="440"/>
      <c r="AG176" s="440"/>
      <c r="AH176" s="440"/>
    </row>
    <row r="177" ht="15.75" customHeight="1">
      <c r="A177" s="440"/>
      <c r="B177" s="440"/>
      <c r="C177" s="440"/>
      <c r="D177" s="440"/>
      <c r="E177" s="440"/>
      <c r="F177" s="440"/>
      <c r="G177" s="440"/>
      <c r="H177" s="440"/>
      <c r="I177" s="440"/>
      <c r="J177" s="440"/>
      <c r="K177" s="440"/>
      <c r="L177" s="440"/>
      <c r="M177" s="440"/>
      <c r="N177" s="440"/>
      <c r="O177" s="440"/>
      <c r="P177" s="440"/>
      <c r="Q177" s="440"/>
      <c r="R177" s="440"/>
      <c r="S177" s="440"/>
      <c r="T177" s="440"/>
      <c r="U177" s="440"/>
      <c r="V177" s="440"/>
      <c r="W177" s="440"/>
      <c r="X177" s="440"/>
      <c r="Y177" s="440"/>
      <c r="Z177" s="440"/>
      <c r="AA177" s="440"/>
      <c r="AB177" s="440"/>
      <c r="AC177" s="440"/>
      <c r="AD177" s="440"/>
      <c r="AE177" s="440"/>
      <c r="AF177" s="440"/>
      <c r="AG177" s="440"/>
      <c r="AH177" s="440"/>
    </row>
    <row r="178" ht="15.75" customHeight="1">
      <c r="A178" s="440"/>
      <c r="B178" s="440"/>
      <c r="C178" s="440"/>
      <c r="D178" s="440"/>
      <c r="E178" s="440"/>
      <c r="F178" s="440"/>
      <c r="G178" s="440"/>
      <c r="H178" s="440"/>
      <c r="I178" s="440"/>
      <c r="J178" s="440"/>
      <c r="K178" s="440"/>
      <c r="L178" s="440"/>
      <c r="M178" s="440"/>
      <c r="N178" s="440"/>
      <c r="O178" s="440"/>
      <c r="P178" s="440"/>
      <c r="Q178" s="440"/>
      <c r="R178" s="440"/>
      <c r="S178" s="440"/>
      <c r="T178" s="440"/>
      <c r="U178" s="440"/>
      <c r="V178" s="440"/>
      <c r="W178" s="440"/>
      <c r="X178" s="440"/>
      <c r="Y178" s="440"/>
      <c r="Z178" s="440"/>
      <c r="AA178" s="440"/>
      <c r="AB178" s="440"/>
      <c r="AC178" s="440"/>
      <c r="AD178" s="440"/>
      <c r="AE178" s="440"/>
      <c r="AF178" s="440"/>
      <c r="AG178" s="440"/>
      <c r="AH178" s="440"/>
    </row>
    <row r="179" ht="15.75" customHeight="1">
      <c r="A179" s="440"/>
      <c r="B179" s="440"/>
      <c r="C179" s="440"/>
      <c r="D179" s="440"/>
      <c r="E179" s="440"/>
      <c r="F179" s="440"/>
      <c r="G179" s="440"/>
      <c r="H179" s="440"/>
      <c r="I179" s="440"/>
      <c r="J179" s="440"/>
      <c r="K179" s="440"/>
      <c r="L179" s="440"/>
      <c r="M179" s="440"/>
      <c r="N179" s="440"/>
      <c r="O179" s="440"/>
      <c r="P179" s="440"/>
      <c r="Q179" s="440"/>
      <c r="R179" s="440"/>
      <c r="S179" s="440"/>
      <c r="T179" s="440"/>
      <c r="U179" s="440"/>
      <c r="V179" s="440"/>
      <c r="W179" s="440"/>
      <c r="X179" s="440"/>
      <c r="Y179" s="440"/>
      <c r="Z179" s="440"/>
      <c r="AA179" s="440"/>
      <c r="AB179" s="440"/>
      <c r="AC179" s="440"/>
      <c r="AD179" s="440"/>
      <c r="AE179" s="440"/>
      <c r="AF179" s="440"/>
      <c r="AG179" s="440"/>
      <c r="AH179" s="440"/>
    </row>
    <row r="180" ht="15.75" customHeight="1">
      <c r="A180" s="440"/>
      <c r="B180" s="440"/>
      <c r="C180" s="440"/>
      <c r="D180" s="440"/>
      <c r="E180" s="440"/>
      <c r="F180" s="440"/>
      <c r="G180" s="440"/>
      <c r="H180" s="440"/>
      <c r="I180" s="440"/>
      <c r="J180" s="440"/>
      <c r="K180" s="440"/>
      <c r="L180" s="440"/>
      <c r="M180" s="440"/>
      <c r="N180" s="440"/>
      <c r="O180" s="440"/>
      <c r="P180" s="440"/>
      <c r="Q180" s="440"/>
      <c r="R180" s="440"/>
      <c r="S180" s="440"/>
      <c r="T180" s="440"/>
      <c r="U180" s="440"/>
      <c r="V180" s="440"/>
      <c r="W180" s="440"/>
      <c r="X180" s="440"/>
      <c r="Y180" s="440"/>
      <c r="Z180" s="440"/>
      <c r="AA180" s="440"/>
      <c r="AB180" s="440"/>
      <c r="AC180" s="440"/>
      <c r="AD180" s="440"/>
      <c r="AE180" s="440"/>
      <c r="AF180" s="440"/>
      <c r="AG180" s="440"/>
      <c r="AH180" s="440"/>
    </row>
    <row r="181" ht="15.75" customHeight="1">
      <c r="A181" s="440"/>
      <c r="B181" s="440"/>
      <c r="C181" s="440"/>
      <c r="D181" s="440"/>
      <c r="E181" s="440"/>
      <c r="F181" s="440"/>
      <c r="G181" s="440"/>
      <c r="H181" s="440"/>
      <c r="I181" s="440"/>
      <c r="J181" s="440"/>
      <c r="K181" s="440"/>
      <c r="L181" s="440"/>
      <c r="M181" s="440"/>
      <c r="N181" s="440"/>
      <c r="O181" s="440"/>
      <c r="P181" s="440"/>
      <c r="Q181" s="440"/>
      <c r="R181" s="440"/>
      <c r="S181" s="440"/>
      <c r="T181" s="440"/>
      <c r="U181" s="440"/>
      <c r="V181" s="440"/>
      <c r="W181" s="440"/>
      <c r="X181" s="440"/>
      <c r="Y181" s="440"/>
      <c r="Z181" s="440"/>
      <c r="AA181" s="440"/>
      <c r="AB181" s="440"/>
      <c r="AC181" s="440"/>
      <c r="AD181" s="440"/>
      <c r="AE181" s="440"/>
      <c r="AF181" s="440"/>
      <c r="AG181" s="440"/>
      <c r="AH181" s="440"/>
    </row>
    <row r="182" ht="15.75" customHeight="1">
      <c r="A182" s="440"/>
      <c r="B182" s="440"/>
      <c r="C182" s="440"/>
      <c r="D182" s="440"/>
      <c r="E182" s="440"/>
      <c r="F182" s="440"/>
      <c r="G182" s="440"/>
      <c r="H182" s="440"/>
      <c r="I182" s="440"/>
      <c r="J182" s="440"/>
      <c r="K182" s="440"/>
      <c r="L182" s="440"/>
      <c r="M182" s="440"/>
      <c r="N182" s="440"/>
      <c r="O182" s="440"/>
      <c r="P182" s="440"/>
      <c r="Q182" s="440"/>
      <c r="R182" s="440"/>
      <c r="S182" s="440"/>
      <c r="T182" s="440"/>
      <c r="U182" s="440"/>
      <c r="V182" s="440"/>
      <c r="W182" s="440"/>
      <c r="X182" s="440"/>
      <c r="Y182" s="440"/>
      <c r="Z182" s="440"/>
      <c r="AA182" s="440"/>
      <c r="AB182" s="440"/>
      <c r="AC182" s="440"/>
      <c r="AD182" s="440"/>
      <c r="AE182" s="440"/>
      <c r="AF182" s="440"/>
      <c r="AG182" s="440"/>
      <c r="AH182" s="440"/>
    </row>
    <row r="183" ht="15.75" customHeight="1">
      <c r="A183" s="440"/>
      <c r="B183" s="440"/>
      <c r="C183" s="440"/>
      <c r="D183" s="440"/>
      <c r="E183" s="440"/>
      <c r="F183" s="440"/>
      <c r="G183" s="440"/>
      <c r="H183" s="440"/>
      <c r="I183" s="440"/>
      <c r="J183" s="440"/>
      <c r="K183" s="440"/>
      <c r="L183" s="440"/>
      <c r="M183" s="440"/>
      <c r="N183" s="440"/>
      <c r="O183" s="440"/>
      <c r="P183" s="440"/>
      <c r="Q183" s="440"/>
      <c r="R183" s="440"/>
      <c r="S183" s="440"/>
      <c r="T183" s="440"/>
      <c r="U183" s="440"/>
      <c r="V183" s="440"/>
      <c r="W183" s="440"/>
      <c r="X183" s="440"/>
      <c r="Y183" s="440"/>
      <c r="Z183" s="440"/>
      <c r="AA183" s="440"/>
      <c r="AB183" s="440"/>
      <c r="AC183" s="440"/>
      <c r="AD183" s="440"/>
      <c r="AE183" s="440"/>
      <c r="AF183" s="440"/>
      <c r="AG183" s="440"/>
      <c r="AH183" s="440"/>
    </row>
    <row r="184" ht="15.75" customHeight="1">
      <c r="A184" s="440"/>
      <c r="B184" s="440"/>
      <c r="C184" s="440"/>
      <c r="D184" s="440"/>
      <c r="E184" s="440"/>
      <c r="F184" s="440"/>
      <c r="G184" s="440"/>
      <c r="H184" s="440"/>
      <c r="I184" s="440"/>
      <c r="J184" s="440"/>
      <c r="K184" s="440"/>
      <c r="L184" s="440"/>
      <c r="M184" s="440"/>
      <c r="N184" s="440"/>
      <c r="O184" s="440"/>
      <c r="P184" s="440"/>
      <c r="Q184" s="440"/>
      <c r="R184" s="440"/>
      <c r="S184" s="440"/>
      <c r="T184" s="440"/>
      <c r="U184" s="440"/>
      <c r="V184" s="440"/>
      <c r="W184" s="440"/>
      <c r="X184" s="440"/>
      <c r="Y184" s="440"/>
      <c r="Z184" s="440"/>
      <c r="AA184" s="440"/>
      <c r="AB184" s="440"/>
      <c r="AC184" s="440"/>
      <c r="AD184" s="440"/>
      <c r="AE184" s="440"/>
      <c r="AF184" s="440"/>
      <c r="AG184" s="440"/>
      <c r="AH184" s="440"/>
    </row>
    <row r="185" ht="15.75" customHeight="1">
      <c r="A185" s="440"/>
      <c r="B185" s="440"/>
      <c r="C185" s="440"/>
      <c r="D185" s="440"/>
      <c r="E185" s="440"/>
      <c r="F185" s="440"/>
      <c r="G185" s="440"/>
      <c r="H185" s="440"/>
      <c r="I185" s="440"/>
      <c r="J185" s="440"/>
      <c r="K185" s="440"/>
      <c r="L185" s="440"/>
      <c r="M185" s="440"/>
      <c r="N185" s="440"/>
      <c r="O185" s="440"/>
      <c r="P185" s="440"/>
      <c r="Q185" s="440"/>
      <c r="R185" s="440"/>
      <c r="S185" s="440"/>
      <c r="T185" s="440"/>
      <c r="U185" s="440"/>
      <c r="V185" s="440"/>
      <c r="W185" s="440"/>
      <c r="X185" s="440"/>
      <c r="Y185" s="440"/>
      <c r="Z185" s="440"/>
      <c r="AA185" s="440"/>
      <c r="AB185" s="440"/>
      <c r="AC185" s="440"/>
      <c r="AD185" s="440"/>
      <c r="AE185" s="440"/>
      <c r="AF185" s="440"/>
      <c r="AG185" s="440"/>
      <c r="AH185" s="440"/>
    </row>
    <row r="186" ht="15.75" customHeight="1">
      <c r="A186" s="440"/>
      <c r="B186" s="440"/>
      <c r="C186" s="440"/>
      <c r="D186" s="440"/>
      <c r="E186" s="440"/>
      <c r="F186" s="440"/>
      <c r="G186" s="440"/>
      <c r="H186" s="440"/>
      <c r="I186" s="440"/>
      <c r="J186" s="440"/>
      <c r="K186" s="440"/>
      <c r="L186" s="440"/>
      <c r="M186" s="440"/>
      <c r="N186" s="440"/>
      <c r="O186" s="440"/>
      <c r="P186" s="440"/>
      <c r="Q186" s="440"/>
      <c r="R186" s="440"/>
      <c r="S186" s="440"/>
      <c r="T186" s="440"/>
      <c r="U186" s="440"/>
      <c r="V186" s="440"/>
      <c r="W186" s="440"/>
      <c r="X186" s="440"/>
      <c r="Y186" s="440"/>
      <c r="Z186" s="440"/>
      <c r="AA186" s="440"/>
      <c r="AB186" s="440"/>
      <c r="AC186" s="440"/>
      <c r="AD186" s="440"/>
      <c r="AE186" s="440"/>
      <c r="AF186" s="440"/>
      <c r="AG186" s="440"/>
      <c r="AH186" s="440"/>
    </row>
    <row r="187" ht="15.75" customHeight="1">
      <c r="A187" s="440"/>
      <c r="B187" s="440"/>
      <c r="C187" s="440"/>
      <c r="D187" s="440"/>
      <c r="E187" s="440"/>
      <c r="F187" s="440"/>
      <c r="G187" s="440"/>
      <c r="H187" s="440"/>
      <c r="I187" s="440"/>
      <c r="J187" s="440"/>
      <c r="K187" s="440"/>
      <c r="L187" s="440"/>
      <c r="M187" s="440"/>
      <c r="N187" s="440"/>
      <c r="O187" s="440"/>
      <c r="P187" s="440"/>
      <c r="Q187" s="440"/>
      <c r="R187" s="440"/>
      <c r="S187" s="440"/>
      <c r="T187" s="440"/>
      <c r="U187" s="440"/>
      <c r="V187" s="440"/>
      <c r="W187" s="440"/>
      <c r="X187" s="440"/>
      <c r="Y187" s="440"/>
      <c r="Z187" s="440"/>
      <c r="AA187" s="440"/>
      <c r="AB187" s="440"/>
      <c r="AC187" s="440"/>
      <c r="AD187" s="440"/>
      <c r="AE187" s="440"/>
      <c r="AF187" s="440"/>
      <c r="AG187" s="440"/>
      <c r="AH187" s="440"/>
    </row>
    <row r="188" ht="15.75" customHeight="1">
      <c r="A188" s="440"/>
      <c r="B188" s="440"/>
      <c r="C188" s="440"/>
      <c r="D188" s="440"/>
      <c r="E188" s="440"/>
      <c r="F188" s="440"/>
      <c r="G188" s="440"/>
      <c r="H188" s="440"/>
      <c r="I188" s="440"/>
      <c r="J188" s="440"/>
      <c r="K188" s="440"/>
      <c r="L188" s="440"/>
      <c r="M188" s="440"/>
      <c r="N188" s="440"/>
      <c r="O188" s="440"/>
      <c r="P188" s="440"/>
      <c r="Q188" s="440"/>
      <c r="R188" s="440"/>
      <c r="S188" s="440"/>
      <c r="T188" s="440"/>
      <c r="U188" s="440"/>
      <c r="V188" s="440"/>
      <c r="W188" s="440"/>
      <c r="X188" s="440"/>
      <c r="Y188" s="440"/>
      <c r="Z188" s="440"/>
      <c r="AA188" s="440"/>
      <c r="AB188" s="440"/>
      <c r="AC188" s="440"/>
      <c r="AD188" s="440"/>
      <c r="AE188" s="440"/>
      <c r="AF188" s="440"/>
      <c r="AG188" s="440"/>
      <c r="AH188" s="440"/>
    </row>
    <row r="189" ht="15.75" customHeight="1">
      <c r="A189" s="440"/>
      <c r="B189" s="440"/>
      <c r="C189" s="440"/>
      <c r="D189" s="440"/>
      <c r="E189" s="440"/>
      <c r="F189" s="440"/>
      <c r="G189" s="440"/>
      <c r="H189" s="440"/>
      <c r="I189" s="440"/>
      <c r="J189" s="440"/>
      <c r="K189" s="440"/>
      <c r="L189" s="440"/>
      <c r="M189" s="440"/>
      <c r="N189" s="440"/>
      <c r="O189" s="440"/>
      <c r="P189" s="440"/>
      <c r="Q189" s="440"/>
      <c r="R189" s="440"/>
      <c r="S189" s="440"/>
      <c r="T189" s="440"/>
      <c r="U189" s="440"/>
      <c r="V189" s="440"/>
      <c r="W189" s="440"/>
      <c r="X189" s="440"/>
      <c r="Y189" s="440"/>
      <c r="Z189" s="440"/>
      <c r="AA189" s="440"/>
      <c r="AB189" s="440"/>
      <c r="AC189" s="440"/>
      <c r="AD189" s="440"/>
      <c r="AE189" s="440"/>
      <c r="AF189" s="440"/>
      <c r="AG189" s="440"/>
      <c r="AH189" s="440"/>
    </row>
    <row r="190" ht="15.75" customHeight="1">
      <c r="A190" s="440"/>
      <c r="B190" s="440"/>
      <c r="C190" s="440"/>
      <c r="D190" s="440"/>
      <c r="E190" s="440"/>
      <c r="F190" s="440"/>
      <c r="G190" s="440"/>
      <c r="H190" s="440"/>
      <c r="I190" s="440"/>
      <c r="J190" s="440"/>
      <c r="K190" s="440"/>
      <c r="L190" s="440"/>
      <c r="M190" s="440"/>
      <c r="N190" s="440"/>
      <c r="O190" s="440"/>
      <c r="P190" s="440"/>
      <c r="Q190" s="440"/>
      <c r="R190" s="440"/>
      <c r="S190" s="440"/>
      <c r="T190" s="440"/>
      <c r="U190" s="440"/>
      <c r="V190" s="440"/>
      <c r="W190" s="440"/>
      <c r="X190" s="440"/>
      <c r="Y190" s="440"/>
      <c r="Z190" s="440"/>
      <c r="AA190" s="440"/>
      <c r="AB190" s="440"/>
      <c r="AC190" s="440"/>
      <c r="AD190" s="440"/>
      <c r="AE190" s="440"/>
      <c r="AF190" s="440"/>
      <c r="AG190" s="440"/>
      <c r="AH190" s="440"/>
    </row>
    <row r="191" ht="15.75" customHeight="1">
      <c r="A191" s="440"/>
      <c r="B191" s="440"/>
      <c r="C191" s="440"/>
      <c r="D191" s="440"/>
      <c r="E191" s="440"/>
      <c r="F191" s="440"/>
      <c r="G191" s="440"/>
      <c r="H191" s="440"/>
      <c r="I191" s="440"/>
      <c r="J191" s="440"/>
      <c r="K191" s="440"/>
      <c r="L191" s="440"/>
      <c r="M191" s="440"/>
      <c r="N191" s="440"/>
      <c r="O191" s="440"/>
      <c r="P191" s="440"/>
      <c r="Q191" s="440"/>
      <c r="R191" s="440"/>
      <c r="S191" s="440"/>
      <c r="T191" s="440"/>
      <c r="U191" s="440"/>
      <c r="V191" s="440"/>
      <c r="W191" s="440"/>
      <c r="X191" s="440"/>
      <c r="Y191" s="440"/>
      <c r="Z191" s="440"/>
      <c r="AA191" s="440"/>
      <c r="AB191" s="440"/>
      <c r="AC191" s="440"/>
      <c r="AD191" s="440"/>
      <c r="AE191" s="440"/>
      <c r="AF191" s="440"/>
      <c r="AG191" s="440"/>
      <c r="AH191" s="440"/>
    </row>
    <row r="192" ht="15.75" customHeight="1">
      <c r="A192" s="440"/>
      <c r="B192" s="440"/>
      <c r="C192" s="440"/>
      <c r="D192" s="440"/>
      <c r="E192" s="440"/>
      <c r="F192" s="440"/>
      <c r="G192" s="440"/>
      <c r="H192" s="440"/>
      <c r="I192" s="440"/>
      <c r="J192" s="440"/>
      <c r="K192" s="440"/>
      <c r="L192" s="440"/>
      <c r="M192" s="440"/>
      <c r="N192" s="440"/>
      <c r="O192" s="440"/>
      <c r="P192" s="440"/>
      <c r="Q192" s="440"/>
      <c r="R192" s="440"/>
      <c r="S192" s="440"/>
      <c r="T192" s="440"/>
      <c r="U192" s="440"/>
      <c r="V192" s="440"/>
      <c r="W192" s="440"/>
      <c r="X192" s="440"/>
      <c r="Y192" s="440"/>
      <c r="Z192" s="440"/>
      <c r="AA192" s="440"/>
      <c r="AB192" s="440"/>
      <c r="AC192" s="440"/>
      <c r="AD192" s="440"/>
      <c r="AE192" s="440"/>
      <c r="AF192" s="440"/>
      <c r="AG192" s="440"/>
      <c r="AH192" s="440"/>
    </row>
    <row r="193" ht="15.75" customHeight="1">
      <c r="A193" s="440"/>
      <c r="B193" s="440"/>
      <c r="C193" s="440"/>
      <c r="D193" s="440"/>
      <c r="E193" s="440"/>
      <c r="F193" s="440"/>
      <c r="G193" s="440"/>
      <c r="H193" s="440"/>
      <c r="I193" s="440"/>
      <c r="J193" s="440"/>
      <c r="K193" s="440"/>
      <c r="L193" s="440"/>
      <c r="M193" s="440"/>
      <c r="N193" s="440"/>
      <c r="O193" s="440"/>
      <c r="P193" s="440"/>
      <c r="Q193" s="440"/>
      <c r="R193" s="440"/>
      <c r="S193" s="440"/>
      <c r="T193" s="440"/>
      <c r="U193" s="440"/>
      <c r="V193" s="440"/>
      <c r="W193" s="440"/>
      <c r="X193" s="440"/>
      <c r="Y193" s="440"/>
      <c r="Z193" s="440"/>
      <c r="AA193" s="440"/>
      <c r="AB193" s="440"/>
      <c r="AC193" s="440"/>
      <c r="AD193" s="440"/>
      <c r="AE193" s="440"/>
      <c r="AF193" s="440"/>
      <c r="AG193" s="440"/>
      <c r="AH193" s="440"/>
    </row>
    <row r="194" ht="15.75" customHeight="1">
      <c r="A194" s="440"/>
      <c r="B194" s="440"/>
      <c r="C194" s="440"/>
      <c r="D194" s="440"/>
      <c r="E194" s="440"/>
      <c r="F194" s="440"/>
      <c r="G194" s="440"/>
      <c r="H194" s="440"/>
      <c r="I194" s="440"/>
      <c r="J194" s="440"/>
      <c r="K194" s="440"/>
      <c r="L194" s="440"/>
      <c r="M194" s="440"/>
      <c r="N194" s="440"/>
      <c r="O194" s="440"/>
      <c r="P194" s="440"/>
      <c r="Q194" s="440"/>
      <c r="R194" s="440"/>
      <c r="S194" s="440"/>
      <c r="T194" s="440"/>
      <c r="U194" s="440"/>
      <c r="V194" s="440"/>
      <c r="W194" s="440"/>
      <c r="X194" s="440"/>
      <c r="Y194" s="440"/>
      <c r="Z194" s="440"/>
      <c r="AA194" s="440"/>
      <c r="AB194" s="440"/>
      <c r="AC194" s="440"/>
      <c r="AD194" s="440"/>
      <c r="AE194" s="440"/>
      <c r="AF194" s="440"/>
      <c r="AG194" s="440"/>
      <c r="AH194" s="440"/>
    </row>
    <row r="195" ht="15.75" customHeight="1">
      <c r="A195" s="440"/>
      <c r="B195" s="440"/>
      <c r="C195" s="440"/>
      <c r="D195" s="440"/>
      <c r="E195" s="440"/>
      <c r="F195" s="440"/>
      <c r="G195" s="440"/>
      <c r="H195" s="440"/>
      <c r="I195" s="440"/>
      <c r="J195" s="440"/>
      <c r="K195" s="440"/>
      <c r="L195" s="440"/>
      <c r="M195" s="440"/>
      <c r="N195" s="440"/>
      <c r="O195" s="440"/>
      <c r="P195" s="440"/>
      <c r="Q195" s="440"/>
      <c r="R195" s="440"/>
      <c r="S195" s="440"/>
      <c r="T195" s="440"/>
      <c r="U195" s="440"/>
      <c r="V195" s="440"/>
      <c r="W195" s="440"/>
      <c r="X195" s="440"/>
      <c r="Y195" s="440"/>
      <c r="Z195" s="440"/>
      <c r="AA195" s="440"/>
      <c r="AB195" s="440"/>
      <c r="AC195" s="440"/>
      <c r="AD195" s="440"/>
      <c r="AE195" s="440"/>
      <c r="AF195" s="440"/>
      <c r="AG195" s="440"/>
      <c r="AH195" s="440"/>
    </row>
    <row r="196" ht="15.75" customHeight="1">
      <c r="A196" s="440"/>
      <c r="B196" s="440"/>
      <c r="C196" s="440"/>
      <c r="D196" s="440"/>
      <c r="E196" s="440"/>
      <c r="F196" s="440"/>
      <c r="G196" s="440"/>
      <c r="H196" s="440"/>
      <c r="I196" s="440"/>
      <c r="J196" s="440"/>
      <c r="K196" s="440"/>
      <c r="L196" s="440"/>
      <c r="M196" s="440"/>
      <c r="N196" s="440"/>
      <c r="O196" s="440"/>
      <c r="P196" s="440"/>
      <c r="Q196" s="440"/>
      <c r="R196" s="440"/>
      <c r="S196" s="440"/>
      <c r="T196" s="440"/>
      <c r="U196" s="440"/>
      <c r="V196" s="440"/>
      <c r="W196" s="440"/>
      <c r="X196" s="440"/>
      <c r="Y196" s="440"/>
      <c r="Z196" s="440"/>
      <c r="AA196" s="440"/>
      <c r="AB196" s="440"/>
      <c r="AC196" s="440"/>
      <c r="AD196" s="440"/>
      <c r="AE196" s="440"/>
      <c r="AF196" s="440"/>
      <c r="AG196" s="440"/>
      <c r="AH196" s="440"/>
    </row>
    <row r="197" ht="15.75" customHeight="1">
      <c r="A197" s="440"/>
      <c r="B197" s="440"/>
      <c r="C197" s="440"/>
      <c r="D197" s="440"/>
      <c r="E197" s="440"/>
      <c r="F197" s="440"/>
      <c r="G197" s="440"/>
      <c r="H197" s="440"/>
      <c r="I197" s="440"/>
      <c r="J197" s="440"/>
      <c r="K197" s="440"/>
      <c r="L197" s="440"/>
      <c r="M197" s="440"/>
      <c r="N197" s="440"/>
      <c r="O197" s="440"/>
      <c r="P197" s="440"/>
      <c r="Q197" s="440"/>
      <c r="R197" s="440"/>
      <c r="S197" s="440"/>
      <c r="T197" s="440"/>
      <c r="U197" s="440"/>
      <c r="V197" s="440"/>
      <c r="W197" s="440"/>
      <c r="X197" s="440"/>
      <c r="Y197" s="440"/>
      <c r="Z197" s="440"/>
      <c r="AA197" s="440"/>
      <c r="AB197" s="440"/>
      <c r="AC197" s="440"/>
      <c r="AD197" s="440"/>
      <c r="AE197" s="440"/>
      <c r="AF197" s="440"/>
      <c r="AG197" s="440"/>
      <c r="AH197" s="440"/>
    </row>
    <row r="198" ht="15.75" customHeight="1">
      <c r="A198" s="440"/>
      <c r="B198" s="440"/>
      <c r="C198" s="440"/>
      <c r="D198" s="440"/>
      <c r="E198" s="440"/>
      <c r="F198" s="440"/>
      <c r="G198" s="440"/>
      <c r="H198" s="440"/>
      <c r="I198" s="440"/>
      <c r="J198" s="440"/>
      <c r="K198" s="440"/>
      <c r="L198" s="440"/>
      <c r="M198" s="440"/>
      <c r="N198" s="440"/>
      <c r="O198" s="440"/>
      <c r="P198" s="440"/>
      <c r="Q198" s="440"/>
      <c r="R198" s="440"/>
      <c r="S198" s="440"/>
      <c r="T198" s="440"/>
      <c r="U198" s="440"/>
      <c r="V198" s="440"/>
      <c r="W198" s="440"/>
      <c r="X198" s="440"/>
      <c r="Y198" s="440"/>
      <c r="Z198" s="440"/>
      <c r="AA198" s="440"/>
      <c r="AB198" s="440"/>
      <c r="AC198" s="440"/>
      <c r="AD198" s="440"/>
      <c r="AE198" s="440"/>
      <c r="AF198" s="440"/>
      <c r="AG198" s="440"/>
      <c r="AH198" s="440"/>
    </row>
    <row r="199" ht="15.75" customHeight="1">
      <c r="A199" s="440"/>
      <c r="B199" s="440"/>
      <c r="C199" s="440"/>
      <c r="D199" s="440"/>
      <c r="E199" s="440"/>
      <c r="F199" s="440"/>
      <c r="G199" s="440"/>
      <c r="H199" s="440"/>
      <c r="I199" s="440"/>
      <c r="J199" s="440"/>
      <c r="K199" s="440"/>
      <c r="L199" s="440"/>
      <c r="M199" s="440"/>
      <c r="N199" s="440"/>
      <c r="O199" s="440"/>
      <c r="P199" s="440"/>
      <c r="Q199" s="440"/>
      <c r="R199" s="440"/>
      <c r="S199" s="440"/>
      <c r="T199" s="440"/>
      <c r="U199" s="440"/>
      <c r="V199" s="440"/>
      <c r="W199" s="440"/>
      <c r="X199" s="440"/>
      <c r="Y199" s="440"/>
      <c r="Z199" s="440"/>
      <c r="AA199" s="440"/>
      <c r="AB199" s="440"/>
      <c r="AC199" s="440"/>
      <c r="AD199" s="440"/>
      <c r="AE199" s="440"/>
      <c r="AF199" s="440"/>
      <c r="AG199" s="440"/>
      <c r="AH199" s="440"/>
    </row>
    <row r="200" ht="15.75" customHeight="1">
      <c r="A200" s="440"/>
      <c r="B200" s="440"/>
      <c r="C200" s="440"/>
      <c r="D200" s="440"/>
      <c r="E200" s="440"/>
      <c r="F200" s="440"/>
      <c r="G200" s="440"/>
      <c r="H200" s="440"/>
      <c r="I200" s="440"/>
      <c r="J200" s="440"/>
      <c r="K200" s="440"/>
      <c r="L200" s="440"/>
      <c r="M200" s="440"/>
      <c r="N200" s="440"/>
      <c r="O200" s="440"/>
      <c r="P200" s="440"/>
      <c r="Q200" s="440"/>
      <c r="R200" s="440"/>
      <c r="S200" s="440"/>
      <c r="T200" s="440"/>
      <c r="U200" s="440"/>
      <c r="V200" s="440"/>
      <c r="W200" s="440"/>
      <c r="X200" s="440"/>
      <c r="Y200" s="440"/>
      <c r="Z200" s="440"/>
      <c r="AA200" s="440"/>
      <c r="AB200" s="440"/>
      <c r="AC200" s="440"/>
      <c r="AD200" s="440"/>
      <c r="AE200" s="440"/>
      <c r="AF200" s="440"/>
      <c r="AG200" s="440"/>
      <c r="AH200" s="440"/>
    </row>
    <row r="201" ht="15.75" customHeight="1">
      <c r="A201" s="440"/>
      <c r="B201" s="440"/>
      <c r="C201" s="440"/>
      <c r="D201" s="440"/>
      <c r="E201" s="440"/>
      <c r="F201" s="440"/>
      <c r="G201" s="440"/>
      <c r="H201" s="440"/>
      <c r="I201" s="440"/>
      <c r="J201" s="440"/>
      <c r="K201" s="440"/>
      <c r="L201" s="440"/>
      <c r="M201" s="440"/>
      <c r="N201" s="440"/>
      <c r="O201" s="440"/>
      <c r="P201" s="440"/>
      <c r="Q201" s="440"/>
      <c r="R201" s="440"/>
      <c r="S201" s="440"/>
      <c r="T201" s="440"/>
      <c r="U201" s="440"/>
      <c r="V201" s="440"/>
      <c r="W201" s="440"/>
      <c r="X201" s="440"/>
      <c r="Y201" s="440"/>
      <c r="Z201" s="440"/>
      <c r="AA201" s="440"/>
      <c r="AB201" s="440"/>
      <c r="AC201" s="440"/>
      <c r="AD201" s="440"/>
      <c r="AE201" s="440"/>
      <c r="AF201" s="440"/>
      <c r="AG201" s="440"/>
      <c r="AH201" s="440"/>
    </row>
    <row r="202" ht="15.75" customHeight="1">
      <c r="A202" s="440"/>
      <c r="B202" s="440"/>
      <c r="C202" s="440"/>
      <c r="D202" s="440"/>
      <c r="E202" s="440"/>
      <c r="F202" s="440"/>
      <c r="G202" s="440"/>
      <c r="H202" s="440"/>
      <c r="I202" s="440"/>
      <c r="J202" s="440"/>
      <c r="K202" s="440"/>
      <c r="L202" s="440"/>
      <c r="M202" s="440"/>
      <c r="N202" s="440"/>
      <c r="O202" s="440"/>
      <c r="P202" s="440"/>
      <c r="Q202" s="440"/>
      <c r="R202" s="440"/>
      <c r="S202" s="440"/>
      <c r="T202" s="440"/>
      <c r="U202" s="440"/>
      <c r="V202" s="440"/>
      <c r="W202" s="440"/>
      <c r="X202" s="440"/>
      <c r="Y202" s="440"/>
      <c r="Z202" s="440"/>
      <c r="AA202" s="440"/>
      <c r="AB202" s="440"/>
      <c r="AC202" s="440"/>
      <c r="AD202" s="440"/>
      <c r="AE202" s="440"/>
      <c r="AF202" s="440"/>
      <c r="AG202" s="440"/>
      <c r="AH202" s="440"/>
    </row>
    <row r="203" ht="15.75" customHeight="1">
      <c r="A203" s="440"/>
      <c r="B203" s="440"/>
      <c r="C203" s="440"/>
      <c r="D203" s="440"/>
      <c r="E203" s="440"/>
      <c r="F203" s="440"/>
      <c r="G203" s="440"/>
      <c r="H203" s="440"/>
      <c r="I203" s="440"/>
      <c r="J203" s="440"/>
      <c r="K203" s="440"/>
      <c r="L203" s="440"/>
      <c r="M203" s="440"/>
      <c r="N203" s="440"/>
      <c r="O203" s="440"/>
      <c r="P203" s="440"/>
      <c r="Q203" s="440"/>
      <c r="R203" s="440"/>
      <c r="S203" s="440"/>
      <c r="T203" s="440"/>
      <c r="U203" s="440"/>
      <c r="V203" s="440"/>
      <c r="W203" s="440"/>
      <c r="X203" s="440"/>
      <c r="Y203" s="440"/>
      <c r="Z203" s="440"/>
      <c r="AA203" s="440"/>
      <c r="AB203" s="440"/>
      <c r="AC203" s="440"/>
      <c r="AD203" s="440"/>
      <c r="AE203" s="440"/>
      <c r="AF203" s="440"/>
      <c r="AG203" s="440"/>
      <c r="AH203" s="440"/>
    </row>
    <row r="204" ht="15.75" customHeight="1">
      <c r="A204" s="440"/>
      <c r="B204" s="440"/>
      <c r="C204" s="440"/>
      <c r="D204" s="440"/>
      <c r="E204" s="440"/>
      <c r="F204" s="440"/>
      <c r="G204" s="440"/>
      <c r="H204" s="440"/>
      <c r="I204" s="440"/>
      <c r="J204" s="440"/>
      <c r="K204" s="440"/>
      <c r="L204" s="440"/>
      <c r="M204" s="440"/>
      <c r="N204" s="440"/>
      <c r="O204" s="440"/>
      <c r="P204" s="440"/>
      <c r="Q204" s="440"/>
      <c r="R204" s="440"/>
      <c r="S204" s="440"/>
      <c r="T204" s="440"/>
      <c r="U204" s="440"/>
      <c r="V204" s="440"/>
      <c r="W204" s="440"/>
      <c r="X204" s="440"/>
      <c r="Y204" s="440"/>
      <c r="Z204" s="440"/>
      <c r="AA204" s="440"/>
      <c r="AB204" s="440"/>
      <c r="AC204" s="440"/>
      <c r="AD204" s="440"/>
      <c r="AE204" s="440"/>
      <c r="AF204" s="440"/>
      <c r="AG204" s="440"/>
      <c r="AH204" s="440"/>
    </row>
    <row r="205" ht="15.75" customHeight="1">
      <c r="A205" s="440"/>
      <c r="B205" s="440"/>
      <c r="C205" s="440"/>
      <c r="D205" s="440"/>
      <c r="E205" s="440"/>
      <c r="F205" s="440"/>
      <c r="G205" s="440"/>
      <c r="H205" s="440"/>
      <c r="I205" s="440"/>
      <c r="J205" s="440"/>
      <c r="K205" s="440"/>
      <c r="L205" s="440"/>
      <c r="M205" s="440"/>
      <c r="N205" s="440"/>
      <c r="O205" s="440"/>
      <c r="P205" s="440"/>
      <c r="Q205" s="440"/>
      <c r="R205" s="440"/>
      <c r="S205" s="440"/>
      <c r="T205" s="440"/>
      <c r="U205" s="440"/>
      <c r="V205" s="440"/>
      <c r="W205" s="440"/>
      <c r="X205" s="440"/>
      <c r="Y205" s="440"/>
      <c r="Z205" s="440"/>
      <c r="AA205" s="440"/>
      <c r="AB205" s="440"/>
      <c r="AC205" s="440"/>
      <c r="AD205" s="440"/>
      <c r="AE205" s="440"/>
      <c r="AF205" s="440"/>
      <c r="AG205" s="440"/>
      <c r="AH205" s="440"/>
    </row>
    <row r="206" ht="15.75" customHeight="1">
      <c r="A206" s="440"/>
      <c r="B206" s="440"/>
      <c r="C206" s="440"/>
      <c r="D206" s="440"/>
      <c r="E206" s="440"/>
      <c r="F206" s="440"/>
      <c r="G206" s="440"/>
      <c r="H206" s="440"/>
      <c r="I206" s="440"/>
      <c r="J206" s="440"/>
      <c r="K206" s="440"/>
      <c r="L206" s="440"/>
      <c r="M206" s="440"/>
      <c r="N206" s="440"/>
      <c r="O206" s="440"/>
      <c r="P206" s="440"/>
      <c r="Q206" s="440"/>
      <c r="R206" s="440"/>
      <c r="S206" s="440"/>
      <c r="T206" s="440"/>
      <c r="U206" s="440"/>
      <c r="V206" s="440"/>
      <c r="W206" s="440"/>
      <c r="X206" s="440"/>
      <c r="Y206" s="440"/>
      <c r="Z206" s="440"/>
      <c r="AA206" s="440"/>
      <c r="AB206" s="440"/>
      <c r="AC206" s="440"/>
      <c r="AD206" s="440"/>
      <c r="AE206" s="440"/>
      <c r="AF206" s="440"/>
      <c r="AG206" s="440"/>
      <c r="AH206" s="440"/>
    </row>
    <row r="207" ht="15.75" customHeight="1">
      <c r="A207" s="440"/>
      <c r="B207" s="440"/>
      <c r="C207" s="440"/>
      <c r="D207" s="440"/>
      <c r="E207" s="440"/>
      <c r="F207" s="440"/>
      <c r="G207" s="440"/>
      <c r="H207" s="440"/>
      <c r="I207" s="440"/>
      <c r="J207" s="440"/>
      <c r="K207" s="440"/>
      <c r="L207" s="440"/>
      <c r="M207" s="440"/>
      <c r="N207" s="440"/>
      <c r="O207" s="440"/>
      <c r="P207" s="440"/>
      <c r="Q207" s="440"/>
      <c r="R207" s="440"/>
      <c r="S207" s="440"/>
      <c r="T207" s="440"/>
      <c r="U207" s="440"/>
      <c r="V207" s="440"/>
      <c r="W207" s="440"/>
      <c r="X207" s="440"/>
      <c r="Y207" s="440"/>
      <c r="Z207" s="440"/>
      <c r="AA207" s="440"/>
      <c r="AB207" s="440"/>
      <c r="AC207" s="440"/>
      <c r="AD207" s="440"/>
      <c r="AE207" s="440"/>
      <c r="AF207" s="440"/>
      <c r="AG207" s="440"/>
      <c r="AH207" s="440"/>
    </row>
    <row r="208" ht="15.75" customHeight="1">
      <c r="A208" s="440"/>
      <c r="B208" s="440"/>
      <c r="C208" s="440"/>
      <c r="D208" s="440"/>
      <c r="E208" s="440"/>
      <c r="F208" s="440"/>
      <c r="G208" s="440"/>
      <c r="H208" s="440"/>
      <c r="I208" s="440"/>
      <c r="J208" s="440"/>
      <c r="K208" s="440"/>
      <c r="L208" s="440"/>
      <c r="M208" s="440"/>
      <c r="N208" s="440"/>
      <c r="O208" s="440"/>
      <c r="P208" s="440"/>
      <c r="Q208" s="440"/>
      <c r="R208" s="440"/>
      <c r="S208" s="440"/>
      <c r="T208" s="440"/>
      <c r="U208" s="440"/>
      <c r="V208" s="440"/>
      <c r="W208" s="440"/>
      <c r="X208" s="440"/>
      <c r="Y208" s="440"/>
      <c r="Z208" s="440"/>
      <c r="AA208" s="440"/>
      <c r="AB208" s="440"/>
      <c r="AC208" s="440"/>
      <c r="AD208" s="440"/>
      <c r="AE208" s="440"/>
      <c r="AF208" s="440"/>
      <c r="AG208" s="440"/>
      <c r="AH208" s="440"/>
    </row>
    <row r="209" ht="15.75" customHeight="1">
      <c r="A209" s="440"/>
      <c r="B209" s="440"/>
      <c r="C209" s="440"/>
      <c r="D209" s="440"/>
      <c r="E209" s="440"/>
      <c r="F209" s="440"/>
      <c r="G209" s="440"/>
      <c r="H209" s="440"/>
      <c r="I209" s="440"/>
      <c r="J209" s="440"/>
      <c r="K209" s="440"/>
      <c r="L209" s="440"/>
      <c r="M209" s="440"/>
      <c r="N209" s="440"/>
      <c r="O209" s="440"/>
      <c r="P209" s="440"/>
      <c r="Q209" s="440"/>
      <c r="R209" s="440"/>
      <c r="S209" s="440"/>
      <c r="T209" s="440"/>
      <c r="U209" s="440"/>
      <c r="V209" s="440"/>
      <c r="W209" s="440"/>
      <c r="X209" s="440"/>
      <c r="Y209" s="440"/>
      <c r="Z209" s="440"/>
      <c r="AA209" s="440"/>
      <c r="AB209" s="440"/>
      <c r="AC209" s="440"/>
      <c r="AD209" s="440"/>
      <c r="AE209" s="440"/>
      <c r="AF209" s="440"/>
      <c r="AG209" s="440"/>
      <c r="AH209" s="440"/>
    </row>
    <row r="210" ht="15.75" customHeight="1">
      <c r="A210" s="440"/>
      <c r="B210" s="440"/>
      <c r="C210" s="440"/>
      <c r="D210" s="440"/>
      <c r="E210" s="440"/>
      <c r="F210" s="440"/>
      <c r="G210" s="440"/>
      <c r="H210" s="440"/>
      <c r="I210" s="440"/>
      <c r="J210" s="440"/>
      <c r="K210" s="440"/>
      <c r="L210" s="440"/>
      <c r="M210" s="440"/>
      <c r="N210" s="440"/>
      <c r="O210" s="440"/>
      <c r="P210" s="440"/>
      <c r="Q210" s="440"/>
      <c r="R210" s="440"/>
      <c r="S210" s="440"/>
      <c r="T210" s="440"/>
      <c r="U210" s="440"/>
      <c r="V210" s="440"/>
      <c r="W210" s="440"/>
      <c r="X210" s="440"/>
      <c r="Y210" s="440"/>
      <c r="Z210" s="440"/>
      <c r="AA210" s="440"/>
      <c r="AB210" s="440"/>
      <c r="AC210" s="440"/>
      <c r="AD210" s="440"/>
      <c r="AE210" s="440"/>
      <c r="AF210" s="440"/>
      <c r="AG210" s="440"/>
      <c r="AH210" s="440"/>
    </row>
    <row r="211" ht="15.75" customHeight="1">
      <c r="A211" s="440"/>
      <c r="B211" s="440"/>
      <c r="C211" s="440"/>
      <c r="D211" s="440"/>
      <c r="E211" s="440"/>
      <c r="F211" s="440"/>
      <c r="G211" s="440"/>
      <c r="H211" s="440"/>
      <c r="I211" s="440"/>
      <c r="J211" s="440"/>
      <c r="K211" s="440"/>
      <c r="L211" s="440"/>
      <c r="M211" s="440"/>
      <c r="N211" s="440"/>
      <c r="O211" s="440"/>
      <c r="P211" s="440"/>
      <c r="Q211" s="440"/>
      <c r="R211" s="440"/>
      <c r="S211" s="440"/>
      <c r="T211" s="440"/>
      <c r="U211" s="440"/>
      <c r="V211" s="440"/>
      <c r="W211" s="440"/>
      <c r="X211" s="440"/>
      <c r="Y211" s="440"/>
      <c r="Z211" s="440"/>
      <c r="AA211" s="440"/>
      <c r="AB211" s="440"/>
      <c r="AC211" s="440"/>
      <c r="AD211" s="440"/>
      <c r="AE211" s="440"/>
      <c r="AF211" s="440"/>
      <c r="AG211" s="440"/>
      <c r="AH211" s="440"/>
    </row>
    <row r="212" ht="15.75" customHeight="1">
      <c r="A212" s="440"/>
      <c r="B212" s="440"/>
      <c r="C212" s="440"/>
      <c r="D212" s="440"/>
      <c r="E212" s="440"/>
      <c r="F212" s="440"/>
      <c r="G212" s="440"/>
      <c r="H212" s="440"/>
      <c r="I212" s="440"/>
      <c r="J212" s="440"/>
      <c r="K212" s="440"/>
      <c r="L212" s="440"/>
      <c r="M212" s="440"/>
      <c r="N212" s="440"/>
      <c r="O212" s="440"/>
      <c r="P212" s="440"/>
      <c r="Q212" s="440"/>
      <c r="R212" s="440"/>
      <c r="S212" s="440"/>
      <c r="T212" s="440"/>
      <c r="U212" s="440"/>
      <c r="V212" s="440"/>
      <c r="W212" s="440"/>
      <c r="X212" s="440"/>
      <c r="Y212" s="440"/>
      <c r="Z212" s="440"/>
      <c r="AA212" s="440"/>
      <c r="AB212" s="440"/>
      <c r="AC212" s="440"/>
      <c r="AD212" s="440"/>
      <c r="AE212" s="440"/>
      <c r="AF212" s="440"/>
      <c r="AG212" s="440"/>
      <c r="AH212" s="440"/>
    </row>
    <row r="213" ht="15.75" customHeight="1">
      <c r="A213" s="440"/>
      <c r="B213" s="440"/>
      <c r="C213" s="440"/>
      <c r="D213" s="440"/>
      <c r="E213" s="440"/>
      <c r="F213" s="440"/>
      <c r="G213" s="440"/>
      <c r="H213" s="440"/>
      <c r="I213" s="440"/>
      <c r="J213" s="440"/>
      <c r="K213" s="440"/>
      <c r="L213" s="440"/>
      <c r="M213" s="440"/>
      <c r="N213" s="440"/>
      <c r="O213" s="440"/>
      <c r="P213" s="440"/>
      <c r="Q213" s="440"/>
      <c r="R213" s="440"/>
      <c r="S213" s="440"/>
      <c r="T213" s="440"/>
      <c r="U213" s="440"/>
      <c r="V213" s="440"/>
      <c r="W213" s="440"/>
      <c r="X213" s="440"/>
      <c r="Y213" s="440"/>
      <c r="Z213" s="440"/>
      <c r="AA213" s="440"/>
      <c r="AB213" s="440"/>
      <c r="AC213" s="440"/>
      <c r="AD213" s="440"/>
      <c r="AE213" s="440"/>
      <c r="AF213" s="440"/>
      <c r="AG213" s="440"/>
      <c r="AH213" s="440"/>
    </row>
    <row r="214" ht="15.75" customHeight="1">
      <c r="A214" s="440"/>
      <c r="B214" s="440"/>
      <c r="C214" s="440"/>
      <c r="D214" s="440"/>
      <c r="E214" s="440"/>
      <c r="F214" s="440"/>
      <c r="G214" s="440"/>
      <c r="H214" s="440"/>
      <c r="I214" s="440"/>
      <c r="J214" s="440"/>
      <c r="K214" s="440"/>
      <c r="L214" s="440"/>
      <c r="M214" s="440"/>
      <c r="N214" s="440"/>
      <c r="O214" s="440"/>
      <c r="P214" s="440"/>
      <c r="Q214" s="440"/>
      <c r="R214" s="440"/>
      <c r="S214" s="440"/>
      <c r="T214" s="440"/>
      <c r="U214" s="440"/>
      <c r="V214" s="440"/>
      <c r="W214" s="440"/>
      <c r="X214" s="440"/>
      <c r="Y214" s="440"/>
      <c r="Z214" s="440"/>
      <c r="AA214" s="440"/>
      <c r="AB214" s="440"/>
      <c r="AC214" s="440"/>
      <c r="AD214" s="440"/>
      <c r="AE214" s="440"/>
      <c r="AF214" s="440"/>
      <c r="AG214" s="440"/>
      <c r="AH214" s="440"/>
    </row>
    <row r="215" ht="15.75" customHeight="1">
      <c r="A215" s="440"/>
      <c r="B215" s="440"/>
      <c r="C215" s="440"/>
      <c r="D215" s="440"/>
      <c r="E215" s="440"/>
      <c r="F215" s="440"/>
      <c r="G215" s="440"/>
      <c r="H215" s="440"/>
      <c r="I215" s="440"/>
      <c r="J215" s="440"/>
      <c r="K215" s="440"/>
      <c r="L215" s="440"/>
      <c r="M215" s="440"/>
      <c r="N215" s="440"/>
      <c r="O215" s="440"/>
      <c r="P215" s="440"/>
      <c r="Q215" s="440"/>
      <c r="R215" s="440"/>
      <c r="S215" s="440"/>
      <c r="T215" s="440"/>
      <c r="U215" s="440"/>
      <c r="V215" s="440"/>
      <c r="W215" s="440"/>
      <c r="X215" s="440"/>
      <c r="Y215" s="440"/>
      <c r="Z215" s="440"/>
      <c r="AA215" s="440"/>
      <c r="AB215" s="440"/>
      <c r="AC215" s="440"/>
      <c r="AD215" s="440"/>
      <c r="AE215" s="440"/>
      <c r="AF215" s="440"/>
      <c r="AG215" s="440"/>
      <c r="AH215" s="440"/>
    </row>
    <row r="216" ht="15.75" customHeight="1">
      <c r="A216" s="440"/>
      <c r="B216" s="440"/>
      <c r="C216" s="440"/>
      <c r="D216" s="440"/>
      <c r="E216" s="440"/>
      <c r="F216" s="440"/>
      <c r="G216" s="440"/>
      <c r="H216" s="440"/>
      <c r="I216" s="440"/>
      <c r="J216" s="440"/>
      <c r="K216" s="440"/>
      <c r="L216" s="440"/>
      <c r="M216" s="440"/>
      <c r="N216" s="440"/>
      <c r="O216" s="440"/>
      <c r="P216" s="440"/>
      <c r="Q216" s="440"/>
      <c r="R216" s="440"/>
      <c r="S216" s="440"/>
      <c r="T216" s="440"/>
      <c r="U216" s="440"/>
      <c r="V216" s="440"/>
      <c r="W216" s="440"/>
      <c r="X216" s="440"/>
      <c r="Y216" s="440"/>
      <c r="Z216" s="440"/>
      <c r="AA216" s="440"/>
      <c r="AB216" s="440"/>
      <c r="AC216" s="440"/>
      <c r="AD216" s="440"/>
      <c r="AE216" s="440"/>
      <c r="AF216" s="440"/>
      <c r="AG216" s="440"/>
      <c r="AH216" s="440"/>
    </row>
    <row r="217" ht="15.75" customHeight="1">
      <c r="A217" s="440"/>
      <c r="B217" s="440"/>
      <c r="C217" s="440"/>
      <c r="D217" s="440"/>
      <c r="E217" s="440"/>
      <c r="F217" s="440"/>
      <c r="G217" s="440"/>
      <c r="H217" s="440"/>
      <c r="I217" s="440"/>
      <c r="J217" s="440"/>
      <c r="K217" s="440"/>
      <c r="L217" s="440"/>
      <c r="M217" s="440"/>
      <c r="N217" s="440"/>
      <c r="O217" s="440"/>
      <c r="P217" s="440"/>
      <c r="Q217" s="440"/>
      <c r="R217" s="440"/>
      <c r="S217" s="440"/>
      <c r="T217" s="440"/>
      <c r="U217" s="440"/>
      <c r="V217" s="440"/>
      <c r="W217" s="440"/>
      <c r="X217" s="440"/>
      <c r="Y217" s="440"/>
      <c r="Z217" s="440"/>
      <c r="AA217" s="440"/>
      <c r="AB217" s="440"/>
      <c r="AC217" s="440"/>
      <c r="AD217" s="440"/>
      <c r="AE217" s="440"/>
      <c r="AF217" s="440"/>
      <c r="AG217" s="440"/>
      <c r="AH217" s="440"/>
    </row>
    <row r="218" ht="15.75" customHeight="1">
      <c r="A218" s="440"/>
      <c r="B218" s="440"/>
      <c r="C218" s="440"/>
      <c r="D218" s="440"/>
      <c r="E218" s="440"/>
      <c r="F218" s="440"/>
      <c r="G218" s="440"/>
      <c r="H218" s="440"/>
      <c r="I218" s="440"/>
      <c r="J218" s="440"/>
      <c r="K218" s="440"/>
      <c r="L218" s="440"/>
      <c r="M218" s="440"/>
      <c r="N218" s="440"/>
      <c r="O218" s="440"/>
      <c r="P218" s="440"/>
      <c r="Q218" s="440"/>
      <c r="R218" s="440"/>
      <c r="S218" s="440"/>
      <c r="T218" s="440"/>
      <c r="U218" s="440"/>
      <c r="V218" s="440"/>
      <c r="W218" s="440"/>
      <c r="X218" s="440"/>
      <c r="Y218" s="440"/>
      <c r="Z218" s="440"/>
      <c r="AA218" s="440"/>
      <c r="AB218" s="440"/>
      <c r="AC218" s="440"/>
      <c r="AD218" s="440"/>
      <c r="AE218" s="440"/>
      <c r="AF218" s="440"/>
      <c r="AG218" s="440"/>
      <c r="AH218" s="440"/>
    </row>
    <row r="219" ht="15.75" customHeight="1">
      <c r="A219" s="440"/>
      <c r="B219" s="440"/>
      <c r="C219" s="440"/>
      <c r="D219" s="440"/>
      <c r="E219" s="440"/>
      <c r="F219" s="440"/>
      <c r="G219" s="440"/>
      <c r="H219" s="440"/>
      <c r="I219" s="440"/>
      <c r="J219" s="440"/>
      <c r="K219" s="440"/>
      <c r="L219" s="440"/>
      <c r="M219" s="440"/>
      <c r="N219" s="440"/>
      <c r="O219" s="440"/>
      <c r="P219" s="440"/>
      <c r="Q219" s="440"/>
      <c r="R219" s="440"/>
      <c r="S219" s="440"/>
      <c r="T219" s="440"/>
      <c r="U219" s="440"/>
      <c r="V219" s="440"/>
      <c r="W219" s="440"/>
      <c r="X219" s="440"/>
      <c r="Y219" s="440"/>
      <c r="Z219" s="440"/>
      <c r="AA219" s="440"/>
      <c r="AB219" s="440"/>
      <c r="AC219" s="440"/>
      <c r="AD219" s="440"/>
      <c r="AE219" s="440"/>
      <c r="AF219" s="440"/>
      <c r="AG219" s="440"/>
      <c r="AH219" s="440"/>
    </row>
    <row r="220" ht="15.75" customHeight="1">
      <c r="A220" s="440"/>
      <c r="B220" s="440"/>
      <c r="C220" s="440"/>
      <c r="D220" s="440"/>
      <c r="E220" s="440"/>
      <c r="F220" s="440"/>
      <c r="G220" s="440"/>
      <c r="H220" s="440"/>
      <c r="I220" s="440"/>
      <c r="J220" s="440"/>
      <c r="K220" s="440"/>
      <c r="L220" s="440"/>
      <c r="M220" s="440"/>
      <c r="N220" s="440"/>
      <c r="O220" s="440"/>
      <c r="P220" s="440"/>
      <c r="Q220" s="440"/>
      <c r="R220" s="440"/>
      <c r="S220" s="440"/>
      <c r="T220" s="440"/>
      <c r="U220" s="440"/>
      <c r="V220" s="440"/>
      <c r="W220" s="440"/>
      <c r="X220" s="440"/>
      <c r="Y220" s="440"/>
      <c r="Z220" s="440"/>
      <c r="AA220" s="440"/>
      <c r="AB220" s="440"/>
      <c r="AC220" s="440"/>
      <c r="AD220" s="440"/>
      <c r="AE220" s="440"/>
      <c r="AF220" s="440"/>
      <c r="AG220" s="440"/>
      <c r="AH220" s="44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6" width="12.57"/>
  </cols>
  <sheetData>
    <row r="1" ht="15.75" customHeight="1">
      <c r="A1" s="447" t="s">
        <v>451</v>
      </c>
      <c r="B1" s="448" t="s">
        <v>676</v>
      </c>
      <c r="C1" s="448" t="s">
        <v>646</v>
      </c>
      <c r="D1" s="448" t="s">
        <v>647</v>
      </c>
      <c r="E1" s="448" t="s">
        <v>648</v>
      </c>
      <c r="F1" s="448" t="s">
        <v>649</v>
      </c>
      <c r="G1" s="448" t="s">
        <v>650</v>
      </c>
      <c r="H1" s="448" t="s">
        <v>651</v>
      </c>
      <c r="I1" s="448" t="s">
        <v>652</v>
      </c>
      <c r="J1" s="448" t="s">
        <v>653</v>
      </c>
      <c r="K1" s="448" t="s">
        <v>654</v>
      </c>
      <c r="L1" s="448" t="s">
        <v>655</v>
      </c>
      <c r="M1" s="448" t="s">
        <v>656</v>
      </c>
      <c r="N1" s="448" t="s">
        <v>657</v>
      </c>
      <c r="O1" s="448" t="s">
        <v>658</v>
      </c>
      <c r="P1" s="448" t="s">
        <v>659</v>
      </c>
      <c r="Q1" s="448" t="s">
        <v>660</v>
      </c>
      <c r="R1" s="448" t="s">
        <v>661</v>
      </c>
      <c r="S1" s="448" t="s">
        <v>662</v>
      </c>
      <c r="T1" s="448" t="s">
        <v>663</v>
      </c>
      <c r="U1" s="448" t="s">
        <v>664</v>
      </c>
      <c r="V1" s="448" t="s">
        <v>665</v>
      </c>
      <c r="W1" s="449" t="s">
        <v>666</v>
      </c>
      <c r="X1" s="440"/>
      <c r="Y1" s="440"/>
      <c r="Z1" s="440"/>
    </row>
    <row r="2" ht="15.75" customHeight="1">
      <c r="A2" s="454">
        <v>1.55931158E8</v>
      </c>
      <c r="B2" s="455"/>
      <c r="C2" s="454">
        <v>7248.0</v>
      </c>
      <c r="D2" s="454">
        <v>-43.35</v>
      </c>
      <c r="E2" s="454">
        <v>278.77</v>
      </c>
      <c r="F2" s="454">
        <v>0.0</v>
      </c>
      <c r="G2" s="454" t="s">
        <v>677</v>
      </c>
      <c r="H2" s="454">
        <v>1.0980435E7</v>
      </c>
      <c r="I2" s="454">
        <v>-49.79</v>
      </c>
      <c r="J2" s="454">
        <v>422324.44</v>
      </c>
      <c r="K2" s="454">
        <v>0.0</v>
      </c>
      <c r="L2" s="454" t="s">
        <v>678</v>
      </c>
      <c r="M2" s="454">
        <v>0.25</v>
      </c>
      <c r="N2" s="454">
        <v>58.0</v>
      </c>
      <c r="O2" s="454">
        <v>80585.2</v>
      </c>
      <c r="P2" s="454">
        <v>12.1</v>
      </c>
      <c r="Q2" s="454">
        <v>8.13</v>
      </c>
      <c r="R2" s="454">
        <v>67.2</v>
      </c>
      <c r="S2" s="454">
        <v>1514.96</v>
      </c>
      <c r="T2" s="454">
        <v>9828.0</v>
      </c>
      <c r="U2" s="454">
        <v>8.39</v>
      </c>
      <c r="V2" s="454">
        <v>4.9</v>
      </c>
      <c r="W2" s="454">
        <v>1.0</v>
      </c>
    </row>
    <row r="3" ht="15.75" customHeight="1">
      <c r="A3" s="456">
        <v>2.63737685E8</v>
      </c>
      <c r="B3" s="457"/>
      <c r="C3" s="456">
        <v>6837.0</v>
      </c>
      <c r="D3" s="456">
        <v>-48.27</v>
      </c>
      <c r="E3" s="456">
        <v>220.55</v>
      </c>
      <c r="F3" s="456">
        <v>0.0</v>
      </c>
      <c r="G3" s="456" t="s">
        <v>679</v>
      </c>
      <c r="H3" s="456">
        <v>1.0169224E7</v>
      </c>
      <c r="I3" s="456">
        <v>-53.79</v>
      </c>
      <c r="J3" s="456">
        <v>328039.47</v>
      </c>
      <c r="K3" s="456">
        <v>0.0</v>
      </c>
      <c r="L3" s="456" t="s">
        <v>680</v>
      </c>
      <c r="M3" s="456">
        <v>0.0</v>
      </c>
      <c r="N3" s="456">
        <v>1.0</v>
      </c>
      <c r="O3" s="456">
        <v>1368.0</v>
      </c>
      <c r="P3" s="456">
        <v>12.55</v>
      </c>
      <c r="Q3" s="456">
        <v>7.61</v>
      </c>
      <c r="R3" s="456">
        <v>60.67</v>
      </c>
      <c r="S3" s="456">
        <v>1487.38</v>
      </c>
      <c r="T3" s="456">
        <v>14366.03</v>
      </c>
      <c r="U3" s="456">
        <v>10.39</v>
      </c>
      <c r="V3" s="456">
        <v>4.8</v>
      </c>
      <c r="W3" s="456">
        <v>1.0</v>
      </c>
    </row>
    <row r="4" ht="15.75" customHeight="1">
      <c r="A4" s="456">
        <v>2.63736957E8</v>
      </c>
      <c r="B4" s="457"/>
      <c r="C4" s="456">
        <v>6785.0</v>
      </c>
      <c r="D4" s="456">
        <v>-49.32</v>
      </c>
      <c r="E4" s="456">
        <v>282.71</v>
      </c>
      <c r="F4" s="456">
        <v>0.0</v>
      </c>
      <c r="G4" s="456" t="s">
        <v>681</v>
      </c>
      <c r="H4" s="456">
        <v>1.0728565E7</v>
      </c>
      <c r="I4" s="456">
        <v>-54.1</v>
      </c>
      <c r="J4" s="456">
        <v>447023.53</v>
      </c>
      <c r="K4" s="456">
        <v>0.0</v>
      </c>
      <c r="L4" s="456" t="s">
        <v>682</v>
      </c>
      <c r="M4" s="456">
        <v>0.26</v>
      </c>
      <c r="N4" s="456">
        <v>58.0</v>
      </c>
      <c r="O4" s="456">
        <v>85347.0</v>
      </c>
      <c r="P4" s="456">
        <v>11.84</v>
      </c>
      <c r="Q4" s="456">
        <v>7.23</v>
      </c>
      <c r="R4" s="456">
        <v>61.04</v>
      </c>
      <c r="S4" s="456">
        <v>1581.22</v>
      </c>
      <c r="T4" s="456">
        <v>12492.55</v>
      </c>
      <c r="U4" s="456">
        <v>11.39</v>
      </c>
      <c r="V4" s="456">
        <v>4.8</v>
      </c>
      <c r="W4" s="456">
        <v>1.0</v>
      </c>
    </row>
    <row r="5" ht="15.75" customHeight="1">
      <c r="A5" s="456">
        <v>2.39985946E8</v>
      </c>
      <c r="B5" s="457"/>
      <c r="C5" s="456">
        <v>5894.0</v>
      </c>
      <c r="D5" s="456">
        <v>-48.01</v>
      </c>
      <c r="E5" s="456">
        <v>218.3</v>
      </c>
      <c r="F5" s="456">
        <v>0.0</v>
      </c>
      <c r="G5" s="456" t="s">
        <v>683</v>
      </c>
      <c r="H5" s="456">
        <v>8920958.0</v>
      </c>
      <c r="I5" s="456">
        <v>-50.83</v>
      </c>
      <c r="J5" s="456">
        <v>330405.84</v>
      </c>
      <c r="K5" s="456">
        <v>0.0</v>
      </c>
      <c r="L5" s="456" t="s">
        <v>684</v>
      </c>
      <c r="M5" s="456">
        <v>0.31</v>
      </c>
      <c r="N5" s="456">
        <v>58.0</v>
      </c>
      <c r="O5" s="456">
        <v>86710.0</v>
      </c>
      <c r="P5" s="456">
        <v>10.77</v>
      </c>
      <c r="Q5" s="456">
        <v>7.45</v>
      </c>
      <c r="R5" s="456">
        <v>69.16</v>
      </c>
      <c r="S5" s="456">
        <v>1513.57</v>
      </c>
      <c r="T5" s="456">
        <v>12489.68</v>
      </c>
      <c r="U5" s="456">
        <v>8.39</v>
      </c>
      <c r="V5" s="456">
        <v>4.8</v>
      </c>
      <c r="W5" s="456">
        <v>1.0</v>
      </c>
    </row>
    <row r="6" ht="15.75" customHeight="1">
      <c r="A6" s="456">
        <v>2.32821085E8</v>
      </c>
      <c r="B6" s="457"/>
      <c r="C6" s="456">
        <v>5653.0</v>
      </c>
      <c r="D6" s="456">
        <v>-47.34</v>
      </c>
      <c r="E6" s="456">
        <v>235.54</v>
      </c>
      <c r="F6" s="456">
        <v>706.63</v>
      </c>
      <c r="G6" s="456" t="s">
        <v>685</v>
      </c>
      <c r="H6" s="456">
        <v>8076905.0</v>
      </c>
      <c r="I6" s="456">
        <v>-50.37</v>
      </c>
      <c r="J6" s="456">
        <v>336537.72</v>
      </c>
      <c r="K6" s="456">
        <v>1009613.1</v>
      </c>
      <c r="L6" s="456" t="s">
        <v>686</v>
      </c>
      <c r="M6" s="456">
        <v>0.05</v>
      </c>
      <c r="N6" s="456">
        <v>11.0</v>
      </c>
      <c r="O6" s="456">
        <v>15202.0</v>
      </c>
      <c r="P6" s="456">
        <v>12.57</v>
      </c>
      <c r="Q6" s="456">
        <v>7.43</v>
      </c>
      <c r="R6" s="456">
        <v>59.09</v>
      </c>
      <c r="S6" s="456">
        <v>1428.78</v>
      </c>
      <c r="T6" s="456">
        <v>240.43</v>
      </c>
      <c r="U6" s="456">
        <v>7.96</v>
      </c>
      <c r="V6" s="456">
        <v>4.9</v>
      </c>
      <c r="W6" s="456">
        <v>1.0</v>
      </c>
    </row>
    <row r="7" ht="15.75" customHeight="1">
      <c r="A7" s="456">
        <v>3.21525292E8</v>
      </c>
      <c r="B7" s="457"/>
      <c r="C7" s="456">
        <v>5434.0</v>
      </c>
      <c r="D7" s="456">
        <v>-39.37</v>
      </c>
      <c r="E7" s="456">
        <v>226.42</v>
      </c>
      <c r="F7" s="456">
        <v>679.25</v>
      </c>
      <c r="G7" s="456" t="s">
        <v>687</v>
      </c>
      <c r="H7" s="456">
        <v>7627557.0</v>
      </c>
      <c r="I7" s="456">
        <v>-37.07</v>
      </c>
      <c r="J7" s="456">
        <v>317814.88</v>
      </c>
      <c r="K7" s="456">
        <v>953444.6</v>
      </c>
      <c r="L7" s="456" t="s">
        <v>688</v>
      </c>
      <c r="M7" s="456">
        <v>0.26</v>
      </c>
      <c r="N7" s="456">
        <v>50.0</v>
      </c>
      <c r="O7" s="456">
        <v>75900.0</v>
      </c>
      <c r="P7" s="456">
        <v>9.11</v>
      </c>
      <c r="Q7" s="456">
        <v>6.61</v>
      </c>
      <c r="R7" s="456">
        <v>72.55</v>
      </c>
      <c r="S7" s="456">
        <v>1403.67</v>
      </c>
      <c r="T7" s="456">
        <v>391.46</v>
      </c>
      <c r="U7" s="456">
        <v>17.79</v>
      </c>
      <c r="V7" s="456">
        <v>4.89</v>
      </c>
      <c r="W7" s="456">
        <v>1.0</v>
      </c>
    </row>
    <row r="8" ht="15.75" customHeight="1">
      <c r="A8" s="456">
        <v>2.75187541E8</v>
      </c>
      <c r="B8" s="457"/>
      <c r="C8" s="456">
        <v>5404.0</v>
      </c>
      <c r="D8" s="456">
        <v>-26.13</v>
      </c>
      <c r="E8" s="456">
        <v>174.32</v>
      </c>
      <c r="F8" s="456">
        <v>0.0</v>
      </c>
      <c r="G8" s="456" t="s">
        <v>689</v>
      </c>
      <c r="H8" s="456">
        <v>7419448.0</v>
      </c>
      <c r="I8" s="456">
        <v>-23.09</v>
      </c>
      <c r="J8" s="456">
        <v>239337.03</v>
      </c>
      <c r="K8" s="456">
        <v>0.0</v>
      </c>
      <c r="L8" s="456" t="s">
        <v>690</v>
      </c>
      <c r="M8" s="456">
        <v>0.33</v>
      </c>
      <c r="N8" s="456">
        <v>58.0</v>
      </c>
      <c r="O8" s="456">
        <v>82567.14</v>
      </c>
      <c r="P8" s="456">
        <v>10.61</v>
      </c>
      <c r="Q8" s="456">
        <v>6.81</v>
      </c>
      <c r="R8" s="456">
        <v>64.13</v>
      </c>
      <c r="S8" s="456">
        <v>1372.95</v>
      </c>
      <c r="T8" s="456">
        <v>6183.0</v>
      </c>
      <c r="U8" s="456">
        <v>12.0</v>
      </c>
      <c r="V8" s="456">
        <v>4.9</v>
      </c>
      <c r="W8" s="456">
        <v>1.0</v>
      </c>
    </row>
    <row r="9" ht="15.75" customHeight="1">
      <c r="A9" s="456">
        <v>1.55949395E8</v>
      </c>
      <c r="B9" s="457"/>
      <c r="C9" s="456">
        <v>5263.0</v>
      </c>
      <c r="D9" s="456">
        <v>-44.38</v>
      </c>
      <c r="E9" s="456">
        <v>202.42</v>
      </c>
      <c r="F9" s="456">
        <v>0.0</v>
      </c>
      <c r="G9" s="456" t="s">
        <v>691</v>
      </c>
      <c r="H9" s="456">
        <v>7947911.0</v>
      </c>
      <c r="I9" s="456">
        <v>-48.04</v>
      </c>
      <c r="J9" s="456">
        <v>305688.88</v>
      </c>
      <c r="K9" s="456">
        <v>0.0</v>
      </c>
      <c r="L9" s="456" t="s">
        <v>692</v>
      </c>
      <c r="M9" s="456">
        <v>0.34</v>
      </c>
      <c r="N9" s="456">
        <v>58.0</v>
      </c>
      <c r="O9" s="456">
        <v>84448.0</v>
      </c>
      <c r="P9" s="456">
        <v>9.35</v>
      </c>
      <c r="Q9" s="456">
        <v>6.29</v>
      </c>
      <c r="R9" s="456">
        <v>67.24</v>
      </c>
      <c r="S9" s="456">
        <v>1510.15</v>
      </c>
      <c r="T9" s="456">
        <v>12485.58</v>
      </c>
      <c r="U9" s="456">
        <v>8.39</v>
      </c>
      <c r="V9" s="456">
        <v>4.8</v>
      </c>
      <c r="W9" s="456">
        <v>1.0</v>
      </c>
    </row>
    <row r="10" ht="15.75" customHeight="1">
      <c r="A10" s="456">
        <v>4.1901522E8</v>
      </c>
      <c r="B10" s="457"/>
      <c r="C10" s="456">
        <v>5207.0</v>
      </c>
      <c r="D10" s="456">
        <v>-29.17</v>
      </c>
      <c r="E10" s="456">
        <v>216.96</v>
      </c>
      <c r="F10" s="456">
        <v>1084.79</v>
      </c>
      <c r="G10" s="456" t="s">
        <v>693</v>
      </c>
      <c r="H10" s="456">
        <v>6202814.0</v>
      </c>
      <c r="I10" s="456">
        <v>-30.21</v>
      </c>
      <c r="J10" s="456">
        <v>258450.58</v>
      </c>
      <c r="K10" s="456">
        <v>1292252.9</v>
      </c>
      <c r="L10" s="456" t="s">
        <v>694</v>
      </c>
      <c r="M10" s="456">
        <v>0.34</v>
      </c>
      <c r="N10" s="456">
        <v>0.0</v>
      </c>
      <c r="O10" s="456">
        <v>0.0</v>
      </c>
      <c r="P10" s="456">
        <v>11.0</v>
      </c>
      <c r="Q10" s="456">
        <v>7.42</v>
      </c>
      <c r="R10" s="456">
        <v>67.48</v>
      </c>
      <c r="S10" s="456">
        <v>1191.25</v>
      </c>
      <c r="T10" s="456">
        <v>173.85</v>
      </c>
      <c r="U10" s="456">
        <v>7.0</v>
      </c>
      <c r="V10" s="456">
        <v>5.0</v>
      </c>
      <c r="W10" s="456">
        <v>1.0</v>
      </c>
    </row>
    <row r="11" ht="15.75" customHeight="1">
      <c r="A11" s="456">
        <v>2.92659309E8</v>
      </c>
      <c r="B11" s="457"/>
      <c r="C11" s="456">
        <v>5092.0</v>
      </c>
      <c r="D11" s="456">
        <v>-38.61</v>
      </c>
      <c r="E11" s="456">
        <v>181.86</v>
      </c>
      <c r="F11" s="456">
        <v>0.0</v>
      </c>
      <c r="G11" s="456" t="s">
        <v>695</v>
      </c>
      <c r="H11" s="456">
        <v>1503959.0</v>
      </c>
      <c r="I11" s="456">
        <v>-40.43</v>
      </c>
      <c r="J11" s="456">
        <v>53712.82</v>
      </c>
      <c r="K11" s="456">
        <v>0.0</v>
      </c>
      <c r="L11" s="456" t="s">
        <v>696</v>
      </c>
      <c r="M11" s="456">
        <v>0.01</v>
      </c>
      <c r="N11" s="456">
        <v>1.0</v>
      </c>
      <c r="O11" s="456">
        <v>300.63</v>
      </c>
      <c r="P11" s="456">
        <v>8.97</v>
      </c>
      <c r="Q11" s="456">
        <v>5.81</v>
      </c>
      <c r="R11" s="456">
        <v>64.75</v>
      </c>
      <c r="S11" s="456">
        <v>295.36</v>
      </c>
      <c r="T11" s="456">
        <v>10180.1</v>
      </c>
      <c r="U11" s="456">
        <v>9.42</v>
      </c>
      <c r="V11" s="456">
        <v>4.9</v>
      </c>
      <c r="W11" s="456">
        <v>1.0</v>
      </c>
    </row>
    <row r="12" ht="15.75" customHeight="1">
      <c r="A12" s="456">
        <v>7.25304781E8</v>
      </c>
      <c r="B12" s="457"/>
      <c r="C12" s="456">
        <v>5059.0</v>
      </c>
      <c r="D12" s="456">
        <v>-56.89</v>
      </c>
      <c r="E12" s="456">
        <v>163.19</v>
      </c>
      <c r="F12" s="456">
        <v>0.0</v>
      </c>
      <c r="G12" s="456" t="s">
        <v>697</v>
      </c>
      <c r="H12" s="456">
        <v>6414246.0</v>
      </c>
      <c r="I12" s="456">
        <v>-58.36</v>
      </c>
      <c r="J12" s="456">
        <v>206911.16</v>
      </c>
      <c r="K12" s="456">
        <v>0.0</v>
      </c>
      <c r="L12" s="456" t="s">
        <v>698</v>
      </c>
      <c r="M12" s="456">
        <v>0.36</v>
      </c>
      <c r="N12" s="456">
        <v>58.0</v>
      </c>
      <c r="O12" s="456">
        <v>74037.0</v>
      </c>
      <c r="P12" s="456">
        <v>8.1</v>
      </c>
      <c r="Q12" s="456">
        <v>5.19</v>
      </c>
      <c r="R12" s="456">
        <v>64.14</v>
      </c>
      <c r="S12" s="456">
        <v>1267.89</v>
      </c>
      <c r="T12" s="456">
        <v>5500.1</v>
      </c>
      <c r="U12" s="456">
        <v>7.42</v>
      </c>
      <c r="V12" s="456">
        <v>4.8</v>
      </c>
      <c r="W12" s="456">
        <v>1.0</v>
      </c>
    </row>
    <row r="13" ht="15.75" customHeight="1">
      <c r="A13" s="456">
        <v>1.55937262E8</v>
      </c>
      <c r="B13" s="457"/>
      <c r="C13" s="456">
        <v>5038.0</v>
      </c>
      <c r="D13" s="456">
        <v>-44.17</v>
      </c>
      <c r="E13" s="456">
        <v>186.59</v>
      </c>
      <c r="F13" s="456">
        <v>373.19</v>
      </c>
      <c r="G13" s="456" t="s">
        <v>699</v>
      </c>
      <c r="H13" s="456">
        <v>8951919.0</v>
      </c>
      <c r="I13" s="456">
        <v>-47.65</v>
      </c>
      <c r="J13" s="456">
        <v>331552.56</v>
      </c>
      <c r="K13" s="456">
        <v>663105.1</v>
      </c>
      <c r="L13" s="456" t="s">
        <v>700</v>
      </c>
      <c r="M13" s="456">
        <v>0.33</v>
      </c>
      <c r="N13" s="456">
        <v>58.0</v>
      </c>
      <c r="O13" s="456">
        <v>97092.0</v>
      </c>
      <c r="P13" s="456">
        <v>10.66</v>
      </c>
      <c r="Q13" s="456">
        <v>7.31</v>
      </c>
      <c r="R13" s="456">
        <v>68.61</v>
      </c>
      <c r="S13" s="456">
        <v>1776.88</v>
      </c>
      <c r="T13" s="456">
        <v>14327.55</v>
      </c>
      <c r="U13" s="456">
        <v>8.38</v>
      </c>
      <c r="V13" s="456">
        <v>4.8</v>
      </c>
      <c r="W13" s="456">
        <v>1.0</v>
      </c>
    </row>
    <row r="14" ht="15.75" customHeight="1">
      <c r="A14" s="456">
        <v>2.55203333E8</v>
      </c>
      <c r="B14" s="457"/>
      <c r="C14" s="456">
        <v>5035.0</v>
      </c>
      <c r="D14" s="456">
        <v>-53.85</v>
      </c>
      <c r="E14" s="456">
        <v>162.42</v>
      </c>
      <c r="F14" s="456">
        <v>0.0</v>
      </c>
      <c r="G14" s="456" t="s">
        <v>701</v>
      </c>
      <c r="H14" s="456">
        <v>4836842.0</v>
      </c>
      <c r="I14" s="456">
        <v>-55.52</v>
      </c>
      <c r="J14" s="456">
        <v>156027.16</v>
      </c>
      <c r="K14" s="456">
        <v>0.0</v>
      </c>
      <c r="L14" s="456" t="s">
        <v>702</v>
      </c>
      <c r="M14" s="456">
        <v>0.01</v>
      </c>
      <c r="N14" s="456">
        <v>1.0</v>
      </c>
      <c r="O14" s="456">
        <v>933.56</v>
      </c>
      <c r="P14" s="456">
        <v>10.35</v>
      </c>
      <c r="Q14" s="456">
        <v>6.87</v>
      </c>
      <c r="R14" s="456">
        <v>66.36</v>
      </c>
      <c r="S14" s="456">
        <v>960.64</v>
      </c>
      <c r="T14" s="456">
        <v>5492.48</v>
      </c>
      <c r="U14" s="456">
        <v>8.39</v>
      </c>
      <c r="V14" s="456">
        <v>4.8</v>
      </c>
      <c r="W14" s="456">
        <v>1.0</v>
      </c>
    </row>
    <row r="15" ht="15.75" customHeight="1">
      <c r="A15" s="456">
        <v>2.0196579E8</v>
      </c>
      <c r="B15" s="457"/>
      <c r="C15" s="456">
        <v>5006.0</v>
      </c>
      <c r="D15" s="456">
        <v>-40.42</v>
      </c>
      <c r="E15" s="456">
        <v>208.58</v>
      </c>
      <c r="F15" s="456">
        <v>1042.92</v>
      </c>
      <c r="G15" s="456" t="s">
        <v>703</v>
      </c>
      <c r="H15" s="456">
        <v>7549243.0</v>
      </c>
      <c r="I15" s="456">
        <v>-41.31</v>
      </c>
      <c r="J15" s="456">
        <v>314551.78</v>
      </c>
      <c r="K15" s="456">
        <v>1572759.0</v>
      </c>
      <c r="L15" s="456" t="s">
        <v>704</v>
      </c>
      <c r="M15" s="456">
        <v>0.25</v>
      </c>
      <c r="N15" s="456">
        <v>0.0</v>
      </c>
      <c r="O15" s="456">
        <v>0.0</v>
      </c>
      <c r="P15" s="456">
        <v>8.92</v>
      </c>
      <c r="Q15" s="456">
        <v>6.5</v>
      </c>
      <c r="R15" s="456">
        <v>72.84</v>
      </c>
      <c r="S15" s="456">
        <v>1508.04</v>
      </c>
      <c r="T15" s="456">
        <v>9935.69</v>
      </c>
      <c r="U15" s="456">
        <v>9.0</v>
      </c>
      <c r="V15" s="456">
        <v>4.9</v>
      </c>
      <c r="W15" s="456">
        <v>1.0</v>
      </c>
    </row>
    <row r="16" ht="15.75" customHeight="1">
      <c r="A16" s="456">
        <v>2.01965788E8</v>
      </c>
      <c r="B16" s="457"/>
      <c r="C16" s="456">
        <v>5005.0</v>
      </c>
      <c r="D16" s="456">
        <v>-42.56</v>
      </c>
      <c r="E16" s="456">
        <v>208.54</v>
      </c>
      <c r="F16" s="456">
        <v>417.08</v>
      </c>
      <c r="G16" s="456" t="s">
        <v>705</v>
      </c>
      <c r="H16" s="456">
        <v>8129940.0</v>
      </c>
      <c r="I16" s="456">
        <v>-42.87</v>
      </c>
      <c r="J16" s="456">
        <v>338747.5</v>
      </c>
      <c r="K16" s="456">
        <v>677495.0</v>
      </c>
      <c r="L16" s="456" t="s">
        <v>706</v>
      </c>
      <c r="M16" s="456">
        <v>0.4</v>
      </c>
      <c r="N16" s="456">
        <v>0.0</v>
      </c>
      <c r="O16" s="456">
        <v>0.0</v>
      </c>
      <c r="P16" s="456">
        <v>9.38</v>
      </c>
      <c r="Q16" s="456">
        <v>6.21</v>
      </c>
      <c r="R16" s="456">
        <v>66.18</v>
      </c>
      <c r="S16" s="456">
        <v>1624.36</v>
      </c>
      <c r="T16" s="456">
        <v>7889.14</v>
      </c>
      <c r="U16" s="456">
        <v>9.0</v>
      </c>
      <c r="V16" s="456">
        <v>4.8</v>
      </c>
      <c r="W16" s="456">
        <v>1.0</v>
      </c>
    </row>
    <row r="17" ht="15.75" customHeight="1">
      <c r="A17" s="456">
        <v>4.1487585E8</v>
      </c>
      <c r="B17" s="457"/>
      <c r="C17" s="456">
        <v>4826.0</v>
      </c>
      <c r="D17" s="456">
        <v>-53.36</v>
      </c>
      <c r="E17" s="456">
        <v>178.74</v>
      </c>
      <c r="F17" s="456">
        <v>0.0</v>
      </c>
      <c r="G17" s="456" t="s">
        <v>707</v>
      </c>
      <c r="H17" s="456">
        <v>7474601.0</v>
      </c>
      <c r="I17" s="456">
        <v>-57.97</v>
      </c>
      <c r="J17" s="456">
        <v>276837.06</v>
      </c>
      <c r="K17" s="456">
        <v>0.0</v>
      </c>
      <c r="L17" s="456" t="s">
        <v>708</v>
      </c>
      <c r="M17" s="456">
        <v>0.37</v>
      </c>
      <c r="N17" s="456">
        <v>58.0</v>
      </c>
      <c r="O17" s="456">
        <v>84274.0</v>
      </c>
      <c r="P17" s="456">
        <v>9.48</v>
      </c>
      <c r="Q17" s="456">
        <v>6.16</v>
      </c>
      <c r="R17" s="456">
        <v>64.97</v>
      </c>
      <c r="S17" s="456">
        <v>1548.82</v>
      </c>
      <c r="T17" s="456">
        <v>14356.03</v>
      </c>
      <c r="U17" s="456">
        <v>7.42</v>
      </c>
      <c r="V17" s="456">
        <v>4.8</v>
      </c>
      <c r="W17" s="456">
        <v>1.0</v>
      </c>
    </row>
    <row r="18" ht="15.75" customHeight="1">
      <c r="A18" s="456">
        <v>3.89085613E8</v>
      </c>
      <c r="B18" s="457"/>
      <c r="C18" s="456">
        <v>4738.0</v>
      </c>
      <c r="D18" s="456">
        <v>-41.49</v>
      </c>
      <c r="E18" s="456">
        <v>163.38</v>
      </c>
      <c r="F18" s="456">
        <v>163.38</v>
      </c>
      <c r="G18" s="456" t="s">
        <v>709</v>
      </c>
      <c r="H18" s="456">
        <v>5666797.0</v>
      </c>
      <c r="I18" s="456">
        <v>-45.06</v>
      </c>
      <c r="J18" s="456">
        <v>195406.8</v>
      </c>
      <c r="K18" s="456">
        <v>195406.8</v>
      </c>
      <c r="L18" s="456" t="s">
        <v>710</v>
      </c>
      <c r="M18" s="456">
        <v>0.32</v>
      </c>
      <c r="N18" s="456">
        <v>0.0</v>
      </c>
      <c r="O18" s="456">
        <v>0.0</v>
      </c>
      <c r="P18" s="456">
        <v>7.47</v>
      </c>
      <c r="Q18" s="456">
        <v>5.2</v>
      </c>
      <c r="R18" s="456">
        <v>69.64</v>
      </c>
      <c r="S18" s="456">
        <v>1196.03</v>
      </c>
      <c r="T18" s="456">
        <v>1235.63</v>
      </c>
      <c r="U18" s="456">
        <v>15.0</v>
      </c>
      <c r="V18" s="456">
        <v>4.7</v>
      </c>
      <c r="W18" s="456">
        <v>1.0</v>
      </c>
    </row>
    <row r="19" ht="15.75" customHeight="1">
      <c r="A19" s="456">
        <v>2.63730548E8</v>
      </c>
      <c r="B19" s="457"/>
      <c r="C19" s="456">
        <v>4724.0</v>
      </c>
      <c r="D19" s="456">
        <v>-58.39</v>
      </c>
      <c r="E19" s="456">
        <v>152.39</v>
      </c>
      <c r="F19" s="456">
        <v>0.0</v>
      </c>
      <c r="G19" s="456" t="s">
        <v>711</v>
      </c>
      <c r="H19" s="456">
        <v>7292953.0</v>
      </c>
      <c r="I19" s="456">
        <v>-59.74</v>
      </c>
      <c r="J19" s="456">
        <v>235256.55</v>
      </c>
      <c r="K19" s="456">
        <v>0.0</v>
      </c>
      <c r="L19" s="456" t="s">
        <v>712</v>
      </c>
      <c r="M19" s="456">
        <v>0.38</v>
      </c>
      <c r="N19" s="456">
        <v>58.0</v>
      </c>
      <c r="O19" s="456">
        <v>88102.0</v>
      </c>
      <c r="P19" s="456">
        <v>9.29</v>
      </c>
      <c r="Q19" s="456">
        <v>5.71</v>
      </c>
      <c r="R19" s="456">
        <v>61.46</v>
      </c>
      <c r="S19" s="456">
        <v>1543.81</v>
      </c>
      <c r="T19" s="456">
        <v>10178.35</v>
      </c>
      <c r="U19" s="456">
        <v>9.39</v>
      </c>
      <c r="V19" s="456">
        <v>4.9</v>
      </c>
      <c r="W19" s="456">
        <v>1.0</v>
      </c>
    </row>
    <row r="20" ht="15.75" customHeight="1">
      <c r="A20" s="456">
        <v>3.2752401E8</v>
      </c>
      <c r="B20" s="457"/>
      <c r="C20" s="456">
        <v>4707.0</v>
      </c>
      <c r="D20" s="456">
        <v>-57.23</v>
      </c>
      <c r="E20" s="456">
        <v>151.84</v>
      </c>
      <c r="F20" s="456">
        <v>0.0</v>
      </c>
      <c r="G20" s="456" t="s">
        <v>713</v>
      </c>
      <c r="H20" s="456">
        <v>5969096.0</v>
      </c>
      <c r="I20" s="456">
        <v>-58.84</v>
      </c>
      <c r="J20" s="456">
        <v>192551.48</v>
      </c>
      <c r="K20" s="456">
        <v>0.0</v>
      </c>
      <c r="L20" s="456" t="s">
        <v>714</v>
      </c>
      <c r="M20" s="456">
        <v>0.38</v>
      </c>
      <c r="N20" s="456">
        <v>58.0</v>
      </c>
      <c r="O20" s="456">
        <v>74472.0</v>
      </c>
      <c r="P20" s="456">
        <v>10.19</v>
      </c>
      <c r="Q20" s="456">
        <v>7.32</v>
      </c>
      <c r="R20" s="456">
        <v>71.84</v>
      </c>
      <c r="S20" s="456">
        <v>1268.13</v>
      </c>
      <c r="T20" s="456">
        <v>2004.19</v>
      </c>
      <c r="U20" s="456">
        <v>7.0</v>
      </c>
      <c r="V20" s="456">
        <v>4.9</v>
      </c>
      <c r="W20" s="456">
        <v>1.0</v>
      </c>
    </row>
    <row r="21" ht="15.75" customHeight="1">
      <c r="A21" s="456">
        <v>2.40014011E8</v>
      </c>
      <c r="B21" s="457"/>
      <c r="C21" s="456">
        <v>4664.0</v>
      </c>
      <c r="D21" s="456">
        <v>-47.08</v>
      </c>
      <c r="E21" s="456">
        <v>194.33</v>
      </c>
      <c r="F21" s="456">
        <v>0.0</v>
      </c>
      <c r="G21" s="456" t="s">
        <v>715</v>
      </c>
      <c r="H21" s="456">
        <v>6392357.0</v>
      </c>
      <c r="I21" s="456">
        <v>-49.66</v>
      </c>
      <c r="J21" s="456">
        <v>266348.22</v>
      </c>
      <c r="K21" s="456">
        <v>0.0</v>
      </c>
      <c r="L21" s="456" t="s">
        <v>716</v>
      </c>
      <c r="M21" s="456">
        <v>0.39</v>
      </c>
      <c r="N21" s="456">
        <v>58.0</v>
      </c>
      <c r="O21" s="456">
        <v>74646.0</v>
      </c>
      <c r="P21" s="456">
        <v>8.65</v>
      </c>
      <c r="Q21" s="456">
        <v>5.42</v>
      </c>
      <c r="R21" s="456">
        <v>62.69</v>
      </c>
      <c r="S21" s="456">
        <v>1370.57</v>
      </c>
      <c r="T21" s="456">
        <v>10172.87</v>
      </c>
      <c r="U21" s="456">
        <v>8.39</v>
      </c>
      <c r="V21" s="456">
        <v>4.9</v>
      </c>
      <c r="W21" s="456">
        <v>1.0</v>
      </c>
    </row>
    <row r="22" ht="15.75" customHeight="1">
      <c r="A22" s="456">
        <v>3.33427233E8</v>
      </c>
      <c r="B22" s="457"/>
      <c r="C22" s="456">
        <v>4553.0</v>
      </c>
      <c r="D22" s="456">
        <v>-49.14</v>
      </c>
      <c r="E22" s="456">
        <v>168.63</v>
      </c>
      <c r="F22" s="456">
        <v>337.26</v>
      </c>
      <c r="G22" s="456" t="s">
        <v>717</v>
      </c>
      <c r="H22" s="456">
        <v>6140768.0</v>
      </c>
      <c r="I22" s="456">
        <v>-56.64</v>
      </c>
      <c r="J22" s="456">
        <v>227435.86</v>
      </c>
      <c r="K22" s="456">
        <v>454871.72</v>
      </c>
      <c r="L22" s="456" t="s">
        <v>718</v>
      </c>
      <c r="M22" s="456">
        <v>0.32</v>
      </c>
      <c r="N22" s="456">
        <v>0.0</v>
      </c>
      <c r="O22" s="456">
        <v>0.0</v>
      </c>
      <c r="P22" s="456">
        <v>8.66</v>
      </c>
      <c r="Q22" s="456">
        <v>6.1</v>
      </c>
      <c r="R22" s="456">
        <v>70.52</v>
      </c>
      <c r="S22" s="456">
        <v>1348.73</v>
      </c>
      <c r="T22" s="456">
        <v>289.83</v>
      </c>
      <c r="U22" s="456">
        <v>9.0</v>
      </c>
      <c r="V22" s="456">
        <v>4.8</v>
      </c>
      <c r="W22" s="456">
        <v>1.0</v>
      </c>
    </row>
    <row r="23" ht="15.75" customHeight="1">
      <c r="A23" s="456">
        <v>2.75050909E8</v>
      </c>
      <c r="B23" s="457"/>
      <c r="C23" s="456">
        <v>4518.0</v>
      </c>
      <c r="D23" s="456">
        <v>-47.52</v>
      </c>
      <c r="E23" s="456">
        <v>180.72</v>
      </c>
      <c r="F23" s="456">
        <v>542.16</v>
      </c>
      <c r="G23" s="456" t="s">
        <v>719</v>
      </c>
      <c r="H23" s="456">
        <v>6135297.0</v>
      </c>
      <c r="I23" s="456">
        <v>-48.15</v>
      </c>
      <c r="J23" s="456">
        <v>245411.88</v>
      </c>
      <c r="K23" s="456">
        <v>736235.6</v>
      </c>
      <c r="L23" s="456" t="s">
        <v>720</v>
      </c>
      <c r="M23" s="456">
        <v>0.33</v>
      </c>
      <c r="N23" s="456">
        <v>0.0</v>
      </c>
      <c r="O23" s="456">
        <v>0.0</v>
      </c>
      <c r="P23" s="456">
        <v>8.5</v>
      </c>
      <c r="Q23" s="456">
        <v>5.57</v>
      </c>
      <c r="R23" s="456">
        <v>65.55</v>
      </c>
      <c r="S23" s="456">
        <v>1357.97</v>
      </c>
      <c r="T23" s="456">
        <v>7799.04</v>
      </c>
      <c r="U23" s="456">
        <v>11.0</v>
      </c>
      <c r="V23" s="456">
        <v>4.8</v>
      </c>
      <c r="W23" s="456">
        <v>1.0</v>
      </c>
    </row>
    <row r="24" ht="15.75" customHeight="1">
      <c r="A24" s="456">
        <v>1.55933766E8</v>
      </c>
      <c r="B24" s="457"/>
      <c r="C24" s="456">
        <v>4482.0</v>
      </c>
      <c r="D24" s="456">
        <v>-43.45</v>
      </c>
      <c r="E24" s="456">
        <v>179.28</v>
      </c>
      <c r="F24" s="456">
        <v>896.4</v>
      </c>
      <c r="G24" s="456" t="s">
        <v>721</v>
      </c>
      <c r="H24" s="456">
        <v>7494406.0</v>
      </c>
      <c r="I24" s="456">
        <v>-45.07</v>
      </c>
      <c r="J24" s="456">
        <v>299776.25</v>
      </c>
      <c r="K24" s="456">
        <v>1498881.2</v>
      </c>
      <c r="L24" s="456" t="s">
        <v>722</v>
      </c>
      <c r="M24" s="456">
        <v>0.27</v>
      </c>
      <c r="N24" s="456">
        <v>0.0</v>
      </c>
      <c r="O24" s="456">
        <v>0.0</v>
      </c>
      <c r="P24" s="456">
        <v>8.88</v>
      </c>
      <c r="Q24" s="456">
        <v>6.46</v>
      </c>
      <c r="R24" s="456">
        <v>72.73</v>
      </c>
      <c r="S24" s="456">
        <v>1672.11</v>
      </c>
      <c r="T24" s="456">
        <v>5093.65</v>
      </c>
      <c r="U24" s="456">
        <v>7.27</v>
      </c>
      <c r="V24" s="456">
        <v>4.8</v>
      </c>
      <c r="W24" s="456">
        <v>1.0</v>
      </c>
    </row>
    <row r="25" ht="15.75" customHeight="1">
      <c r="A25" s="456">
        <v>4.4409802E8</v>
      </c>
      <c r="B25" s="457"/>
      <c r="C25" s="456">
        <v>4457.0</v>
      </c>
      <c r="D25" s="456">
        <v>-38.86</v>
      </c>
      <c r="E25" s="456">
        <v>159.18</v>
      </c>
      <c r="F25" s="456">
        <v>318.36</v>
      </c>
      <c r="G25" s="456" t="s">
        <v>723</v>
      </c>
      <c r="H25" s="456">
        <v>5525739.0</v>
      </c>
      <c r="I25" s="456">
        <v>-46.02</v>
      </c>
      <c r="J25" s="456">
        <v>197347.83</v>
      </c>
      <c r="K25" s="456">
        <v>394695.66</v>
      </c>
      <c r="L25" s="456" t="s">
        <v>724</v>
      </c>
      <c r="M25" s="456">
        <v>0.01</v>
      </c>
      <c r="N25" s="456">
        <v>1.0</v>
      </c>
      <c r="O25" s="456">
        <v>1242.0</v>
      </c>
      <c r="P25" s="456">
        <v>8.28</v>
      </c>
      <c r="Q25" s="456">
        <v>5.45</v>
      </c>
      <c r="R25" s="456">
        <v>65.83</v>
      </c>
      <c r="S25" s="456">
        <v>1239.79</v>
      </c>
      <c r="T25" s="456">
        <v>1025.41</v>
      </c>
      <c r="U25" s="456">
        <v>13.0</v>
      </c>
      <c r="V25" s="456">
        <v>4.9</v>
      </c>
      <c r="W25" s="456">
        <v>1.0</v>
      </c>
    </row>
    <row r="26" ht="15.75" customHeight="1">
      <c r="A26" s="456">
        <v>3.11050468E8</v>
      </c>
      <c r="B26" s="457"/>
      <c r="C26" s="456">
        <v>4299.0</v>
      </c>
      <c r="D26" s="456">
        <v>-40.6</v>
      </c>
      <c r="E26" s="456">
        <v>179.13</v>
      </c>
      <c r="F26" s="456">
        <v>179.13</v>
      </c>
      <c r="G26" s="456" t="s">
        <v>725</v>
      </c>
      <c r="H26" s="456">
        <v>5144077.0</v>
      </c>
      <c r="I26" s="456">
        <v>-41.99</v>
      </c>
      <c r="J26" s="456">
        <v>214336.55</v>
      </c>
      <c r="K26" s="456">
        <v>214336.55</v>
      </c>
      <c r="L26" s="456" t="s">
        <v>726</v>
      </c>
      <c r="M26" s="456">
        <v>0.33</v>
      </c>
      <c r="N26" s="456">
        <v>48.0</v>
      </c>
      <c r="O26" s="456">
        <v>59568.0</v>
      </c>
      <c r="P26" s="456">
        <v>6.3</v>
      </c>
      <c r="Q26" s="456">
        <v>4.87</v>
      </c>
      <c r="R26" s="456">
        <v>77.25</v>
      </c>
      <c r="S26" s="456">
        <v>1196.58</v>
      </c>
      <c r="T26" s="456">
        <v>585.6</v>
      </c>
      <c r="U26" s="456">
        <v>7.0</v>
      </c>
      <c r="V26" s="456">
        <v>4.91</v>
      </c>
      <c r="W26" s="456">
        <v>1.0</v>
      </c>
    </row>
    <row r="27" ht="15.75" customHeight="1">
      <c r="A27" s="456">
        <v>4.12267183E8</v>
      </c>
      <c r="B27" s="457"/>
      <c r="C27" s="456">
        <v>4243.0</v>
      </c>
      <c r="D27" s="456">
        <v>-54.24</v>
      </c>
      <c r="E27" s="456">
        <v>176.79</v>
      </c>
      <c r="F27" s="456">
        <v>707.17</v>
      </c>
      <c r="G27" s="456" t="s">
        <v>727</v>
      </c>
      <c r="H27" s="456">
        <v>6723091.0</v>
      </c>
      <c r="I27" s="456">
        <v>-59.5</v>
      </c>
      <c r="J27" s="456">
        <v>280128.78</v>
      </c>
      <c r="K27" s="456">
        <v>1120515.1</v>
      </c>
      <c r="L27" s="456" t="s">
        <v>728</v>
      </c>
      <c r="M27" s="456">
        <v>0.44</v>
      </c>
      <c r="N27" s="456">
        <v>0.0</v>
      </c>
      <c r="O27" s="456">
        <v>0.0</v>
      </c>
      <c r="P27" s="456">
        <v>6.26</v>
      </c>
      <c r="Q27" s="456">
        <v>5.15</v>
      </c>
      <c r="R27" s="456">
        <v>82.25</v>
      </c>
      <c r="S27" s="456">
        <v>1584.51</v>
      </c>
      <c r="T27" s="456">
        <v>120.37</v>
      </c>
      <c r="U27" s="456">
        <v>11.81</v>
      </c>
      <c r="V27" s="456">
        <v>4.9</v>
      </c>
      <c r="W27" s="456">
        <v>1.0</v>
      </c>
    </row>
    <row r="28" ht="15.75" customHeight="1">
      <c r="A28" s="456">
        <v>4.14876329E8</v>
      </c>
      <c r="B28" s="457"/>
      <c r="C28" s="456">
        <v>4240.0</v>
      </c>
      <c r="D28" s="456">
        <v>-55.49</v>
      </c>
      <c r="E28" s="456">
        <v>176.67</v>
      </c>
      <c r="F28" s="456">
        <v>0.0</v>
      </c>
      <c r="G28" s="456" t="s">
        <v>729</v>
      </c>
      <c r="H28" s="456">
        <v>6776922.0</v>
      </c>
      <c r="I28" s="456">
        <v>-57.33</v>
      </c>
      <c r="J28" s="456">
        <v>282371.75</v>
      </c>
      <c r="K28" s="456">
        <v>0.0</v>
      </c>
      <c r="L28" s="456" t="s">
        <v>730</v>
      </c>
      <c r="M28" s="456">
        <v>0.42</v>
      </c>
      <c r="N28" s="456">
        <v>58.0</v>
      </c>
      <c r="O28" s="456">
        <v>92684.0</v>
      </c>
      <c r="P28" s="456">
        <v>8.58</v>
      </c>
      <c r="Q28" s="456">
        <v>5.58</v>
      </c>
      <c r="R28" s="456">
        <v>65.04</v>
      </c>
      <c r="S28" s="456">
        <v>1598.33</v>
      </c>
      <c r="T28" s="456">
        <v>14354.68</v>
      </c>
      <c r="U28" s="456">
        <v>7.39</v>
      </c>
      <c r="V28" s="456">
        <v>4.8</v>
      </c>
      <c r="W28" s="456">
        <v>1.0</v>
      </c>
    </row>
    <row r="29" ht="15.75" customHeight="1">
      <c r="A29" s="456">
        <v>3.36329981E8</v>
      </c>
      <c r="B29" s="457"/>
      <c r="C29" s="456">
        <v>4237.0</v>
      </c>
      <c r="D29" s="456">
        <v>-35.52</v>
      </c>
      <c r="E29" s="456">
        <v>141.23</v>
      </c>
      <c r="F29" s="456">
        <v>0.0</v>
      </c>
      <c r="G29" s="456" t="s">
        <v>731</v>
      </c>
      <c r="H29" s="456">
        <v>5410422.0</v>
      </c>
      <c r="I29" s="456">
        <v>-37.97</v>
      </c>
      <c r="J29" s="456">
        <v>180347.4</v>
      </c>
      <c r="K29" s="456">
        <v>0.0</v>
      </c>
      <c r="L29" s="456" t="s">
        <v>732</v>
      </c>
      <c r="M29" s="456">
        <v>0.42</v>
      </c>
      <c r="N29" s="456">
        <v>58.0</v>
      </c>
      <c r="O29" s="456">
        <v>75284.0</v>
      </c>
      <c r="P29" s="456">
        <v>8.42</v>
      </c>
      <c r="Q29" s="456">
        <v>5.58</v>
      </c>
      <c r="R29" s="456">
        <v>66.28</v>
      </c>
      <c r="S29" s="456">
        <v>1276.95</v>
      </c>
      <c r="T29" s="456">
        <v>2007.39</v>
      </c>
      <c r="U29" s="456">
        <v>7.23</v>
      </c>
      <c r="V29" s="456">
        <v>4.9</v>
      </c>
      <c r="W29" s="456">
        <v>1.0</v>
      </c>
    </row>
    <row r="30" ht="15.75" customHeight="1">
      <c r="A30" s="456">
        <v>1.55923673E8</v>
      </c>
      <c r="B30" s="457"/>
      <c r="C30" s="456">
        <v>4223.0</v>
      </c>
      <c r="D30" s="456">
        <v>-44.51</v>
      </c>
      <c r="E30" s="456">
        <v>156.41</v>
      </c>
      <c r="F30" s="456">
        <v>469.22</v>
      </c>
      <c r="G30" s="456" t="s">
        <v>733</v>
      </c>
      <c r="H30" s="456">
        <v>7131785.0</v>
      </c>
      <c r="I30" s="456">
        <v>-47.9</v>
      </c>
      <c r="J30" s="456">
        <v>264140.2</v>
      </c>
      <c r="K30" s="456">
        <v>792420.56</v>
      </c>
      <c r="L30" s="456" t="s">
        <v>734</v>
      </c>
      <c r="M30" s="456">
        <v>0.13</v>
      </c>
      <c r="N30" s="456">
        <v>0.0</v>
      </c>
      <c r="O30" s="456">
        <v>0.0</v>
      </c>
      <c r="P30" s="456">
        <v>8.75</v>
      </c>
      <c r="Q30" s="456">
        <v>6.46</v>
      </c>
      <c r="R30" s="456">
        <v>73.88</v>
      </c>
      <c r="S30" s="456">
        <v>1688.8</v>
      </c>
      <c r="T30" s="456">
        <v>5104.43</v>
      </c>
      <c r="U30" s="456">
        <v>8.36</v>
      </c>
      <c r="V30" s="456">
        <v>4.8</v>
      </c>
      <c r="W30" s="456">
        <v>1.0</v>
      </c>
    </row>
    <row r="31" ht="15.75" customHeight="1">
      <c r="A31" s="456">
        <v>3.33382499E8</v>
      </c>
      <c r="B31" s="457"/>
      <c r="C31" s="456">
        <v>4193.0</v>
      </c>
      <c r="D31" s="456">
        <v>-39.84</v>
      </c>
      <c r="E31" s="456">
        <v>161.27</v>
      </c>
      <c r="F31" s="456">
        <v>645.08</v>
      </c>
      <c r="G31" s="456" t="s">
        <v>735</v>
      </c>
      <c r="H31" s="456">
        <v>6608132.0</v>
      </c>
      <c r="I31" s="456">
        <v>-47.56</v>
      </c>
      <c r="J31" s="456">
        <v>254158.92</v>
      </c>
      <c r="K31" s="456">
        <v>1016635.7</v>
      </c>
      <c r="L31" s="456" t="s">
        <v>736</v>
      </c>
      <c r="M31" s="456">
        <v>0.33</v>
      </c>
      <c r="N31" s="456">
        <v>0.0</v>
      </c>
      <c r="O31" s="456">
        <v>0.0</v>
      </c>
      <c r="P31" s="456">
        <v>8.0</v>
      </c>
      <c r="Q31" s="456">
        <v>6.3</v>
      </c>
      <c r="R31" s="456">
        <v>78.7</v>
      </c>
      <c r="S31" s="456">
        <v>1575.99</v>
      </c>
      <c r="T31" s="456">
        <v>434.52</v>
      </c>
      <c r="U31" s="456">
        <v>8.0</v>
      </c>
      <c r="V31" s="456">
        <v>4.81</v>
      </c>
      <c r="W31" s="456">
        <v>1.0</v>
      </c>
    </row>
    <row r="32" ht="15.75" customHeight="1">
      <c r="A32" s="456">
        <v>2.33885438E8</v>
      </c>
      <c r="B32" s="457"/>
      <c r="C32" s="456">
        <v>4180.0</v>
      </c>
      <c r="D32" s="456">
        <v>-35.43</v>
      </c>
      <c r="E32" s="456">
        <v>167.2</v>
      </c>
      <c r="F32" s="456">
        <v>334.4</v>
      </c>
      <c r="G32" s="456" t="s">
        <v>737</v>
      </c>
      <c r="H32" s="456">
        <v>5794922.0</v>
      </c>
      <c r="I32" s="456">
        <v>-36.07</v>
      </c>
      <c r="J32" s="456">
        <v>231796.88</v>
      </c>
      <c r="K32" s="456">
        <v>463593.75</v>
      </c>
      <c r="L32" s="456" t="s">
        <v>738</v>
      </c>
      <c r="M32" s="456">
        <v>0.48</v>
      </c>
      <c r="N32" s="456">
        <v>0.0</v>
      </c>
      <c r="O32" s="456">
        <v>0.0</v>
      </c>
      <c r="P32" s="456">
        <v>8.17</v>
      </c>
      <c r="Q32" s="456">
        <v>5.48</v>
      </c>
      <c r="R32" s="456">
        <v>67.09</v>
      </c>
      <c r="S32" s="456">
        <v>1386.35</v>
      </c>
      <c r="T32" s="456">
        <v>2002.69</v>
      </c>
      <c r="U32" s="456">
        <v>9.0</v>
      </c>
      <c r="V32" s="456">
        <v>4.9</v>
      </c>
      <c r="W32" s="456">
        <v>1.0</v>
      </c>
    </row>
    <row r="33" ht="15.75" customHeight="1">
      <c r="A33" s="456">
        <v>2.63595253E8</v>
      </c>
      <c r="B33" s="457"/>
      <c r="C33" s="456">
        <v>4151.0</v>
      </c>
      <c r="D33" s="456">
        <v>-49.55</v>
      </c>
      <c r="E33" s="456">
        <v>138.37</v>
      </c>
      <c r="F33" s="456">
        <v>138.37</v>
      </c>
      <c r="G33" s="456" t="s">
        <v>739</v>
      </c>
      <c r="H33" s="456">
        <v>4792801.0</v>
      </c>
      <c r="I33" s="456">
        <v>-51.49</v>
      </c>
      <c r="J33" s="456">
        <v>159760.03</v>
      </c>
      <c r="K33" s="456">
        <v>159760.03</v>
      </c>
      <c r="L33" s="456" t="s">
        <v>740</v>
      </c>
      <c r="M33" s="456">
        <v>0.01</v>
      </c>
      <c r="N33" s="456">
        <v>0.0</v>
      </c>
      <c r="O33" s="456">
        <v>0.0</v>
      </c>
      <c r="P33" s="456">
        <v>9.9</v>
      </c>
      <c r="Q33" s="456">
        <v>6.03</v>
      </c>
      <c r="R33" s="456">
        <v>60.94</v>
      </c>
      <c r="S33" s="456">
        <v>1154.61</v>
      </c>
      <c r="T33" s="456">
        <v>1243.6</v>
      </c>
      <c r="U33" s="456">
        <v>10.0</v>
      </c>
      <c r="V33" s="456">
        <v>4.8</v>
      </c>
      <c r="W33" s="456">
        <v>1.0</v>
      </c>
    </row>
    <row r="34" ht="15.75" customHeight="1">
      <c r="A34" s="456">
        <v>5.00474501E8</v>
      </c>
      <c r="B34" s="457"/>
      <c r="C34" s="456">
        <v>4121.0</v>
      </c>
      <c r="D34" s="456">
        <v>-60.92</v>
      </c>
      <c r="E34" s="456">
        <v>132.94</v>
      </c>
      <c r="F34" s="456">
        <v>0.0</v>
      </c>
      <c r="G34" s="456" t="s">
        <v>741</v>
      </c>
      <c r="H34" s="456">
        <v>7731349.0</v>
      </c>
      <c r="I34" s="456">
        <v>-62.04</v>
      </c>
      <c r="J34" s="456">
        <v>249398.36</v>
      </c>
      <c r="K34" s="456">
        <v>0.0</v>
      </c>
      <c r="L34" s="456" t="s">
        <v>742</v>
      </c>
      <c r="M34" s="456">
        <v>0.24</v>
      </c>
      <c r="N34" s="456">
        <v>32.0</v>
      </c>
      <c r="O34" s="456">
        <v>59712.0</v>
      </c>
      <c r="P34" s="456">
        <v>9.61</v>
      </c>
      <c r="Q34" s="456">
        <v>6.32</v>
      </c>
      <c r="R34" s="456">
        <v>65.77</v>
      </c>
      <c r="S34" s="456">
        <v>1876.09</v>
      </c>
      <c r="T34" s="456">
        <v>10174.32</v>
      </c>
      <c r="U34" s="456">
        <v>8.42</v>
      </c>
      <c r="V34" s="456">
        <v>4.9</v>
      </c>
      <c r="W34" s="456">
        <v>1.0</v>
      </c>
    </row>
    <row r="35" ht="15.75" customHeight="1">
      <c r="A35" s="456">
        <v>4.11606111E8</v>
      </c>
      <c r="B35" s="457"/>
      <c r="C35" s="456">
        <v>4048.0</v>
      </c>
      <c r="D35" s="456">
        <v>-59.0</v>
      </c>
      <c r="E35" s="456">
        <v>155.69</v>
      </c>
      <c r="F35" s="456">
        <v>311.38</v>
      </c>
      <c r="G35" s="456" t="s">
        <v>743</v>
      </c>
      <c r="H35" s="456">
        <v>5561281.0</v>
      </c>
      <c r="I35" s="456">
        <v>-60.45</v>
      </c>
      <c r="J35" s="456">
        <v>213895.42</v>
      </c>
      <c r="K35" s="456">
        <v>427790.84</v>
      </c>
      <c r="L35" s="456" t="s">
        <v>744</v>
      </c>
      <c r="M35" s="456">
        <v>0.46</v>
      </c>
      <c r="N35" s="456">
        <v>64.0</v>
      </c>
      <c r="O35" s="456">
        <v>89024.0</v>
      </c>
      <c r="P35" s="456">
        <v>7.66</v>
      </c>
      <c r="Q35" s="456">
        <v>4.93</v>
      </c>
      <c r="R35" s="456">
        <v>64.41</v>
      </c>
      <c r="S35" s="456">
        <v>1373.83</v>
      </c>
      <c r="T35" s="456">
        <v>1089.62</v>
      </c>
      <c r="U35" s="456">
        <v>11.69</v>
      </c>
      <c r="V35" s="456">
        <v>4.9</v>
      </c>
      <c r="W35" s="456">
        <v>1.0</v>
      </c>
    </row>
    <row r="36" ht="15.75" customHeight="1">
      <c r="A36" s="456">
        <v>2.63731403E8</v>
      </c>
      <c r="B36" s="457"/>
      <c r="C36" s="456">
        <v>4027.0</v>
      </c>
      <c r="D36" s="456">
        <v>-50.19</v>
      </c>
      <c r="E36" s="456">
        <v>154.88</v>
      </c>
      <c r="F36" s="456">
        <v>309.77</v>
      </c>
      <c r="G36" s="456" t="s">
        <v>745</v>
      </c>
      <c r="H36" s="456">
        <v>5122558.0</v>
      </c>
      <c r="I36" s="456">
        <v>-51.49</v>
      </c>
      <c r="J36" s="456">
        <v>197021.47</v>
      </c>
      <c r="K36" s="456">
        <v>394042.94</v>
      </c>
      <c r="L36" s="456" t="s">
        <v>746</v>
      </c>
      <c r="M36" s="456">
        <v>0.4</v>
      </c>
      <c r="N36" s="456">
        <v>56.0</v>
      </c>
      <c r="O36" s="456">
        <v>70056.0</v>
      </c>
      <c r="P36" s="456">
        <v>8.83</v>
      </c>
      <c r="Q36" s="456">
        <v>5.17</v>
      </c>
      <c r="R36" s="456">
        <v>58.59</v>
      </c>
      <c r="S36" s="456">
        <v>1272.05</v>
      </c>
      <c r="T36" s="456">
        <v>2554.76</v>
      </c>
      <c r="U36" s="456">
        <v>7.34</v>
      </c>
      <c r="V36" s="456">
        <v>4.8</v>
      </c>
      <c r="W36" s="456">
        <v>1.0</v>
      </c>
    </row>
    <row r="37" ht="15.75" customHeight="1">
      <c r="A37" s="456">
        <v>6.0393505E8</v>
      </c>
      <c r="B37" s="457"/>
      <c r="C37" s="456">
        <v>4014.0</v>
      </c>
      <c r="D37" s="456">
        <v>-8.67</v>
      </c>
      <c r="E37" s="456">
        <v>154.38</v>
      </c>
      <c r="F37" s="456">
        <v>0.0</v>
      </c>
      <c r="G37" s="456" t="s">
        <v>747</v>
      </c>
      <c r="H37" s="456">
        <v>4816130.0</v>
      </c>
      <c r="I37" s="456">
        <v>-11.7</v>
      </c>
      <c r="J37" s="456">
        <v>185235.77</v>
      </c>
      <c r="K37" s="456">
        <v>0.0</v>
      </c>
      <c r="L37" s="456" t="s">
        <v>748</v>
      </c>
      <c r="M37" s="456">
        <v>0.45</v>
      </c>
      <c r="N37" s="456">
        <v>58.0</v>
      </c>
      <c r="O37" s="456">
        <v>71480.86</v>
      </c>
      <c r="P37" s="456">
        <v>6.87</v>
      </c>
      <c r="Q37" s="456">
        <v>3.61</v>
      </c>
      <c r="R37" s="456">
        <v>52.58</v>
      </c>
      <c r="S37" s="456">
        <v>1199.83</v>
      </c>
      <c r="T37" s="456">
        <v>472.84</v>
      </c>
      <c r="U37" s="456">
        <v>11.0</v>
      </c>
      <c r="V37" s="456">
        <v>4.9</v>
      </c>
      <c r="W37" s="456">
        <v>1.0</v>
      </c>
    </row>
    <row r="38" ht="15.75" customHeight="1">
      <c r="A38" s="456">
        <v>3.9447447E8</v>
      </c>
      <c r="B38" s="457"/>
      <c r="C38" s="456">
        <v>3996.0</v>
      </c>
      <c r="D38" s="456">
        <v>-54.69</v>
      </c>
      <c r="E38" s="456">
        <v>128.9</v>
      </c>
      <c r="F38" s="456">
        <v>0.0</v>
      </c>
      <c r="G38" s="456" t="s">
        <v>749</v>
      </c>
      <c r="H38" s="456">
        <v>1578349.0</v>
      </c>
      <c r="I38" s="456">
        <v>-56.26</v>
      </c>
      <c r="J38" s="456">
        <v>50914.48</v>
      </c>
      <c r="K38" s="456">
        <v>0.0</v>
      </c>
      <c r="L38" s="456" t="s">
        <v>750</v>
      </c>
      <c r="M38" s="456">
        <v>0.45</v>
      </c>
      <c r="N38" s="456">
        <v>58.0</v>
      </c>
      <c r="O38" s="456">
        <v>23954.0</v>
      </c>
      <c r="P38" s="456">
        <v>10.39</v>
      </c>
      <c r="Q38" s="456">
        <v>6.87</v>
      </c>
      <c r="R38" s="456">
        <v>66.15</v>
      </c>
      <c r="S38" s="456">
        <v>394.98</v>
      </c>
      <c r="T38" s="456">
        <v>2005.19</v>
      </c>
      <c r="U38" s="456">
        <v>7.23</v>
      </c>
      <c r="V38" s="456">
        <v>4.9</v>
      </c>
      <c r="W38" s="456">
        <v>1.0</v>
      </c>
    </row>
    <row r="39" ht="15.75" customHeight="1">
      <c r="A39" s="456">
        <v>3.34193306E8</v>
      </c>
      <c r="B39" s="457"/>
      <c r="C39" s="456">
        <v>3976.0</v>
      </c>
      <c r="D39" s="456">
        <v>-43.09</v>
      </c>
      <c r="E39" s="456">
        <v>147.26</v>
      </c>
      <c r="F39" s="456">
        <v>0.0</v>
      </c>
      <c r="G39" s="456" t="s">
        <v>751</v>
      </c>
      <c r="H39" s="456">
        <v>4918295.0</v>
      </c>
      <c r="I39" s="456">
        <v>-44.77</v>
      </c>
      <c r="J39" s="456">
        <v>182159.08</v>
      </c>
      <c r="K39" s="456">
        <v>0.0</v>
      </c>
      <c r="L39" s="456" t="s">
        <v>752</v>
      </c>
      <c r="M39" s="456">
        <v>0.45</v>
      </c>
      <c r="N39" s="456">
        <v>58.0</v>
      </c>
      <c r="O39" s="456">
        <v>73370.0</v>
      </c>
      <c r="P39" s="456">
        <v>8.52</v>
      </c>
      <c r="Q39" s="456">
        <v>5.13</v>
      </c>
      <c r="R39" s="456">
        <v>60.23</v>
      </c>
      <c r="S39" s="456">
        <v>1237.0</v>
      </c>
      <c r="T39" s="456">
        <v>1179.97</v>
      </c>
      <c r="U39" s="456">
        <v>15.0</v>
      </c>
      <c r="V39" s="456">
        <v>4.9</v>
      </c>
      <c r="W39" s="456">
        <v>1.0</v>
      </c>
    </row>
    <row r="40" ht="15.75" customHeight="1">
      <c r="A40" s="456">
        <v>4.66515035E8</v>
      </c>
      <c r="B40" s="457"/>
      <c r="C40" s="456">
        <v>3840.0</v>
      </c>
      <c r="D40" s="456">
        <v>-48.34</v>
      </c>
      <c r="E40" s="456">
        <v>160.0</v>
      </c>
      <c r="F40" s="456">
        <v>480.0</v>
      </c>
      <c r="G40" s="456" t="s">
        <v>753</v>
      </c>
      <c r="H40" s="456">
        <v>5395096.0</v>
      </c>
      <c r="I40" s="456">
        <v>-48.25</v>
      </c>
      <c r="J40" s="456">
        <v>224795.67</v>
      </c>
      <c r="K40" s="456">
        <v>674387.0</v>
      </c>
      <c r="L40" s="456" t="s">
        <v>754</v>
      </c>
      <c r="M40" s="456">
        <v>0.01</v>
      </c>
      <c r="N40" s="456">
        <v>0.0</v>
      </c>
      <c r="O40" s="456">
        <v>0.0</v>
      </c>
      <c r="P40" s="456">
        <v>5.93</v>
      </c>
      <c r="Q40" s="456">
        <v>4.43</v>
      </c>
      <c r="R40" s="456">
        <v>74.7</v>
      </c>
      <c r="S40" s="456">
        <v>1404.97</v>
      </c>
      <c r="T40" s="456">
        <v>279.0</v>
      </c>
      <c r="U40" s="456">
        <v>17.0</v>
      </c>
      <c r="V40" s="456">
        <v>4.8</v>
      </c>
      <c r="W40" s="456">
        <v>1.0</v>
      </c>
    </row>
    <row r="41" ht="15.75" customHeight="1">
      <c r="A41" s="456">
        <v>4.11642332E8</v>
      </c>
      <c r="B41" s="457"/>
      <c r="C41" s="456">
        <v>3830.0</v>
      </c>
      <c r="D41" s="456">
        <v>-44.94</v>
      </c>
      <c r="E41" s="456">
        <v>159.58</v>
      </c>
      <c r="F41" s="456">
        <v>797.92</v>
      </c>
      <c r="G41" s="456" t="s">
        <v>755</v>
      </c>
      <c r="H41" s="456">
        <v>4873395.0</v>
      </c>
      <c r="I41" s="456">
        <v>-46.87</v>
      </c>
      <c r="J41" s="456">
        <v>203058.12</v>
      </c>
      <c r="K41" s="456">
        <v>1015290.6</v>
      </c>
      <c r="L41" s="456" t="s">
        <v>756</v>
      </c>
      <c r="M41" s="456">
        <v>0.47</v>
      </c>
      <c r="N41" s="456">
        <v>0.0</v>
      </c>
      <c r="O41" s="456">
        <v>0.0</v>
      </c>
      <c r="P41" s="456">
        <v>7.19</v>
      </c>
      <c r="Q41" s="456">
        <v>4.62</v>
      </c>
      <c r="R41" s="456">
        <v>64.17</v>
      </c>
      <c r="S41" s="456">
        <v>1272.43</v>
      </c>
      <c r="T41" s="456">
        <v>1194.54</v>
      </c>
      <c r="U41" s="456">
        <v>9.0</v>
      </c>
      <c r="V41" s="456">
        <v>4.8</v>
      </c>
      <c r="W41" s="456">
        <v>1.0</v>
      </c>
    </row>
    <row r="42" ht="15.75" customHeight="1">
      <c r="A42" s="456">
        <v>3.21642398E8</v>
      </c>
      <c r="B42" s="457"/>
      <c r="C42" s="456">
        <v>3814.0</v>
      </c>
      <c r="D42" s="456">
        <v>-40.15</v>
      </c>
      <c r="E42" s="456">
        <v>141.26</v>
      </c>
      <c r="F42" s="456">
        <v>282.52</v>
      </c>
      <c r="G42" s="456" t="s">
        <v>757</v>
      </c>
      <c r="H42" s="456">
        <v>1607578.0</v>
      </c>
      <c r="I42" s="456">
        <v>-42.52</v>
      </c>
      <c r="J42" s="456">
        <v>59539.93</v>
      </c>
      <c r="K42" s="456">
        <v>119079.85</v>
      </c>
      <c r="L42" s="456" t="s">
        <v>758</v>
      </c>
      <c r="M42" s="456">
        <v>0.01</v>
      </c>
      <c r="N42" s="456">
        <v>0.0</v>
      </c>
      <c r="O42" s="456">
        <v>0.0</v>
      </c>
      <c r="P42" s="456">
        <v>11.14</v>
      </c>
      <c r="Q42" s="456">
        <v>5.24</v>
      </c>
      <c r="R42" s="456">
        <v>47.06</v>
      </c>
      <c r="S42" s="456">
        <v>421.49</v>
      </c>
      <c r="T42" s="456">
        <v>285.52</v>
      </c>
      <c r="U42" s="456">
        <v>8.0</v>
      </c>
      <c r="V42" s="456">
        <v>4.8</v>
      </c>
      <c r="W42" s="456">
        <v>1.0</v>
      </c>
    </row>
    <row r="43" ht="15.75" customHeight="1">
      <c r="A43" s="456">
        <v>4.17271458E8</v>
      </c>
      <c r="B43" s="457"/>
      <c r="C43" s="456">
        <v>3797.0</v>
      </c>
      <c r="D43" s="456">
        <v>-57.15</v>
      </c>
      <c r="E43" s="456">
        <v>158.21</v>
      </c>
      <c r="F43" s="456">
        <v>474.63</v>
      </c>
      <c r="G43" s="456" t="s">
        <v>759</v>
      </c>
      <c r="H43" s="456">
        <v>5991464.0</v>
      </c>
      <c r="I43" s="456">
        <v>-62.33</v>
      </c>
      <c r="J43" s="456">
        <v>249644.33</v>
      </c>
      <c r="K43" s="456">
        <v>748933.0</v>
      </c>
      <c r="L43" s="456" t="s">
        <v>760</v>
      </c>
      <c r="M43" s="456">
        <v>0.44</v>
      </c>
      <c r="N43" s="456">
        <v>0.0</v>
      </c>
      <c r="O43" s="456">
        <v>0.0</v>
      </c>
      <c r="P43" s="456">
        <v>7.0</v>
      </c>
      <c r="Q43" s="456">
        <v>4.93</v>
      </c>
      <c r="R43" s="456">
        <v>70.41</v>
      </c>
      <c r="S43" s="456">
        <v>1577.95</v>
      </c>
      <c r="T43" s="456">
        <v>93.0</v>
      </c>
      <c r="U43" s="456">
        <v>10.75</v>
      </c>
      <c r="V43" s="456">
        <v>4.9</v>
      </c>
      <c r="W43" s="456">
        <v>1.0</v>
      </c>
    </row>
    <row r="44" ht="15.75" customHeight="1">
      <c r="A44" s="456">
        <v>2.01965793E8</v>
      </c>
      <c r="B44" s="457"/>
      <c r="C44" s="456">
        <v>3786.0</v>
      </c>
      <c r="D44" s="456">
        <v>-38.83</v>
      </c>
      <c r="E44" s="456">
        <v>140.22</v>
      </c>
      <c r="F44" s="456">
        <v>0.0</v>
      </c>
      <c r="G44" s="456" t="s">
        <v>761</v>
      </c>
      <c r="H44" s="456">
        <v>5086243.0</v>
      </c>
      <c r="I44" s="456">
        <v>-39.26</v>
      </c>
      <c r="J44" s="456">
        <v>188379.38</v>
      </c>
      <c r="K44" s="456">
        <v>0.0</v>
      </c>
      <c r="L44" s="456" t="s">
        <v>762</v>
      </c>
      <c r="M44" s="456">
        <v>0.47</v>
      </c>
      <c r="N44" s="456">
        <v>58.0</v>
      </c>
      <c r="O44" s="456">
        <v>79544.37</v>
      </c>
      <c r="P44" s="456">
        <v>7.13</v>
      </c>
      <c r="Q44" s="456">
        <v>4.26</v>
      </c>
      <c r="R44" s="456">
        <v>59.73</v>
      </c>
      <c r="S44" s="456">
        <v>1343.43</v>
      </c>
      <c r="T44" s="456">
        <v>11705.84</v>
      </c>
      <c r="U44" s="456">
        <v>9.0</v>
      </c>
      <c r="V44" s="456">
        <v>4.9</v>
      </c>
      <c r="W44" s="456">
        <v>1.0</v>
      </c>
    </row>
    <row r="45" ht="15.75" customHeight="1">
      <c r="A45" s="456">
        <v>4.66522423E8</v>
      </c>
      <c r="B45" s="457"/>
      <c r="C45" s="456">
        <v>3764.0</v>
      </c>
      <c r="D45" s="456">
        <v>-40.71</v>
      </c>
      <c r="E45" s="456">
        <v>156.83</v>
      </c>
      <c r="F45" s="456">
        <v>470.5</v>
      </c>
      <c r="G45" s="456" t="s">
        <v>763</v>
      </c>
      <c r="H45" s="456">
        <v>5244702.0</v>
      </c>
      <c r="I45" s="456">
        <v>-41.84</v>
      </c>
      <c r="J45" s="456">
        <v>218529.25</v>
      </c>
      <c r="K45" s="456">
        <v>655587.75</v>
      </c>
      <c r="L45" s="456" t="s">
        <v>764</v>
      </c>
      <c r="M45" s="456">
        <v>0.33</v>
      </c>
      <c r="N45" s="456">
        <v>0.0</v>
      </c>
      <c r="O45" s="456">
        <v>0.0</v>
      </c>
      <c r="P45" s="456">
        <v>6.93</v>
      </c>
      <c r="Q45" s="456">
        <v>4.61</v>
      </c>
      <c r="R45" s="456">
        <v>66.49</v>
      </c>
      <c r="S45" s="456">
        <v>1393.39</v>
      </c>
      <c r="T45" s="456">
        <v>170.57</v>
      </c>
      <c r="U45" s="456">
        <v>18.0</v>
      </c>
      <c r="V45" s="456">
        <v>4.7</v>
      </c>
      <c r="W45" s="456">
        <v>1.0</v>
      </c>
    </row>
    <row r="46" ht="15.75" customHeight="1">
      <c r="A46" s="456">
        <v>2.01338197E8</v>
      </c>
      <c r="B46" s="457"/>
      <c r="C46" s="456">
        <v>3739.0</v>
      </c>
      <c r="D46" s="456">
        <v>-40.01</v>
      </c>
      <c r="E46" s="456">
        <v>155.79</v>
      </c>
      <c r="F46" s="456">
        <v>623.17</v>
      </c>
      <c r="G46" s="456" t="s">
        <v>765</v>
      </c>
      <c r="H46" s="456">
        <v>5861253.0</v>
      </c>
      <c r="I46" s="456">
        <v>-40.78</v>
      </c>
      <c r="J46" s="456">
        <v>244218.88</v>
      </c>
      <c r="K46" s="456">
        <v>976875.5</v>
      </c>
      <c r="L46" s="456" t="s">
        <v>766</v>
      </c>
      <c r="M46" s="456">
        <v>0.48</v>
      </c>
      <c r="N46" s="456">
        <v>0.0</v>
      </c>
      <c r="O46" s="456">
        <v>0.0</v>
      </c>
      <c r="P46" s="456">
        <v>6.78</v>
      </c>
      <c r="Q46" s="456">
        <v>4.52</v>
      </c>
      <c r="R46" s="456">
        <v>66.67</v>
      </c>
      <c r="S46" s="456">
        <v>1567.6</v>
      </c>
      <c r="T46" s="456">
        <v>7705.37</v>
      </c>
      <c r="U46" s="456">
        <v>9.0</v>
      </c>
      <c r="V46" s="456">
        <v>4.8</v>
      </c>
      <c r="W46" s="456">
        <v>1.0</v>
      </c>
    </row>
    <row r="47" ht="15.75" customHeight="1">
      <c r="A47" s="456">
        <v>2.32978512E8</v>
      </c>
      <c r="B47" s="457"/>
      <c r="C47" s="456">
        <v>3735.0</v>
      </c>
      <c r="D47" s="456">
        <v>-48.05</v>
      </c>
      <c r="E47" s="456">
        <v>128.79</v>
      </c>
      <c r="F47" s="456">
        <v>128.79</v>
      </c>
      <c r="G47" s="456" t="s">
        <v>767</v>
      </c>
      <c r="H47" s="456">
        <v>5094676.0</v>
      </c>
      <c r="I47" s="456">
        <v>-50.7</v>
      </c>
      <c r="J47" s="456">
        <v>175678.48</v>
      </c>
      <c r="K47" s="456">
        <v>175678.48</v>
      </c>
      <c r="L47" s="456" t="s">
        <v>768</v>
      </c>
      <c r="M47" s="456">
        <v>0.33</v>
      </c>
      <c r="N47" s="456">
        <v>41.0</v>
      </c>
      <c r="O47" s="456">
        <v>56006.0</v>
      </c>
      <c r="P47" s="456">
        <v>12.17</v>
      </c>
      <c r="Q47" s="456">
        <v>6.6</v>
      </c>
      <c r="R47" s="456">
        <v>54.25</v>
      </c>
      <c r="S47" s="456">
        <v>1364.04</v>
      </c>
      <c r="T47" s="456">
        <v>331.33</v>
      </c>
      <c r="U47" s="456">
        <v>16.0</v>
      </c>
      <c r="V47" s="456">
        <v>4.9</v>
      </c>
      <c r="W47" s="456">
        <v>1.0</v>
      </c>
    </row>
    <row r="48" ht="15.75" customHeight="1">
      <c r="A48" s="456">
        <v>2.55647715E8</v>
      </c>
      <c r="B48" s="457"/>
      <c r="C48" s="456">
        <v>3705.0</v>
      </c>
      <c r="D48" s="456">
        <v>-47.22</v>
      </c>
      <c r="E48" s="456">
        <v>154.38</v>
      </c>
      <c r="F48" s="456">
        <v>308.75</v>
      </c>
      <c r="G48" s="456" t="s">
        <v>769</v>
      </c>
      <c r="H48" s="456">
        <v>1980895.0</v>
      </c>
      <c r="I48" s="456">
        <v>-46.55</v>
      </c>
      <c r="J48" s="456">
        <v>82537.29</v>
      </c>
      <c r="K48" s="456">
        <v>165074.58</v>
      </c>
      <c r="L48" s="456" t="s">
        <v>770</v>
      </c>
      <c r="M48" s="456">
        <v>0.45</v>
      </c>
      <c r="N48" s="456">
        <v>58.0</v>
      </c>
      <c r="O48" s="456">
        <v>33060.0</v>
      </c>
      <c r="P48" s="456">
        <v>6.21</v>
      </c>
      <c r="Q48" s="456">
        <v>4.14</v>
      </c>
      <c r="R48" s="456">
        <v>66.67</v>
      </c>
      <c r="S48" s="456">
        <v>534.65</v>
      </c>
      <c r="T48" s="456">
        <v>948.21</v>
      </c>
      <c r="U48" s="456">
        <v>7.34</v>
      </c>
      <c r="V48" s="456">
        <v>4.7</v>
      </c>
      <c r="W48" s="456">
        <v>1.0</v>
      </c>
    </row>
    <row r="49" ht="15.75" customHeight="1">
      <c r="A49" s="456">
        <v>7.1197245E8</v>
      </c>
      <c r="B49" s="457"/>
      <c r="C49" s="456">
        <v>3700.0</v>
      </c>
      <c r="D49" s="456">
        <v>-65.21</v>
      </c>
      <c r="E49" s="456">
        <v>132.14</v>
      </c>
      <c r="F49" s="456">
        <v>132.14</v>
      </c>
      <c r="G49" s="456" t="s">
        <v>771</v>
      </c>
      <c r="H49" s="456">
        <v>4474635.0</v>
      </c>
      <c r="I49" s="456">
        <v>-65.64</v>
      </c>
      <c r="J49" s="456">
        <v>159808.39</v>
      </c>
      <c r="K49" s="456">
        <v>159808.39</v>
      </c>
      <c r="L49" s="456" t="s">
        <v>772</v>
      </c>
      <c r="M49" s="456">
        <v>0.42</v>
      </c>
      <c r="N49" s="456">
        <v>52.0</v>
      </c>
      <c r="O49" s="456">
        <v>63960.0</v>
      </c>
      <c r="P49" s="456">
        <v>7.5</v>
      </c>
      <c r="Q49" s="456">
        <v>5.47</v>
      </c>
      <c r="R49" s="456">
        <v>72.89</v>
      </c>
      <c r="S49" s="456">
        <v>1209.36</v>
      </c>
      <c r="T49" s="456">
        <v>272.2</v>
      </c>
      <c r="U49" s="456">
        <v>9.0</v>
      </c>
      <c r="V49" s="456">
        <v>4.96</v>
      </c>
      <c r="W49" s="456">
        <v>1.0</v>
      </c>
    </row>
    <row r="50" ht="15.75" customHeight="1">
      <c r="A50" s="456">
        <v>3.33438472E8</v>
      </c>
      <c r="B50" s="457"/>
      <c r="C50" s="456">
        <v>3663.0</v>
      </c>
      <c r="D50" s="456">
        <v>-44.52</v>
      </c>
      <c r="E50" s="456">
        <v>135.67</v>
      </c>
      <c r="F50" s="456">
        <v>0.0</v>
      </c>
      <c r="G50" s="456" t="s">
        <v>773</v>
      </c>
      <c r="H50" s="456">
        <v>4222878.0</v>
      </c>
      <c r="I50" s="456">
        <v>-46.73</v>
      </c>
      <c r="J50" s="456">
        <v>156402.89</v>
      </c>
      <c r="K50" s="456">
        <v>0.0</v>
      </c>
      <c r="L50" s="456" t="s">
        <v>774</v>
      </c>
      <c r="M50" s="456">
        <v>0.01</v>
      </c>
      <c r="N50" s="456">
        <v>1.0</v>
      </c>
      <c r="O50" s="456">
        <v>1158.0</v>
      </c>
      <c r="P50" s="456">
        <v>9.97</v>
      </c>
      <c r="Q50" s="456">
        <v>4.58</v>
      </c>
      <c r="R50" s="456">
        <v>45.95</v>
      </c>
      <c r="S50" s="456">
        <v>1152.85</v>
      </c>
      <c r="T50" s="456">
        <v>313.42</v>
      </c>
      <c r="U50" s="456">
        <v>8.13</v>
      </c>
      <c r="V50" s="456">
        <v>4.9</v>
      </c>
      <c r="W50" s="456">
        <v>1.0</v>
      </c>
    </row>
    <row r="51" ht="15.75" customHeight="1">
      <c r="A51" s="456">
        <v>2.4910191E8</v>
      </c>
      <c r="B51" s="457"/>
      <c r="C51" s="456">
        <v>3613.0</v>
      </c>
      <c r="D51" s="456">
        <v>-23.67</v>
      </c>
      <c r="E51" s="456">
        <v>124.59</v>
      </c>
      <c r="F51" s="456">
        <v>0.0</v>
      </c>
      <c r="G51" s="456" t="s">
        <v>775</v>
      </c>
      <c r="H51" s="456">
        <v>3843928.0</v>
      </c>
      <c r="I51" s="456">
        <v>-25.2</v>
      </c>
      <c r="J51" s="456">
        <v>132549.23</v>
      </c>
      <c r="K51" s="456">
        <v>0.0</v>
      </c>
      <c r="L51" s="456" t="s">
        <v>776</v>
      </c>
      <c r="M51" s="456">
        <v>0.43</v>
      </c>
      <c r="N51" s="456">
        <v>50.0</v>
      </c>
      <c r="O51" s="456">
        <v>56300.0</v>
      </c>
      <c r="P51" s="456">
        <v>9.29</v>
      </c>
      <c r="Q51" s="456">
        <v>6.29</v>
      </c>
      <c r="R51" s="456">
        <v>67.71</v>
      </c>
      <c r="S51" s="456">
        <v>1063.92</v>
      </c>
      <c r="T51" s="456">
        <v>339.9</v>
      </c>
      <c r="U51" s="456">
        <v>13.0</v>
      </c>
      <c r="V51" s="456">
        <v>4.82</v>
      </c>
      <c r="W51" s="456">
        <v>1.0</v>
      </c>
    </row>
    <row r="52" ht="15.75" customHeight="1">
      <c r="A52" s="456">
        <v>5.51387355E8</v>
      </c>
      <c r="B52" s="457"/>
      <c r="C52" s="456">
        <v>3610.0</v>
      </c>
      <c r="D52" s="456">
        <v>-48.19</v>
      </c>
      <c r="E52" s="456">
        <v>150.42</v>
      </c>
      <c r="F52" s="456">
        <v>601.67</v>
      </c>
      <c r="G52" s="456" t="s">
        <v>777</v>
      </c>
      <c r="H52" s="456">
        <v>4111724.0</v>
      </c>
      <c r="I52" s="456">
        <v>-51.64</v>
      </c>
      <c r="J52" s="456">
        <v>171321.83</v>
      </c>
      <c r="K52" s="456">
        <v>685287.3</v>
      </c>
      <c r="L52" s="456" t="s">
        <v>778</v>
      </c>
      <c r="M52" s="456">
        <v>0.19</v>
      </c>
      <c r="N52" s="456">
        <v>0.0</v>
      </c>
      <c r="O52" s="456">
        <v>0.0</v>
      </c>
      <c r="P52" s="456">
        <v>7.89</v>
      </c>
      <c r="Q52" s="456">
        <v>4.59</v>
      </c>
      <c r="R52" s="456">
        <v>58.22</v>
      </c>
      <c r="S52" s="456">
        <v>1138.98</v>
      </c>
      <c r="T52" s="456">
        <v>105.22</v>
      </c>
      <c r="U52" s="456">
        <v>11.0</v>
      </c>
      <c r="V52" s="456">
        <v>4.5</v>
      </c>
      <c r="W52" s="456">
        <v>1.0</v>
      </c>
    </row>
    <row r="53" ht="15.75" customHeight="1">
      <c r="A53" s="456">
        <v>2.63572315E8</v>
      </c>
      <c r="B53" s="457"/>
      <c r="C53" s="456">
        <v>3561.0</v>
      </c>
      <c r="D53" s="456">
        <v>-42.71</v>
      </c>
      <c r="E53" s="456">
        <v>122.79</v>
      </c>
      <c r="F53" s="456">
        <v>0.0</v>
      </c>
      <c r="G53" s="456" t="s">
        <v>779</v>
      </c>
      <c r="H53" s="456">
        <v>4488291.0</v>
      </c>
      <c r="I53" s="456">
        <v>-44.63</v>
      </c>
      <c r="J53" s="456">
        <v>154768.66</v>
      </c>
      <c r="K53" s="456">
        <v>0.0</v>
      </c>
      <c r="L53" s="456" t="s">
        <v>780</v>
      </c>
      <c r="M53" s="456">
        <v>0.5</v>
      </c>
      <c r="N53" s="456">
        <v>58.0</v>
      </c>
      <c r="O53" s="456">
        <v>78184.0</v>
      </c>
      <c r="P53" s="456">
        <v>9.06</v>
      </c>
      <c r="Q53" s="456">
        <v>5.97</v>
      </c>
      <c r="R53" s="456">
        <v>65.84</v>
      </c>
      <c r="S53" s="456">
        <v>1260.4</v>
      </c>
      <c r="T53" s="456">
        <v>2004.84</v>
      </c>
      <c r="U53" s="456">
        <v>7.0</v>
      </c>
      <c r="V53" s="456">
        <v>4.9</v>
      </c>
      <c r="W53" s="456">
        <v>1.0</v>
      </c>
    </row>
    <row r="54" ht="15.75" customHeight="1">
      <c r="A54" s="456">
        <v>3.44060137E8</v>
      </c>
      <c r="B54" s="457"/>
      <c r="C54" s="456">
        <v>3554.0</v>
      </c>
      <c r="D54" s="456">
        <v>-23.62</v>
      </c>
      <c r="E54" s="456">
        <v>136.69</v>
      </c>
      <c r="F54" s="456">
        <v>0.0</v>
      </c>
      <c r="G54" s="456" t="s">
        <v>781</v>
      </c>
      <c r="H54" s="456">
        <v>4462614.0</v>
      </c>
      <c r="I54" s="456">
        <v>-30.47</v>
      </c>
      <c r="J54" s="456">
        <v>171639.0</v>
      </c>
      <c r="K54" s="456">
        <v>0.0</v>
      </c>
      <c r="L54" s="456" t="s">
        <v>782</v>
      </c>
      <c r="M54" s="456">
        <v>0.51</v>
      </c>
      <c r="N54" s="456">
        <v>58.0</v>
      </c>
      <c r="O54" s="456">
        <v>74153.0</v>
      </c>
      <c r="P54" s="456">
        <v>7.42</v>
      </c>
      <c r="Q54" s="456">
        <v>3.77</v>
      </c>
      <c r="R54" s="456">
        <v>50.87</v>
      </c>
      <c r="S54" s="456">
        <v>1255.66</v>
      </c>
      <c r="T54" s="456">
        <v>354.03</v>
      </c>
      <c r="U54" s="456">
        <v>6.0</v>
      </c>
      <c r="V54" s="456">
        <v>4.9</v>
      </c>
      <c r="W54" s="456">
        <v>1.0</v>
      </c>
    </row>
    <row r="55" ht="15.75" customHeight="1">
      <c r="A55" s="456">
        <v>4.02264741E8</v>
      </c>
      <c r="B55" s="457"/>
      <c r="C55" s="456">
        <v>3551.0</v>
      </c>
      <c r="D55" s="456">
        <v>-54.53</v>
      </c>
      <c r="E55" s="456">
        <v>142.04</v>
      </c>
      <c r="F55" s="456">
        <v>142.04</v>
      </c>
      <c r="G55" s="456" t="s">
        <v>783</v>
      </c>
      <c r="H55" s="456">
        <v>5043485.0</v>
      </c>
      <c r="I55" s="456">
        <v>-57.76</v>
      </c>
      <c r="J55" s="456">
        <v>201739.4</v>
      </c>
      <c r="K55" s="456">
        <v>201739.4</v>
      </c>
      <c r="L55" s="456" t="s">
        <v>784</v>
      </c>
      <c r="M55" s="456">
        <v>0.47</v>
      </c>
      <c r="N55" s="456">
        <v>56.0</v>
      </c>
      <c r="O55" s="456">
        <v>77504.0</v>
      </c>
      <c r="P55" s="456">
        <v>8.6</v>
      </c>
      <c r="Q55" s="456">
        <v>4.63</v>
      </c>
      <c r="R55" s="456">
        <v>53.88</v>
      </c>
      <c r="S55" s="456">
        <v>1420.3</v>
      </c>
      <c r="T55" s="456">
        <v>1368.87</v>
      </c>
      <c r="U55" s="456">
        <v>7.5</v>
      </c>
      <c r="V55" s="456">
        <v>4.73</v>
      </c>
      <c r="W55" s="456">
        <v>1.0</v>
      </c>
    </row>
    <row r="56" ht="15.75" customHeight="1">
      <c r="A56" s="456">
        <v>7.11956173E8</v>
      </c>
      <c r="B56" s="457"/>
      <c r="C56" s="456">
        <v>3518.0</v>
      </c>
      <c r="D56" s="456">
        <v>-50.04</v>
      </c>
      <c r="E56" s="456">
        <v>140.72</v>
      </c>
      <c r="F56" s="456">
        <v>422.16</v>
      </c>
      <c r="G56" s="456" t="s">
        <v>785</v>
      </c>
      <c r="H56" s="456">
        <v>4507165.0</v>
      </c>
      <c r="I56" s="456">
        <v>-52.93</v>
      </c>
      <c r="J56" s="456">
        <v>180286.6</v>
      </c>
      <c r="K56" s="456">
        <v>540859.8</v>
      </c>
      <c r="L56" s="456" t="s">
        <v>786</v>
      </c>
      <c r="M56" s="456">
        <v>0.38</v>
      </c>
      <c r="N56" s="456">
        <v>0.0</v>
      </c>
      <c r="O56" s="456">
        <v>0.0</v>
      </c>
      <c r="P56" s="456">
        <v>7.93</v>
      </c>
      <c r="Q56" s="456">
        <v>6.14</v>
      </c>
      <c r="R56" s="456">
        <v>77.48</v>
      </c>
      <c r="S56" s="456">
        <v>1281.17</v>
      </c>
      <c r="T56" s="456">
        <v>228.57</v>
      </c>
      <c r="U56" s="456">
        <v>10.0</v>
      </c>
      <c r="V56" s="456">
        <v>4.9</v>
      </c>
      <c r="W56" s="456">
        <v>1.0</v>
      </c>
    </row>
    <row r="57" ht="15.75" customHeight="1">
      <c r="A57" s="456">
        <v>3.66495499E8</v>
      </c>
      <c r="B57" s="457"/>
      <c r="C57" s="456">
        <v>3483.0</v>
      </c>
      <c r="D57" s="456">
        <v>-27.4</v>
      </c>
      <c r="E57" s="456">
        <v>145.13</v>
      </c>
      <c r="F57" s="456">
        <v>290.25</v>
      </c>
      <c r="G57" s="456" t="s">
        <v>787</v>
      </c>
      <c r="H57" s="456">
        <v>5599302.0</v>
      </c>
      <c r="I57" s="456">
        <v>-28.04</v>
      </c>
      <c r="J57" s="456">
        <v>233304.25</v>
      </c>
      <c r="K57" s="456">
        <v>466608.5</v>
      </c>
      <c r="L57" s="456" t="s">
        <v>788</v>
      </c>
      <c r="M57" s="456">
        <v>0.57</v>
      </c>
      <c r="N57" s="456">
        <v>0.0</v>
      </c>
      <c r="O57" s="456">
        <v>0.0</v>
      </c>
      <c r="P57" s="456">
        <v>6.34</v>
      </c>
      <c r="Q57" s="456">
        <v>3.72</v>
      </c>
      <c r="R57" s="456">
        <v>58.7</v>
      </c>
      <c r="S57" s="456">
        <v>1607.61</v>
      </c>
      <c r="T57" s="456">
        <v>119.1</v>
      </c>
      <c r="U57" s="456">
        <v>14.76</v>
      </c>
      <c r="V57" s="456">
        <v>4.84</v>
      </c>
      <c r="W57" s="456">
        <v>1.0</v>
      </c>
    </row>
    <row r="58" ht="15.75" customHeight="1">
      <c r="A58" s="456">
        <v>2.01765776E8</v>
      </c>
      <c r="B58" s="457"/>
      <c r="C58" s="456">
        <v>3467.0</v>
      </c>
      <c r="D58" s="456">
        <v>-48.34</v>
      </c>
      <c r="E58" s="456">
        <v>138.68</v>
      </c>
      <c r="F58" s="456">
        <v>693.4</v>
      </c>
      <c r="G58" s="456" t="s">
        <v>789</v>
      </c>
      <c r="H58" s="456">
        <v>4631449.0</v>
      </c>
      <c r="I58" s="456">
        <v>-48.67</v>
      </c>
      <c r="J58" s="456">
        <v>185257.95</v>
      </c>
      <c r="K58" s="456">
        <v>926289.8</v>
      </c>
      <c r="L58" s="456" t="s">
        <v>790</v>
      </c>
      <c r="M58" s="456">
        <v>0.41</v>
      </c>
      <c r="N58" s="456">
        <v>0.0</v>
      </c>
      <c r="O58" s="456">
        <v>0.0</v>
      </c>
      <c r="P58" s="456">
        <v>7.69</v>
      </c>
      <c r="Q58" s="456">
        <v>6.19</v>
      </c>
      <c r="R58" s="456">
        <v>80.5</v>
      </c>
      <c r="S58" s="456">
        <v>1335.87</v>
      </c>
      <c r="T58" s="456">
        <v>5689.77</v>
      </c>
      <c r="U58" s="456">
        <v>9.0</v>
      </c>
      <c r="V58" s="456">
        <v>4.9</v>
      </c>
      <c r="W58" s="456">
        <v>1.0</v>
      </c>
    </row>
    <row r="59" ht="15.75" customHeight="1">
      <c r="A59" s="456">
        <v>4.4446918E8</v>
      </c>
      <c r="B59" s="457"/>
      <c r="C59" s="456">
        <v>3464.0</v>
      </c>
      <c r="D59" s="456">
        <v>-50.5</v>
      </c>
      <c r="E59" s="456">
        <v>133.23</v>
      </c>
      <c r="F59" s="456">
        <v>532.92</v>
      </c>
      <c r="G59" s="456" t="s">
        <v>791</v>
      </c>
      <c r="H59" s="456">
        <v>4463718.0</v>
      </c>
      <c r="I59" s="456">
        <v>-50.6</v>
      </c>
      <c r="J59" s="456">
        <v>171681.47</v>
      </c>
      <c r="K59" s="456">
        <v>686725.9</v>
      </c>
      <c r="L59" s="456" t="s">
        <v>792</v>
      </c>
      <c r="M59" s="456">
        <v>0.19</v>
      </c>
      <c r="N59" s="456">
        <v>0.0</v>
      </c>
      <c r="O59" s="456">
        <v>0.0</v>
      </c>
      <c r="P59" s="456">
        <v>6.81</v>
      </c>
      <c r="Q59" s="456">
        <v>4.59</v>
      </c>
      <c r="R59" s="456">
        <v>67.39</v>
      </c>
      <c r="S59" s="456">
        <v>1288.6</v>
      </c>
      <c r="T59" s="456">
        <v>595.56</v>
      </c>
      <c r="U59" s="456">
        <v>10.0</v>
      </c>
      <c r="V59" s="456">
        <v>4.84</v>
      </c>
      <c r="W59" s="456">
        <v>1.0</v>
      </c>
    </row>
    <row r="60" ht="15.75" customHeight="1">
      <c r="A60" s="456">
        <v>3.81184826E8</v>
      </c>
      <c r="B60" s="457"/>
      <c r="C60" s="456">
        <v>3430.0</v>
      </c>
      <c r="D60" s="456">
        <v>-41.79</v>
      </c>
      <c r="E60" s="456">
        <v>122.5</v>
      </c>
      <c r="F60" s="456">
        <v>122.5</v>
      </c>
      <c r="G60" s="456" t="s">
        <v>793</v>
      </c>
      <c r="H60" s="456">
        <v>4342490.0</v>
      </c>
      <c r="I60" s="456">
        <v>-44.12</v>
      </c>
      <c r="J60" s="456">
        <v>155088.92</v>
      </c>
      <c r="K60" s="456">
        <v>155088.92</v>
      </c>
      <c r="L60" s="456" t="s">
        <v>794</v>
      </c>
      <c r="M60" s="456">
        <v>0.45</v>
      </c>
      <c r="N60" s="456">
        <v>52.0</v>
      </c>
      <c r="O60" s="456">
        <v>67340.0</v>
      </c>
      <c r="P60" s="456">
        <v>8.3</v>
      </c>
      <c r="Q60" s="456">
        <v>4.57</v>
      </c>
      <c r="R60" s="456">
        <v>55.02</v>
      </c>
      <c r="S60" s="456">
        <v>1266.03</v>
      </c>
      <c r="T60" s="456">
        <v>1246.17</v>
      </c>
      <c r="U60" s="456">
        <v>9.0</v>
      </c>
      <c r="V60" s="456">
        <v>4.8</v>
      </c>
      <c r="W60" s="456">
        <v>1.0</v>
      </c>
    </row>
    <row r="61" ht="15.75" customHeight="1">
      <c r="A61" s="456">
        <v>3.21541241E8</v>
      </c>
      <c r="B61" s="457"/>
      <c r="C61" s="456">
        <v>3410.0</v>
      </c>
      <c r="D61" s="456">
        <v>4.19</v>
      </c>
      <c r="E61" s="456">
        <v>142.08</v>
      </c>
      <c r="F61" s="456">
        <v>568.33</v>
      </c>
      <c r="G61" s="456" t="s">
        <v>795</v>
      </c>
      <c r="H61" s="456">
        <v>5048175.0</v>
      </c>
      <c r="I61" s="456">
        <v>5.07</v>
      </c>
      <c r="J61" s="456">
        <v>210340.62</v>
      </c>
      <c r="K61" s="456">
        <v>841362.5</v>
      </c>
      <c r="L61" s="456" t="s">
        <v>796</v>
      </c>
      <c r="M61" s="456">
        <v>0.32</v>
      </c>
      <c r="N61" s="456">
        <v>0.0</v>
      </c>
      <c r="O61" s="456">
        <v>0.0</v>
      </c>
      <c r="P61" s="456">
        <v>6.63</v>
      </c>
      <c r="Q61" s="456">
        <v>4.15</v>
      </c>
      <c r="R61" s="456">
        <v>62.57</v>
      </c>
      <c r="S61" s="456">
        <v>1480.4</v>
      </c>
      <c r="T61" s="456">
        <v>284.37</v>
      </c>
      <c r="U61" s="456">
        <v>18.81</v>
      </c>
      <c r="V61" s="456">
        <v>4.9</v>
      </c>
      <c r="W61" s="456">
        <v>1.0</v>
      </c>
    </row>
    <row r="62" ht="15.75" customHeight="1">
      <c r="A62" s="456">
        <v>3.11192932E8</v>
      </c>
      <c r="B62" s="457"/>
      <c r="C62" s="456">
        <v>3396.0</v>
      </c>
      <c r="D62" s="456">
        <v>-33.12</v>
      </c>
      <c r="E62" s="456">
        <v>135.84</v>
      </c>
      <c r="F62" s="456">
        <v>543.36</v>
      </c>
      <c r="G62" s="456" t="s">
        <v>797</v>
      </c>
      <c r="H62" s="456">
        <v>4058995.0</v>
      </c>
      <c r="I62" s="456">
        <v>-33.78</v>
      </c>
      <c r="J62" s="456">
        <v>162359.8</v>
      </c>
      <c r="K62" s="456">
        <v>649439.2</v>
      </c>
      <c r="L62" s="456" t="s">
        <v>798</v>
      </c>
      <c r="M62" s="456">
        <v>0.47</v>
      </c>
      <c r="N62" s="456">
        <v>59.0</v>
      </c>
      <c r="O62" s="456">
        <v>71980.0</v>
      </c>
      <c r="P62" s="456">
        <v>6.41</v>
      </c>
      <c r="Q62" s="456">
        <v>4.48</v>
      </c>
      <c r="R62" s="456">
        <v>69.94</v>
      </c>
      <c r="S62" s="456">
        <v>1195.23</v>
      </c>
      <c r="T62" s="456">
        <v>544.19</v>
      </c>
      <c r="U62" s="456">
        <v>17.0</v>
      </c>
      <c r="V62" s="456">
        <v>4.8</v>
      </c>
      <c r="W62" s="456">
        <v>1.0</v>
      </c>
    </row>
    <row r="63" ht="15.75" customHeight="1">
      <c r="A63" s="456">
        <v>1.72004495E8</v>
      </c>
      <c r="B63" s="457"/>
      <c r="C63" s="456">
        <v>3369.0</v>
      </c>
      <c r="D63" s="456">
        <v>-57.73</v>
      </c>
      <c r="E63" s="456">
        <v>108.68</v>
      </c>
      <c r="F63" s="456">
        <v>0.0</v>
      </c>
      <c r="G63" s="456" t="s">
        <v>799</v>
      </c>
      <c r="H63" s="456">
        <v>4540597.0</v>
      </c>
      <c r="I63" s="456">
        <v>-59.21</v>
      </c>
      <c r="J63" s="456">
        <v>146470.88</v>
      </c>
      <c r="K63" s="456">
        <v>0.0</v>
      </c>
      <c r="L63" s="456" t="s">
        <v>800</v>
      </c>
      <c r="M63" s="456">
        <v>0.17</v>
      </c>
      <c r="N63" s="456">
        <v>18.0</v>
      </c>
      <c r="O63" s="456">
        <v>25812.0</v>
      </c>
      <c r="P63" s="456">
        <v>8.13</v>
      </c>
      <c r="Q63" s="456">
        <v>5.94</v>
      </c>
      <c r="R63" s="456">
        <v>73.02</v>
      </c>
      <c r="S63" s="456">
        <v>1347.76</v>
      </c>
      <c r="T63" s="456">
        <v>1377.81</v>
      </c>
      <c r="U63" s="456">
        <v>9.0</v>
      </c>
      <c r="V63" s="456">
        <v>4.9</v>
      </c>
      <c r="W63" s="456">
        <v>1.0</v>
      </c>
    </row>
    <row r="64" ht="15.75" customHeight="1">
      <c r="A64" s="456">
        <v>3.64203217E8</v>
      </c>
      <c r="B64" s="457"/>
      <c r="C64" s="456">
        <v>3317.0</v>
      </c>
      <c r="D64" s="456">
        <v>-61.56</v>
      </c>
      <c r="E64" s="456">
        <v>132.68</v>
      </c>
      <c r="F64" s="456">
        <v>398.04</v>
      </c>
      <c r="G64" s="456" t="s">
        <v>801</v>
      </c>
      <c r="H64" s="456">
        <v>3740713.0</v>
      </c>
      <c r="I64" s="456">
        <v>-61.88</v>
      </c>
      <c r="J64" s="456">
        <v>149628.52</v>
      </c>
      <c r="K64" s="456">
        <v>448885.56</v>
      </c>
      <c r="L64" s="456" t="s">
        <v>802</v>
      </c>
      <c r="M64" s="456">
        <v>0.41</v>
      </c>
      <c r="N64" s="456">
        <v>0.0</v>
      </c>
      <c r="O64" s="456">
        <v>0.0</v>
      </c>
      <c r="P64" s="456">
        <v>12.82</v>
      </c>
      <c r="Q64" s="456">
        <v>5.96</v>
      </c>
      <c r="R64" s="456">
        <v>46.52</v>
      </c>
      <c r="S64" s="456">
        <v>1127.74</v>
      </c>
      <c r="T64" s="456">
        <v>210.89</v>
      </c>
      <c r="U64" s="456">
        <v>13.0</v>
      </c>
      <c r="V64" s="456">
        <v>4.8</v>
      </c>
      <c r="W64" s="456">
        <v>1.0</v>
      </c>
    </row>
    <row r="65" ht="15.75" customHeight="1">
      <c r="A65" s="456">
        <v>2.40483875E8</v>
      </c>
      <c r="B65" s="457"/>
      <c r="C65" s="456">
        <v>3311.0</v>
      </c>
      <c r="D65" s="456">
        <v>-56.6</v>
      </c>
      <c r="E65" s="456">
        <v>114.17</v>
      </c>
      <c r="F65" s="456">
        <v>114.17</v>
      </c>
      <c r="G65" s="456" t="s">
        <v>803</v>
      </c>
      <c r="H65" s="456">
        <v>5597102.0</v>
      </c>
      <c r="I65" s="456">
        <v>-57.99</v>
      </c>
      <c r="J65" s="456">
        <v>193003.52</v>
      </c>
      <c r="K65" s="456">
        <v>193003.52</v>
      </c>
      <c r="L65" s="456" t="s">
        <v>804</v>
      </c>
      <c r="M65" s="456">
        <v>0.01</v>
      </c>
      <c r="N65" s="456">
        <v>1.0</v>
      </c>
      <c r="O65" s="456">
        <v>1671.0</v>
      </c>
      <c r="P65" s="456">
        <v>8.5</v>
      </c>
      <c r="Q65" s="456">
        <v>5.43</v>
      </c>
      <c r="R65" s="456">
        <v>63.92</v>
      </c>
      <c r="S65" s="456">
        <v>1690.46</v>
      </c>
      <c r="T65" s="456">
        <v>5113.33</v>
      </c>
      <c r="U65" s="456">
        <v>8.37</v>
      </c>
      <c r="V65" s="456">
        <v>4.8</v>
      </c>
      <c r="W65" s="456">
        <v>1.0</v>
      </c>
    </row>
    <row r="66" ht="15.75" customHeight="1">
      <c r="A66" s="456">
        <v>1.5592096E8</v>
      </c>
      <c r="B66" s="457"/>
      <c r="C66" s="456">
        <v>3307.0</v>
      </c>
      <c r="D66" s="456">
        <v>-46.76</v>
      </c>
      <c r="E66" s="456">
        <v>127.19</v>
      </c>
      <c r="F66" s="456">
        <v>0.0</v>
      </c>
      <c r="G66" s="456" t="s">
        <v>805</v>
      </c>
      <c r="H66" s="456">
        <v>4464332.0</v>
      </c>
      <c r="I66" s="456">
        <v>-48.59</v>
      </c>
      <c r="J66" s="456">
        <v>171705.08</v>
      </c>
      <c r="K66" s="456">
        <v>0.0</v>
      </c>
      <c r="L66" s="456" t="s">
        <v>806</v>
      </c>
      <c r="M66" s="456">
        <v>0.54</v>
      </c>
      <c r="N66" s="456">
        <v>58.0</v>
      </c>
      <c r="O66" s="456">
        <v>77662.0</v>
      </c>
      <c r="P66" s="456">
        <v>9.0</v>
      </c>
      <c r="Q66" s="456">
        <v>4.97</v>
      </c>
      <c r="R66" s="456">
        <v>55.2</v>
      </c>
      <c r="S66" s="456">
        <v>1349.96</v>
      </c>
      <c r="T66" s="456">
        <v>5496.35</v>
      </c>
      <c r="U66" s="456">
        <v>7.42</v>
      </c>
      <c r="V66" s="456">
        <v>4.81</v>
      </c>
      <c r="W66" s="456">
        <v>1.0</v>
      </c>
    </row>
    <row r="67" ht="15.75" customHeight="1">
      <c r="A67" s="456">
        <v>5.77318641E8</v>
      </c>
      <c r="B67" s="457"/>
      <c r="C67" s="456">
        <v>3302.0</v>
      </c>
      <c r="D67" s="456">
        <v>-48.95</v>
      </c>
      <c r="E67" s="456">
        <v>137.58</v>
      </c>
      <c r="F67" s="456">
        <v>275.17</v>
      </c>
      <c r="G67" s="456" t="s">
        <v>807</v>
      </c>
      <c r="H67" s="456">
        <v>1399401.0</v>
      </c>
      <c r="I67" s="456">
        <v>-53.55</v>
      </c>
      <c r="J67" s="456">
        <v>58308.38</v>
      </c>
      <c r="K67" s="456">
        <v>116616.75</v>
      </c>
      <c r="L67" s="456" t="s">
        <v>808</v>
      </c>
      <c r="M67" s="456">
        <v>0.38</v>
      </c>
      <c r="N67" s="456">
        <v>43.0</v>
      </c>
      <c r="O67" s="456">
        <v>17673.0</v>
      </c>
      <c r="P67" s="456">
        <v>6.14</v>
      </c>
      <c r="Q67" s="456">
        <v>4.21</v>
      </c>
      <c r="R67" s="456">
        <v>68.54</v>
      </c>
      <c r="S67" s="456">
        <v>423.8</v>
      </c>
      <c r="T67" s="456">
        <v>5110.0</v>
      </c>
      <c r="U67" s="456">
        <v>7.34</v>
      </c>
      <c r="V67" s="456">
        <v>4.8</v>
      </c>
      <c r="W67" s="456">
        <v>1.0</v>
      </c>
    </row>
    <row r="68" ht="15.75" customHeight="1">
      <c r="A68" s="456">
        <v>3.94478086E8</v>
      </c>
      <c r="B68" s="457"/>
      <c r="C68" s="456">
        <v>3297.0</v>
      </c>
      <c r="D68" s="456">
        <v>-21.4</v>
      </c>
      <c r="E68" s="456">
        <v>113.69</v>
      </c>
      <c r="F68" s="456">
        <v>0.0</v>
      </c>
      <c r="G68" s="456" t="s">
        <v>809</v>
      </c>
      <c r="H68" s="456">
        <v>975840.0</v>
      </c>
      <c r="I68" s="456">
        <v>-29.45</v>
      </c>
      <c r="J68" s="456">
        <v>33649.66</v>
      </c>
      <c r="K68" s="456">
        <v>0.0</v>
      </c>
      <c r="L68" s="456" t="s">
        <v>810</v>
      </c>
      <c r="M68" s="456">
        <v>0.55</v>
      </c>
      <c r="N68" s="456">
        <v>58.0</v>
      </c>
      <c r="O68" s="456">
        <v>16066.0</v>
      </c>
      <c r="P68" s="456">
        <v>7.23</v>
      </c>
      <c r="Q68" s="456">
        <v>4.84</v>
      </c>
      <c r="R68" s="456">
        <v>66.96</v>
      </c>
      <c r="S68" s="456">
        <v>295.98</v>
      </c>
      <c r="T68" s="456">
        <v>1060.1</v>
      </c>
      <c r="U68" s="456">
        <v>9.29</v>
      </c>
      <c r="V68" s="456">
        <v>4.86</v>
      </c>
      <c r="W68" s="456">
        <v>1.0</v>
      </c>
    </row>
    <row r="69" ht="15.75" customHeight="1">
      <c r="A69" s="456">
        <v>2.01965795E8</v>
      </c>
      <c r="B69" s="457"/>
      <c r="C69" s="456">
        <v>3279.0</v>
      </c>
      <c r="D69" s="456">
        <v>-56.12</v>
      </c>
      <c r="E69" s="456">
        <v>121.44</v>
      </c>
      <c r="F69" s="456">
        <v>364.33</v>
      </c>
      <c r="G69" s="456" t="s">
        <v>811</v>
      </c>
      <c r="H69" s="456">
        <v>4789767.0</v>
      </c>
      <c r="I69" s="456">
        <v>-56.59</v>
      </c>
      <c r="J69" s="456">
        <v>177398.78</v>
      </c>
      <c r="K69" s="456">
        <v>532196.3</v>
      </c>
      <c r="L69" s="456" t="s">
        <v>812</v>
      </c>
      <c r="M69" s="456">
        <v>0.02</v>
      </c>
      <c r="N69" s="456">
        <v>0.0</v>
      </c>
      <c r="O69" s="456">
        <v>0.0</v>
      </c>
      <c r="P69" s="456">
        <v>7.82</v>
      </c>
      <c r="Q69" s="456">
        <v>5.68</v>
      </c>
      <c r="R69" s="456">
        <v>72.6</v>
      </c>
      <c r="S69" s="456">
        <v>1460.74</v>
      </c>
      <c r="T69" s="456">
        <v>5906.82</v>
      </c>
      <c r="U69" s="456">
        <v>9.0</v>
      </c>
      <c r="V69" s="456">
        <v>4.9</v>
      </c>
      <c r="W69" s="456">
        <v>1.0</v>
      </c>
    </row>
    <row r="70" ht="15.75" customHeight="1">
      <c r="A70" s="456">
        <v>3.49373517E8</v>
      </c>
      <c r="B70" s="457"/>
      <c r="C70" s="456">
        <v>3265.0</v>
      </c>
      <c r="D70" s="456">
        <v>-46.86</v>
      </c>
      <c r="E70" s="456">
        <v>136.04</v>
      </c>
      <c r="F70" s="456">
        <v>544.17</v>
      </c>
      <c r="G70" s="456" t="s">
        <v>813</v>
      </c>
      <c r="H70" s="456">
        <v>5039821.0</v>
      </c>
      <c r="I70" s="456">
        <v>-54.09</v>
      </c>
      <c r="J70" s="456">
        <v>209992.55</v>
      </c>
      <c r="K70" s="456">
        <v>839970.2</v>
      </c>
      <c r="L70" s="456" t="s">
        <v>814</v>
      </c>
      <c r="M70" s="456">
        <v>0.37</v>
      </c>
      <c r="N70" s="456">
        <v>45.0</v>
      </c>
      <c r="O70" s="456">
        <v>46710.0</v>
      </c>
      <c r="P70" s="456">
        <v>7.11</v>
      </c>
      <c r="Q70" s="456">
        <v>4.44</v>
      </c>
      <c r="R70" s="456">
        <v>62.5</v>
      </c>
      <c r="S70" s="456">
        <v>1543.59</v>
      </c>
      <c r="T70" s="456">
        <v>113.96</v>
      </c>
      <c r="U70" s="456">
        <v>8.11</v>
      </c>
      <c r="V70" s="456">
        <v>4.9</v>
      </c>
      <c r="W70" s="456">
        <v>1.0</v>
      </c>
    </row>
    <row r="71" ht="15.75" customHeight="1">
      <c r="A71" s="456">
        <v>2.67593027E8</v>
      </c>
      <c r="B71" s="457"/>
      <c r="C71" s="456">
        <v>3255.0</v>
      </c>
      <c r="D71" s="456">
        <v>-58.05</v>
      </c>
      <c r="E71" s="456">
        <v>105.0</v>
      </c>
      <c r="F71" s="456">
        <v>0.0</v>
      </c>
      <c r="G71" s="456" t="s">
        <v>815</v>
      </c>
      <c r="H71" s="456">
        <v>5380734.0</v>
      </c>
      <c r="I71" s="456">
        <v>-57.9</v>
      </c>
      <c r="J71" s="456">
        <v>173572.06</v>
      </c>
      <c r="K71" s="456">
        <v>0.0</v>
      </c>
      <c r="L71" s="456" t="s">
        <v>816</v>
      </c>
      <c r="M71" s="456">
        <v>0.3</v>
      </c>
      <c r="N71" s="456">
        <v>32.0</v>
      </c>
      <c r="O71" s="456">
        <v>59562.67</v>
      </c>
      <c r="P71" s="456">
        <v>7.16</v>
      </c>
      <c r="Q71" s="456">
        <v>4.03</v>
      </c>
      <c r="R71" s="456">
        <v>56.31</v>
      </c>
      <c r="S71" s="456">
        <v>1653.07</v>
      </c>
      <c r="T71" s="456">
        <v>14354.97</v>
      </c>
      <c r="U71" s="456">
        <v>7.39</v>
      </c>
      <c r="V71" s="456">
        <v>4.8</v>
      </c>
      <c r="W71" s="456">
        <v>1.0</v>
      </c>
    </row>
    <row r="72" ht="15.75" customHeight="1">
      <c r="A72" s="456">
        <v>2.77223392E8</v>
      </c>
      <c r="B72" s="457"/>
      <c r="C72" s="456">
        <v>3238.0</v>
      </c>
      <c r="D72" s="456">
        <v>-47.91</v>
      </c>
      <c r="E72" s="456">
        <v>129.52</v>
      </c>
      <c r="F72" s="456">
        <v>259.04</v>
      </c>
      <c r="G72" s="456" t="s">
        <v>817</v>
      </c>
      <c r="H72" s="456">
        <v>3598562.0</v>
      </c>
      <c r="I72" s="456">
        <v>-48.66</v>
      </c>
      <c r="J72" s="456">
        <v>143942.48</v>
      </c>
      <c r="K72" s="456">
        <v>287884.97</v>
      </c>
      <c r="L72" s="456" t="s">
        <v>818</v>
      </c>
      <c r="M72" s="456">
        <v>0.52</v>
      </c>
      <c r="N72" s="456">
        <v>58.0</v>
      </c>
      <c r="O72" s="456">
        <v>66236.0</v>
      </c>
      <c r="P72" s="456">
        <v>8.38</v>
      </c>
      <c r="Q72" s="456">
        <v>4.07</v>
      </c>
      <c r="R72" s="456">
        <v>48.56</v>
      </c>
      <c r="S72" s="456">
        <v>1111.35</v>
      </c>
      <c r="T72" s="456">
        <v>296.31</v>
      </c>
      <c r="U72" s="456">
        <v>9.0</v>
      </c>
      <c r="V72" s="456">
        <v>4.9</v>
      </c>
      <c r="W72" s="456">
        <v>1.0</v>
      </c>
    </row>
    <row r="73" ht="15.75" customHeight="1">
      <c r="A73" s="456">
        <v>1.55948355E8</v>
      </c>
      <c r="B73" s="457"/>
      <c r="C73" s="456">
        <v>3227.0</v>
      </c>
      <c r="D73" s="456">
        <v>-46.11</v>
      </c>
      <c r="E73" s="456">
        <v>124.12</v>
      </c>
      <c r="F73" s="456">
        <v>248.23</v>
      </c>
      <c r="G73" s="456" t="s">
        <v>819</v>
      </c>
      <c r="H73" s="456">
        <v>5582464.0</v>
      </c>
      <c r="I73" s="456">
        <v>-49.18</v>
      </c>
      <c r="J73" s="456">
        <v>214710.16</v>
      </c>
      <c r="K73" s="456">
        <v>429420.3</v>
      </c>
      <c r="L73" s="456" t="s">
        <v>820</v>
      </c>
      <c r="M73" s="456">
        <v>0.62</v>
      </c>
      <c r="N73" s="456">
        <v>0.0</v>
      </c>
      <c r="O73" s="456">
        <v>0.0</v>
      </c>
      <c r="P73" s="456">
        <v>7.21</v>
      </c>
      <c r="Q73" s="456">
        <v>4.28</v>
      </c>
      <c r="R73" s="456">
        <v>59.33</v>
      </c>
      <c r="S73" s="456">
        <v>1729.92</v>
      </c>
      <c r="T73" s="456">
        <v>12476.79</v>
      </c>
      <c r="U73" s="456">
        <v>8.34</v>
      </c>
      <c r="V73" s="456">
        <v>4.8</v>
      </c>
      <c r="W73" s="456">
        <v>1.0</v>
      </c>
    </row>
    <row r="74" ht="15.75" customHeight="1">
      <c r="A74" s="456">
        <v>2.02549781E8</v>
      </c>
      <c r="B74" s="457"/>
      <c r="C74" s="456">
        <v>3226.0</v>
      </c>
      <c r="D74" s="456">
        <v>-51.81</v>
      </c>
      <c r="E74" s="456">
        <v>129.04</v>
      </c>
      <c r="F74" s="456">
        <v>516.16</v>
      </c>
      <c r="G74" s="456" t="s">
        <v>821</v>
      </c>
      <c r="H74" s="456">
        <v>5878814.0</v>
      </c>
      <c r="I74" s="456">
        <v>-54.54</v>
      </c>
      <c r="J74" s="456">
        <v>235152.56</v>
      </c>
      <c r="K74" s="456">
        <v>940610.25</v>
      </c>
      <c r="L74" s="456" t="s">
        <v>822</v>
      </c>
      <c r="M74" s="456">
        <v>0.47</v>
      </c>
      <c r="N74" s="456">
        <v>0.0</v>
      </c>
      <c r="O74" s="456">
        <v>0.0</v>
      </c>
      <c r="P74" s="456">
        <v>9.07</v>
      </c>
      <c r="Q74" s="456">
        <v>5.81</v>
      </c>
      <c r="R74" s="456">
        <v>64.08</v>
      </c>
      <c r="S74" s="456">
        <v>1822.32</v>
      </c>
      <c r="T74" s="456">
        <v>2550.26</v>
      </c>
      <c r="U74" s="456">
        <v>7.33</v>
      </c>
      <c r="V74" s="456">
        <v>4.8</v>
      </c>
      <c r="W74" s="456">
        <v>1.0</v>
      </c>
    </row>
    <row r="75" ht="15.75" customHeight="1">
      <c r="A75" s="456">
        <v>2.00907964E8</v>
      </c>
      <c r="B75" s="457"/>
      <c r="C75" s="456">
        <v>3223.0</v>
      </c>
      <c r="D75" s="456">
        <v>-59.93</v>
      </c>
      <c r="E75" s="456">
        <v>111.14</v>
      </c>
      <c r="F75" s="456">
        <v>0.0</v>
      </c>
      <c r="G75" s="456" t="s">
        <v>823</v>
      </c>
      <c r="H75" s="456">
        <v>4162343.0</v>
      </c>
      <c r="I75" s="456">
        <v>-60.43</v>
      </c>
      <c r="J75" s="456">
        <v>143529.06</v>
      </c>
      <c r="K75" s="456">
        <v>0.0</v>
      </c>
      <c r="L75" s="456" t="s">
        <v>824</v>
      </c>
      <c r="M75" s="456">
        <v>0.56</v>
      </c>
      <c r="N75" s="456">
        <v>58.0</v>
      </c>
      <c r="O75" s="456">
        <v>76163.66</v>
      </c>
      <c r="P75" s="456">
        <v>7.32</v>
      </c>
      <c r="Q75" s="456">
        <v>4.9</v>
      </c>
      <c r="R75" s="456">
        <v>66.96</v>
      </c>
      <c r="S75" s="456">
        <v>1291.45</v>
      </c>
      <c r="T75" s="456">
        <v>2058.58</v>
      </c>
      <c r="U75" s="456">
        <v>8.0</v>
      </c>
      <c r="V75" s="456">
        <v>4.9</v>
      </c>
      <c r="W75" s="456">
        <v>1.0</v>
      </c>
    </row>
    <row r="76" ht="15.75" customHeight="1">
      <c r="A76" s="456">
        <v>6.17646962E8</v>
      </c>
      <c r="B76" s="457"/>
      <c r="C76" s="456">
        <v>3215.0</v>
      </c>
      <c r="D76" s="456">
        <v>-38.44</v>
      </c>
      <c r="E76" s="456">
        <v>128.6</v>
      </c>
      <c r="F76" s="456">
        <v>257.2</v>
      </c>
      <c r="G76" s="456" t="s">
        <v>825</v>
      </c>
      <c r="H76" s="456">
        <v>3780895.0</v>
      </c>
      <c r="I76" s="456">
        <v>-41.07</v>
      </c>
      <c r="J76" s="456">
        <v>151235.8</v>
      </c>
      <c r="K76" s="456">
        <v>302471.6</v>
      </c>
      <c r="L76" s="456" t="s">
        <v>826</v>
      </c>
      <c r="M76" s="456">
        <v>0.51</v>
      </c>
      <c r="N76" s="456">
        <v>56.0</v>
      </c>
      <c r="O76" s="456">
        <v>65072.0</v>
      </c>
      <c r="P76" s="456">
        <v>9.14</v>
      </c>
      <c r="Q76" s="456">
        <v>5.69</v>
      </c>
      <c r="R76" s="456">
        <v>62.26</v>
      </c>
      <c r="S76" s="456">
        <v>1176.02</v>
      </c>
      <c r="T76" s="456">
        <v>395.0</v>
      </c>
      <c r="U76" s="456">
        <v>16.0</v>
      </c>
      <c r="V76" s="456">
        <v>4.71</v>
      </c>
      <c r="W76" s="456">
        <v>1.0</v>
      </c>
    </row>
    <row r="77" ht="15.75" customHeight="1">
      <c r="A77" s="456">
        <v>5.87577774E8</v>
      </c>
      <c r="B77" s="457"/>
      <c r="C77" s="456">
        <v>3177.0</v>
      </c>
      <c r="D77" s="456">
        <v>-55.2</v>
      </c>
      <c r="E77" s="456">
        <v>117.67</v>
      </c>
      <c r="F77" s="456">
        <v>117.67</v>
      </c>
      <c r="G77" s="456" t="s">
        <v>827</v>
      </c>
      <c r="H77" s="456">
        <v>3883806.0</v>
      </c>
      <c r="I77" s="456">
        <v>-56.78</v>
      </c>
      <c r="J77" s="456">
        <v>143844.67</v>
      </c>
      <c r="K77" s="456">
        <v>143844.67</v>
      </c>
      <c r="L77" s="456" t="s">
        <v>828</v>
      </c>
      <c r="M77" s="456">
        <v>0.45</v>
      </c>
      <c r="N77" s="456">
        <v>0.0</v>
      </c>
      <c r="O77" s="456">
        <v>0.0</v>
      </c>
      <c r="P77" s="456">
        <v>6.8</v>
      </c>
      <c r="Q77" s="456">
        <v>4.8</v>
      </c>
      <c r="R77" s="456">
        <v>70.59</v>
      </c>
      <c r="S77" s="456">
        <v>1222.48</v>
      </c>
      <c r="T77" s="456">
        <v>232.6</v>
      </c>
      <c r="U77" s="456">
        <v>15.0</v>
      </c>
      <c r="V77" s="456">
        <v>4.8</v>
      </c>
      <c r="W77" s="456">
        <v>1.0</v>
      </c>
    </row>
    <row r="78" ht="15.75" customHeight="1">
      <c r="A78" s="456">
        <v>7.12051793E8</v>
      </c>
      <c r="B78" s="457"/>
      <c r="C78" s="456">
        <v>3175.0</v>
      </c>
      <c r="D78" s="456">
        <v>-47.14</v>
      </c>
      <c r="E78" s="456">
        <v>122.12</v>
      </c>
      <c r="F78" s="456">
        <v>122.12</v>
      </c>
      <c r="G78" s="456" t="s">
        <v>829</v>
      </c>
      <c r="H78" s="456">
        <v>3556210.0</v>
      </c>
      <c r="I78" s="456">
        <v>-53.94</v>
      </c>
      <c r="J78" s="456">
        <v>136777.31</v>
      </c>
      <c r="K78" s="456">
        <v>136777.31</v>
      </c>
      <c r="L78" s="456" t="s">
        <v>830</v>
      </c>
      <c r="M78" s="456">
        <v>0.53</v>
      </c>
      <c r="N78" s="456">
        <v>56.0</v>
      </c>
      <c r="O78" s="456">
        <v>59584.0</v>
      </c>
      <c r="P78" s="456">
        <v>8.37</v>
      </c>
      <c r="Q78" s="456">
        <v>4.67</v>
      </c>
      <c r="R78" s="456">
        <v>55.78</v>
      </c>
      <c r="S78" s="456">
        <v>1120.07</v>
      </c>
      <c r="T78" s="456">
        <v>293.17</v>
      </c>
      <c r="U78" s="456">
        <v>9.0</v>
      </c>
      <c r="V78" s="456">
        <v>4.55</v>
      </c>
      <c r="W78" s="456">
        <v>1.0</v>
      </c>
    </row>
    <row r="79" ht="15.75" customHeight="1">
      <c r="A79" s="456">
        <v>2.35254018E8</v>
      </c>
      <c r="B79" s="457"/>
      <c r="C79" s="456">
        <v>3166.0</v>
      </c>
      <c r="D79" s="456">
        <v>-37.81</v>
      </c>
      <c r="E79" s="456">
        <v>105.53</v>
      </c>
      <c r="F79" s="456">
        <v>105.53</v>
      </c>
      <c r="G79" s="456" t="s">
        <v>831</v>
      </c>
      <c r="H79" s="456">
        <v>2690700.0</v>
      </c>
      <c r="I79" s="456">
        <v>-40.26</v>
      </c>
      <c r="J79" s="456">
        <v>89690.0</v>
      </c>
      <c r="K79" s="456">
        <v>89690.0</v>
      </c>
      <c r="L79" s="456" t="s">
        <v>832</v>
      </c>
      <c r="M79" s="456">
        <v>0.61</v>
      </c>
      <c r="N79" s="456">
        <v>64.0</v>
      </c>
      <c r="O79" s="456">
        <v>54976.0</v>
      </c>
      <c r="P79" s="456">
        <v>6.43</v>
      </c>
      <c r="Q79" s="456">
        <v>4.33</v>
      </c>
      <c r="R79" s="456">
        <v>67.36</v>
      </c>
      <c r="S79" s="456">
        <v>849.87</v>
      </c>
      <c r="T79" s="456">
        <v>796.9</v>
      </c>
      <c r="U79" s="456">
        <v>5.0</v>
      </c>
      <c r="V79" s="456">
        <v>4.8</v>
      </c>
      <c r="W79" s="456">
        <v>1.0</v>
      </c>
    </row>
    <row r="80" ht="15.75" customHeight="1">
      <c r="A80" s="456">
        <v>4.49838858E8</v>
      </c>
      <c r="B80" s="457"/>
      <c r="C80" s="456">
        <v>3159.0</v>
      </c>
      <c r="D80" s="456">
        <v>-63.42</v>
      </c>
      <c r="E80" s="456">
        <v>101.9</v>
      </c>
      <c r="F80" s="456">
        <v>0.0</v>
      </c>
      <c r="G80" s="456" t="s">
        <v>833</v>
      </c>
      <c r="H80" s="456">
        <v>5620906.0</v>
      </c>
      <c r="I80" s="456">
        <v>-64.43</v>
      </c>
      <c r="J80" s="456">
        <v>181319.55</v>
      </c>
      <c r="K80" s="456">
        <v>0.0</v>
      </c>
      <c r="L80" s="456" t="s">
        <v>834</v>
      </c>
      <c r="M80" s="456">
        <v>0.34</v>
      </c>
      <c r="N80" s="456">
        <v>35.0</v>
      </c>
      <c r="O80" s="456">
        <v>62400.0</v>
      </c>
      <c r="P80" s="456">
        <v>8.87</v>
      </c>
      <c r="Q80" s="456">
        <v>6.0</v>
      </c>
      <c r="R80" s="456">
        <v>67.64</v>
      </c>
      <c r="S80" s="456">
        <v>1779.33</v>
      </c>
      <c r="T80" s="456">
        <v>12486.77</v>
      </c>
      <c r="U80" s="456">
        <v>8.42</v>
      </c>
      <c r="V80" s="456">
        <v>4.8</v>
      </c>
      <c r="W80" s="456">
        <v>1.0</v>
      </c>
    </row>
    <row r="81" ht="15.75" customHeight="1">
      <c r="A81" s="456">
        <v>4.1162429E8</v>
      </c>
      <c r="B81" s="457"/>
      <c r="C81" s="456">
        <v>3143.0</v>
      </c>
      <c r="D81" s="456">
        <v>-39.81</v>
      </c>
      <c r="E81" s="456">
        <v>130.96</v>
      </c>
      <c r="F81" s="456">
        <v>261.92</v>
      </c>
      <c r="G81" s="456" t="s">
        <v>835</v>
      </c>
      <c r="H81" s="456">
        <v>4065566.0</v>
      </c>
      <c r="I81" s="456">
        <v>-42.07</v>
      </c>
      <c r="J81" s="456">
        <v>169398.58</v>
      </c>
      <c r="K81" s="456">
        <v>338797.16</v>
      </c>
      <c r="L81" s="456" t="s">
        <v>836</v>
      </c>
      <c r="M81" s="456">
        <v>0.56</v>
      </c>
      <c r="N81" s="456">
        <v>61.0</v>
      </c>
      <c r="O81" s="456">
        <v>82411.0</v>
      </c>
      <c r="P81" s="456">
        <v>6.52</v>
      </c>
      <c r="Q81" s="456">
        <v>3.41</v>
      </c>
      <c r="R81" s="456">
        <v>52.38</v>
      </c>
      <c r="S81" s="456">
        <v>1293.53</v>
      </c>
      <c r="T81" s="456">
        <v>218.79</v>
      </c>
      <c r="U81" s="456">
        <v>9.0</v>
      </c>
      <c r="V81" s="456">
        <v>4.7</v>
      </c>
      <c r="W81" s="456">
        <v>1.0</v>
      </c>
    </row>
    <row r="82" ht="15.75" customHeight="1">
      <c r="A82" s="456">
        <v>4.14324708E8</v>
      </c>
      <c r="B82" s="457"/>
      <c r="C82" s="456">
        <v>3130.0</v>
      </c>
      <c r="D82" s="456">
        <v>-44.97</v>
      </c>
      <c r="E82" s="456">
        <v>115.93</v>
      </c>
      <c r="F82" s="456">
        <v>231.85</v>
      </c>
      <c r="G82" s="456" t="s">
        <v>837</v>
      </c>
      <c r="H82" s="456">
        <v>1345024.0</v>
      </c>
      <c r="I82" s="456">
        <v>-48.88</v>
      </c>
      <c r="J82" s="456">
        <v>49815.7</v>
      </c>
      <c r="K82" s="456">
        <v>99631.41</v>
      </c>
      <c r="L82" s="456" t="s">
        <v>838</v>
      </c>
      <c r="M82" s="456">
        <v>0.5</v>
      </c>
      <c r="N82" s="456">
        <v>0.0</v>
      </c>
      <c r="O82" s="456">
        <v>0.0</v>
      </c>
      <c r="P82" s="456">
        <v>8.14</v>
      </c>
      <c r="Q82" s="456">
        <v>5.24</v>
      </c>
      <c r="R82" s="456">
        <v>64.41</v>
      </c>
      <c r="S82" s="456">
        <v>429.72</v>
      </c>
      <c r="T82" s="456">
        <v>1049.66</v>
      </c>
      <c r="U82" s="456">
        <v>8.14</v>
      </c>
      <c r="V82" s="456">
        <v>4.87</v>
      </c>
      <c r="W82" s="456">
        <v>1.0</v>
      </c>
    </row>
    <row r="83" ht="15.75" customHeight="1">
      <c r="A83" s="456">
        <v>1.80597724E8</v>
      </c>
      <c r="B83" s="457"/>
      <c r="C83" s="456">
        <v>3126.0</v>
      </c>
      <c r="D83" s="456">
        <v>-26.33</v>
      </c>
      <c r="E83" s="456">
        <v>104.2</v>
      </c>
      <c r="F83" s="456">
        <v>0.0</v>
      </c>
      <c r="G83" s="456" t="s">
        <v>839</v>
      </c>
      <c r="H83" s="456">
        <v>4093589.0</v>
      </c>
      <c r="I83" s="456">
        <v>-30.71</v>
      </c>
      <c r="J83" s="456">
        <v>136452.97</v>
      </c>
      <c r="K83" s="456">
        <v>0.0</v>
      </c>
      <c r="L83" s="456" t="s">
        <v>840</v>
      </c>
      <c r="M83" s="456">
        <v>0.5</v>
      </c>
      <c r="N83" s="456">
        <v>50.0</v>
      </c>
      <c r="O83" s="456">
        <v>64900.0</v>
      </c>
      <c r="P83" s="456">
        <v>8.1</v>
      </c>
      <c r="Q83" s="456">
        <v>4.97</v>
      </c>
      <c r="R83" s="456">
        <v>61.35</v>
      </c>
      <c r="S83" s="456">
        <v>1309.53</v>
      </c>
      <c r="T83" s="456">
        <v>1146.03</v>
      </c>
      <c r="U83" s="456">
        <v>9.0</v>
      </c>
      <c r="V83" s="456">
        <v>4.8</v>
      </c>
      <c r="W83" s="456">
        <v>1.0</v>
      </c>
    </row>
    <row r="84" ht="15.75" customHeight="1">
      <c r="A84" s="456">
        <v>2.92839936E8</v>
      </c>
      <c r="B84" s="457"/>
      <c r="C84" s="456">
        <v>3122.0</v>
      </c>
      <c r="D84" s="456">
        <v>-59.94</v>
      </c>
      <c r="E84" s="456">
        <v>115.63</v>
      </c>
      <c r="F84" s="456">
        <v>231.26</v>
      </c>
      <c r="G84" s="456" t="s">
        <v>841</v>
      </c>
      <c r="H84" s="456">
        <v>3949343.0</v>
      </c>
      <c r="I84" s="456">
        <v>-61.5</v>
      </c>
      <c r="J84" s="456">
        <v>146271.97</v>
      </c>
      <c r="K84" s="456">
        <v>292543.94</v>
      </c>
      <c r="L84" s="456" t="s">
        <v>842</v>
      </c>
      <c r="M84" s="456">
        <v>0.01</v>
      </c>
      <c r="N84" s="456">
        <v>1.0</v>
      </c>
      <c r="O84" s="456">
        <v>1303.0</v>
      </c>
      <c r="P84" s="456">
        <v>8.28</v>
      </c>
      <c r="Q84" s="456">
        <v>5.52</v>
      </c>
      <c r="R84" s="456">
        <v>66.67</v>
      </c>
      <c r="S84" s="456">
        <v>1265.0</v>
      </c>
      <c r="T84" s="456">
        <v>1245.03</v>
      </c>
      <c r="U84" s="456">
        <v>8.0</v>
      </c>
      <c r="V84" s="456">
        <v>4.8</v>
      </c>
      <c r="W84" s="456">
        <v>1.0</v>
      </c>
    </row>
    <row r="85" ht="15.75" customHeight="1">
      <c r="A85" s="456">
        <v>1.55960513E8</v>
      </c>
      <c r="B85" s="457"/>
      <c r="C85" s="456">
        <v>3077.0</v>
      </c>
      <c r="D85" s="456">
        <v>-54.65</v>
      </c>
      <c r="E85" s="456">
        <v>113.96</v>
      </c>
      <c r="F85" s="456">
        <v>341.89</v>
      </c>
      <c r="G85" s="456" t="s">
        <v>843</v>
      </c>
      <c r="H85" s="456">
        <v>4194004.0</v>
      </c>
      <c r="I85" s="456">
        <v>-56.87</v>
      </c>
      <c r="J85" s="456">
        <v>155333.48</v>
      </c>
      <c r="K85" s="456">
        <v>466000.44</v>
      </c>
      <c r="L85" s="456" t="s">
        <v>844</v>
      </c>
      <c r="M85" s="456">
        <v>0.47</v>
      </c>
      <c r="N85" s="456">
        <v>0.0</v>
      </c>
      <c r="O85" s="456">
        <v>0.0</v>
      </c>
      <c r="P85" s="456">
        <v>7.71</v>
      </c>
      <c r="Q85" s="456">
        <v>5.39</v>
      </c>
      <c r="R85" s="456">
        <v>69.91</v>
      </c>
      <c r="S85" s="456">
        <v>1363.02</v>
      </c>
      <c r="T85" s="456">
        <v>12479.61</v>
      </c>
      <c r="U85" s="456">
        <v>9.36</v>
      </c>
      <c r="V85" s="456">
        <v>4.8</v>
      </c>
      <c r="W85" s="456">
        <v>1.0</v>
      </c>
    </row>
    <row r="86" ht="15.75" customHeight="1">
      <c r="A86" s="456">
        <v>3.21556872E8</v>
      </c>
      <c r="B86" s="457"/>
      <c r="C86" s="456">
        <v>3069.0</v>
      </c>
      <c r="D86" s="456">
        <v>-17.65</v>
      </c>
      <c r="E86" s="456">
        <v>127.88</v>
      </c>
      <c r="F86" s="456">
        <v>383.63</v>
      </c>
      <c r="G86" s="456" t="s">
        <v>845</v>
      </c>
      <c r="H86" s="456">
        <v>4418958.0</v>
      </c>
      <c r="I86" s="456">
        <v>-16.7</v>
      </c>
      <c r="J86" s="456">
        <v>184123.25</v>
      </c>
      <c r="K86" s="456">
        <v>552369.75</v>
      </c>
      <c r="L86" s="456" t="s">
        <v>846</v>
      </c>
      <c r="M86" s="456">
        <v>0.51</v>
      </c>
      <c r="N86" s="456">
        <v>0.0</v>
      </c>
      <c r="O86" s="456">
        <v>0.0</v>
      </c>
      <c r="P86" s="456">
        <v>8.32</v>
      </c>
      <c r="Q86" s="456">
        <v>4.96</v>
      </c>
      <c r="R86" s="456">
        <v>59.66</v>
      </c>
      <c r="S86" s="456">
        <v>1439.87</v>
      </c>
      <c r="T86" s="456">
        <v>387.29</v>
      </c>
      <c r="U86" s="456">
        <v>21.75</v>
      </c>
      <c r="V86" s="456">
        <v>4.71</v>
      </c>
      <c r="W86" s="456">
        <v>1.0</v>
      </c>
    </row>
    <row r="87" ht="15.75" customHeight="1">
      <c r="A87" s="456">
        <v>2.55404071E8</v>
      </c>
      <c r="B87" s="457"/>
      <c r="C87" s="456">
        <v>3069.0</v>
      </c>
      <c r="D87" s="456">
        <v>-57.78</v>
      </c>
      <c r="E87" s="456">
        <v>127.88</v>
      </c>
      <c r="F87" s="456">
        <v>0.0</v>
      </c>
      <c r="G87" s="456" t="s">
        <v>847</v>
      </c>
      <c r="H87" s="456">
        <v>4474609.0</v>
      </c>
      <c r="I87" s="456">
        <v>-58.94</v>
      </c>
      <c r="J87" s="456">
        <v>186442.05</v>
      </c>
      <c r="K87" s="456">
        <v>0.0</v>
      </c>
      <c r="L87" s="456" t="s">
        <v>848</v>
      </c>
      <c r="M87" s="456">
        <v>0.59</v>
      </c>
      <c r="N87" s="456">
        <v>58.0</v>
      </c>
      <c r="O87" s="456">
        <v>83462.0</v>
      </c>
      <c r="P87" s="456">
        <v>7.52</v>
      </c>
      <c r="Q87" s="456">
        <v>4.45</v>
      </c>
      <c r="R87" s="456">
        <v>59.23</v>
      </c>
      <c r="S87" s="456">
        <v>1458.0</v>
      </c>
      <c r="T87" s="456">
        <v>10180.03</v>
      </c>
      <c r="U87" s="456">
        <v>8.39</v>
      </c>
      <c r="V87" s="456">
        <v>4.9</v>
      </c>
      <c r="W87" s="456">
        <v>1.0</v>
      </c>
    </row>
    <row r="88" ht="15.75" customHeight="1">
      <c r="A88" s="456">
        <v>7.1204699E8</v>
      </c>
      <c r="B88" s="457"/>
      <c r="C88" s="456">
        <v>3061.0</v>
      </c>
      <c r="D88" s="456">
        <v>24.25</v>
      </c>
      <c r="E88" s="456">
        <v>113.37</v>
      </c>
      <c r="F88" s="456">
        <v>0.0</v>
      </c>
      <c r="G88" s="456" t="s">
        <v>849</v>
      </c>
      <c r="H88" s="456">
        <v>3920407.0</v>
      </c>
      <c r="I88" s="456">
        <v>16.71</v>
      </c>
      <c r="J88" s="456">
        <v>145200.27</v>
      </c>
      <c r="K88" s="456">
        <v>0.0</v>
      </c>
      <c r="L88" s="456" t="s">
        <v>850</v>
      </c>
      <c r="M88" s="456">
        <v>0.59</v>
      </c>
      <c r="N88" s="456">
        <v>58.0</v>
      </c>
      <c r="O88" s="456">
        <v>75400.0</v>
      </c>
      <c r="P88" s="456">
        <v>6.52</v>
      </c>
      <c r="Q88" s="456">
        <v>3.97</v>
      </c>
      <c r="R88" s="456">
        <v>60.89</v>
      </c>
      <c r="S88" s="456">
        <v>1280.76</v>
      </c>
      <c r="T88" s="456">
        <v>440.45</v>
      </c>
      <c r="U88" s="456">
        <v>11.0</v>
      </c>
      <c r="V88" s="456">
        <v>4.9</v>
      </c>
      <c r="W88" s="456">
        <v>1.0</v>
      </c>
    </row>
    <row r="89" ht="15.75" customHeight="1">
      <c r="A89" s="456">
        <v>4.44461736E8</v>
      </c>
      <c r="B89" s="457"/>
      <c r="C89" s="456">
        <v>3060.0</v>
      </c>
      <c r="D89" s="456">
        <v>-56.41</v>
      </c>
      <c r="E89" s="456">
        <v>117.69</v>
      </c>
      <c r="F89" s="456">
        <v>353.08</v>
      </c>
      <c r="G89" s="456" t="s">
        <v>851</v>
      </c>
      <c r="H89" s="456">
        <v>3926383.0</v>
      </c>
      <c r="I89" s="456">
        <v>-61.92</v>
      </c>
      <c r="J89" s="456">
        <v>151014.73</v>
      </c>
      <c r="K89" s="456">
        <v>453044.2</v>
      </c>
      <c r="L89" s="456" t="s">
        <v>852</v>
      </c>
      <c r="M89" s="456">
        <v>0.37</v>
      </c>
      <c r="N89" s="456">
        <v>40.0</v>
      </c>
      <c r="O89" s="456">
        <v>48480.0</v>
      </c>
      <c r="P89" s="456">
        <v>6.25</v>
      </c>
      <c r="Q89" s="456">
        <v>4.79</v>
      </c>
      <c r="R89" s="456">
        <v>76.57</v>
      </c>
      <c r="S89" s="456">
        <v>1283.13</v>
      </c>
      <c r="T89" s="456">
        <v>633.75</v>
      </c>
      <c r="U89" s="456">
        <v>13.0</v>
      </c>
      <c r="V89" s="456">
        <v>4.8</v>
      </c>
      <c r="W89" s="456">
        <v>1.0</v>
      </c>
    </row>
    <row r="90" ht="15.75" customHeight="1">
      <c r="A90" s="456">
        <v>5.51465879E8</v>
      </c>
      <c r="B90" s="457"/>
      <c r="C90" s="456">
        <v>3041.0</v>
      </c>
      <c r="D90" s="456">
        <v>-63.39</v>
      </c>
      <c r="E90" s="456">
        <v>116.96</v>
      </c>
      <c r="F90" s="456">
        <v>233.92</v>
      </c>
      <c r="G90" s="456" t="s">
        <v>853</v>
      </c>
      <c r="H90" s="456">
        <v>3503067.0</v>
      </c>
      <c r="I90" s="456">
        <v>-65.82</v>
      </c>
      <c r="J90" s="456">
        <v>134733.34</v>
      </c>
      <c r="K90" s="456">
        <v>269466.7</v>
      </c>
      <c r="L90" s="456" t="s">
        <v>854</v>
      </c>
      <c r="M90" s="456">
        <v>0.38</v>
      </c>
      <c r="N90" s="456">
        <v>40.0</v>
      </c>
      <c r="O90" s="456">
        <v>49440.0</v>
      </c>
      <c r="P90" s="456">
        <v>7.69</v>
      </c>
      <c r="Q90" s="456">
        <v>5.24</v>
      </c>
      <c r="R90" s="456">
        <v>68.16</v>
      </c>
      <c r="S90" s="456">
        <v>1151.95</v>
      </c>
      <c r="T90" s="456">
        <v>198.1</v>
      </c>
      <c r="U90" s="456">
        <v>11.0</v>
      </c>
      <c r="V90" s="456">
        <v>4.8</v>
      </c>
      <c r="W90" s="456">
        <v>1.0</v>
      </c>
    </row>
    <row r="91" ht="15.75" customHeight="1">
      <c r="A91" s="456">
        <v>7.75939662E8</v>
      </c>
      <c r="B91" s="457"/>
      <c r="C91" s="456">
        <v>3034.0</v>
      </c>
      <c r="D91" s="456">
        <v>-2.6</v>
      </c>
      <c r="E91" s="456">
        <v>97.87</v>
      </c>
      <c r="F91" s="456">
        <v>0.0</v>
      </c>
      <c r="G91" s="456" t="s">
        <v>855</v>
      </c>
      <c r="H91" s="456">
        <v>3453117.0</v>
      </c>
      <c r="I91" s="456">
        <v>-10.7</v>
      </c>
      <c r="J91" s="456">
        <v>111390.87</v>
      </c>
      <c r="K91" s="456">
        <v>0.0</v>
      </c>
      <c r="L91" s="456" t="s">
        <v>856</v>
      </c>
      <c r="M91" s="456">
        <v>0.26</v>
      </c>
      <c r="N91" s="456">
        <v>25.0</v>
      </c>
      <c r="O91" s="456">
        <v>28825.0</v>
      </c>
      <c r="P91" s="456">
        <v>5.52</v>
      </c>
      <c r="Q91" s="456">
        <v>4.13</v>
      </c>
      <c r="R91" s="456">
        <v>74.85</v>
      </c>
      <c r="S91" s="456">
        <v>1138.14</v>
      </c>
      <c r="T91" s="456">
        <v>18.77</v>
      </c>
      <c r="U91" s="456">
        <v>6.0</v>
      </c>
      <c r="V91" s="456">
        <v>4.9</v>
      </c>
      <c r="W91" s="456">
        <v>1.0</v>
      </c>
    </row>
    <row r="92" ht="15.75" customHeight="1">
      <c r="A92" s="456">
        <v>2.63735354E8</v>
      </c>
      <c r="B92" s="457"/>
      <c r="C92" s="456">
        <v>3021.0</v>
      </c>
      <c r="D92" s="456">
        <v>-53.63</v>
      </c>
      <c r="E92" s="456">
        <v>116.19</v>
      </c>
      <c r="F92" s="456">
        <v>232.38</v>
      </c>
      <c r="G92" s="456" t="s">
        <v>857</v>
      </c>
      <c r="H92" s="456">
        <v>2880497.0</v>
      </c>
      <c r="I92" s="456">
        <v>-54.57</v>
      </c>
      <c r="J92" s="456">
        <v>110788.34</v>
      </c>
      <c r="K92" s="456">
        <v>221576.69</v>
      </c>
      <c r="L92" s="456" t="s">
        <v>858</v>
      </c>
      <c r="M92" s="456">
        <v>0.59</v>
      </c>
      <c r="N92" s="456">
        <v>61.0</v>
      </c>
      <c r="O92" s="456">
        <v>57401.0</v>
      </c>
      <c r="P92" s="456">
        <v>7.62</v>
      </c>
      <c r="Q92" s="456">
        <v>4.55</v>
      </c>
      <c r="R92" s="456">
        <v>59.73</v>
      </c>
      <c r="S92" s="456">
        <v>953.49</v>
      </c>
      <c r="T92" s="456">
        <v>5107.79</v>
      </c>
      <c r="U92" s="456">
        <v>8.34</v>
      </c>
      <c r="V92" s="456">
        <v>4.8</v>
      </c>
      <c r="W92" s="456">
        <v>1.0</v>
      </c>
    </row>
    <row r="93" ht="15.75" customHeight="1">
      <c r="A93" s="456">
        <v>3.87655279E8</v>
      </c>
      <c r="B93" s="457"/>
      <c r="C93" s="456">
        <v>2997.0</v>
      </c>
      <c r="D93" s="456">
        <v>-46.78</v>
      </c>
      <c r="E93" s="456">
        <v>107.04</v>
      </c>
      <c r="F93" s="456">
        <v>107.04</v>
      </c>
      <c r="G93" s="456" t="s">
        <v>859</v>
      </c>
      <c r="H93" s="456">
        <v>4269794.0</v>
      </c>
      <c r="I93" s="456">
        <v>-50.12</v>
      </c>
      <c r="J93" s="456">
        <v>152492.64</v>
      </c>
      <c r="K93" s="456">
        <v>152492.64</v>
      </c>
      <c r="L93" s="456" t="s">
        <v>860</v>
      </c>
      <c r="M93" s="456">
        <v>0.55</v>
      </c>
      <c r="N93" s="456">
        <v>0.0</v>
      </c>
      <c r="O93" s="456">
        <v>0.0</v>
      </c>
      <c r="P93" s="456">
        <v>6.63</v>
      </c>
      <c r="Q93" s="456">
        <v>4.07</v>
      </c>
      <c r="R93" s="456">
        <v>61.31</v>
      </c>
      <c r="S93" s="456">
        <v>1424.69</v>
      </c>
      <c r="T93" s="456">
        <v>382.97</v>
      </c>
      <c r="U93" s="456">
        <v>6.0</v>
      </c>
      <c r="V93" s="456">
        <v>4.87</v>
      </c>
      <c r="W93" s="456">
        <v>1.0</v>
      </c>
    </row>
    <row r="94" ht="15.75" customHeight="1">
      <c r="A94" s="456">
        <v>2.58265796E8</v>
      </c>
      <c r="B94" s="457"/>
      <c r="C94" s="456">
        <v>2992.0</v>
      </c>
      <c r="D94" s="456">
        <v>-41.86</v>
      </c>
      <c r="E94" s="456">
        <v>124.67</v>
      </c>
      <c r="F94" s="456">
        <v>124.67</v>
      </c>
      <c r="G94" s="456" t="s">
        <v>861</v>
      </c>
      <c r="H94" s="456">
        <v>4229616.0</v>
      </c>
      <c r="I94" s="456">
        <v>-48.21</v>
      </c>
      <c r="J94" s="456">
        <v>176234.0</v>
      </c>
      <c r="K94" s="456">
        <v>176234.0</v>
      </c>
      <c r="L94" s="456" t="s">
        <v>862</v>
      </c>
      <c r="M94" s="456">
        <v>0.5</v>
      </c>
      <c r="N94" s="456">
        <v>50.0</v>
      </c>
      <c r="O94" s="456">
        <v>53450.0</v>
      </c>
      <c r="P94" s="456">
        <v>5.0</v>
      </c>
      <c r="Q94" s="456">
        <v>3.2</v>
      </c>
      <c r="R94" s="456">
        <v>64.0</v>
      </c>
      <c r="S94" s="456">
        <v>1413.64</v>
      </c>
      <c r="T94" s="456">
        <v>189.47</v>
      </c>
      <c r="U94" s="456">
        <v>13.0</v>
      </c>
      <c r="V94" s="456">
        <v>4.88</v>
      </c>
      <c r="W94" s="456">
        <v>1.0</v>
      </c>
    </row>
    <row r="95" ht="15.75" customHeight="1">
      <c r="A95" s="456">
        <v>4.49874409E8</v>
      </c>
      <c r="B95" s="457"/>
      <c r="C95" s="456">
        <v>2982.0</v>
      </c>
      <c r="D95" s="456">
        <v>-52.81</v>
      </c>
      <c r="E95" s="456">
        <v>114.69</v>
      </c>
      <c r="F95" s="456">
        <v>344.08</v>
      </c>
      <c r="G95" s="456" t="s">
        <v>863</v>
      </c>
      <c r="H95" s="456">
        <v>4577008.0</v>
      </c>
      <c r="I95" s="456">
        <v>-55.97</v>
      </c>
      <c r="J95" s="456">
        <v>176038.77</v>
      </c>
      <c r="K95" s="456">
        <v>528116.3</v>
      </c>
      <c r="L95" s="456" t="s">
        <v>864</v>
      </c>
      <c r="M95" s="456">
        <v>0.3</v>
      </c>
      <c r="N95" s="456">
        <v>32.0</v>
      </c>
      <c r="O95" s="456">
        <v>45600.0</v>
      </c>
      <c r="P95" s="456">
        <v>7.75</v>
      </c>
      <c r="Q95" s="456">
        <v>5.61</v>
      </c>
      <c r="R95" s="456">
        <v>72.35</v>
      </c>
      <c r="S95" s="456">
        <v>1534.88</v>
      </c>
      <c r="T95" s="456">
        <v>5104.32</v>
      </c>
      <c r="U95" s="456">
        <v>7.32</v>
      </c>
      <c r="V95" s="456">
        <v>4.8</v>
      </c>
      <c r="W95" s="456">
        <v>1.0</v>
      </c>
    </row>
    <row r="96" ht="15.75" customHeight="1">
      <c r="A96" s="456">
        <v>2.63714947E8</v>
      </c>
      <c r="B96" s="457"/>
      <c r="C96" s="456">
        <v>2973.0</v>
      </c>
      <c r="D96" s="456">
        <v>-56.72</v>
      </c>
      <c r="E96" s="456">
        <v>99.1</v>
      </c>
      <c r="F96" s="456">
        <v>99.1</v>
      </c>
      <c r="G96" s="456" t="s">
        <v>865</v>
      </c>
      <c r="H96" s="456">
        <v>5833553.0</v>
      </c>
      <c r="I96" s="456">
        <v>-59.27</v>
      </c>
      <c r="J96" s="456">
        <v>194451.77</v>
      </c>
      <c r="K96" s="456">
        <v>194451.77</v>
      </c>
      <c r="L96" s="456" t="s">
        <v>866</v>
      </c>
      <c r="M96" s="456">
        <v>0.01</v>
      </c>
      <c r="N96" s="456">
        <v>0.0</v>
      </c>
      <c r="O96" s="456">
        <v>0.0</v>
      </c>
      <c r="P96" s="456">
        <v>7.4</v>
      </c>
      <c r="Q96" s="456">
        <v>5.3</v>
      </c>
      <c r="R96" s="456">
        <v>71.62</v>
      </c>
      <c r="S96" s="456">
        <v>1962.18</v>
      </c>
      <c r="T96" s="456">
        <v>2556.47</v>
      </c>
      <c r="U96" s="456">
        <v>8.4</v>
      </c>
      <c r="V96" s="456">
        <v>4.8</v>
      </c>
      <c r="W96" s="456">
        <v>1.0</v>
      </c>
    </row>
    <row r="97" ht="15.75" customHeight="1">
      <c r="A97" s="456">
        <v>2.77223397E8</v>
      </c>
      <c r="B97" s="457"/>
      <c r="C97" s="456">
        <v>2968.0</v>
      </c>
      <c r="D97" s="456">
        <v>-41.71</v>
      </c>
      <c r="E97" s="456">
        <v>123.67</v>
      </c>
      <c r="F97" s="456">
        <v>247.33</v>
      </c>
      <c r="G97" s="456" t="s">
        <v>867</v>
      </c>
      <c r="H97" s="456">
        <v>4359996.0</v>
      </c>
      <c r="I97" s="456">
        <v>-42.68</v>
      </c>
      <c r="J97" s="456">
        <v>181666.5</v>
      </c>
      <c r="K97" s="456">
        <v>363333.0</v>
      </c>
      <c r="L97" s="456" t="s">
        <v>868</v>
      </c>
      <c r="M97" s="456">
        <v>0.57</v>
      </c>
      <c r="N97" s="456">
        <v>58.0</v>
      </c>
      <c r="O97" s="456">
        <v>86768.0</v>
      </c>
      <c r="P97" s="456">
        <v>4.83</v>
      </c>
      <c r="Q97" s="456">
        <v>3.31</v>
      </c>
      <c r="R97" s="456">
        <v>68.57</v>
      </c>
      <c r="S97" s="456">
        <v>1469.0</v>
      </c>
      <c r="T97" s="456">
        <v>7891.76</v>
      </c>
      <c r="U97" s="456">
        <v>9.0</v>
      </c>
      <c r="V97" s="456">
        <v>4.8</v>
      </c>
      <c r="W97" s="456">
        <v>1.0</v>
      </c>
    </row>
    <row r="98" ht="15.75" customHeight="1">
      <c r="A98" s="456">
        <v>3.21596238E8</v>
      </c>
      <c r="B98" s="457"/>
      <c r="C98" s="456">
        <v>2935.0</v>
      </c>
      <c r="D98" s="456">
        <v>-41.35</v>
      </c>
      <c r="E98" s="456">
        <v>101.21</v>
      </c>
      <c r="F98" s="456">
        <v>101.21</v>
      </c>
      <c r="G98" s="456" t="s">
        <v>869</v>
      </c>
      <c r="H98" s="456">
        <v>1819570.0</v>
      </c>
      <c r="I98" s="456">
        <v>-43.68</v>
      </c>
      <c r="J98" s="456">
        <v>62743.79</v>
      </c>
      <c r="K98" s="456">
        <v>62743.79</v>
      </c>
      <c r="L98" s="456" t="s">
        <v>870</v>
      </c>
      <c r="M98" s="456">
        <v>0.47</v>
      </c>
      <c r="N98" s="456">
        <v>0.0</v>
      </c>
      <c r="O98" s="456">
        <v>0.0</v>
      </c>
      <c r="P98" s="456">
        <v>7.27</v>
      </c>
      <c r="Q98" s="456">
        <v>4.53</v>
      </c>
      <c r="R98" s="456">
        <v>62.39</v>
      </c>
      <c r="S98" s="456">
        <v>619.96</v>
      </c>
      <c r="T98" s="456">
        <v>662.4</v>
      </c>
      <c r="U98" s="456">
        <v>8.0</v>
      </c>
      <c r="V98" s="456">
        <v>4.7</v>
      </c>
      <c r="W98" s="456">
        <v>1.0</v>
      </c>
    </row>
    <row r="99" ht="15.75" customHeight="1">
      <c r="A99" s="456">
        <v>5.8757225E8</v>
      </c>
      <c r="B99" s="457"/>
      <c r="C99" s="456">
        <v>2929.0</v>
      </c>
      <c r="D99" s="456">
        <v>-30.6</v>
      </c>
      <c r="E99" s="456">
        <v>122.04</v>
      </c>
      <c r="F99" s="456">
        <v>610.21</v>
      </c>
      <c r="G99" s="456" t="s">
        <v>871</v>
      </c>
      <c r="H99" s="456">
        <v>3481757.0</v>
      </c>
      <c r="I99" s="456">
        <v>-37.33</v>
      </c>
      <c r="J99" s="456">
        <v>145073.2</v>
      </c>
      <c r="K99" s="456">
        <v>725366.06</v>
      </c>
      <c r="L99" s="456" t="s">
        <v>872</v>
      </c>
      <c r="M99" s="456">
        <v>0.59</v>
      </c>
      <c r="N99" s="456">
        <v>0.0</v>
      </c>
      <c r="O99" s="456">
        <v>0.0</v>
      </c>
      <c r="P99" s="456">
        <v>6.46</v>
      </c>
      <c r="Q99" s="456">
        <v>4.77</v>
      </c>
      <c r="R99" s="456">
        <v>73.81</v>
      </c>
      <c r="S99" s="456">
        <v>1188.72</v>
      </c>
      <c r="T99" s="456">
        <v>383.92</v>
      </c>
      <c r="U99" s="456">
        <v>16.0</v>
      </c>
      <c r="V99" s="456">
        <v>4.9</v>
      </c>
      <c r="W99" s="456">
        <v>1.0</v>
      </c>
    </row>
    <row r="100" ht="15.75" customHeight="1">
      <c r="A100" s="456">
        <v>3.09435743E8</v>
      </c>
      <c r="B100" s="457"/>
      <c r="C100" s="456">
        <v>2904.0</v>
      </c>
      <c r="D100" s="456">
        <v>-39.02</v>
      </c>
      <c r="E100" s="456">
        <v>121.0</v>
      </c>
      <c r="F100" s="456">
        <v>484.0</v>
      </c>
      <c r="G100" s="456" t="s">
        <v>873</v>
      </c>
      <c r="H100" s="456">
        <v>3695760.0</v>
      </c>
      <c r="I100" s="456">
        <v>-41.81</v>
      </c>
      <c r="J100" s="456">
        <v>153990.0</v>
      </c>
      <c r="K100" s="456">
        <v>615960.0</v>
      </c>
      <c r="L100" s="456" t="s">
        <v>874</v>
      </c>
      <c r="M100" s="456">
        <v>0.52</v>
      </c>
      <c r="N100" s="456">
        <v>0.0</v>
      </c>
      <c r="O100" s="456">
        <v>0.0</v>
      </c>
      <c r="P100" s="456">
        <v>5.11</v>
      </c>
      <c r="Q100" s="456">
        <v>3.56</v>
      </c>
      <c r="R100" s="456">
        <v>69.57</v>
      </c>
      <c r="S100" s="456">
        <v>1272.64</v>
      </c>
      <c r="T100" s="456">
        <v>226.81</v>
      </c>
      <c r="U100" s="456">
        <v>9.0</v>
      </c>
      <c r="V100" s="456">
        <v>4.8</v>
      </c>
      <c r="W100" s="456">
        <v>1.0</v>
      </c>
    </row>
    <row r="101" ht="15.75" customHeight="1">
      <c r="A101" s="456">
        <v>3.05210016E8</v>
      </c>
      <c r="B101" s="457"/>
      <c r="C101" s="456">
        <v>2889.0</v>
      </c>
      <c r="D101" s="456">
        <v>-5.45</v>
      </c>
      <c r="E101" s="456">
        <v>115.56</v>
      </c>
      <c r="F101" s="456">
        <v>346.68</v>
      </c>
      <c r="G101" s="456" t="s">
        <v>875</v>
      </c>
      <c r="H101" s="456">
        <v>2687660.0</v>
      </c>
      <c r="I101" s="456">
        <v>-8.74</v>
      </c>
      <c r="J101" s="456">
        <v>107506.4</v>
      </c>
      <c r="K101" s="456">
        <v>322519.2</v>
      </c>
      <c r="L101" s="456" t="s">
        <v>876</v>
      </c>
      <c r="M101" s="456">
        <v>0.59</v>
      </c>
      <c r="N101" s="456">
        <v>61.0</v>
      </c>
      <c r="O101" s="456">
        <v>58804.0</v>
      </c>
      <c r="P101" s="456">
        <v>8.25</v>
      </c>
      <c r="Q101" s="456">
        <v>5.54</v>
      </c>
      <c r="R101" s="456">
        <v>67.1</v>
      </c>
      <c r="S101" s="456">
        <v>930.31</v>
      </c>
      <c r="T101" s="456">
        <v>459.68</v>
      </c>
      <c r="U101" s="456">
        <v>10.0</v>
      </c>
      <c r="V101" s="456">
        <v>4.8</v>
      </c>
      <c r="W101" s="456">
        <v>1.0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3" width="12.57"/>
  </cols>
  <sheetData>
    <row r="1" ht="15.75" customHeight="1">
      <c r="A1" s="458" t="s">
        <v>451</v>
      </c>
      <c r="B1" s="459" t="s">
        <v>676</v>
      </c>
      <c r="C1" s="459" t="s">
        <v>646</v>
      </c>
      <c r="D1" s="459" t="s">
        <v>647</v>
      </c>
      <c r="E1" s="459" t="s">
        <v>648</v>
      </c>
      <c r="F1" s="459" t="s">
        <v>649</v>
      </c>
      <c r="G1" s="459" t="s">
        <v>650</v>
      </c>
      <c r="H1" s="459" t="s">
        <v>651</v>
      </c>
      <c r="I1" s="459" t="s">
        <v>652</v>
      </c>
      <c r="J1" s="459" t="s">
        <v>653</v>
      </c>
      <c r="K1" s="459" t="s">
        <v>654</v>
      </c>
      <c r="L1" s="459" t="s">
        <v>655</v>
      </c>
      <c r="M1" s="459" t="s">
        <v>656</v>
      </c>
      <c r="N1" s="459" t="s">
        <v>657</v>
      </c>
      <c r="O1" s="459" t="s">
        <v>658</v>
      </c>
      <c r="P1" s="459" t="s">
        <v>659</v>
      </c>
      <c r="Q1" s="459" t="s">
        <v>660</v>
      </c>
      <c r="R1" s="459" t="s">
        <v>661</v>
      </c>
      <c r="S1" s="459" t="s">
        <v>662</v>
      </c>
      <c r="T1" s="459" t="s">
        <v>663</v>
      </c>
      <c r="U1" s="459" t="s">
        <v>664</v>
      </c>
      <c r="V1" s="459" t="s">
        <v>665</v>
      </c>
      <c r="W1" s="460" t="s">
        <v>666</v>
      </c>
    </row>
    <row r="2" ht="15.75" customHeight="1">
      <c r="A2" s="454">
        <v>1.69847101E8</v>
      </c>
      <c r="B2" s="455"/>
      <c r="C2" s="454">
        <v>4182.0</v>
      </c>
      <c r="D2" s="454">
        <v>-34.7</v>
      </c>
      <c r="E2" s="454">
        <v>174.25</v>
      </c>
      <c r="F2" s="454">
        <v>0.0</v>
      </c>
      <c r="G2" s="454" t="s">
        <v>877</v>
      </c>
      <c r="H2" s="454">
        <v>5004574.0</v>
      </c>
      <c r="I2" s="454">
        <v>-23.6</v>
      </c>
      <c r="J2" s="454">
        <v>208523.92</v>
      </c>
      <c r="K2" s="454">
        <v>0.0</v>
      </c>
      <c r="L2" s="454" t="s">
        <v>878</v>
      </c>
      <c r="M2" s="454">
        <v>0.43</v>
      </c>
      <c r="N2" s="454">
        <v>58.0</v>
      </c>
      <c r="O2" s="454">
        <v>78532.0</v>
      </c>
      <c r="P2" s="454">
        <v>8.16</v>
      </c>
      <c r="Q2" s="454">
        <v>5.1</v>
      </c>
      <c r="R2" s="454">
        <v>62.45</v>
      </c>
      <c r="S2" s="454">
        <v>1196.69</v>
      </c>
      <c r="T2" s="454">
        <v>724.0</v>
      </c>
      <c r="U2" s="454">
        <v>13.35</v>
      </c>
      <c r="V2" s="454">
        <v>4.76</v>
      </c>
      <c r="W2" s="454">
        <v>1.0</v>
      </c>
    </row>
    <row r="3" ht="15.75" customHeight="1">
      <c r="A3" s="456">
        <v>3.70285703E8</v>
      </c>
      <c r="B3" s="457"/>
      <c r="C3" s="456">
        <v>3212.0</v>
      </c>
      <c r="D3" s="456">
        <v>-44.83</v>
      </c>
      <c r="E3" s="456">
        <v>133.83</v>
      </c>
      <c r="F3" s="456">
        <v>401.5</v>
      </c>
      <c r="G3" s="456" t="s">
        <v>879</v>
      </c>
      <c r="H3" s="456">
        <v>4027491.0</v>
      </c>
      <c r="I3" s="456">
        <v>-46.7</v>
      </c>
      <c r="J3" s="456">
        <v>167812.12</v>
      </c>
      <c r="K3" s="456">
        <v>503436.38</v>
      </c>
      <c r="L3" s="456" t="s">
        <v>880</v>
      </c>
      <c r="M3" s="456">
        <v>0.58</v>
      </c>
      <c r="N3" s="456">
        <v>0.0</v>
      </c>
      <c r="O3" s="456">
        <v>0.0</v>
      </c>
      <c r="P3" s="456">
        <v>5.0</v>
      </c>
      <c r="Q3" s="456">
        <v>4.18</v>
      </c>
      <c r="R3" s="456">
        <v>83.57</v>
      </c>
      <c r="S3" s="456">
        <v>1253.89</v>
      </c>
      <c r="T3" s="456">
        <v>97.36</v>
      </c>
      <c r="U3" s="456">
        <v>7.0</v>
      </c>
      <c r="V3" s="456">
        <v>4.9</v>
      </c>
      <c r="W3" s="456">
        <v>1.0</v>
      </c>
    </row>
    <row r="4" ht="15.75" customHeight="1">
      <c r="A4" s="456">
        <v>5.2981813E8</v>
      </c>
      <c r="B4" s="457"/>
      <c r="C4" s="456">
        <v>3074.0</v>
      </c>
      <c r="D4" s="456">
        <v>-46.15</v>
      </c>
      <c r="E4" s="456">
        <v>113.85</v>
      </c>
      <c r="F4" s="456">
        <v>341.56</v>
      </c>
      <c r="G4" s="456" t="s">
        <v>881</v>
      </c>
      <c r="H4" s="456">
        <v>5386326.0</v>
      </c>
      <c r="I4" s="456">
        <v>-48.3</v>
      </c>
      <c r="J4" s="456">
        <v>199493.56</v>
      </c>
      <c r="K4" s="456">
        <v>598480.7</v>
      </c>
      <c r="L4" s="456" t="s">
        <v>882</v>
      </c>
      <c r="M4" s="456">
        <v>0.42</v>
      </c>
      <c r="N4" s="456">
        <v>0.0</v>
      </c>
      <c r="O4" s="456">
        <v>0.0</v>
      </c>
      <c r="P4" s="456">
        <v>7.32</v>
      </c>
      <c r="Q4" s="456">
        <v>4.32</v>
      </c>
      <c r="R4" s="456">
        <v>59.02</v>
      </c>
      <c r="S4" s="456">
        <v>1752.22</v>
      </c>
      <c r="T4" s="456">
        <v>189.96</v>
      </c>
      <c r="U4" s="456">
        <v>9.0</v>
      </c>
      <c r="V4" s="456">
        <v>4.8</v>
      </c>
      <c r="W4" s="456">
        <v>1.0</v>
      </c>
    </row>
    <row r="5" ht="15.75" customHeight="1">
      <c r="A5" s="456">
        <v>4.37154709E8</v>
      </c>
      <c r="B5" s="457"/>
      <c r="C5" s="456">
        <v>3073.0</v>
      </c>
      <c r="D5" s="456">
        <v>-57.34</v>
      </c>
      <c r="E5" s="456">
        <v>109.75</v>
      </c>
      <c r="F5" s="456">
        <v>0.0</v>
      </c>
      <c r="G5" s="456" t="s">
        <v>883</v>
      </c>
      <c r="H5" s="456">
        <v>3115716.0</v>
      </c>
      <c r="I5" s="456">
        <v>-63.69</v>
      </c>
      <c r="J5" s="456">
        <v>111275.57</v>
      </c>
      <c r="K5" s="456">
        <v>0.0</v>
      </c>
      <c r="L5" s="456" t="s">
        <v>884</v>
      </c>
      <c r="M5" s="456">
        <v>0.17</v>
      </c>
      <c r="N5" s="456">
        <v>17.0</v>
      </c>
      <c r="O5" s="456">
        <v>15946.0</v>
      </c>
      <c r="P5" s="456">
        <v>5.26</v>
      </c>
      <c r="Q5" s="456">
        <v>3.58</v>
      </c>
      <c r="R5" s="456">
        <v>68.1</v>
      </c>
      <c r="S5" s="456">
        <v>1013.9</v>
      </c>
      <c r="T5" s="456">
        <v>1199.74</v>
      </c>
      <c r="U5" s="456">
        <v>9.0</v>
      </c>
      <c r="V5" s="456">
        <v>4.8</v>
      </c>
      <c r="W5" s="456">
        <v>1.0</v>
      </c>
    </row>
    <row r="6" ht="15.75" customHeight="1">
      <c r="A6" s="456">
        <v>3.890815E8</v>
      </c>
      <c r="B6" s="457"/>
      <c r="C6" s="456">
        <v>3007.0</v>
      </c>
      <c r="D6" s="456">
        <v>-46.58</v>
      </c>
      <c r="E6" s="456">
        <v>125.29</v>
      </c>
      <c r="F6" s="456">
        <v>375.88</v>
      </c>
      <c r="G6" s="456" t="s">
        <v>885</v>
      </c>
      <c r="H6" s="456">
        <v>3806437.0</v>
      </c>
      <c r="I6" s="456">
        <v>-48.01</v>
      </c>
      <c r="J6" s="456">
        <v>158601.55</v>
      </c>
      <c r="K6" s="456">
        <v>475804.62</v>
      </c>
      <c r="L6" s="456" t="s">
        <v>886</v>
      </c>
      <c r="M6" s="456">
        <v>0.45</v>
      </c>
      <c r="N6" s="456">
        <v>0.0</v>
      </c>
      <c r="O6" s="456">
        <v>0.0</v>
      </c>
      <c r="P6" s="456">
        <v>7.36</v>
      </c>
      <c r="Q6" s="456">
        <v>4.39</v>
      </c>
      <c r="R6" s="456">
        <v>59.71</v>
      </c>
      <c r="S6" s="456">
        <v>1265.86</v>
      </c>
      <c r="T6" s="456">
        <v>148.39</v>
      </c>
      <c r="U6" s="456">
        <v>9.0</v>
      </c>
      <c r="V6" s="456">
        <v>4.9</v>
      </c>
      <c r="W6" s="456">
        <v>1.0</v>
      </c>
    </row>
    <row r="7" ht="15.75" customHeight="1">
      <c r="A7" s="456">
        <v>2.12968862E8</v>
      </c>
      <c r="B7" s="457"/>
      <c r="C7" s="456">
        <v>2946.0</v>
      </c>
      <c r="D7" s="456">
        <v>-33.18</v>
      </c>
      <c r="E7" s="456">
        <v>117.84</v>
      </c>
      <c r="F7" s="456">
        <v>235.68</v>
      </c>
      <c r="G7" s="456" t="s">
        <v>887</v>
      </c>
      <c r="H7" s="456">
        <v>2929849.0</v>
      </c>
      <c r="I7" s="456">
        <v>-35.85</v>
      </c>
      <c r="J7" s="456">
        <v>117193.96</v>
      </c>
      <c r="K7" s="456">
        <v>234387.92</v>
      </c>
      <c r="L7" s="456" t="s">
        <v>888</v>
      </c>
      <c r="M7" s="456">
        <v>0.01</v>
      </c>
      <c r="N7" s="456">
        <v>1.0</v>
      </c>
      <c r="O7" s="456">
        <v>1013.0</v>
      </c>
      <c r="P7" s="456">
        <v>6.07</v>
      </c>
      <c r="Q7" s="456">
        <v>3.97</v>
      </c>
      <c r="R7" s="456">
        <v>65.34</v>
      </c>
      <c r="S7" s="456">
        <v>994.52</v>
      </c>
      <c r="T7" s="456">
        <v>2432.97</v>
      </c>
      <c r="U7" s="456">
        <v>10.0</v>
      </c>
      <c r="V7" s="456">
        <v>4.8</v>
      </c>
      <c r="W7" s="456">
        <v>1.0</v>
      </c>
    </row>
    <row r="8" ht="15.75" customHeight="1">
      <c r="A8" s="456">
        <v>2.12798848E8</v>
      </c>
      <c r="B8" s="457"/>
      <c r="C8" s="456">
        <v>2935.0</v>
      </c>
      <c r="D8" s="456">
        <v>-47.53</v>
      </c>
      <c r="E8" s="456">
        <v>104.82</v>
      </c>
      <c r="F8" s="456">
        <v>209.64</v>
      </c>
      <c r="G8" s="456" t="s">
        <v>889</v>
      </c>
      <c r="H8" s="456">
        <v>4617381.0</v>
      </c>
      <c r="I8" s="456">
        <v>-49.5</v>
      </c>
      <c r="J8" s="456">
        <v>164906.47</v>
      </c>
      <c r="K8" s="456">
        <v>329812.94</v>
      </c>
      <c r="L8" s="456" t="s">
        <v>890</v>
      </c>
      <c r="M8" s="456">
        <v>0.52</v>
      </c>
      <c r="N8" s="456">
        <v>53.0</v>
      </c>
      <c r="O8" s="456">
        <v>84535.0</v>
      </c>
      <c r="P8" s="456">
        <v>5.48</v>
      </c>
      <c r="Q8" s="456">
        <v>3.62</v>
      </c>
      <c r="R8" s="456">
        <v>66.04</v>
      </c>
      <c r="S8" s="456">
        <v>1573.21</v>
      </c>
      <c r="T8" s="456">
        <v>5659.24</v>
      </c>
      <c r="U8" s="456">
        <v>11.0</v>
      </c>
      <c r="V8" s="456">
        <v>4.9</v>
      </c>
      <c r="W8" s="456">
        <v>1.0</v>
      </c>
    </row>
    <row r="9" ht="15.75" customHeight="1">
      <c r="A9" s="456">
        <v>2.38857027E8</v>
      </c>
      <c r="B9" s="457"/>
      <c r="C9" s="456">
        <v>2882.0</v>
      </c>
      <c r="D9" s="456">
        <v>-50.6</v>
      </c>
      <c r="E9" s="456">
        <v>92.97</v>
      </c>
      <c r="F9" s="456">
        <v>0.0</v>
      </c>
      <c r="G9" s="456" t="s">
        <v>891</v>
      </c>
      <c r="H9" s="456">
        <v>3597088.0</v>
      </c>
      <c r="I9" s="456">
        <v>-50.32</v>
      </c>
      <c r="J9" s="456">
        <v>116035.09</v>
      </c>
      <c r="K9" s="456">
        <v>0.0</v>
      </c>
      <c r="L9" s="456" t="s">
        <v>892</v>
      </c>
      <c r="M9" s="456">
        <v>0.32</v>
      </c>
      <c r="N9" s="456">
        <v>30.0</v>
      </c>
      <c r="O9" s="456">
        <v>39510.0</v>
      </c>
      <c r="P9" s="456">
        <v>5.58</v>
      </c>
      <c r="Q9" s="456">
        <v>4.0</v>
      </c>
      <c r="R9" s="456">
        <v>71.68</v>
      </c>
      <c r="S9" s="456">
        <v>1248.12</v>
      </c>
      <c r="T9" s="456">
        <v>310.9</v>
      </c>
      <c r="U9" s="456">
        <v>16.03</v>
      </c>
      <c r="V9" s="456">
        <v>4.79</v>
      </c>
      <c r="W9" s="456">
        <v>1.0</v>
      </c>
    </row>
    <row r="10" ht="15.75" customHeight="1">
      <c r="A10" s="456">
        <v>2.52600345E8</v>
      </c>
      <c r="B10" s="457"/>
      <c r="C10" s="456">
        <v>2806.0</v>
      </c>
      <c r="D10" s="456">
        <v>-41.83</v>
      </c>
      <c r="E10" s="456">
        <v>107.92</v>
      </c>
      <c r="F10" s="456">
        <v>323.77</v>
      </c>
      <c r="G10" s="456" t="s">
        <v>893</v>
      </c>
      <c r="H10" s="456">
        <v>4821771.0</v>
      </c>
      <c r="I10" s="456">
        <v>-44.08</v>
      </c>
      <c r="J10" s="456">
        <v>185452.73</v>
      </c>
      <c r="K10" s="456">
        <v>556358.2</v>
      </c>
      <c r="L10" s="456" t="s">
        <v>894</v>
      </c>
      <c r="M10" s="456">
        <v>0.01</v>
      </c>
      <c r="N10" s="456">
        <v>0.0</v>
      </c>
      <c r="O10" s="456">
        <v>0.0</v>
      </c>
      <c r="P10" s="456">
        <v>5.68</v>
      </c>
      <c r="Q10" s="456">
        <v>3.75</v>
      </c>
      <c r="R10" s="456">
        <v>66.04</v>
      </c>
      <c r="S10" s="456">
        <v>1718.38</v>
      </c>
      <c r="T10" s="456">
        <v>832.82</v>
      </c>
      <c r="U10" s="456">
        <v>10.0</v>
      </c>
      <c r="V10" s="456">
        <v>4.8</v>
      </c>
      <c r="W10" s="456">
        <v>1.0</v>
      </c>
    </row>
    <row r="11" ht="15.75" customHeight="1">
      <c r="A11" s="456">
        <v>2.12968869E8</v>
      </c>
      <c r="B11" s="457"/>
      <c r="C11" s="456">
        <v>2774.0</v>
      </c>
      <c r="D11" s="456">
        <v>-40.21</v>
      </c>
      <c r="E11" s="456">
        <v>102.74</v>
      </c>
      <c r="F11" s="456">
        <v>205.48</v>
      </c>
      <c r="G11" s="456" t="s">
        <v>895</v>
      </c>
      <c r="H11" s="456">
        <v>5467287.0</v>
      </c>
      <c r="I11" s="456">
        <v>-42.66</v>
      </c>
      <c r="J11" s="456">
        <v>202492.11</v>
      </c>
      <c r="K11" s="456">
        <v>404984.22</v>
      </c>
      <c r="L11" s="456" t="s">
        <v>896</v>
      </c>
      <c r="M11" s="456">
        <v>0.5</v>
      </c>
      <c r="N11" s="456">
        <v>0.0</v>
      </c>
      <c r="O11" s="456">
        <v>0.0</v>
      </c>
      <c r="P11" s="456">
        <v>4.45</v>
      </c>
      <c r="Q11" s="456">
        <v>3.41</v>
      </c>
      <c r="R11" s="456">
        <v>76.74</v>
      </c>
      <c r="S11" s="456">
        <v>1970.9</v>
      </c>
      <c r="T11" s="456">
        <v>637.76</v>
      </c>
      <c r="U11" s="456">
        <v>11.0</v>
      </c>
      <c r="V11" s="456">
        <v>4.9</v>
      </c>
      <c r="W11" s="456">
        <v>1.0</v>
      </c>
    </row>
    <row r="12" ht="15.75" customHeight="1">
      <c r="A12" s="456">
        <v>2.41696654E8</v>
      </c>
      <c r="B12" s="457"/>
      <c r="C12" s="456">
        <v>2770.0</v>
      </c>
      <c r="D12" s="456">
        <v>-46.03</v>
      </c>
      <c r="E12" s="456">
        <v>89.35</v>
      </c>
      <c r="F12" s="456">
        <v>0.0</v>
      </c>
      <c r="G12" s="456" t="s">
        <v>897</v>
      </c>
      <c r="H12" s="456">
        <v>4473449.0</v>
      </c>
      <c r="I12" s="456">
        <v>-47.98</v>
      </c>
      <c r="J12" s="456">
        <v>144304.81</v>
      </c>
      <c r="K12" s="456">
        <v>0.0</v>
      </c>
      <c r="L12" s="456" t="s">
        <v>898</v>
      </c>
      <c r="M12" s="456">
        <v>0.24</v>
      </c>
      <c r="N12" s="456">
        <v>21.0</v>
      </c>
      <c r="O12" s="456">
        <v>34461.0</v>
      </c>
      <c r="P12" s="456">
        <v>5.19</v>
      </c>
      <c r="Q12" s="456">
        <v>3.52</v>
      </c>
      <c r="R12" s="456">
        <v>67.7</v>
      </c>
      <c r="S12" s="456">
        <v>1614.96</v>
      </c>
      <c r="T12" s="456">
        <v>784.87</v>
      </c>
      <c r="U12" s="456">
        <v>11.0</v>
      </c>
      <c r="V12" s="456">
        <v>4.8</v>
      </c>
      <c r="W12" s="456">
        <v>1.0</v>
      </c>
    </row>
    <row r="13" ht="15.75" customHeight="1">
      <c r="A13" s="456">
        <v>2.12789574E8</v>
      </c>
      <c r="B13" s="457"/>
      <c r="C13" s="456">
        <v>2750.0</v>
      </c>
      <c r="D13" s="456">
        <v>-47.22</v>
      </c>
      <c r="E13" s="456">
        <v>94.83</v>
      </c>
      <c r="F13" s="456">
        <v>94.83</v>
      </c>
      <c r="G13" s="456" t="s">
        <v>899</v>
      </c>
      <c r="H13" s="456">
        <v>3301787.0</v>
      </c>
      <c r="I13" s="456">
        <v>-51.98</v>
      </c>
      <c r="J13" s="456">
        <v>113854.73</v>
      </c>
      <c r="K13" s="456">
        <v>113854.73</v>
      </c>
      <c r="L13" s="456" t="s">
        <v>900</v>
      </c>
      <c r="M13" s="456">
        <v>0.63</v>
      </c>
      <c r="N13" s="456">
        <v>58.0</v>
      </c>
      <c r="O13" s="456">
        <v>39208.0</v>
      </c>
      <c r="P13" s="456">
        <v>5.9</v>
      </c>
      <c r="Q13" s="456">
        <v>3.97</v>
      </c>
      <c r="R13" s="456">
        <v>67.23</v>
      </c>
      <c r="S13" s="456">
        <v>1200.65</v>
      </c>
      <c r="T13" s="456">
        <v>641.77</v>
      </c>
      <c r="U13" s="456">
        <v>8.0</v>
      </c>
      <c r="V13" s="456">
        <v>4.8</v>
      </c>
      <c r="W13" s="456">
        <v>1.0</v>
      </c>
    </row>
    <row r="14" ht="15.75" customHeight="1">
      <c r="A14" s="456">
        <v>2.12968861E8</v>
      </c>
      <c r="B14" s="457"/>
      <c r="C14" s="456">
        <v>2712.0</v>
      </c>
      <c r="D14" s="456">
        <v>-46.52</v>
      </c>
      <c r="E14" s="456">
        <v>96.86</v>
      </c>
      <c r="F14" s="456">
        <v>193.71</v>
      </c>
      <c r="G14" s="456" t="s">
        <v>901</v>
      </c>
      <c r="H14" s="456">
        <v>4079833.0</v>
      </c>
      <c r="I14" s="456">
        <v>-48.71</v>
      </c>
      <c r="J14" s="456">
        <v>145708.33</v>
      </c>
      <c r="K14" s="456">
        <v>291416.66</v>
      </c>
      <c r="L14" s="456" t="s">
        <v>902</v>
      </c>
      <c r="M14" s="456">
        <v>0.55</v>
      </c>
      <c r="N14" s="456">
        <v>0.0</v>
      </c>
      <c r="O14" s="456">
        <v>0.0</v>
      </c>
      <c r="P14" s="456">
        <v>6.17</v>
      </c>
      <c r="Q14" s="456">
        <v>4.72</v>
      </c>
      <c r="R14" s="456">
        <v>76.54</v>
      </c>
      <c r="S14" s="456">
        <v>1504.36</v>
      </c>
      <c r="T14" s="456">
        <v>878.76</v>
      </c>
      <c r="U14" s="456">
        <v>8.21</v>
      </c>
      <c r="V14" s="456">
        <v>4.9</v>
      </c>
      <c r="W14" s="456">
        <v>1.0</v>
      </c>
    </row>
    <row r="15" ht="15.75" customHeight="1">
      <c r="A15" s="456">
        <v>2.23354144E8</v>
      </c>
      <c r="B15" s="457"/>
      <c r="C15" s="456">
        <v>2612.0</v>
      </c>
      <c r="D15" s="456">
        <v>62.25</v>
      </c>
      <c r="E15" s="456">
        <v>145.11</v>
      </c>
      <c r="F15" s="456">
        <v>1451.11</v>
      </c>
      <c r="G15" s="456" t="s">
        <v>903</v>
      </c>
      <c r="H15" s="456">
        <v>3057077.0</v>
      </c>
      <c r="I15" s="456">
        <v>61.93</v>
      </c>
      <c r="J15" s="456">
        <v>169837.61</v>
      </c>
      <c r="K15" s="456">
        <v>1698376.1</v>
      </c>
      <c r="L15" s="456" t="s">
        <v>904</v>
      </c>
      <c r="M15" s="456">
        <v>0.32</v>
      </c>
      <c r="N15" s="456">
        <v>40.0</v>
      </c>
      <c r="O15" s="456">
        <v>46715.56</v>
      </c>
      <c r="P15" s="456">
        <v>6.9</v>
      </c>
      <c r="Q15" s="456">
        <v>4.33</v>
      </c>
      <c r="R15" s="456">
        <v>62.76</v>
      </c>
      <c r="S15" s="456">
        <v>1170.4</v>
      </c>
      <c r="T15" s="456">
        <v>1123.67</v>
      </c>
      <c r="U15" s="456">
        <v>12.0</v>
      </c>
      <c r="V15" s="456">
        <v>4.8</v>
      </c>
      <c r="W15" s="456">
        <v>1.0</v>
      </c>
    </row>
    <row r="16" ht="15.75" customHeight="1">
      <c r="A16" s="456">
        <v>2.21863953E8</v>
      </c>
      <c r="B16" s="457"/>
      <c r="C16" s="456">
        <v>2405.0</v>
      </c>
      <c r="D16" s="456">
        <v>-23.42</v>
      </c>
      <c r="E16" s="456">
        <v>92.5</v>
      </c>
      <c r="F16" s="456">
        <v>277.5</v>
      </c>
      <c r="G16" s="456" t="s">
        <v>905</v>
      </c>
      <c r="H16" s="456">
        <v>2530463.0</v>
      </c>
      <c r="I16" s="456">
        <v>-25.74</v>
      </c>
      <c r="J16" s="456">
        <v>97325.5</v>
      </c>
      <c r="K16" s="456">
        <v>291976.5</v>
      </c>
      <c r="L16" s="456" t="s">
        <v>906</v>
      </c>
      <c r="M16" s="456">
        <v>0.71</v>
      </c>
      <c r="N16" s="456">
        <v>0.0</v>
      </c>
      <c r="O16" s="456">
        <v>0.0</v>
      </c>
      <c r="P16" s="456">
        <v>6.43</v>
      </c>
      <c r="Q16" s="456">
        <v>4.21</v>
      </c>
      <c r="R16" s="456">
        <v>65.56</v>
      </c>
      <c r="S16" s="456">
        <v>1052.17</v>
      </c>
      <c r="T16" s="456">
        <v>417.5</v>
      </c>
      <c r="U16" s="456">
        <v>5.0</v>
      </c>
      <c r="V16" s="456">
        <v>4.8</v>
      </c>
      <c r="W16" s="456">
        <v>1.0</v>
      </c>
    </row>
    <row r="17" ht="15.75" customHeight="1">
      <c r="A17" s="456">
        <v>6.56754063E8</v>
      </c>
      <c r="B17" s="457"/>
      <c r="C17" s="456">
        <v>2372.0</v>
      </c>
      <c r="D17" s="456">
        <v>-50.44</v>
      </c>
      <c r="E17" s="456">
        <v>98.83</v>
      </c>
      <c r="F17" s="456">
        <v>197.67</v>
      </c>
      <c r="G17" s="456" t="s">
        <v>907</v>
      </c>
      <c r="H17" s="456">
        <v>2612959.0</v>
      </c>
      <c r="I17" s="456">
        <v>-48.32</v>
      </c>
      <c r="J17" s="456">
        <v>108873.29</v>
      </c>
      <c r="K17" s="456">
        <v>217746.58</v>
      </c>
      <c r="L17" s="456" t="s">
        <v>908</v>
      </c>
      <c r="M17" s="456">
        <v>0.71</v>
      </c>
      <c r="N17" s="456">
        <v>0.0</v>
      </c>
      <c r="O17" s="456">
        <v>0.0</v>
      </c>
      <c r="P17" s="456">
        <v>5.1</v>
      </c>
      <c r="Q17" s="456">
        <v>3.76</v>
      </c>
      <c r="R17" s="456">
        <v>73.65</v>
      </c>
      <c r="S17" s="456">
        <v>1101.58</v>
      </c>
      <c r="T17" s="456">
        <v>62.97</v>
      </c>
      <c r="U17" s="456">
        <v>6.0</v>
      </c>
      <c r="V17" s="456">
        <v>4.63</v>
      </c>
      <c r="W17" s="456">
        <v>1.0</v>
      </c>
    </row>
    <row r="18" ht="15.75" customHeight="1">
      <c r="A18" s="456">
        <v>5.77378994E8</v>
      </c>
      <c r="B18" s="457"/>
      <c r="C18" s="456">
        <v>2316.0</v>
      </c>
      <c r="D18" s="456">
        <v>-51.44</v>
      </c>
      <c r="E18" s="456">
        <v>92.64</v>
      </c>
      <c r="F18" s="456">
        <v>0.0</v>
      </c>
      <c r="G18" s="456" t="s">
        <v>909</v>
      </c>
      <c r="H18" s="456">
        <v>3551508.0</v>
      </c>
      <c r="I18" s="456">
        <v>-51.07</v>
      </c>
      <c r="J18" s="456">
        <v>142060.31</v>
      </c>
      <c r="K18" s="456">
        <v>0.0</v>
      </c>
      <c r="L18" s="456" t="s">
        <v>910</v>
      </c>
      <c r="M18" s="456">
        <v>0.78</v>
      </c>
      <c r="N18" s="456">
        <v>58.0</v>
      </c>
      <c r="O18" s="456">
        <v>93844.0</v>
      </c>
      <c r="P18" s="456">
        <v>6.77</v>
      </c>
      <c r="Q18" s="456">
        <v>3.39</v>
      </c>
      <c r="R18" s="456">
        <v>50.0</v>
      </c>
      <c r="S18" s="456">
        <v>1533.47</v>
      </c>
      <c r="T18" s="456">
        <v>48.23</v>
      </c>
      <c r="U18" s="456">
        <v>10.0</v>
      </c>
      <c r="V18" s="456">
        <v>4.9</v>
      </c>
      <c r="W18" s="456">
        <v>1.0</v>
      </c>
    </row>
    <row r="19" ht="15.75" customHeight="1">
      <c r="A19" s="456">
        <v>1.62438294E8</v>
      </c>
      <c r="B19" s="457"/>
      <c r="C19" s="456">
        <v>2197.0</v>
      </c>
      <c r="D19" s="456">
        <v>-40.91</v>
      </c>
      <c r="E19" s="456">
        <v>91.54</v>
      </c>
      <c r="F19" s="456">
        <v>549.25</v>
      </c>
      <c r="G19" s="456" t="s">
        <v>911</v>
      </c>
      <c r="H19" s="456">
        <v>2757894.0</v>
      </c>
      <c r="I19" s="456">
        <v>-42.41</v>
      </c>
      <c r="J19" s="456">
        <v>114912.25</v>
      </c>
      <c r="K19" s="456">
        <v>689473.5</v>
      </c>
      <c r="L19" s="456" t="s">
        <v>912</v>
      </c>
      <c r="M19" s="456">
        <v>0.65</v>
      </c>
      <c r="N19" s="456">
        <v>0.0</v>
      </c>
      <c r="O19" s="456">
        <v>0.0</v>
      </c>
      <c r="P19" s="456">
        <v>4.12</v>
      </c>
      <c r="Q19" s="456">
        <v>3.2</v>
      </c>
      <c r="R19" s="456">
        <v>77.67</v>
      </c>
      <c r="S19" s="456">
        <v>1255.3</v>
      </c>
      <c r="T19" s="456">
        <v>4886.28</v>
      </c>
      <c r="U19" s="456">
        <v>17.0</v>
      </c>
      <c r="V19" s="456">
        <v>4.8</v>
      </c>
      <c r="W19" s="456">
        <v>1.0</v>
      </c>
    </row>
    <row r="20" ht="15.75" customHeight="1">
      <c r="A20" s="456">
        <v>1.8073598E8</v>
      </c>
      <c r="B20" s="457"/>
      <c r="C20" s="456">
        <v>2178.0</v>
      </c>
      <c r="D20" s="456">
        <v>-45.75</v>
      </c>
      <c r="E20" s="456">
        <v>90.75</v>
      </c>
      <c r="F20" s="456">
        <v>90.75</v>
      </c>
      <c r="G20" s="456" t="s">
        <v>913</v>
      </c>
      <c r="H20" s="456">
        <v>2203696.0</v>
      </c>
      <c r="I20" s="456">
        <v>-48.51</v>
      </c>
      <c r="J20" s="456">
        <v>91820.66</v>
      </c>
      <c r="K20" s="456">
        <v>91820.66</v>
      </c>
      <c r="L20" s="456" t="s">
        <v>914</v>
      </c>
      <c r="M20" s="456">
        <v>0.9</v>
      </c>
      <c r="N20" s="456">
        <v>0.0</v>
      </c>
      <c r="O20" s="456">
        <v>0.0</v>
      </c>
      <c r="P20" s="456">
        <v>3.77</v>
      </c>
      <c r="Q20" s="456">
        <v>2.53</v>
      </c>
      <c r="R20" s="456">
        <v>67.26</v>
      </c>
      <c r="S20" s="456">
        <v>1011.8</v>
      </c>
      <c r="T20" s="456">
        <v>2226.53</v>
      </c>
      <c r="U20" s="456">
        <v>13.0</v>
      </c>
      <c r="V20" s="456">
        <v>4.8</v>
      </c>
      <c r="W20" s="456">
        <v>1.0</v>
      </c>
    </row>
    <row r="21" ht="15.75" customHeight="1">
      <c r="A21" s="456">
        <v>2.64932546E8</v>
      </c>
      <c r="B21" s="457"/>
      <c r="C21" s="456">
        <v>2156.0</v>
      </c>
      <c r="D21" s="456">
        <v>-12.52</v>
      </c>
      <c r="E21" s="456">
        <v>82.92</v>
      </c>
      <c r="F21" s="456">
        <v>165.85</v>
      </c>
      <c r="G21" s="456" t="s">
        <v>915</v>
      </c>
      <c r="H21" s="456">
        <v>2805283.0</v>
      </c>
      <c r="I21" s="456">
        <v>-15.52</v>
      </c>
      <c r="J21" s="456">
        <v>107895.5</v>
      </c>
      <c r="K21" s="456">
        <v>215791.0</v>
      </c>
      <c r="L21" s="456" t="s">
        <v>916</v>
      </c>
      <c r="M21" s="456">
        <v>0.78</v>
      </c>
      <c r="N21" s="456">
        <v>58.0</v>
      </c>
      <c r="O21" s="456">
        <v>77140.0</v>
      </c>
      <c r="P21" s="456">
        <v>7.41</v>
      </c>
      <c r="Q21" s="456">
        <v>3.76</v>
      </c>
      <c r="R21" s="456">
        <v>50.7</v>
      </c>
      <c r="S21" s="456">
        <v>1301.15</v>
      </c>
      <c r="T21" s="456">
        <v>221.72</v>
      </c>
      <c r="U21" s="456">
        <v>10.0</v>
      </c>
      <c r="V21" s="456">
        <v>4.9</v>
      </c>
      <c r="W21" s="456">
        <v>1.0</v>
      </c>
    </row>
    <row r="22" ht="15.75" customHeight="1">
      <c r="A22" s="456">
        <v>2.12962089E8</v>
      </c>
      <c r="B22" s="457"/>
      <c r="C22" s="456">
        <v>2124.0</v>
      </c>
      <c r="D22" s="456">
        <v>-50.21</v>
      </c>
      <c r="E22" s="456">
        <v>88.5</v>
      </c>
      <c r="F22" s="456">
        <v>442.5</v>
      </c>
      <c r="G22" s="456" t="s">
        <v>917</v>
      </c>
      <c r="H22" s="456">
        <v>3703710.0</v>
      </c>
      <c r="I22" s="456">
        <v>-52.18</v>
      </c>
      <c r="J22" s="456">
        <v>154321.25</v>
      </c>
      <c r="K22" s="456">
        <v>771606.25</v>
      </c>
      <c r="L22" s="456" t="s">
        <v>918</v>
      </c>
      <c r="M22" s="456">
        <v>0.65</v>
      </c>
      <c r="N22" s="456">
        <v>0.0</v>
      </c>
      <c r="O22" s="456">
        <v>0.0</v>
      </c>
      <c r="P22" s="456">
        <v>4.81</v>
      </c>
      <c r="Q22" s="456">
        <v>3.46</v>
      </c>
      <c r="R22" s="456">
        <v>72.0</v>
      </c>
      <c r="S22" s="456">
        <v>1743.74</v>
      </c>
      <c r="T22" s="456">
        <v>478.5</v>
      </c>
      <c r="U22" s="456">
        <v>12.0</v>
      </c>
      <c r="V22" s="456">
        <v>4.8</v>
      </c>
      <c r="W22" s="456">
        <v>1.0</v>
      </c>
    </row>
    <row r="23" ht="15.75" customHeight="1">
      <c r="A23" s="456">
        <v>3.89095189E8</v>
      </c>
      <c r="B23" s="457"/>
      <c r="C23" s="456">
        <v>2105.0</v>
      </c>
      <c r="D23" s="456">
        <v>-54.93</v>
      </c>
      <c r="E23" s="456">
        <v>87.71</v>
      </c>
      <c r="F23" s="456">
        <v>438.54</v>
      </c>
      <c r="G23" s="456" t="s">
        <v>919</v>
      </c>
      <c r="H23" s="456">
        <v>2883626.0</v>
      </c>
      <c r="I23" s="456">
        <v>-56.73</v>
      </c>
      <c r="J23" s="456">
        <v>120151.09</v>
      </c>
      <c r="K23" s="456">
        <v>600755.44</v>
      </c>
      <c r="L23" s="456" t="s">
        <v>920</v>
      </c>
      <c r="M23" s="456">
        <v>0.33</v>
      </c>
      <c r="N23" s="456">
        <v>0.0</v>
      </c>
      <c r="O23" s="456">
        <v>0.0</v>
      </c>
      <c r="P23" s="456">
        <v>9.31</v>
      </c>
      <c r="Q23" s="456">
        <v>4.92</v>
      </c>
      <c r="R23" s="456">
        <v>52.89</v>
      </c>
      <c r="S23" s="456">
        <v>1369.89</v>
      </c>
      <c r="T23" s="456">
        <v>83.35</v>
      </c>
      <c r="U23" s="456">
        <v>10.0</v>
      </c>
      <c r="V23" s="456">
        <v>4.9</v>
      </c>
      <c r="W23" s="456">
        <v>1.0</v>
      </c>
    </row>
    <row r="24" ht="15.75" customHeight="1">
      <c r="A24" s="456">
        <v>1.60149842E8</v>
      </c>
      <c r="B24" s="457"/>
      <c r="C24" s="456">
        <v>2013.0</v>
      </c>
      <c r="D24" s="456">
        <v>-51.11</v>
      </c>
      <c r="E24" s="456">
        <v>87.52</v>
      </c>
      <c r="F24" s="456">
        <v>262.57</v>
      </c>
      <c r="G24" s="456" t="s">
        <v>921</v>
      </c>
      <c r="H24" s="456">
        <v>2508147.0</v>
      </c>
      <c r="I24" s="456">
        <v>-51.95</v>
      </c>
      <c r="J24" s="456">
        <v>109049.87</v>
      </c>
      <c r="K24" s="456">
        <v>327149.6</v>
      </c>
      <c r="L24" s="456" t="s">
        <v>922</v>
      </c>
      <c r="M24" s="456">
        <v>0.6</v>
      </c>
      <c r="N24" s="456">
        <v>43.0</v>
      </c>
      <c r="O24" s="456">
        <v>54137.0</v>
      </c>
      <c r="P24" s="456">
        <v>5.29</v>
      </c>
      <c r="Q24" s="456">
        <v>2.64</v>
      </c>
      <c r="R24" s="456">
        <v>50.0</v>
      </c>
      <c r="S24" s="456">
        <v>1245.97</v>
      </c>
      <c r="T24" s="456">
        <v>380.82</v>
      </c>
      <c r="U24" s="456">
        <v>9.0</v>
      </c>
      <c r="V24" s="456">
        <v>4.7</v>
      </c>
      <c r="W24" s="456">
        <v>1.0</v>
      </c>
    </row>
    <row r="25" ht="15.75" customHeight="1">
      <c r="A25" s="456">
        <v>5.3454098E8</v>
      </c>
      <c r="B25" s="457"/>
      <c r="C25" s="456">
        <v>1991.0</v>
      </c>
      <c r="D25" s="456">
        <v>-51.31</v>
      </c>
      <c r="E25" s="456">
        <v>82.96</v>
      </c>
      <c r="F25" s="456">
        <v>331.83</v>
      </c>
      <c r="G25" s="456" t="s">
        <v>923</v>
      </c>
      <c r="H25" s="456">
        <v>2891727.0</v>
      </c>
      <c r="I25" s="456">
        <v>-52.99</v>
      </c>
      <c r="J25" s="456">
        <v>120488.63</v>
      </c>
      <c r="K25" s="456">
        <v>481954.5</v>
      </c>
      <c r="L25" s="456" t="s">
        <v>924</v>
      </c>
      <c r="M25" s="456">
        <v>0.76</v>
      </c>
      <c r="N25" s="456">
        <v>0.0</v>
      </c>
      <c r="O25" s="456">
        <v>0.0</v>
      </c>
      <c r="P25" s="456">
        <v>3.85</v>
      </c>
      <c r="Q25" s="456">
        <v>2.63</v>
      </c>
      <c r="R25" s="456">
        <v>68.27</v>
      </c>
      <c r="S25" s="456">
        <v>1452.4</v>
      </c>
      <c r="T25" s="456">
        <v>8.59</v>
      </c>
      <c r="U25" s="456">
        <v>5.0</v>
      </c>
      <c r="V25" s="456">
        <v>4.51</v>
      </c>
      <c r="W25" s="456">
        <v>1.0</v>
      </c>
    </row>
    <row r="26" ht="15.75" customHeight="1">
      <c r="A26" s="456">
        <v>1.69849321E8</v>
      </c>
      <c r="B26" s="457"/>
      <c r="C26" s="456">
        <v>1987.0</v>
      </c>
      <c r="D26" s="456">
        <v>9.38</v>
      </c>
      <c r="E26" s="456">
        <v>68.52</v>
      </c>
      <c r="F26" s="456">
        <v>68.52</v>
      </c>
      <c r="G26" s="456" t="s">
        <v>925</v>
      </c>
      <c r="H26" s="456">
        <v>2015560.0</v>
      </c>
      <c r="I26" s="456">
        <v>4.97</v>
      </c>
      <c r="J26" s="456">
        <v>69502.07</v>
      </c>
      <c r="K26" s="456">
        <v>69502.07</v>
      </c>
      <c r="L26" s="456" t="s">
        <v>926</v>
      </c>
      <c r="M26" s="456">
        <v>0.88</v>
      </c>
      <c r="N26" s="456">
        <v>58.0</v>
      </c>
      <c r="O26" s="456">
        <v>60088.0</v>
      </c>
      <c r="P26" s="456">
        <v>5.5</v>
      </c>
      <c r="Q26" s="456">
        <v>3.27</v>
      </c>
      <c r="R26" s="456">
        <v>59.39</v>
      </c>
      <c r="S26" s="456">
        <v>1014.37</v>
      </c>
      <c r="T26" s="456">
        <v>524.73</v>
      </c>
      <c r="U26" s="456">
        <v>12.6</v>
      </c>
      <c r="V26" s="456">
        <v>4.81</v>
      </c>
      <c r="W26" s="456">
        <v>1.0</v>
      </c>
    </row>
    <row r="27" ht="15.75" customHeight="1">
      <c r="A27" s="456">
        <v>1.74705582E8</v>
      </c>
      <c r="B27" s="457"/>
      <c r="C27" s="456">
        <v>1946.0</v>
      </c>
      <c r="D27" s="456">
        <v>24.19</v>
      </c>
      <c r="E27" s="456">
        <v>97.3</v>
      </c>
      <c r="F27" s="456">
        <v>875.7</v>
      </c>
      <c r="G27" s="456" t="s">
        <v>927</v>
      </c>
      <c r="H27" s="456">
        <v>1875834.0</v>
      </c>
      <c r="I27" s="456">
        <v>17.85</v>
      </c>
      <c r="J27" s="456">
        <v>93791.7</v>
      </c>
      <c r="K27" s="456">
        <v>844125.3</v>
      </c>
      <c r="L27" s="456" t="s">
        <v>928</v>
      </c>
      <c r="M27" s="456">
        <v>0.63</v>
      </c>
      <c r="N27" s="456">
        <v>56.0</v>
      </c>
      <c r="O27" s="456">
        <v>51688.0</v>
      </c>
      <c r="P27" s="456">
        <v>3.36</v>
      </c>
      <c r="Q27" s="456">
        <v>3.0</v>
      </c>
      <c r="R27" s="456">
        <v>89.19</v>
      </c>
      <c r="S27" s="456">
        <v>963.94</v>
      </c>
      <c r="T27" s="456">
        <v>903.0</v>
      </c>
      <c r="U27" s="456">
        <v>9.73</v>
      </c>
      <c r="V27" s="456">
        <v>4.7</v>
      </c>
      <c r="W27" s="456">
        <v>1.0</v>
      </c>
    </row>
    <row r="28" ht="15.75" customHeight="1">
      <c r="A28" s="456">
        <v>3.73197927E8</v>
      </c>
      <c r="B28" s="457"/>
      <c r="C28" s="456">
        <v>1938.0</v>
      </c>
      <c r="D28" s="456">
        <v>-54.61</v>
      </c>
      <c r="E28" s="456">
        <v>74.54</v>
      </c>
      <c r="F28" s="456">
        <v>149.08</v>
      </c>
      <c r="G28" s="456" t="s">
        <v>929</v>
      </c>
      <c r="H28" s="456">
        <v>2757892.0</v>
      </c>
      <c r="I28" s="456">
        <v>-60.13</v>
      </c>
      <c r="J28" s="456">
        <v>106072.77</v>
      </c>
      <c r="K28" s="456">
        <v>212145.53</v>
      </c>
      <c r="L28" s="456" t="s">
        <v>930</v>
      </c>
      <c r="M28" s="456">
        <v>0.79</v>
      </c>
      <c r="N28" s="456">
        <v>0.0</v>
      </c>
      <c r="O28" s="456">
        <v>0.0</v>
      </c>
      <c r="P28" s="456">
        <v>3.31</v>
      </c>
      <c r="Q28" s="456">
        <v>2.55</v>
      </c>
      <c r="R28" s="456">
        <v>77.08</v>
      </c>
      <c r="S28" s="456">
        <v>1423.06</v>
      </c>
      <c r="T28" s="456">
        <v>1220.21</v>
      </c>
      <c r="U28" s="456">
        <v>12.0</v>
      </c>
      <c r="V28" s="456">
        <v>4.8</v>
      </c>
      <c r="W28" s="456">
        <v>1.0</v>
      </c>
    </row>
    <row r="29" ht="15.75" customHeight="1">
      <c r="A29" s="456">
        <v>4.2323592E8</v>
      </c>
      <c r="B29" s="457"/>
      <c r="C29" s="456">
        <v>1858.0</v>
      </c>
      <c r="D29" s="456">
        <v>-61.34</v>
      </c>
      <c r="E29" s="456">
        <v>59.94</v>
      </c>
      <c r="F29" s="456">
        <v>0.0</v>
      </c>
      <c r="G29" s="456" t="s">
        <v>931</v>
      </c>
      <c r="H29" s="456">
        <v>3220176.0</v>
      </c>
      <c r="I29" s="456">
        <v>-62.96</v>
      </c>
      <c r="J29" s="456">
        <v>103876.65</v>
      </c>
      <c r="K29" s="456">
        <v>0.0</v>
      </c>
      <c r="L29" s="456" t="s">
        <v>932</v>
      </c>
      <c r="M29" s="456">
        <v>0.97</v>
      </c>
      <c r="N29" s="456">
        <v>58.0</v>
      </c>
      <c r="O29" s="456">
        <v>101326.0</v>
      </c>
      <c r="P29" s="456">
        <v>4.71</v>
      </c>
      <c r="Q29" s="456">
        <v>3.19</v>
      </c>
      <c r="R29" s="456">
        <v>67.81</v>
      </c>
      <c r="S29" s="456">
        <v>1733.14</v>
      </c>
      <c r="T29" s="456">
        <v>329.68</v>
      </c>
      <c r="U29" s="456">
        <v>10.0</v>
      </c>
      <c r="V29" s="456">
        <v>4.9</v>
      </c>
      <c r="W29" s="456">
        <v>1.0</v>
      </c>
    </row>
    <row r="30" ht="15.75" customHeight="1">
      <c r="A30" s="456">
        <v>5.34187121E8</v>
      </c>
      <c r="B30" s="457"/>
      <c r="C30" s="456">
        <v>1838.0</v>
      </c>
      <c r="D30" s="456">
        <v>-67.0</v>
      </c>
      <c r="E30" s="456">
        <v>76.58</v>
      </c>
      <c r="F30" s="456">
        <v>229.75</v>
      </c>
      <c r="G30" s="456" t="s">
        <v>933</v>
      </c>
      <c r="H30" s="456">
        <v>1908337.0</v>
      </c>
      <c r="I30" s="456">
        <v>-67.74</v>
      </c>
      <c r="J30" s="456">
        <v>79514.04</v>
      </c>
      <c r="K30" s="456">
        <v>238542.12</v>
      </c>
      <c r="L30" s="456" t="s">
        <v>934</v>
      </c>
      <c r="M30" s="456">
        <v>0.97</v>
      </c>
      <c r="N30" s="456">
        <v>64.0</v>
      </c>
      <c r="O30" s="456">
        <v>65536.0</v>
      </c>
      <c r="P30" s="456">
        <v>4.64</v>
      </c>
      <c r="Q30" s="456">
        <v>3.18</v>
      </c>
      <c r="R30" s="456">
        <v>68.46</v>
      </c>
      <c r="S30" s="456">
        <v>1038.27</v>
      </c>
      <c r="T30" s="456">
        <v>151.71</v>
      </c>
      <c r="U30" s="456">
        <v>11.0</v>
      </c>
      <c r="V30" s="456">
        <v>4.9</v>
      </c>
      <c r="W30" s="456">
        <v>1.0</v>
      </c>
    </row>
    <row r="31" ht="15.75" customHeight="1">
      <c r="A31" s="456">
        <v>2.12968875E8</v>
      </c>
      <c r="B31" s="457"/>
      <c r="C31" s="456">
        <v>1768.0</v>
      </c>
      <c r="D31" s="456">
        <v>-40.86</v>
      </c>
      <c r="E31" s="456">
        <v>73.67</v>
      </c>
      <c r="F31" s="456">
        <v>294.67</v>
      </c>
      <c r="G31" s="456" t="s">
        <v>935</v>
      </c>
      <c r="H31" s="456">
        <v>3131319.0</v>
      </c>
      <c r="I31" s="456">
        <v>-43.22</v>
      </c>
      <c r="J31" s="456">
        <v>130471.63</v>
      </c>
      <c r="K31" s="456">
        <v>521886.5</v>
      </c>
      <c r="L31" s="456" t="s">
        <v>936</v>
      </c>
      <c r="M31" s="456">
        <v>0.73</v>
      </c>
      <c r="N31" s="456">
        <v>0.0</v>
      </c>
      <c r="O31" s="456">
        <v>0.0</v>
      </c>
      <c r="P31" s="456">
        <v>4.26</v>
      </c>
      <c r="Q31" s="456">
        <v>3.15</v>
      </c>
      <c r="R31" s="456">
        <v>73.91</v>
      </c>
      <c r="S31" s="456">
        <v>1771.11</v>
      </c>
      <c r="T31" s="456">
        <v>507.89</v>
      </c>
      <c r="U31" s="456">
        <v>11.0</v>
      </c>
      <c r="V31" s="456">
        <v>4.9</v>
      </c>
      <c r="W31" s="456">
        <v>1.0</v>
      </c>
    </row>
    <row r="32" ht="15.75" customHeight="1">
      <c r="A32" s="456">
        <v>2.00004807E8</v>
      </c>
      <c r="B32" s="457"/>
      <c r="C32" s="456">
        <v>1666.0</v>
      </c>
      <c r="D32" s="456">
        <v>-47.99</v>
      </c>
      <c r="E32" s="456">
        <v>69.42</v>
      </c>
      <c r="F32" s="456">
        <v>138.83</v>
      </c>
      <c r="G32" s="456" t="s">
        <v>937</v>
      </c>
      <c r="H32" s="456">
        <v>1666261.0</v>
      </c>
      <c r="I32" s="456">
        <v>-50.58</v>
      </c>
      <c r="J32" s="456">
        <v>69427.54</v>
      </c>
      <c r="K32" s="456">
        <v>138855.08</v>
      </c>
      <c r="L32" s="456" t="s">
        <v>938</v>
      </c>
      <c r="M32" s="456">
        <v>0.84</v>
      </c>
      <c r="N32" s="456">
        <v>0.0</v>
      </c>
      <c r="O32" s="456">
        <v>0.0</v>
      </c>
      <c r="P32" s="456">
        <v>3.83</v>
      </c>
      <c r="Q32" s="456">
        <v>2.48</v>
      </c>
      <c r="R32" s="456">
        <v>64.86</v>
      </c>
      <c r="S32" s="456">
        <v>1000.16</v>
      </c>
      <c r="T32" s="456">
        <v>2225.69</v>
      </c>
      <c r="U32" s="456">
        <v>11.0</v>
      </c>
      <c r="V32" s="456">
        <v>4.8</v>
      </c>
      <c r="W32" s="456">
        <v>1.0</v>
      </c>
    </row>
    <row r="33" ht="15.75" customHeight="1">
      <c r="A33" s="456">
        <v>2.13410093E8</v>
      </c>
      <c r="B33" s="457"/>
      <c r="C33" s="456">
        <v>1578.0</v>
      </c>
      <c r="D33" s="456">
        <v>-45.14</v>
      </c>
      <c r="E33" s="456">
        <v>58.44</v>
      </c>
      <c r="F33" s="456">
        <v>116.89</v>
      </c>
      <c r="G33" s="456" t="s">
        <v>939</v>
      </c>
      <c r="H33" s="456">
        <v>3168145.0</v>
      </c>
      <c r="I33" s="456">
        <v>-47.27</v>
      </c>
      <c r="J33" s="456">
        <v>117338.7</v>
      </c>
      <c r="K33" s="456">
        <v>234677.4</v>
      </c>
      <c r="L33" s="456" t="s">
        <v>940</v>
      </c>
      <c r="M33" s="456">
        <v>0.92</v>
      </c>
      <c r="N33" s="456">
        <v>50.0</v>
      </c>
      <c r="O33" s="456">
        <v>101550.0</v>
      </c>
      <c r="P33" s="456">
        <v>3.72</v>
      </c>
      <c r="Q33" s="456">
        <v>2.41</v>
      </c>
      <c r="R33" s="456">
        <v>64.81</v>
      </c>
      <c r="S33" s="456">
        <v>2007.7</v>
      </c>
      <c r="T33" s="456">
        <v>1229.69</v>
      </c>
      <c r="U33" s="456">
        <v>10.0</v>
      </c>
      <c r="V33" s="456">
        <v>4.9</v>
      </c>
      <c r="W33" s="456">
        <v>1.0</v>
      </c>
    </row>
    <row r="34" ht="15.75" customHeight="1">
      <c r="A34" s="456">
        <v>3.06783262E8</v>
      </c>
      <c r="B34" s="457"/>
      <c r="C34" s="456">
        <v>1554.0</v>
      </c>
      <c r="D34" s="456">
        <v>-46.14</v>
      </c>
      <c r="E34" s="456">
        <v>64.75</v>
      </c>
      <c r="F34" s="456">
        <v>323.75</v>
      </c>
      <c r="G34" s="456" t="s">
        <v>941</v>
      </c>
      <c r="H34" s="456">
        <v>1926010.0</v>
      </c>
      <c r="I34" s="456">
        <v>-47.9</v>
      </c>
      <c r="J34" s="456">
        <v>80250.41</v>
      </c>
      <c r="K34" s="456">
        <v>401252.1</v>
      </c>
      <c r="L34" s="456" t="s">
        <v>942</v>
      </c>
      <c r="M34" s="456">
        <v>1.04</v>
      </c>
      <c r="N34" s="456">
        <v>0.0</v>
      </c>
      <c r="O34" s="456">
        <v>0.0</v>
      </c>
      <c r="P34" s="456">
        <v>2.54</v>
      </c>
      <c r="Q34" s="456">
        <v>1.85</v>
      </c>
      <c r="R34" s="456">
        <v>72.73</v>
      </c>
      <c r="S34" s="456">
        <v>1239.39</v>
      </c>
      <c r="T34" s="456">
        <v>743.62</v>
      </c>
      <c r="U34" s="456">
        <v>6.0</v>
      </c>
      <c r="V34" s="456">
        <v>4.8</v>
      </c>
      <c r="W34" s="456">
        <v>1.0</v>
      </c>
    </row>
    <row r="35" ht="15.75" customHeight="1">
      <c r="A35" s="456">
        <v>2.39908055E8</v>
      </c>
      <c r="B35" s="457"/>
      <c r="C35" s="456">
        <v>1530.0</v>
      </c>
      <c r="D35" s="456">
        <v>-44.83</v>
      </c>
      <c r="E35" s="456">
        <v>63.75</v>
      </c>
      <c r="F35" s="456">
        <v>127.5</v>
      </c>
      <c r="G35" s="456" t="s">
        <v>943</v>
      </c>
      <c r="H35" s="456">
        <v>1666108.0</v>
      </c>
      <c r="I35" s="456">
        <v>-47.97</v>
      </c>
      <c r="J35" s="456">
        <v>69421.16</v>
      </c>
      <c r="K35" s="456">
        <v>138842.33</v>
      </c>
      <c r="L35" s="456" t="s">
        <v>944</v>
      </c>
      <c r="M35" s="456">
        <v>0.91</v>
      </c>
      <c r="N35" s="456">
        <v>0.0</v>
      </c>
      <c r="O35" s="456">
        <v>0.0</v>
      </c>
      <c r="P35" s="456">
        <v>4.69</v>
      </c>
      <c r="Q35" s="456">
        <v>1.66</v>
      </c>
      <c r="R35" s="456">
        <v>35.29</v>
      </c>
      <c r="S35" s="456">
        <v>1088.96</v>
      </c>
      <c r="T35" s="456">
        <v>300.72</v>
      </c>
      <c r="U35" s="456">
        <v>8.0</v>
      </c>
      <c r="V35" s="456">
        <v>4.63</v>
      </c>
      <c r="W35" s="456">
        <v>1.0</v>
      </c>
    </row>
    <row r="36" ht="15.75" customHeight="1">
      <c r="A36" s="456">
        <v>2.49264085E8</v>
      </c>
      <c r="B36" s="457"/>
      <c r="C36" s="456">
        <v>1527.0</v>
      </c>
      <c r="D36" s="456">
        <v>-45.29</v>
      </c>
      <c r="E36" s="456">
        <v>63.63</v>
      </c>
      <c r="F36" s="456">
        <v>190.88</v>
      </c>
      <c r="G36" s="456" t="s">
        <v>945</v>
      </c>
      <c r="H36" s="456">
        <v>2176804.0</v>
      </c>
      <c r="I36" s="456">
        <v>-47.19</v>
      </c>
      <c r="J36" s="456">
        <v>90700.16</v>
      </c>
      <c r="K36" s="456">
        <v>272100.5</v>
      </c>
      <c r="L36" s="456" t="s">
        <v>946</v>
      </c>
      <c r="M36" s="456">
        <v>0.97</v>
      </c>
      <c r="N36" s="456">
        <v>53.0</v>
      </c>
      <c r="O36" s="456">
        <v>78387.0</v>
      </c>
      <c r="P36" s="456">
        <v>3.25</v>
      </c>
      <c r="Q36" s="456">
        <v>1.89</v>
      </c>
      <c r="R36" s="456">
        <v>58.24</v>
      </c>
      <c r="S36" s="456">
        <v>1425.54</v>
      </c>
      <c r="T36" s="456">
        <v>1352.11</v>
      </c>
      <c r="U36" s="456">
        <v>15.0</v>
      </c>
      <c r="V36" s="456">
        <v>4.8</v>
      </c>
      <c r="W36" s="456">
        <v>1.0</v>
      </c>
    </row>
    <row r="37" ht="15.75" customHeight="1">
      <c r="A37" s="456">
        <v>2.78737519E8</v>
      </c>
      <c r="B37" s="457"/>
      <c r="C37" s="456">
        <v>1520.0</v>
      </c>
      <c r="D37" s="456">
        <v>-41.0</v>
      </c>
      <c r="E37" s="456">
        <v>63.33</v>
      </c>
      <c r="F37" s="456">
        <v>190.0</v>
      </c>
      <c r="G37" s="456" t="s">
        <v>947</v>
      </c>
      <c r="H37" s="456">
        <v>2154452.0</v>
      </c>
      <c r="I37" s="456">
        <v>-42.29</v>
      </c>
      <c r="J37" s="456">
        <v>89768.84</v>
      </c>
      <c r="K37" s="456">
        <v>269306.5</v>
      </c>
      <c r="L37" s="456" t="s">
        <v>948</v>
      </c>
      <c r="M37" s="456">
        <v>1.27</v>
      </c>
      <c r="N37" s="456">
        <v>0.0</v>
      </c>
      <c r="O37" s="456">
        <v>0.0</v>
      </c>
      <c r="P37" s="456">
        <v>2.25</v>
      </c>
      <c r="Q37" s="456">
        <v>1.71</v>
      </c>
      <c r="R37" s="456">
        <v>76.19</v>
      </c>
      <c r="S37" s="456">
        <v>1417.4</v>
      </c>
      <c r="T37" s="456">
        <v>63.96</v>
      </c>
      <c r="U37" s="456">
        <v>8.0</v>
      </c>
      <c r="V37" s="456">
        <v>4.7</v>
      </c>
      <c r="W37" s="456">
        <v>1.0</v>
      </c>
    </row>
    <row r="38" ht="15.75" customHeight="1">
      <c r="A38" s="456">
        <v>3.11890519E8</v>
      </c>
      <c r="B38" s="457"/>
      <c r="C38" s="456">
        <v>1516.0</v>
      </c>
      <c r="D38" s="456">
        <v>-47.18</v>
      </c>
      <c r="E38" s="456">
        <v>63.17</v>
      </c>
      <c r="F38" s="456">
        <v>315.83</v>
      </c>
      <c r="G38" s="456" t="s">
        <v>949</v>
      </c>
      <c r="H38" s="456">
        <v>2122230.0</v>
      </c>
      <c r="I38" s="456">
        <v>-52.44</v>
      </c>
      <c r="J38" s="456">
        <v>88426.25</v>
      </c>
      <c r="K38" s="456">
        <v>442131.25</v>
      </c>
      <c r="L38" s="456" t="s">
        <v>950</v>
      </c>
      <c r="M38" s="456">
        <v>0.69</v>
      </c>
      <c r="N38" s="456">
        <v>0.0</v>
      </c>
      <c r="O38" s="456">
        <v>0.0</v>
      </c>
      <c r="P38" s="456">
        <v>2.73</v>
      </c>
      <c r="Q38" s="456">
        <v>1.85</v>
      </c>
      <c r="R38" s="456">
        <v>67.61</v>
      </c>
      <c r="S38" s="456">
        <v>1399.89</v>
      </c>
      <c r="T38" s="456">
        <v>2117.88</v>
      </c>
      <c r="U38" s="456">
        <v>12.0</v>
      </c>
      <c r="V38" s="456">
        <v>4.8</v>
      </c>
      <c r="W38" s="456">
        <v>1.0</v>
      </c>
    </row>
    <row r="39" ht="15.75" customHeight="1">
      <c r="A39" s="456">
        <v>2.25287786E8</v>
      </c>
      <c r="B39" s="457"/>
      <c r="C39" s="456">
        <v>1503.0</v>
      </c>
      <c r="D39" s="456">
        <v>-30.93</v>
      </c>
      <c r="E39" s="456">
        <v>60.12</v>
      </c>
      <c r="F39" s="456">
        <v>240.48</v>
      </c>
      <c r="G39" s="456" t="s">
        <v>951</v>
      </c>
      <c r="H39" s="456">
        <v>1808798.0</v>
      </c>
      <c r="I39" s="456">
        <v>-33.99</v>
      </c>
      <c r="J39" s="456">
        <v>72351.92</v>
      </c>
      <c r="K39" s="456">
        <v>289407.7</v>
      </c>
      <c r="L39" s="456" t="s">
        <v>952</v>
      </c>
      <c r="M39" s="456">
        <v>0.65</v>
      </c>
      <c r="N39" s="456">
        <v>0.0</v>
      </c>
      <c r="O39" s="456">
        <v>0.0</v>
      </c>
      <c r="P39" s="456">
        <v>3.7</v>
      </c>
      <c r="Q39" s="456">
        <v>2.33</v>
      </c>
      <c r="R39" s="456">
        <v>63.0</v>
      </c>
      <c r="S39" s="456">
        <v>1203.46</v>
      </c>
      <c r="T39" s="456">
        <v>522.59</v>
      </c>
      <c r="U39" s="456">
        <v>14.0</v>
      </c>
      <c r="V39" s="456">
        <v>4.8</v>
      </c>
      <c r="W39" s="456">
        <v>1.0</v>
      </c>
    </row>
    <row r="40" ht="15.75" customHeight="1">
      <c r="A40" s="456">
        <v>2.78740378E8</v>
      </c>
      <c r="B40" s="457"/>
      <c r="C40" s="456">
        <v>1496.0</v>
      </c>
      <c r="D40" s="456">
        <v>-38.79</v>
      </c>
      <c r="E40" s="456">
        <v>62.33</v>
      </c>
      <c r="F40" s="456">
        <v>249.33</v>
      </c>
      <c r="G40" s="456" t="s">
        <v>953</v>
      </c>
      <c r="H40" s="456">
        <v>2242608.0</v>
      </c>
      <c r="I40" s="456">
        <v>-39.37</v>
      </c>
      <c r="J40" s="456">
        <v>93442.0</v>
      </c>
      <c r="K40" s="456">
        <v>373768.0</v>
      </c>
      <c r="L40" s="456" t="s">
        <v>954</v>
      </c>
      <c r="M40" s="456">
        <v>1.23</v>
      </c>
      <c r="N40" s="456">
        <v>0.0</v>
      </c>
      <c r="O40" s="456">
        <v>0.0</v>
      </c>
      <c r="P40" s="456">
        <v>2.44</v>
      </c>
      <c r="Q40" s="456">
        <v>1.78</v>
      </c>
      <c r="R40" s="456">
        <v>72.73</v>
      </c>
      <c r="S40" s="456">
        <v>1499.07</v>
      </c>
      <c r="T40" s="456">
        <v>67.48</v>
      </c>
      <c r="U40" s="456">
        <v>8.0</v>
      </c>
      <c r="V40" s="456">
        <v>4.75</v>
      </c>
      <c r="W40" s="456">
        <v>1.0</v>
      </c>
    </row>
    <row r="41" ht="15.75" customHeight="1">
      <c r="A41" s="456">
        <v>1.84531101E8</v>
      </c>
      <c r="B41" s="457"/>
      <c r="C41" s="456">
        <v>1474.0</v>
      </c>
      <c r="D41" s="456">
        <v>-27.6</v>
      </c>
      <c r="E41" s="456">
        <v>58.96</v>
      </c>
      <c r="F41" s="456">
        <v>235.84</v>
      </c>
      <c r="G41" s="456" t="s">
        <v>955</v>
      </c>
      <c r="H41" s="456">
        <v>1476351.0</v>
      </c>
      <c r="I41" s="456">
        <v>-30.55</v>
      </c>
      <c r="J41" s="456">
        <v>59054.04</v>
      </c>
      <c r="K41" s="456">
        <v>236216.16</v>
      </c>
      <c r="L41" s="456" t="s">
        <v>956</v>
      </c>
      <c r="M41" s="456">
        <v>0.79</v>
      </c>
      <c r="N41" s="456">
        <v>43.0</v>
      </c>
      <c r="O41" s="456">
        <v>43344.0</v>
      </c>
      <c r="P41" s="456">
        <v>3.33</v>
      </c>
      <c r="Q41" s="456">
        <v>1.96</v>
      </c>
      <c r="R41" s="456">
        <v>58.89</v>
      </c>
      <c r="S41" s="456">
        <v>1001.6</v>
      </c>
      <c r="T41" s="456">
        <v>2224.48</v>
      </c>
      <c r="U41" s="456">
        <v>9.0</v>
      </c>
      <c r="V41" s="456">
        <v>4.8</v>
      </c>
      <c r="W41" s="456">
        <v>1.0</v>
      </c>
    </row>
    <row r="42" ht="15.75" customHeight="1">
      <c r="A42" s="456">
        <v>2.30081395E8</v>
      </c>
      <c r="B42" s="457"/>
      <c r="C42" s="456">
        <v>1468.0</v>
      </c>
      <c r="D42" s="456">
        <v>-51.42</v>
      </c>
      <c r="E42" s="456">
        <v>61.17</v>
      </c>
      <c r="F42" s="456">
        <v>183.5</v>
      </c>
      <c r="G42" s="456" t="s">
        <v>957</v>
      </c>
      <c r="H42" s="456">
        <v>1746288.0</v>
      </c>
      <c r="I42" s="456">
        <v>-50.96</v>
      </c>
      <c r="J42" s="456">
        <v>72762.0</v>
      </c>
      <c r="K42" s="456">
        <v>218286.0</v>
      </c>
      <c r="L42" s="456" t="s">
        <v>958</v>
      </c>
      <c r="M42" s="456">
        <v>1.01</v>
      </c>
      <c r="N42" s="456">
        <v>53.0</v>
      </c>
      <c r="O42" s="456">
        <v>61427.0</v>
      </c>
      <c r="P42" s="456">
        <v>2.25</v>
      </c>
      <c r="Q42" s="456">
        <v>1.71</v>
      </c>
      <c r="R42" s="456">
        <v>76.19</v>
      </c>
      <c r="S42" s="456">
        <v>1189.57</v>
      </c>
      <c r="T42" s="456">
        <v>380.86</v>
      </c>
      <c r="U42" s="456">
        <v>12.0</v>
      </c>
      <c r="V42" s="456">
        <v>4.7</v>
      </c>
      <c r="W42" s="456">
        <v>1.0</v>
      </c>
    </row>
    <row r="43" ht="15.75" customHeight="1">
      <c r="A43" s="456">
        <v>2.41710786E8</v>
      </c>
      <c r="B43" s="457"/>
      <c r="C43" s="456">
        <v>1463.0</v>
      </c>
      <c r="D43" s="456">
        <v>-32.61</v>
      </c>
      <c r="E43" s="456">
        <v>60.96</v>
      </c>
      <c r="F43" s="456">
        <v>304.79</v>
      </c>
      <c r="G43" s="456" t="s">
        <v>959</v>
      </c>
      <c r="H43" s="456">
        <v>2398674.0</v>
      </c>
      <c r="I43" s="456">
        <v>-35.15</v>
      </c>
      <c r="J43" s="456">
        <v>99944.75</v>
      </c>
      <c r="K43" s="456">
        <v>499723.75</v>
      </c>
      <c r="L43" s="456" t="s">
        <v>960</v>
      </c>
      <c r="M43" s="456">
        <v>0.75</v>
      </c>
      <c r="N43" s="456">
        <v>0.0</v>
      </c>
      <c r="O43" s="456">
        <v>0.0</v>
      </c>
      <c r="P43" s="456">
        <v>4.27</v>
      </c>
      <c r="Q43" s="456">
        <v>2.73</v>
      </c>
      <c r="R43" s="456">
        <v>63.96</v>
      </c>
      <c r="S43" s="456">
        <v>1639.56</v>
      </c>
      <c r="T43" s="456">
        <v>1278.42</v>
      </c>
      <c r="U43" s="456">
        <v>13.0</v>
      </c>
      <c r="V43" s="456">
        <v>4.8</v>
      </c>
      <c r="W43" s="456">
        <v>1.0</v>
      </c>
    </row>
    <row r="44" ht="15.75" customHeight="1">
      <c r="A44" s="456">
        <v>3.80715115E8</v>
      </c>
      <c r="B44" s="457"/>
      <c r="C44" s="456">
        <v>1461.0</v>
      </c>
      <c r="D44" s="456">
        <v>-39.1</v>
      </c>
      <c r="E44" s="456">
        <v>60.88</v>
      </c>
      <c r="F44" s="456">
        <v>243.5</v>
      </c>
      <c r="G44" s="456" t="s">
        <v>961</v>
      </c>
      <c r="H44" s="456">
        <v>1802945.0</v>
      </c>
      <c r="I44" s="456">
        <v>-47.28</v>
      </c>
      <c r="J44" s="456">
        <v>75122.71</v>
      </c>
      <c r="K44" s="456">
        <v>300490.84</v>
      </c>
      <c r="L44" s="456" t="s">
        <v>962</v>
      </c>
      <c r="M44" s="456">
        <v>0.02</v>
      </c>
      <c r="N44" s="456">
        <v>0.0</v>
      </c>
      <c r="O44" s="456">
        <v>0.0</v>
      </c>
      <c r="P44" s="456">
        <v>2.48</v>
      </c>
      <c r="Q44" s="456">
        <v>1.81</v>
      </c>
      <c r="R44" s="456">
        <v>73.13</v>
      </c>
      <c r="S44" s="456">
        <v>1234.05</v>
      </c>
      <c r="T44" s="456">
        <v>15.78</v>
      </c>
      <c r="U44" s="456">
        <v>4.0</v>
      </c>
      <c r="V44" s="456">
        <v>4.47</v>
      </c>
      <c r="W44" s="456">
        <v>1.0</v>
      </c>
    </row>
    <row r="45" ht="15.75" customHeight="1">
      <c r="A45" s="456">
        <v>3.33614809E8</v>
      </c>
      <c r="B45" s="457"/>
      <c r="C45" s="456">
        <v>1447.0</v>
      </c>
      <c r="D45" s="456">
        <v>-39.93</v>
      </c>
      <c r="E45" s="456">
        <v>57.88</v>
      </c>
      <c r="F45" s="456">
        <v>173.64</v>
      </c>
      <c r="G45" s="456" t="s">
        <v>963</v>
      </c>
      <c r="H45" s="456">
        <v>1981029.0</v>
      </c>
      <c r="I45" s="456">
        <v>-43.4</v>
      </c>
      <c r="J45" s="456">
        <v>79241.16</v>
      </c>
      <c r="K45" s="456">
        <v>237723.48</v>
      </c>
      <c r="L45" s="456" t="s">
        <v>964</v>
      </c>
      <c r="M45" s="456">
        <v>1.16</v>
      </c>
      <c r="N45" s="456">
        <v>0.0</v>
      </c>
      <c r="O45" s="456">
        <v>0.0</v>
      </c>
      <c r="P45" s="456">
        <v>3.0</v>
      </c>
      <c r="Q45" s="456">
        <v>1.86</v>
      </c>
      <c r="R45" s="456">
        <v>61.9</v>
      </c>
      <c r="S45" s="456">
        <v>1369.06</v>
      </c>
      <c r="T45" s="456">
        <v>1351.57</v>
      </c>
      <c r="U45" s="456">
        <v>9.0</v>
      </c>
      <c r="V45" s="456">
        <v>4.8</v>
      </c>
      <c r="W45" s="456">
        <v>1.0</v>
      </c>
    </row>
    <row r="46" ht="15.75" customHeight="1">
      <c r="A46" s="456">
        <v>1.99216196E8</v>
      </c>
      <c r="B46" s="457"/>
      <c r="C46" s="456">
        <v>1439.0</v>
      </c>
      <c r="D46" s="456">
        <v>-40.11</v>
      </c>
      <c r="E46" s="456">
        <v>59.96</v>
      </c>
      <c r="F46" s="456">
        <v>239.83</v>
      </c>
      <c r="G46" s="456" t="s">
        <v>965</v>
      </c>
      <c r="H46" s="456">
        <v>1477928.0</v>
      </c>
      <c r="I46" s="456">
        <v>-42.69</v>
      </c>
      <c r="J46" s="456">
        <v>61580.33</v>
      </c>
      <c r="K46" s="456">
        <v>246321.33</v>
      </c>
      <c r="L46" s="456" t="s">
        <v>966</v>
      </c>
      <c r="M46" s="456">
        <v>1.29</v>
      </c>
      <c r="N46" s="456">
        <v>0.0</v>
      </c>
      <c r="O46" s="456">
        <v>0.0</v>
      </c>
      <c r="P46" s="456">
        <v>2.89</v>
      </c>
      <c r="Q46" s="456">
        <v>1.81</v>
      </c>
      <c r="R46" s="456">
        <v>62.82</v>
      </c>
      <c r="S46" s="456">
        <v>1027.05</v>
      </c>
      <c r="T46" s="456">
        <v>2224.07</v>
      </c>
      <c r="U46" s="456">
        <v>11.0</v>
      </c>
      <c r="V46" s="456">
        <v>4.8</v>
      </c>
      <c r="W46" s="456">
        <v>1.0</v>
      </c>
    </row>
    <row r="47" ht="15.75" customHeight="1">
      <c r="A47" s="456">
        <v>2.10506128E8</v>
      </c>
      <c r="B47" s="457"/>
      <c r="C47" s="456">
        <v>1437.0</v>
      </c>
      <c r="D47" s="456">
        <v>-45.82</v>
      </c>
      <c r="E47" s="456">
        <v>59.88</v>
      </c>
      <c r="F47" s="456">
        <v>299.38</v>
      </c>
      <c r="G47" s="456" t="s">
        <v>967</v>
      </c>
      <c r="H47" s="456">
        <v>2082304.0</v>
      </c>
      <c r="I47" s="456">
        <v>-48.14</v>
      </c>
      <c r="J47" s="456">
        <v>86762.66</v>
      </c>
      <c r="K47" s="456">
        <v>433813.34</v>
      </c>
      <c r="L47" s="456" t="s">
        <v>968</v>
      </c>
      <c r="M47" s="456">
        <v>1.25</v>
      </c>
      <c r="N47" s="456">
        <v>0.0</v>
      </c>
      <c r="O47" s="456">
        <v>0.0</v>
      </c>
      <c r="P47" s="456">
        <v>3.08</v>
      </c>
      <c r="Q47" s="456">
        <v>2.15</v>
      </c>
      <c r="R47" s="456">
        <v>70.0</v>
      </c>
      <c r="S47" s="456">
        <v>1449.06</v>
      </c>
      <c r="T47" s="456">
        <v>1350.35</v>
      </c>
      <c r="U47" s="456">
        <v>10.0</v>
      </c>
      <c r="V47" s="456">
        <v>4.8</v>
      </c>
      <c r="W47" s="456">
        <v>1.0</v>
      </c>
    </row>
    <row r="48" ht="15.75" customHeight="1">
      <c r="A48" s="456">
        <v>4.40885018E8</v>
      </c>
      <c r="B48" s="457"/>
      <c r="C48" s="456">
        <v>1428.0</v>
      </c>
      <c r="D48" s="456">
        <v>-42.04</v>
      </c>
      <c r="E48" s="456">
        <v>59.5</v>
      </c>
      <c r="F48" s="456">
        <v>178.5</v>
      </c>
      <c r="G48" s="456" t="s">
        <v>969</v>
      </c>
      <c r="H48" s="456">
        <v>2245614.0</v>
      </c>
      <c r="I48" s="456">
        <v>-44.31</v>
      </c>
      <c r="J48" s="456">
        <v>93567.25</v>
      </c>
      <c r="K48" s="456">
        <v>280701.75</v>
      </c>
      <c r="L48" s="456" t="s">
        <v>970</v>
      </c>
      <c r="M48" s="456">
        <v>1.16</v>
      </c>
      <c r="N48" s="456">
        <v>0.0</v>
      </c>
      <c r="O48" s="456">
        <v>0.0</v>
      </c>
      <c r="P48" s="456">
        <v>2.0</v>
      </c>
      <c r="Q48" s="456">
        <v>1.71</v>
      </c>
      <c r="R48" s="456">
        <v>85.71</v>
      </c>
      <c r="S48" s="456">
        <v>1572.56</v>
      </c>
      <c r="T48" s="456">
        <v>21.93</v>
      </c>
      <c r="U48" s="456">
        <v>4.0</v>
      </c>
      <c r="V48" s="456">
        <v>4.8</v>
      </c>
      <c r="W48" s="456">
        <v>1.0</v>
      </c>
    </row>
    <row r="49" ht="15.75" customHeight="1">
      <c r="A49" s="456">
        <v>2.35228084E8</v>
      </c>
      <c r="B49" s="457"/>
      <c r="C49" s="456">
        <v>1417.0</v>
      </c>
      <c r="D49" s="456">
        <v>-51.31</v>
      </c>
      <c r="E49" s="456">
        <v>59.04</v>
      </c>
      <c r="F49" s="456">
        <v>118.08</v>
      </c>
      <c r="G49" s="456" t="s">
        <v>971</v>
      </c>
      <c r="H49" s="456">
        <v>2119711.0</v>
      </c>
      <c r="I49" s="456">
        <v>-53.22</v>
      </c>
      <c r="J49" s="456">
        <v>88321.29</v>
      </c>
      <c r="K49" s="456">
        <v>176642.58</v>
      </c>
      <c r="L49" s="456" t="s">
        <v>972</v>
      </c>
      <c r="M49" s="456">
        <v>1.0</v>
      </c>
      <c r="N49" s="456">
        <v>49.0</v>
      </c>
      <c r="O49" s="456">
        <v>73500.0</v>
      </c>
      <c r="P49" s="456">
        <v>2.93</v>
      </c>
      <c r="Q49" s="456">
        <v>1.79</v>
      </c>
      <c r="R49" s="456">
        <v>61.18</v>
      </c>
      <c r="S49" s="456">
        <v>1495.91</v>
      </c>
      <c r="T49" s="456">
        <v>386.72</v>
      </c>
      <c r="U49" s="456">
        <v>5.0</v>
      </c>
      <c r="V49" s="456">
        <v>4.79</v>
      </c>
      <c r="W49" s="456">
        <v>1.0</v>
      </c>
    </row>
    <row r="50" ht="15.75" customHeight="1">
      <c r="A50" s="456">
        <v>4.41228188E8</v>
      </c>
      <c r="B50" s="457"/>
      <c r="C50" s="456">
        <v>1416.0</v>
      </c>
      <c r="D50" s="456">
        <v>-32.62</v>
      </c>
      <c r="E50" s="456">
        <v>59.0</v>
      </c>
      <c r="F50" s="456">
        <v>118.0</v>
      </c>
      <c r="G50" s="456" t="s">
        <v>973</v>
      </c>
      <c r="H50" s="456">
        <v>1873230.0</v>
      </c>
      <c r="I50" s="456">
        <v>-34.87</v>
      </c>
      <c r="J50" s="456">
        <v>78051.25</v>
      </c>
      <c r="K50" s="456">
        <v>156102.5</v>
      </c>
      <c r="L50" s="456" t="s">
        <v>974</v>
      </c>
      <c r="M50" s="456">
        <v>1.02</v>
      </c>
      <c r="N50" s="456">
        <v>50.0</v>
      </c>
      <c r="O50" s="456">
        <v>66950.0</v>
      </c>
      <c r="P50" s="456">
        <v>2.45</v>
      </c>
      <c r="Q50" s="456">
        <v>1.66</v>
      </c>
      <c r="R50" s="456">
        <v>67.61</v>
      </c>
      <c r="S50" s="456">
        <v>1322.9</v>
      </c>
      <c r="T50" s="456">
        <v>97.66</v>
      </c>
      <c r="U50" s="456">
        <v>5.0</v>
      </c>
      <c r="V50" s="456">
        <v>4.9</v>
      </c>
      <c r="W50" s="456">
        <v>1.0</v>
      </c>
    </row>
    <row r="51" ht="15.75" customHeight="1">
      <c r="A51" s="456">
        <v>8.24806079E8</v>
      </c>
      <c r="B51" s="457"/>
      <c r="C51" s="456">
        <v>1413.0</v>
      </c>
      <c r="D51" s="456">
        <v>-53.73</v>
      </c>
      <c r="E51" s="456">
        <v>58.88</v>
      </c>
      <c r="F51" s="456">
        <v>176.63</v>
      </c>
      <c r="G51" s="456" t="s">
        <v>975</v>
      </c>
      <c r="H51" s="456">
        <v>1757175.0</v>
      </c>
      <c r="I51" s="456">
        <v>-57.0</v>
      </c>
      <c r="J51" s="456">
        <v>73215.63</v>
      </c>
      <c r="K51" s="456">
        <v>219646.88</v>
      </c>
      <c r="L51" s="456" t="s">
        <v>976</v>
      </c>
      <c r="M51" s="456">
        <v>1.27</v>
      </c>
      <c r="N51" s="456">
        <v>0.0</v>
      </c>
      <c r="O51" s="456">
        <v>0.0</v>
      </c>
      <c r="P51" s="456">
        <v>3.14</v>
      </c>
      <c r="Q51" s="456">
        <v>2.57</v>
      </c>
      <c r="R51" s="456">
        <v>81.82</v>
      </c>
      <c r="S51" s="456">
        <v>1243.58</v>
      </c>
      <c r="T51" s="456">
        <v>2.0</v>
      </c>
      <c r="U51" s="456">
        <v>5.0</v>
      </c>
      <c r="V51" s="456">
        <v>5.0</v>
      </c>
      <c r="W51" s="456">
        <v>1.0</v>
      </c>
    </row>
    <row r="52" ht="15.75" customHeight="1">
      <c r="A52" s="456">
        <v>5.77356162E8</v>
      </c>
      <c r="B52" s="457"/>
      <c r="C52" s="456">
        <v>1400.0</v>
      </c>
      <c r="D52" s="456">
        <v>-22.56</v>
      </c>
      <c r="E52" s="456">
        <v>45.16</v>
      </c>
      <c r="F52" s="456">
        <v>0.0</v>
      </c>
      <c r="G52" s="456" t="s">
        <v>977</v>
      </c>
      <c r="H52" s="456">
        <v>1337362.0</v>
      </c>
      <c r="I52" s="456">
        <v>-30.95</v>
      </c>
      <c r="J52" s="456">
        <v>43140.71</v>
      </c>
      <c r="K52" s="456">
        <v>0.0</v>
      </c>
      <c r="L52" s="456" t="s">
        <v>978</v>
      </c>
      <c r="M52" s="456">
        <v>1.11</v>
      </c>
      <c r="N52" s="456">
        <v>50.0</v>
      </c>
      <c r="O52" s="456">
        <v>49914.29</v>
      </c>
      <c r="P52" s="456">
        <v>6.23</v>
      </c>
      <c r="Q52" s="456">
        <v>4.35</v>
      </c>
      <c r="R52" s="456">
        <v>69.95</v>
      </c>
      <c r="S52" s="456">
        <v>955.26</v>
      </c>
      <c r="T52" s="456">
        <v>81.06</v>
      </c>
      <c r="U52" s="456">
        <v>10.0</v>
      </c>
      <c r="V52" s="456">
        <v>4.9</v>
      </c>
      <c r="W52" s="456">
        <v>1.0</v>
      </c>
    </row>
    <row r="53" ht="15.75" customHeight="1">
      <c r="A53" s="456">
        <v>3.99187363E8</v>
      </c>
      <c r="B53" s="457"/>
      <c r="C53" s="456">
        <v>1392.0</v>
      </c>
      <c r="D53" s="456">
        <v>-46.36</v>
      </c>
      <c r="E53" s="456">
        <v>58.0</v>
      </c>
      <c r="F53" s="456">
        <v>232.0</v>
      </c>
      <c r="G53" s="456" t="s">
        <v>979</v>
      </c>
      <c r="H53" s="456">
        <v>1490908.0</v>
      </c>
      <c r="I53" s="456">
        <v>-45.56</v>
      </c>
      <c r="J53" s="456">
        <v>62121.17</v>
      </c>
      <c r="K53" s="456">
        <v>248484.67</v>
      </c>
      <c r="L53" s="456" t="s">
        <v>980</v>
      </c>
      <c r="M53" s="456">
        <v>1.34</v>
      </c>
      <c r="N53" s="456">
        <v>0.0</v>
      </c>
      <c r="O53" s="456">
        <v>0.0</v>
      </c>
      <c r="P53" s="456">
        <v>3.52</v>
      </c>
      <c r="Q53" s="456">
        <v>1.78</v>
      </c>
      <c r="R53" s="456">
        <v>50.53</v>
      </c>
      <c r="S53" s="456">
        <v>1071.05</v>
      </c>
      <c r="T53" s="456">
        <v>89.67</v>
      </c>
      <c r="U53" s="456">
        <v>5.0</v>
      </c>
      <c r="V53" s="456">
        <v>4.8</v>
      </c>
      <c r="W53" s="456">
        <v>1.0</v>
      </c>
    </row>
    <row r="54" ht="15.75" customHeight="1">
      <c r="A54" s="456">
        <v>5.34192076E8</v>
      </c>
      <c r="B54" s="457"/>
      <c r="C54" s="456">
        <v>1391.0</v>
      </c>
      <c r="D54" s="456">
        <v>-19.58</v>
      </c>
      <c r="E54" s="456">
        <v>57.96</v>
      </c>
      <c r="F54" s="456">
        <v>173.88</v>
      </c>
      <c r="G54" s="456" t="s">
        <v>981</v>
      </c>
      <c r="H54" s="456">
        <v>1349975.0</v>
      </c>
      <c r="I54" s="456">
        <v>-18.38</v>
      </c>
      <c r="J54" s="456">
        <v>56248.96</v>
      </c>
      <c r="K54" s="456">
        <v>168746.88</v>
      </c>
      <c r="L54" s="456" t="s">
        <v>982</v>
      </c>
      <c r="M54" s="456">
        <v>0.89</v>
      </c>
      <c r="N54" s="456">
        <v>0.0</v>
      </c>
      <c r="O54" s="456">
        <v>0.0</v>
      </c>
      <c r="P54" s="456">
        <v>5.36</v>
      </c>
      <c r="Q54" s="456">
        <v>3.25</v>
      </c>
      <c r="R54" s="456">
        <v>60.67</v>
      </c>
      <c r="S54" s="456">
        <v>970.51</v>
      </c>
      <c r="T54" s="456">
        <v>55.5</v>
      </c>
      <c r="U54" s="456">
        <v>11.0</v>
      </c>
      <c r="V54" s="456">
        <v>4.9</v>
      </c>
      <c r="W54" s="456">
        <v>1.0</v>
      </c>
    </row>
    <row r="55" ht="15.75" customHeight="1">
      <c r="A55" s="456">
        <v>2.12968865E8</v>
      </c>
      <c r="B55" s="457"/>
      <c r="C55" s="456">
        <v>1358.0</v>
      </c>
      <c r="D55" s="456">
        <v>-40.61</v>
      </c>
      <c r="E55" s="456">
        <v>52.23</v>
      </c>
      <c r="F55" s="456">
        <v>156.69</v>
      </c>
      <c r="G55" s="456" t="s">
        <v>983</v>
      </c>
      <c r="H55" s="456">
        <v>2272555.0</v>
      </c>
      <c r="I55" s="456">
        <v>-42.84</v>
      </c>
      <c r="J55" s="456">
        <v>87405.96</v>
      </c>
      <c r="K55" s="456">
        <v>262217.88</v>
      </c>
      <c r="L55" s="456" t="s">
        <v>984</v>
      </c>
      <c r="M55" s="456">
        <v>0.02</v>
      </c>
      <c r="N55" s="456">
        <v>0.0</v>
      </c>
      <c r="O55" s="456">
        <v>0.0</v>
      </c>
      <c r="P55" s="456">
        <v>4.18</v>
      </c>
      <c r="Q55" s="456">
        <v>2.46</v>
      </c>
      <c r="R55" s="456">
        <v>58.97</v>
      </c>
      <c r="S55" s="456">
        <v>1673.46</v>
      </c>
      <c r="T55" s="456">
        <v>987.25</v>
      </c>
      <c r="U55" s="456">
        <v>14.0</v>
      </c>
      <c r="V55" s="456">
        <v>4.9</v>
      </c>
      <c r="W55" s="456">
        <v>1.0</v>
      </c>
    </row>
    <row r="56" ht="15.75" customHeight="1">
      <c r="A56" s="456">
        <v>3.64740468E8</v>
      </c>
      <c r="B56" s="457"/>
      <c r="C56" s="456">
        <v>1354.0</v>
      </c>
      <c r="D56" s="456">
        <v>-47.87</v>
      </c>
      <c r="E56" s="456">
        <v>56.42</v>
      </c>
      <c r="F56" s="456">
        <v>225.67</v>
      </c>
      <c r="G56" s="456" t="s">
        <v>985</v>
      </c>
      <c r="H56" s="456">
        <v>2114030.0</v>
      </c>
      <c r="I56" s="456">
        <v>-51.15</v>
      </c>
      <c r="J56" s="456">
        <v>88084.59</v>
      </c>
      <c r="K56" s="456">
        <v>352338.34</v>
      </c>
      <c r="L56" s="456" t="s">
        <v>986</v>
      </c>
      <c r="M56" s="456">
        <v>1.34</v>
      </c>
      <c r="N56" s="456">
        <v>0.0</v>
      </c>
      <c r="O56" s="456">
        <v>0.0</v>
      </c>
      <c r="P56" s="456">
        <v>3.96</v>
      </c>
      <c r="Q56" s="456">
        <v>1.78</v>
      </c>
      <c r="R56" s="456">
        <v>44.86</v>
      </c>
      <c r="S56" s="456">
        <v>1561.32</v>
      </c>
      <c r="T56" s="456">
        <v>0.0</v>
      </c>
      <c r="U56" s="456">
        <v>4.0</v>
      </c>
      <c r="V56" s="456">
        <v>0.0</v>
      </c>
      <c r="W56" s="456">
        <v>1.0</v>
      </c>
    </row>
    <row r="57" ht="15.75" customHeight="1">
      <c r="A57" s="456">
        <v>3.73217324E8</v>
      </c>
      <c r="B57" s="457"/>
      <c r="C57" s="456">
        <v>1340.0</v>
      </c>
      <c r="D57" s="456">
        <v>-50.78</v>
      </c>
      <c r="E57" s="456">
        <v>58.26</v>
      </c>
      <c r="F57" s="456">
        <v>291.3</v>
      </c>
      <c r="G57" s="456" t="s">
        <v>987</v>
      </c>
      <c r="H57" s="456">
        <v>1687812.0</v>
      </c>
      <c r="I57" s="456">
        <v>-54.65</v>
      </c>
      <c r="J57" s="456">
        <v>73383.13</v>
      </c>
      <c r="K57" s="456">
        <v>366915.66</v>
      </c>
      <c r="L57" s="456" t="s">
        <v>988</v>
      </c>
      <c r="M57" s="456">
        <v>1.34</v>
      </c>
      <c r="N57" s="456">
        <v>0.0</v>
      </c>
      <c r="O57" s="456">
        <v>0.0</v>
      </c>
      <c r="P57" s="456">
        <v>2.31</v>
      </c>
      <c r="Q57" s="456">
        <v>1.85</v>
      </c>
      <c r="R57" s="456">
        <v>80.0</v>
      </c>
      <c r="S57" s="456">
        <v>1259.56</v>
      </c>
      <c r="T57" s="456">
        <v>46.23</v>
      </c>
      <c r="U57" s="456">
        <v>4.0</v>
      </c>
      <c r="V57" s="456">
        <v>4.57</v>
      </c>
      <c r="W57" s="456">
        <v>1.0</v>
      </c>
    </row>
    <row r="58" ht="15.75" customHeight="1">
      <c r="A58" s="456">
        <v>4.37190353E8</v>
      </c>
      <c r="B58" s="457"/>
      <c r="C58" s="456">
        <v>1334.0</v>
      </c>
      <c r="D58" s="456">
        <v>-76.6</v>
      </c>
      <c r="E58" s="456">
        <v>47.64</v>
      </c>
      <c r="F58" s="456">
        <v>47.64</v>
      </c>
      <c r="G58" s="456" t="s">
        <v>989</v>
      </c>
      <c r="H58" s="456">
        <v>2020626.0</v>
      </c>
      <c r="I58" s="456">
        <v>-78.1</v>
      </c>
      <c r="J58" s="456">
        <v>72165.21</v>
      </c>
      <c r="K58" s="456">
        <v>72165.21</v>
      </c>
      <c r="L58" s="456" t="s">
        <v>990</v>
      </c>
      <c r="M58" s="456">
        <v>0.56</v>
      </c>
      <c r="N58" s="456">
        <v>25.0</v>
      </c>
      <c r="O58" s="456">
        <v>38375.0</v>
      </c>
      <c r="P58" s="456">
        <v>6.5</v>
      </c>
      <c r="Q58" s="456">
        <v>3.43</v>
      </c>
      <c r="R58" s="456">
        <v>52.82</v>
      </c>
      <c r="S58" s="456">
        <v>1514.71</v>
      </c>
      <c r="T58" s="456">
        <v>77.8</v>
      </c>
      <c r="U58" s="456">
        <v>9.33</v>
      </c>
      <c r="V58" s="456">
        <v>4.8</v>
      </c>
      <c r="W58" s="456">
        <v>1.0</v>
      </c>
    </row>
    <row r="59" ht="15.75" customHeight="1">
      <c r="A59" s="456">
        <v>2.2150025E8</v>
      </c>
      <c r="B59" s="457"/>
      <c r="C59" s="456">
        <v>1325.0</v>
      </c>
      <c r="D59" s="456">
        <v>-50.11</v>
      </c>
      <c r="E59" s="456">
        <v>42.74</v>
      </c>
      <c r="F59" s="456">
        <v>0.0</v>
      </c>
      <c r="G59" s="456" t="s">
        <v>991</v>
      </c>
      <c r="H59" s="456">
        <v>2290473.0</v>
      </c>
      <c r="I59" s="456">
        <v>-51.35</v>
      </c>
      <c r="J59" s="456">
        <v>73886.23</v>
      </c>
      <c r="K59" s="456">
        <v>0.0</v>
      </c>
      <c r="L59" s="456" t="s">
        <v>992</v>
      </c>
      <c r="M59" s="456">
        <v>0.61</v>
      </c>
      <c r="N59" s="456">
        <v>26.0</v>
      </c>
      <c r="O59" s="456">
        <v>45734.0</v>
      </c>
      <c r="P59" s="456">
        <v>7.42</v>
      </c>
      <c r="Q59" s="456">
        <v>4.81</v>
      </c>
      <c r="R59" s="456">
        <v>64.78</v>
      </c>
      <c r="S59" s="456">
        <v>1728.66</v>
      </c>
      <c r="T59" s="456">
        <v>650.1</v>
      </c>
      <c r="U59" s="456">
        <v>9.0</v>
      </c>
      <c r="V59" s="456">
        <v>4.84</v>
      </c>
      <c r="W59" s="456">
        <v>1.0</v>
      </c>
    </row>
    <row r="60" ht="15.75" customHeight="1">
      <c r="A60" s="456">
        <v>4.37797551E8</v>
      </c>
      <c r="B60" s="457"/>
      <c r="C60" s="456">
        <v>1316.0</v>
      </c>
      <c r="D60" s="456">
        <v>-46.8</v>
      </c>
      <c r="E60" s="456">
        <v>47.0</v>
      </c>
      <c r="F60" s="456">
        <v>94.0</v>
      </c>
      <c r="G60" s="456" t="s">
        <v>993</v>
      </c>
      <c r="H60" s="456">
        <v>1661758.0</v>
      </c>
      <c r="I60" s="456">
        <v>-53.93</v>
      </c>
      <c r="J60" s="456">
        <v>59348.5</v>
      </c>
      <c r="K60" s="456">
        <v>118697.0</v>
      </c>
      <c r="L60" s="456" t="s">
        <v>994</v>
      </c>
      <c r="M60" s="456">
        <v>1.12</v>
      </c>
      <c r="N60" s="456">
        <v>0.0</v>
      </c>
      <c r="O60" s="456">
        <v>0.0</v>
      </c>
      <c r="P60" s="456">
        <v>4.21</v>
      </c>
      <c r="Q60" s="456">
        <v>2.17</v>
      </c>
      <c r="R60" s="456">
        <v>51.64</v>
      </c>
      <c r="S60" s="456">
        <v>1262.73</v>
      </c>
      <c r="T60" s="456">
        <v>55.1</v>
      </c>
      <c r="U60" s="456">
        <v>9.0</v>
      </c>
      <c r="V60" s="456">
        <v>4.6</v>
      </c>
      <c r="W60" s="456">
        <v>1.0</v>
      </c>
    </row>
    <row r="61" ht="15.75" customHeight="1">
      <c r="A61" s="456">
        <v>2.13416587E8</v>
      </c>
      <c r="B61" s="457"/>
      <c r="C61" s="456">
        <v>1300.0</v>
      </c>
      <c r="D61" s="456">
        <v>-60.81</v>
      </c>
      <c r="E61" s="456">
        <v>54.17</v>
      </c>
      <c r="F61" s="456">
        <v>216.67</v>
      </c>
      <c r="G61" s="456" t="s">
        <v>995</v>
      </c>
      <c r="H61" s="456">
        <v>2436728.0</v>
      </c>
      <c r="I61" s="456">
        <v>-62.48</v>
      </c>
      <c r="J61" s="456">
        <v>101530.34</v>
      </c>
      <c r="K61" s="456">
        <v>406121.34</v>
      </c>
      <c r="L61" s="456" t="s">
        <v>996</v>
      </c>
      <c r="M61" s="456">
        <v>0.83</v>
      </c>
      <c r="N61" s="456">
        <v>0.0</v>
      </c>
      <c r="O61" s="456">
        <v>0.0</v>
      </c>
      <c r="P61" s="456">
        <v>4.33</v>
      </c>
      <c r="Q61" s="456">
        <v>3.0</v>
      </c>
      <c r="R61" s="456">
        <v>69.23</v>
      </c>
      <c r="S61" s="456">
        <v>1874.41</v>
      </c>
      <c r="T61" s="456">
        <v>563.19</v>
      </c>
      <c r="U61" s="456">
        <v>8.0</v>
      </c>
      <c r="V61" s="456">
        <v>4.8</v>
      </c>
      <c r="W61" s="456">
        <v>1.0</v>
      </c>
    </row>
    <row r="62" ht="15.75" customHeight="1">
      <c r="A62" s="456">
        <v>3.03697455E8</v>
      </c>
      <c r="B62" s="457"/>
      <c r="C62" s="456">
        <v>1273.0</v>
      </c>
      <c r="D62" s="456">
        <v>-57.45</v>
      </c>
      <c r="E62" s="456">
        <v>53.04</v>
      </c>
      <c r="F62" s="456">
        <v>159.13</v>
      </c>
      <c r="G62" s="456" t="s">
        <v>997</v>
      </c>
      <c r="H62" s="456">
        <v>1277577.0</v>
      </c>
      <c r="I62" s="456">
        <v>-60.62</v>
      </c>
      <c r="J62" s="456">
        <v>53232.38</v>
      </c>
      <c r="K62" s="456">
        <v>159697.12</v>
      </c>
      <c r="L62" s="456" t="s">
        <v>998</v>
      </c>
      <c r="M62" s="456">
        <v>1.52</v>
      </c>
      <c r="N62" s="456">
        <v>0.0</v>
      </c>
      <c r="O62" s="456">
        <v>0.0</v>
      </c>
      <c r="P62" s="456">
        <v>2.82</v>
      </c>
      <c r="Q62" s="456">
        <v>1.79</v>
      </c>
      <c r="R62" s="456">
        <v>63.29</v>
      </c>
      <c r="S62" s="456">
        <v>1003.6</v>
      </c>
      <c r="T62" s="456">
        <v>3489.75</v>
      </c>
      <c r="U62" s="456">
        <v>12.0</v>
      </c>
      <c r="V62" s="456">
        <v>4.8</v>
      </c>
      <c r="W62" s="456">
        <v>1.0</v>
      </c>
    </row>
    <row r="63" ht="15.75" customHeight="1">
      <c r="A63" s="456">
        <v>3.66476481E8</v>
      </c>
      <c r="B63" s="457"/>
      <c r="C63" s="456">
        <v>1252.0</v>
      </c>
      <c r="D63" s="456">
        <v>-50.95</v>
      </c>
      <c r="E63" s="456">
        <v>52.17</v>
      </c>
      <c r="F63" s="456">
        <v>208.67</v>
      </c>
      <c r="G63" s="456" t="s">
        <v>999</v>
      </c>
      <c r="H63" s="456">
        <v>1868777.0</v>
      </c>
      <c r="I63" s="456">
        <v>-53.6</v>
      </c>
      <c r="J63" s="456">
        <v>77865.71</v>
      </c>
      <c r="K63" s="456">
        <v>311462.84</v>
      </c>
      <c r="L63" s="456" t="s">
        <v>1000</v>
      </c>
      <c r="M63" s="456">
        <v>0.91</v>
      </c>
      <c r="N63" s="456">
        <v>0.0</v>
      </c>
      <c r="O63" s="456">
        <v>0.0</v>
      </c>
      <c r="P63" s="456">
        <v>2.96</v>
      </c>
      <c r="Q63" s="456">
        <v>1.78</v>
      </c>
      <c r="R63" s="456">
        <v>60.0</v>
      </c>
      <c r="S63" s="456">
        <v>1492.63</v>
      </c>
      <c r="T63" s="456">
        <v>10.37</v>
      </c>
      <c r="U63" s="456">
        <v>4.0</v>
      </c>
      <c r="V63" s="456">
        <v>5.0</v>
      </c>
      <c r="W63" s="456">
        <v>1.0</v>
      </c>
    </row>
    <row r="64" ht="15.75" customHeight="1">
      <c r="A64" s="456">
        <v>6.49407683E8</v>
      </c>
      <c r="B64" s="457"/>
      <c r="C64" s="456">
        <v>1223.0</v>
      </c>
      <c r="D64" s="456">
        <v>-66.78</v>
      </c>
      <c r="E64" s="456">
        <v>45.3</v>
      </c>
      <c r="F64" s="456">
        <v>90.59</v>
      </c>
      <c r="G64" s="456" t="s">
        <v>1001</v>
      </c>
      <c r="H64" s="456">
        <v>1977655.0</v>
      </c>
      <c r="I64" s="456">
        <v>-68.14</v>
      </c>
      <c r="J64" s="456">
        <v>73246.48</v>
      </c>
      <c r="K64" s="456">
        <v>146492.97</v>
      </c>
      <c r="L64" s="456" t="s">
        <v>1002</v>
      </c>
      <c r="M64" s="456">
        <v>1.07</v>
      </c>
      <c r="N64" s="456">
        <v>0.0</v>
      </c>
      <c r="O64" s="456">
        <v>0.0</v>
      </c>
      <c r="P64" s="456">
        <v>5.76</v>
      </c>
      <c r="Q64" s="456">
        <v>3.52</v>
      </c>
      <c r="R64" s="456">
        <v>61.08</v>
      </c>
      <c r="S64" s="456">
        <v>1617.05</v>
      </c>
      <c r="T64" s="456">
        <v>61.07</v>
      </c>
      <c r="U64" s="456">
        <v>7.0</v>
      </c>
      <c r="V64" s="456">
        <v>4.82</v>
      </c>
      <c r="W64" s="456">
        <v>1.0</v>
      </c>
    </row>
    <row r="65" ht="15.75" customHeight="1">
      <c r="A65" s="456">
        <v>4.03307192E8</v>
      </c>
      <c r="B65" s="457"/>
      <c r="C65" s="456">
        <v>1199.0</v>
      </c>
      <c r="D65" s="456">
        <v>-45.29</v>
      </c>
      <c r="E65" s="456">
        <v>52.13</v>
      </c>
      <c r="F65" s="456">
        <v>156.39</v>
      </c>
      <c r="G65" s="456" t="s">
        <v>1003</v>
      </c>
      <c r="H65" s="456">
        <v>928615.0</v>
      </c>
      <c r="I65" s="456">
        <v>-47.08</v>
      </c>
      <c r="J65" s="456">
        <v>40374.57</v>
      </c>
      <c r="K65" s="456">
        <v>121123.7</v>
      </c>
      <c r="L65" s="456" t="s">
        <v>1004</v>
      </c>
      <c r="M65" s="456">
        <v>1.38</v>
      </c>
      <c r="N65" s="456">
        <v>0.0</v>
      </c>
      <c r="O65" s="456">
        <v>0.0</v>
      </c>
      <c r="P65" s="456">
        <v>3.04</v>
      </c>
      <c r="Q65" s="456">
        <v>1.68</v>
      </c>
      <c r="R65" s="456">
        <v>55.29</v>
      </c>
      <c r="S65" s="456">
        <v>774.49</v>
      </c>
      <c r="T65" s="456">
        <v>72.29</v>
      </c>
      <c r="U65" s="456">
        <v>5.0</v>
      </c>
      <c r="V65" s="456">
        <v>4.7</v>
      </c>
      <c r="W65" s="456">
        <v>1.0</v>
      </c>
    </row>
    <row r="66" ht="15.75" customHeight="1">
      <c r="A66" s="456">
        <v>3.32737049E8</v>
      </c>
      <c r="B66" s="457"/>
      <c r="C66" s="456">
        <v>1198.0</v>
      </c>
      <c r="D66" s="456">
        <v>-53.72</v>
      </c>
      <c r="E66" s="456">
        <v>46.08</v>
      </c>
      <c r="F66" s="456">
        <v>92.15</v>
      </c>
      <c r="G66" s="456" t="s">
        <v>1005</v>
      </c>
      <c r="H66" s="456">
        <v>1620683.0</v>
      </c>
      <c r="I66" s="456">
        <v>-61.05</v>
      </c>
      <c r="J66" s="456">
        <v>62333.96</v>
      </c>
      <c r="K66" s="456">
        <v>124667.92</v>
      </c>
      <c r="L66" s="456" t="s">
        <v>1006</v>
      </c>
      <c r="M66" s="456">
        <v>1.09</v>
      </c>
      <c r="N66" s="456">
        <v>0.0</v>
      </c>
      <c r="O66" s="456">
        <v>0.0</v>
      </c>
      <c r="P66" s="456">
        <v>2.79</v>
      </c>
      <c r="Q66" s="456">
        <v>1.72</v>
      </c>
      <c r="R66" s="456">
        <v>61.73</v>
      </c>
      <c r="S66" s="456">
        <v>1352.82</v>
      </c>
      <c r="T66" s="456">
        <v>2.31</v>
      </c>
      <c r="U66" s="456">
        <v>5.0</v>
      </c>
      <c r="V66" s="456">
        <v>4.56</v>
      </c>
      <c r="W66" s="456">
        <v>1.0</v>
      </c>
    </row>
    <row r="67" ht="15.75" customHeight="1">
      <c r="A67" s="456">
        <v>2.41499198E8</v>
      </c>
      <c r="B67" s="457"/>
      <c r="C67" s="456">
        <v>1191.0</v>
      </c>
      <c r="D67" s="456">
        <v>-49.43</v>
      </c>
      <c r="E67" s="456">
        <v>49.63</v>
      </c>
      <c r="F67" s="456">
        <v>297.75</v>
      </c>
      <c r="G67" s="456" t="s">
        <v>1007</v>
      </c>
      <c r="H67" s="456">
        <v>1799740.0</v>
      </c>
      <c r="I67" s="456">
        <v>-57.87</v>
      </c>
      <c r="J67" s="456">
        <v>74989.16</v>
      </c>
      <c r="K67" s="456">
        <v>449935.0</v>
      </c>
      <c r="L67" s="456" t="s">
        <v>1008</v>
      </c>
      <c r="M67" s="456">
        <v>0.99</v>
      </c>
      <c r="N67" s="456">
        <v>0.0</v>
      </c>
      <c r="O67" s="456">
        <v>0.0</v>
      </c>
      <c r="P67" s="456">
        <v>2.04</v>
      </c>
      <c r="Q67" s="456">
        <v>1.92</v>
      </c>
      <c r="R67" s="456">
        <v>94.12</v>
      </c>
      <c r="S67" s="456">
        <v>1511.12</v>
      </c>
      <c r="T67" s="456">
        <v>1346.56</v>
      </c>
      <c r="U67" s="456">
        <v>12.0</v>
      </c>
      <c r="V67" s="456">
        <v>4.8</v>
      </c>
      <c r="W67" s="456">
        <v>1.0</v>
      </c>
    </row>
    <row r="68" ht="15.75" customHeight="1">
      <c r="A68" s="456">
        <v>1.45703203E8</v>
      </c>
      <c r="B68" s="457"/>
      <c r="C68" s="456">
        <v>1174.0</v>
      </c>
      <c r="D68" s="456">
        <v>-39.84</v>
      </c>
      <c r="E68" s="456">
        <v>48.92</v>
      </c>
      <c r="F68" s="456">
        <v>195.67</v>
      </c>
      <c r="G68" s="456" t="s">
        <v>1009</v>
      </c>
      <c r="H68" s="456">
        <v>1494603.0</v>
      </c>
      <c r="I68" s="456">
        <v>-39.35</v>
      </c>
      <c r="J68" s="456">
        <v>62275.13</v>
      </c>
      <c r="K68" s="456">
        <v>249100.5</v>
      </c>
      <c r="L68" s="456" t="s">
        <v>1010</v>
      </c>
      <c r="M68" s="456">
        <v>0.6</v>
      </c>
      <c r="N68" s="456">
        <v>0.0</v>
      </c>
      <c r="O68" s="456">
        <v>0.0</v>
      </c>
      <c r="P68" s="456">
        <v>5.0</v>
      </c>
      <c r="Q68" s="456">
        <v>2.0</v>
      </c>
      <c r="R68" s="456">
        <v>40.0</v>
      </c>
      <c r="S68" s="456">
        <v>1273.09</v>
      </c>
      <c r="T68" s="456">
        <v>63.04</v>
      </c>
      <c r="U68" s="456">
        <v>11.0</v>
      </c>
      <c r="V68" s="456">
        <v>4.8</v>
      </c>
      <c r="W68" s="456">
        <v>1.0</v>
      </c>
    </row>
    <row r="69" ht="15.75" customHeight="1">
      <c r="A69" s="456">
        <v>3.64738049E8</v>
      </c>
      <c r="B69" s="457"/>
      <c r="C69" s="456">
        <v>1165.0</v>
      </c>
      <c r="D69" s="456">
        <v>-51.78</v>
      </c>
      <c r="E69" s="456">
        <v>52.95</v>
      </c>
      <c r="F69" s="456">
        <v>158.86</v>
      </c>
      <c r="G69" s="456" t="s">
        <v>1011</v>
      </c>
      <c r="H69" s="456">
        <v>1466804.0</v>
      </c>
      <c r="I69" s="456">
        <v>-53.46</v>
      </c>
      <c r="J69" s="456">
        <v>66672.91</v>
      </c>
      <c r="K69" s="456">
        <v>200018.73</v>
      </c>
      <c r="L69" s="456" t="s">
        <v>1012</v>
      </c>
      <c r="M69" s="456">
        <v>1.01</v>
      </c>
      <c r="N69" s="456">
        <v>0.0</v>
      </c>
      <c r="O69" s="456">
        <v>0.0</v>
      </c>
      <c r="P69" s="456">
        <v>2.0</v>
      </c>
      <c r="Q69" s="456">
        <v>1.57</v>
      </c>
      <c r="R69" s="456">
        <v>78.57</v>
      </c>
      <c r="S69" s="456">
        <v>1259.06</v>
      </c>
      <c r="T69" s="456">
        <v>1.57</v>
      </c>
      <c r="U69" s="456">
        <v>4.0</v>
      </c>
      <c r="V69" s="456">
        <v>5.0</v>
      </c>
      <c r="W69" s="456">
        <v>1.0</v>
      </c>
    </row>
    <row r="70" ht="15.75" customHeight="1">
      <c r="A70" s="456">
        <v>4.10070711E8</v>
      </c>
      <c r="B70" s="457"/>
      <c r="C70" s="456">
        <v>1130.0</v>
      </c>
      <c r="D70" s="456">
        <v>-56.96</v>
      </c>
      <c r="E70" s="456">
        <v>36.45</v>
      </c>
      <c r="F70" s="456">
        <v>0.0</v>
      </c>
      <c r="G70" s="456" t="s">
        <v>1013</v>
      </c>
      <c r="H70" s="456">
        <v>2118472.0</v>
      </c>
      <c r="I70" s="456">
        <v>-58.87</v>
      </c>
      <c r="J70" s="456">
        <v>68337.8</v>
      </c>
      <c r="K70" s="456">
        <v>0.0</v>
      </c>
      <c r="L70" s="456" t="s">
        <v>1014</v>
      </c>
      <c r="M70" s="456">
        <v>0.66</v>
      </c>
      <c r="N70" s="456">
        <v>24.0</v>
      </c>
      <c r="O70" s="456">
        <v>45480.0</v>
      </c>
      <c r="P70" s="456">
        <v>4.74</v>
      </c>
      <c r="Q70" s="456">
        <v>2.87</v>
      </c>
      <c r="R70" s="456">
        <v>60.54</v>
      </c>
      <c r="S70" s="456">
        <v>1874.75</v>
      </c>
      <c r="T70" s="456">
        <v>354.29</v>
      </c>
      <c r="U70" s="456">
        <v>9.0</v>
      </c>
      <c r="V70" s="456">
        <v>4.8</v>
      </c>
      <c r="W70" s="456">
        <v>1.0</v>
      </c>
    </row>
    <row r="71" ht="15.75" customHeight="1">
      <c r="A71" s="456">
        <v>2.41693758E8</v>
      </c>
      <c r="B71" s="457"/>
      <c r="C71" s="456">
        <v>1130.0</v>
      </c>
      <c r="D71" s="456">
        <v>-57.68</v>
      </c>
      <c r="E71" s="456">
        <v>37.67</v>
      </c>
      <c r="F71" s="456">
        <v>37.67</v>
      </c>
      <c r="G71" s="456" t="s">
        <v>1015</v>
      </c>
      <c r="H71" s="456">
        <v>1952033.0</v>
      </c>
      <c r="I71" s="456">
        <v>-59.45</v>
      </c>
      <c r="J71" s="456">
        <v>65067.77</v>
      </c>
      <c r="K71" s="456">
        <v>65067.77</v>
      </c>
      <c r="L71" s="456" t="s">
        <v>1016</v>
      </c>
      <c r="M71" s="456">
        <v>0.11</v>
      </c>
      <c r="N71" s="456">
        <v>0.0</v>
      </c>
      <c r="O71" s="456">
        <v>0.0</v>
      </c>
      <c r="P71" s="456">
        <v>6.37</v>
      </c>
      <c r="Q71" s="456">
        <v>3.53</v>
      </c>
      <c r="R71" s="456">
        <v>55.5</v>
      </c>
      <c r="S71" s="456">
        <v>1727.46</v>
      </c>
      <c r="T71" s="456">
        <v>586.3</v>
      </c>
      <c r="U71" s="456">
        <v>13.0</v>
      </c>
      <c r="V71" s="456">
        <v>4.8</v>
      </c>
      <c r="W71" s="456">
        <v>1.0</v>
      </c>
    </row>
    <row r="72" ht="15.75" customHeight="1">
      <c r="A72" s="456">
        <v>2.129621E8</v>
      </c>
      <c r="B72" s="457"/>
      <c r="C72" s="456">
        <v>1121.0</v>
      </c>
      <c r="D72" s="456">
        <v>-63.13</v>
      </c>
      <c r="E72" s="456">
        <v>36.16</v>
      </c>
      <c r="F72" s="456">
        <v>0.0</v>
      </c>
      <c r="G72" s="456" t="s">
        <v>1017</v>
      </c>
      <c r="H72" s="456">
        <v>1738250.0</v>
      </c>
      <c r="I72" s="456">
        <v>-64.54</v>
      </c>
      <c r="J72" s="456">
        <v>56072.58</v>
      </c>
      <c r="K72" s="456">
        <v>0.0</v>
      </c>
      <c r="L72" s="456" t="s">
        <v>1018</v>
      </c>
      <c r="M72" s="456">
        <v>0.47</v>
      </c>
      <c r="N72" s="456">
        <v>17.0</v>
      </c>
      <c r="O72" s="456">
        <v>27059.14</v>
      </c>
      <c r="P72" s="456">
        <v>4.48</v>
      </c>
      <c r="Q72" s="456">
        <v>2.87</v>
      </c>
      <c r="R72" s="456">
        <v>64.03</v>
      </c>
      <c r="S72" s="456">
        <v>1550.62</v>
      </c>
      <c r="T72" s="456">
        <v>913.97</v>
      </c>
      <c r="U72" s="456">
        <v>11.0</v>
      </c>
      <c r="V72" s="456">
        <v>4.8</v>
      </c>
      <c r="W72" s="456">
        <v>1.0</v>
      </c>
    </row>
    <row r="73" ht="15.75" customHeight="1">
      <c r="A73" s="456">
        <v>4.11345564E8</v>
      </c>
      <c r="B73" s="457"/>
      <c r="C73" s="456">
        <v>1120.0</v>
      </c>
      <c r="D73" s="456">
        <v>-72.15</v>
      </c>
      <c r="E73" s="456">
        <v>43.08</v>
      </c>
      <c r="F73" s="456">
        <v>172.31</v>
      </c>
      <c r="G73" s="456" t="s">
        <v>1019</v>
      </c>
      <c r="H73" s="456">
        <v>1194576.0</v>
      </c>
      <c r="I73" s="456">
        <v>-73.07</v>
      </c>
      <c r="J73" s="456">
        <v>45945.23</v>
      </c>
      <c r="K73" s="456">
        <v>183780.92</v>
      </c>
      <c r="L73" s="456" t="s">
        <v>1020</v>
      </c>
      <c r="M73" s="456">
        <v>0.39</v>
      </c>
      <c r="N73" s="456">
        <v>0.0</v>
      </c>
      <c r="O73" s="456">
        <v>0.0</v>
      </c>
      <c r="P73" s="456">
        <v>6.15</v>
      </c>
      <c r="Q73" s="456">
        <v>2.85</v>
      </c>
      <c r="R73" s="456">
        <v>46.39</v>
      </c>
      <c r="S73" s="456">
        <v>1066.59</v>
      </c>
      <c r="T73" s="456">
        <v>81.33</v>
      </c>
      <c r="U73" s="456">
        <v>8.0</v>
      </c>
      <c r="V73" s="456">
        <v>4.9</v>
      </c>
      <c r="W73" s="456">
        <v>1.0</v>
      </c>
    </row>
    <row r="74" ht="15.75" customHeight="1">
      <c r="A74" s="456">
        <v>5.30647385E8</v>
      </c>
      <c r="B74" s="457"/>
      <c r="C74" s="456">
        <v>1092.0</v>
      </c>
      <c r="D74" s="456">
        <v>-60.18</v>
      </c>
      <c r="E74" s="456">
        <v>42.0</v>
      </c>
      <c r="F74" s="456">
        <v>126.0</v>
      </c>
      <c r="G74" s="456" t="s">
        <v>1021</v>
      </c>
      <c r="H74" s="456">
        <v>1426173.0</v>
      </c>
      <c r="I74" s="456">
        <v>-59.37</v>
      </c>
      <c r="J74" s="456">
        <v>54852.81</v>
      </c>
      <c r="K74" s="456">
        <v>164558.42</v>
      </c>
      <c r="L74" s="456" t="s">
        <v>1022</v>
      </c>
      <c r="M74" s="456">
        <v>1.28</v>
      </c>
      <c r="N74" s="456">
        <v>50.0</v>
      </c>
      <c r="O74" s="456">
        <v>78050.0</v>
      </c>
      <c r="P74" s="456">
        <v>3.54</v>
      </c>
      <c r="Q74" s="456">
        <v>1.79</v>
      </c>
      <c r="R74" s="456">
        <v>50.51</v>
      </c>
      <c r="S74" s="456">
        <v>1306.02</v>
      </c>
      <c r="T74" s="456">
        <v>527.54</v>
      </c>
      <c r="U74" s="456">
        <v>8.0</v>
      </c>
      <c r="V74" s="456">
        <v>4.8</v>
      </c>
      <c r="W74" s="456">
        <v>1.0</v>
      </c>
    </row>
    <row r="75" ht="15.75" customHeight="1">
      <c r="A75" s="456">
        <v>3.07963648E8</v>
      </c>
      <c r="B75" s="457"/>
      <c r="C75" s="456">
        <v>1084.0</v>
      </c>
      <c r="D75" s="456">
        <v>-58.85</v>
      </c>
      <c r="E75" s="456">
        <v>45.17</v>
      </c>
      <c r="F75" s="456">
        <v>135.5</v>
      </c>
      <c r="G75" s="456" t="s">
        <v>1023</v>
      </c>
      <c r="H75" s="456">
        <v>1295900.0</v>
      </c>
      <c r="I75" s="456">
        <v>-60.04</v>
      </c>
      <c r="J75" s="456">
        <v>53995.83</v>
      </c>
      <c r="K75" s="456">
        <v>161987.5</v>
      </c>
      <c r="L75" s="456" t="s">
        <v>1024</v>
      </c>
      <c r="M75" s="456">
        <v>0.49</v>
      </c>
      <c r="N75" s="456">
        <v>19.0</v>
      </c>
      <c r="O75" s="456">
        <v>25308.0</v>
      </c>
      <c r="P75" s="456">
        <v>4.18</v>
      </c>
      <c r="Q75" s="456">
        <v>2.32</v>
      </c>
      <c r="R75" s="456">
        <v>55.56</v>
      </c>
      <c r="S75" s="456">
        <v>1195.48</v>
      </c>
      <c r="T75" s="456">
        <v>658.18</v>
      </c>
      <c r="U75" s="456">
        <v>11.0</v>
      </c>
      <c r="V75" s="456">
        <v>4.83</v>
      </c>
      <c r="W75" s="456">
        <v>1.0</v>
      </c>
    </row>
    <row r="76" ht="15.75" customHeight="1">
      <c r="A76" s="456">
        <v>2.13416584E8</v>
      </c>
      <c r="B76" s="457"/>
      <c r="C76" s="456">
        <v>1045.0</v>
      </c>
      <c r="D76" s="456">
        <v>-41.19</v>
      </c>
      <c r="E76" s="456">
        <v>43.54</v>
      </c>
      <c r="F76" s="456">
        <v>174.17</v>
      </c>
      <c r="G76" s="456" t="s">
        <v>1025</v>
      </c>
      <c r="H76" s="456">
        <v>1768848.0</v>
      </c>
      <c r="I76" s="456">
        <v>-43.59</v>
      </c>
      <c r="J76" s="456">
        <v>73702.0</v>
      </c>
      <c r="K76" s="456">
        <v>294808.0</v>
      </c>
      <c r="L76" s="456" t="s">
        <v>1026</v>
      </c>
      <c r="M76" s="456">
        <v>1.03</v>
      </c>
      <c r="N76" s="456">
        <v>0.0</v>
      </c>
      <c r="O76" s="456">
        <v>0.0</v>
      </c>
      <c r="P76" s="456">
        <v>3.56</v>
      </c>
      <c r="Q76" s="456">
        <v>2.26</v>
      </c>
      <c r="R76" s="456">
        <v>63.54</v>
      </c>
      <c r="S76" s="456">
        <v>1692.68</v>
      </c>
      <c r="T76" s="456">
        <v>1293.67</v>
      </c>
      <c r="U76" s="456">
        <v>13.0</v>
      </c>
      <c r="V76" s="456">
        <v>4.8</v>
      </c>
      <c r="W76" s="456">
        <v>1.0</v>
      </c>
    </row>
    <row r="77" ht="15.75" customHeight="1">
      <c r="A77" s="456">
        <v>2.12957749E8</v>
      </c>
      <c r="B77" s="457"/>
      <c r="C77" s="456">
        <v>1041.0</v>
      </c>
      <c r="D77" s="456">
        <v>-7.58</v>
      </c>
      <c r="E77" s="456">
        <v>40.04</v>
      </c>
      <c r="F77" s="456">
        <v>160.15</v>
      </c>
      <c r="G77" s="456" t="s">
        <v>1027</v>
      </c>
      <c r="H77" s="456">
        <v>1273754.0</v>
      </c>
      <c r="I77" s="456">
        <v>-11.82</v>
      </c>
      <c r="J77" s="456">
        <v>48990.54</v>
      </c>
      <c r="K77" s="456">
        <v>195962.16</v>
      </c>
      <c r="L77" s="456" t="s">
        <v>1028</v>
      </c>
      <c r="M77" s="456">
        <v>1.56</v>
      </c>
      <c r="N77" s="456">
        <v>0.0</v>
      </c>
      <c r="O77" s="456">
        <v>0.0</v>
      </c>
      <c r="P77" s="456">
        <v>2.67</v>
      </c>
      <c r="Q77" s="456">
        <v>1.56</v>
      </c>
      <c r="R77" s="456">
        <v>58.33</v>
      </c>
      <c r="S77" s="456">
        <v>1223.59</v>
      </c>
      <c r="T77" s="456">
        <v>1508.0</v>
      </c>
      <c r="U77" s="456">
        <v>11.0</v>
      </c>
      <c r="V77" s="456">
        <v>4.9</v>
      </c>
      <c r="W77" s="456">
        <v>1.0</v>
      </c>
    </row>
    <row r="78" ht="15.75" customHeight="1">
      <c r="A78" s="456">
        <v>2.21863963E8</v>
      </c>
      <c r="B78" s="457"/>
      <c r="C78" s="456">
        <v>1031.0</v>
      </c>
      <c r="D78" s="456">
        <v>9.98</v>
      </c>
      <c r="E78" s="456">
        <v>36.82</v>
      </c>
      <c r="F78" s="456">
        <v>36.82</v>
      </c>
      <c r="G78" s="456" t="s">
        <v>1029</v>
      </c>
      <c r="H78" s="456">
        <v>999692.0</v>
      </c>
      <c r="I78" s="456">
        <v>5.56</v>
      </c>
      <c r="J78" s="456">
        <v>35703.29</v>
      </c>
      <c r="K78" s="456">
        <v>35703.29</v>
      </c>
      <c r="L78" s="456" t="s">
        <v>1030</v>
      </c>
      <c r="M78" s="456">
        <v>1.34</v>
      </c>
      <c r="N78" s="456">
        <v>0.0</v>
      </c>
      <c r="O78" s="456">
        <v>0.0</v>
      </c>
      <c r="P78" s="456">
        <v>3.07</v>
      </c>
      <c r="Q78" s="456">
        <v>1.8</v>
      </c>
      <c r="R78" s="456">
        <v>58.7</v>
      </c>
      <c r="S78" s="456">
        <v>969.63</v>
      </c>
      <c r="T78" s="456">
        <v>337.8</v>
      </c>
      <c r="U78" s="456">
        <v>5.0</v>
      </c>
      <c r="V78" s="456">
        <v>4.63</v>
      </c>
      <c r="W78" s="456">
        <v>1.0</v>
      </c>
    </row>
    <row r="79" ht="15.75" customHeight="1">
      <c r="A79" s="456">
        <v>5.39956302E8</v>
      </c>
      <c r="B79" s="457"/>
      <c r="C79" s="456">
        <v>1017.0</v>
      </c>
      <c r="D79" s="456">
        <v>-52.61</v>
      </c>
      <c r="E79" s="456">
        <v>42.38</v>
      </c>
      <c r="F79" s="456">
        <v>42.38</v>
      </c>
      <c r="G79" s="456" t="s">
        <v>1031</v>
      </c>
      <c r="H79" s="456">
        <v>1391524.0</v>
      </c>
      <c r="I79" s="456">
        <v>-58.0</v>
      </c>
      <c r="J79" s="456">
        <v>57980.17</v>
      </c>
      <c r="K79" s="456">
        <v>57980.17</v>
      </c>
      <c r="L79" s="456" t="s">
        <v>1032</v>
      </c>
      <c r="M79" s="456">
        <v>1.47</v>
      </c>
      <c r="N79" s="456">
        <v>50.0</v>
      </c>
      <c r="O79" s="456">
        <v>64750.0</v>
      </c>
      <c r="P79" s="456">
        <v>2.23</v>
      </c>
      <c r="Q79" s="456">
        <v>1.17</v>
      </c>
      <c r="R79" s="456">
        <v>52.24</v>
      </c>
      <c r="S79" s="456">
        <v>1368.26</v>
      </c>
      <c r="T79" s="456">
        <v>1191.3</v>
      </c>
      <c r="U79" s="456">
        <v>12.0</v>
      </c>
      <c r="V79" s="456">
        <v>4.9</v>
      </c>
      <c r="W79" s="456">
        <v>1.0</v>
      </c>
    </row>
    <row r="80" ht="15.75" customHeight="1">
      <c r="A80" s="456">
        <v>2.43354878E8</v>
      </c>
      <c r="B80" s="457"/>
      <c r="C80" s="456">
        <v>1016.0</v>
      </c>
      <c r="D80" s="456">
        <v>-46.76</v>
      </c>
      <c r="E80" s="456">
        <v>40.64</v>
      </c>
      <c r="F80" s="456">
        <v>121.92</v>
      </c>
      <c r="G80" s="456" t="s">
        <v>1033</v>
      </c>
      <c r="H80" s="456">
        <v>1296593.0</v>
      </c>
      <c r="I80" s="456">
        <v>-48.7</v>
      </c>
      <c r="J80" s="456">
        <v>51863.72</v>
      </c>
      <c r="K80" s="456">
        <v>155591.16</v>
      </c>
      <c r="L80" s="456" t="s">
        <v>1034</v>
      </c>
      <c r="M80" s="456">
        <v>1.24</v>
      </c>
      <c r="N80" s="456">
        <v>0.0</v>
      </c>
      <c r="O80" s="456">
        <v>0.0</v>
      </c>
      <c r="P80" s="456">
        <v>3.93</v>
      </c>
      <c r="Q80" s="456">
        <v>1.96</v>
      </c>
      <c r="R80" s="456">
        <v>50.0</v>
      </c>
      <c r="S80" s="456">
        <v>1276.17</v>
      </c>
      <c r="T80" s="456">
        <v>1786.54</v>
      </c>
      <c r="U80" s="456">
        <v>17.0</v>
      </c>
      <c r="V80" s="456">
        <v>4.8</v>
      </c>
      <c r="W80" s="456">
        <v>1.0</v>
      </c>
    </row>
    <row r="81" ht="15.75" customHeight="1">
      <c r="A81" s="456">
        <v>3.31559771E8</v>
      </c>
      <c r="B81" s="457"/>
      <c r="C81" s="456">
        <v>1015.0</v>
      </c>
      <c r="D81" s="456">
        <v>-86.59</v>
      </c>
      <c r="E81" s="456">
        <v>50.75</v>
      </c>
      <c r="F81" s="456">
        <v>304.5</v>
      </c>
      <c r="G81" s="456" t="s">
        <v>1035</v>
      </c>
      <c r="H81" s="456">
        <v>1312198.0</v>
      </c>
      <c r="I81" s="456">
        <v>-85.55</v>
      </c>
      <c r="J81" s="456">
        <v>65609.9</v>
      </c>
      <c r="K81" s="456">
        <v>393659.4</v>
      </c>
      <c r="L81" s="456" t="s">
        <v>1036</v>
      </c>
      <c r="M81" s="456">
        <v>1.65</v>
      </c>
      <c r="N81" s="456">
        <v>0.0</v>
      </c>
      <c r="O81" s="456">
        <v>0.0</v>
      </c>
      <c r="P81" s="456">
        <v>3.32</v>
      </c>
      <c r="Q81" s="456">
        <v>1.56</v>
      </c>
      <c r="R81" s="456">
        <v>46.99</v>
      </c>
      <c r="S81" s="456">
        <v>1292.81</v>
      </c>
      <c r="T81" s="456">
        <v>1185.08</v>
      </c>
      <c r="U81" s="456">
        <v>7.0</v>
      </c>
      <c r="V81" s="456">
        <v>4.8</v>
      </c>
      <c r="W81" s="456">
        <v>1.0</v>
      </c>
    </row>
    <row r="82" ht="15.75" customHeight="1">
      <c r="A82" s="456">
        <v>5.8315323E8</v>
      </c>
      <c r="B82" s="457"/>
      <c r="C82" s="456">
        <v>1003.0</v>
      </c>
      <c r="D82" s="456">
        <v>20.93</v>
      </c>
      <c r="E82" s="456">
        <v>40.12</v>
      </c>
      <c r="F82" s="456">
        <v>120.36</v>
      </c>
      <c r="G82" s="456" t="s">
        <v>1037</v>
      </c>
      <c r="H82" s="456">
        <v>1137487.0</v>
      </c>
      <c r="I82" s="456">
        <v>15.07</v>
      </c>
      <c r="J82" s="456">
        <v>45499.48</v>
      </c>
      <c r="K82" s="456">
        <v>136498.44</v>
      </c>
      <c r="L82" s="456" t="s">
        <v>1038</v>
      </c>
      <c r="M82" s="456">
        <v>1.34</v>
      </c>
      <c r="N82" s="456">
        <v>48.0</v>
      </c>
      <c r="O82" s="456">
        <v>46224.0</v>
      </c>
      <c r="P82" s="456">
        <v>3.25</v>
      </c>
      <c r="Q82" s="456">
        <v>1.86</v>
      </c>
      <c r="R82" s="456">
        <v>57.14</v>
      </c>
      <c r="S82" s="456">
        <v>1134.08</v>
      </c>
      <c r="T82" s="456">
        <v>72.64</v>
      </c>
      <c r="U82" s="456">
        <v>6.0</v>
      </c>
      <c r="V82" s="456">
        <v>4.87</v>
      </c>
      <c r="W82" s="456">
        <v>1.0</v>
      </c>
    </row>
    <row r="83" ht="15.75" customHeight="1">
      <c r="A83" s="456">
        <v>3.63202527E8</v>
      </c>
      <c r="B83" s="457"/>
      <c r="C83" s="456">
        <v>988.0</v>
      </c>
      <c r="D83" s="456">
        <v>-1.61</v>
      </c>
      <c r="E83" s="456">
        <v>41.17</v>
      </c>
      <c r="F83" s="456">
        <v>82.33</v>
      </c>
      <c r="G83" s="456" t="s">
        <v>1039</v>
      </c>
      <c r="H83" s="456">
        <v>1049005.0</v>
      </c>
      <c r="I83" s="456">
        <v>-7.72</v>
      </c>
      <c r="J83" s="456">
        <v>43708.54</v>
      </c>
      <c r="K83" s="456">
        <v>87417.09</v>
      </c>
      <c r="L83" s="456" t="s">
        <v>1040</v>
      </c>
      <c r="M83" s="456">
        <v>1.47</v>
      </c>
      <c r="N83" s="456">
        <v>0.0</v>
      </c>
      <c r="O83" s="456">
        <v>0.0</v>
      </c>
      <c r="P83" s="456">
        <v>2.69</v>
      </c>
      <c r="Q83" s="456">
        <v>1.38</v>
      </c>
      <c r="R83" s="456">
        <v>51.28</v>
      </c>
      <c r="S83" s="456">
        <v>1061.75</v>
      </c>
      <c r="T83" s="456">
        <v>349.21</v>
      </c>
      <c r="U83" s="456">
        <v>7.0</v>
      </c>
      <c r="V83" s="456">
        <v>4.78</v>
      </c>
      <c r="W83" s="456">
        <v>1.0</v>
      </c>
    </row>
    <row r="84" ht="15.75" customHeight="1">
      <c r="A84" s="456">
        <v>2.30621303E8</v>
      </c>
      <c r="B84" s="457"/>
      <c r="C84" s="456">
        <v>986.0</v>
      </c>
      <c r="D84" s="456">
        <v>-12.55</v>
      </c>
      <c r="E84" s="456">
        <v>42.87</v>
      </c>
      <c r="F84" s="456">
        <v>128.61</v>
      </c>
      <c r="G84" s="456" t="s">
        <v>1041</v>
      </c>
      <c r="H84" s="456">
        <v>1232166.0</v>
      </c>
      <c r="I84" s="456">
        <v>-22.54</v>
      </c>
      <c r="J84" s="456">
        <v>53572.43</v>
      </c>
      <c r="K84" s="456">
        <v>160717.3</v>
      </c>
      <c r="L84" s="456" t="s">
        <v>1042</v>
      </c>
      <c r="M84" s="456">
        <v>1.28</v>
      </c>
      <c r="N84" s="456">
        <v>45.0</v>
      </c>
      <c r="O84" s="456">
        <v>54495.0</v>
      </c>
      <c r="P84" s="456">
        <v>2.64</v>
      </c>
      <c r="Q84" s="456">
        <v>1.36</v>
      </c>
      <c r="R84" s="456">
        <v>51.35</v>
      </c>
      <c r="S84" s="456">
        <v>1249.66</v>
      </c>
      <c r="T84" s="456">
        <v>1225.43</v>
      </c>
      <c r="U84" s="456">
        <v>5.0</v>
      </c>
      <c r="V84" s="456">
        <v>4.8</v>
      </c>
      <c r="W84" s="456">
        <v>1.0</v>
      </c>
    </row>
    <row r="85" ht="15.75" customHeight="1">
      <c r="A85" s="456">
        <v>2.12957741E8</v>
      </c>
      <c r="B85" s="457"/>
      <c r="C85" s="456">
        <v>982.0</v>
      </c>
      <c r="D85" s="456">
        <v>-46.08</v>
      </c>
      <c r="E85" s="456">
        <v>35.07</v>
      </c>
      <c r="F85" s="456">
        <v>105.21</v>
      </c>
      <c r="G85" s="456" t="s">
        <v>1043</v>
      </c>
      <c r="H85" s="456">
        <v>1246734.0</v>
      </c>
      <c r="I85" s="456">
        <v>-48.79</v>
      </c>
      <c r="J85" s="456">
        <v>44526.21</v>
      </c>
      <c r="K85" s="456">
        <v>133578.64</v>
      </c>
      <c r="L85" s="456" t="s">
        <v>1044</v>
      </c>
      <c r="M85" s="456">
        <v>1.31</v>
      </c>
      <c r="N85" s="456">
        <v>0.0</v>
      </c>
      <c r="O85" s="456">
        <v>0.0</v>
      </c>
      <c r="P85" s="456">
        <v>3.07</v>
      </c>
      <c r="Q85" s="456">
        <v>1.71</v>
      </c>
      <c r="R85" s="456">
        <v>55.81</v>
      </c>
      <c r="S85" s="456">
        <v>1269.59</v>
      </c>
      <c r="T85" s="456">
        <v>1499.46</v>
      </c>
      <c r="U85" s="456">
        <v>11.0</v>
      </c>
      <c r="V85" s="456">
        <v>4.8</v>
      </c>
      <c r="W85" s="456">
        <v>1.0</v>
      </c>
    </row>
    <row r="86" ht="15.75" customHeight="1">
      <c r="A86" s="456">
        <v>2.12798847E8</v>
      </c>
      <c r="B86" s="457"/>
      <c r="C86" s="456">
        <v>971.0</v>
      </c>
      <c r="D86" s="456">
        <v>-34.58</v>
      </c>
      <c r="E86" s="456">
        <v>31.32</v>
      </c>
      <c r="F86" s="456">
        <v>0.0</v>
      </c>
      <c r="G86" s="456" t="s">
        <v>1045</v>
      </c>
      <c r="H86" s="456">
        <v>1762162.0</v>
      </c>
      <c r="I86" s="456">
        <v>-36.99</v>
      </c>
      <c r="J86" s="456">
        <v>56843.93</v>
      </c>
      <c r="K86" s="456">
        <v>0.0</v>
      </c>
      <c r="L86" s="456" t="s">
        <v>1046</v>
      </c>
      <c r="M86" s="456">
        <v>1.69</v>
      </c>
      <c r="N86" s="456">
        <v>53.0</v>
      </c>
      <c r="O86" s="456">
        <v>97626.0</v>
      </c>
      <c r="P86" s="456">
        <v>4.68</v>
      </c>
      <c r="Q86" s="456">
        <v>2.71</v>
      </c>
      <c r="R86" s="456">
        <v>57.93</v>
      </c>
      <c r="S86" s="456">
        <v>1814.79</v>
      </c>
      <c r="T86" s="456">
        <v>697.97</v>
      </c>
      <c r="U86" s="456">
        <v>12.0</v>
      </c>
      <c r="V86" s="456">
        <v>4.9</v>
      </c>
      <c r="W86" s="456">
        <v>1.0</v>
      </c>
    </row>
    <row r="87" ht="15.75" customHeight="1">
      <c r="A87" s="456">
        <v>2.53060924E8</v>
      </c>
      <c r="B87" s="457"/>
      <c r="C87" s="456">
        <v>962.0</v>
      </c>
      <c r="D87" s="456">
        <v>-33.85</v>
      </c>
      <c r="E87" s="456">
        <v>40.08</v>
      </c>
      <c r="F87" s="456">
        <v>200.42</v>
      </c>
      <c r="G87" s="456" t="s">
        <v>1047</v>
      </c>
      <c r="H87" s="456">
        <v>1490948.0</v>
      </c>
      <c r="I87" s="456">
        <v>-36.59</v>
      </c>
      <c r="J87" s="456">
        <v>62122.83</v>
      </c>
      <c r="K87" s="456">
        <v>310614.16</v>
      </c>
      <c r="L87" s="456" t="s">
        <v>1048</v>
      </c>
      <c r="M87" s="456">
        <v>1.14</v>
      </c>
      <c r="N87" s="456">
        <v>0.0</v>
      </c>
      <c r="O87" s="456">
        <v>0.0</v>
      </c>
      <c r="P87" s="456">
        <v>2.46</v>
      </c>
      <c r="Q87" s="456">
        <v>1.65</v>
      </c>
      <c r="R87" s="456">
        <v>67.19</v>
      </c>
      <c r="S87" s="456">
        <v>1549.84</v>
      </c>
      <c r="T87" s="456">
        <v>1394.31</v>
      </c>
      <c r="U87" s="456">
        <v>8.0</v>
      </c>
      <c r="V87" s="456">
        <v>4.8</v>
      </c>
      <c r="W87" s="456">
        <v>1.0</v>
      </c>
    </row>
    <row r="88" ht="15.75" customHeight="1">
      <c r="A88" s="456">
        <v>2.32753041E8</v>
      </c>
      <c r="B88" s="457"/>
      <c r="C88" s="456">
        <v>957.0</v>
      </c>
      <c r="D88" s="456">
        <v>-62.1</v>
      </c>
      <c r="E88" s="456">
        <v>38.28</v>
      </c>
      <c r="F88" s="456">
        <v>191.4</v>
      </c>
      <c r="G88" s="456" t="s">
        <v>1049</v>
      </c>
      <c r="H88" s="456">
        <v>1527631.0</v>
      </c>
      <c r="I88" s="456">
        <v>-63.66</v>
      </c>
      <c r="J88" s="456">
        <v>61105.24</v>
      </c>
      <c r="K88" s="456">
        <v>305526.2</v>
      </c>
      <c r="L88" s="456" t="s">
        <v>1050</v>
      </c>
      <c r="M88" s="456">
        <v>0.35</v>
      </c>
      <c r="N88" s="456">
        <v>0.0</v>
      </c>
      <c r="O88" s="456">
        <v>0.0</v>
      </c>
      <c r="P88" s="456">
        <v>7.35</v>
      </c>
      <c r="Q88" s="456">
        <v>2.77</v>
      </c>
      <c r="R88" s="456">
        <v>37.7</v>
      </c>
      <c r="S88" s="456">
        <v>1596.27</v>
      </c>
      <c r="T88" s="456">
        <v>424.73</v>
      </c>
      <c r="U88" s="456">
        <v>9.0</v>
      </c>
      <c r="V88" s="456">
        <v>4.8</v>
      </c>
      <c r="W88" s="456">
        <v>1.0</v>
      </c>
    </row>
    <row r="89" ht="15.75" customHeight="1">
      <c r="A89" s="456">
        <v>4.18189983E8</v>
      </c>
      <c r="B89" s="457"/>
      <c r="C89" s="456">
        <v>932.0</v>
      </c>
      <c r="D89" s="456">
        <v>-59.0</v>
      </c>
      <c r="E89" s="456">
        <v>38.83</v>
      </c>
      <c r="F89" s="456">
        <v>194.17</v>
      </c>
      <c r="G89" s="456" t="s">
        <v>1051</v>
      </c>
      <c r="H89" s="456">
        <v>1228520.0</v>
      </c>
      <c r="I89" s="456">
        <v>-61.18</v>
      </c>
      <c r="J89" s="456">
        <v>51188.33</v>
      </c>
      <c r="K89" s="456">
        <v>255941.67</v>
      </c>
      <c r="L89" s="456" t="s">
        <v>1052</v>
      </c>
      <c r="M89" s="456">
        <v>1.92</v>
      </c>
      <c r="N89" s="456">
        <v>0.0</v>
      </c>
      <c r="O89" s="456">
        <v>0.0</v>
      </c>
      <c r="P89" s="456">
        <v>2.58</v>
      </c>
      <c r="Q89" s="456">
        <v>1.58</v>
      </c>
      <c r="R89" s="456">
        <v>61.19</v>
      </c>
      <c r="S89" s="456">
        <v>1318.15</v>
      </c>
      <c r="T89" s="456">
        <v>4888.11</v>
      </c>
      <c r="U89" s="456">
        <v>12.0</v>
      </c>
      <c r="V89" s="456">
        <v>4.8</v>
      </c>
      <c r="W89" s="456">
        <v>1.0</v>
      </c>
    </row>
    <row r="90" ht="15.75" customHeight="1">
      <c r="A90" s="456">
        <v>8.74505365E8</v>
      </c>
      <c r="B90" s="457"/>
      <c r="C90" s="456">
        <v>910.0</v>
      </c>
      <c r="D90" s="456">
        <v>-9.22</v>
      </c>
      <c r="E90" s="456">
        <v>37.92</v>
      </c>
      <c r="F90" s="456">
        <v>113.75</v>
      </c>
      <c r="G90" s="456" t="s">
        <v>1053</v>
      </c>
      <c r="H90" s="456">
        <v>1086218.0</v>
      </c>
      <c r="I90" s="456">
        <v>-16.77</v>
      </c>
      <c r="J90" s="456">
        <v>45259.08</v>
      </c>
      <c r="K90" s="456">
        <v>135777.25</v>
      </c>
      <c r="L90" s="456" t="s">
        <v>1054</v>
      </c>
      <c r="M90" s="456">
        <v>0.03</v>
      </c>
      <c r="N90" s="456">
        <v>1.0</v>
      </c>
      <c r="O90" s="456">
        <v>1171.0</v>
      </c>
      <c r="P90" s="456">
        <v>2.43</v>
      </c>
      <c r="Q90" s="456">
        <v>1.25</v>
      </c>
      <c r="R90" s="456">
        <v>51.47</v>
      </c>
      <c r="S90" s="456">
        <v>1193.65</v>
      </c>
      <c r="T90" s="456">
        <v>92.32</v>
      </c>
      <c r="U90" s="456">
        <v>5.0</v>
      </c>
      <c r="V90" s="456">
        <v>4.9</v>
      </c>
      <c r="W90" s="456">
        <v>1.0</v>
      </c>
    </row>
    <row r="91" ht="15.75" customHeight="1">
      <c r="A91" s="456">
        <v>1.64091643E8</v>
      </c>
      <c r="B91" s="457"/>
      <c r="C91" s="456">
        <v>899.0</v>
      </c>
      <c r="D91" s="456">
        <v>-47.88</v>
      </c>
      <c r="E91" s="456">
        <v>37.46</v>
      </c>
      <c r="F91" s="456">
        <v>187.29</v>
      </c>
      <c r="G91" s="456" t="s">
        <v>1055</v>
      </c>
      <c r="H91" s="456">
        <v>999699.0</v>
      </c>
      <c r="I91" s="456">
        <v>-49.75</v>
      </c>
      <c r="J91" s="456">
        <v>41654.13</v>
      </c>
      <c r="K91" s="456">
        <v>208270.62</v>
      </c>
      <c r="L91" s="456" t="s">
        <v>1056</v>
      </c>
      <c r="M91" s="456">
        <v>0.03</v>
      </c>
      <c r="N91" s="456">
        <v>0.0</v>
      </c>
      <c r="O91" s="456">
        <v>0.0</v>
      </c>
      <c r="P91" s="456">
        <v>2.27</v>
      </c>
      <c r="Q91" s="456">
        <v>1.62</v>
      </c>
      <c r="R91" s="456">
        <v>71.19</v>
      </c>
      <c r="S91" s="456">
        <v>1112.01</v>
      </c>
      <c r="T91" s="456">
        <v>268.81</v>
      </c>
      <c r="U91" s="456">
        <v>6.0</v>
      </c>
      <c r="V91" s="456">
        <v>4.8</v>
      </c>
      <c r="W91" s="456">
        <v>1.0</v>
      </c>
    </row>
    <row r="92" ht="15.75" customHeight="1">
      <c r="A92" s="456">
        <v>2.73429922E8</v>
      </c>
      <c r="B92" s="457"/>
      <c r="C92" s="456">
        <v>872.0</v>
      </c>
      <c r="D92" s="456">
        <v>6.64</v>
      </c>
      <c r="E92" s="456">
        <v>30.07</v>
      </c>
      <c r="F92" s="456">
        <v>30.07</v>
      </c>
      <c r="G92" s="456" t="s">
        <v>1057</v>
      </c>
      <c r="H92" s="456">
        <v>1118705.0</v>
      </c>
      <c r="I92" s="456">
        <v>-10.74</v>
      </c>
      <c r="J92" s="456">
        <v>38576.04</v>
      </c>
      <c r="K92" s="456">
        <v>38576.04</v>
      </c>
      <c r="L92" s="456" t="s">
        <v>1058</v>
      </c>
      <c r="M92" s="456">
        <v>2.34</v>
      </c>
      <c r="N92" s="456">
        <v>0.0</v>
      </c>
      <c r="O92" s="456">
        <v>0.0</v>
      </c>
      <c r="P92" s="456">
        <v>11.47</v>
      </c>
      <c r="Q92" s="456">
        <v>3.7</v>
      </c>
      <c r="R92" s="456">
        <v>32.27</v>
      </c>
      <c r="S92" s="456">
        <v>1282.92</v>
      </c>
      <c r="T92" s="456">
        <v>288.23</v>
      </c>
      <c r="U92" s="456">
        <v>19.03</v>
      </c>
      <c r="V92" s="456">
        <v>4.77</v>
      </c>
      <c r="W92" s="456">
        <v>1.0</v>
      </c>
    </row>
    <row r="93" ht="15.75" customHeight="1">
      <c r="A93" s="456">
        <v>2.3224061E8</v>
      </c>
      <c r="B93" s="457"/>
      <c r="C93" s="456">
        <v>871.0</v>
      </c>
      <c r="D93" s="456">
        <v>-98.84</v>
      </c>
      <c r="E93" s="456">
        <v>54.44</v>
      </c>
      <c r="F93" s="456">
        <v>653.25</v>
      </c>
      <c r="G93" s="456" t="s">
        <v>1059</v>
      </c>
      <c r="H93" s="456">
        <v>1374535.0</v>
      </c>
      <c r="I93" s="456">
        <v>-98.89</v>
      </c>
      <c r="J93" s="456">
        <v>85908.44</v>
      </c>
      <c r="K93" s="456">
        <v>1030901.25</v>
      </c>
      <c r="L93" s="456" t="s">
        <v>1060</v>
      </c>
      <c r="M93" s="456">
        <v>0.02</v>
      </c>
      <c r="N93" s="456">
        <v>0.0</v>
      </c>
      <c r="O93" s="456">
        <v>0.0</v>
      </c>
      <c r="P93" s="456">
        <v>3.05</v>
      </c>
      <c r="Q93" s="456">
        <v>1.84</v>
      </c>
      <c r="R93" s="456">
        <v>60.34</v>
      </c>
      <c r="S93" s="456">
        <v>1578.11</v>
      </c>
      <c r="T93" s="456">
        <v>71.63</v>
      </c>
      <c r="U93" s="456">
        <v>9.0</v>
      </c>
      <c r="V93" s="456">
        <v>4.7</v>
      </c>
      <c r="W93" s="456">
        <v>1.0</v>
      </c>
    </row>
    <row r="94" ht="15.75" customHeight="1">
      <c r="A94" s="456">
        <v>2.17225228E8</v>
      </c>
      <c r="B94" s="457"/>
      <c r="C94" s="456">
        <v>859.0</v>
      </c>
      <c r="D94" s="456">
        <v>-49.56</v>
      </c>
      <c r="E94" s="456">
        <v>35.79</v>
      </c>
      <c r="F94" s="456">
        <v>71.58</v>
      </c>
      <c r="G94" s="456" t="s">
        <v>1061</v>
      </c>
      <c r="H94" s="456">
        <v>1205358.0</v>
      </c>
      <c r="I94" s="456">
        <v>-52.56</v>
      </c>
      <c r="J94" s="456">
        <v>50223.25</v>
      </c>
      <c r="K94" s="456">
        <v>100446.5</v>
      </c>
      <c r="L94" s="456" t="s">
        <v>1062</v>
      </c>
      <c r="M94" s="456">
        <v>1.28</v>
      </c>
      <c r="N94" s="456">
        <v>0.0</v>
      </c>
      <c r="O94" s="456">
        <v>0.0</v>
      </c>
      <c r="P94" s="456">
        <v>3.66</v>
      </c>
      <c r="Q94" s="456">
        <v>1.45</v>
      </c>
      <c r="R94" s="456">
        <v>39.62</v>
      </c>
      <c r="S94" s="456">
        <v>1403.21</v>
      </c>
      <c r="T94" s="456">
        <v>1786.93</v>
      </c>
      <c r="U94" s="456">
        <v>9.0</v>
      </c>
      <c r="V94" s="456">
        <v>4.8</v>
      </c>
      <c r="W94" s="456">
        <v>1.0</v>
      </c>
    </row>
    <row r="95" ht="15.75" customHeight="1">
      <c r="A95" s="456">
        <v>3.32727803E8</v>
      </c>
      <c r="B95" s="457"/>
      <c r="C95" s="456">
        <v>856.0</v>
      </c>
      <c r="D95" s="456">
        <v>-50.35</v>
      </c>
      <c r="E95" s="456">
        <v>35.67</v>
      </c>
      <c r="F95" s="456">
        <v>71.33</v>
      </c>
      <c r="G95" s="456" t="s">
        <v>1063</v>
      </c>
      <c r="H95" s="456">
        <v>1462760.0</v>
      </c>
      <c r="I95" s="456">
        <v>-52.06</v>
      </c>
      <c r="J95" s="456">
        <v>60948.33</v>
      </c>
      <c r="K95" s="456">
        <v>121896.66</v>
      </c>
      <c r="L95" s="456" t="s">
        <v>1064</v>
      </c>
      <c r="M95" s="456">
        <v>1.42</v>
      </c>
      <c r="N95" s="456">
        <v>0.0</v>
      </c>
      <c r="O95" s="456">
        <v>0.0</v>
      </c>
      <c r="P95" s="456">
        <v>3.1</v>
      </c>
      <c r="Q95" s="456">
        <v>1.34</v>
      </c>
      <c r="R95" s="456">
        <v>43.33</v>
      </c>
      <c r="S95" s="456">
        <v>1708.83</v>
      </c>
      <c r="T95" s="456">
        <v>533.48</v>
      </c>
      <c r="U95" s="456">
        <v>7.0</v>
      </c>
      <c r="V95" s="456">
        <v>4.8</v>
      </c>
      <c r="W95" s="456">
        <v>1.0</v>
      </c>
    </row>
    <row r="96" ht="15.75" customHeight="1">
      <c r="A96" s="456">
        <v>8.3372122E8</v>
      </c>
      <c r="B96" s="457"/>
      <c r="C96" s="456">
        <v>852.0</v>
      </c>
      <c r="D96" s="456">
        <v>176.99</v>
      </c>
      <c r="E96" s="456">
        <v>31.56</v>
      </c>
      <c r="F96" s="456">
        <v>31.56</v>
      </c>
      <c r="G96" s="456" t="s">
        <v>1065</v>
      </c>
      <c r="H96" s="456">
        <v>1082302.0</v>
      </c>
      <c r="I96" s="456">
        <v>139.54</v>
      </c>
      <c r="J96" s="456">
        <v>40085.26</v>
      </c>
      <c r="K96" s="456">
        <v>40085.26</v>
      </c>
      <c r="L96" s="456" t="s">
        <v>1066</v>
      </c>
      <c r="M96" s="456">
        <v>0.04</v>
      </c>
      <c r="N96" s="456">
        <v>0.0</v>
      </c>
      <c r="O96" s="456">
        <v>0.0</v>
      </c>
      <c r="P96" s="456">
        <v>3.07</v>
      </c>
      <c r="Q96" s="456">
        <v>1.13</v>
      </c>
      <c r="R96" s="456">
        <v>36.96</v>
      </c>
      <c r="S96" s="456">
        <v>1270.31</v>
      </c>
      <c r="T96" s="456">
        <v>96.27</v>
      </c>
      <c r="U96" s="456">
        <v>5.0</v>
      </c>
      <c r="V96" s="456">
        <v>4.91</v>
      </c>
      <c r="W96" s="456">
        <v>1.0</v>
      </c>
    </row>
    <row r="97" ht="15.75" customHeight="1">
      <c r="A97" s="456">
        <v>2.32756077E8</v>
      </c>
      <c r="B97" s="457"/>
      <c r="C97" s="456">
        <v>852.0</v>
      </c>
      <c r="D97" s="456">
        <v>-44.53</v>
      </c>
      <c r="E97" s="456">
        <v>29.38</v>
      </c>
      <c r="F97" s="456">
        <v>29.38</v>
      </c>
      <c r="G97" s="456" t="s">
        <v>1067</v>
      </c>
      <c r="H97" s="456">
        <v>1528817.0</v>
      </c>
      <c r="I97" s="456">
        <v>-46.68</v>
      </c>
      <c r="J97" s="456">
        <v>52717.83</v>
      </c>
      <c r="K97" s="456">
        <v>52717.83</v>
      </c>
      <c r="L97" s="456" t="s">
        <v>1068</v>
      </c>
      <c r="M97" s="456">
        <v>1.41</v>
      </c>
      <c r="N97" s="456">
        <v>40.0</v>
      </c>
      <c r="O97" s="456">
        <v>72880.0</v>
      </c>
      <c r="P97" s="456">
        <v>8.63</v>
      </c>
      <c r="Q97" s="456">
        <v>2.8</v>
      </c>
      <c r="R97" s="456">
        <v>32.43</v>
      </c>
      <c r="S97" s="456">
        <v>1794.39</v>
      </c>
      <c r="T97" s="456">
        <v>388.97</v>
      </c>
      <c r="U97" s="456">
        <v>9.0</v>
      </c>
      <c r="V97" s="456">
        <v>4.82</v>
      </c>
      <c r="W97" s="456">
        <v>1.0</v>
      </c>
    </row>
    <row r="98" ht="15.75" customHeight="1">
      <c r="A98" s="456">
        <v>3.87665009E8</v>
      </c>
      <c r="B98" s="457"/>
      <c r="C98" s="456">
        <v>848.0</v>
      </c>
      <c r="D98" s="456">
        <v>-53.54</v>
      </c>
      <c r="E98" s="456">
        <v>35.33</v>
      </c>
      <c r="F98" s="456">
        <v>106.0</v>
      </c>
      <c r="G98" s="456" t="s">
        <v>1069</v>
      </c>
      <c r="H98" s="456">
        <v>683634.0</v>
      </c>
      <c r="I98" s="456">
        <v>-55.45</v>
      </c>
      <c r="J98" s="456">
        <v>28484.75</v>
      </c>
      <c r="K98" s="456">
        <v>85454.25</v>
      </c>
      <c r="L98" s="456" t="s">
        <v>1070</v>
      </c>
      <c r="M98" s="456">
        <v>0.69</v>
      </c>
      <c r="N98" s="456">
        <v>0.0</v>
      </c>
      <c r="O98" s="456">
        <v>0.0</v>
      </c>
      <c r="P98" s="456">
        <v>4.14</v>
      </c>
      <c r="Q98" s="456">
        <v>2.32</v>
      </c>
      <c r="R98" s="456">
        <v>56.03</v>
      </c>
      <c r="S98" s="456">
        <v>806.17</v>
      </c>
      <c r="T98" s="456">
        <v>166.86</v>
      </c>
      <c r="U98" s="456">
        <v>9.0</v>
      </c>
      <c r="V98" s="456">
        <v>4.8</v>
      </c>
      <c r="W98" s="456">
        <v>1.0</v>
      </c>
    </row>
    <row r="99" ht="15.75" customHeight="1">
      <c r="A99" s="456">
        <v>2.10897567E8</v>
      </c>
      <c r="B99" s="457"/>
      <c r="C99" s="456">
        <v>843.0</v>
      </c>
      <c r="D99" s="456">
        <v>-46.73</v>
      </c>
      <c r="E99" s="456">
        <v>31.22</v>
      </c>
      <c r="F99" s="456">
        <v>62.44</v>
      </c>
      <c r="G99" s="456" t="s">
        <v>1071</v>
      </c>
      <c r="H99" s="456">
        <v>1223911.0</v>
      </c>
      <c r="I99" s="456">
        <v>-49.03</v>
      </c>
      <c r="J99" s="456">
        <v>45330.04</v>
      </c>
      <c r="K99" s="456">
        <v>90660.07</v>
      </c>
      <c r="L99" s="456" t="s">
        <v>1072</v>
      </c>
      <c r="M99" s="456">
        <v>2.27</v>
      </c>
      <c r="N99" s="456">
        <v>0.0</v>
      </c>
      <c r="O99" s="456">
        <v>0.0</v>
      </c>
      <c r="P99" s="456">
        <v>2.86</v>
      </c>
      <c r="Q99" s="456">
        <v>1.52</v>
      </c>
      <c r="R99" s="456">
        <v>53.01</v>
      </c>
      <c r="S99" s="456">
        <v>1451.85</v>
      </c>
      <c r="T99" s="456">
        <v>1352.28</v>
      </c>
      <c r="U99" s="456">
        <v>11.0</v>
      </c>
      <c r="V99" s="456">
        <v>4.8</v>
      </c>
      <c r="W99" s="456">
        <v>1.0</v>
      </c>
    </row>
    <row r="100" ht="15.75" customHeight="1">
      <c r="A100" s="456">
        <v>5.34188641E8</v>
      </c>
      <c r="B100" s="457"/>
      <c r="C100" s="456">
        <v>838.0</v>
      </c>
      <c r="D100" s="456">
        <v>-54.26</v>
      </c>
      <c r="E100" s="456">
        <v>32.23</v>
      </c>
      <c r="F100" s="456">
        <v>32.23</v>
      </c>
      <c r="G100" s="456" t="s">
        <v>1073</v>
      </c>
      <c r="H100" s="456">
        <v>1471817.0</v>
      </c>
      <c r="I100" s="456">
        <v>-54.01</v>
      </c>
      <c r="J100" s="456">
        <v>56608.35</v>
      </c>
      <c r="K100" s="456">
        <v>56608.35</v>
      </c>
      <c r="L100" s="456" t="s">
        <v>1074</v>
      </c>
      <c r="M100" s="456">
        <v>1.72</v>
      </c>
      <c r="N100" s="456">
        <v>0.0</v>
      </c>
      <c r="O100" s="456">
        <v>0.0</v>
      </c>
      <c r="P100" s="456">
        <v>8.0</v>
      </c>
      <c r="Q100" s="456">
        <v>1.87</v>
      </c>
      <c r="R100" s="456">
        <v>23.33</v>
      </c>
      <c r="S100" s="456">
        <v>1756.34</v>
      </c>
      <c r="T100" s="456">
        <v>60.17</v>
      </c>
      <c r="U100" s="456">
        <v>12.0</v>
      </c>
      <c r="V100" s="456">
        <v>4.9</v>
      </c>
      <c r="W100" s="456">
        <v>1.0</v>
      </c>
    </row>
    <row r="101" ht="15.75" customHeight="1">
      <c r="A101" s="456">
        <v>2.12793975E8</v>
      </c>
      <c r="B101" s="457"/>
      <c r="C101" s="456">
        <v>837.0</v>
      </c>
      <c r="D101" s="456">
        <v>-46.14</v>
      </c>
      <c r="E101" s="456">
        <v>31.0</v>
      </c>
      <c r="F101" s="456">
        <v>93.0</v>
      </c>
      <c r="G101" s="456" t="s">
        <v>1075</v>
      </c>
      <c r="H101" s="456">
        <v>1575206.0</v>
      </c>
      <c r="I101" s="456">
        <v>-48.51</v>
      </c>
      <c r="J101" s="456">
        <v>58340.96</v>
      </c>
      <c r="K101" s="456">
        <v>175022.89</v>
      </c>
      <c r="L101" s="456" t="s">
        <v>1076</v>
      </c>
      <c r="M101" s="456">
        <v>0.03</v>
      </c>
      <c r="N101" s="456">
        <v>0.0</v>
      </c>
      <c r="O101" s="456">
        <v>0.0</v>
      </c>
      <c r="P101" s="456">
        <v>3.79</v>
      </c>
      <c r="Q101" s="456">
        <v>2.29</v>
      </c>
      <c r="R101" s="456">
        <v>60.38</v>
      </c>
      <c r="S101" s="456">
        <v>1881.97</v>
      </c>
      <c r="T101" s="456">
        <v>1074.64</v>
      </c>
      <c r="U101" s="456">
        <v>10.0</v>
      </c>
      <c r="V101" s="456">
        <v>4.8</v>
      </c>
      <c r="W101" s="456">
        <v>1.0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2026-06-16T04:34:00Z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78179E95F18B464792B761C266EC2831_12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
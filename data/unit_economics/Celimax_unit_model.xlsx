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Юнит" sheetId="1" r:id="rId5"/>
    <sheet state="visible" name="Лист10" sheetId="2" r:id="rId6"/>
    <sheet state="visible" name="Пенка для умывания" sheetId="3" r:id="rId7"/>
    <sheet state="visible" name="Гидрофильное масло" sheetId="4" r:id="rId8"/>
    <sheet state="visible" name="Пэды" sheetId="5" r:id="rId9"/>
  </sheets>
  <definedNames/>
  <calcPr/>
</workbook>
</file>

<file path=xl/sharedStrings.xml><?xml version="1.0" encoding="utf-8"?>
<sst xmlns="http://schemas.openxmlformats.org/spreadsheetml/2006/main" count="276" uniqueCount="171">
  <si>
    <t>Доп.обработка на складе+хоз</t>
  </si>
  <si>
    <t>короб</t>
  </si>
  <si>
    <t>Базовая приемка Р/л.ед.товара</t>
  </si>
  <si>
    <t>% СПП по категории Красота</t>
  </si>
  <si>
    <t>Коэф. Рекламы (10%)</t>
  </si>
  <si>
    <t>суперсейф</t>
  </si>
  <si>
    <t>Базовая приемка Р/ед.товара</t>
  </si>
  <si>
    <t>Коэффициент платной приемки</t>
  </si>
  <si>
    <t>Ставка рефинансирования (21%) = 1,75/месяц</t>
  </si>
  <si>
    <t>Обратная логистика для всего</t>
  </si>
  <si>
    <t>% Минимальной маржи для РРЦ</t>
  </si>
  <si>
    <t>Цена логистики за литр</t>
  </si>
  <si>
    <t>Базовая Логистика за 1литр</t>
  </si>
  <si>
    <t>Цена логистики сверх литра</t>
  </si>
  <si>
    <t>Базовая Логистика за доп.литр</t>
  </si>
  <si>
    <t>Цена хранения литр/день</t>
  </si>
  <si>
    <t>Комиссия ВБ по категории</t>
  </si>
  <si>
    <t>Количество дней хранения</t>
  </si>
  <si>
    <t>Эквайринг 1,5%</t>
  </si>
  <si>
    <t>Налог УСН 1%</t>
  </si>
  <si>
    <t>КОРЕЯ</t>
  </si>
  <si>
    <t>Текущая цена продажи</t>
  </si>
  <si>
    <t>Доп.Расход</t>
  </si>
  <si>
    <t>РАСХОДЫ WB</t>
  </si>
  <si>
    <t>МАРЖА</t>
  </si>
  <si>
    <t>Код WB Коротич, Скляров, Крона</t>
  </si>
  <si>
    <t>Код WB Коротич</t>
  </si>
  <si>
    <t>Наименование</t>
  </si>
  <si>
    <t>Кол-во</t>
  </si>
  <si>
    <t>ЗАКУП руб.</t>
  </si>
  <si>
    <t>ИТОГО себес.</t>
  </si>
  <si>
    <t>Итого прибыль</t>
  </si>
  <si>
    <t>Себ-ть</t>
  </si>
  <si>
    <t>Цена продажи на WB</t>
  </si>
  <si>
    <r>
      <rPr>
        <rFont val="Arial"/>
        <b/>
        <color theme="1"/>
        <sz val="14.0"/>
      </rPr>
      <t>РРЦ</t>
    </r>
    <r>
      <rPr>
        <rFont val="Arial"/>
        <b/>
        <color theme="1"/>
      </rPr>
      <t xml:space="preserve"> плановая без СПП</t>
    </r>
  </si>
  <si>
    <t>Кол-во к закупу</t>
  </si>
  <si>
    <t>% СПП</t>
  </si>
  <si>
    <t>Цена с СПП</t>
  </si>
  <si>
    <t>Доп обработка склад</t>
  </si>
  <si>
    <t>Налог УСН</t>
  </si>
  <si>
    <t>Стоимость денег</t>
  </si>
  <si>
    <t>Объем, литр</t>
  </si>
  <si>
    <t>Логистика WB</t>
  </si>
  <si>
    <r>
      <rPr>
        <rFont val="Calibri"/>
        <color theme="1"/>
        <sz val="9.0"/>
      </rPr>
      <t xml:space="preserve">Комиссия </t>
    </r>
    <r>
      <rPr>
        <rFont val="Calibri"/>
        <b/>
        <color theme="1"/>
        <sz val="12.0"/>
      </rPr>
      <t>WB 32,5%</t>
    </r>
  </si>
  <si>
    <r>
      <rPr>
        <rFont val="Calibri"/>
        <color theme="1"/>
        <sz val="9.0"/>
      </rPr>
      <t xml:space="preserve">Эквайринг </t>
    </r>
    <r>
      <rPr>
        <rFont val="Calibri"/>
        <b/>
        <color theme="1"/>
        <sz val="12.0"/>
      </rPr>
      <t>2,17%</t>
    </r>
  </si>
  <si>
    <t>Обратная логистика от % выкупа</t>
  </si>
  <si>
    <t>% выкупа</t>
  </si>
  <si>
    <t>Хранение</t>
  </si>
  <si>
    <r>
      <rPr>
        <rFont val="Calibri"/>
        <b/>
        <color theme="1"/>
        <sz val="9.0"/>
      </rPr>
      <t>Рекламные</t>
    </r>
    <r>
      <rPr>
        <rFont val="Calibri"/>
        <color theme="1"/>
        <sz val="9.0"/>
      </rPr>
      <t xml:space="preserve"> расходы от продажи</t>
    </r>
  </si>
  <si>
    <t>Брак</t>
  </si>
  <si>
    <t>Платная приемка</t>
  </si>
  <si>
    <t>МАРЖА с ед.</t>
  </si>
  <si>
    <t>ROI %</t>
  </si>
  <si>
    <t>Пенка для умывания</t>
  </si>
  <si>
    <t>Гидрофильное масло</t>
  </si>
  <si>
    <t>Сыворотка с микроиглами 50</t>
  </si>
  <si>
    <t>Пэды</t>
  </si>
  <si>
    <t>Сыворотка с микроиглами 300</t>
  </si>
  <si>
    <t>Позиция</t>
  </si>
  <si>
    <t>Артикул WB</t>
  </si>
  <si>
    <t>Товар</t>
  </si>
  <si>
    <t>Линейка/тип</t>
  </si>
  <si>
    <t>Предмет</t>
  </si>
  <si>
    <t>Цена с СПП, ₽</t>
  </si>
  <si>
    <t>Расч. заказы</t>
  </si>
  <si>
    <t>Расч. выручка, ₽</t>
  </si>
  <si>
    <t>Упущенная выручка, ₽</t>
  </si>
  <si>
    <t>Наличие</t>
  </si>
  <si>
    <t>Рейтинг</t>
  </si>
  <si>
    <t>Оценки</t>
  </si>
  <si>
    <t>Возраст, дней</t>
  </si>
  <si>
    <t>Полки TOP-10</t>
  </si>
  <si>
    <t>Полки TOP-100</t>
  </si>
  <si>
    <t>Себестоимость в ₽ x1,4</t>
  </si>
  <si>
    <t>Увлажняющий тонер для лица с морской водой</t>
  </si>
  <si>
    <t>1025 Dokdo Toner</t>
  </si>
  <si>
    <t>Тоники</t>
  </si>
  <si>
    <t>47+</t>
  </si>
  <si>
    <t>Мицеллярная вода для снятия макияжа с морской водой</t>
  </si>
  <si>
    <t>1025 Dokdo Cleansing Water</t>
  </si>
  <si>
    <t>Средства для снятия макияжа</t>
  </si>
  <si>
    <t>Пенка очищающая для лица от прыщей с сосной и кислотами</t>
  </si>
  <si>
    <t>Pine / acne care</t>
  </si>
  <si>
    <t>Пенки</t>
  </si>
  <si>
    <t>41+</t>
  </si>
  <si>
    <t>Крем для рук увлажняющий для сухой кожи с берёзовым соком</t>
  </si>
  <si>
    <t>Hand cream</t>
  </si>
  <si>
    <t>Кремы</t>
  </si>
  <si>
    <t>Тонер для лица увлажняющий с морской водой</t>
  </si>
  <si>
    <t>52+</t>
  </si>
  <si>
    <t>Тонер для лица увлажняющий с морской водой 500 мл</t>
  </si>
  <si>
    <t>Гель для душа от прыщей с кислотами</t>
  </si>
  <si>
    <t>Гели</t>
  </si>
  <si>
    <t>Дорожный набор уходовой косметики для лица с сосной 4 шт</t>
  </si>
  <si>
    <t>Сыворотка для лица от прыщей с сосной</t>
  </si>
  <si>
    <t>Сыворотки</t>
  </si>
  <si>
    <t>Лосьон для лица мужской с березовым соком</t>
  </si>
  <si>
    <t>Men line</t>
  </si>
  <si>
    <t>Крем для лица увлажняющий для проблемной кожи с сосной</t>
  </si>
  <si>
    <t>Крем вокруг глаз с роликом от морщин с коллагеном и камелией</t>
  </si>
  <si>
    <t>Eye care</t>
  </si>
  <si>
    <t>Тонер для лица молочный с ПДРН и коллагеном</t>
  </si>
  <si>
    <t>PDRN / collagen</t>
  </si>
  <si>
    <t>46+</t>
  </si>
  <si>
    <t>Показатели</t>
  </si>
  <si>
    <t>Артикул WB 712022766</t>
  </si>
  <si>
    <t>Артикул WB 174014745</t>
  </si>
  <si>
    <t>Артикул WB 202549781</t>
  </si>
  <si>
    <t>Артикул WB 239121839</t>
  </si>
  <si>
    <t>Артикул WB 244818246</t>
  </si>
  <si>
    <t>Название</t>
  </si>
  <si>
    <t>Пенка для умывания пузырьковая Noni Acne Bubble Cleanser</t>
  </si>
  <si>
    <t>Пузырьковая пенка для умывания с нони от акне</t>
  </si>
  <si>
    <t>Пенка для умывания пузырьковая The Real Noni Acne Bubble Cleanser, 155 мл</t>
  </si>
  <si>
    <t>Пузырьковая пенка для умывания и очищения с экстрактом нони</t>
  </si>
  <si>
    <t>пенка от воспалений акне и прыщей</t>
  </si>
  <si>
    <t>Категория</t>
  </si>
  <si>
    <t>Красота</t>
  </si>
  <si>
    <t>Бренд</t>
  </si>
  <si>
    <t>Celimax</t>
  </si>
  <si>
    <t>Рейтинг карточки</t>
  </si>
  <si>
    <t>Рейтинг по отзывам</t>
  </si>
  <si>
    <t>Количество отзывов</t>
  </si>
  <si>
    <t>Минимальная цена со скидкой (по размерам), ₽</t>
  </si>
  <si>
    <t>Максимальная цена со скидкой (по размерам), ₽</t>
  </si>
  <si>
    <t>Медианная цена покупателя, ₽</t>
  </si>
  <si>
    <t>Среднее время доставки</t>
  </si>
  <si>
    <t>2д 2ч</t>
  </si>
  <si>
    <t>1д 15ч</t>
  </si>
  <si>
    <t>1д 11ч</t>
  </si>
  <si>
    <t>1д 20ч</t>
  </si>
  <si>
    <t>2д 0ч</t>
  </si>
  <si>
    <t>Средняя позиция</t>
  </si>
  <si>
    <t>Показы</t>
  </si>
  <si>
    <t>Переходы в карточку</t>
  </si>
  <si>
    <t>CTR</t>
  </si>
  <si>
    <t>Положили в корзину</t>
  </si>
  <si>
    <t>Конверсия в корзину, %</t>
  </si>
  <si>
    <t>Заказали, шт за месяц</t>
  </si>
  <si>
    <t>Заказали, шт за квартал</t>
  </si>
  <si>
    <t>Конверсия в заказ, %</t>
  </si>
  <si>
    <t>Выкупили, шт</t>
  </si>
  <si>
    <t>Процент выкупа</t>
  </si>
  <si>
    <t>Отменили, шт</t>
  </si>
  <si>
    <t>Артикул WB 187281601</t>
  </si>
  <si>
    <t>Артикул WB 202549744</t>
  </si>
  <si>
    <t>Артикул WB 200907959</t>
  </si>
  <si>
    <t>Артикул WB 235582634</t>
  </si>
  <si>
    <t>Артикул WB 712051793</t>
  </si>
  <si>
    <t>Гидрофильное масло для умывания с экстрактом жожоба 150мл</t>
  </si>
  <si>
    <t>Гидрофильное масло для умывания с экстрактом жожоба Derma Nature Fresh Blackhead Jojoba Cleansing Oil, 150 мл</t>
  </si>
  <si>
    <t>Гидрофильное масло для лица с жожоба</t>
  </si>
  <si>
    <t>Гидрофильное масло для лица</t>
  </si>
  <si>
    <t>Масло для умывания Fresh Blackhead Jojoba Cleansing Oil</t>
  </si>
  <si>
    <t>Гидрофильные масла</t>
  </si>
  <si>
    <t>1д 19ч</t>
  </si>
  <si>
    <t>2д 1ч</t>
  </si>
  <si>
    <t>2д 4ч</t>
  </si>
  <si>
    <t>2д 6ч</t>
  </si>
  <si>
    <t>2д 5ч</t>
  </si>
  <si>
    <t>Артикул WB 255404071</t>
  </si>
  <si>
    <t>Артикул WB 200907964</t>
  </si>
  <si>
    <t>Артикул WB 712019009</t>
  </si>
  <si>
    <t>Артикул WB 95247713</t>
  </si>
  <si>
    <t>Тонер пэды для лица тонизирующие Ji Woo Gae Heartleaf BHA Peeling Pad, 60 шт</t>
  </si>
  <si>
    <t>Отшелушивающие пэды с bha-кислотой, 60 штук</t>
  </si>
  <si>
    <t>Пэды для лица Ji Woo Gae Heartleaf BHA Peeling Pad</t>
  </si>
  <si>
    <t>Тонизирующие пэды для лица Ji Woo Gae Heartleaf BHA Peeling Pad, 60 шт</t>
  </si>
  <si>
    <t>Пэды косметические</t>
  </si>
  <si>
    <t>1д 21ч</t>
  </si>
  <si>
    <t>1д 23ч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</si>
</sst>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_ ;[Red]\-#,##0.00\ "/>
    <numFmt numFmtId="165" formatCode="#,##0_ ;[Red]\-#,##0\ "/>
    <numFmt numFmtId="166" formatCode="#,##0.000"/>
  </numFmts>
  <fonts count="18">
    <font>
      <sz val="10.0"/>
      <color rgb="FF000000"/>
      <name val="Arial"/>
      <scheme val="minor"/>
    </font>
    <font>
      <color theme="1"/>
      <name val="Calibri"/>
    </font>
    <font>
      <sz val="9.0"/>
      <color theme="1"/>
      <name val="Arial"/>
    </font>
    <font>
      <sz val="8.0"/>
      <color theme="1"/>
      <name val="Arial"/>
    </font>
    <font>
      <b/>
      <sz val="8.0"/>
      <color theme="1"/>
      <name val="Arial"/>
    </font>
    <font>
      <b/>
      <color theme="1"/>
      <name val="Calibri"/>
    </font>
    <font>
      <b/>
      <sz val="11.0"/>
      <color theme="1"/>
      <name val="Arial"/>
    </font>
    <font>
      <i/>
      <color theme="1"/>
      <name val="Calibri"/>
    </font>
    <font>
      <b/>
      <i/>
      <color theme="1"/>
      <name val="Calibri"/>
    </font>
    <font>
      <b/>
      <color theme="1"/>
      <name val="Arial"/>
    </font>
    <font/>
    <font>
      <b/>
      <color theme="1"/>
      <name val="Times New Roman"/>
    </font>
    <font>
      <sz val="9.0"/>
      <color theme="1"/>
      <name val="Calibri"/>
    </font>
    <font>
      <color theme="1"/>
      <name val="Arial"/>
    </font>
    <font>
      <b/>
      <i/>
      <color theme="1"/>
      <name val="Arial"/>
    </font>
    <font>
      <color theme="1"/>
      <name val="Arial"/>
      <scheme val="minor"/>
    </font>
    <font>
      <b/>
      <sz val="12.0"/>
      <color theme="1"/>
      <name val="Montserrat"/>
    </font>
    <font>
      <sz val="12.0"/>
      <color theme="1"/>
      <name val="Montserrat"/>
    </font>
  </fonts>
  <fills count="1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FBE4D5"/>
        <bgColor rgb="FFFBE4D5"/>
      </patternFill>
    </fill>
    <fill>
      <patternFill patternType="solid">
        <fgColor rgb="FFE6E6E6"/>
        <bgColor rgb="FFE6E6E6"/>
      </patternFill>
    </fill>
    <fill>
      <patternFill patternType="solid">
        <fgColor rgb="FFD8D8D8"/>
        <bgColor rgb="FFD8D8D8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A5858"/>
        <bgColor rgb="FFFA5858"/>
      </patternFill>
    </fill>
    <fill>
      <patternFill patternType="solid">
        <fgColor rgb="FFE2E3E9"/>
        <bgColor rgb="FFE2E3E9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C0C0C0"/>
      </left>
      <right style="thin">
        <color rgb="FFC0C0C0"/>
      </right>
      <bottom style="thin">
        <color rgb="FF757285"/>
      </bottom>
    </border>
    <border>
      <right style="thin">
        <color rgb="FFC0C0C0"/>
      </right>
      <bottom style="thin">
        <color rgb="FF757285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65" xfId="0" applyFont="1" applyNumberFormat="1"/>
    <xf borderId="0" fillId="0" fontId="3" numFmtId="0" xfId="0" applyAlignment="1" applyFont="1">
      <alignment shrinkToFit="0" wrapText="1"/>
    </xf>
    <xf borderId="0" fillId="0" fontId="1" numFmtId="4" xfId="0" applyFont="1" applyNumberFormat="1"/>
    <xf borderId="0" fillId="0" fontId="1" numFmtId="9" xfId="0" applyFont="1" applyNumberFormat="1"/>
    <xf borderId="0" fillId="0" fontId="3" numFmtId="4" xfId="0" applyFont="1" applyNumberFormat="1"/>
    <xf borderId="2" fillId="0" fontId="4" numFmtId="4" xfId="0" applyAlignment="1" applyBorder="1" applyFont="1" applyNumberFormat="1">
      <alignment horizontal="center"/>
    </xf>
    <xf borderId="3" fillId="2" fontId="4" numFmtId="4" xfId="0" applyAlignment="1" applyBorder="1" applyFont="1" applyNumberFormat="1">
      <alignment horizontal="right"/>
    </xf>
    <xf borderId="4" fillId="0" fontId="4" numFmtId="4" xfId="0" applyBorder="1" applyFont="1" applyNumberFormat="1"/>
    <xf borderId="4" fillId="0" fontId="1" numFmtId="4" xfId="0" applyBorder="1" applyFont="1" applyNumberFormat="1"/>
    <xf borderId="5" fillId="0" fontId="1" numFmtId="4" xfId="0" applyBorder="1" applyFont="1" applyNumberFormat="1"/>
    <xf borderId="1" fillId="2" fontId="4" numFmtId="10" xfId="0" applyAlignment="1" applyBorder="1" applyFont="1" applyNumberFormat="1">
      <alignment horizontal="center"/>
    </xf>
    <xf borderId="6" fillId="0" fontId="3" numFmtId="0" xfId="0" applyBorder="1" applyFont="1"/>
    <xf borderId="7" fillId="0" fontId="1" numFmtId="0" xfId="0" applyBorder="1" applyFont="1"/>
    <xf borderId="8" fillId="0" fontId="1" numFmtId="4" xfId="0" applyBorder="1" applyFont="1" applyNumberFormat="1"/>
    <xf borderId="0" fillId="0" fontId="1" numFmtId="10" xfId="0" applyFont="1" applyNumberFormat="1"/>
    <xf borderId="1" fillId="2" fontId="5" numFmtId="9" xfId="0" applyAlignment="1" applyBorder="1" applyFont="1" applyNumberFormat="1">
      <alignment horizontal="center" readingOrder="0" shrinkToFit="0" wrapText="1"/>
    </xf>
    <xf borderId="6" fillId="0" fontId="1" numFmtId="0" xfId="0" applyAlignment="1" applyBorder="1" applyFont="1">
      <alignment horizontal="center" shrinkToFit="0" wrapText="1"/>
    </xf>
    <xf borderId="0" fillId="0" fontId="3" numFmtId="4" xfId="0" applyAlignment="1" applyFont="1" applyNumberFormat="1">
      <alignment horizontal="center" shrinkToFit="0" vertical="bottom" wrapText="1"/>
    </xf>
    <xf borderId="9" fillId="0" fontId="3" numFmtId="4" xfId="0" applyAlignment="1" applyBorder="1" applyFont="1" applyNumberFormat="1">
      <alignment horizontal="center"/>
    </xf>
    <xf borderId="10" fillId="0" fontId="3" numFmtId="4" xfId="0" applyAlignment="1" applyBorder="1" applyFont="1" applyNumberFormat="1">
      <alignment horizontal="right"/>
    </xf>
    <xf borderId="10" fillId="0" fontId="3" numFmtId="4" xfId="0" applyBorder="1" applyFont="1" applyNumberFormat="1"/>
    <xf borderId="10" fillId="0" fontId="1" numFmtId="4" xfId="0" applyBorder="1" applyFont="1" applyNumberFormat="1"/>
    <xf borderId="11" fillId="0" fontId="1" numFmtId="4" xfId="0" applyBorder="1" applyFont="1" applyNumberFormat="1"/>
    <xf borderId="1" fillId="2" fontId="6" numFmtId="3" xfId="0" applyAlignment="1" applyBorder="1" applyFont="1" applyNumberFormat="1">
      <alignment horizontal="center"/>
    </xf>
    <xf borderId="12" fillId="2" fontId="1" numFmtId="10" xfId="0" applyAlignment="1" applyBorder="1" applyFont="1" applyNumberFormat="1">
      <alignment horizontal="center" shrinkToFit="0" wrapText="1"/>
    </xf>
    <xf borderId="13" fillId="0" fontId="1" numFmtId="0" xfId="0" applyAlignment="1" applyBorder="1" applyFont="1">
      <alignment horizontal="center" shrinkToFit="0" wrapText="1"/>
    </xf>
    <xf borderId="14" fillId="2" fontId="4" numFmtId="4" xfId="0" applyAlignment="1" applyBorder="1" applyFont="1" applyNumberFormat="1">
      <alignment horizontal="right"/>
    </xf>
    <xf borderId="10" fillId="0" fontId="4" numFmtId="166" xfId="0" applyBorder="1" applyFont="1" applyNumberFormat="1"/>
    <xf borderId="1" fillId="3" fontId="4" numFmtId="10" xfId="0" applyAlignment="1" applyBorder="1" applyFill="1" applyFont="1" applyNumberFormat="1">
      <alignment horizontal="center"/>
    </xf>
    <xf borderId="15" fillId="3" fontId="3" numFmtId="0" xfId="0" applyBorder="1" applyFont="1"/>
    <xf borderId="16" fillId="3" fontId="1" numFmtId="0" xfId="0" applyBorder="1" applyFont="1"/>
    <xf borderId="17" fillId="3" fontId="1" numFmtId="4" xfId="0" applyBorder="1" applyFont="1" applyNumberFormat="1"/>
    <xf borderId="18" fillId="2" fontId="7" numFmtId="0" xfId="0" applyAlignment="1" applyBorder="1" applyFont="1">
      <alignment horizontal="center" shrinkToFit="0" wrapText="1"/>
    </xf>
    <xf borderId="19" fillId="0" fontId="7" numFmtId="0" xfId="0" applyAlignment="1" applyBorder="1" applyFont="1">
      <alignment horizontal="center" shrinkToFit="0" wrapText="1"/>
    </xf>
    <xf borderId="0" fillId="0" fontId="3" numFmtId="4" xfId="0" applyAlignment="1" applyFont="1" applyNumberFormat="1">
      <alignment horizontal="right"/>
    </xf>
    <xf borderId="0" fillId="0" fontId="3" numFmtId="166" xfId="0" applyFont="1" applyNumberFormat="1"/>
    <xf borderId="20" fillId="2" fontId="7" numFmtId="0" xfId="0" applyAlignment="1" applyBorder="1" applyFont="1">
      <alignment horizontal="center" shrinkToFit="0" wrapText="1"/>
    </xf>
    <xf borderId="21" fillId="0" fontId="7" numFmtId="0" xfId="0" applyAlignment="1" applyBorder="1" applyFont="1">
      <alignment horizontal="center" shrinkToFit="0" wrapText="1"/>
    </xf>
    <xf borderId="22" fillId="2" fontId="4" numFmtId="10" xfId="0" applyAlignment="1" applyBorder="1" applyFont="1" applyNumberFormat="1">
      <alignment horizontal="right" readingOrder="0"/>
    </xf>
    <xf borderId="4" fillId="0" fontId="3" numFmtId="166" xfId="0" applyBorder="1" applyFont="1" applyNumberFormat="1"/>
    <xf borderId="20" fillId="2" fontId="8" numFmtId="0" xfId="0" applyAlignment="1" applyBorder="1" applyFont="1">
      <alignment horizontal="center" shrinkToFit="0" wrapText="1"/>
    </xf>
    <xf borderId="23" fillId="2" fontId="4" numFmtId="10" xfId="0" applyAlignment="1" applyBorder="1" applyFont="1" applyNumberFormat="1">
      <alignment horizontal="right"/>
    </xf>
    <xf borderId="24" fillId="0" fontId="3" numFmtId="166" xfId="0" applyBorder="1" applyFont="1" applyNumberFormat="1"/>
    <xf borderId="24" fillId="0" fontId="1" numFmtId="4" xfId="0" applyBorder="1" applyFont="1" applyNumberFormat="1"/>
    <xf borderId="25" fillId="0" fontId="1" numFmtId="4" xfId="0" applyBorder="1" applyFont="1" applyNumberFormat="1"/>
    <xf borderId="26" fillId="2" fontId="5" numFmtId="9" xfId="0" applyAlignment="1" applyBorder="1" applyFont="1" applyNumberFormat="1">
      <alignment horizontal="center" shrinkToFit="0" wrapText="1"/>
    </xf>
    <xf borderId="27" fillId="0" fontId="8" numFmtId="0" xfId="0" applyAlignment="1" applyBorder="1" applyFont="1">
      <alignment horizontal="center" shrinkToFit="0" wrapText="1"/>
    </xf>
    <xf borderId="28" fillId="0" fontId="9" numFmtId="165" xfId="0" applyAlignment="1" applyBorder="1" applyFont="1" applyNumberFormat="1">
      <alignment horizontal="center"/>
    </xf>
    <xf borderId="29" fillId="0" fontId="10" numFmtId="0" xfId="0" applyBorder="1" applyFont="1"/>
    <xf borderId="30" fillId="0" fontId="4" numFmtId="4" xfId="0" applyAlignment="1" applyBorder="1" applyFont="1" applyNumberFormat="1">
      <alignment horizontal="center" shrinkToFit="0" wrapText="1"/>
    </xf>
    <xf borderId="31" fillId="0" fontId="10" numFmtId="0" xfId="0" applyBorder="1" applyFont="1"/>
    <xf borderId="32" fillId="0" fontId="10" numFmtId="0" xfId="0" applyBorder="1" applyFont="1"/>
    <xf borderId="30" fillId="0" fontId="3" numFmtId="4" xfId="0" applyAlignment="1" applyBorder="1" applyFont="1" applyNumberFormat="1">
      <alignment horizontal="center"/>
    </xf>
    <xf borderId="33" fillId="0" fontId="3" numFmtId="4" xfId="0" applyAlignment="1" applyBorder="1" applyFont="1" applyNumberFormat="1">
      <alignment horizontal="center"/>
    </xf>
    <xf borderId="34" fillId="0" fontId="10" numFmtId="0" xfId="0" applyBorder="1" applyFont="1"/>
    <xf borderId="35" fillId="0" fontId="10" numFmtId="0" xfId="0" applyBorder="1" applyFont="1"/>
    <xf borderId="28" fillId="0" fontId="3" numFmtId="4" xfId="0" applyAlignment="1" applyBorder="1" applyFont="1" applyNumberFormat="1">
      <alignment horizontal="center"/>
    </xf>
    <xf borderId="1" fillId="4" fontId="4" numFmtId="0" xfId="0" applyAlignment="1" applyBorder="1" applyFill="1" applyFont="1">
      <alignment horizontal="center" shrinkToFit="0" wrapText="1"/>
    </xf>
    <xf borderId="14" fillId="4" fontId="4" numFmtId="0" xfId="0" applyAlignment="1" applyBorder="1" applyFont="1">
      <alignment horizontal="center" shrinkToFit="0" vertical="bottom" wrapText="1"/>
    </xf>
    <xf borderId="36" fillId="4" fontId="4" numFmtId="165" xfId="0" applyAlignment="1" applyBorder="1" applyFont="1" applyNumberFormat="1">
      <alignment horizontal="center"/>
    </xf>
    <xf borderId="1" fillId="4" fontId="4" numFmtId="165" xfId="0" applyAlignment="1" applyBorder="1" applyFont="1" applyNumberFormat="1">
      <alignment horizontal="center" readingOrder="0"/>
    </xf>
    <xf borderId="16" fillId="4" fontId="4" numFmtId="164" xfId="0" applyAlignment="1" applyBorder="1" applyFont="1" applyNumberFormat="1">
      <alignment horizontal="center" readingOrder="0" shrinkToFit="0" wrapText="1"/>
    </xf>
    <xf borderId="37" fillId="5" fontId="4" numFmtId="0" xfId="0" applyAlignment="1" applyBorder="1" applyFill="1" applyFont="1">
      <alignment horizontal="center" readingOrder="0" shrinkToFit="0" wrapText="1"/>
    </xf>
    <xf borderId="17" fillId="5" fontId="4" numFmtId="0" xfId="0" applyAlignment="1" applyBorder="1" applyFont="1">
      <alignment horizontal="center" shrinkToFit="0" wrapText="1"/>
    </xf>
    <xf borderId="38" fillId="2" fontId="11" numFmtId="4" xfId="0" applyAlignment="1" applyBorder="1" applyFont="1" applyNumberFormat="1">
      <alignment horizontal="center" shrinkToFit="0" wrapText="1"/>
    </xf>
    <xf borderId="1" fillId="3" fontId="9" numFmtId="4" xfId="0" applyAlignment="1" applyBorder="1" applyFont="1" applyNumberFormat="1">
      <alignment horizontal="center" readingOrder="0" shrinkToFit="0" wrapText="1"/>
    </xf>
    <xf borderId="39" fillId="6" fontId="9" numFmtId="4" xfId="0" applyAlignment="1" applyBorder="1" applyFill="1" applyFont="1" applyNumberFormat="1">
      <alignment horizontal="center" shrinkToFit="0" wrapText="1"/>
    </xf>
    <xf borderId="40" fillId="0" fontId="11" numFmtId="9" xfId="0" applyAlignment="1" applyBorder="1" applyFont="1" applyNumberFormat="1">
      <alignment horizontal="center" shrinkToFit="0" wrapText="1"/>
    </xf>
    <xf borderId="40" fillId="0" fontId="11" numFmtId="4" xfId="0" applyAlignment="1" applyBorder="1" applyFont="1" applyNumberFormat="1">
      <alignment horizontal="center" shrinkToFit="0" wrapText="1"/>
    </xf>
    <xf borderId="41" fillId="0" fontId="5" numFmtId="4" xfId="0" applyAlignment="1" applyBorder="1" applyFont="1" applyNumberFormat="1">
      <alignment horizontal="center" shrinkToFit="0" wrapText="1"/>
    </xf>
    <xf borderId="42" fillId="0" fontId="5" numFmtId="4" xfId="0" applyAlignment="1" applyBorder="1" applyFont="1" applyNumberFormat="1">
      <alignment horizontal="center" shrinkToFit="0" wrapText="1"/>
    </xf>
    <xf borderId="43" fillId="0" fontId="5" numFmtId="4" xfId="0" applyAlignment="1" applyBorder="1" applyFont="1" applyNumberFormat="1">
      <alignment horizontal="center" shrinkToFit="0" wrapText="1"/>
    </xf>
    <xf borderId="0" fillId="0" fontId="5" numFmtId="4" xfId="0" applyAlignment="1" applyFont="1" applyNumberFormat="1">
      <alignment horizontal="center" shrinkToFit="0" wrapText="1"/>
    </xf>
    <xf borderId="44" fillId="0" fontId="12" numFmtId="4" xfId="0" applyAlignment="1" applyBorder="1" applyFont="1" applyNumberFormat="1">
      <alignment horizontal="center" shrinkToFit="0" wrapText="1"/>
    </xf>
    <xf borderId="13" fillId="0" fontId="12" numFmtId="166" xfId="0" applyAlignment="1" applyBorder="1" applyFont="1" applyNumberFormat="1">
      <alignment horizontal="center" readingOrder="0" shrinkToFit="0" wrapText="1"/>
    </xf>
    <xf borderId="13" fillId="0" fontId="12" numFmtId="166" xfId="0" applyAlignment="1" applyBorder="1" applyFont="1" applyNumberFormat="1">
      <alignment horizontal="center" shrinkToFit="0" wrapText="1"/>
    </xf>
    <xf borderId="13" fillId="0" fontId="12" numFmtId="4" xfId="0" applyAlignment="1" applyBorder="1" applyFont="1" applyNumberFormat="1">
      <alignment horizontal="center" shrinkToFit="0" wrapText="1"/>
    </xf>
    <xf borderId="45" fillId="0" fontId="12" numFmtId="4" xfId="0" applyAlignment="1" applyBorder="1" applyFont="1" applyNumberFormat="1">
      <alignment horizontal="center" shrinkToFit="0" wrapText="1"/>
    </xf>
    <xf borderId="5" fillId="0" fontId="13" numFmtId="0" xfId="0" applyAlignment="1" applyBorder="1" applyFont="1">
      <alignment horizontal="center" shrinkToFit="0" wrapText="1"/>
    </xf>
    <xf borderId="2" fillId="0" fontId="13" numFmtId="0" xfId="0" applyAlignment="1" applyBorder="1" applyFont="1">
      <alignment horizontal="center" shrinkToFit="0" wrapText="1"/>
    </xf>
    <xf borderId="44" fillId="0" fontId="13" numFmtId="4" xfId="0" applyAlignment="1" applyBorder="1" applyFont="1" applyNumberFormat="1">
      <alignment horizontal="center" shrinkToFit="0" wrapText="1"/>
    </xf>
    <xf borderId="45" fillId="0" fontId="13" numFmtId="10" xfId="0" applyAlignment="1" applyBorder="1" applyFont="1" applyNumberFormat="1">
      <alignment horizontal="center" shrinkToFit="0" wrapText="1"/>
    </xf>
    <xf borderId="1" fillId="7" fontId="14" numFmtId="0" xfId="0" applyBorder="1" applyFill="1" applyFont="1"/>
    <xf borderId="1" fillId="7" fontId="1" numFmtId="0" xfId="0" applyAlignment="1" applyBorder="1" applyFont="1">
      <alignment vertical="bottom"/>
    </xf>
    <xf borderId="1" fillId="7" fontId="4" numFmtId="0" xfId="0" applyAlignment="1" applyBorder="1" applyFont="1">
      <alignment shrinkToFit="0" vertical="bottom" wrapText="1"/>
    </xf>
    <xf borderId="1" fillId="7" fontId="1" numFmtId="0" xfId="0" applyBorder="1" applyFont="1"/>
    <xf borderId="1" fillId="7" fontId="1" numFmtId="0" xfId="0" applyAlignment="1" applyBorder="1" applyFont="1">
      <alignment horizontal="center"/>
    </xf>
    <xf borderId="1" fillId="7" fontId="1" numFmtId="164" xfId="0" applyBorder="1" applyFont="1" applyNumberFormat="1"/>
    <xf borderId="1" fillId="8" fontId="1" numFmtId="0" xfId="0" applyBorder="1" applyFill="1" applyFont="1"/>
    <xf borderId="1" fillId="8" fontId="1" numFmtId="4" xfId="0" applyBorder="1" applyFont="1" applyNumberFormat="1"/>
    <xf borderId="1" fillId="8" fontId="1" numFmtId="9" xfId="0" applyBorder="1" applyFont="1" applyNumberFormat="1"/>
    <xf borderId="1" fillId="8" fontId="1" numFmtId="166" xfId="0" applyBorder="1" applyFont="1" applyNumberFormat="1"/>
    <xf borderId="1" fillId="8" fontId="1" numFmtId="10" xfId="0" applyBorder="1" applyFont="1" applyNumberFormat="1"/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3" numFmtId="4" xfId="0" applyAlignment="1" applyBorder="1" applyFont="1" applyNumberFormat="1">
      <alignment horizontal="left" readingOrder="0"/>
    </xf>
    <xf borderId="1" fillId="0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164" xfId="0" applyBorder="1" applyFont="1" applyNumberFormat="1"/>
    <xf borderId="1" fillId="3" fontId="3" numFmtId="4" xfId="0" applyAlignment="1" applyBorder="1" applyFont="1" applyNumberFormat="1">
      <alignment horizontal="center" readingOrder="0"/>
    </xf>
    <xf borderId="1" fillId="2" fontId="3" numFmtId="4" xfId="0" applyAlignment="1" applyBorder="1" applyFont="1" applyNumberFormat="1">
      <alignment horizontal="right" readingOrder="0"/>
    </xf>
    <xf borderId="1" fillId="3" fontId="9" numFmtId="4" xfId="0" applyAlignment="1" applyBorder="1" applyFont="1" applyNumberFormat="1">
      <alignment horizontal="center" readingOrder="0"/>
    </xf>
    <xf borderId="1" fillId="9" fontId="9" numFmtId="4" xfId="0" applyAlignment="1" applyBorder="1" applyFill="1" applyFont="1" applyNumberFormat="1">
      <alignment horizontal="center" readingOrder="0"/>
    </xf>
    <xf borderId="1" fillId="0" fontId="3" numFmtId="9" xfId="0" applyAlignment="1" applyBorder="1" applyFont="1" applyNumberFormat="1">
      <alignment horizontal="right" readingOrder="0"/>
    </xf>
    <xf borderId="1" fillId="0" fontId="3" numFmtId="4" xfId="0" applyAlignment="1" applyBorder="1" applyFont="1" applyNumberFormat="1">
      <alignment horizontal="right"/>
    </xf>
    <xf borderId="1" fillId="0" fontId="1" numFmtId="4" xfId="0" applyBorder="1" applyFont="1" applyNumberFormat="1"/>
    <xf borderId="1" fillId="0" fontId="3" numFmtId="4" xfId="0" applyAlignment="1" applyBorder="1" applyFont="1" applyNumberFormat="1">
      <alignment horizontal="center"/>
    </xf>
    <xf borderId="1" fillId="0" fontId="13" numFmtId="0" xfId="0" applyAlignment="1" applyBorder="1" applyFont="1">
      <alignment horizontal="center" readingOrder="0"/>
    </xf>
    <xf borderId="1" fillId="0" fontId="3" numFmtId="166" xfId="0" applyAlignment="1" applyBorder="1" applyFont="1" applyNumberFormat="1">
      <alignment horizontal="right"/>
    </xf>
    <xf borderId="1" fillId="0" fontId="1" numFmtId="0" xfId="0" applyBorder="1" applyFont="1"/>
    <xf borderId="1" fillId="10" fontId="13" numFmtId="10" xfId="0" applyAlignment="1" applyBorder="1" applyFill="1" applyFont="1" applyNumberFormat="1">
      <alignment horizontal="right"/>
    </xf>
    <xf borderId="1" fillId="3" fontId="9" numFmtId="4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horizontal="center"/>
    </xf>
    <xf borderId="1" fillId="0" fontId="13" numFmtId="0" xfId="0" applyAlignment="1" applyBorder="1" applyFont="1">
      <alignment horizontal="center"/>
    </xf>
    <xf borderId="1" fillId="11" fontId="13" numFmtId="10" xfId="0" applyAlignment="1" applyBorder="1" applyFill="1" applyFont="1" applyNumberFormat="1">
      <alignment horizontal="right"/>
    </xf>
    <xf borderId="0" fillId="0" fontId="15" numFmtId="0" xfId="0" applyAlignment="1" applyFont="1">
      <alignment horizontal="center"/>
    </xf>
    <xf borderId="0" fillId="0" fontId="15" numFmtId="164" xfId="0" applyFont="1" applyNumberFormat="1"/>
    <xf borderId="0" fillId="0" fontId="15" numFmtId="4" xfId="0" applyFont="1" applyNumberFormat="1"/>
    <xf borderId="0" fillId="0" fontId="15" numFmtId="0" xfId="0" applyAlignment="1" applyFont="1">
      <alignment readingOrder="0"/>
    </xf>
    <xf borderId="46" fillId="12" fontId="16" numFmtId="0" xfId="0" applyAlignment="1" applyBorder="1" applyFill="1" applyFont="1">
      <alignment vertical="bottom"/>
    </xf>
    <xf borderId="47" fillId="12" fontId="16" numFmtId="0" xfId="0" applyAlignment="1" applyBorder="1" applyFont="1">
      <alignment shrinkToFit="0" vertical="bottom" wrapText="1"/>
    </xf>
    <xf borderId="0" fillId="0" fontId="13" numFmtId="0" xfId="0" applyAlignment="1" applyFont="1">
      <alignment vertical="bottom"/>
    </xf>
    <xf borderId="0" fillId="0" fontId="17" numFmtId="0" xfId="0" applyAlignment="1" applyFont="1">
      <alignment shrinkToFit="0" vertical="bottom" wrapText="1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13" numFmtId="0" xfId="0" applyAlignment="1" applyFont="1">
      <alignment readingOrder="0" vertical="bottom"/>
    </xf>
    <xf borderId="0" fillId="13" fontId="17" numFmtId="0" xfId="0" applyAlignment="1" applyFill="1" applyFont="1">
      <alignment horizontal="right" vertical="bottom"/>
    </xf>
    <xf borderId="0" fillId="14" fontId="17" numFmtId="0" xfId="0" applyAlignment="1" applyFill="1" applyFont="1">
      <alignment horizontal="right" vertical="bottom"/>
    </xf>
    <xf borderId="0" fillId="13" fontId="13" numFmtId="0" xfId="0" applyAlignment="1" applyFont="1">
      <alignment vertical="bottom"/>
    </xf>
    <xf borderId="46" fillId="12" fontId="16" numFmtId="0" xfId="0" applyAlignment="1" applyBorder="1" applyFont="1">
      <alignment readingOrder="0" vertical="bottom"/>
    </xf>
    <xf borderId="47" fillId="12" fontId="16" numFmtId="0" xfId="0" applyAlignment="1" applyBorder="1" applyFont="1">
      <alignment readingOrder="0" shrinkToFit="0" vertical="bottom" wrapText="1"/>
    </xf>
    <xf borderId="0" fillId="0" fontId="17" numFmtId="0" xfId="0" applyAlignment="1" applyFont="1">
      <alignment readingOrder="0" shrinkToFit="0" vertical="bottom" wrapText="1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horizontal="right" readingOrder="0" vertical="bottom"/>
    </xf>
    <xf borderId="0" fillId="13" fontId="17" numFmtId="0" xfId="0" applyAlignment="1" applyFont="1">
      <alignment horizontal="right" readingOrder="0" vertical="bottom"/>
    </xf>
    <xf borderId="0" fillId="14" fontId="17" numFmtId="0" xfId="0" applyAlignment="1" applyFont="1">
      <alignment horizontal="right" readingOrder="0" vertical="bottom"/>
    </xf>
    <xf borderId="0" fillId="13" fontId="1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88"/>
    <col customWidth="1" min="3" max="3" width="33.63"/>
    <col customWidth="1" min="4" max="4" width="6.88"/>
    <col customWidth="1" min="5" max="5" width="8.5"/>
    <col customWidth="1" min="6" max="6" width="10.75"/>
    <col customWidth="1" min="7" max="7" width="10.88"/>
    <col customWidth="1" min="8" max="8" width="6.13"/>
    <col customWidth="1" min="9" max="9" width="16.25"/>
    <col customWidth="1" min="10" max="10" width="12.13"/>
    <col customWidth="1" min="11" max="11" width="7.88"/>
    <col customWidth="1" min="12" max="12" width="6.88"/>
    <col customWidth="1" min="13" max="13" width="10.25"/>
    <col customWidth="1" min="14" max="14" width="11.88"/>
    <col customWidth="1" min="15" max="15" width="8.38"/>
    <col customWidth="1" min="16" max="16" width="8.75"/>
    <col customWidth="1" min="17" max="18" width="10.13"/>
    <col customWidth="1" min="19" max="19" width="10.5"/>
    <col customWidth="1" min="21" max="21" width="10.38"/>
    <col customWidth="1" min="22" max="22" width="7.0"/>
    <col customWidth="1" min="23" max="23" width="7.25"/>
    <col customWidth="1" min="24" max="24" width="8.63"/>
    <col customWidth="1" min="27" max="27" width="11.38"/>
  </cols>
  <sheetData>
    <row r="1">
      <c r="A1" s="1"/>
      <c r="B1" s="2">
        <v>60.0</v>
      </c>
      <c r="C1" s="3" t="s">
        <v>0</v>
      </c>
      <c r="D1" s="1"/>
      <c r="E1" s="4"/>
      <c r="F1" s="5"/>
      <c r="G1" s="6"/>
      <c r="H1" s="6"/>
      <c r="I1" s="7"/>
      <c r="J1" s="8"/>
      <c r="K1" s="8"/>
      <c r="L1" s="9"/>
      <c r="M1" s="10"/>
      <c r="N1" s="8"/>
      <c r="O1" s="8"/>
      <c r="P1" s="8"/>
      <c r="Q1" s="8"/>
      <c r="R1" s="11" t="s">
        <v>1</v>
      </c>
      <c r="S1" s="12">
        <v>1.7</v>
      </c>
      <c r="T1" s="13" t="s">
        <v>2</v>
      </c>
      <c r="U1" s="14"/>
      <c r="V1" s="15"/>
      <c r="W1" s="8"/>
      <c r="X1" s="16">
        <v>0.29</v>
      </c>
      <c r="Y1" s="17" t="s">
        <v>3</v>
      </c>
      <c r="Z1" s="18"/>
      <c r="AA1" s="19"/>
      <c r="AB1" s="20"/>
    </row>
    <row r="2" ht="16.5" customHeight="1">
      <c r="A2" s="1"/>
      <c r="B2" s="21">
        <v>0.1</v>
      </c>
      <c r="C2" s="22" t="s">
        <v>4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8"/>
      <c r="R2" s="24" t="s">
        <v>5</v>
      </c>
      <c r="S2" s="25">
        <v>1.7</v>
      </c>
      <c r="T2" s="26" t="s">
        <v>6</v>
      </c>
      <c r="U2" s="27"/>
      <c r="V2" s="28"/>
      <c r="W2" s="8"/>
      <c r="X2" s="29">
        <v>0.0</v>
      </c>
      <c r="Y2" s="17" t="s">
        <v>7</v>
      </c>
      <c r="Z2" s="18"/>
      <c r="AA2" s="19"/>
      <c r="AB2" s="20"/>
    </row>
    <row r="3">
      <c r="A3" s="1"/>
      <c r="B3" s="30">
        <v>0.0</v>
      </c>
      <c r="C3" s="31" t="s">
        <v>8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8"/>
      <c r="R3" s="8"/>
      <c r="S3" s="32">
        <v>50.0</v>
      </c>
      <c r="T3" s="33" t="s">
        <v>9</v>
      </c>
      <c r="U3" s="27"/>
      <c r="V3" s="28"/>
      <c r="W3" s="8"/>
      <c r="X3" s="34">
        <v>0.0</v>
      </c>
      <c r="Y3" s="35" t="s">
        <v>10</v>
      </c>
      <c r="Z3" s="36"/>
      <c r="AA3" s="37"/>
      <c r="AB3" s="20"/>
    </row>
    <row r="4">
      <c r="A4" s="1"/>
      <c r="B4" s="38">
        <v>76.0</v>
      </c>
      <c r="C4" s="39" t="s">
        <v>11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8"/>
      <c r="R4" s="8"/>
      <c r="S4" s="40">
        <v>38.0</v>
      </c>
      <c r="T4" s="41" t="s">
        <v>12</v>
      </c>
      <c r="U4" s="8"/>
      <c r="V4" s="8"/>
      <c r="W4" s="8"/>
      <c r="X4" s="8"/>
      <c r="Y4" s="1"/>
      <c r="Z4" s="1"/>
      <c r="AA4" s="8"/>
      <c r="AB4" s="20"/>
    </row>
    <row r="5">
      <c r="A5" s="1"/>
      <c r="B5" s="42">
        <v>19.0</v>
      </c>
      <c r="C5" s="43" t="s">
        <v>13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8"/>
      <c r="R5" s="8"/>
      <c r="S5" s="40">
        <v>9.5</v>
      </c>
      <c r="T5" s="41" t="s">
        <v>14</v>
      </c>
      <c r="U5" s="8"/>
      <c r="V5" s="8"/>
      <c r="W5" s="8"/>
      <c r="X5" s="8"/>
      <c r="Y5" s="1"/>
      <c r="Z5" s="1"/>
      <c r="AA5" s="8"/>
      <c r="AB5" s="20"/>
    </row>
    <row r="6">
      <c r="A6" s="1"/>
      <c r="B6" s="38">
        <v>0.16</v>
      </c>
      <c r="C6" s="39" t="s">
        <v>15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8"/>
      <c r="R6" s="8"/>
      <c r="S6" s="44">
        <v>0.325</v>
      </c>
      <c r="T6" s="45" t="s">
        <v>16</v>
      </c>
      <c r="U6" s="14"/>
      <c r="V6" s="15"/>
      <c r="W6" s="8"/>
      <c r="X6" s="8"/>
      <c r="Y6" s="1"/>
      <c r="Z6" s="1"/>
      <c r="AA6" s="8"/>
      <c r="AB6" s="20"/>
    </row>
    <row r="7">
      <c r="A7" s="1"/>
      <c r="B7" s="46">
        <v>30.0</v>
      </c>
      <c r="C7" s="43" t="s">
        <v>17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7"/>
      <c r="R7" s="8"/>
      <c r="S7" s="47">
        <v>0.0217</v>
      </c>
      <c r="T7" s="48" t="s">
        <v>18</v>
      </c>
      <c r="U7" s="49"/>
      <c r="V7" s="50"/>
      <c r="W7" s="8"/>
      <c r="X7" s="8"/>
      <c r="Y7" s="1"/>
      <c r="Z7" s="1"/>
      <c r="AA7" s="8"/>
      <c r="AB7" s="20"/>
    </row>
    <row r="8">
      <c r="A8" s="1"/>
      <c r="B8" s="51">
        <v>0.08</v>
      </c>
      <c r="C8" s="52" t="s">
        <v>19</v>
      </c>
      <c r="D8" s="53" t="s">
        <v>20</v>
      </c>
      <c r="E8" s="54"/>
      <c r="F8" s="5"/>
      <c r="G8" s="1"/>
      <c r="H8" s="1"/>
      <c r="I8" s="55" t="s">
        <v>21</v>
      </c>
      <c r="J8" s="56"/>
      <c r="K8" s="56"/>
      <c r="L8" s="56"/>
      <c r="M8" s="57"/>
      <c r="N8" s="58" t="s">
        <v>22</v>
      </c>
      <c r="O8" s="56"/>
      <c r="P8" s="57"/>
      <c r="Q8" s="8"/>
      <c r="R8" s="59" t="s">
        <v>23</v>
      </c>
      <c r="S8" s="60"/>
      <c r="T8" s="60"/>
      <c r="U8" s="60"/>
      <c r="V8" s="60"/>
      <c r="W8" s="60"/>
      <c r="X8" s="61"/>
      <c r="Y8" s="1"/>
      <c r="Z8" s="1"/>
      <c r="AA8" s="62" t="s">
        <v>24</v>
      </c>
      <c r="AB8" s="54"/>
    </row>
    <row r="9">
      <c r="A9" s="63" t="s">
        <v>25</v>
      </c>
      <c r="B9" s="63" t="s">
        <v>26</v>
      </c>
      <c r="C9" s="64" t="s">
        <v>27</v>
      </c>
      <c r="D9" s="65" t="s">
        <v>28</v>
      </c>
      <c r="E9" s="66" t="s">
        <v>29</v>
      </c>
      <c r="F9" s="67" t="s">
        <v>30</v>
      </c>
      <c r="G9" s="68" t="s">
        <v>31</v>
      </c>
      <c r="H9" s="69" t="s">
        <v>32</v>
      </c>
      <c r="I9" s="70" t="s">
        <v>33</v>
      </c>
      <c r="J9" s="71" t="s">
        <v>34</v>
      </c>
      <c r="K9" s="72" t="s">
        <v>35</v>
      </c>
      <c r="L9" s="73" t="s">
        <v>36</v>
      </c>
      <c r="M9" s="74" t="s">
        <v>37</v>
      </c>
      <c r="N9" s="75" t="s">
        <v>38</v>
      </c>
      <c r="O9" s="76" t="s">
        <v>39</v>
      </c>
      <c r="P9" s="77" t="s">
        <v>40</v>
      </c>
      <c r="Q9" s="78" t="s">
        <v>41</v>
      </c>
      <c r="R9" s="79" t="s">
        <v>42</v>
      </c>
      <c r="S9" s="80" t="s">
        <v>43</v>
      </c>
      <c r="T9" s="81" t="s">
        <v>44</v>
      </c>
      <c r="U9" s="82" t="s">
        <v>45</v>
      </c>
      <c r="V9" s="82" t="s">
        <v>46</v>
      </c>
      <c r="W9" s="82" t="s">
        <v>47</v>
      </c>
      <c r="X9" s="83" t="s">
        <v>48</v>
      </c>
      <c r="Y9" s="84" t="s">
        <v>49</v>
      </c>
      <c r="Z9" s="85" t="s">
        <v>50</v>
      </c>
      <c r="AA9" s="86" t="s">
        <v>51</v>
      </c>
      <c r="AB9" s="87" t="s">
        <v>52</v>
      </c>
    </row>
    <row r="10">
      <c r="A10" s="88"/>
      <c r="B10" s="89"/>
      <c r="C10" s="90"/>
      <c r="D10" s="91"/>
      <c r="E10" s="92"/>
      <c r="F10" s="93"/>
      <c r="G10" s="94"/>
      <c r="H10" s="94"/>
      <c r="I10" s="95"/>
      <c r="J10" s="95"/>
      <c r="K10" s="95"/>
      <c r="L10" s="96"/>
      <c r="M10" s="95"/>
      <c r="N10" s="95"/>
      <c r="O10" s="95"/>
      <c r="P10" s="95"/>
      <c r="Q10" s="95"/>
      <c r="R10" s="95"/>
      <c r="S10" s="97"/>
      <c r="T10" s="97"/>
      <c r="U10" s="95"/>
      <c r="V10" s="95"/>
      <c r="W10" s="95"/>
      <c r="X10" s="95"/>
      <c r="Y10" s="94"/>
      <c r="Z10" s="94"/>
      <c r="AA10" s="95"/>
      <c r="AB10" s="98"/>
    </row>
    <row r="11">
      <c r="A11" s="99"/>
      <c r="B11" s="100"/>
      <c r="C11" s="101" t="s">
        <v>53</v>
      </c>
      <c r="D11" s="102">
        <v>1.0</v>
      </c>
      <c r="E11" s="103">
        <v>907.0</v>
      </c>
      <c r="F11" s="104">
        <f t="shared" ref="F11:F12" si="1">H11*K11</f>
        <v>1218000</v>
      </c>
      <c r="G11" s="105">
        <f t="shared" ref="G11:G12" si="2">K11*AA11</f>
        <v>433259</v>
      </c>
      <c r="H11" s="105">
        <v>609.0</v>
      </c>
      <c r="I11" s="106">
        <v>1950.0</v>
      </c>
      <c r="J11" s="107">
        <v>1900.0</v>
      </c>
      <c r="K11" s="108">
        <v>2000.0</v>
      </c>
      <c r="L11" s="109">
        <v>0.3</v>
      </c>
      <c r="M11" s="110">
        <f t="shared" ref="M11:M16" si="3">I11-(I11*L11)</f>
        <v>1365</v>
      </c>
      <c r="N11" s="110">
        <f t="shared" ref="N11:N16" si="4">$B$1</f>
        <v>60</v>
      </c>
      <c r="O11" s="110">
        <f t="shared" ref="O11:O16" si="5">M11*$B$8</f>
        <v>109.2</v>
      </c>
      <c r="P11" s="111"/>
      <c r="Q11" s="112">
        <v>1.0</v>
      </c>
      <c r="R11" s="113">
        <v>90.0</v>
      </c>
      <c r="S11" s="114">
        <f t="shared" ref="S11:S16" si="6">I11*$S$6</f>
        <v>633.75</v>
      </c>
      <c r="T11" s="114">
        <f t="shared" ref="T11:T16" si="7">M11*$S$7</f>
        <v>29.6205</v>
      </c>
      <c r="U11" s="110">
        <f t="shared" ref="U11:U16" si="8">$S$3*((100-V11)/100)</f>
        <v>2</v>
      </c>
      <c r="V11" s="110">
        <v>96.0</v>
      </c>
      <c r="W11" s="110">
        <f t="shared" ref="W11:W16" si="9">$B$6*$B$7</f>
        <v>4.8</v>
      </c>
      <c r="X11" s="110">
        <f t="shared" ref="X11:X16" si="10">I11*$B$2</f>
        <v>195</v>
      </c>
      <c r="Y11" s="115"/>
      <c r="Z11" s="115"/>
      <c r="AA11" s="110">
        <f t="shared" ref="AA11:AA16" si="11">I11-N11-O11-P11-R11-S11-T11-U11-W11-X11-H11</f>
        <v>216.6295</v>
      </c>
      <c r="AB11" s="116">
        <f t="shared" ref="AB11:AB16" si="12">AA11/H11</f>
        <v>0.3557134647</v>
      </c>
    </row>
    <row r="12">
      <c r="A12" s="99"/>
      <c r="B12" s="100"/>
      <c r="C12" s="101" t="s">
        <v>54</v>
      </c>
      <c r="D12" s="102">
        <v>1.0</v>
      </c>
      <c r="E12" s="103">
        <v>1540.0</v>
      </c>
      <c r="F12" s="104">
        <f t="shared" si="1"/>
        <v>1450000</v>
      </c>
      <c r="G12" s="105">
        <f t="shared" si="2"/>
        <v>588883.25</v>
      </c>
      <c r="H12" s="105">
        <v>580.0</v>
      </c>
      <c r="I12" s="106">
        <v>1930.0</v>
      </c>
      <c r="J12" s="117">
        <f>I12</f>
        <v>1930</v>
      </c>
      <c r="K12" s="108">
        <v>2500.0</v>
      </c>
      <c r="L12" s="109">
        <v>0.3</v>
      </c>
      <c r="M12" s="110">
        <f t="shared" si="3"/>
        <v>1351</v>
      </c>
      <c r="N12" s="110">
        <f t="shared" si="4"/>
        <v>60</v>
      </c>
      <c r="O12" s="110">
        <f t="shared" si="5"/>
        <v>108.08</v>
      </c>
      <c r="P12" s="111"/>
      <c r="Q12" s="112">
        <v>1.0</v>
      </c>
      <c r="R12" s="113">
        <v>90.0</v>
      </c>
      <c r="S12" s="114">
        <f t="shared" si="6"/>
        <v>627.25</v>
      </c>
      <c r="T12" s="114">
        <f t="shared" si="7"/>
        <v>29.3167</v>
      </c>
      <c r="U12" s="110">
        <f t="shared" si="8"/>
        <v>2</v>
      </c>
      <c r="V12" s="110">
        <v>96.0</v>
      </c>
      <c r="W12" s="110">
        <f t="shared" si="9"/>
        <v>4.8</v>
      </c>
      <c r="X12" s="110">
        <f t="shared" si="10"/>
        <v>193</v>
      </c>
      <c r="Y12" s="115"/>
      <c r="Z12" s="115"/>
      <c r="AA12" s="110">
        <f t="shared" si="11"/>
        <v>235.5533</v>
      </c>
      <c r="AB12" s="116">
        <f t="shared" si="12"/>
        <v>0.4061263793</v>
      </c>
    </row>
    <row r="13">
      <c r="A13" s="99"/>
      <c r="B13" s="100"/>
      <c r="C13" s="101" t="s">
        <v>55</v>
      </c>
      <c r="D13" s="102">
        <v>1.0</v>
      </c>
      <c r="E13" s="118">
        <v>1530.0</v>
      </c>
      <c r="F13" s="119"/>
      <c r="G13" s="105"/>
      <c r="H13" s="105">
        <v>905.0</v>
      </c>
      <c r="I13" s="106">
        <v>2200.0</v>
      </c>
      <c r="J13" s="107">
        <v>2200.0</v>
      </c>
      <c r="K13" s="108">
        <v>600.0</v>
      </c>
      <c r="L13" s="109">
        <v>0.3</v>
      </c>
      <c r="M13" s="110">
        <f t="shared" si="3"/>
        <v>1540</v>
      </c>
      <c r="N13" s="110">
        <f t="shared" si="4"/>
        <v>60</v>
      </c>
      <c r="O13" s="110">
        <f t="shared" si="5"/>
        <v>123.2</v>
      </c>
      <c r="P13" s="110"/>
      <c r="Q13" s="112">
        <v>0.4</v>
      </c>
      <c r="R13" s="113">
        <v>90.0</v>
      </c>
      <c r="S13" s="114">
        <f t="shared" si="6"/>
        <v>715</v>
      </c>
      <c r="T13" s="114">
        <f t="shared" si="7"/>
        <v>33.418</v>
      </c>
      <c r="U13" s="110">
        <f t="shared" si="8"/>
        <v>3.905</v>
      </c>
      <c r="V13" s="110">
        <v>92.19</v>
      </c>
      <c r="W13" s="110">
        <f t="shared" si="9"/>
        <v>4.8</v>
      </c>
      <c r="X13" s="110">
        <f t="shared" si="10"/>
        <v>220</v>
      </c>
      <c r="Y13" s="115"/>
      <c r="Z13" s="120">
        <f t="shared" ref="Z13:Z16" si="13">(_xlfn.CEILING.MATH(Q13))*$S$1*$X$2</f>
        <v>0</v>
      </c>
      <c r="AA13" s="110">
        <f t="shared" si="11"/>
        <v>44.677</v>
      </c>
      <c r="AB13" s="116">
        <f t="shared" si="12"/>
        <v>0.04936685083</v>
      </c>
    </row>
    <row r="14">
      <c r="A14" s="99"/>
      <c r="B14" s="100"/>
      <c r="C14" s="101" t="s">
        <v>56</v>
      </c>
      <c r="D14" s="102">
        <v>1.0</v>
      </c>
      <c r="E14" s="118">
        <v>1530.0</v>
      </c>
      <c r="F14" s="104">
        <f>H14*K14</f>
        <v>927000</v>
      </c>
      <c r="G14" s="105">
        <f>K14*AA14</f>
        <v>346372.5</v>
      </c>
      <c r="H14" s="105">
        <v>618.0</v>
      </c>
      <c r="I14" s="106">
        <v>2000.0</v>
      </c>
      <c r="J14" s="117">
        <f t="shared" ref="J14:J16" si="14">I14</f>
        <v>2000</v>
      </c>
      <c r="K14" s="108">
        <v>1500.0</v>
      </c>
      <c r="L14" s="109">
        <v>0.3</v>
      </c>
      <c r="M14" s="110">
        <f t="shared" si="3"/>
        <v>1400</v>
      </c>
      <c r="N14" s="110">
        <f t="shared" si="4"/>
        <v>60</v>
      </c>
      <c r="O14" s="110">
        <f t="shared" si="5"/>
        <v>112</v>
      </c>
      <c r="P14" s="110"/>
      <c r="Q14" s="112">
        <v>0.4</v>
      </c>
      <c r="R14" s="113">
        <v>90.0</v>
      </c>
      <c r="S14" s="114">
        <f t="shared" si="6"/>
        <v>650</v>
      </c>
      <c r="T14" s="114">
        <f t="shared" si="7"/>
        <v>30.38</v>
      </c>
      <c r="U14" s="110">
        <f t="shared" si="8"/>
        <v>3.905</v>
      </c>
      <c r="V14" s="110">
        <v>92.19</v>
      </c>
      <c r="W14" s="110">
        <f t="shared" si="9"/>
        <v>4.8</v>
      </c>
      <c r="X14" s="110">
        <f t="shared" si="10"/>
        <v>200</v>
      </c>
      <c r="Y14" s="115"/>
      <c r="Z14" s="120">
        <f t="shared" si="13"/>
        <v>0</v>
      </c>
      <c r="AA14" s="110">
        <f t="shared" si="11"/>
        <v>230.915</v>
      </c>
      <c r="AB14" s="116">
        <f t="shared" si="12"/>
        <v>0.3736488673</v>
      </c>
    </row>
    <row r="15">
      <c r="B15" s="100"/>
      <c r="C15" s="101" t="s">
        <v>57</v>
      </c>
      <c r="D15" s="102">
        <v>1.0</v>
      </c>
      <c r="E15" s="118">
        <v>1530.0</v>
      </c>
      <c r="F15" s="119"/>
      <c r="G15" s="105"/>
      <c r="H15" s="105">
        <v>1530.0</v>
      </c>
      <c r="I15" s="106">
        <v>3500.0</v>
      </c>
      <c r="J15" s="117">
        <f t="shared" si="14"/>
        <v>3500</v>
      </c>
      <c r="K15" s="108">
        <v>2000.0</v>
      </c>
      <c r="L15" s="109">
        <v>0.3</v>
      </c>
      <c r="M15" s="110">
        <f t="shared" si="3"/>
        <v>2450</v>
      </c>
      <c r="N15" s="110">
        <f t="shared" si="4"/>
        <v>60</v>
      </c>
      <c r="O15" s="110">
        <f t="shared" si="5"/>
        <v>196</v>
      </c>
      <c r="P15" s="110"/>
      <c r="Q15" s="112">
        <v>0.4</v>
      </c>
      <c r="R15" s="113">
        <v>90.0</v>
      </c>
      <c r="S15" s="114">
        <f t="shared" si="6"/>
        <v>1137.5</v>
      </c>
      <c r="T15" s="114">
        <f t="shared" si="7"/>
        <v>53.165</v>
      </c>
      <c r="U15" s="110">
        <f t="shared" si="8"/>
        <v>3.905</v>
      </c>
      <c r="V15" s="110">
        <v>92.19</v>
      </c>
      <c r="W15" s="110">
        <f t="shared" si="9"/>
        <v>4.8</v>
      </c>
      <c r="X15" s="110">
        <f t="shared" si="10"/>
        <v>350</v>
      </c>
      <c r="Y15" s="115"/>
      <c r="Z15" s="120">
        <f t="shared" si="13"/>
        <v>0</v>
      </c>
      <c r="AA15" s="110">
        <f t="shared" si="11"/>
        <v>74.63</v>
      </c>
      <c r="AB15" s="121">
        <f t="shared" si="12"/>
        <v>0.04877777778</v>
      </c>
    </row>
    <row r="16">
      <c r="B16" s="100"/>
      <c r="C16" s="101" t="s">
        <v>57</v>
      </c>
      <c r="D16" s="102">
        <v>1.0</v>
      </c>
      <c r="E16" s="118">
        <v>1530.0</v>
      </c>
      <c r="F16" s="119"/>
      <c r="G16" s="105"/>
      <c r="H16" s="105">
        <v>1530.0</v>
      </c>
      <c r="I16" s="106">
        <v>3500.0</v>
      </c>
      <c r="J16" s="117">
        <f t="shared" si="14"/>
        <v>3500</v>
      </c>
      <c r="K16" s="108">
        <v>2000.0</v>
      </c>
      <c r="L16" s="109">
        <v>0.3</v>
      </c>
      <c r="M16" s="110">
        <f t="shared" si="3"/>
        <v>2450</v>
      </c>
      <c r="N16" s="110">
        <f t="shared" si="4"/>
        <v>60</v>
      </c>
      <c r="O16" s="110">
        <f t="shared" si="5"/>
        <v>196</v>
      </c>
      <c r="P16" s="110"/>
      <c r="Q16" s="112">
        <v>0.4</v>
      </c>
      <c r="R16" s="113">
        <v>90.0</v>
      </c>
      <c r="S16" s="114">
        <f t="shared" si="6"/>
        <v>1137.5</v>
      </c>
      <c r="T16" s="114">
        <f t="shared" si="7"/>
        <v>53.165</v>
      </c>
      <c r="U16" s="110">
        <f t="shared" si="8"/>
        <v>3.905</v>
      </c>
      <c r="V16" s="110">
        <v>92.19</v>
      </c>
      <c r="W16" s="110">
        <f t="shared" si="9"/>
        <v>4.8</v>
      </c>
      <c r="X16" s="110">
        <f t="shared" si="10"/>
        <v>350</v>
      </c>
      <c r="Y16" s="115"/>
      <c r="Z16" s="120">
        <f t="shared" si="13"/>
        <v>0</v>
      </c>
      <c r="AA16" s="110">
        <f t="shared" si="11"/>
        <v>74.63</v>
      </c>
      <c r="AB16" s="121">
        <f t="shared" si="12"/>
        <v>0.04877777778</v>
      </c>
    </row>
    <row r="17">
      <c r="E17" s="122"/>
      <c r="F17" s="123">
        <f t="shared" ref="F17:G17" si="15">SUM(F11:F15)</f>
        <v>3595000</v>
      </c>
      <c r="G17" s="124">
        <f t="shared" si="15"/>
        <v>1368514.75</v>
      </c>
    </row>
    <row r="18">
      <c r="E18" s="122"/>
    </row>
    <row r="19">
      <c r="E19" s="122"/>
    </row>
    <row r="20">
      <c r="E20" s="122"/>
    </row>
    <row r="21">
      <c r="E21" s="122"/>
    </row>
    <row r="22">
      <c r="E22" s="122"/>
    </row>
    <row r="23">
      <c r="E23" s="122"/>
    </row>
    <row r="24">
      <c r="E24" s="122"/>
    </row>
    <row r="25">
      <c r="E25" s="122"/>
    </row>
    <row r="26">
      <c r="E26" s="122"/>
    </row>
    <row r="27">
      <c r="E27" s="122"/>
    </row>
    <row r="28">
      <c r="E28" s="122"/>
    </row>
    <row r="29">
      <c r="E29" s="122"/>
    </row>
    <row r="30">
      <c r="E30" s="122"/>
    </row>
    <row r="31">
      <c r="E31" s="122"/>
    </row>
    <row r="32">
      <c r="E32" s="122"/>
    </row>
    <row r="33">
      <c r="E33" s="122"/>
    </row>
    <row r="34">
      <c r="E34" s="122"/>
    </row>
    <row r="35">
      <c r="E35" s="122"/>
    </row>
    <row r="36">
      <c r="E36" s="122"/>
    </row>
    <row r="37">
      <c r="E37" s="122"/>
    </row>
    <row r="38">
      <c r="E38" s="122"/>
    </row>
    <row r="39">
      <c r="E39" s="122"/>
    </row>
    <row r="40">
      <c r="E40" s="122"/>
    </row>
    <row r="41">
      <c r="E41" s="122"/>
    </row>
    <row r="42">
      <c r="E42" s="122"/>
    </row>
    <row r="43">
      <c r="E43" s="122"/>
    </row>
    <row r="44">
      <c r="E44" s="122"/>
    </row>
    <row r="45">
      <c r="E45" s="122"/>
    </row>
    <row r="46">
      <c r="E46" s="122"/>
    </row>
    <row r="47">
      <c r="E47" s="122"/>
    </row>
    <row r="48">
      <c r="E48" s="122"/>
    </row>
    <row r="49">
      <c r="E49" s="122"/>
    </row>
    <row r="50">
      <c r="E50" s="122"/>
    </row>
    <row r="51">
      <c r="E51" s="122"/>
    </row>
    <row r="52">
      <c r="E52" s="122"/>
    </row>
    <row r="53">
      <c r="E53" s="122"/>
    </row>
    <row r="54">
      <c r="E54" s="122"/>
    </row>
    <row r="55">
      <c r="E55" s="122"/>
    </row>
    <row r="56">
      <c r="E56" s="122"/>
    </row>
    <row r="57">
      <c r="E57" s="122"/>
    </row>
    <row r="58">
      <c r="E58" s="122"/>
    </row>
    <row r="59">
      <c r="E59" s="122"/>
    </row>
    <row r="60">
      <c r="E60" s="122"/>
    </row>
    <row r="61">
      <c r="E61" s="122"/>
    </row>
    <row r="62">
      <c r="E62" s="122"/>
    </row>
    <row r="63">
      <c r="E63" s="122"/>
    </row>
    <row r="64">
      <c r="E64" s="122"/>
    </row>
    <row r="65">
      <c r="E65" s="122"/>
    </row>
    <row r="66">
      <c r="E66" s="122"/>
    </row>
    <row r="67">
      <c r="E67" s="122"/>
    </row>
    <row r="68">
      <c r="E68" s="122"/>
    </row>
    <row r="69">
      <c r="E69" s="122"/>
    </row>
    <row r="70">
      <c r="E70" s="122"/>
    </row>
    <row r="71">
      <c r="E71" s="122"/>
    </row>
    <row r="72">
      <c r="E72" s="122"/>
    </row>
    <row r="73">
      <c r="E73" s="122"/>
    </row>
    <row r="74">
      <c r="E74" s="122"/>
    </row>
    <row r="75">
      <c r="E75" s="122"/>
    </row>
    <row r="76">
      <c r="E76" s="122"/>
    </row>
    <row r="77">
      <c r="E77" s="122"/>
    </row>
    <row r="78">
      <c r="E78" s="122"/>
    </row>
    <row r="79">
      <c r="E79" s="122"/>
    </row>
    <row r="80">
      <c r="E80" s="122"/>
    </row>
    <row r="81">
      <c r="E81" s="122"/>
    </row>
    <row r="82">
      <c r="E82" s="122"/>
    </row>
    <row r="83">
      <c r="E83" s="122"/>
    </row>
    <row r="84">
      <c r="E84" s="122"/>
    </row>
    <row r="85">
      <c r="E85" s="122"/>
    </row>
    <row r="86">
      <c r="E86" s="122"/>
    </row>
    <row r="87">
      <c r="E87" s="122"/>
    </row>
    <row r="88">
      <c r="E88" s="122"/>
    </row>
    <row r="89">
      <c r="E89" s="122"/>
    </row>
    <row r="90">
      <c r="E90" s="122"/>
    </row>
    <row r="91">
      <c r="E91" s="122"/>
    </row>
    <row r="92">
      <c r="E92" s="122"/>
    </row>
    <row r="93">
      <c r="E93" s="122"/>
    </row>
    <row r="94">
      <c r="E94" s="122"/>
    </row>
    <row r="95">
      <c r="E95" s="122"/>
    </row>
    <row r="96">
      <c r="E96" s="122"/>
    </row>
    <row r="97">
      <c r="E97" s="122"/>
    </row>
    <row r="98">
      <c r="E98" s="122"/>
    </row>
    <row r="99">
      <c r="E99" s="122"/>
    </row>
    <row r="100">
      <c r="E100" s="122"/>
    </row>
    <row r="101">
      <c r="E101" s="122"/>
    </row>
    <row r="102">
      <c r="E102" s="122"/>
    </row>
    <row r="103">
      <c r="E103" s="122"/>
    </row>
    <row r="104">
      <c r="E104" s="122"/>
    </row>
    <row r="105">
      <c r="E105" s="122"/>
    </row>
    <row r="106">
      <c r="E106" s="122"/>
    </row>
    <row r="107">
      <c r="E107" s="122"/>
    </row>
    <row r="108">
      <c r="E108" s="122"/>
    </row>
    <row r="109">
      <c r="E109" s="122"/>
    </row>
    <row r="110">
      <c r="E110" s="122"/>
    </row>
    <row r="111">
      <c r="E111" s="122"/>
    </row>
    <row r="112">
      <c r="E112" s="122"/>
    </row>
    <row r="113">
      <c r="E113" s="122"/>
    </row>
    <row r="114">
      <c r="E114" s="122"/>
    </row>
    <row r="115">
      <c r="E115" s="122"/>
    </row>
    <row r="116">
      <c r="E116" s="122"/>
    </row>
    <row r="117">
      <c r="E117" s="122"/>
    </row>
    <row r="118">
      <c r="E118" s="122"/>
    </row>
    <row r="119">
      <c r="E119" s="122"/>
    </row>
    <row r="120">
      <c r="E120" s="122"/>
    </row>
    <row r="121">
      <c r="E121" s="122"/>
    </row>
    <row r="122">
      <c r="E122" s="122"/>
    </row>
    <row r="123">
      <c r="E123" s="122"/>
    </row>
    <row r="124">
      <c r="E124" s="122"/>
    </row>
    <row r="125">
      <c r="E125" s="122"/>
    </row>
    <row r="126">
      <c r="E126" s="122"/>
    </row>
    <row r="127">
      <c r="E127" s="122"/>
    </row>
    <row r="128">
      <c r="E128" s="122"/>
    </row>
    <row r="129">
      <c r="E129" s="122"/>
    </row>
    <row r="130">
      <c r="E130" s="122"/>
    </row>
    <row r="131">
      <c r="E131" s="122"/>
    </row>
    <row r="132">
      <c r="E132" s="122"/>
    </row>
    <row r="133">
      <c r="E133" s="122"/>
    </row>
    <row r="134">
      <c r="E134" s="122"/>
    </row>
    <row r="135">
      <c r="E135" s="122"/>
    </row>
    <row r="136">
      <c r="E136" s="122"/>
    </row>
    <row r="137">
      <c r="E137" s="122"/>
    </row>
    <row r="138">
      <c r="E138" s="122"/>
    </row>
    <row r="139">
      <c r="E139" s="122"/>
    </row>
    <row r="140">
      <c r="E140" s="122"/>
    </row>
    <row r="141">
      <c r="E141" s="122"/>
    </row>
    <row r="142">
      <c r="E142" s="122"/>
    </row>
    <row r="143">
      <c r="E143" s="122"/>
    </row>
    <row r="144">
      <c r="E144" s="122"/>
    </row>
    <row r="145">
      <c r="E145" s="122"/>
    </row>
    <row r="146">
      <c r="E146" s="122"/>
    </row>
    <row r="147">
      <c r="E147" s="122"/>
    </row>
    <row r="148">
      <c r="E148" s="122"/>
    </row>
    <row r="149">
      <c r="E149" s="122"/>
    </row>
    <row r="150">
      <c r="E150" s="122"/>
    </row>
    <row r="151">
      <c r="E151" s="122"/>
    </row>
    <row r="152">
      <c r="E152" s="122"/>
    </row>
    <row r="153">
      <c r="E153" s="122"/>
    </row>
    <row r="154">
      <c r="E154" s="122"/>
    </row>
    <row r="155">
      <c r="E155" s="122"/>
    </row>
    <row r="156">
      <c r="E156" s="122"/>
    </row>
    <row r="157">
      <c r="E157" s="122"/>
    </row>
    <row r="158">
      <c r="E158" s="122"/>
    </row>
    <row r="159">
      <c r="E159" s="122"/>
    </row>
    <row r="160">
      <c r="E160" s="122"/>
    </row>
    <row r="161">
      <c r="E161" s="122"/>
    </row>
    <row r="162">
      <c r="E162" s="122"/>
    </row>
    <row r="163">
      <c r="E163" s="122"/>
    </row>
    <row r="164">
      <c r="E164" s="122"/>
    </row>
    <row r="165">
      <c r="E165" s="122"/>
    </row>
    <row r="166">
      <c r="E166" s="122"/>
    </row>
    <row r="167">
      <c r="E167" s="122"/>
    </row>
    <row r="168">
      <c r="E168" s="122"/>
    </row>
    <row r="169">
      <c r="E169" s="122"/>
    </row>
    <row r="170">
      <c r="E170" s="122"/>
    </row>
    <row r="171">
      <c r="E171" s="122"/>
    </row>
    <row r="172">
      <c r="E172" s="122"/>
    </row>
    <row r="173">
      <c r="E173" s="122"/>
    </row>
    <row r="174">
      <c r="E174" s="122"/>
    </row>
    <row r="175">
      <c r="E175" s="122"/>
    </row>
    <row r="176">
      <c r="E176" s="122"/>
    </row>
    <row r="177">
      <c r="E177" s="122"/>
    </row>
    <row r="178">
      <c r="E178" s="122"/>
    </row>
    <row r="179">
      <c r="E179" s="122"/>
    </row>
    <row r="180">
      <c r="E180" s="122"/>
    </row>
    <row r="181">
      <c r="E181" s="122"/>
    </row>
    <row r="182">
      <c r="E182" s="122"/>
    </row>
    <row r="183">
      <c r="E183" s="122"/>
    </row>
    <row r="184">
      <c r="E184" s="122"/>
    </row>
    <row r="185">
      <c r="E185" s="122"/>
    </row>
    <row r="186">
      <c r="E186" s="122"/>
    </row>
    <row r="187">
      <c r="E187" s="122"/>
    </row>
    <row r="188">
      <c r="E188" s="122"/>
    </row>
    <row r="189">
      <c r="E189" s="122"/>
    </row>
    <row r="190">
      <c r="E190" s="122"/>
    </row>
    <row r="191">
      <c r="E191" s="122"/>
    </row>
    <row r="192">
      <c r="E192" s="122"/>
    </row>
    <row r="193">
      <c r="E193" s="122"/>
    </row>
    <row r="194">
      <c r="E194" s="122"/>
    </row>
    <row r="195">
      <c r="E195" s="122"/>
    </row>
    <row r="196">
      <c r="E196" s="122"/>
    </row>
    <row r="197">
      <c r="E197" s="122"/>
    </row>
    <row r="198">
      <c r="E198" s="122"/>
    </row>
    <row r="199">
      <c r="E199" s="122"/>
    </row>
    <row r="200">
      <c r="E200" s="122"/>
    </row>
    <row r="201">
      <c r="E201" s="122"/>
    </row>
    <row r="202">
      <c r="E202" s="122"/>
    </row>
    <row r="203">
      <c r="E203" s="122"/>
    </row>
    <row r="204">
      <c r="E204" s="122"/>
    </row>
    <row r="205">
      <c r="E205" s="122"/>
    </row>
    <row r="206">
      <c r="E206" s="122"/>
    </row>
    <row r="207">
      <c r="E207" s="122"/>
    </row>
    <row r="208">
      <c r="E208" s="122"/>
    </row>
    <row r="209">
      <c r="E209" s="122"/>
    </row>
    <row r="210">
      <c r="E210" s="122"/>
    </row>
    <row r="211">
      <c r="E211" s="122"/>
    </row>
    <row r="212">
      <c r="E212" s="122"/>
    </row>
    <row r="213">
      <c r="E213" s="122"/>
    </row>
    <row r="214">
      <c r="E214" s="122"/>
    </row>
    <row r="215">
      <c r="E215" s="122"/>
    </row>
    <row r="216">
      <c r="E216" s="122"/>
    </row>
    <row r="217">
      <c r="E217" s="122"/>
    </row>
    <row r="218">
      <c r="E218" s="122"/>
    </row>
    <row r="219">
      <c r="E219" s="122"/>
    </row>
    <row r="220">
      <c r="E220" s="122"/>
    </row>
    <row r="221">
      <c r="E221" s="122"/>
    </row>
    <row r="222">
      <c r="E222" s="122"/>
    </row>
    <row r="223">
      <c r="E223" s="122"/>
    </row>
    <row r="224">
      <c r="E224" s="122"/>
    </row>
    <row r="225">
      <c r="E225" s="122"/>
    </row>
    <row r="226">
      <c r="E226" s="122"/>
    </row>
    <row r="227">
      <c r="E227" s="122"/>
    </row>
    <row r="228">
      <c r="E228" s="122"/>
    </row>
    <row r="229">
      <c r="E229" s="122"/>
    </row>
    <row r="230">
      <c r="E230" s="122"/>
    </row>
    <row r="231">
      <c r="E231" s="122"/>
    </row>
    <row r="232">
      <c r="E232" s="122"/>
    </row>
    <row r="233">
      <c r="E233" s="122"/>
    </row>
    <row r="234">
      <c r="E234" s="122"/>
    </row>
    <row r="235">
      <c r="E235" s="122"/>
    </row>
    <row r="236">
      <c r="E236" s="122"/>
    </row>
    <row r="237">
      <c r="E237" s="122"/>
    </row>
    <row r="238">
      <c r="E238" s="122"/>
    </row>
    <row r="239">
      <c r="E239" s="122"/>
    </row>
    <row r="240">
      <c r="E240" s="122"/>
    </row>
    <row r="241">
      <c r="E241" s="122"/>
    </row>
    <row r="242">
      <c r="E242" s="122"/>
    </row>
    <row r="243">
      <c r="E243" s="122"/>
    </row>
    <row r="244">
      <c r="E244" s="122"/>
    </row>
    <row r="245">
      <c r="E245" s="122"/>
    </row>
    <row r="246">
      <c r="E246" s="122"/>
    </row>
    <row r="247">
      <c r="E247" s="122"/>
    </row>
    <row r="248">
      <c r="E248" s="122"/>
    </row>
    <row r="249">
      <c r="E249" s="122"/>
    </row>
    <row r="250">
      <c r="E250" s="122"/>
    </row>
    <row r="251">
      <c r="E251" s="122"/>
    </row>
    <row r="252">
      <c r="E252" s="122"/>
    </row>
    <row r="253">
      <c r="E253" s="122"/>
    </row>
    <row r="254">
      <c r="E254" s="122"/>
    </row>
    <row r="255">
      <c r="E255" s="122"/>
    </row>
    <row r="256">
      <c r="E256" s="122"/>
    </row>
    <row r="257">
      <c r="E257" s="122"/>
    </row>
    <row r="258">
      <c r="E258" s="122"/>
    </row>
    <row r="259">
      <c r="E259" s="122"/>
    </row>
    <row r="260">
      <c r="E260" s="122"/>
    </row>
    <row r="261">
      <c r="E261" s="122"/>
    </row>
    <row r="262">
      <c r="E262" s="122"/>
    </row>
    <row r="263">
      <c r="E263" s="122"/>
    </row>
    <row r="264">
      <c r="E264" s="122"/>
    </row>
    <row r="265">
      <c r="E265" s="122"/>
    </row>
    <row r="266">
      <c r="E266" s="122"/>
    </row>
    <row r="267">
      <c r="E267" s="122"/>
    </row>
    <row r="268">
      <c r="E268" s="122"/>
    </row>
    <row r="269">
      <c r="E269" s="122"/>
    </row>
    <row r="270">
      <c r="E270" s="122"/>
    </row>
    <row r="271">
      <c r="E271" s="122"/>
    </row>
    <row r="272">
      <c r="E272" s="122"/>
    </row>
    <row r="273">
      <c r="E273" s="122"/>
    </row>
    <row r="274">
      <c r="E274" s="122"/>
    </row>
    <row r="275">
      <c r="E275" s="122"/>
    </row>
    <row r="276">
      <c r="E276" s="122"/>
    </row>
    <row r="277">
      <c r="E277" s="122"/>
    </row>
    <row r="278">
      <c r="E278" s="122"/>
    </row>
    <row r="279">
      <c r="E279" s="122"/>
    </row>
    <row r="280">
      <c r="E280" s="122"/>
    </row>
    <row r="281">
      <c r="E281" s="122"/>
    </row>
    <row r="282">
      <c r="E282" s="122"/>
    </row>
    <row r="283">
      <c r="E283" s="122"/>
    </row>
    <row r="284">
      <c r="E284" s="122"/>
    </row>
    <row r="285">
      <c r="E285" s="122"/>
    </row>
    <row r="286">
      <c r="E286" s="122"/>
    </row>
    <row r="287">
      <c r="E287" s="122"/>
    </row>
    <row r="288">
      <c r="E288" s="122"/>
    </row>
    <row r="289">
      <c r="E289" s="122"/>
    </row>
    <row r="290">
      <c r="E290" s="122"/>
    </row>
    <row r="291">
      <c r="E291" s="122"/>
    </row>
    <row r="292">
      <c r="E292" s="122"/>
    </row>
    <row r="293">
      <c r="E293" s="122"/>
    </row>
    <row r="294">
      <c r="E294" s="122"/>
    </row>
    <row r="295">
      <c r="E295" s="122"/>
    </row>
    <row r="296">
      <c r="E296" s="122"/>
    </row>
    <row r="297">
      <c r="E297" s="122"/>
    </row>
    <row r="298">
      <c r="E298" s="122"/>
    </row>
    <row r="299">
      <c r="E299" s="122"/>
    </row>
    <row r="300">
      <c r="E300" s="122"/>
    </row>
    <row r="301">
      <c r="E301" s="122"/>
    </row>
    <row r="302">
      <c r="E302" s="122"/>
    </row>
    <row r="303">
      <c r="E303" s="122"/>
    </row>
    <row r="304">
      <c r="E304" s="122"/>
    </row>
    <row r="305">
      <c r="E305" s="122"/>
    </row>
    <row r="306">
      <c r="E306" s="122"/>
    </row>
    <row r="307">
      <c r="E307" s="122"/>
    </row>
    <row r="308">
      <c r="E308" s="122"/>
    </row>
    <row r="309">
      <c r="E309" s="122"/>
    </row>
    <row r="310">
      <c r="E310" s="122"/>
    </row>
    <row r="311">
      <c r="E311" s="122"/>
    </row>
    <row r="312">
      <c r="E312" s="122"/>
    </row>
    <row r="313">
      <c r="E313" s="122"/>
    </row>
    <row r="314">
      <c r="E314" s="122"/>
    </row>
    <row r="315">
      <c r="E315" s="122"/>
    </row>
    <row r="316">
      <c r="E316" s="122"/>
    </row>
    <row r="317">
      <c r="E317" s="122"/>
    </row>
    <row r="318">
      <c r="E318" s="122"/>
    </row>
    <row r="319">
      <c r="E319" s="122"/>
    </row>
    <row r="320">
      <c r="E320" s="122"/>
    </row>
    <row r="321">
      <c r="E321" s="122"/>
    </row>
    <row r="322">
      <c r="E322" s="122"/>
    </row>
    <row r="323">
      <c r="E323" s="122"/>
    </row>
    <row r="324">
      <c r="E324" s="122"/>
    </row>
    <row r="325">
      <c r="E325" s="122"/>
    </row>
    <row r="326">
      <c r="E326" s="122"/>
    </row>
    <row r="327">
      <c r="E327" s="122"/>
    </row>
    <row r="328">
      <c r="E328" s="122"/>
    </row>
    <row r="329">
      <c r="E329" s="122"/>
    </row>
    <row r="330">
      <c r="E330" s="122"/>
    </row>
    <row r="331">
      <c r="E331" s="122"/>
    </row>
    <row r="332">
      <c r="E332" s="122"/>
    </row>
    <row r="333">
      <c r="E333" s="122"/>
    </row>
    <row r="334">
      <c r="E334" s="122"/>
    </row>
    <row r="335">
      <c r="E335" s="122"/>
    </row>
    <row r="336">
      <c r="E336" s="122"/>
    </row>
    <row r="337">
      <c r="E337" s="122"/>
    </row>
    <row r="338">
      <c r="E338" s="122"/>
    </row>
    <row r="339">
      <c r="E339" s="122"/>
    </row>
    <row r="340">
      <c r="E340" s="122"/>
    </row>
    <row r="341">
      <c r="E341" s="122"/>
    </row>
    <row r="342">
      <c r="E342" s="122"/>
    </row>
    <row r="343">
      <c r="E343" s="122"/>
    </row>
    <row r="344">
      <c r="E344" s="122"/>
    </row>
    <row r="345">
      <c r="E345" s="122"/>
    </row>
    <row r="346">
      <c r="E346" s="122"/>
    </row>
    <row r="347">
      <c r="E347" s="122"/>
    </row>
    <row r="348">
      <c r="E348" s="122"/>
    </row>
    <row r="349">
      <c r="E349" s="122"/>
    </row>
    <row r="350">
      <c r="E350" s="122"/>
    </row>
    <row r="351">
      <c r="E351" s="122"/>
    </row>
    <row r="352">
      <c r="E352" s="122"/>
    </row>
    <row r="353">
      <c r="E353" s="122"/>
    </row>
    <row r="354">
      <c r="E354" s="122"/>
    </row>
    <row r="355">
      <c r="E355" s="122"/>
    </row>
    <row r="356">
      <c r="E356" s="122"/>
    </row>
    <row r="357">
      <c r="E357" s="122"/>
    </row>
    <row r="358">
      <c r="E358" s="122"/>
    </row>
    <row r="359">
      <c r="E359" s="122"/>
    </row>
    <row r="360">
      <c r="E360" s="122"/>
    </row>
    <row r="361">
      <c r="E361" s="122"/>
    </row>
    <row r="362">
      <c r="E362" s="122"/>
    </row>
    <row r="363">
      <c r="E363" s="122"/>
    </row>
    <row r="364">
      <c r="E364" s="122"/>
    </row>
    <row r="365">
      <c r="E365" s="122"/>
    </row>
    <row r="366">
      <c r="E366" s="122"/>
    </row>
    <row r="367">
      <c r="E367" s="122"/>
    </row>
    <row r="368">
      <c r="E368" s="122"/>
    </row>
    <row r="369">
      <c r="E369" s="122"/>
    </row>
    <row r="370">
      <c r="E370" s="122"/>
    </row>
    <row r="371">
      <c r="E371" s="122"/>
    </row>
    <row r="372">
      <c r="E372" s="122"/>
    </row>
    <row r="373">
      <c r="E373" s="122"/>
    </row>
    <row r="374">
      <c r="E374" s="122"/>
    </row>
    <row r="375">
      <c r="E375" s="122"/>
    </row>
    <row r="376">
      <c r="E376" s="122"/>
    </row>
    <row r="377">
      <c r="E377" s="122"/>
    </row>
    <row r="378">
      <c r="E378" s="122"/>
    </row>
    <row r="379">
      <c r="E379" s="122"/>
    </row>
    <row r="380">
      <c r="E380" s="122"/>
    </row>
    <row r="381">
      <c r="E381" s="122"/>
    </row>
    <row r="382">
      <c r="E382" s="122"/>
    </row>
    <row r="383">
      <c r="E383" s="122"/>
    </row>
    <row r="384">
      <c r="E384" s="122"/>
    </row>
    <row r="385">
      <c r="E385" s="122"/>
    </row>
    <row r="386">
      <c r="E386" s="122"/>
    </row>
    <row r="387">
      <c r="E387" s="122"/>
    </row>
    <row r="388">
      <c r="E388" s="122"/>
    </row>
    <row r="389">
      <c r="E389" s="122"/>
    </row>
    <row r="390">
      <c r="E390" s="122"/>
    </row>
    <row r="391">
      <c r="E391" s="122"/>
    </row>
    <row r="392">
      <c r="E392" s="122"/>
    </row>
    <row r="393">
      <c r="E393" s="122"/>
    </row>
    <row r="394">
      <c r="E394" s="122"/>
    </row>
    <row r="395">
      <c r="E395" s="122"/>
    </row>
    <row r="396">
      <c r="E396" s="122"/>
    </row>
    <row r="397">
      <c r="E397" s="122"/>
    </row>
    <row r="398">
      <c r="E398" s="122"/>
    </row>
    <row r="399">
      <c r="E399" s="122"/>
    </row>
    <row r="400">
      <c r="E400" s="122"/>
    </row>
    <row r="401">
      <c r="E401" s="122"/>
    </row>
    <row r="402">
      <c r="E402" s="122"/>
    </row>
    <row r="403">
      <c r="E403" s="122"/>
    </row>
    <row r="404">
      <c r="E404" s="122"/>
    </row>
    <row r="405">
      <c r="E405" s="122"/>
    </row>
    <row r="406">
      <c r="E406" s="122"/>
    </row>
    <row r="407">
      <c r="E407" s="122"/>
    </row>
    <row r="408">
      <c r="E408" s="122"/>
    </row>
    <row r="409">
      <c r="E409" s="122"/>
    </row>
    <row r="410">
      <c r="E410" s="122"/>
    </row>
    <row r="411">
      <c r="E411" s="122"/>
    </row>
    <row r="412">
      <c r="E412" s="122"/>
    </row>
    <row r="413">
      <c r="E413" s="122"/>
    </row>
    <row r="414">
      <c r="E414" s="122"/>
    </row>
    <row r="415">
      <c r="E415" s="122"/>
    </row>
    <row r="416">
      <c r="E416" s="122"/>
    </row>
    <row r="417">
      <c r="E417" s="122"/>
    </row>
    <row r="418">
      <c r="E418" s="122"/>
    </row>
    <row r="419">
      <c r="E419" s="122"/>
    </row>
    <row r="420">
      <c r="E420" s="122"/>
    </row>
    <row r="421">
      <c r="E421" s="122"/>
    </row>
    <row r="422">
      <c r="E422" s="122"/>
    </row>
    <row r="423">
      <c r="E423" s="122"/>
    </row>
    <row r="424">
      <c r="E424" s="122"/>
    </row>
    <row r="425">
      <c r="E425" s="122"/>
    </row>
    <row r="426">
      <c r="E426" s="122"/>
    </row>
    <row r="427">
      <c r="E427" s="122"/>
    </row>
    <row r="428">
      <c r="E428" s="122"/>
    </row>
    <row r="429">
      <c r="E429" s="122"/>
    </row>
    <row r="430">
      <c r="E430" s="122"/>
    </row>
    <row r="431">
      <c r="E431" s="122"/>
    </row>
    <row r="432">
      <c r="E432" s="122"/>
    </row>
    <row r="433">
      <c r="E433" s="122"/>
    </row>
    <row r="434">
      <c r="E434" s="122"/>
    </row>
    <row r="435">
      <c r="E435" s="122"/>
    </row>
    <row r="436">
      <c r="E436" s="122"/>
    </row>
    <row r="437">
      <c r="E437" s="122"/>
    </row>
    <row r="438">
      <c r="E438" s="122"/>
    </row>
    <row r="439">
      <c r="E439" s="122"/>
    </row>
    <row r="440">
      <c r="E440" s="122"/>
    </row>
    <row r="441">
      <c r="E441" s="122"/>
    </row>
    <row r="442">
      <c r="E442" s="122"/>
    </row>
    <row r="443">
      <c r="E443" s="122"/>
    </row>
    <row r="444">
      <c r="E444" s="122"/>
    </row>
    <row r="445">
      <c r="E445" s="122"/>
    </row>
    <row r="446">
      <c r="E446" s="122"/>
    </row>
    <row r="447">
      <c r="E447" s="122"/>
    </row>
    <row r="448">
      <c r="E448" s="122"/>
    </row>
    <row r="449">
      <c r="E449" s="122"/>
    </row>
    <row r="450">
      <c r="E450" s="122"/>
    </row>
    <row r="451">
      <c r="E451" s="122"/>
    </row>
    <row r="452">
      <c r="E452" s="122"/>
    </row>
    <row r="453">
      <c r="E453" s="122"/>
    </row>
    <row r="454">
      <c r="E454" s="122"/>
    </row>
    <row r="455">
      <c r="E455" s="122"/>
    </row>
    <row r="456">
      <c r="E456" s="122"/>
    </row>
    <row r="457">
      <c r="E457" s="122"/>
    </row>
    <row r="458">
      <c r="E458" s="122"/>
    </row>
    <row r="459">
      <c r="E459" s="122"/>
    </row>
    <row r="460">
      <c r="E460" s="122"/>
    </row>
    <row r="461">
      <c r="E461" s="122"/>
    </row>
    <row r="462">
      <c r="E462" s="122"/>
    </row>
    <row r="463">
      <c r="E463" s="122"/>
    </row>
    <row r="464">
      <c r="E464" s="122"/>
    </row>
    <row r="465">
      <c r="E465" s="122"/>
    </row>
    <row r="466">
      <c r="E466" s="122"/>
    </row>
    <row r="467">
      <c r="E467" s="122"/>
    </row>
    <row r="468">
      <c r="E468" s="122"/>
    </row>
    <row r="469">
      <c r="E469" s="122"/>
    </row>
    <row r="470">
      <c r="E470" s="122"/>
    </row>
    <row r="471">
      <c r="E471" s="122"/>
    </row>
    <row r="472">
      <c r="E472" s="122"/>
    </row>
    <row r="473">
      <c r="E473" s="122"/>
    </row>
    <row r="474">
      <c r="E474" s="122"/>
    </row>
    <row r="475">
      <c r="E475" s="122"/>
    </row>
    <row r="476">
      <c r="E476" s="122"/>
    </row>
    <row r="477">
      <c r="E477" s="122"/>
    </row>
    <row r="478">
      <c r="E478" s="122"/>
    </row>
    <row r="479">
      <c r="E479" s="122"/>
    </row>
    <row r="480">
      <c r="E480" s="122"/>
    </row>
    <row r="481">
      <c r="E481" s="122"/>
    </row>
    <row r="482">
      <c r="E482" s="122"/>
    </row>
    <row r="483">
      <c r="E483" s="122"/>
    </row>
    <row r="484">
      <c r="E484" s="122"/>
    </row>
    <row r="485">
      <c r="E485" s="122"/>
    </row>
    <row r="486">
      <c r="E486" s="122"/>
    </row>
    <row r="487">
      <c r="E487" s="122"/>
    </row>
    <row r="488">
      <c r="E488" s="122"/>
    </row>
    <row r="489">
      <c r="E489" s="122"/>
    </row>
    <row r="490">
      <c r="E490" s="122"/>
    </row>
    <row r="491">
      <c r="E491" s="122"/>
    </row>
    <row r="492">
      <c r="E492" s="122"/>
    </row>
    <row r="493">
      <c r="E493" s="122"/>
    </row>
    <row r="494">
      <c r="E494" s="122"/>
    </row>
    <row r="495">
      <c r="E495" s="122"/>
    </row>
    <row r="496">
      <c r="E496" s="122"/>
    </row>
    <row r="497">
      <c r="E497" s="122"/>
    </row>
    <row r="498">
      <c r="E498" s="122"/>
    </row>
    <row r="499">
      <c r="E499" s="122"/>
    </row>
    <row r="500">
      <c r="E500" s="122"/>
    </row>
    <row r="501">
      <c r="E501" s="122"/>
    </row>
    <row r="502">
      <c r="E502" s="122"/>
    </row>
    <row r="503">
      <c r="E503" s="122"/>
    </row>
    <row r="504">
      <c r="E504" s="122"/>
    </row>
    <row r="505">
      <c r="E505" s="122"/>
    </row>
    <row r="506">
      <c r="E506" s="122"/>
    </row>
    <row r="507">
      <c r="E507" s="122"/>
    </row>
    <row r="508">
      <c r="E508" s="122"/>
    </row>
    <row r="509">
      <c r="E509" s="122"/>
    </row>
    <row r="510">
      <c r="E510" s="122"/>
    </row>
    <row r="511">
      <c r="E511" s="122"/>
    </row>
    <row r="512">
      <c r="E512" s="122"/>
    </row>
    <row r="513">
      <c r="E513" s="122"/>
    </row>
    <row r="514">
      <c r="E514" s="122"/>
    </row>
    <row r="515">
      <c r="E515" s="122"/>
    </row>
    <row r="516">
      <c r="E516" s="122"/>
    </row>
    <row r="517">
      <c r="E517" s="122"/>
    </row>
    <row r="518">
      <c r="E518" s="122"/>
    </row>
    <row r="519">
      <c r="E519" s="122"/>
    </row>
    <row r="520">
      <c r="E520" s="122"/>
    </row>
    <row r="521">
      <c r="E521" s="122"/>
    </row>
    <row r="522">
      <c r="E522" s="122"/>
    </row>
    <row r="523">
      <c r="E523" s="122"/>
    </row>
    <row r="524">
      <c r="E524" s="122"/>
    </row>
    <row r="525">
      <c r="E525" s="122"/>
    </row>
    <row r="526">
      <c r="E526" s="122"/>
    </row>
    <row r="527">
      <c r="E527" s="122"/>
    </row>
    <row r="528">
      <c r="E528" s="122"/>
    </row>
    <row r="529">
      <c r="E529" s="122"/>
    </row>
    <row r="530">
      <c r="E530" s="122"/>
    </row>
    <row r="531">
      <c r="E531" s="122"/>
    </row>
    <row r="532">
      <c r="E532" s="122"/>
    </row>
    <row r="533">
      <c r="E533" s="122"/>
    </row>
    <row r="534">
      <c r="E534" s="122"/>
    </row>
    <row r="535">
      <c r="E535" s="122"/>
    </row>
    <row r="536">
      <c r="E536" s="122"/>
    </row>
    <row r="537">
      <c r="E537" s="122"/>
    </row>
    <row r="538">
      <c r="E538" s="122"/>
    </row>
    <row r="539">
      <c r="E539" s="122"/>
    </row>
    <row r="540">
      <c r="E540" s="122"/>
    </row>
    <row r="541">
      <c r="E541" s="122"/>
    </row>
    <row r="542">
      <c r="E542" s="122"/>
    </row>
    <row r="543">
      <c r="E543" s="122"/>
    </row>
    <row r="544">
      <c r="E544" s="122"/>
    </row>
    <row r="545">
      <c r="E545" s="122"/>
    </row>
    <row r="546">
      <c r="E546" s="122"/>
    </row>
    <row r="547">
      <c r="E547" s="122"/>
    </row>
    <row r="548">
      <c r="E548" s="122"/>
    </row>
    <row r="549">
      <c r="E549" s="122"/>
    </row>
    <row r="550">
      <c r="E550" s="122"/>
    </row>
    <row r="551">
      <c r="E551" s="122"/>
    </row>
    <row r="552">
      <c r="E552" s="122"/>
    </row>
    <row r="553">
      <c r="E553" s="122"/>
    </row>
    <row r="554">
      <c r="E554" s="122"/>
    </row>
    <row r="555">
      <c r="E555" s="122"/>
    </row>
    <row r="556">
      <c r="E556" s="122"/>
    </row>
    <row r="557">
      <c r="E557" s="122"/>
    </row>
    <row r="558">
      <c r="E558" s="122"/>
    </row>
    <row r="559">
      <c r="E559" s="122"/>
    </row>
    <row r="560">
      <c r="E560" s="122"/>
    </row>
    <row r="561">
      <c r="E561" s="122"/>
    </row>
    <row r="562">
      <c r="E562" s="122"/>
    </row>
    <row r="563">
      <c r="E563" s="122"/>
    </row>
    <row r="564">
      <c r="E564" s="122"/>
    </row>
    <row r="565">
      <c r="E565" s="122"/>
    </row>
    <row r="566">
      <c r="E566" s="122"/>
    </row>
    <row r="567">
      <c r="E567" s="122"/>
    </row>
    <row r="568">
      <c r="E568" s="122"/>
    </row>
    <row r="569">
      <c r="E569" s="122"/>
    </row>
    <row r="570">
      <c r="E570" s="122"/>
    </row>
    <row r="571">
      <c r="E571" s="122"/>
    </row>
    <row r="572">
      <c r="E572" s="122"/>
    </row>
    <row r="573">
      <c r="E573" s="122"/>
    </row>
    <row r="574">
      <c r="E574" s="122"/>
    </row>
    <row r="575">
      <c r="E575" s="122"/>
    </row>
    <row r="576">
      <c r="E576" s="122"/>
    </row>
    <row r="577">
      <c r="E577" s="122"/>
    </row>
    <row r="578">
      <c r="E578" s="122"/>
    </row>
    <row r="579">
      <c r="E579" s="122"/>
    </row>
    <row r="580">
      <c r="E580" s="122"/>
    </row>
    <row r="581">
      <c r="E581" s="122"/>
    </row>
    <row r="582">
      <c r="E582" s="122"/>
    </row>
    <row r="583">
      <c r="E583" s="122"/>
    </row>
    <row r="584">
      <c r="E584" s="122"/>
    </row>
    <row r="585">
      <c r="E585" s="122"/>
    </row>
    <row r="586">
      <c r="E586" s="122"/>
    </row>
    <row r="587">
      <c r="E587" s="122"/>
    </row>
    <row r="588">
      <c r="E588" s="122"/>
    </row>
    <row r="589">
      <c r="E589" s="122"/>
    </row>
    <row r="590">
      <c r="E590" s="122"/>
    </row>
    <row r="591">
      <c r="E591" s="122"/>
    </row>
    <row r="592">
      <c r="E592" s="122"/>
    </row>
    <row r="593">
      <c r="E593" s="122"/>
    </row>
    <row r="594">
      <c r="E594" s="122"/>
    </row>
    <row r="595">
      <c r="E595" s="122"/>
    </row>
    <row r="596">
      <c r="E596" s="122"/>
    </row>
    <row r="597">
      <c r="E597" s="122"/>
    </row>
    <row r="598">
      <c r="E598" s="122"/>
    </row>
    <row r="599">
      <c r="E599" s="122"/>
    </row>
    <row r="600">
      <c r="E600" s="122"/>
    </row>
    <row r="601">
      <c r="E601" s="122"/>
    </row>
    <row r="602">
      <c r="E602" s="122"/>
    </row>
    <row r="603">
      <c r="E603" s="122"/>
    </row>
    <row r="604">
      <c r="E604" s="122"/>
    </row>
    <row r="605">
      <c r="E605" s="122"/>
    </row>
    <row r="606">
      <c r="E606" s="122"/>
    </row>
    <row r="607">
      <c r="E607" s="122"/>
    </row>
    <row r="608">
      <c r="E608" s="122"/>
    </row>
    <row r="609">
      <c r="E609" s="122"/>
    </row>
    <row r="610">
      <c r="E610" s="122"/>
    </row>
    <row r="611">
      <c r="E611" s="122"/>
    </row>
    <row r="612">
      <c r="E612" s="122"/>
    </row>
    <row r="613">
      <c r="E613" s="122"/>
    </row>
    <row r="614">
      <c r="E614" s="122"/>
    </row>
    <row r="615">
      <c r="E615" s="122"/>
    </row>
    <row r="616">
      <c r="E616" s="122"/>
    </row>
    <row r="617">
      <c r="E617" s="122"/>
    </row>
    <row r="618">
      <c r="E618" s="122"/>
    </row>
    <row r="619">
      <c r="E619" s="122"/>
    </row>
    <row r="620">
      <c r="E620" s="122"/>
    </row>
    <row r="621">
      <c r="E621" s="122"/>
    </row>
    <row r="622">
      <c r="E622" s="122"/>
    </row>
    <row r="623">
      <c r="E623" s="122"/>
    </row>
    <row r="624">
      <c r="E624" s="122"/>
    </row>
    <row r="625">
      <c r="E625" s="122"/>
    </row>
    <row r="626">
      <c r="E626" s="122"/>
    </row>
    <row r="627">
      <c r="E627" s="122"/>
    </row>
    <row r="628">
      <c r="E628" s="122"/>
    </row>
    <row r="629">
      <c r="E629" s="122"/>
    </row>
    <row r="630">
      <c r="E630" s="122"/>
    </row>
    <row r="631">
      <c r="E631" s="122"/>
    </row>
    <row r="632">
      <c r="E632" s="122"/>
    </row>
    <row r="633">
      <c r="E633" s="122"/>
    </row>
    <row r="634">
      <c r="E634" s="122"/>
    </row>
    <row r="635">
      <c r="E635" s="122"/>
    </row>
    <row r="636">
      <c r="E636" s="122"/>
    </row>
    <row r="637">
      <c r="E637" s="122"/>
    </row>
    <row r="638">
      <c r="E638" s="122"/>
    </row>
    <row r="639">
      <c r="E639" s="122"/>
    </row>
    <row r="640">
      <c r="E640" s="122"/>
    </row>
    <row r="641">
      <c r="E641" s="122"/>
    </row>
    <row r="642">
      <c r="E642" s="122"/>
    </row>
    <row r="643">
      <c r="E643" s="122"/>
    </row>
    <row r="644">
      <c r="E644" s="122"/>
    </row>
    <row r="645">
      <c r="E645" s="122"/>
    </row>
    <row r="646">
      <c r="E646" s="122"/>
    </row>
    <row r="647">
      <c r="E647" s="122"/>
    </row>
    <row r="648">
      <c r="E648" s="122"/>
    </row>
    <row r="649">
      <c r="E649" s="122"/>
    </row>
    <row r="650">
      <c r="E650" s="122"/>
    </row>
    <row r="651">
      <c r="E651" s="122"/>
    </row>
    <row r="652">
      <c r="E652" s="122"/>
    </row>
    <row r="653">
      <c r="E653" s="122"/>
    </row>
    <row r="654">
      <c r="E654" s="122"/>
    </row>
    <row r="655">
      <c r="E655" s="122"/>
    </row>
    <row r="656">
      <c r="E656" s="122"/>
    </row>
    <row r="657">
      <c r="E657" s="122"/>
    </row>
    <row r="658">
      <c r="E658" s="122"/>
    </row>
    <row r="659">
      <c r="E659" s="122"/>
    </row>
    <row r="660">
      <c r="E660" s="122"/>
    </row>
    <row r="661">
      <c r="E661" s="122"/>
    </row>
    <row r="662">
      <c r="E662" s="122"/>
    </row>
    <row r="663">
      <c r="E663" s="122"/>
    </row>
    <row r="664">
      <c r="E664" s="122"/>
    </row>
    <row r="665">
      <c r="E665" s="122"/>
    </row>
    <row r="666">
      <c r="E666" s="122"/>
    </row>
    <row r="667">
      <c r="E667" s="122"/>
    </row>
    <row r="668">
      <c r="E668" s="122"/>
    </row>
    <row r="669">
      <c r="E669" s="122"/>
    </row>
    <row r="670">
      <c r="E670" s="122"/>
    </row>
    <row r="671">
      <c r="E671" s="122"/>
    </row>
    <row r="672">
      <c r="E672" s="122"/>
    </row>
    <row r="673">
      <c r="E673" s="122"/>
    </row>
    <row r="674">
      <c r="E674" s="122"/>
    </row>
    <row r="675">
      <c r="E675" s="122"/>
    </row>
    <row r="676">
      <c r="E676" s="122"/>
    </row>
    <row r="677">
      <c r="E677" s="122"/>
    </row>
    <row r="678">
      <c r="E678" s="122"/>
    </row>
    <row r="679">
      <c r="E679" s="122"/>
    </row>
    <row r="680">
      <c r="E680" s="122"/>
    </row>
    <row r="681">
      <c r="E681" s="122"/>
    </row>
    <row r="682">
      <c r="E682" s="122"/>
    </row>
    <row r="683">
      <c r="E683" s="122"/>
    </row>
    <row r="684">
      <c r="E684" s="122"/>
    </row>
    <row r="685">
      <c r="E685" s="122"/>
    </row>
    <row r="686">
      <c r="E686" s="122"/>
    </row>
    <row r="687">
      <c r="E687" s="122"/>
    </row>
    <row r="688">
      <c r="E688" s="122"/>
    </row>
    <row r="689">
      <c r="E689" s="122"/>
    </row>
    <row r="690">
      <c r="E690" s="122"/>
    </row>
    <row r="691">
      <c r="E691" s="122"/>
    </row>
    <row r="692">
      <c r="E692" s="122"/>
    </row>
    <row r="693">
      <c r="E693" s="122"/>
    </row>
    <row r="694">
      <c r="E694" s="122"/>
    </row>
    <row r="695">
      <c r="E695" s="122"/>
    </row>
    <row r="696">
      <c r="E696" s="122"/>
    </row>
    <row r="697">
      <c r="E697" s="122"/>
    </row>
    <row r="698">
      <c r="E698" s="122"/>
    </row>
    <row r="699">
      <c r="E699" s="122"/>
    </row>
    <row r="700">
      <c r="E700" s="122"/>
    </row>
    <row r="701">
      <c r="E701" s="122"/>
    </row>
    <row r="702">
      <c r="E702" s="122"/>
    </row>
    <row r="703">
      <c r="E703" s="122"/>
    </row>
    <row r="704">
      <c r="E704" s="122"/>
    </row>
    <row r="705">
      <c r="E705" s="122"/>
    </row>
    <row r="706">
      <c r="E706" s="122"/>
    </row>
    <row r="707">
      <c r="E707" s="122"/>
    </row>
    <row r="708">
      <c r="E708" s="122"/>
    </row>
    <row r="709">
      <c r="E709" s="122"/>
    </row>
    <row r="710">
      <c r="E710" s="122"/>
    </row>
    <row r="711">
      <c r="E711" s="122"/>
    </row>
    <row r="712">
      <c r="E712" s="122"/>
    </row>
    <row r="713">
      <c r="E713" s="122"/>
    </row>
    <row r="714">
      <c r="E714" s="122"/>
    </row>
    <row r="715">
      <c r="E715" s="122"/>
    </row>
    <row r="716">
      <c r="E716" s="122"/>
    </row>
    <row r="717">
      <c r="E717" s="122"/>
    </row>
    <row r="718">
      <c r="E718" s="122"/>
    </row>
    <row r="719">
      <c r="E719" s="122"/>
    </row>
    <row r="720">
      <c r="E720" s="122"/>
    </row>
    <row r="721">
      <c r="E721" s="122"/>
    </row>
    <row r="722">
      <c r="E722" s="122"/>
    </row>
    <row r="723">
      <c r="E723" s="122"/>
    </row>
    <row r="724">
      <c r="E724" s="122"/>
    </row>
    <row r="725">
      <c r="E725" s="122"/>
    </row>
    <row r="726">
      <c r="E726" s="122"/>
    </row>
    <row r="727">
      <c r="E727" s="122"/>
    </row>
    <row r="728">
      <c r="E728" s="122"/>
    </row>
    <row r="729">
      <c r="E729" s="122"/>
    </row>
    <row r="730">
      <c r="E730" s="122"/>
    </row>
    <row r="731">
      <c r="E731" s="122"/>
    </row>
    <row r="732">
      <c r="E732" s="122"/>
    </row>
    <row r="733">
      <c r="E733" s="122"/>
    </row>
    <row r="734">
      <c r="E734" s="122"/>
    </row>
    <row r="735">
      <c r="E735" s="122"/>
    </row>
    <row r="736">
      <c r="E736" s="122"/>
    </row>
    <row r="737">
      <c r="E737" s="122"/>
    </row>
    <row r="738">
      <c r="E738" s="122"/>
    </row>
    <row r="739">
      <c r="E739" s="122"/>
    </row>
    <row r="740">
      <c r="E740" s="122"/>
    </row>
    <row r="741">
      <c r="E741" s="122"/>
    </row>
    <row r="742">
      <c r="E742" s="122"/>
    </row>
    <row r="743">
      <c r="E743" s="122"/>
    </row>
    <row r="744">
      <c r="E744" s="122"/>
    </row>
    <row r="745">
      <c r="E745" s="122"/>
    </row>
    <row r="746">
      <c r="E746" s="122"/>
    </row>
    <row r="747">
      <c r="E747" s="122"/>
    </row>
    <row r="748">
      <c r="E748" s="122"/>
    </row>
    <row r="749">
      <c r="E749" s="122"/>
    </row>
    <row r="750">
      <c r="E750" s="122"/>
    </row>
    <row r="751">
      <c r="E751" s="122"/>
    </row>
    <row r="752">
      <c r="E752" s="122"/>
    </row>
    <row r="753">
      <c r="E753" s="122"/>
    </row>
    <row r="754">
      <c r="E754" s="122"/>
    </row>
    <row r="755">
      <c r="E755" s="122"/>
    </row>
    <row r="756">
      <c r="E756" s="122"/>
    </row>
    <row r="757">
      <c r="E757" s="122"/>
    </row>
    <row r="758">
      <c r="E758" s="122"/>
    </row>
    <row r="759">
      <c r="E759" s="122"/>
    </row>
    <row r="760">
      <c r="E760" s="122"/>
    </row>
    <row r="761">
      <c r="E761" s="122"/>
    </row>
    <row r="762">
      <c r="E762" s="122"/>
    </row>
    <row r="763">
      <c r="E763" s="122"/>
    </row>
    <row r="764">
      <c r="E764" s="122"/>
    </row>
    <row r="765">
      <c r="E765" s="122"/>
    </row>
    <row r="766">
      <c r="E766" s="122"/>
    </row>
    <row r="767">
      <c r="E767" s="122"/>
    </row>
    <row r="768">
      <c r="E768" s="122"/>
    </row>
    <row r="769">
      <c r="E769" s="122"/>
    </row>
    <row r="770">
      <c r="E770" s="122"/>
    </row>
    <row r="771">
      <c r="E771" s="122"/>
    </row>
    <row r="772">
      <c r="E772" s="122"/>
    </row>
    <row r="773">
      <c r="E773" s="122"/>
    </row>
    <row r="774">
      <c r="E774" s="122"/>
    </row>
    <row r="775">
      <c r="E775" s="122"/>
    </row>
    <row r="776">
      <c r="E776" s="122"/>
    </row>
    <row r="777">
      <c r="E777" s="122"/>
    </row>
    <row r="778">
      <c r="E778" s="122"/>
    </row>
    <row r="779">
      <c r="E779" s="122"/>
    </row>
    <row r="780">
      <c r="E780" s="122"/>
    </row>
    <row r="781">
      <c r="E781" s="122"/>
    </row>
    <row r="782">
      <c r="E782" s="122"/>
    </row>
    <row r="783">
      <c r="E783" s="122"/>
    </row>
    <row r="784">
      <c r="E784" s="122"/>
    </row>
    <row r="785">
      <c r="E785" s="122"/>
    </row>
    <row r="786">
      <c r="E786" s="122"/>
    </row>
    <row r="787">
      <c r="E787" s="122"/>
    </row>
    <row r="788">
      <c r="E788" s="122"/>
    </row>
    <row r="789">
      <c r="E789" s="122"/>
    </row>
    <row r="790">
      <c r="E790" s="122"/>
    </row>
    <row r="791">
      <c r="E791" s="122"/>
    </row>
    <row r="792">
      <c r="E792" s="122"/>
    </row>
    <row r="793">
      <c r="E793" s="122"/>
    </row>
    <row r="794">
      <c r="E794" s="122"/>
    </row>
    <row r="795">
      <c r="E795" s="122"/>
    </row>
    <row r="796">
      <c r="E796" s="122"/>
    </row>
    <row r="797">
      <c r="E797" s="122"/>
    </row>
    <row r="798">
      <c r="E798" s="122"/>
    </row>
    <row r="799">
      <c r="E799" s="122"/>
    </row>
    <row r="800">
      <c r="E800" s="122"/>
    </row>
    <row r="801">
      <c r="E801" s="122"/>
    </row>
    <row r="802">
      <c r="E802" s="122"/>
    </row>
    <row r="803">
      <c r="E803" s="122"/>
    </row>
    <row r="804">
      <c r="E804" s="122"/>
    </row>
    <row r="805">
      <c r="E805" s="122"/>
    </row>
    <row r="806">
      <c r="E806" s="122"/>
    </row>
    <row r="807">
      <c r="E807" s="122"/>
    </row>
    <row r="808">
      <c r="E808" s="122"/>
    </row>
    <row r="809">
      <c r="E809" s="122"/>
    </row>
    <row r="810">
      <c r="E810" s="122"/>
    </row>
    <row r="811">
      <c r="E811" s="122"/>
    </row>
    <row r="812">
      <c r="E812" s="122"/>
    </row>
    <row r="813">
      <c r="E813" s="122"/>
    </row>
    <row r="814">
      <c r="E814" s="122"/>
    </row>
    <row r="815">
      <c r="E815" s="122"/>
    </row>
    <row r="816">
      <c r="E816" s="122"/>
    </row>
    <row r="817">
      <c r="E817" s="122"/>
    </row>
    <row r="818">
      <c r="E818" s="122"/>
    </row>
    <row r="819">
      <c r="E819" s="122"/>
    </row>
    <row r="820">
      <c r="E820" s="122"/>
    </row>
    <row r="821">
      <c r="E821" s="122"/>
    </row>
    <row r="822">
      <c r="E822" s="122"/>
    </row>
    <row r="823">
      <c r="E823" s="122"/>
    </row>
    <row r="824">
      <c r="E824" s="122"/>
    </row>
    <row r="825">
      <c r="E825" s="122"/>
    </row>
    <row r="826">
      <c r="E826" s="122"/>
    </row>
    <row r="827">
      <c r="E827" s="122"/>
    </row>
    <row r="828">
      <c r="E828" s="122"/>
    </row>
    <row r="829">
      <c r="E829" s="122"/>
    </row>
    <row r="830">
      <c r="E830" s="122"/>
    </row>
    <row r="831">
      <c r="E831" s="122"/>
    </row>
    <row r="832">
      <c r="E832" s="122"/>
    </row>
    <row r="833">
      <c r="E833" s="122"/>
    </row>
    <row r="834">
      <c r="E834" s="122"/>
    </row>
    <row r="835">
      <c r="E835" s="122"/>
    </row>
    <row r="836">
      <c r="E836" s="122"/>
    </row>
    <row r="837">
      <c r="E837" s="122"/>
    </row>
    <row r="838">
      <c r="E838" s="122"/>
    </row>
    <row r="839">
      <c r="E839" s="122"/>
    </row>
    <row r="840">
      <c r="E840" s="122"/>
    </row>
    <row r="841">
      <c r="E841" s="122"/>
    </row>
    <row r="842">
      <c r="E842" s="122"/>
    </row>
    <row r="843">
      <c r="E843" s="122"/>
    </row>
    <row r="844">
      <c r="E844" s="122"/>
    </row>
    <row r="845">
      <c r="E845" s="122"/>
    </row>
    <row r="846">
      <c r="E846" s="122"/>
    </row>
    <row r="847">
      <c r="E847" s="122"/>
    </row>
    <row r="848">
      <c r="E848" s="122"/>
    </row>
    <row r="849">
      <c r="E849" s="122"/>
    </row>
    <row r="850">
      <c r="E850" s="122"/>
    </row>
    <row r="851">
      <c r="E851" s="122"/>
    </row>
    <row r="852">
      <c r="E852" s="122"/>
    </row>
    <row r="853">
      <c r="E853" s="122"/>
    </row>
    <row r="854">
      <c r="E854" s="122"/>
    </row>
    <row r="855">
      <c r="E855" s="122"/>
    </row>
    <row r="856">
      <c r="E856" s="122"/>
    </row>
    <row r="857">
      <c r="E857" s="122"/>
    </row>
    <row r="858">
      <c r="E858" s="122"/>
    </row>
    <row r="859">
      <c r="E859" s="122"/>
    </row>
    <row r="860">
      <c r="E860" s="122"/>
    </row>
    <row r="861">
      <c r="E861" s="122"/>
    </row>
    <row r="862">
      <c r="E862" s="122"/>
    </row>
    <row r="863">
      <c r="E863" s="122"/>
    </row>
    <row r="864">
      <c r="E864" s="122"/>
    </row>
    <row r="865">
      <c r="E865" s="122"/>
    </row>
    <row r="866">
      <c r="E866" s="122"/>
    </row>
    <row r="867">
      <c r="E867" s="122"/>
    </row>
    <row r="868">
      <c r="E868" s="122"/>
    </row>
    <row r="869">
      <c r="E869" s="122"/>
    </row>
    <row r="870">
      <c r="E870" s="122"/>
    </row>
    <row r="871">
      <c r="E871" s="122"/>
    </row>
    <row r="872">
      <c r="E872" s="122"/>
    </row>
    <row r="873">
      <c r="E873" s="122"/>
    </row>
    <row r="874">
      <c r="E874" s="122"/>
    </row>
    <row r="875">
      <c r="E875" s="122"/>
    </row>
    <row r="876">
      <c r="E876" s="122"/>
    </row>
    <row r="877">
      <c r="E877" s="122"/>
    </row>
    <row r="878">
      <c r="E878" s="122"/>
    </row>
    <row r="879">
      <c r="E879" s="122"/>
    </row>
    <row r="880">
      <c r="E880" s="122"/>
    </row>
    <row r="881">
      <c r="E881" s="122"/>
    </row>
    <row r="882">
      <c r="E882" s="122"/>
    </row>
    <row r="883">
      <c r="E883" s="122"/>
    </row>
    <row r="884">
      <c r="E884" s="122"/>
    </row>
    <row r="885">
      <c r="E885" s="122"/>
    </row>
    <row r="886">
      <c r="E886" s="122"/>
    </row>
    <row r="887">
      <c r="E887" s="122"/>
    </row>
    <row r="888">
      <c r="E888" s="122"/>
    </row>
    <row r="889">
      <c r="E889" s="122"/>
    </row>
    <row r="890">
      <c r="E890" s="122"/>
    </row>
    <row r="891">
      <c r="E891" s="122"/>
    </row>
    <row r="892">
      <c r="E892" s="122"/>
    </row>
    <row r="893">
      <c r="E893" s="122"/>
    </row>
    <row r="894">
      <c r="E894" s="122"/>
    </row>
    <row r="895">
      <c r="E895" s="122"/>
    </row>
    <row r="896">
      <c r="E896" s="122"/>
    </row>
    <row r="897">
      <c r="E897" s="122"/>
    </row>
    <row r="898">
      <c r="E898" s="122"/>
    </row>
    <row r="899">
      <c r="E899" s="122"/>
    </row>
    <row r="900">
      <c r="E900" s="122"/>
    </row>
    <row r="901">
      <c r="E901" s="122"/>
    </row>
    <row r="902">
      <c r="E902" s="122"/>
    </row>
    <row r="903">
      <c r="E903" s="122"/>
    </row>
    <row r="904">
      <c r="E904" s="122"/>
    </row>
    <row r="905">
      <c r="E905" s="122"/>
    </row>
    <row r="906">
      <c r="E906" s="122"/>
    </row>
    <row r="907">
      <c r="E907" s="122"/>
    </row>
    <row r="908">
      <c r="E908" s="122"/>
    </row>
    <row r="909">
      <c r="E909" s="122"/>
    </row>
    <row r="910">
      <c r="E910" s="122"/>
    </row>
    <row r="911">
      <c r="E911" s="122"/>
    </row>
    <row r="912">
      <c r="E912" s="122"/>
    </row>
    <row r="913">
      <c r="E913" s="122"/>
    </row>
    <row r="914">
      <c r="E914" s="122"/>
    </row>
    <row r="915">
      <c r="E915" s="122"/>
    </row>
    <row r="916">
      <c r="E916" s="122"/>
    </row>
    <row r="917">
      <c r="E917" s="122"/>
    </row>
    <row r="918">
      <c r="E918" s="122"/>
    </row>
    <row r="919">
      <c r="E919" s="122"/>
    </row>
    <row r="920">
      <c r="E920" s="122"/>
    </row>
    <row r="921">
      <c r="E921" s="122"/>
    </row>
    <row r="922">
      <c r="E922" s="122"/>
    </row>
    <row r="923">
      <c r="E923" s="122"/>
    </row>
    <row r="924">
      <c r="E924" s="122"/>
    </row>
    <row r="925">
      <c r="E925" s="122"/>
    </row>
    <row r="926">
      <c r="E926" s="122"/>
    </row>
    <row r="927">
      <c r="E927" s="122"/>
    </row>
    <row r="928">
      <c r="E928" s="122"/>
    </row>
    <row r="929">
      <c r="E929" s="122"/>
    </row>
    <row r="930">
      <c r="E930" s="122"/>
    </row>
    <row r="931">
      <c r="E931" s="122"/>
    </row>
    <row r="932">
      <c r="E932" s="122"/>
    </row>
    <row r="933">
      <c r="E933" s="122"/>
    </row>
    <row r="934">
      <c r="E934" s="122"/>
    </row>
    <row r="935">
      <c r="E935" s="122"/>
    </row>
    <row r="936">
      <c r="E936" s="122"/>
    </row>
    <row r="937">
      <c r="E937" s="122"/>
    </row>
    <row r="938">
      <c r="E938" s="122"/>
    </row>
    <row r="939">
      <c r="E939" s="122"/>
    </row>
    <row r="940">
      <c r="E940" s="122"/>
    </row>
    <row r="941">
      <c r="E941" s="122"/>
    </row>
    <row r="942">
      <c r="E942" s="122"/>
    </row>
    <row r="943">
      <c r="E943" s="122"/>
    </row>
    <row r="944">
      <c r="E944" s="122"/>
    </row>
    <row r="945">
      <c r="E945" s="122"/>
    </row>
    <row r="946">
      <c r="E946" s="122"/>
    </row>
    <row r="947">
      <c r="E947" s="122"/>
    </row>
    <row r="948">
      <c r="E948" s="122"/>
    </row>
    <row r="949">
      <c r="E949" s="122"/>
    </row>
    <row r="950">
      <c r="E950" s="122"/>
    </row>
    <row r="951">
      <c r="E951" s="122"/>
    </row>
    <row r="952">
      <c r="E952" s="122"/>
    </row>
    <row r="953">
      <c r="E953" s="122"/>
    </row>
    <row r="954">
      <c r="E954" s="122"/>
    </row>
    <row r="955">
      <c r="E955" s="122"/>
    </row>
    <row r="956">
      <c r="E956" s="122"/>
    </row>
    <row r="957">
      <c r="E957" s="122"/>
    </row>
    <row r="958">
      <c r="E958" s="122"/>
    </row>
    <row r="959">
      <c r="E959" s="122"/>
    </row>
    <row r="960">
      <c r="E960" s="122"/>
    </row>
    <row r="961">
      <c r="E961" s="122"/>
    </row>
    <row r="962">
      <c r="E962" s="122"/>
    </row>
    <row r="963">
      <c r="E963" s="122"/>
    </row>
    <row r="964">
      <c r="E964" s="122"/>
    </row>
    <row r="965">
      <c r="E965" s="122"/>
    </row>
    <row r="966">
      <c r="E966" s="122"/>
    </row>
    <row r="967">
      <c r="E967" s="122"/>
    </row>
    <row r="968">
      <c r="E968" s="122"/>
    </row>
    <row r="969">
      <c r="E969" s="122"/>
    </row>
    <row r="970">
      <c r="E970" s="122"/>
    </row>
    <row r="971">
      <c r="E971" s="122"/>
    </row>
    <row r="972">
      <c r="E972" s="122"/>
    </row>
    <row r="973">
      <c r="E973" s="122"/>
    </row>
    <row r="974">
      <c r="E974" s="122"/>
    </row>
    <row r="975">
      <c r="E975" s="122"/>
    </row>
    <row r="976">
      <c r="E976" s="122"/>
    </row>
    <row r="977">
      <c r="E977" s="122"/>
    </row>
    <row r="978">
      <c r="E978" s="122"/>
    </row>
    <row r="979">
      <c r="E979" s="122"/>
    </row>
    <row r="980">
      <c r="E980" s="122"/>
    </row>
    <row r="981">
      <c r="E981" s="122"/>
    </row>
    <row r="982">
      <c r="E982" s="122"/>
    </row>
    <row r="983">
      <c r="E983" s="122"/>
    </row>
    <row r="984">
      <c r="E984" s="122"/>
    </row>
    <row r="985">
      <c r="E985" s="122"/>
    </row>
    <row r="986">
      <c r="E986" s="122"/>
    </row>
    <row r="987">
      <c r="E987" s="122"/>
    </row>
    <row r="988">
      <c r="E988" s="122"/>
    </row>
    <row r="989">
      <c r="E989" s="122"/>
    </row>
    <row r="990">
      <c r="E990" s="122"/>
    </row>
    <row r="991">
      <c r="E991" s="122"/>
    </row>
    <row r="992">
      <c r="E992" s="122"/>
    </row>
    <row r="993">
      <c r="E993" s="122"/>
    </row>
    <row r="994">
      <c r="E994" s="122"/>
    </row>
    <row r="995">
      <c r="E995" s="122"/>
    </row>
    <row r="996">
      <c r="E996" s="122"/>
    </row>
    <row r="997">
      <c r="E997" s="122"/>
    </row>
    <row r="998">
      <c r="E998" s="122"/>
    </row>
  </sheetData>
  <mergeCells count="5">
    <mergeCell ref="D8:E8"/>
    <mergeCell ref="I8:M8"/>
    <mergeCell ref="N8:P8"/>
    <mergeCell ref="R8:X8"/>
    <mergeCell ref="AA8:AB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1.0"/>
    <col customWidth="1" min="3" max="3" width="49.5"/>
    <col customWidth="1" min="4" max="4" width="16.0"/>
    <col customWidth="1" min="5" max="5" width="9.5"/>
    <col customWidth="1" min="6" max="6" width="13.63"/>
    <col customWidth="1" min="10" max="10" width="4.13"/>
    <col customWidth="1" min="11" max="11" width="7.63"/>
    <col customWidth="1" min="12" max="12" width="6.88"/>
    <col customWidth="1" min="16" max="16" width="20.13"/>
  </cols>
  <sheetData>
    <row r="1">
      <c r="A1" s="125" t="s">
        <v>58</v>
      </c>
      <c r="B1" s="125" t="s">
        <v>59</v>
      </c>
      <c r="C1" s="125" t="s">
        <v>60</v>
      </c>
      <c r="D1" s="125" t="s">
        <v>61</v>
      </c>
      <c r="E1" s="125" t="s">
        <v>62</v>
      </c>
      <c r="F1" s="125" t="s">
        <v>63</v>
      </c>
      <c r="G1" s="125" t="s">
        <v>64</v>
      </c>
      <c r="H1" s="125" t="s">
        <v>65</v>
      </c>
      <c r="I1" s="125" t="s">
        <v>66</v>
      </c>
      <c r="J1" s="125" t="s">
        <v>67</v>
      </c>
      <c r="K1" s="125" t="s">
        <v>68</v>
      </c>
      <c r="L1" s="125" t="s">
        <v>69</v>
      </c>
      <c r="M1" s="125" t="s">
        <v>70</v>
      </c>
      <c r="N1" s="125" t="s">
        <v>71</v>
      </c>
      <c r="O1" s="125" t="s">
        <v>72</v>
      </c>
      <c r="P1" s="125" t="s">
        <v>73</v>
      </c>
    </row>
    <row r="2">
      <c r="A2" s="125">
        <v>6.0</v>
      </c>
      <c r="B2" s="125">
        <v>2.1296887E8</v>
      </c>
      <c r="C2" s="125" t="s">
        <v>74</v>
      </c>
      <c r="D2" s="125" t="s">
        <v>75</v>
      </c>
      <c r="E2" s="125" t="s">
        <v>76</v>
      </c>
      <c r="F2" s="125">
        <v>1255.0</v>
      </c>
      <c r="G2" s="125">
        <v>414.0</v>
      </c>
      <c r="H2" s="125">
        <v>510421.0</v>
      </c>
      <c r="I2" s="125">
        <v>218752.0</v>
      </c>
      <c r="J2" s="125" t="s">
        <v>77</v>
      </c>
      <c r="K2" s="125">
        <v>4.9</v>
      </c>
      <c r="L2" s="125">
        <v>2062.0</v>
      </c>
      <c r="M2" s="125">
        <v>825.0</v>
      </c>
      <c r="N2" s="125">
        <v>1394.0</v>
      </c>
      <c r="O2" s="125">
        <v>6119.0</v>
      </c>
      <c r="P2" s="125">
        <v>484.0</v>
      </c>
    </row>
    <row r="3">
      <c r="A3" s="125">
        <v>7.0</v>
      </c>
      <c r="B3" s="125">
        <v>2.21483595E8</v>
      </c>
      <c r="C3" s="125" t="s">
        <v>78</v>
      </c>
      <c r="D3" s="125" t="s">
        <v>79</v>
      </c>
      <c r="E3" s="125" t="s">
        <v>80</v>
      </c>
      <c r="F3" s="125">
        <v>1321.0</v>
      </c>
      <c r="G3" s="125">
        <v>191.0</v>
      </c>
      <c r="H3" s="125">
        <v>272724.0</v>
      </c>
      <c r="I3" s="125">
        <v>116882.0</v>
      </c>
      <c r="J3" s="125">
        <v>9.0</v>
      </c>
      <c r="K3" s="125">
        <v>4.9</v>
      </c>
      <c r="L3" s="125">
        <v>595.0</v>
      </c>
      <c r="M3" s="125">
        <v>790.0</v>
      </c>
      <c r="N3" s="125">
        <v>519.0</v>
      </c>
      <c r="O3" s="125">
        <v>2540.0</v>
      </c>
      <c r="P3" s="125">
        <v>461.0</v>
      </c>
    </row>
    <row r="4">
      <c r="A4" s="125">
        <v>23.0</v>
      </c>
      <c r="B4" s="125">
        <v>2.12957741E8</v>
      </c>
      <c r="C4" s="125" t="s">
        <v>81</v>
      </c>
      <c r="D4" s="125" t="s">
        <v>82</v>
      </c>
      <c r="E4" s="125" t="s">
        <v>83</v>
      </c>
      <c r="F4" s="125">
        <v>1221.0</v>
      </c>
      <c r="G4" s="125">
        <v>153.0</v>
      </c>
      <c r="H4" s="125">
        <v>206176.0</v>
      </c>
      <c r="I4" s="125">
        <v>88361.0</v>
      </c>
      <c r="J4" s="125" t="s">
        <v>84</v>
      </c>
      <c r="K4" s="125">
        <v>4.8</v>
      </c>
      <c r="L4" s="125">
        <v>1510.0</v>
      </c>
      <c r="M4" s="125">
        <v>822.0</v>
      </c>
      <c r="N4" s="125">
        <v>725.0</v>
      </c>
      <c r="O4" s="125">
        <v>5725.0</v>
      </c>
      <c r="P4" s="125">
        <v>447.0</v>
      </c>
    </row>
    <row r="5">
      <c r="A5" s="125">
        <v>24.0</v>
      </c>
      <c r="B5" s="125">
        <v>2.41746162E8</v>
      </c>
      <c r="C5" s="125" t="s">
        <v>85</v>
      </c>
      <c r="D5" s="125" t="s">
        <v>86</v>
      </c>
      <c r="E5" s="125" t="s">
        <v>87</v>
      </c>
      <c r="F5" s="125">
        <v>474.0</v>
      </c>
      <c r="G5" s="125">
        <v>66.0</v>
      </c>
      <c r="H5" s="125">
        <v>33386.0</v>
      </c>
      <c r="I5" s="125">
        <v>14308.0</v>
      </c>
      <c r="J5" s="125">
        <v>7.0</v>
      </c>
      <c r="K5" s="125">
        <v>4.9</v>
      </c>
      <c r="L5" s="125">
        <v>283.0</v>
      </c>
      <c r="M5" s="125">
        <v>672.0</v>
      </c>
      <c r="N5" s="125">
        <v>16.0</v>
      </c>
      <c r="O5" s="125">
        <v>1710.0</v>
      </c>
      <c r="P5" s="125">
        <v>216.0</v>
      </c>
    </row>
    <row r="6">
      <c r="A6" s="125">
        <v>26.0</v>
      </c>
      <c r="B6" s="125">
        <v>2.12968862E8</v>
      </c>
      <c r="C6" s="125" t="s">
        <v>88</v>
      </c>
      <c r="D6" s="125" t="s">
        <v>75</v>
      </c>
      <c r="E6" s="125" t="s">
        <v>76</v>
      </c>
      <c r="F6" s="125">
        <v>966.0</v>
      </c>
      <c r="G6" s="125">
        <v>112.0</v>
      </c>
      <c r="H6" s="125">
        <v>116610.0</v>
      </c>
      <c r="I6" s="125">
        <v>49976.0</v>
      </c>
      <c r="J6" s="125" t="s">
        <v>89</v>
      </c>
      <c r="K6" s="125">
        <v>4.8</v>
      </c>
      <c r="L6" s="125">
        <v>2440.0</v>
      </c>
      <c r="M6" s="125">
        <v>825.0</v>
      </c>
      <c r="N6" s="125">
        <v>1033.0</v>
      </c>
      <c r="O6" s="125">
        <v>4796.0</v>
      </c>
      <c r="P6" s="125">
        <v>370.0</v>
      </c>
    </row>
    <row r="7">
      <c r="A7" s="125">
        <v>30.0</v>
      </c>
      <c r="B7" s="125">
        <v>2.12020234E8</v>
      </c>
      <c r="C7" s="125" t="s">
        <v>90</v>
      </c>
      <c r="D7" s="125" t="s">
        <v>75</v>
      </c>
      <c r="E7" s="125" t="s">
        <v>76</v>
      </c>
      <c r="F7" s="125">
        <v>2047.0</v>
      </c>
      <c r="G7" s="125">
        <v>68.0</v>
      </c>
      <c r="H7" s="125">
        <v>152328.0</v>
      </c>
      <c r="I7" s="125">
        <v>65283.0</v>
      </c>
      <c r="J7" s="125">
        <v>2.0</v>
      </c>
      <c r="K7" s="125">
        <v>4.9</v>
      </c>
      <c r="L7" s="125">
        <v>284.0</v>
      </c>
      <c r="M7" s="125">
        <v>830.0</v>
      </c>
      <c r="N7" s="125">
        <v>103.0</v>
      </c>
      <c r="O7" s="125">
        <v>3247.0</v>
      </c>
      <c r="P7" s="125">
        <v>958.0</v>
      </c>
    </row>
    <row r="8">
      <c r="A8" s="125">
        <v>31.0</v>
      </c>
      <c r="B8" s="125">
        <v>2.2150025E8</v>
      </c>
      <c r="C8" s="125" t="s">
        <v>91</v>
      </c>
      <c r="D8" s="125" t="s">
        <v>82</v>
      </c>
      <c r="E8" s="125" t="s">
        <v>92</v>
      </c>
      <c r="F8" s="125">
        <v>1686.0</v>
      </c>
      <c r="G8" s="125">
        <v>149.0</v>
      </c>
      <c r="H8" s="125">
        <v>263707.0</v>
      </c>
      <c r="I8" s="125">
        <v>113017.0</v>
      </c>
      <c r="J8" s="125" t="s">
        <v>89</v>
      </c>
      <c r="K8" s="125">
        <v>4.9</v>
      </c>
      <c r="L8" s="125">
        <v>654.0</v>
      </c>
      <c r="M8" s="125">
        <v>790.0</v>
      </c>
      <c r="N8" s="125">
        <v>980.0</v>
      </c>
      <c r="O8" s="125">
        <v>6929.0</v>
      </c>
      <c r="P8" s="125">
        <v>531.0</v>
      </c>
    </row>
    <row r="9">
      <c r="A9" s="125">
        <v>35.0</v>
      </c>
      <c r="B9" s="125">
        <v>2.41710786E8</v>
      </c>
      <c r="C9" s="125" t="s">
        <v>93</v>
      </c>
      <c r="D9" s="125" t="s">
        <v>82</v>
      </c>
      <c r="E9" s="125" t="s">
        <v>87</v>
      </c>
      <c r="F9" s="125">
        <v>1594.0</v>
      </c>
      <c r="G9" s="125">
        <v>177.0</v>
      </c>
      <c r="H9" s="125">
        <v>272542.0</v>
      </c>
      <c r="I9" s="125">
        <v>116804.0</v>
      </c>
      <c r="J9" s="125" t="s">
        <v>89</v>
      </c>
      <c r="K9" s="125">
        <v>4.8</v>
      </c>
      <c r="L9" s="125">
        <v>1292.0</v>
      </c>
      <c r="M9" s="125">
        <v>668.0</v>
      </c>
      <c r="N9" s="125">
        <v>330.0</v>
      </c>
      <c r="O9" s="125">
        <v>3506.0</v>
      </c>
      <c r="P9" s="125">
        <v>591.0</v>
      </c>
    </row>
    <row r="10">
      <c r="A10" s="125">
        <v>36.0</v>
      </c>
      <c r="B10" s="125">
        <v>2.129621E8</v>
      </c>
      <c r="C10" s="125" t="s">
        <v>94</v>
      </c>
      <c r="D10" s="125" t="s">
        <v>82</v>
      </c>
      <c r="E10" s="125" t="s">
        <v>95</v>
      </c>
      <c r="F10" s="125">
        <v>1494.0</v>
      </c>
      <c r="G10" s="125">
        <v>117.0</v>
      </c>
      <c r="H10" s="125">
        <v>190841.0</v>
      </c>
      <c r="I10" s="125">
        <v>81789.0</v>
      </c>
      <c r="J10" s="125">
        <v>10.0</v>
      </c>
      <c r="K10" s="125">
        <v>4.8</v>
      </c>
      <c r="L10" s="125">
        <v>918.0</v>
      </c>
      <c r="M10" s="125">
        <v>825.0</v>
      </c>
      <c r="N10" s="125">
        <v>92.0</v>
      </c>
      <c r="O10" s="125">
        <v>4327.0</v>
      </c>
      <c r="P10" s="125">
        <v>671.0</v>
      </c>
    </row>
    <row r="11">
      <c r="A11" s="125">
        <v>62.0</v>
      </c>
      <c r="B11" s="125">
        <v>2.12806814E8</v>
      </c>
      <c r="C11" s="125" t="s">
        <v>96</v>
      </c>
      <c r="D11" s="125" t="s">
        <v>97</v>
      </c>
      <c r="E11" s="125" t="s">
        <v>87</v>
      </c>
      <c r="F11" s="125">
        <v>1304.0</v>
      </c>
      <c r="G11" s="125">
        <v>16.0</v>
      </c>
      <c r="H11" s="125">
        <v>22323.0</v>
      </c>
      <c r="I11" s="125">
        <v>9567.0</v>
      </c>
      <c r="J11" s="125">
        <v>3.0</v>
      </c>
      <c r="K11" s="125">
        <v>5.0</v>
      </c>
      <c r="L11" s="125">
        <v>91.0</v>
      </c>
      <c r="M11" s="125">
        <v>826.0</v>
      </c>
      <c r="N11" s="125">
        <v>10.0</v>
      </c>
      <c r="O11" s="125">
        <v>345.0</v>
      </c>
      <c r="P11" s="125">
        <v>606.0</v>
      </c>
    </row>
    <row r="12">
      <c r="A12" s="125">
        <v>87.0</v>
      </c>
      <c r="B12" s="125">
        <v>4.10070711E8</v>
      </c>
      <c r="C12" s="125" t="s">
        <v>98</v>
      </c>
      <c r="D12" s="125" t="s">
        <v>82</v>
      </c>
      <c r="E12" s="125" t="s">
        <v>87</v>
      </c>
      <c r="F12" s="125">
        <v>1805.0</v>
      </c>
      <c r="G12" s="125">
        <v>275.0</v>
      </c>
      <c r="H12" s="125">
        <v>527696.0</v>
      </c>
      <c r="I12" s="125">
        <v>226155.0</v>
      </c>
      <c r="J12" s="125">
        <v>1.0</v>
      </c>
      <c r="K12" s="125">
        <v>4.8</v>
      </c>
      <c r="L12" s="125">
        <v>361.0</v>
      </c>
      <c r="M12" s="125">
        <v>357.0</v>
      </c>
      <c r="N12" s="125">
        <v>211.0</v>
      </c>
      <c r="O12" s="125">
        <v>4097.0</v>
      </c>
      <c r="P12" s="125">
        <v>783.0</v>
      </c>
    </row>
    <row r="13">
      <c r="A13" s="125">
        <v>8.0</v>
      </c>
      <c r="B13" s="125">
        <v>9.71782609E8</v>
      </c>
      <c r="C13" s="125" t="s">
        <v>99</v>
      </c>
      <c r="D13" s="125" t="s">
        <v>100</v>
      </c>
      <c r="E13" s="125" t="s">
        <v>87</v>
      </c>
      <c r="F13" s="125">
        <v>1058.0</v>
      </c>
      <c r="G13" s="125">
        <v>24.0</v>
      </c>
      <c r="H13" s="125">
        <v>25716.0</v>
      </c>
      <c r="I13" s="125">
        <v>11021.0</v>
      </c>
      <c r="J13" s="125">
        <v>10.0</v>
      </c>
      <c r="K13" s="125">
        <v>4.6</v>
      </c>
      <c r="L13" s="125">
        <v>31.0</v>
      </c>
      <c r="M13" s="125">
        <v>40.0</v>
      </c>
      <c r="N13" s="125">
        <v>997.0</v>
      </c>
      <c r="O13" s="125">
        <v>4817.0</v>
      </c>
    </row>
    <row r="14">
      <c r="A14" s="125">
        <v>83.0</v>
      </c>
      <c r="B14" s="125">
        <v>9.09408429E8</v>
      </c>
      <c r="C14" s="125" t="s">
        <v>101</v>
      </c>
      <c r="D14" s="125" t="s">
        <v>102</v>
      </c>
      <c r="E14" s="125" t="s">
        <v>76</v>
      </c>
      <c r="F14" s="125">
        <v>1439.0</v>
      </c>
      <c r="G14" s="125">
        <v>65.0</v>
      </c>
      <c r="H14" s="125">
        <v>100527.0</v>
      </c>
      <c r="I14" s="125">
        <v>43083.0</v>
      </c>
      <c r="J14" s="125" t="s">
        <v>103</v>
      </c>
      <c r="K14" s="125">
        <v>4.8</v>
      </c>
      <c r="L14" s="125">
        <v>32.0</v>
      </c>
      <c r="M14" s="125">
        <v>59.0</v>
      </c>
      <c r="N14" s="125">
        <v>309.0</v>
      </c>
      <c r="O14" s="125">
        <v>3478.0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2" width="19.5"/>
    <col customWidth="1" min="3" max="3" width="20.63"/>
    <col customWidth="1" min="4" max="4" width="21.13"/>
    <col customWidth="1" min="5" max="5" width="21.38"/>
    <col customWidth="1" min="6" max="6" width="18.0"/>
  </cols>
  <sheetData>
    <row r="1">
      <c r="A1" s="126" t="s">
        <v>104</v>
      </c>
      <c r="B1" s="127" t="s">
        <v>105</v>
      </c>
      <c r="C1" s="127" t="s">
        <v>106</v>
      </c>
      <c r="D1" s="127" t="s">
        <v>107</v>
      </c>
      <c r="E1" s="127" t="s">
        <v>108</v>
      </c>
      <c r="F1" s="127" t="s">
        <v>109</v>
      </c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 ht="73.5" customHeight="1">
      <c r="A2" s="126" t="s">
        <v>110</v>
      </c>
      <c r="B2" s="129" t="s">
        <v>111</v>
      </c>
      <c r="C2" s="129" t="s">
        <v>112</v>
      </c>
      <c r="D2" s="129" t="s">
        <v>113</v>
      </c>
      <c r="E2" s="129" t="s">
        <v>114</v>
      </c>
      <c r="F2" s="129" t="s">
        <v>115</v>
      </c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>
      <c r="A3" s="126" t="s">
        <v>116</v>
      </c>
      <c r="B3" s="130" t="s">
        <v>117</v>
      </c>
      <c r="C3" s="130" t="s">
        <v>117</v>
      </c>
      <c r="D3" s="130" t="s">
        <v>117</v>
      </c>
      <c r="E3" s="130" t="s">
        <v>117</v>
      </c>
      <c r="F3" s="130" t="s">
        <v>117</v>
      </c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</row>
    <row r="4">
      <c r="A4" s="126" t="s">
        <v>62</v>
      </c>
      <c r="B4" s="130" t="s">
        <v>95</v>
      </c>
      <c r="C4" s="130" t="s">
        <v>83</v>
      </c>
      <c r="D4" s="130" t="s">
        <v>92</v>
      </c>
      <c r="E4" s="130" t="s">
        <v>83</v>
      </c>
      <c r="F4" s="130" t="s">
        <v>83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</row>
    <row r="5">
      <c r="A5" s="126" t="s">
        <v>118</v>
      </c>
      <c r="B5" s="130" t="s">
        <v>119</v>
      </c>
      <c r="C5" s="130" t="s">
        <v>119</v>
      </c>
      <c r="D5" s="130" t="s">
        <v>119</v>
      </c>
      <c r="E5" s="130" t="s">
        <v>119</v>
      </c>
      <c r="F5" s="130" t="s">
        <v>119</v>
      </c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</row>
    <row r="6">
      <c r="A6" s="126" t="s">
        <v>120</v>
      </c>
      <c r="B6" s="131">
        <v>10.0</v>
      </c>
      <c r="C6" s="131">
        <v>10.0</v>
      </c>
      <c r="D6" s="131">
        <v>8.5</v>
      </c>
      <c r="E6" s="131">
        <v>10.0</v>
      </c>
      <c r="F6" s="131">
        <v>10.0</v>
      </c>
      <c r="G6" s="128"/>
      <c r="H6" s="128"/>
      <c r="I6" s="128"/>
      <c r="J6" s="132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</row>
    <row r="7">
      <c r="A7" s="126" t="s">
        <v>121</v>
      </c>
      <c r="B7" s="131">
        <v>4.9</v>
      </c>
      <c r="C7" s="131">
        <v>4.8</v>
      </c>
      <c r="D7" s="131">
        <v>4.8</v>
      </c>
      <c r="E7" s="131">
        <v>4.8</v>
      </c>
      <c r="F7" s="131">
        <v>4.9</v>
      </c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</row>
    <row r="8">
      <c r="A8" s="126" t="s">
        <v>122</v>
      </c>
      <c r="B8" s="131">
        <v>130.0</v>
      </c>
      <c r="C8" s="131">
        <v>450.0</v>
      </c>
      <c r="D8" s="131">
        <v>2578.0</v>
      </c>
      <c r="E8" s="131">
        <v>351.0</v>
      </c>
      <c r="F8" s="131">
        <v>575.0</v>
      </c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</row>
    <row r="9">
      <c r="A9" s="126" t="s">
        <v>123</v>
      </c>
      <c r="B9" s="131">
        <v>1408.0</v>
      </c>
      <c r="C9" s="131">
        <v>2181.0</v>
      </c>
      <c r="D9" s="131">
        <v>2458.0</v>
      </c>
      <c r="E9" s="131">
        <v>1260.0</v>
      </c>
      <c r="F9" s="131">
        <v>1520.0</v>
      </c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</row>
    <row r="10">
      <c r="A10" s="126" t="s">
        <v>124</v>
      </c>
      <c r="B10" s="131">
        <v>1408.0</v>
      </c>
      <c r="C10" s="131">
        <v>2181.0</v>
      </c>
      <c r="D10" s="131">
        <v>2458.0</v>
      </c>
      <c r="E10" s="131">
        <v>1260.0</v>
      </c>
      <c r="F10" s="131">
        <v>1520.0</v>
      </c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</row>
    <row r="11">
      <c r="A11" s="126" t="s">
        <v>125</v>
      </c>
      <c r="B11" s="133">
        <v>1400.0</v>
      </c>
      <c r="C11" s="133">
        <v>2181.0</v>
      </c>
      <c r="D11" s="133">
        <v>2620.0</v>
      </c>
      <c r="E11" s="133">
        <v>1300.0</v>
      </c>
      <c r="F11" s="133">
        <v>1640.0</v>
      </c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</row>
    <row r="12">
      <c r="A12" s="126" t="s">
        <v>126</v>
      </c>
      <c r="B12" s="130" t="s">
        <v>127</v>
      </c>
      <c r="C12" s="130" t="s">
        <v>128</v>
      </c>
      <c r="D12" s="130" t="s">
        <v>129</v>
      </c>
      <c r="E12" s="130" t="s">
        <v>130</v>
      </c>
      <c r="F12" s="130" t="s">
        <v>131</v>
      </c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</row>
    <row r="13">
      <c r="A13" s="126" t="s">
        <v>132</v>
      </c>
      <c r="B13" s="131">
        <v>18.0</v>
      </c>
      <c r="C13" s="131">
        <v>15.0</v>
      </c>
      <c r="D13" s="131">
        <v>10.0</v>
      </c>
      <c r="E13" s="131">
        <v>18.0</v>
      </c>
      <c r="F13" s="131">
        <v>24.0</v>
      </c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</row>
    <row r="14">
      <c r="A14" s="126" t="s">
        <v>133</v>
      </c>
      <c r="B14" s="131">
        <v>506682.0</v>
      </c>
      <c r="C14" s="131">
        <v>165532.0</v>
      </c>
      <c r="D14" s="131">
        <v>60670.0</v>
      </c>
      <c r="E14" s="131">
        <v>109051.0</v>
      </c>
      <c r="F14" s="131">
        <v>83380.0</v>
      </c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</row>
    <row r="15">
      <c r="A15" s="126" t="s">
        <v>134</v>
      </c>
      <c r="B15" s="131">
        <v>24636.0</v>
      </c>
      <c r="C15" s="131">
        <v>4539.0</v>
      </c>
      <c r="D15" s="131">
        <v>6362.0</v>
      </c>
      <c r="E15" s="131">
        <v>7034.0</v>
      </c>
      <c r="F15" s="131">
        <v>4586.0</v>
      </c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</row>
    <row r="16">
      <c r="A16" s="126" t="s">
        <v>135</v>
      </c>
      <c r="B16" s="131">
        <v>5.0</v>
      </c>
      <c r="C16" s="131">
        <v>3.0</v>
      </c>
      <c r="D16" s="131">
        <v>10.0</v>
      </c>
      <c r="E16" s="131">
        <v>6.0</v>
      </c>
      <c r="F16" s="131">
        <v>6.0</v>
      </c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</row>
    <row r="17">
      <c r="A17" s="126" t="s">
        <v>136</v>
      </c>
      <c r="B17" s="131">
        <v>4503.0</v>
      </c>
      <c r="C17" s="131">
        <v>846.0</v>
      </c>
      <c r="D17" s="131">
        <v>845.0</v>
      </c>
      <c r="E17" s="131">
        <v>1173.0</v>
      </c>
      <c r="F17" s="131">
        <v>1021.0</v>
      </c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</row>
    <row r="18">
      <c r="A18" s="126" t="s">
        <v>137</v>
      </c>
      <c r="B18" s="131">
        <v>18.0</v>
      </c>
      <c r="C18" s="131">
        <v>19.0</v>
      </c>
      <c r="D18" s="131">
        <v>13.0</v>
      </c>
      <c r="E18" s="131">
        <v>17.0</v>
      </c>
      <c r="F18" s="131">
        <v>22.0</v>
      </c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</row>
    <row r="19">
      <c r="A19" s="126" t="s">
        <v>138</v>
      </c>
      <c r="B19" s="134">
        <v>753.0</v>
      </c>
      <c r="C19" s="134">
        <v>206.0</v>
      </c>
      <c r="D19" s="134">
        <v>164.0</v>
      </c>
      <c r="E19" s="134">
        <v>274.0</v>
      </c>
      <c r="F19" s="134">
        <v>158.0</v>
      </c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</row>
    <row r="20">
      <c r="A20" s="126" t="s">
        <v>139</v>
      </c>
      <c r="B20" s="135"/>
      <c r="C20" s="135"/>
      <c r="D20" s="135"/>
      <c r="E20" s="135"/>
      <c r="F20" s="135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</row>
    <row r="21">
      <c r="A21" s="126" t="s">
        <v>140</v>
      </c>
      <c r="B21" s="131">
        <v>17.0</v>
      </c>
      <c r="C21" s="131">
        <v>24.0</v>
      </c>
      <c r="D21" s="131">
        <v>19.0</v>
      </c>
      <c r="E21" s="131">
        <v>23.0</v>
      </c>
      <c r="F21" s="131">
        <v>15.0</v>
      </c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</row>
    <row r="22">
      <c r="A22" s="126" t="s">
        <v>141</v>
      </c>
      <c r="B22" s="131">
        <v>668.0</v>
      </c>
      <c r="C22" s="131">
        <v>173.0</v>
      </c>
      <c r="D22" s="131">
        <v>144.0</v>
      </c>
      <c r="E22" s="131">
        <v>265.0</v>
      </c>
      <c r="F22" s="131">
        <v>147.0</v>
      </c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</row>
    <row r="23">
      <c r="A23" s="126" t="s">
        <v>142</v>
      </c>
      <c r="B23" s="131">
        <v>88.0</v>
      </c>
      <c r="C23" s="131">
        <v>95.0</v>
      </c>
      <c r="D23" s="131">
        <v>86.0</v>
      </c>
      <c r="E23" s="131">
        <v>91.0</v>
      </c>
      <c r="F23" s="131">
        <v>90.0</v>
      </c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</row>
    <row r="24">
      <c r="A24" s="126" t="s">
        <v>143</v>
      </c>
      <c r="B24" s="131">
        <v>87.0</v>
      </c>
      <c r="C24" s="131">
        <v>10.0</v>
      </c>
      <c r="D24" s="131">
        <v>23.0</v>
      </c>
      <c r="E24" s="131">
        <v>26.0</v>
      </c>
      <c r="F24" s="131">
        <v>17.0</v>
      </c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</row>
    <row r="25">
      <c r="A25" s="128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</row>
    <row r="26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</row>
    <row r="27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</row>
    <row r="28">
      <c r="A28" s="128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</row>
    <row r="29">
      <c r="A29" s="128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</row>
    <row r="30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</row>
    <row r="32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</row>
    <row r="33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</row>
    <row r="34">
      <c r="A34" s="128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</row>
    <row r="35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</row>
    <row r="36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</row>
    <row r="37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</row>
    <row r="38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</row>
    <row r="39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</row>
    <row r="40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</row>
    <row r="42">
      <c r="A42" s="128"/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</row>
    <row r="43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</row>
    <row r="44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</row>
    <row r="45">
      <c r="A45" s="128"/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</row>
    <row r="46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</row>
    <row r="47">
      <c r="A47" s="128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</row>
    <row r="48">
      <c r="A48" s="128"/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</row>
    <row r="49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</row>
    <row r="50">
      <c r="A50" s="128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</row>
    <row r="51">
      <c r="A51" s="128"/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</row>
    <row r="52">
      <c r="A52" s="128"/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</row>
    <row r="53">
      <c r="A53" s="128"/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</row>
    <row r="54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</row>
    <row r="55">
      <c r="A55" s="128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</row>
    <row r="56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</row>
    <row r="57">
      <c r="A57" s="128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</row>
    <row r="58">
      <c r="A58" s="128"/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</row>
    <row r="59">
      <c r="A59" s="128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</row>
    <row r="60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</row>
    <row r="61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</row>
    <row r="62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</row>
    <row r="63">
      <c r="A63" s="128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</row>
    <row r="64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</row>
    <row r="65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</row>
    <row r="66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</row>
    <row r="67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</row>
    <row r="68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</row>
    <row r="69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</row>
    <row r="70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</row>
    <row r="71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</row>
    <row r="72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</row>
    <row r="73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</row>
    <row r="74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</row>
    <row r="75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</row>
    <row r="76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</row>
    <row r="77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</row>
    <row r="78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</row>
    <row r="79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</row>
    <row r="80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</row>
    <row r="8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</row>
    <row r="82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</row>
    <row r="83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</row>
    <row r="84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</row>
    <row r="85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</row>
    <row r="86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</row>
    <row r="87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</row>
    <row r="88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</row>
    <row r="89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</row>
    <row r="90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</row>
    <row r="9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</row>
    <row r="92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</row>
    <row r="93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</row>
    <row r="94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</row>
    <row r="95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</row>
    <row r="96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</row>
    <row r="97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</row>
    <row r="98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</row>
    <row r="99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</row>
    <row r="100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</row>
    <row r="10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</row>
    <row r="102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</row>
    <row r="103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</row>
    <row r="104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</row>
    <row r="105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</row>
    <row r="106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</row>
    <row r="107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</row>
    <row r="108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</row>
    <row r="109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</row>
    <row r="110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</row>
    <row r="11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</row>
    <row r="112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</row>
    <row r="113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</row>
    <row r="114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</row>
    <row r="115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</row>
    <row r="116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</row>
    <row r="117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</row>
    <row r="118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</row>
    <row r="119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</row>
    <row r="120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</row>
    <row r="12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</row>
    <row r="122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</row>
    <row r="123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</row>
    <row r="124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</row>
    <row r="125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</row>
    <row r="126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</row>
    <row r="127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</row>
    <row r="128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</row>
    <row r="129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</row>
    <row r="130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</row>
    <row r="13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</row>
    <row r="132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</row>
    <row r="133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</row>
    <row r="134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</row>
    <row r="135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</row>
    <row r="136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</row>
    <row r="137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</row>
    <row r="138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</row>
    <row r="139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</row>
    <row r="140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</row>
    <row r="14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</row>
    <row r="142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</row>
    <row r="143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</row>
    <row r="144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</row>
    <row r="145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</row>
    <row r="146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</row>
    <row r="147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</row>
    <row r="148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</row>
    <row r="149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</row>
    <row r="150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</row>
    <row r="15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</row>
    <row r="152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</row>
    <row r="153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</row>
    <row r="154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</row>
    <row r="155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</row>
    <row r="156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</row>
    <row r="157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</row>
    <row r="158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</row>
    <row r="159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</row>
    <row r="160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</row>
    <row r="16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</row>
    <row r="162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</row>
    <row r="163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</row>
    <row r="164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</row>
    <row r="165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</row>
    <row r="166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</row>
    <row r="167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</row>
    <row r="168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</row>
    <row r="169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</row>
    <row r="170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</row>
    <row r="17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</row>
    <row r="172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</row>
    <row r="173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</row>
    <row r="174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</row>
    <row r="175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</row>
    <row r="176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</row>
    <row r="177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</row>
    <row r="178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</row>
    <row r="179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</row>
    <row r="180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</row>
    <row r="18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</row>
    <row r="182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</row>
    <row r="183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</row>
    <row r="184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</row>
    <row r="185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</row>
    <row r="186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</row>
    <row r="187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</row>
    <row r="188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</row>
    <row r="189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</row>
    <row r="190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</row>
    <row r="19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</row>
    <row r="192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</row>
    <row r="193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</row>
    <row r="194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</row>
    <row r="195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</row>
    <row r="196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</row>
    <row r="197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</row>
    <row r="198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</row>
    <row r="199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</row>
    <row r="200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</row>
    <row r="20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</row>
    <row r="202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</row>
    <row r="203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</row>
    <row r="204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</row>
    <row r="205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</row>
    <row r="206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</row>
    <row r="207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</row>
    <row r="208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</row>
    <row r="209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</row>
    <row r="210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</row>
    <row r="21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</row>
    <row r="212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</row>
    <row r="213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</row>
    <row r="214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</row>
    <row r="215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</row>
    <row r="216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</row>
    <row r="217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</row>
    <row r="218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</row>
    <row r="219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</row>
    <row r="220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</row>
    <row r="22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</row>
    <row r="222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</row>
    <row r="223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</row>
    <row r="224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</row>
    <row r="225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</row>
    <row r="226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</row>
    <row r="227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</row>
    <row r="228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</row>
    <row r="229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</row>
    <row r="230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</row>
    <row r="23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</row>
    <row r="23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</row>
    <row r="233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</row>
    <row r="234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</row>
    <row r="235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</row>
    <row r="236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</row>
    <row r="237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</row>
    <row r="238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</row>
    <row r="239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</row>
    <row r="240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</row>
    <row r="24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</row>
    <row r="24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</row>
    <row r="243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</row>
    <row r="244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</row>
    <row r="245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</row>
    <row r="246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</row>
    <row r="247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</row>
    <row r="248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</row>
    <row r="249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</row>
    <row r="250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</row>
    <row r="25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</row>
    <row r="25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</row>
    <row r="253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</row>
    <row r="254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</row>
    <row r="255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</row>
    <row r="256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</row>
    <row r="257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</row>
    <row r="258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</row>
    <row r="259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</row>
    <row r="260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</row>
    <row r="26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</row>
    <row r="26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</row>
    <row r="263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</row>
    <row r="264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</row>
    <row r="265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</row>
    <row r="266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</row>
    <row r="267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</row>
    <row r="268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</row>
    <row r="269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</row>
    <row r="270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</row>
    <row r="27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</row>
    <row r="27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</row>
    <row r="273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</row>
    <row r="274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</row>
    <row r="275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</row>
    <row r="276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</row>
    <row r="277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</row>
    <row r="278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</row>
    <row r="279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</row>
    <row r="280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</row>
    <row r="28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</row>
    <row r="28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</row>
    <row r="283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</row>
    <row r="284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</row>
    <row r="285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</row>
    <row r="286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</row>
    <row r="287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</row>
    <row r="288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</row>
    <row r="289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</row>
    <row r="290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</row>
    <row r="29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</row>
    <row r="29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</row>
    <row r="293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</row>
    <row r="294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</row>
    <row r="295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</row>
    <row r="296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</row>
    <row r="297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</row>
    <row r="298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</row>
    <row r="299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</row>
    <row r="300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</row>
    <row r="30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</row>
    <row r="302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</row>
    <row r="303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</row>
    <row r="304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</row>
    <row r="305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</row>
    <row r="306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</row>
    <row r="307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</row>
    <row r="308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</row>
    <row r="309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</row>
    <row r="310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</row>
    <row r="31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</row>
    <row r="312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</row>
    <row r="313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</row>
    <row r="314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</row>
    <row r="315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</row>
    <row r="316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</row>
    <row r="317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</row>
    <row r="318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</row>
    <row r="319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</row>
    <row r="320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</row>
    <row r="32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</row>
    <row r="322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</row>
    <row r="323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</row>
    <row r="324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</row>
    <row r="325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</row>
    <row r="326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</row>
    <row r="327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</row>
    <row r="328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</row>
    <row r="329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</row>
    <row r="330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</row>
    <row r="33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</row>
    <row r="332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</row>
    <row r="333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</row>
    <row r="334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</row>
    <row r="335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</row>
    <row r="336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</row>
    <row r="337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</row>
    <row r="338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</row>
    <row r="339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</row>
    <row r="340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</row>
    <row r="34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</row>
    <row r="342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</row>
    <row r="343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</row>
    <row r="344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</row>
    <row r="345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</row>
    <row r="346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</row>
    <row r="347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</row>
    <row r="348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</row>
    <row r="349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</row>
    <row r="350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</row>
    <row r="35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</row>
    <row r="352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</row>
    <row r="353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</row>
    <row r="354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</row>
    <row r="355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</row>
    <row r="356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</row>
    <row r="357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</row>
    <row r="358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</row>
    <row r="359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</row>
    <row r="360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</row>
    <row r="36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</row>
    <row r="362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</row>
    <row r="363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</row>
    <row r="364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</row>
    <row r="365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</row>
    <row r="366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</row>
    <row r="367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</row>
    <row r="368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</row>
    <row r="369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</row>
    <row r="370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</row>
    <row r="37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</row>
    <row r="372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</row>
    <row r="373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</row>
    <row r="374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</row>
    <row r="375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</row>
    <row r="376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</row>
    <row r="377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</row>
    <row r="378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</row>
    <row r="379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</row>
    <row r="380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</row>
    <row r="38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</row>
    <row r="382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</row>
    <row r="383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</row>
    <row r="384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</row>
    <row r="385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</row>
    <row r="386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</row>
    <row r="387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</row>
    <row r="388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</row>
    <row r="389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</row>
    <row r="390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</row>
    <row r="39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</row>
    <row r="392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</row>
    <row r="393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</row>
    <row r="394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</row>
    <row r="395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</row>
    <row r="396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</row>
    <row r="397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</row>
    <row r="398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</row>
    <row r="399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</row>
    <row r="400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</row>
    <row r="40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</row>
    <row r="402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</row>
    <row r="403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</row>
    <row r="404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</row>
    <row r="405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</row>
    <row r="406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</row>
    <row r="407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</row>
    <row r="408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</row>
    <row r="409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</row>
    <row r="410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</row>
    <row r="41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</row>
    <row r="412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</row>
    <row r="413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</row>
    <row r="414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</row>
    <row r="415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</row>
    <row r="416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</row>
    <row r="417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</row>
    <row r="418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</row>
    <row r="419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</row>
    <row r="420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</row>
    <row r="42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</row>
    <row r="422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</row>
    <row r="423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</row>
    <row r="424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</row>
    <row r="425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</row>
    <row r="426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</row>
    <row r="427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</row>
    <row r="428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</row>
    <row r="429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</row>
    <row r="430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</row>
    <row r="43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</row>
    <row r="432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</row>
    <row r="433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</row>
    <row r="434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</row>
    <row r="435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</row>
    <row r="436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</row>
    <row r="437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</row>
    <row r="438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</row>
    <row r="439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</row>
    <row r="440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</row>
    <row r="44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</row>
    <row r="442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</row>
    <row r="443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</row>
    <row r="444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</row>
    <row r="445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</row>
    <row r="446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</row>
    <row r="447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</row>
    <row r="448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</row>
    <row r="449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</row>
    <row r="450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</row>
    <row r="45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</row>
    <row r="452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</row>
    <row r="453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</row>
    <row r="454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</row>
    <row r="455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</row>
    <row r="456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</row>
    <row r="457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</row>
    <row r="458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</row>
    <row r="459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</row>
    <row r="460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</row>
    <row r="46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</row>
    <row r="462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</row>
    <row r="463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</row>
    <row r="464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</row>
    <row r="465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</row>
    <row r="466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</row>
    <row r="467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</row>
    <row r="468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</row>
    <row r="469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</row>
    <row r="470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</row>
    <row r="47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</row>
    <row r="472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</row>
    <row r="473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</row>
    <row r="474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</row>
    <row r="475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</row>
    <row r="476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</row>
    <row r="477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</row>
    <row r="478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</row>
    <row r="479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</row>
    <row r="480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</row>
    <row r="48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</row>
    <row r="482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</row>
    <row r="483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</row>
    <row r="484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</row>
    <row r="485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</row>
    <row r="486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</row>
    <row r="487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</row>
    <row r="488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</row>
    <row r="489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</row>
    <row r="490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</row>
    <row r="49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</row>
    <row r="492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</row>
    <row r="493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</row>
    <row r="494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</row>
    <row r="495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</row>
    <row r="496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</row>
    <row r="497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</row>
    <row r="498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</row>
    <row r="499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</row>
    <row r="500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</row>
    <row r="50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</row>
    <row r="502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</row>
    <row r="503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</row>
    <row r="504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</row>
    <row r="505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</row>
    <row r="506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</row>
    <row r="507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</row>
    <row r="508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</row>
    <row r="509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</row>
    <row r="510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</row>
    <row r="51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</row>
    <row r="512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</row>
    <row r="513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</row>
    <row r="514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</row>
    <row r="515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</row>
    <row r="516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</row>
    <row r="517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</row>
    <row r="518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</row>
    <row r="519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</row>
    <row r="520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</row>
    <row r="52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</row>
    <row r="522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</row>
    <row r="523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</row>
    <row r="524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</row>
    <row r="525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</row>
    <row r="526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</row>
    <row r="527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</row>
    <row r="528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</row>
    <row r="529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</row>
    <row r="530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</row>
    <row r="53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</row>
    <row r="532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</row>
    <row r="533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</row>
    <row r="534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</row>
    <row r="535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</row>
    <row r="536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</row>
    <row r="537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</row>
    <row r="538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</row>
    <row r="539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</row>
    <row r="540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</row>
    <row r="54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</row>
    <row r="542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</row>
    <row r="543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</row>
    <row r="544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</row>
    <row r="545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</row>
    <row r="546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</row>
    <row r="547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</row>
    <row r="548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</row>
    <row r="549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</row>
    <row r="550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</row>
    <row r="55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</row>
    <row r="552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</row>
    <row r="553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</row>
    <row r="554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</row>
    <row r="555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</row>
    <row r="556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</row>
    <row r="557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</row>
    <row r="558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</row>
    <row r="559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</row>
    <row r="560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</row>
    <row r="56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</row>
    <row r="562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</row>
    <row r="563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</row>
    <row r="564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</row>
    <row r="565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</row>
    <row r="566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</row>
    <row r="567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</row>
    <row r="568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</row>
    <row r="569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</row>
    <row r="570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</row>
    <row r="57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</row>
    <row r="572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</row>
    <row r="573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</row>
    <row r="574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</row>
    <row r="575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</row>
    <row r="576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</row>
    <row r="577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</row>
    <row r="578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</row>
    <row r="579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</row>
    <row r="580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</row>
    <row r="58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</row>
    <row r="582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</row>
    <row r="583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</row>
    <row r="584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</row>
    <row r="585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</row>
    <row r="586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</row>
    <row r="587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</row>
    <row r="588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</row>
    <row r="589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</row>
    <row r="590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</row>
    <row r="59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</row>
    <row r="592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</row>
    <row r="593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</row>
    <row r="594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</row>
    <row r="595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</row>
    <row r="596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</row>
    <row r="597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</row>
    <row r="598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</row>
    <row r="599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</row>
    <row r="600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</row>
    <row r="60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</row>
    <row r="602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</row>
    <row r="603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</row>
    <row r="604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</row>
    <row r="605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</row>
    <row r="606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</row>
    <row r="607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</row>
    <row r="608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</row>
    <row r="609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</row>
    <row r="610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</row>
    <row r="61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</row>
    <row r="612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</row>
    <row r="613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</row>
    <row r="614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</row>
    <row r="615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</row>
    <row r="616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</row>
    <row r="617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</row>
    <row r="618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</row>
    <row r="619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</row>
    <row r="620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</row>
    <row r="62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</row>
    <row r="622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</row>
    <row r="623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</row>
    <row r="624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</row>
    <row r="625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</row>
    <row r="626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</row>
    <row r="627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</row>
    <row r="628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</row>
    <row r="629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</row>
    <row r="630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</row>
    <row r="63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</row>
    <row r="632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</row>
    <row r="633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</row>
    <row r="634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</row>
    <row r="635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</row>
    <row r="636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</row>
    <row r="637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</row>
    <row r="638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</row>
    <row r="639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</row>
    <row r="640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</row>
    <row r="64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</row>
    <row r="642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</row>
    <row r="643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</row>
    <row r="644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</row>
    <row r="645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</row>
    <row r="646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</row>
    <row r="647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</row>
    <row r="648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</row>
    <row r="649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</row>
    <row r="650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</row>
    <row r="65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</row>
    <row r="652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</row>
    <row r="653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</row>
    <row r="654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</row>
    <row r="655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</row>
    <row r="656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</row>
    <row r="657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</row>
    <row r="658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</row>
    <row r="659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</row>
    <row r="660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</row>
    <row r="66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</row>
    <row r="662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</row>
    <row r="663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</row>
    <row r="664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</row>
    <row r="665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</row>
    <row r="666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</row>
    <row r="667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</row>
    <row r="668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</row>
    <row r="669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</row>
    <row r="670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</row>
    <row r="67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</row>
    <row r="672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</row>
    <row r="673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</row>
    <row r="674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</row>
    <row r="675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</row>
    <row r="676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</row>
    <row r="677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</row>
    <row r="678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</row>
    <row r="679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</row>
    <row r="680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</row>
    <row r="68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</row>
    <row r="682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</row>
    <row r="683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</row>
    <row r="684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</row>
    <row r="685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</row>
    <row r="686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</row>
    <row r="687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</row>
    <row r="688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</row>
    <row r="689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</row>
    <row r="690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</row>
    <row r="69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</row>
    <row r="692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</row>
    <row r="693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</row>
    <row r="694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</row>
    <row r="695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</row>
    <row r="696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</row>
    <row r="697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</row>
    <row r="698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</row>
    <row r="699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</row>
    <row r="700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</row>
    <row r="70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</row>
    <row r="702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</row>
    <row r="703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</row>
    <row r="704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</row>
    <row r="705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</row>
    <row r="706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</row>
    <row r="707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</row>
    <row r="708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</row>
    <row r="709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</row>
    <row r="710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</row>
    <row r="71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</row>
    <row r="712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</row>
    <row r="713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</row>
    <row r="714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</row>
    <row r="715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</row>
    <row r="716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</row>
    <row r="717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</row>
    <row r="718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</row>
    <row r="719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</row>
    <row r="720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</row>
    <row r="72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</row>
    <row r="722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</row>
    <row r="723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</row>
    <row r="724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</row>
    <row r="725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</row>
    <row r="726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</row>
    <row r="727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</row>
    <row r="728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</row>
    <row r="729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</row>
    <row r="730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</row>
    <row r="73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</row>
    <row r="732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</row>
    <row r="733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</row>
    <row r="734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</row>
    <row r="735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</row>
    <row r="736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</row>
    <row r="737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</row>
    <row r="738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</row>
    <row r="739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</row>
    <row r="740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</row>
    <row r="74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</row>
    <row r="742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</row>
    <row r="743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</row>
    <row r="744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</row>
    <row r="745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</row>
    <row r="746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</row>
    <row r="747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</row>
    <row r="748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</row>
    <row r="749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</row>
    <row r="750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</row>
    <row r="75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</row>
    <row r="752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</row>
    <row r="753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</row>
    <row r="754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</row>
    <row r="755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</row>
    <row r="756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</row>
    <row r="757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</row>
    <row r="758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</row>
    <row r="759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</row>
    <row r="760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</row>
    <row r="76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</row>
    <row r="762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</row>
    <row r="763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</row>
    <row r="764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</row>
    <row r="765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</row>
    <row r="766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</row>
    <row r="767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</row>
    <row r="768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</row>
    <row r="769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</row>
    <row r="770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</row>
    <row r="77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</row>
    <row r="772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</row>
    <row r="773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</row>
    <row r="774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</row>
    <row r="775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</row>
    <row r="776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</row>
    <row r="777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</row>
    <row r="778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</row>
    <row r="779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</row>
    <row r="780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</row>
    <row r="78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</row>
    <row r="782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</row>
    <row r="783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</row>
    <row r="784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</row>
    <row r="785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</row>
    <row r="786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</row>
    <row r="787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</row>
    <row r="788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</row>
    <row r="789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</row>
    <row r="790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</row>
    <row r="79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</row>
    <row r="792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</row>
    <row r="793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</row>
    <row r="794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</row>
    <row r="795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</row>
    <row r="796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</row>
    <row r="797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</row>
    <row r="798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</row>
    <row r="799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</row>
    <row r="800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</row>
    <row r="80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</row>
    <row r="802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</row>
    <row r="803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</row>
    <row r="804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</row>
    <row r="805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</row>
    <row r="806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</row>
    <row r="807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</row>
    <row r="808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</row>
    <row r="809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</row>
    <row r="810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</row>
    <row r="81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</row>
    <row r="812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</row>
    <row r="813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</row>
    <row r="814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</row>
    <row r="815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</row>
    <row r="816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</row>
    <row r="817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</row>
    <row r="818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</row>
    <row r="819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</row>
    <row r="820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</row>
    <row r="82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</row>
    <row r="822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</row>
    <row r="823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</row>
    <row r="824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</row>
    <row r="825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</row>
    <row r="826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</row>
    <row r="827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</row>
    <row r="828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</row>
    <row r="829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</row>
    <row r="830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</row>
    <row r="83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</row>
    <row r="832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</row>
    <row r="833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</row>
    <row r="834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</row>
    <row r="835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</row>
    <row r="836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</row>
    <row r="837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</row>
    <row r="838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</row>
    <row r="839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</row>
    <row r="840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</row>
    <row r="84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</row>
    <row r="842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</row>
    <row r="843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</row>
    <row r="844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</row>
    <row r="845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</row>
    <row r="846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</row>
    <row r="847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</row>
    <row r="848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</row>
    <row r="849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</row>
    <row r="850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</row>
    <row r="85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</row>
    <row r="852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</row>
    <row r="853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</row>
    <row r="854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</row>
    <row r="855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</row>
    <row r="856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</row>
    <row r="857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</row>
    <row r="858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</row>
    <row r="859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</row>
    <row r="860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</row>
    <row r="86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</row>
    <row r="862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</row>
    <row r="863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</row>
    <row r="864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</row>
    <row r="865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</row>
    <row r="866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</row>
    <row r="867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</row>
    <row r="868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</row>
    <row r="869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</row>
    <row r="870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</row>
    <row r="87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</row>
    <row r="872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</row>
    <row r="873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</row>
    <row r="874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</row>
    <row r="875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</row>
    <row r="876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</row>
    <row r="877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</row>
    <row r="878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</row>
    <row r="879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</row>
    <row r="880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</row>
    <row r="88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</row>
    <row r="882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</row>
    <row r="883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</row>
    <row r="884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</row>
    <row r="885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</row>
    <row r="886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</row>
    <row r="887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</row>
    <row r="888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</row>
    <row r="889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</row>
    <row r="890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</row>
    <row r="89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</row>
    <row r="892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</row>
    <row r="893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</row>
    <row r="894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</row>
    <row r="895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</row>
    <row r="896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</row>
    <row r="897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</row>
    <row r="898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</row>
    <row r="899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</row>
    <row r="900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</row>
    <row r="90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</row>
    <row r="902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</row>
    <row r="903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</row>
    <row r="904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</row>
    <row r="905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</row>
    <row r="906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</row>
    <row r="907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</row>
    <row r="908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</row>
    <row r="909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</row>
    <row r="910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</row>
    <row r="91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</row>
    <row r="912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</row>
    <row r="913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</row>
    <row r="914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</row>
    <row r="915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</row>
    <row r="916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</row>
    <row r="917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</row>
    <row r="918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</row>
    <row r="919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</row>
    <row r="920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</row>
    <row r="92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</row>
    <row r="922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</row>
    <row r="923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</row>
    <row r="924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</row>
    <row r="925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</row>
    <row r="926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</row>
    <row r="927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</row>
    <row r="928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</row>
    <row r="929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</row>
    <row r="930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</row>
    <row r="93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</row>
    <row r="932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</row>
    <row r="933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</row>
    <row r="934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</row>
    <row r="935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</row>
    <row r="936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</row>
    <row r="937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</row>
    <row r="938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</row>
    <row r="939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</row>
    <row r="940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</row>
    <row r="94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</row>
    <row r="942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</row>
    <row r="943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</row>
    <row r="944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</row>
    <row r="945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</row>
    <row r="946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</row>
    <row r="947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</row>
    <row r="948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</row>
    <row r="949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</row>
    <row r="950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</row>
    <row r="95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</row>
    <row r="952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</row>
    <row r="953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</row>
    <row r="954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</row>
    <row r="955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</row>
    <row r="956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</row>
    <row r="957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</row>
    <row r="958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</row>
    <row r="959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</row>
    <row r="960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</row>
    <row r="96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</row>
    <row r="962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</row>
    <row r="963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</row>
    <row r="964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</row>
    <row r="965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</row>
    <row r="966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</row>
    <row r="967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</row>
    <row r="968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</row>
    <row r="969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</row>
    <row r="970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</row>
    <row r="97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</row>
    <row r="972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</row>
    <row r="973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</row>
    <row r="974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</row>
    <row r="975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</row>
    <row r="976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</row>
    <row r="977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</row>
    <row r="978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</row>
    <row r="979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</row>
    <row r="980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</row>
    <row r="98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</row>
    <row r="982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</row>
    <row r="983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</row>
    <row r="984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</row>
    <row r="985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</row>
    <row r="986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</row>
    <row r="987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</row>
    <row r="988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</row>
    <row r="989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</row>
    <row r="990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</row>
    <row r="991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</row>
    <row r="992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</row>
    <row r="993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</row>
    <row r="994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</row>
    <row r="995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</row>
    <row r="996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</row>
    <row r="997">
      <c r="A997" s="128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  <c r="Z997" s="128"/>
    </row>
    <row r="998">
      <c r="A998" s="128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  <c r="Z998" s="128"/>
    </row>
    <row r="999">
      <c r="A999" s="128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  <c r="W999" s="128"/>
      <c r="X999" s="128"/>
      <c r="Y999" s="128"/>
      <c r="Z999" s="128"/>
    </row>
    <row r="1000">
      <c r="A1000" s="128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  <c r="Z1000" s="128"/>
    </row>
    <row r="1001">
      <c r="A1001" s="128"/>
      <c r="B1001" s="128"/>
      <c r="C1001" s="128"/>
      <c r="D1001" s="128"/>
      <c r="E1001" s="128"/>
      <c r="F1001" s="128"/>
      <c r="G1001" s="128"/>
      <c r="H1001" s="128"/>
      <c r="I1001" s="128"/>
      <c r="J1001" s="128"/>
      <c r="K1001" s="128"/>
      <c r="L1001" s="128"/>
      <c r="M1001" s="128"/>
      <c r="N1001" s="128"/>
      <c r="O1001" s="128"/>
      <c r="P1001" s="128"/>
      <c r="Q1001" s="128"/>
      <c r="R1001" s="128"/>
      <c r="S1001" s="128"/>
      <c r="T1001" s="128"/>
      <c r="U1001" s="128"/>
      <c r="V1001" s="128"/>
      <c r="W1001" s="128"/>
      <c r="X1001" s="128"/>
      <c r="Y1001" s="128"/>
      <c r="Z1001" s="12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21.88"/>
    <col customWidth="1" min="3" max="3" width="33.0"/>
    <col customWidth="1" min="4" max="4" width="23.75"/>
    <col customWidth="1" min="5" max="5" width="21.38"/>
    <col customWidth="1" min="6" max="6" width="20.0"/>
  </cols>
  <sheetData>
    <row r="1">
      <c r="A1" s="136" t="s">
        <v>104</v>
      </c>
      <c r="B1" s="137" t="s">
        <v>144</v>
      </c>
      <c r="C1" s="137" t="s">
        <v>145</v>
      </c>
      <c r="D1" s="137" t="s">
        <v>146</v>
      </c>
      <c r="E1" s="137" t="s">
        <v>147</v>
      </c>
      <c r="F1" s="137" t="s">
        <v>148</v>
      </c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</row>
    <row r="2" ht="73.5" customHeight="1">
      <c r="A2" s="136" t="s">
        <v>110</v>
      </c>
      <c r="B2" s="138" t="s">
        <v>149</v>
      </c>
      <c r="C2" s="138" t="s">
        <v>150</v>
      </c>
      <c r="D2" s="138" t="s">
        <v>151</v>
      </c>
      <c r="E2" s="138" t="s">
        <v>152</v>
      </c>
      <c r="F2" s="138" t="s">
        <v>153</v>
      </c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</row>
    <row r="3">
      <c r="A3" s="136" t="s">
        <v>116</v>
      </c>
      <c r="B3" s="139" t="s">
        <v>117</v>
      </c>
      <c r="C3" s="139" t="s">
        <v>117</v>
      </c>
      <c r="D3" s="139" t="s">
        <v>117</v>
      </c>
      <c r="E3" s="139" t="s">
        <v>117</v>
      </c>
      <c r="F3" s="139" t="s">
        <v>117</v>
      </c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</row>
    <row r="4">
      <c r="A4" s="136" t="s">
        <v>62</v>
      </c>
      <c r="B4" s="139" t="s">
        <v>154</v>
      </c>
      <c r="C4" s="139" t="s">
        <v>80</v>
      </c>
      <c r="D4" s="139" t="s">
        <v>154</v>
      </c>
      <c r="E4" s="139" t="s">
        <v>154</v>
      </c>
      <c r="F4" s="139" t="s">
        <v>95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</row>
    <row r="5">
      <c r="A5" s="136" t="s">
        <v>118</v>
      </c>
      <c r="B5" s="139" t="s">
        <v>119</v>
      </c>
      <c r="C5" s="139" t="s">
        <v>119</v>
      </c>
      <c r="D5" s="139" t="s">
        <v>119</v>
      </c>
      <c r="E5" s="139" t="s">
        <v>119</v>
      </c>
      <c r="F5" s="139" t="s">
        <v>119</v>
      </c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</row>
    <row r="6">
      <c r="A6" s="136" t="s">
        <v>120</v>
      </c>
      <c r="B6" s="140">
        <v>10.0</v>
      </c>
      <c r="C6" s="140">
        <v>8.5</v>
      </c>
      <c r="D6" s="140">
        <v>8.5</v>
      </c>
      <c r="E6" s="140">
        <v>10.0</v>
      </c>
      <c r="F6" s="140">
        <v>10.0</v>
      </c>
      <c r="G6" s="128"/>
      <c r="H6" s="128"/>
      <c r="I6" s="128"/>
      <c r="J6" s="132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</row>
    <row r="7">
      <c r="A7" s="136" t="s">
        <v>121</v>
      </c>
      <c r="B7" s="140">
        <v>4.8</v>
      </c>
      <c r="C7" s="140">
        <v>4.8</v>
      </c>
      <c r="D7" s="140">
        <v>4.9</v>
      </c>
      <c r="E7" s="140">
        <v>4.8</v>
      </c>
      <c r="F7" s="140">
        <v>4.5</v>
      </c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</row>
    <row r="8">
      <c r="A8" s="136" t="s">
        <v>122</v>
      </c>
      <c r="B8" s="140">
        <v>744.0</v>
      </c>
      <c r="C8" s="140">
        <v>1763.0</v>
      </c>
      <c r="D8" s="140">
        <v>1116.0</v>
      </c>
      <c r="E8" s="140">
        <v>1359.0</v>
      </c>
      <c r="F8" s="140">
        <v>40.0</v>
      </c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</row>
    <row r="9">
      <c r="A9" s="136" t="s">
        <v>123</v>
      </c>
      <c r="B9" s="140">
        <v>2048.0</v>
      </c>
      <c r="C9" s="140">
        <v>2395.0</v>
      </c>
      <c r="D9" s="140">
        <v>1927.0</v>
      </c>
      <c r="E9" s="140">
        <v>1205.0</v>
      </c>
      <c r="F9" s="140">
        <v>1296.0</v>
      </c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</row>
    <row r="10">
      <c r="A10" s="136" t="s">
        <v>124</v>
      </c>
      <c r="B10" s="140">
        <v>2048.0</v>
      </c>
      <c r="C10" s="140">
        <v>2395.0</v>
      </c>
      <c r="D10" s="140">
        <v>1927.0</v>
      </c>
      <c r="E10" s="140">
        <v>1205.0</v>
      </c>
      <c r="F10" s="140">
        <v>1296.0</v>
      </c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</row>
    <row r="11">
      <c r="A11" s="136" t="s">
        <v>125</v>
      </c>
      <c r="B11" s="141">
        <v>1932.0</v>
      </c>
      <c r="C11" s="141">
        <v>2420.0</v>
      </c>
      <c r="D11" s="141">
        <v>1927.0</v>
      </c>
      <c r="E11" s="141">
        <v>1344.0</v>
      </c>
      <c r="F11" s="141">
        <v>1250.0</v>
      </c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</row>
    <row r="12">
      <c r="A12" s="136" t="s">
        <v>126</v>
      </c>
      <c r="B12" s="139" t="s">
        <v>155</v>
      </c>
      <c r="C12" s="139" t="s">
        <v>156</v>
      </c>
      <c r="D12" s="139" t="s">
        <v>157</v>
      </c>
      <c r="E12" s="139" t="s">
        <v>158</v>
      </c>
      <c r="F12" s="139" t="s">
        <v>159</v>
      </c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/>
    </row>
    <row r="13">
      <c r="A13" s="136" t="s">
        <v>132</v>
      </c>
      <c r="B13" s="140">
        <v>14.0</v>
      </c>
      <c r="C13" s="140">
        <v>11.0</v>
      </c>
      <c r="D13" s="140">
        <v>19.0</v>
      </c>
      <c r="E13" s="140">
        <v>13.0</v>
      </c>
      <c r="F13" s="140">
        <v>20.0</v>
      </c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</row>
    <row r="14">
      <c r="A14" s="136" t="s">
        <v>133</v>
      </c>
      <c r="B14" s="140">
        <v>758164.0</v>
      </c>
      <c r="C14" s="140">
        <v>342043.0</v>
      </c>
      <c r="D14" s="140">
        <v>156163.0</v>
      </c>
      <c r="E14" s="140">
        <v>131522.0</v>
      </c>
      <c r="F14" s="140">
        <v>428784.0</v>
      </c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</row>
    <row r="15">
      <c r="A15" s="136" t="s">
        <v>134</v>
      </c>
      <c r="B15" s="140">
        <v>38680.0</v>
      </c>
      <c r="C15" s="140">
        <v>31947.0</v>
      </c>
      <c r="D15" s="140">
        <v>9958.0</v>
      </c>
      <c r="E15" s="140">
        <v>11176.0</v>
      </c>
      <c r="F15" s="140">
        <v>32539.0</v>
      </c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</row>
    <row r="16">
      <c r="A16" s="136" t="s">
        <v>135</v>
      </c>
      <c r="B16" s="140">
        <v>5.0</v>
      </c>
      <c r="C16" s="140">
        <v>9.0</v>
      </c>
      <c r="D16" s="140">
        <v>6.0</v>
      </c>
      <c r="E16" s="140">
        <v>8.0</v>
      </c>
      <c r="F16" s="140">
        <v>8.0</v>
      </c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</row>
    <row r="17">
      <c r="A17" s="136" t="s">
        <v>136</v>
      </c>
      <c r="B17" s="140">
        <v>6730.0</v>
      </c>
      <c r="C17" s="140">
        <v>3305.0</v>
      </c>
      <c r="D17" s="140">
        <v>1270.0</v>
      </c>
      <c r="E17" s="140">
        <v>2284.0</v>
      </c>
      <c r="F17" s="140">
        <v>3482.0</v>
      </c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</row>
    <row r="18">
      <c r="A18" s="136" t="s">
        <v>137</v>
      </c>
      <c r="B18" s="140">
        <v>17.0</v>
      </c>
      <c r="C18" s="140">
        <v>10.0</v>
      </c>
      <c r="D18" s="140">
        <v>13.0</v>
      </c>
      <c r="E18" s="140">
        <v>20.0</v>
      </c>
      <c r="F18" s="140">
        <v>11.0</v>
      </c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</row>
    <row r="19">
      <c r="A19" s="136" t="s">
        <v>138</v>
      </c>
      <c r="B19" s="142">
        <v>504.0</v>
      </c>
      <c r="C19" s="142">
        <v>107.0</v>
      </c>
      <c r="D19" s="142">
        <v>167.0</v>
      </c>
      <c r="E19" s="142">
        <v>267.0</v>
      </c>
      <c r="F19" s="142">
        <v>106.0</v>
      </c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</row>
    <row r="20">
      <c r="A20" s="136" t="s">
        <v>139</v>
      </c>
      <c r="B20" s="143">
        <v>1424.0</v>
      </c>
      <c r="C20" s="143">
        <v>552.0</v>
      </c>
      <c r="D20" s="143">
        <v>287.0</v>
      </c>
      <c r="E20" s="143">
        <v>546.0</v>
      </c>
      <c r="F20" s="143">
        <v>487.0</v>
      </c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</row>
    <row r="21">
      <c r="A21" s="136" t="s">
        <v>140</v>
      </c>
      <c r="B21" s="140">
        <v>21.0</v>
      </c>
      <c r="C21" s="140">
        <v>17.0</v>
      </c>
      <c r="D21" s="140">
        <v>23.0</v>
      </c>
      <c r="E21" s="140">
        <v>24.0</v>
      </c>
      <c r="F21" s="140">
        <v>14.0</v>
      </c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</row>
    <row r="22">
      <c r="A22" s="136" t="s">
        <v>141</v>
      </c>
      <c r="B22" s="140">
        <v>1250.0</v>
      </c>
      <c r="C22" s="140">
        <v>511.0</v>
      </c>
      <c r="D22" s="140">
        <v>242.0</v>
      </c>
      <c r="E22" s="140">
        <v>474.0</v>
      </c>
      <c r="F22" s="140">
        <v>427.0</v>
      </c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</row>
    <row r="23">
      <c r="A23" s="136" t="s">
        <v>142</v>
      </c>
      <c r="B23" s="140">
        <v>89.0</v>
      </c>
      <c r="C23" s="140">
        <v>87.0</v>
      </c>
      <c r="D23" s="140">
        <v>93.0</v>
      </c>
      <c r="E23" s="140">
        <v>88.0</v>
      </c>
      <c r="F23" s="140">
        <v>90.0</v>
      </c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</row>
    <row r="24">
      <c r="A24" s="136" t="s">
        <v>143</v>
      </c>
      <c r="B24" s="140">
        <v>151.0</v>
      </c>
      <c r="C24" s="140">
        <v>78.0</v>
      </c>
      <c r="D24" s="140">
        <v>19.0</v>
      </c>
      <c r="E24" s="140">
        <v>65.0</v>
      </c>
      <c r="F24" s="140">
        <v>50.0</v>
      </c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</row>
    <row r="25">
      <c r="A25" s="128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</row>
    <row r="26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</row>
    <row r="27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</row>
    <row r="28">
      <c r="A28" s="128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</row>
    <row r="29">
      <c r="A29" s="128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</row>
    <row r="30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</row>
    <row r="32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</row>
    <row r="33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</row>
    <row r="34">
      <c r="A34" s="128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</row>
    <row r="35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</row>
    <row r="36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</row>
    <row r="37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</row>
    <row r="38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</row>
    <row r="39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</row>
    <row r="40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</row>
    <row r="41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</row>
    <row r="42">
      <c r="A42" s="128"/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</row>
    <row r="43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</row>
    <row r="44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</row>
    <row r="45">
      <c r="A45" s="128"/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</row>
    <row r="46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</row>
    <row r="47">
      <c r="A47" s="128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</row>
    <row r="48">
      <c r="A48" s="128"/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</row>
    <row r="49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</row>
    <row r="50">
      <c r="A50" s="128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</row>
    <row r="51">
      <c r="A51" s="128"/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</row>
    <row r="52">
      <c r="A52" s="128"/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</row>
    <row r="53">
      <c r="A53" s="128"/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</row>
    <row r="54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</row>
    <row r="55">
      <c r="A55" s="128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</row>
    <row r="56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</row>
    <row r="57">
      <c r="A57" s="128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</row>
    <row r="58">
      <c r="A58" s="128"/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</row>
    <row r="59">
      <c r="A59" s="128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</row>
    <row r="60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</row>
    <row r="61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</row>
    <row r="62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</row>
    <row r="63">
      <c r="A63" s="128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</row>
    <row r="64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</row>
    <row r="65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</row>
    <row r="66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</row>
    <row r="67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</row>
    <row r="68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</row>
    <row r="69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</row>
    <row r="70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</row>
    <row r="71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</row>
    <row r="72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</row>
    <row r="73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</row>
    <row r="74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</row>
    <row r="75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</row>
    <row r="76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</row>
    <row r="77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</row>
    <row r="78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</row>
    <row r="79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</row>
    <row r="80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</row>
    <row r="8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</row>
    <row r="82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</row>
    <row r="83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</row>
    <row r="84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</row>
    <row r="85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</row>
    <row r="86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</row>
    <row r="87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</row>
    <row r="88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</row>
    <row r="89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</row>
    <row r="90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</row>
    <row r="9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</row>
    <row r="92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</row>
    <row r="93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</row>
    <row r="94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</row>
    <row r="95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</row>
    <row r="96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</row>
    <row r="97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</row>
    <row r="98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</row>
    <row r="99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</row>
    <row r="100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</row>
    <row r="10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</row>
    <row r="102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</row>
    <row r="103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</row>
    <row r="104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</row>
    <row r="105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</row>
    <row r="106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</row>
    <row r="107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</row>
    <row r="108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</row>
    <row r="109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</row>
    <row r="110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</row>
    <row r="11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</row>
    <row r="112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</row>
    <row r="113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</row>
    <row r="114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</row>
    <row r="115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</row>
    <row r="116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</row>
    <row r="117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</row>
    <row r="118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</row>
    <row r="119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</row>
    <row r="120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</row>
    <row r="12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</row>
    <row r="122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</row>
    <row r="123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</row>
    <row r="124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</row>
    <row r="125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</row>
    <row r="126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</row>
    <row r="127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</row>
    <row r="128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</row>
    <row r="129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</row>
    <row r="130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</row>
    <row r="13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</row>
    <row r="132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</row>
    <row r="133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</row>
    <row r="134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</row>
    <row r="135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</row>
    <row r="136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</row>
    <row r="137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</row>
    <row r="138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</row>
    <row r="139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</row>
    <row r="140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</row>
    <row r="14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</row>
    <row r="142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</row>
    <row r="143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</row>
    <row r="144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</row>
    <row r="145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</row>
    <row r="146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</row>
    <row r="147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</row>
    <row r="148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</row>
    <row r="149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</row>
    <row r="150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</row>
    <row r="15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</row>
    <row r="152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</row>
    <row r="153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</row>
    <row r="154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</row>
    <row r="155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</row>
    <row r="156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</row>
    <row r="157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</row>
    <row r="158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</row>
    <row r="159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</row>
    <row r="160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</row>
    <row r="16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</row>
    <row r="162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</row>
    <row r="163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</row>
    <row r="164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</row>
    <row r="165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</row>
    <row r="166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</row>
    <row r="167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</row>
    <row r="168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</row>
    <row r="169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</row>
    <row r="170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</row>
    <row r="17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</row>
    <row r="172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</row>
    <row r="173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</row>
    <row r="174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</row>
    <row r="175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</row>
    <row r="176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</row>
    <row r="177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</row>
    <row r="178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</row>
    <row r="179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</row>
    <row r="180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</row>
    <row r="18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</row>
    <row r="182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</row>
    <row r="183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</row>
    <row r="184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</row>
    <row r="185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</row>
    <row r="186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</row>
    <row r="187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</row>
    <row r="188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</row>
    <row r="189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</row>
    <row r="190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</row>
    <row r="19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</row>
    <row r="192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</row>
    <row r="193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</row>
    <row r="194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</row>
    <row r="195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</row>
    <row r="196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</row>
    <row r="197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</row>
    <row r="198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</row>
    <row r="199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</row>
    <row r="200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</row>
    <row r="20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</row>
    <row r="202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</row>
    <row r="203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</row>
    <row r="204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</row>
    <row r="205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</row>
    <row r="206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</row>
    <row r="207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</row>
    <row r="208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</row>
    <row r="209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</row>
    <row r="210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</row>
    <row r="21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</row>
    <row r="212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</row>
    <row r="213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</row>
    <row r="214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</row>
    <row r="215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</row>
    <row r="216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</row>
    <row r="217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</row>
    <row r="218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</row>
    <row r="219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</row>
    <row r="220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</row>
    <row r="22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</row>
    <row r="222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</row>
    <row r="223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</row>
    <row r="224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</row>
    <row r="225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</row>
    <row r="226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</row>
    <row r="227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</row>
    <row r="228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</row>
    <row r="229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</row>
    <row r="230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</row>
    <row r="23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</row>
    <row r="23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</row>
    <row r="233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</row>
    <row r="234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</row>
    <row r="235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</row>
    <row r="236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</row>
    <row r="237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</row>
    <row r="238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</row>
    <row r="239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</row>
    <row r="240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</row>
    <row r="24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</row>
    <row r="24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</row>
    <row r="243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</row>
    <row r="244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</row>
    <row r="245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</row>
    <row r="246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</row>
    <row r="247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</row>
    <row r="248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</row>
    <row r="249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</row>
    <row r="250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</row>
    <row r="25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</row>
    <row r="25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</row>
    <row r="253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</row>
    <row r="254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</row>
    <row r="255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</row>
    <row r="256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</row>
    <row r="257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</row>
    <row r="258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</row>
    <row r="259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</row>
    <row r="260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</row>
    <row r="26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</row>
    <row r="26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</row>
    <row r="263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</row>
    <row r="264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</row>
    <row r="265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</row>
    <row r="266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</row>
    <row r="267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</row>
    <row r="268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</row>
    <row r="269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</row>
    <row r="270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</row>
    <row r="27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</row>
    <row r="27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</row>
    <row r="273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</row>
    <row r="274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</row>
    <row r="275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</row>
    <row r="276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</row>
    <row r="277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</row>
    <row r="278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</row>
    <row r="279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</row>
    <row r="280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</row>
    <row r="28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</row>
    <row r="28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</row>
    <row r="283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</row>
    <row r="284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</row>
    <row r="285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</row>
    <row r="286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</row>
    <row r="287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</row>
    <row r="288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</row>
    <row r="289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</row>
    <row r="290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</row>
    <row r="29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</row>
    <row r="29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</row>
    <row r="293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</row>
    <row r="294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</row>
    <row r="295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</row>
    <row r="296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</row>
    <row r="297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</row>
    <row r="298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</row>
    <row r="299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</row>
    <row r="300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</row>
    <row r="30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</row>
    <row r="302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</row>
    <row r="303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</row>
    <row r="304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</row>
    <row r="305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</row>
    <row r="306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</row>
    <row r="307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</row>
    <row r="308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</row>
    <row r="309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</row>
    <row r="310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</row>
    <row r="31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</row>
    <row r="312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</row>
    <row r="313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</row>
    <row r="314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</row>
    <row r="315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</row>
    <row r="316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</row>
    <row r="317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</row>
    <row r="318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</row>
    <row r="319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</row>
    <row r="320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</row>
    <row r="32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</row>
    <row r="322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</row>
    <row r="323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</row>
    <row r="324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</row>
    <row r="325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</row>
    <row r="326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</row>
    <row r="327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</row>
    <row r="328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</row>
    <row r="329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</row>
    <row r="330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</row>
    <row r="33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</row>
    <row r="332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</row>
    <row r="333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</row>
    <row r="334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</row>
    <row r="335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</row>
    <row r="336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</row>
    <row r="337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</row>
    <row r="338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</row>
    <row r="339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</row>
    <row r="340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</row>
    <row r="34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</row>
    <row r="342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</row>
    <row r="343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</row>
    <row r="344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</row>
    <row r="345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</row>
    <row r="346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</row>
    <row r="347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</row>
    <row r="348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</row>
    <row r="349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</row>
    <row r="350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</row>
    <row r="35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</row>
    <row r="352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</row>
    <row r="353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</row>
    <row r="354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</row>
    <row r="355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</row>
    <row r="356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</row>
    <row r="357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</row>
    <row r="358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</row>
    <row r="359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</row>
    <row r="360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</row>
    <row r="36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</row>
    <row r="362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</row>
    <row r="363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</row>
    <row r="364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</row>
    <row r="365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</row>
    <row r="366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</row>
    <row r="367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</row>
    <row r="368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</row>
    <row r="369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</row>
    <row r="370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</row>
    <row r="37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</row>
    <row r="372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</row>
    <row r="373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</row>
    <row r="374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</row>
    <row r="375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</row>
    <row r="376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</row>
    <row r="377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</row>
    <row r="378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</row>
    <row r="379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</row>
    <row r="380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</row>
    <row r="38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</row>
    <row r="382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</row>
    <row r="383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</row>
    <row r="384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</row>
    <row r="385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</row>
    <row r="386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</row>
    <row r="387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</row>
    <row r="388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</row>
    <row r="389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</row>
    <row r="390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</row>
    <row r="39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</row>
    <row r="392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</row>
    <row r="393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</row>
    <row r="394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</row>
    <row r="395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</row>
    <row r="396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</row>
    <row r="397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</row>
    <row r="398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</row>
    <row r="399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</row>
    <row r="400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</row>
    <row r="40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</row>
    <row r="402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</row>
    <row r="403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</row>
    <row r="404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</row>
    <row r="405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</row>
    <row r="406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</row>
    <row r="407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</row>
    <row r="408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</row>
    <row r="409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</row>
    <row r="410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</row>
    <row r="41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</row>
    <row r="412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</row>
    <row r="413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</row>
    <row r="414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</row>
    <row r="415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</row>
    <row r="416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</row>
    <row r="417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</row>
    <row r="418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</row>
    <row r="419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</row>
    <row r="420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</row>
    <row r="42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</row>
    <row r="422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</row>
    <row r="423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</row>
    <row r="424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</row>
    <row r="425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</row>
    <row r="426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</row>
    <row r="427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</row>
    <row r="428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</row>
    <row r="429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</row>
    <row r="430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</row>
    <row r="43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</row>
    <row r="432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</row>
    <row r="433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</row>
    <row r="434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</row>
    <row r="435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</row>
    <row r="436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</row>
    <row r="437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</row>
    <row r="438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</row>
    <row r="439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</row>
    <row r="440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</row>
    <row r="44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</row>
    <row r="442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</row>
    <row r="443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</row>
    <row r="444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</row>
    <row r="445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</row>
    <row r="446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</row>
    <row r="447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</row>
    <row r="448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</row>
    <row r="449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</row>
    <row r="450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</row>
    <row r="45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</row>
    <row r="452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</row>
    <row r="453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</row>
    <row r="454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</row>
    <row r="455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</row>
    <row r="456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</row>
    <row r="457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</row>
    <row r="458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</row>
    <row r="459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</row>
    <row r="460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</row>
    <row r="46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</row>
    <row r="462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</row>
    <row r="463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</row>
    <row r="464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</row>
    <row r="465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</row>
    <row r="466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</row>
    <row r="467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</row>
    <row r="468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</row>
    <row r="469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</row>
    <row r="470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</row>
    <row r="47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</row>
    <row r="472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</row>
    <row r="473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</row>
    <row r="474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</row>
    <row r="475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</row>
    <row r="476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</row>
    <row r="477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</row>
    <row r="478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</row>
    <row r="479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</row>
    <row r="480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</row>
    <row r="48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</row>
    <row r="482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</row>
    <row r="483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</row>
    <row r="484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</row>
    <row r="485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</row>
    <row r="486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</row>
    <row r="487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</row>
    <row r="488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</row>
    <row r="489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</row>
    <row r="490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</row>
    <row r="49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</row>
    <row r="492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</row>
    <row r="493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</row>
    <row r="494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</row>
    <row r="495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</row>
    <row r="496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</row>
    <row r="497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</row>
    <row r="498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</row>
    <row r="499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</row>
    <row r="500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</row>
    <row r="50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</row>
    <row r="502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</row>
    <row r="503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</row>
    <row r="504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</row>
    <row r="505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</row>
    <row r="506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</row>
    <row r="507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</row>
    <row r="508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</row>
    <row r="509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</row>
    <row r="510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</row>
    <row r="51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</row>
    <row r="512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</row>
    <row r="513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</row>
    <row r="514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</row>
    <row r="515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</row>
    <row r="516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</row>
    <row r="517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</row>
    <row r="518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</row>
    <row r="519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</row>
    <row r="520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</row>
    <row r="52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</row>
    <row r="522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</row>
    <row r="523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</row>
    <row r="524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</row>
    <row r="525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</row>
    <row r="526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</row>
    <row r="527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</row>
    <row r="528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</row>
    <row r="529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</row>
    <row r="530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</row>
    <row r="53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</row>
    <row r="532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</row>
    <row r="533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</row>
    <row r="534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</row>
    <row r="535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</row>
    <row r="536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</row>
    <row r="537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</row>
    <row r="538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</row>
    <row r="539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</row>
    <row r="540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</row>
    <row r="54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</row>
    <row r="542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</row>
    <row r="543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</row>
    <row r="544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</row>
    <row r="545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</row>
    <row r="546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</row>
    <row r="547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</row>
    <row r="548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</row>
    <row r="549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</row>
    <row r="550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</row>
    <row r="55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</row>
    <row r="552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</row>
    <row r="553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</row>
    <row r="554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</row>
    <row r="555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</row>
    <row r="556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</row>
    <row r="557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</row>
    <row r="558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</row>
    <row r="559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</row>
    <row r="560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</row>
    <row r="56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</row>
    <row r="562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</row>
    <row r="563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</row>
    <row r="564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</row>
    <row r="565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</row>
    <row r="566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</row>
    <row r="567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</row>
    <row r="568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</row>
    <row r="569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</row>
    <row r="570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</row>
    <row r="57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</row>
    <row r="572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</row>
    <row r="573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</row>
    <row r="574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</row>
    <row r="575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</row>
    <row r="576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</row>
    <row r="577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</row>
    <row r="578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</row>
    <row r="579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</row>
    <row r="580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</row>
    <row r="58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</row>
    <row r="582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</row>
    <row r="583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</row>
    <row r="584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</row>
    <row r="585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</row>
    <row r="586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</row>
    <row r="587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</row>
    <row r="588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</row>
    <row r="589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</row>
    <row r="590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</row>
    <row r="59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</row>
    <row r="592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</row>
    <row r="593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</row>
    <row r="594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</row>
    <row r="595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</row>
    <row r="596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</row>
    <row r="597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</row>
    <row r="598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</row>
    <row r="599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</row>
    <row r="600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</row>
    <row r="60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</row>
    <row r="602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</row>
    <row r="603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</row>
    <row r="604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</row>
    <row r="605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</row>
    <row r="606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</row>
    <row r="607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</row>
    <row r="608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</row>
    <row r="609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</row>
    <row r="610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</row>
    <row r="61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</row>
    <row r="612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</row>
    <row r="613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</row>
    <row r="614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</row>
    <row r="615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</row>
    <row r="616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</row>
    <row r="617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</row>
    <row r="618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</row>
    <row r="619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</row>
    <row r="620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</row>
    <row r="62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</row>
    <row r="622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</row>
    <row r="623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</row>
    <row r="624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</row>
    <row r="625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</row>
    <row r="626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</row>
    <row r="627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</row>
    <row r="628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</row>
    <row r="629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</row>
    <row r="630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</row>
    <row r="63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</row>
    <row r="632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</row>
    <row r="633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</row>
    <row r="634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</row>
    <row r="635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</row>
    <row r="636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</row>
    <row r="637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</row>
    <row r="638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</row>
    <row r="639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</row>
    <row r="640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</row>
    <row r="64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</row>
    <row r="642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</row>
    <row r="643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</row>
    <row r="644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</row>
    <row r="645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</row>
    <row r="646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</row>
    <row r="647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</row>
    <row r="648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</row>
    <row r="649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</row>
    <row r="650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</row>
    <row r="65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</row>
    <row r="652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</row>
    <row r="653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</row>
    <row r="654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</row>
    <row r="655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</row>
    <row r="656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</row>
    <row r="657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</row>
    <row r="658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</row>
    <row r="659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</row>
    <row r="660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</row>
    <row r="66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</row>
    <row r="662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</row>
    <row r="663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</row>
    <row r="664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</row>
    <row r="665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</row>
    <row r="666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</row>
    <row r="667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</row>
    <row r="668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</row>
    <row r="669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</row>
    <row r="670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</row>
    <row r="67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</row>
    <row r="672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</row>
    <row r="673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</row>
    <row r="674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</row>
    <row r="675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</row>
    <row r="676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</row>
    <row r="677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</row>
    <row r="678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</row>
    <row r="679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</row>
    <row r="680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</row>
    <row r="68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</row>
    <row r="682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</row>
    <row r="683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</row>
    <row r="684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</row>
    <row r="685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</row>
    <row r="686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</row>
    <row r="687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</row>
    <row r="688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</row>
    <row r="689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</row>
    <row r="690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</row>
    <row r="69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</row>
    <row r="692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</row>
    <row r="693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</row>
    <row r="694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</row>
    <row r="695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</row>
    <row r="696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</row>
    <row r="697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</row>
    <row r="698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</row>
    <row r="699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</row>
    <row r="700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</row>
    <row r="70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</row>
    <row r="702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</row>
    <row r="703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</row>
    <row r="704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</row>
    <row r="705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</row>
    <row r="706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</row>
    <row r="707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</row>
    <row r="708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</row>
    <row r="709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</row>
    <row r="710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</row>
    <row r="71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</row>
    <row r="712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</row>
    <row r="713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</row>
    <row r="714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</row>
    <row r="715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</row>
    <row r="716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</row>
    <row r="717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</row>
    <row r="718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</row>
    <row r="719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</row>
    <row r="720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</row>
    <row r="72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</row>
    <row r="722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</row>
    <row r="723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</row>
    <row r="724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</row>
    <row r="725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</row>
    <row r="726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</row>
    <row r="727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</row>
    <row r="728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</row>
    <row r="729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</row>
    <row r="730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</row>
    <row r="73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</row>
    <row r="732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</row>
    <row r="733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</row>
    <row r="734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</row>
    <row r="735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</row>
    <row r="736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</row>
    <row r="737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</row>
    <row r="738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</row>
    <row r="739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</row>
    <row r="740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</row>
    <row r="74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</row>
    <row r="742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</row>
    <row r="743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</row>
    <row r="744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</row>
    <row r="745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</row>
    <row r="746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</row>
    <row r="747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</row>
    <row r="748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</row>
    <row r="749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</row>
    <row r="750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</row>
    <row r="75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</row>
    <row r="752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</row>
    <row r="753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</row>
    <row r="754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</row>
    <row r="755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</row>
    <row r="756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</row>
    <row r="757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</row>
    <row r="758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</row>
    <row r="759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</row>
    <row r="760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</row>
    <row r="76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</row>
    <row r="762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</row>
    <row r="763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</row>
    <row r="764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</row>
    <row r="765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</row>
    <row r="766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</row>
    <row r="767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</row>
    <row r="768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</row>
    <row r="769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</row>
    <row r="770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</row>
    <row r="77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</row>
    <row r="772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</row>
    <row r="773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</row>
    <row r="774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</row>
    <row r="775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</row>
    <row r="776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</row>
    <row r="777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</row>
    <row r="778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</row>
    <row r="779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</row>
    <row r="780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</row>
    <row r="78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</row>
    <row r="782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</row>
    <row r="783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</row>
    <row r="784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</row>
    <row r="785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</row>
    <row r="786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</row>
    <row r="787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</row>
    <row r="788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</row>
    <row r="789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</row>
    <row r="790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</row>
    <row r="79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</row>
    <row r="792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</row>
    <row r="793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</row>
    <row r="794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</row>
    <row r="795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</row>
    <row r="796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</row>
    <row r="797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</row>
    <row r="798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</row>
    <row r="799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</row>
    <row r="800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</row>
    <row r="80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</row>
    <row r="802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</row>
    <row r="803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</row>
    <row r="804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</row>
    <row r="805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</row>
    <row r="806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</row>
    <row r="807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</row>
    <row r="808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</row>
    <row r="809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</row>
    <row r="810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</row>
    <row r="81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</row>
    <row r="812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</row>
    <row r="813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</row>
    <row r="814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</row>
    <row r="815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</row>
    <row r="816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</row>
    <row r="817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</row>
    <row r="818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</row>
    <row r="819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</row>
    <row r="820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</row>
    <row r="82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</row>
    <row r="822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</row>
    <row r="823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</row>
    <row r="824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</row>
    <row r="825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</row>
    <row r="826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</row>
    <row r="827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</row>
    <row r="828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</row>
    <row r="829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</row>
    <row r="830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</row>
    <row r="83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</row>
    <row r="832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</row>
    <row r="833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</row>
    <row r="834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</row>
    <row r="835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</row>
    <row r="836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</row>
    <row r="837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</row>
    <row r="838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</row>
    <row r="839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</row>
    <row r="840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</row>
    <row r="84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</row>
    <row r="842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</row>
    <row r="843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</row>
    <row r="844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</row>
    <row r="845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</row>
    <row r="846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</row>
    <row r="847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</row>
    <row r="848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</row>
    <row r="849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</row>
    <row r="850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</row>
    <row r="85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</row>
    <row r="852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</row>
    <row r="853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</row>
    <row r="854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</row>
    <row r="855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</row>
    <row r="856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</row>
    <row r="857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</row>
    <row r="858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</row>
    <row r="859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</row>
    <row r="860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</row>
    <row r="86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</row>
    <row r="862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</row>
    <row r="863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</row>
    <row r="864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</row>
    <row r="865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</row>
    <row r="866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</row>
    <row r="867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</row>
    <row r="868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</row>
    <row r="869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</row>
    <row r="870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</row>
    <row r="87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</row>
    <row r="872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</row>
    <row r="873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</row>
    <row r="874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</row>
    <row r="875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</row>
    <row r="876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</row>
    <row r="877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</row>
    <row r="878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</row>
    <row r="879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</row>
    <row r="880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</row>
    <row r="88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</row>
    <row r="882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</row>
    <row r="883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</row>
    <row r="884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</row>
    <row r="885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</row>
    <row r="886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</row>
    <row r="887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</row>
    <row r="888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</row>
    <row r="889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</row>
    <row r="890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</row>
    <row r="89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</row>
    <row r="892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</row>
    <row r="893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</row>
    <row r="894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</row>
    <row r="895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</row>
    <row r="896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</row>
    <row r="897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</row>
    <row r="898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</row>
    <row r="899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</row>
    <row r="900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</row>
    <row r="90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</row>
    <row r="902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</row>
    <row r="903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</row>
    <row r="904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</row>
    <row r="905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</row>
    <row r="906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</row>
    <row r="907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</row>
    <row r="908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</row>
    <row r="909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</row>
    <row r="910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</row>
    <row r="91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</row>
    <row r="912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</row>
    <row r="913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</row>
    <row r="914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</row>
    <row r="915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</row>
    <row r="916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</row>
    <row r="917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</row>
    <row r="918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</row>
    <row r="919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</row>
    <row r="920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</row>
    <row r="92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</row>
    <row r="922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</row>
    <row r="923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</row>
    <row r="924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</row>
    <row r="925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</row>
    <row r="926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</row>
    <row r="927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</row>
    <row r="928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</row>
    <row r="929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</row>
    <row r="930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</row>
    <row r="93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</row>
    <row r="932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</row>
    <row r="933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</row>
    <row r="934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</row>
    <row r="935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</row>
    <row r="936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</row>
    <row r="937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</row>
    <row r="938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</row>
    <row r="939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</row>
    <row r="940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</row>
    <row r="94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</row>
    <row r="942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</row>
    <row r="943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</row>
    <row r="944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</row>
    <row r="945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</row>
    <row r="946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</row>
    <row r="947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</row>
    <row r="948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</row>
    <row r="949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</row>
    <row r="950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</row>
    <row r="95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</row>
    <row r="952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</row>
    <row r="953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</row>
    <row r="954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</row>
    <row r="955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</row>
    <row r="956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</row>
    <row r="957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</row>
    <row r="958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</row>
    <row r="959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</row>
    <row r="960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</row>
    <row r="96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</row>
    <row r="962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</row>
    <row r="963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</row>
    <row r="964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</row>
    <row r="965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</row>
    <row r="966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</row>
    <row r="967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</row>
    <row r="968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</row>
    <row r="969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</row>
    <row r="970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</row>
    <row r="97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</row>
    <row r="972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</row>
    <row r="973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</row>
    <row r="974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</row>
    <row r="975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</row>
    <row r="976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</row>
    <row r="977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</row>
    <row r="978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</row>
    <row r="979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</row>
    <row r="980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</row>
    <row r="98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</row>
    <row r="982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</row>
    <row r="983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</row>
    <row r="984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</row>
    <row r="985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</row>
    <row r="986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</row>
    <row r="987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</row>
    <row r="988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</row>
    <row r="989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</row>
    <row r="990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</row>
    <row r="991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</row>
    <row r="992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</row>
    <row r="993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</row>
    <row r="994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</row>
    <row r="995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</row>
    <row r="996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</row>
    <row r="997">
      <c r="A997" s="128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  <c r="Z997" s="128"/>
    </row>
    <row r="998">
      <c r="A998" s="128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  <c r="Z998" s="128"/>
    </row>
    <row r="999">
      <c r="A999" s="128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  <c r="W999" s="128"/>
      <c r="X999" s="128"/>
      <c r="Y999" s="128"/>
      <c r="Z999" s="128"/>
    </row>
    <row r="1000">
      <c r="A1000" s="128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  <c r="Z1000" s="128"/>
    </row>
    <row r="1001">
      <c r="A1001" s="128"/>
      <c r="B1001" s="128"/>
      <c r="C1001" s="128"/>
      <c r="D1001" s="128"/>
      <c r="E1001" s="128"/>
      <c r="F1001" s="128"/>
      <c r="G1001" s="128"/>
      <c r="H1001" s="128"/>
      <c r="I1001" s="128"/>
      <c r="J1001" s="128"/>
      <c r="K1001" s="128"/>
      <c r="L1001" s="128"/>
      <c r="M1001" s="128"/>
      <c r="N1001" s="128"/>
      <c r="O1001" s="128"/>
      <c r="P1001" s="128"/>
      <c r="Q1001" s="128"/>
      <c r="R1001" s="128"/>
      <c r="S1001" s="128"/>
      <c r="T1001" s="128"/>
      <c r="U1001" s="128"/>
      <c r="V1001" s="128"/>
      <c r="W1001" s="128"/>
      <c r="X1001" s="128"/>
      <c r="Y1001" s="128"/>
      <c r="Z1001" s="12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21.88"/>
    <col customWidth="1" min="3" max="3" width="33.0"/>
    <col customWidth="1" min="4" max="4" width="23.75"/>
    <col customWidth="1" min="5" max="5" width="23.88"/>
  </cols>
  <sheetData>
    <row r="1">
      <c r="A1" s="136" t="s">
        <v>104</v>
      </c>
      <c r="B1" s="137" t="s">
        <v>160</v>
      </c>
      <c r="C1" s="137" t="s">
        <v>161</v>
      </c>
      <c r="D1" s="137" t="s">
        <v>162</v>
      </c>
      <c r="E1" s="137" t="s">
        <v>163</v>
      </c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</row>
    <row r="2" ht="73.5" customHeight="1">
      <c r="A2" s="136" t="s">
        <v>110</v>
      </c>
      <c r="B2" s="138" t="s">
        <v>164</v>
      </c>
      <c r="C2" s="138" t="s">
        <v>165</v>
      </c>
      <c r="D2" s="138" t="s">
        <v>166</v>
      </c>
      <c r="E2" s="138" t="s">
        <v>167</v>
      </c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</row>
    <row r="3">
      <c r="A3" s="136" t="s">
        <v>116</v>
      </c>
      <c r="B3" s="139" t="s">
        <v>117</v>
      </c>
      <c r="C3" s="139" t="s">
        <v>117</v>
      </c>
      <c r="D3" s="139" t="s">
        <v>117</v>
      </c>
      <c r="E3" s="139" t="s">
        <v>117</v>
      </c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</row>
    <row r="4">
      <c r="A4" s="136" t="s">
        <v>62</v>
      </c>
      <c r="B4" s="139" t="s">
        <v>168</v>
      </c>
      <c r="C4" s="139" t="s">
        <v>168</v>
      </c>
      <c r="D4" s="139" t="s">
        <v>95</v>
      </c>
      <c r="E4" s="139" t="s">
        <v>168</v>
      </c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</row>
    <row r="5">
      <c r="A5" s="136" t="s">
        <v>118</v>
      </c>
      <c r="B5" s="139" t="s">
        <v>119</v>
      </c>
      <c r="C5" s="139" t="s">
        <v>119</v>
      </c>
      <c r="D5" s="139" t="s">
        <v>119</v>
      </c>
      <c r="E5" s="139" t="s">
        <v>119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</row>
    <row r="6">
      <c r="A6" s="136" t="s">
        <v>120</v>
      </c>
      <c r="B6" s="140">
        <v>8.5</v>
      </c>
      <c r="C6" s="140">
        <v>10.0</v>
      </c>
      <c r="D6" s="140">
        <v>10.0</v>
      </c>
      <c r="E6" s="140">
        <v>8.5</v>
      </c>
      <c r="F6" s="128"/>
      <c r="G6" s="128"/>
      <c r="H6" s="128"/>
      <c r="I6" s="132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</row>
    <row r="7">
      <c r="A7" s="136" t="s">
        <v>121</v>
      </c>
      <c r="B7" s="140">
        <v>4.9</v>
      </c>
      <c r="C7" s="140">
        <v>4.9</v>
      </c>
      <c r="D7" s="140">
        <v>4.9</v>
      </c>
      <c r="E7" s="140">
        <v>4.9</v>
      </c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</row>
    <row r="8">
      <c r="A8" s="136" t="s">
        <v>122</v>
      </c>
      <c r="B8" s="140">
        <v>10302.0</v>
      </c>
      <c r="C8" s="140">
        <v>2804.0</v>
      </c>
      <c r="D8" s="140">
        <v>199.0</v>
      </c>
      <c r="E8" s="140">
        <v>92.0</v>
      </c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</row>
    <row r="9">
      <c r="A9" s="136" t="s">
        <v>123</v>
      </c>
      <c r="B9" s="140">
        <v>2163.0</v>
      </c>
      <c r="C9" s="140">
        <v>1917.0</v>
      </c>
      <c r="D9" s="140">
        <v>1372.0</v>
      </c>
      <c r="E9" s="140">
        <v>1661.0</v>
      </c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</row>
    <row r="10">
      <c r="A10" s="136" t="s">
        <v>124</v>
      </c>
      <c r="B10" s="140">
        <v>2163.0</v>
      </c>
      <c r="C10" s="140">
        <v>1917.0</v>
      </c>
      <c r="D10" s="140">
        <v>1372.0</v>
      </c>
      <c r="E10" s="140">
        <v>1661.0</v>
      </c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</row>
    <row r="11">
      <c r="A11" s="136" t="s">
        <v>125</v>
      </c>
      <c r="B11" s="141">
        <v>1924.0</v>
      </c>
      <c r="C11" s="141">
        <v>1917.0</v>
      </c>
      <c r="D11" s="141">
        <v>1300.0</v>
      </c>
      <c r="E11" s="141">
        <v>1661.0</v>
      </c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</row>
    <row r="12">
      <c r="A12" s="136" t="s">
        <v>126</v>
      </c>
      <c r="B12" s="139" t="s">
        <v>169</v>
      </c>
      <c r="C12" s="139" t="s">
        <v>155</v>
      </c>
      <c r="D12" s="139" t="s">
        <v>156</v>
      </c>
      <c r="E12" s="139" t="s">
        <v>170</v>
      </c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</row>
    <row r="13">
      <c r="A13" s="136" t="s">
        <v>132</v>
      </c>
      <c r="B13" s="140">
        <v>5.0</v>
      </c>
      <c r="C13" s="140">
        <v>12.0</v>
      </c>
      <c r="D13" s="140">
        <v>20.0</v>
      </c>
      <c r="E13" s="140">
        <v>24.0</v>
      </c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</row>
    <row r="14">
      <c r="A14" s="136" t="s">
        <v>133</v>
      </c>
      <c r="B14" s="140">
        <v>2725611.0</v>
      </c>
      <c r="C14" s="140">
        <v>410858.0</v>
      </c>
      <c r="D14" s="140">
        <v>1367401.0</v>
      </c>
      <c r="E14" s="140">
        <v>1304935.0</v>
      </c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</row>
    <row r="15">
      <c r="A15" s="136" t="s">
        <v>134</v>
      </c>
      <c r="B15" s="140">
        <v>207081.0</v>
      </c>
      <c r="C15" s="140">
        <v>25886.0</v>
      </c>
      <c r="D15" s="140">
        <v>80539.0</v>
      </c>
      <c r="E15" s="140">
        <v>48204.0</v>
      </c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</row>
    <row r="16">
      <c r="A16" s="136" t="s">
        <v>135</v>
      </c>
      <c r="B16" s="140">
        <v>8.0</v>
      </c>
      <c r="C16" s="140">
        <v>6.0</v>
      </c>
      <c r="D16" s="140">
        <v>6.0</v>
      </c>
      <c r="E16" s="140">
        <v>4.0</v>
      </c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</row>
    <row r="17">
      <c r="A17" s="136" t="s">
        <v>136</v>
      </c>
      <c r="B17" s="140">
        <v>36245.0</v>
      </c>
      <c r="C17" s="140">
        <v>4720.0</v>
      </c>
      <c r="D17" s="140">
        <v>11714.0</v>
      </c>
      <c r="E17" s="140">
        <v>6751.0</v>
      </c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</row>
    <row r="18">
      <c r="A18" s="136" t="s">
        <v>137</v>
      </c>
      <c r="B18" s="140">
        <v>18.0</v>
      </c>
      <c r="C18" s="140">
        <v>18.0</v>
      </c>
      <c r="D18" s="140">
        <v>15.0</v>
      </c>
      <c r="E18" s="140">
        <v>14.0</v>
      </c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</row>
    <row r="19">
      <c r="A19" s="136" t="s">
        <v>138</v>
      </c>
      <c r="B19" s="142">
        <v>1401.0</v>
      </c>
      <c r="C19" s="142">
        <v>342.0</v>
      </c>
      <c r="D19" s="142">
        <v>419.0</v>
      </c>
      <c r="E19" s="142">
        <v>535.0</v>
      </c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</row>
    <row r="20">
      <c r="A20" s="136" t="s">
        <v>139</v>
      </c>
      <c r="B20" s="143">
        <v>6534.0</v>
      </c>
      <c r="C20" s="143">
        <v>816.0</v>
      </c>
      <c r="D20" s="143">
        <v>1526.0</v>
      </c>
      <c r="E20" s="143">
        <v>848.0</v>
      </c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</row>
    <row r="21">
      <c r="A21" s="136" t="s">
        <v>140</v>
      </c>
      <c r="B21" s="140">
        <v>18.0</v>
      </c>
      <c r="C21" s="140">
        <v>17.0</v>
      </c>
      <c r="D21" s="140">
        <v>13.0</v>
      </c>
      <c r="E21" s="140">
        <v>13.0</v>
      </c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</row>
    <row r="22">
      <c r="A22" s="136" t="s">
        <v>141</v>
      </c>
      <c r="B22" s="140">
        <v>5929.0</v>
      </c>
      <c r="C22" s="140">
        <v>738.0</v>
      </c>
      <c r="D22" s="140">
        <v>1346.0</v>
      </c>
      <c r="E22" s="140">
        <v>693.0</v>
      </c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</row>
    <row r="23">
      <c r="A23" s="136" t="s">
        <v>142</v>
      </c>
      <c r="B23" s="140">
        <v>89.0</v>
      </c>
      <c r="C23" s="140">
        <v>91.0</v>
      </c>
      <c r="D23" s="140">
        <v>88.0</v>
      </c>
      <c r="E23" s="140">
        <v>89.0</v>
      </c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</row>
    <row r="24">
      <c r="A24" s="136" t="s">
        <v>143</v>
      </c>
      <c r="B24" s="140">
        <v>743.0</v>
      </c>
      <c r="C24" s="140">
        <v>75.0</v>
      </c>
      <c r="D24" s="140">
        <v>184.0</v>
      </c>
      <c r="E24" s="140">
        <v>90.0</v>
      </c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</row>
    <row r="25">
      <c r="A25" s="128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</row>
    <row r="26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</row>
    <row r="27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</row>
    <row r="28">
      <c r="A28" s="128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</row>
    <row r="29">
      <c r="A29" s="128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</row>
    <row r="30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</row>
    <row r="31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</row>
    <row r="32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</row>
    <row r="33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</row>
    <row r="34">
      <c r="A34" s="128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</row>
    <row r="35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</row>
    <row r="36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</row>
    <row r="37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</row>
    <row r="38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</row>
    <row r="39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</row>
    <row r="40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</row>
    <row r="41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</row>
    <row r="42">
      <c r="A42" s="128"/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</row>
    <row r="43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</row>
    <row r="44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</row>
    <row r="45">
      <c r="A45" s="128"/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</row>
    <row r="46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</row>
    <row r="47">
      <c r="A47" s="128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</row>
    <row r="48">
      <c r="A48" s="128"/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</row>
    <row r="49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</row>
    <row r="50">
      <c r="A50" s="128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</row>
    <row r="51">
      <c r="A51" s="128"/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</row>
    <row r="52">
      <c r="A52" s="128"/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</row>
    <row r="53">
      <c r="A53" s="128"/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</row>
    <row r="54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</row>
    <row r="55">
      <c r="A55" s="128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</row>
    <row r="56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</row>
    <row r="57">
      <c r="A57" s="128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</row>
    <row r="58">
      <c r="A58" s="128"/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</row>
    <row r="59">
      <c r="A59" s="128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</row>
    <row r="60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</row>
    <row r="61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</row>
    <row r="62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</row>
    <row r="63">
      <c r="A63" s="128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</row>
    <row r="64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</row>
    <row r="65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</row>
    <row r="66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</row>
    <row r="67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</row>
    <row r="68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</row>
    <row r="69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</row>
    <row r="70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</row>
    <row r="71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</row>
    <row r="72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</row>
    <row r="73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</row>
    <row r="74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</row>
    <row r="75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</row>
    <row r="76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</row>
    <row r="77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</row>
    <row r="78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</row>
    <row r="79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</row>
    <row r="80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</row>
    <row r="8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</row>
    <row r="82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</row>
    <row r="83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</row>
    <row r="84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</row>
    <row r="85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</row>
    <row r="86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</row>
    <row r="87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</row>
    <row r="88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</row>
    <row r="89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</row>
    <row r="90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</row>
    <row r="9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</row>
    <row r="92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</row>
    <row r="93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</row>
    <row r="94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</row>
    <row r="95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</row>
    <row r="96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</row>
    <row r="97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</row>
    <row r="98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</row>
    <row r="99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</row>
    <row r="100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</row>
    <row r="10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</row>
    <row r="102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</row>
    <row r="103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</row>
    <row r="104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</row>
    <row r="105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</row>
    <row r="106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</row>
    <row r="107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</row>
    <row r="108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</row>
    <row r="109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</row>
    <row r="110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</row>
    <row r="11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</row>
    <row r="112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</row>
    <row r="113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</row>
    <row r="114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</row>
    <row r="115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</row>
    <row r="116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</row>
    <row r="117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</row>
    <row r="118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</row>
    <row r="119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</row>
    <row r="120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</row>
    <row r="12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</row>
    <row r="122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</row>
    <row r="123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</row>
    <row r="124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</row>
    <row r="125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</row>
    <row r="126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</row>
    <row r="127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</row>
    <row r="128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</row>
    <row r="129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</row>
    <row r="130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</row>
    <row r="13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</row>
    <row r="132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</row>
    <row r="133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</row>
    <row r="134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</row>
    <row r="135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</row>
    <row r="136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</row>
    <row r="137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</row>
    <row r="138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</row>
    <row r="139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</row>
    <row r="140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</row>
    <row r="14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</row>
    <row r="142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</row>
    <row r="143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</row>
    <row r="144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</row>
    <row r="145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</row>
    <row r="146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</row>
    <row r="147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</row>
    <row r="148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</row>
    <row r="149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</row>
    <row r="150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</row>
    <row r="15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</row>
    <row r="152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</row>
    <row r="153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</row>
    <row r="154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</row>
    <row r="155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</row>
    <row r="156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</row>
    <row r="157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</row>
    <row r="158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</row>
    <row r="159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</row>
    <row r="160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</row>
    <row r="16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</row>
    <row r="162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</row>
    <row r="163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</row>
    <row r="164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</row>
    <row r="165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</row>
    <row r="166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</row>
    <row r="167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</row>
    <row r="168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</row>
    <row r="169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</row>
    <row r="170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</row>
    <row r="17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</row>
    <row r="172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</row>
    <row r="173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</row>
    <row r="174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</row>
    <row r="175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</row>
    <row r="176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</row>
    <row r="177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</row>
    <row r="178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</row>
    <row r="179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</row>
    <row r="180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</row>
    <row r="18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</row>
    <row r="182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</row>
    <row r="183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</row>
    <row r="184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</row>
    <row r="185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</row>
    <row r="186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</row>
    <row r="187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</row>
    <row r="188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</row>
    <row r="189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</row>
    <row r="190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</row>
    <row r="19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</row>
    <row r="192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</row>
    <row r="193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</row>
    <row r="194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</row>
    <row r="195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</row>
    <row r="196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</row>
    <row r="197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</row>
    <row r="198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</row>
    <row r="199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</row>
    <row r="200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</row>
    <row r="20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</row>
    <row r="202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</row>
    <row r="203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</row>
    <row r="204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</row>
    <row r="205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</row>
    <row r="206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</row>
    <row r="207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</row>
    <row r="208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</row>
    <row r="209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</row>
    <row r="210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</row>
    <row r="21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</row>
    <row r="212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</row>
    <row r="213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</row>
    <row r="214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</row>
    <row r="215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</row>
    <row r="216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</row>
    <row r="217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</row>
    <row r="218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</row>
    <row r="219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</row>
    <row r="220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</row>
    <row r="22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</row>
    <row r="222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</row>
    <row r="223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</row>
    <row r="224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</row>
    <row r="225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</row>
    <row r="226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</row>
    <row r="227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</row>
    <row r="228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</row>
    <row r="229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</row>
    <row r="230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</row>
    <row r="23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</row>
    <row r="23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</row>
    <row r="233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</row>
    <row r="234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</row>
    <row r="235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</row>
    <row r="236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</row>
    <row r="237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</row>
    <row r="238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</row>
    <row r="239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</row>
    <row r="240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</row>
    <row r="24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</row>
    <row r="24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</row>
    <row r="243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</row>
    <row r="244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</row>
    <row r="245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</row>
    <row r="246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</row>
    <row r="247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</row>
    <row r="248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</row>
    <row r="249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</row>
    <row r="250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</row>
    <row r="25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</row>
    <row r="25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</row>
    <row r="253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</row>
    <row r="254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</row>
    <row r="255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</row>
    <row r="256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</row>
    <row r="257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</row>
    <row r="258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</row>
    <row r="259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</row>
    <row r="260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</row>
    <row r="26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</row>
    <row r="26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</row>
    <row r="263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</row>
    <row r="264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</row>
    <row r="265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</row>
    <row r="266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</row>
    <row r="267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</row>
    <row r="268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</row>
    <row r="269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</row>
    <row r="270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</row>
    <row r="27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</row>
    <row r="27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</row>
    <row r="273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</row>
    <row r="274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</row>
    <row r="275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</row>
    <row r="276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</row>
    <row r="277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</row>
    <row r="278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</row>
    <row r="279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</row>
    <row r="280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</row>
    <row r="28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</row>
    <row r="28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</row>
    <row r="283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</row>
    <row r="284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</row>
    <row r="285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</row>
    <row r="286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</row>
    <row r="287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</row>
    <row r="288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</row>
    <row r="289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</row>
    <row r="290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</row>
    <row r="29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</row>
    <row r="29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</row>
    <row r="293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</row>
    <row r="294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</row>
    <row r="295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</row>
    <row r="296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</row>
    <row r="297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</row>
    <row r="298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</row>
    <row r="299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</row>
    <row r="300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</row>
    <row r="30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</row>
    <row r="302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</row>
    <row r="303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</row>
    <row r="304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</row>
    <row r="305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</row>
    <row r="306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</row>
    <row r="307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</row>
    <row r="308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</row>
    <row r="309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</row>
    <row r="310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</row>
    <row r="31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</row>
    <row r="312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</row>
    <row r="313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</row>
    <row r="314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</row>
    <row r="315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</row>
    <row r="316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</row>
    <row r="317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</row>
    <row r="318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</row>
    <row r="319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</row>
    <row r="320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</row>
    <row r="32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</row>
    <row r="322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</row>
    <row r="323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</row>
    <row r="324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</row>
    <row r="325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</row>
    <row r="326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</row>
    <row r="327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</row>
    <row r="328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</row>
    <row r="329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</row>
    <row r="330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</row>
    <row r="33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</row>
    <row r="332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</row>
    <row r="333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</row>
    <row r="334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</row>
    <row r="335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</row>
    <row r="336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</row>
    <row r="337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</row>
    <row r="338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</row>
    <row r="339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</row>
    <row r="340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</row>
    <row r="34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</row>
    <row r="342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</row>
    <row r="343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</row>
    <row r="344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</row>
    <row r="345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</row>
    <row r="346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</row>
    <row r="347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</row>
    <row r="348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</row>
    <row r="349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</row>
    <row r="350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</row>
    <row r="35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</row>
    <row r="352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</row>
    <row r="353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</row>
    <row r="354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</row>
    <row r="355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</row>
    <row r="356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</row>
    <row r="357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</row>
    <row r="358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</row>
    <row r="359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</row>
    <row r="360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</row>
    <row r="36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</row>
    <row r="362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</row>
    <row r="363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</row>
    <row r="364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</row>
    <row r="365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</row>
    <row r="366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</row>
    <row r="367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</row>
    <row r="368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</row>
    <row r="369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</row>
    <row r="370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</row>
    <row r="37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</row>
    <row r="372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</row>
    <row r="373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</row>
    <row r="374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</row>
    <row r="375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</row>
    <row r="376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</row>
    <row r="377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</row>
    <row r="378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</row>
    <row r="379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</row>
    <row r="380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</row>
    <row r="38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</row>
    <row r="382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</row>
    <row r="383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</row>
    <row r="384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</row>
    <row r="385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</row>
    <row r="386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</row>
    <row r="387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</row>
    <row r="388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</row>
    <row r="389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</row>
    <row r="390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</row>
    <row r="39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</row>
    <row r="392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</row>
    <row r="393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</row>
    <row r="394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</row>
    <row r="395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</row>
    <row r="396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</row>
    <row r="397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</row>
    <row r="398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</row>
    <row r="399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</row>
    <row r="400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</row>
    <row r="40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</row>
    <row r="402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</row>
    <row r="403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</row>
    <row r="404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</row>
    <row r="405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</row>
    <row r="406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</row>
    <row r="407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</row>
    <row r="408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</row>
    <row r="409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</row>
    <row r="410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</row>
    <row r="41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</row>
    <row r="412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</row>
    <row r="413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</row>
    <row r="414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</row>
    <row r="415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</row>
    <row r="416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</row>
    <row r="417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</row>
    <row r="418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</row>
    <row r="419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</row>
    <row r="420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</row>
    <row r="42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</row>
    <row r="422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</row>
    <row r="423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</row>
    <row r="424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</row>
    <row r="425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</row>
    <row r="426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</row>
    <row r="427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</row>
    <row r="428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</row>
    <row r="429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</row>
    <row r="430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</row>
    <row r="43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</row>
    <row r="432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</row>
    <row r="433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</row>
    <row r="434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</row>
    <row r="435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</row>
    <row r="436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</row>
    <row r="437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</row>
    <row r="438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</row>
    <row r="439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</row>
    <row r="440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</row>
    <row r="44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</row>
    <row r="442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</row>
    <row r="443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</row>
    <row r="444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</row>
    <row r="445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</row>
    <row r="446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</row>
    <row r="447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</row>
    <row r="448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</row>
    <row r="449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</row>
    <row r="450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</row>
    <row r="45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</row>
    <row r="452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</row>
    <row r="453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</row>
    <row r="454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</row>
    <row r="455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</row>
    <row r="456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</row>
    <row r="457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</row>
    <row r="458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</row>
    <row r="459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</row>
    <row r="460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</row>
    <row r="46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</row>
    <row r="462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</row>
    <row r="463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</row>
    <row r="464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</row>
    <row r="465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</row>
    <row r="466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</row>
    <row r="467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</row>
    <row r="468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</row>
    <row r="469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</row>
    <row r="470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</row>
    <row r="47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</row>
    <row r="472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</row>
    <row r="473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</row>
    <row r="474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</row>
    <row r="475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</row>
    <row r="476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</row>
    <row r="477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</row>
    <row r="478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</row>
    <row r="479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</row>
    <row r="480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</row>
    <row r="48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</row>
    <row r="482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</row>
    <row r="483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</row>
    <row r="484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</row>
    <row r="485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</row>
    <row r="486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</row>
    <row r="487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</row>
    <row r="488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</row>
    <row r="489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</row>
    <row r="490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</row>
    <row r="49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</row>
    <row r="492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</row>
    <row r="493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</row>
    <row r="494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</row>
    <row r="495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</row>
    <row r="496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</row>
    <row r="497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</row>
    <row r="498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</row>
    <row r="499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</row>
    <row r="500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</row>
    <row r="50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</row>
    <row r="502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</row>
    <row r="503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</row>
    <row r="504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</row>
    <row r="505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</row>
    <row r="506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</row>
    <row r="507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</row>
    <row r="508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</row>
    <row r="509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</row>
    <row r="510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</row>
    <row r="51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</row>
    <row r="512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</row>
    <row r="513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</row>
    <row r="514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</row>
    <row r="515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</row>
    <row r="516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</row>
    <row r="517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</row>
    <row r="518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</row>
    <row r="519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</row>
    <row r="520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</row>
    <row r="52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</row>
    <row r="522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</row>
    <row r="523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</row>
    <row r="524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</row>
    <row r="525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</row>
    <row r="526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</row>
    <row r="527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</row>
    <row r="528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</row>
    <row r="529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</row>
    <row r="530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</row>
    <row r="53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</row>
    <row r="532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</row>
    <row r="533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</row>
    <row r="534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</row>
    <row r="535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</row>
    <row r="536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</row>
    <row r="537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</row>
    <row r="538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</row>
    <row r="539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</row>
    <row r="540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</row>
    <row r="54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</row>
    <row r="542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</row>
    <row r="543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</row>
    <row r="544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</row>
    <row r="545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</row>
    <row r="546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</row>
    <row r="547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</row>
    <row r="548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</row>
    <row r="549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</row>
    <row r="550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</row>
    <row r="55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</row>
    <row r="552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</row>
    <row r="553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</row>
    <row r="554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</row>
    <row r="555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</row>
    <row r="556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</row>
    <row r="557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</row>
    <row r="558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</row>
    <row r="559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</row>
    <row r="560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</row>
    <row r="56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</row>
    <row r="562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</row>
    <row r="563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</row>
    <row r="564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</row>
    <row r="565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</row>
    <row r="566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</row>
    <row r="567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</row>
    <row r="568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</row>
    <row r="569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</row>
    <row r="570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</row>
    <row r="57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</row>
    <row r="572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</row>
    <row r="573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</row>
    <row r="574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</row>
    <row r="575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</row>
    <row r="576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</row>
    <row r="577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</row>
    <row r="578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</row>
    <row r="579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</row>
    <row r="580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</row>
    <row r="58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</row>
    <row r="582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</row>
    <row r="583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</row>
    <row r="584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</row>
    <row r="585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</row>
    <row r="586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</row>
    <row r="587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</row>
    <row r="588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</row>
    <row r="589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</row>
    <row r="590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</row>
    <row r="59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</row>
    <row r="592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</row>
    <row r="593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</row>
    <row r="594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</row>
    <row r="595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</row>
    <row r="596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</row>
    <row r="597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</row>
    <row r="598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</row>
    <row r="599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</row>
    <row r="600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</row>
    <row r="60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</row>
    <row r="602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</row>
    <row r="603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</row>
    <row r="604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</row>
    <row r="605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</row>
    <row r="606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</row>
    <row r="607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</row>
    <row r="608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</row>
    <row r="609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</row>
    <row r="610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</row>
    <row r="61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</row>
    <row r="612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</row>
    <row r="613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</row>
    <row r="614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</row>
    <row r="615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</row>
    <row r="616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</row>
    <row r="617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</row>
    <row r="618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</row>
    <row r="619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</row>
    <row r="620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</row>
    <row r="62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</row>
    <row r="622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</row>
    <row r="623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</row>
    <row r="624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</row>
    <row r="625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</row>
    <row r="626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</row>
    <row r="627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</row>
    <row r="628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</row>
    <row r="629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</row>
    <row r="630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</row>
    <row r="63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</row>
    <row r="632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</row>
    <row r="633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</row>
    <row r="634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</row>
    <row r="635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</row>
    <row r="636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</row>
    <row r="637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</row>
    <row r="638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</row>
    <row r="639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</row>
    <row r="640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</row>
    <row r="64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</row>
    <row r="642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</row>
    <row r="643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</row>
    <row r="644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</row>
    <row r="645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</row>
    <row r="646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</row>
    <row r="647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</row>
    <row r="648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</row>
    <row r="649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</row>
    <row r="650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</row>
    <row r="65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</row>
    <row r="652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</row>
    <row r="653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</row>
    <row r="654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</row>
    <row r="655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</row>
    <row r="656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</row>
    <row r="657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</row>
    <row r="658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</row>
    <row r="659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</row>
    <row r="660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</row>
    <row r="66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</row>
    <row r="662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</row>
    <row r="663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</row>
    <row r="664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</row>
    <row r="665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</row>
    <row r="666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</row>
    <row r="667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</row>
    <row r="668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</row>
    <row r="669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</row>
    <row r="670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</row>
    <row r="67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</row>
    <row r="672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</row>
    <row r="673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</row>
    <row r="674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</row>
    <row r="675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</row>
    <row r="676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</row>
    <row r="677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</row>
    <row r="678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</row>
    <row r="679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</row>
    <row r="680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</row>
    <row r="68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</row>
    <row r="682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</row>
    <row r="683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</row>
    <row r="684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</row>
    <row r="685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</row>
    <row r="686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</row>
    <row r="687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</row>
    <row r="688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</row>
    <row r="689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</row>
    <row r="690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</row>
    <row r="69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</row>
    <row r="692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</row>
    <row r="693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</row>
    <row r="694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</row>
    <row r="695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</row>
    <row r="696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</row>
    <row r="697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</row>
    <row r="698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</row>
    <row r="699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</row>
    <row r="700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</row>
    <row r="70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</row>
    <row r="702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</row>
    <row r="703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</row>
    <row r="704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</row>
    <row r="705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</row>
    <row r="706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</row>
    <row r="707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</row>
    <row r="708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</row>
    <row r="709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</row>
    <row r="710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</row>
    <row r="71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</row>
    <row r="712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</row>
    <row r="713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</row>
    <row r="714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</row>
    <row r="715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</row>
    <row r="716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</row>
    <row r="717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</row>
    <row r="718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</row>
    <row r="719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</row>
    <row r="720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</row>
    <row r="72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</row>
    <row r="722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</row>
    <row r="723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</row>
    <row r="724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</row>
    <row r="725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</row>
    <row r="726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</row>
    <row r="727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</row>
    <row r="728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</row>
    <row r="729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</row>
    <row r="730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</row>
    <row r="73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</row>
    <row r="732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</row>
    <row r="733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</row>
    <row r="734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</row>
    <row r="735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</row>
    <row r="736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</row>
    <row r="737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</row>
    <row r="738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</row>
    <row r="739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</row>
    <row r="740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</row>
    <row r="74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</row>
    <row r="742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</row>
    <row r="743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</row>
    <row r="744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</row>
    <row r="745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</row>
    <row r="746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</row>
    <row r="747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</row>
    <row r="748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</row>
    <row r="749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</row>
    <row r="750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</row>
    <row r="75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</row>
    <row r="752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</row>
    <row r="753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</row>
    <row r="754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</row>
    <row r="755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</row>
    <row r="756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</row>
    <row r="757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</row>
    <row r="758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</row>
    <row r="759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</row>
    <row r="760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</row>
    <row r="76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</row>
    <row r="762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</row>
    <row r="763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</row>
    <row r="764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</row>
    <row r="765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</row>
    <row r="766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</row>
    <row r="767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</row>
    <row r="768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</row>
    <row r="769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</row>
    <row r="770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</row>
    <row r="77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</row>
    <row r="772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</row>
    <row r="773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</row>
    <row r="774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</row>
    <row r="775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</row>
    <row r="776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</row>
    <row r="777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</row>
    <row r="778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</row>
    <row r="779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</row>
    <row r="780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</row>
    <row r="78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</row>
    <row r="782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</row>
    <row r="783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</row>
    <row r="784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</row>
    <row r="785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</row>
    <row r="786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</row>
    <row r="787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</row>
    <row r="788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</row>
    <row r="789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</row>
    <row r="790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</row>
    <row r="79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</row>
    <row r="792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</row>
    <row r="793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</row>
    <row r="794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</row>
    <row r="795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</row>
    <row r="796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</row>
    <row r="797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</row>
    <row r="798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</row>
    <row r="799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</row>
    <row r="800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</row>
    <row r="80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</row>
    <row r="802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</row>
    <row r="803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</row>
    <row r="804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</row>
    <row r="805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</row>
    <row r="806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</row>
    <row r="807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</row>
    <row r="808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</row>
    <row r="809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</row>
    <row r="810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</row>
    <row r="81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</row>
    <row r="812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</row>
    <row r="813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</row>
    <row r="814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</row>
    <row r="815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</row>
    <row r="816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</row>
    <row r="817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</row>
    <row r="818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</row>
    <row r="819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</row>
    <row r="820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</row>
    <row r="82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</row>
    <row r="822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</row>
    <row r="823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</row>
    <row r="824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</row>
    <row r="825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</row>
    <row r="826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</row>
    <row r="827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</row>
    <row r="828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</row>
    <row r="829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</row>
    <row r="830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</row>
    <row r="83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</row>
    <row r="832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</row>
    <row r="833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</row>
    <row r="834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</row>
    <row r="835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</row>
    <row r="836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</row>
    <row r="837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</row>
    <row r="838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</row>
    <row r="839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</row>
    <row r="840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</row>
    <row r="84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</row>
    <row r="842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</row>
    <row r="843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</row>
    <row r="844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</row>
    <row r="845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</row>
    <row r="846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</row>
    <row r="847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</row>
    <row r="848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</row>
    <row r="849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</row>
    <row r="850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</row>
    <row r="85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</row>
    <row r="852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</row>
    <row r="853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</row>
    <row r="854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</row>
    <row r="855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</row>
    <row r="856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</row>
    <row r="857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</row>
    <row r="858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</row>
    <row r="859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</row>
    <row r="860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</row>
    <row r="86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</row>
    <row r="862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</row>
    <row r="863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</row>
    <row r="864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</row>
    <row r="865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</row>
    <row r="866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</row>
    <row r="867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</row>
    <row r="868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</row>
    <row r="869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</row>
    <row r="870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</row>
    <row r="87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</row>
    <row r="872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</row>
    <row r="873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</row>
    <row r="874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</row>
    <row r="875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</row>
    <row r="876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</row>
    <row r="877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</row>
    <row r="878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</row>
    <row r="879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</row>
    <row r="880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</row>
    <row r="88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</row>
    <row r="882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</row>
    <row r="883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</row>
    <row r="884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</row>
    <row r="885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</row>
    <row r="886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</row>
    <row r="887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</row>
    <row r="888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</row>
    <row r="889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</row>
    <row r="890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</row>
    <row r="89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</row>
    <row r="892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</row>
    <row r="893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</row>
    <row r="894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</row>
    <row r="895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</row>
    <row r="896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</row>
    <row r="897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</row>
    <row r="898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</row>
    <row r="899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</row>
    <row r="900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</row>
    <row r="90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</row>
    <row r="902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</row>
    <row r="903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</row>
    <row r="904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</row>
    <row r="905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</row>
    <row r="906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</row>
    <row r="907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</row>
    <row r="908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</row>
    <row r="909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</row>
    <row r="910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</row>
    <row r="91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</row>
    <row r="912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</row>
    <row r="913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</row>
    <row r="914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</row>
    <row r="915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</row>
    <row r="916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</row>
    <row r="917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</row>
    <row r="918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</row>
    <row r="919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</row>
    <row r="920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</row>
    <row r="92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</row>
    <row r="922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</row>
    <row r="923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</row>
    <row r="924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</row>
    <row r="925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</row>
    <row r="926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</row>
    <row r="927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</row>
    <row r="928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</row>
    <row r="929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</row>
    <row r="930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</row>
    <row r="93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</row>
    <row r="932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</row>
    <row r="933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</row>
    <row r="934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</row>
    <row r="935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</row>
    <row r="936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</row>
    <row r="937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</row>
    <row r="938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</row>
    <row r="939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</row>
    <row r="940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</row>
    <row r="94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</row>
    <row r="942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</row>
    <row r="943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</row>
    <row r="944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</row>
    <row r="945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</row>
    <row r="946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</row>
    <row r="947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</row>
    <row r="948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</row>
    <row r="949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</row>
    <row r="950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</row>
    <row r="95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</row>
    <row r="952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</row>
    <row r="953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</row>
    <row r="954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</row>
    <row r="955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</row>
    <row r="956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</row>
    <row r="957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</row>
    <row r="958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</row>
    <row r="959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</row>
    <row r="960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</row>
    <row r="96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</row>
    <row r="962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</row>
    <row r="963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</row>
    <row r="964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</row>
    <row r="965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</row>
    <row r="966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</row>
    <row r="967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</row>
    <row r="968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</row>
    <row r="969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</row>
    <row r="970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</row>
    <row r="97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</row>
    <row r="972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</row>
    <row r="973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</row>
    <row r="974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</row>
    <row r="975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</row>
    <row r="976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</row>
    <row r="977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</row>
    <row r="978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</row>
    <row r="979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</row>
    <row r="980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</row>
    <row r="98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</row>
    <row r="982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</row>
    <row r="983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</row>
    <row r="984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</row>
    <row r="985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</row>
    <row r="986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</row>
    <row r="987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</row>
    <row r="988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</row>
    <row r="989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</row>
    <row r="990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</row>
    <row r="991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</row>
    <row r="992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</row>
    <row r="993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</row>
    <row r="994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</row>
    <row r="995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</row>
    <row r="996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</row>
    <row r="997">
      <c r="A997" s="128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</row>
    <row r="998">
      <c r="A998" s="128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</row>
    <row r="999">
      <c r="A999" s="128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  <c r="W999" s="128"/>
      <c r="X999" s="128"/>
      <c r="Y999" s="128"/>
    </row>
    <row r="1000">
      <c r="A1000" s="128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</row>
    <row r="1001">
      <c r="A1001" s="128"/>
      <c r="B1001" s="128"/>
      <c r="C1001" s="128"/>
      <c r="D1001" s="128"/>
      <c r="E1001" s="128"/>
      <c r="F1001" s="128"/>
      <c r="G1001" s="128"/>
      <c r="H1001" s="128"/>
      <c r="I1001" s="128"/>
      <c r="J1001" s="128"/>
      <c r="K1001" s="128"/>
      <c r="L1001" s="128"/>
      <c r="M1001" s="128"/>
      <c r="N1001" s="128"/>
      <c r="O1001" s="128"/>
      <c r="P1001" s="128"/>
      <c r="Q1001" s="128"/>
      <c r="R1001" s="128"/>
      <c r="S1001" s="128"/>
      <c r="T1001" s="128"/>
      <c r="U1001" s="128"/>
      <c r="V1001" s="128"/>
      <c r="W1001" s="128"/>
      <c r="X1001" s="128"/>
      <c r="Y1001" s="128"/>
    </row>
  </sheetData>
  <drawing r:id="rId1"/>
</worksheet>
</file>